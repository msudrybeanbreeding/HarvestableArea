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2024/beans/Yield - Agronomic Data/"/>
    </mc:Choice>
  </mc:AlternateContent>
  <xr:revisionPtr revIDLastSave="200" documentId="8_{C81B5388-DF50-460D-866C-D2150197C74E}" xr6:coauthVersionLast="47" xr6:coauthVersionMax="47" xr10:uidLastSave="{D712A8EA-9BEB-4594-83AB-88E303FFEB7A}"/>
  <bookViews>
    <workbookView xWindow="-120" yWindow="-120" windowWidth="38640" windowHeight="21120" xr2:uid="{6905DCCC-F339-4682-8381-F5FC4A182EF0}"/>
  </bookViews>
  <sheets>
    <sheet name="Agronomy Trial Corrected" sheetId="1" r:id="rId1"/>
    <sheet name="Sheet1" sheetId="2" r:id="rId2"/>
  </sheets>
  <definedNames>
    <definedName name="_xlnm._FilterDatabase" localSheetId="0" hidden="1">'Agronomy Trial Corrected'!$A$1:$BF$361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1" i="1"/>
  <c r="Y22" i="1"/>
  <c r="Y26" i="1"/>
  <c r="Y28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7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70" i="1"/>
  <c r="Y72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4" i="1"/>
  <c r="Y95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4" i="1"/>
  <c r="Y115" i="1"/>
  <c r="Y116" i="1"/>
  <c r="Y117" i="1"/>
  <c r="Y118" i="1"/>
  <c r="Y119" i="1"/>
  <c r="Y120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3" i="1"/>
  <c r="Y144" i="1"/>
  <c r="Y145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3" i="1"/>
  <c r="Y314" i="1"/>
  <c r="Y315" i="1"/>
  <c r="Y316" i="1"/>
  <c r="Y317" i="1"/>
  <c r="Y318" i="1"/>
  <c r="Y319" i="1"/>
  <c r="Y320" i="1"/>
  <c r="Y322" i="1"/>
  <c r="Y323" i="1"/>
  <c r="Y324" i="1"/>
  <c r="Y325" i="1"/>
  <c r="Y326" i="1"/>
  <c r="Y327" i="1"/>
  <c r="Y328" i="1"/>
  <c r="Y329" i="1"/>
  <c r="Y330" i="1"/>
  <c r="Y331" i="1"/>
  <c r="Y335" i="1"/>
  <c r="Y338" i="1"/>
  <c r="Y339" i="1"/>
  <c r="Y340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9" i="1"/>
  <c r="Y360" i="1"/>
  <c r="Y361" i="1"/>
  <c r="Y2" i="1"/>
  <c r="Z362" i="1"/>
  <c r="AC7" i="1" l="1" a="1"/>
  <c r="AC7" i="1" s="1"/>
  <c r="AC9" i="1" a="1"/>
  <c r="AC9" i="1" s="1"/>
  <c r="AC10" i="1" a="1"/>
  <c r="AC10" i="1" s="1"/>
  <c r="AC11" i="1" a="1"/>
  <c r="AC11" i="1" s="1"/>
  <c r="AC12" i="1" a="1"/>
  <c r="AC12" i="1" s="1"/>
  <c r="AC13" i="1" a="1"/>
  <c r="AC13" i="1" s="1"/>
  <c r="AC14" i="1" a="1"/>
  <c r="AC14" i="1" s="1"/>
  <c r="AC15" i="1" a="1"/>
  <c r="AC15" i="1" s="1"/>
  <c r="AC16" i="1" a="1"/>
  <c r="AC16" i="1" s="1"/>
  <c r="AC17" i="1" a="1"/>
  <c r="AC17" i="1" s="1"/>
  <c r="AC18" i="1" a="1"/>
  <c r="AC18" i="1" s="1"/>
  <c r="AC19" i="1" a="1"/>
  <c r="AC19" i="1" s="1"/>
  <c r="AC20" i="1" a="1"/>
  <c r="AC20" i="1" s="1"/>
  <c r="AC21" i="1" a="1"/>
  <c r="AC21" i="1" s="1"/>
  <c r="AC22" i="1" a="1"/>
  <c r="AC22" i="1" s="1"/>
  <c r="AC26" i="1" a="1"/>
  <c r="AC26" i="1" s="1"/>
  <c r="AC28" i="1" a="1"/>
  <c r="AC28" i="1" s="1"/>
  <c r="AC29" i="1" a="1"/>
  <c r="AC29" i="1" s="1"/>
  <c r="AC31" i="1" a="1"/>
  <c r="AC31" i="1" s="1"/>
  <c r="AC34" i="1" a="1"/>
  <c r="AC34" i="1" s="1"/>
  <c r="AC35" i="1" a="1"/>
  <c r="AC35" i="1" s="1"/>
  <c r="AC36" i="1" a="1"/>
  <c r="AC36" i="1" s="1"/>
  <c r="AC37" i="1" a="1"/>
  <c r="AC37" i="1" s="1"/>
  <c r="AC38" i="1" a="1"/>
  <c r="AC38" i="1" s="1"/>
  <c r="AC41" i="1" a="1"/>
  <c r="AC41" i="1" s="1"/>
  <c r="AC42" i="1" a="1"/>
  <c r="AC42" i="1" s="1"/>
  <c r="AC43" i="1" a="1"/>
  <c r="AC43" i="1" s="1"/>
  <c r="AC44" i="1" a="1"/>
  <c r="AC44" i="1" s="1"/>
  <c r="AC46" i="1" a="1"/>
  <c r="AC46" i="1" s="1"/>
  <c r="AC47" i="1" a="1"/>
  <c r="AC47" i="1" s="1"/>
  <c r="AC49" i="1" a="1"/>
  <c r="AC49" i="1" s="1"/>
  <c r="AC50" i="1" a="1"/>
  <c r="AC50" i="1" s="1"/>
  <c r="AC51" i="1" a="1"/>
  <c r="AC51" i="1" s="1"/>
  <c r="AC52" i="1" a="1"/>
  <c r="AC52" i="1" s="1"/>
  <c r="AC53" i="1" a="1"/>
  <c r="AC53" i="1" s="1"/>
  <c r="AC54" i="1" a="1"/>
  <c r="AC54" i="1" s="1"/>
  <c r="AC55" i="1" a="1"/>
  <c r="AC55" i="1" s="1"/>
  <c r="AC57" i="1" a="1"/>
  <c r="AC57" i="1" s="1"/>
  <c r="AC58" i="1" a="1"/>
  <c r="AC58" i="1" s="1"/>
  <c r="AC59" i="1" a="1"/>
  <c r="AC59" i="1" s="1"/>
  <c r="AC60" i="1" a="1"/>
  <c r="AC60" i="1" s="1"/>
  <c r="AC61" i="1" a="1"/>
  <c r="AC61" i="1" s="1"/>
  <c r="AC62" i="1" a="1"/>
  <c r="AC62" i="1" s="1"/>
  <c r="AC64" i="1" a="1"/>
  <c r="AC64" i="1" s="1"/>
  <c r="AC65" i="1" a="1"/>
  <c r="AC65" i="1" s="1"/>
  <c r="AC66" i="1" a="1"/>
  <c r="AC66" i="1" s="1"/>
  <c r="AC67" i="1" a="1"/>
  <c r="AC67" i="1" s="1"/>
  <c r="AC69" i="1" a="1"/>
  <c r="AC69" i="1" s="1"/>
  <c r="AC70" i="1" a="1"/>
  <c r="AC70" i="1" s="1"/>
  <c r="AC72" i="1" a="1"/>
  <c r="AC72" i="1" s="1"/>
  <c r="AC74" i="1" a="1"/>
  <c r="AC74" i="1" s="1"/>
  <c r="AC75" i="1" a="1"/>
  <c r="AC75" i="1" s="1"/>
  <c r="AC78" i="1" a="1"/>
  <c r="AC78" i="1" s="1"/>
  <c r="AC79" i="1" a="1"/>
  <c r="AC79" i="1" s="1"/>
  <c r="AC82" i="1" a="1"/>
  <c r="AC82" i="1" s="1"/>
  <c r="AC83" i="1" a="1"/>
  <c r="AC83" i="1" s="1"/>
  <c r="AC84" i="1" a="1"/>
  <c r="AC84" i="1" s="1"/>
  <c r="AC85" i="1" a="1"/>
  <c r="AC85" i="1" s="1"/>
  <c r="AC88" i="1" a="1"/>
  <c r="AC88" i="1" s="1"/>
  <c r="AC89" i="1" a="1"/>
  <c r="AC89" i="1" s="1"/>
  <c r="AC90" i="1" a="1"/>
  <c r="AC90" i="1" s="1"/>
  <c r="AC91" i="1" a="1"/>
  <c r="AC91" i="1" s="1"/>
  <c r="AC93" i="1" a="1"/>
  <c r="AC93" i="1" s="1"/>
  <c r="AC94" i="1" a="1"/>
  <c r="AC94" i="1" s="1"/>
  <c r="AC98" i="1" a="1"/>
  <c r="AC98" i="1" s="1"/>
  <c r="AC99" i="1" a="1"/>
  <c r="AC99" i="1" s="1"/>
  <c r="AC100" i="1" a="1"/>
  <c r="AC100" i="1" s="1"/>
  <c r="AC101" i="1" a="1"/>
  <c r="AC101" i="1" s="1"/>
  <c r="AC102" i="1" a="1"/>
  <c r="AC102" i="1" s="1"/>
  <c r="AC105" i="1" a="1"/>
  <c r="AC105" i="1" s="1"/>
  <c r="AC106" i="1" a="1"/>
  <c r="AC106" i="1" s="1"/>
  <c r="AC107" i="1" a="1"/>
  <c r="AC107" i="1" s="1"/>
  <c r="AC108" i="1" a="1"/>
  <c r="AC108" i="1" s="1"/>
  <c r="AC109" i="1" a="1"/>
  <c r="AC109" i="1" s="1"/>
  <c r="AC110" i="1" a="1"/>
  <c r="AC110" i="1" s="1"/>
  <c r="AC114" i="1" a="1"/>
  <c r="AC114" i="1" s="1"/>
  <c r="AC116" i="1" a="1"/>
  <c r="AC116" i="1" s="1"/>
  <c r="AC117" i="1" a="1"/>
  <c r="AC117" i="1" s="1"/>
  <c r="AC119" i="1" a="1"/>
  <c r="AC119" i="1" s="1"/>
  <c r="AC120" i="1" a="1"/>
  <c r="AC120" i="1" s="1"/>
  <c r="AC121" i="1" a="1"/>
  <c r="AC121" i="1" s="1"/>
  <c r="AC122" i="1" a="1"/>
  <c r="AC122" i="1" s="1"/>
  <c r="AC123" i="1" a="1"/>
  <c r="AC123" i="1" s="1"/>
  <c r="AC124" i="1" a="1"/>
  <c r="AC124" i="1" s="1"/>
  <c r="AC125" i="1" a="1"/>
  <c r="AC125" i="1" s="1"/>
  <c r="AC127" i="1" a="1"/>
  <c r="AC127" i="1" s="1"/>
  <c r="AC128" i="1" a="1"/>
  <c r="AC128" i="1" s="1"/>
  <c r="AC130" i="1" a="1"/>
  <c r="AC130" i="1" s="1"/>
  <c r="AC131" i="1" a="1"/>
  <c r="AC131" i="1" s="1"/>
  <c r="AC132" i="1" a="1"/>
  <c r="AC132" i="1" s="1"/>
  <c r="AC133" i="1" a="1"/>
  <c r="AC133" i="1" s="1"/>
  <c r="AC134" i="1" a="1"/>
  <c r="AC134" i="1" s="1"/>
  <c r="AC135" i="1" a="1"/>
  <c r="AC135" i="1" s="1"/>
  <c r="AC136" i="1" a="1"/>
  <c r="AC136" i="1" s="1"/>
  <c r="AC137" i="1" a="1"/>
  <c r="AC137" i="1" s="1"/>
  <c r="AC138" i="1" a="1"/>
  <c r="AC138" i="1" s="1"/>
  <c r="AC139" i="1" a="1"/>
  <c r="AC139" i="1" s="1"/>
  <c r="AC141" i="1" a="1"/>
  <c r="AC141" i="1" s="1"/>
  <c r="AC143" i="1" a="1"/>
  <c r="AC143" i="1" s="1"/>
  <c r="AC144" i="1" a="1"/>
  <c r="AC144" i="1" s="1"/>
  <c r="AC145" i="1" a="1"/>
  <c r="AC145" i="1" s="1"/>
  <c r="AC148" i="1" a="1"/>
  <c r="AC148" i="1" s="1"/>
  <c r="AC151" i="1" a="1"/>
  <c r="AC151" i="1" s="1"/>
  <c r="AC153" i="1" a="1"/>
  <c r="AC153" i="1" s="1"/>
  <c r="AC154" i="1" a="1"/>
  <c r="AC154" i="1" s="1"/>
  <c r="AC155" i="1" a="1"/>
  <c r="AC155" i="1" s="1"/>
  <c r="AC156" i="1" a="1"/>
  <c r="AC156" i="1" s="1"/>
  <c r="AC157" i="1" a="1"/>
  <c r="AC157" i="1" s="1"/>
  <c r="AC158" i="1" a="1"/>
  <c r="AC158" i="1" s="1"/>
  <c r="AC161" i="1" a="1"/>
  <c r="AC161" i="1" s="1"/>
  <c r="AC162" i="1" a="1"/>
  <c r="AC162" i="1" s="1"/>
  <c r="AC165" i="1" a="1"/>
  <c r="AC165" i="1" s="1"/>
  <c r="AC166" i="1" a="1"/>
  <c r="AC166" i="1" s="1"/>
  <c r="AC167" i="1" a="1"/>
  <c r="AC167" i="1" s="1"/>
  <c r="AC168" i="1" a="1"/>
  <c r="AC168" i="1" s="1"/>
  <c r="AC169" i="1" a="1"/>
  <c r="AC169" i="1" s="1"/>
  <c r="AC170" i="1" a="1"/>
  <c r="AC170" i="1" s="1"/>
  <c r="AC171" i="1" a="1"/>
  <c r="AC171" i="1" s="1"/>
  <c r="AC172" i="1" a="1"/>
  <c r="AC172" i="1" s="1"/>
  <c r="AC173" i="1" a="1"/>
  <c r="AC173" i="1" s="1"/>
  <c r="AC174" i="1" a="1"/>
  <c r="AC174" i="1" s="1"/>
  <c r="AC175" i="1" a="1"/>
  <c r="AC175" i="1" s="1"/>
  <c r="AC176" i="1" a="1"/>
  <c r="AC176" i="1" s="1"/>
  <c r="AC177" i="1" a="1"/>
  <c r="AC177" i="1" s="1"/>
  <c r="AC178" i="1" a="1"/>
  <c r="AC178" i="1" s="1"/>
  <c r="AC179" i="1" a="1"/>
  <c r="AC179" i="1" s="1"/>
  <c r="AC180" i="1" a="1"/>
  <c r="AC180" i="1" s="1"/>
  <c r="AC181" i="1" a="1"/>
  <c r="AC181" i="1" s="1"/>
  <c r="AC182" i="1" a="1"/>
  <c r="AC182" i="1" s="1"/>
  <c r="AC183" i="1" a="1"/>
  <c r="AC183" i="1" s="1"/>
  <c r="AC184" i="1" a="1"/>
  <c r="AC184" i="1" s="1"/>
  <c r="AC185" i="1" a="1"/>
  <c r="AC185" i="1" s="1"/>
  <c r="AC186" i="1" a="1"/>
  <c r="AC186" i="1" s="1"/>
  <c r="AC188" i="1" a="1"/>
  <c r="AC188" i="1" s="1"/>
  <c r="AC189" i="1" a="1"/>
  <c r="AC189" i="1" s="1"/>
  <c r="AC190" i="1" a="1"/>
  <c r="AC190" i="1" s="1"/>
  <c r="AC191" i="1" a="1"/>
  <c r="AC191" i="1" s="1"/>
  <c r="AC193" i="1" a="1"/>
  <c r="AC193" i="1" s="1"/>
  <c r="AC194" i="1" a="1"/>
  <c r="AC194" i="1" s="1"/>
  <c r="AC195" i="1" a="1"/>
  <c r="AC195" i="1" s="1"/>
  <c r="AC196" i="1" a="1"/>
  <c r="AC196" i="1" s="1"/>
  <c r="AC197" i="1" a="1"/>
  <c r="AC197" i="1" s="1"/>
  <c r="AC198" i="1" a="1"/>
  <c r="AC198" i="1" s="1"/>
  <c r="AC199" i="1" a="1"/>
  <c r="AC199" i="1" s="1"/>
  <c r="AC202" i="1" a="1"/>
  <c r="AC202" i="1" s="1"/>
  <c r="AC203" i="1" a="1"/>
  <c r="AC203" i="1" s="1"/>
  <c r="AC205" i="1" a="1"/>
  <c r="AC205" i="1" s="1"/>
  <c r="AC207" i="1" a="1"/>
  <c r="AC207" i="1" s="1"/>
  <c r="AC208" i="1" a="1"/>
  <c r="AC208" i="1" s="1"/>
  <c r="AC209" i="1" a="1"/>
  <c r="AC209" i="1" s="1"/>
  <c r="AC210" i="1" a="1"/>
  <c r="AC210" i="1" s="1"/>
  <c r="AC211" i="1" a="1"/>
  <c r="AC211" i="1" s="1"/>
  <c r="AC212" i="1" a="1"/>
  <c r="AC212" i="1" s="1"/>
  <c r="AC214" i="1" a="1"/>
  <c r="AC214" i="1" s="1"/>
  <c r="AC215" i="1" a="1"/>
  <c r="AC215" i="1" s="1"/>
  <c r="AC216" i="1" a="1"/>
  <c r="AC216" i="1" s="1"/>
  <c r="AC217" i="1" a="1"/>
  <c r="AC217" i="1" s="1"/>
  <c r="AC218" i="1" a="1"/>
  <c r="AC218" i="1" s="1"/>
  <c r="AC219" i="1" a="1"/>
  <c r="AC219" i="1" s="1"/>
  <c r="AC222" i="1" a="1"/>
  <c r="AC222" i="1" s="1"/>
  <c r="AC223" i="1" a="1"/>
  <c r="AC223" i="1" s="1"/>
  <c r="AC225" i="1" a="1"/>
  <c r="AC225" i="1" s="1"/>
  <c r="AC226" i="1" a="1"/>
  <c r="AC226" i="1" s="1"/>
  <c r="AC227" i="1" a="1"/>
  <c r="AC227" i="1" s="1"/>
  <c r="AC228" i="1" a="1"/>
  <c r="AC228" i="1" s="1"/>
  <c r="AC229" i="1" a="1"/>
  <c r="AC229" i="1" s="1"/>
  <c r="AC230" i="1" a="1"/>
  <c r="AC230" i="1" s="1"/>
  <c r="AC231" i="1" a="1"/>
  <c r="AC231" i="1" s="1"/>
  <c r="AC232" i="1" a="1"/>
  <c r="AC232" i="1" s="1"/>
  <c r="AC233" i="1" a="1"/>
  <c r="AC233" i="1" s="1"/>
  <c r="AC234" i="1" a="1"/>
  <c r="AC234" i="1" s="1"/>
  <c r="AC235" i="1" a="1"/>
  <c r="AC235" i="1" s="1"/>
  <c r="AC238" i="1" a="1"/>
  <c r="AC238" i="1" s="1"/>
  <c r="AC239" i="1" a="1"/>
  <c r="AC239" i="1" s="1"/>
  <c r="AC240" i="1" a="1"/>
  <c r="AC240" i="1" s="1"/>
  <c r="AC242" i="1" a="1"/>
  <c r="AC242" i="1" s="1"/>
  <c r="AC243" i="1" a="1"/>
  <c r="AC243" i="1" s="1"/>
  <c r="AC245" i="1" a="1"/>
  <c r="AC245" i="1" s="1"/>
  <c r="AC246" i="1" a="1"/>
  <c r="AC246" i="1" s="1"/>
  <c r="AC247" i="1" a="1"/>
  <c r="AC247" i="1" s="1"/>
  <c r="AC251" i="1" a="1"/>
  <c r="AC251" i="1" s="1"/>
  <c r="AC252" i="1" a="1"/>
  <c r="AC252" i="1" s="1"/>
  <c r="AC253" i="1" a="1"/>
  <c r="AC253" i="1" s="1"/>
  <c r="AC254" i="1" a="1"/>
  <c r="AC254" i="1" s="1"/>
  <c r="AC255" i="1" a="1"/>
  <c r="AC255" i="1" s="1"/>
  <c r="AC256" i="1" a="1"/>
  <c r="AC256" i="1" s="1"/>
  <c r="AC257" i="1" a="1"/>
  <c r="AC257" i="1" s="1"/>
  <c r="AC258" i="1" a="1"/>
  <c r="AC258" i="1" s="1"/>
  <c r="AC261" i="1" a="1"/>
  <c r="AC261" i="1" s="1"/>
  <c r="AC262" i="1" a="1"/>
  <c r="AC262" i="1" s="1"/>
  <c r="AC263" i="1" a="1"/>
  <c r="AC263" i="1" s="1"/>
  <c r="AC264" i="1" a="1"/>
  <c r="AC264" i="1" s="1"/>
  <c r="AC266" i="1" a="1"/>
  <c r="AC266" i="1" s="1"/>
  <c r="AC267" i="1" a="1"/>
  <c r="AC267" i="1" s="1"/>
  <c r="AC268" i="1" a="1"/>
  <c r="AC268" i="1" s="1"/>
  <c r="AC270" i="1" a="1"/>
  <c r="AC270" i="1" s="1"/>
  <c r="AC271" i="1" a="1"/>
  <c r="AC271" i="1" s="1"/>
  <c r="AC273" i="1" a="1"/>
  <c r="AC273" i="1" s="1"/>
  <c r="AC275" i="1" a="1"/>
  <c r="AC275" i="1" s="1"/>
  <c r="AC276" i="1" a="1"/>
  <c r="AC276" i="1" s="1"/>
  <c r="AC277" i="1" a="1"/>
  <c r="AC277" i="1" s="1"/>
  <c r="AC280" i="1" a="1"/>
  <c r="AC280" i="1" s="1"/>
  <c r="AC281" i="1" a="1"/>
  <c r="AC281" i="1" s="1"/>
  <c r="AC282" i="1" a="1"/>
  <c r="AC282" i="1" s="1"/>
  <c r="AC283" i="1" a="1"/>
  <c r="AC283" i="1" s="1"/>
  <c r="AC284" i="1" a="1"/>
  <c r="AC284" i="1" s="1"/>
  <c r="AC285" i="1" a="1"/>
  <c r="AC285" i="1" s="1"/>
  <c r="AC286" i="1" a="1"/>
  <c r="AC286" i="1" s="1"/>
  <c r="AC287" i="1" a="1"/>
  <c r="AC287" i="1" s="1"/>
  <c r="AC288" i="1" a="1"/>
  <c r="AC288" i="1" s="1"/>
  <c r="AC289" i="1" a="1"/>
  <c r="AC289" i="1" s="1"/>
  <c r="AC290" i="1" a="1"/>
  <c r="AC290" i="1" s="1"/>
  <c r="AC291" i="1" a="1"/>
  <c r="AC291" i="1" s="1"/>
  <c r="AC292" i="1" a="1"/>
  <c r="AC292" i="1" s="1"/>
  <c r="AC293" i="1" a="1"/>
  <c r="AC293" i="1" s="1"/>
  <c r="AC294" i="1" a="1"/>
  <c r="AC294" i="1" s="1"/>
  <c r="AC297" i="1" a="1"/>
  <c r="AC297" i="1" s="1"/>
  <c r="AC299" i="1" a="1"/>
  <c r="AC299" i="1" s="1"/>
  <c r="AC300" i="1" a="1"/>
  <c r="AC300" i="1" s="1"/>
  <c r="AC301" i="1" a="1"/>
  <c r="AC301" i="1" s="1"/>
  <c r="AC304" i="1" a="1"/>
  <c r="AC304" i="1" s="1"/>
  <c r="AC305" i="1" a="1"/>
  <c r="AC305" i="1" s="1"/>
  <c r="AC306" i="1" a="1"/>
  <c r="AC306" i="1" s="1"/>
  <c r="AC307" i="1" a="1"/>
  <c r="AC307" i="1" s="1"/>
  <c r="AC309" i="1" a="1"/>
  <c r="AC309" i="1" s="1"/>
  <c r="AC310" i="1" a="1"/>
  <c r="AC310" i="1" s="1"/>
  <c r="AC311" i="1" a="1"/>
  <c r="AC311" i="1" s="1"/>
  <c r="AC312" i="1" a="1"/>
  <c r="AC312" i="1" s="1"/>
  <c r="AC313" i="1" a="1"/>
  <c r="AC313" i="1" s="1"/>
  <c r="AC314" i="1" a="1"/>
  <c r="AC314" i="1" s="1"/>
  <c r="AC315" i="1" a="1"/>
  <c r="AC315" i="1" s="1"/>
  <c r="AC316" i="1" a="1"/>
  <c r="AC316" i="1" s="1"/>
  <c r="AC317" i="1" a="1"/>
  <c r="AC317" i="1" s="1"/>
  <c r="AC318" i="1" a="1"/>
  <c r="AC318" i="1" s="1"/>
  <c r="AC319" i="1" a="1"/>
  <c r="AC319" i="1" s="1"/>
  <c r="AC322" i="1" a="1"/>
  <c r="AC322" i="1" s="1"/>
  <c r="AC323" i="1" a="1"/>
  <c r="AC323" i="1" s="1"/>
  <c r="AC324" i="1" a="1"/>
  <c r="AC324" i="1" s="1"/>
  <c r="AC325" i="1" a="1"/>
  <c r="AC325" i="1" s="1"/>
  <c r="AC327" i="1" a="1"/>
  <c r="AC327" i="1" s="1"/>
  <c r="AC328" i="1" a="1"/>
  <c r="AC328" i="1" s="1"/>
  <c r="AC329" i="1" a="1"/>
  <c r="AC329" i="1" s="1"/>
  <c r="AC330" i="1" a="1"/>
  <c r="AC330" i="1" s="1"/>
  <c r="AC331" i="1" a="1"/>
  <c r="AC331" i="1" s="1"/>
  <c r="AC335" i="1" a="1"/>
  <c r="AC335" i="1" s="1"/>
  <c r="AC338" i="1" a="1"/>
  <c r="AC338" i="1" s="1"/>
  <c r="AC339" i="1" a="1"/>
  <c r="AC339" i="1" s="1"/>
  <c r="AC340" i="1" a="1"/>
  <c r="AC340" i="1" s="1"/>
  <c r="AC342" i="1" a="1"/>
  <c r="AC342" i="1" s="1"/>
  <c r="AC345" i="1" a="1"/>
  <c r="AC345" i="1" s="1"/>
  <c r="AC346" i="1" a="1"/>
  <c r="AC346" i="1" s="1"/>
  <c r="AC347" i="1" a="1"/>
  <c r="AC347" i="1" s="1"/>
  <c r="AC348" i="1" a="1"/>
  <c r="AC348" i="1" s="1"/>
  <c r="AC349" i="1" a="1"/>
  <c r="AC349" i="1" s="1"/>
  <c r="AC350" i="1" a="1"/>
  <c r="AC350" i="1" s="1"/>
  <c r="AC351" i="1" a="1"/>
  <c r="AC351" i="1" s="1"/>
  <c r="AC353" i="1" a="1"/>
  <c r="AC353" i="1" s="1"/>
  <c r="AC354" i="1" a="1"/>
  <c r="AC354" i="1" s="1"/>
  <c r="AC355" i="1" a="1"/>
  <c r="AC355" i="1" s="1"/>
  <c r="AC356" i="1" a="1"/>
  <c r="AC356" i="1" s="1"/>
  <c r="AC357" i="1" a="1"/>
  <c r="AC357" i="1" s="1"/>
  <c r="AC359" i="1" a="1"/>
  <c r="AC359" i="1" s="1"/>
  <c r="AC360" i="1" a="1"/>
  <c r="AC360" i="1" s="1"/>
  <c r="AC361" i="1" a="1"/>
  <c r="AC361" i="1" s="1"/>
  <c r="AC3" i="1" a="1"/>
  <c r="AC3" i="1" s="1"/>
  <c r="AC2" i="1" a="1"/>
  <c r="AC2" i="1" s="1"/>
  <c r="AC6" i="1" a="1"/>
  <c r="AC6" i="1" s="1"/>
  <c r="AC8" i="1" a="1"/>
  <c r="AC8" i="1" s="1"/>
  <c r="AC24" i="1" a="1"/>
  <c r="AC24" i="1" s="1"/>
  <c r="AC30" i="1" a="1"/>
  <c r="AC30" i="1" s="1"/>
  <c r="AC126" i="1" a="1"/>
  <c r="AC126" i="1" s="1"/>
  <c r="AC33" i="1" a="1"/>
  <c r="AC33" i="1" s="1"/>
  <c r="AC39" i="1" a="1"/>
  <c r="AC39" i="1" s="1"/>
  <c r="AC40" i="1" a="1"/>
  <c r="AC40" i="1" s="1"/>
  <c r="AC45" i="1" a="1"/>
  <c r="AC45" i="1" s="1"/>
  <c r="AC56" i="1" a="1"/>
  <c r="AC56" i="1" s="1"/>
  <c r="AC63" i="1" a="1"/>
  <c r="AC63" i="1" s="1"/>
  <c r="AC68" i="1" a="1"/>
  <c r="AC68" i="1" s="1"/>
  <c r="AC76" i="1" a="1"/>
  <c r="AC76" i="1" s="1"/>
  <c r="AC77" i="1" a="1"/>
  <c r="AC77" i="1" s="1"/>
  <c r="AC80" i="1" a="1"/>
  <c r="AC80" i="1" s="1"/>
  <c r="AC81" i="1" a="1"/>
  <c r="AC81" i="1" s="1"/>
  <c r="AC86" i="1" a="1"/>
  <c r="AC86" i="1" s="1"/>
  <c r="AC87" i="1" a="1"/>
  <c r="AC87" i="1" s="1"/>
  <c r="AC92" i="1" a="1"/>
  <c r="AC92" i="1" s="1"/>
  <c r="AC95" i="1" a="1"/>
  <c r="AC95" i="1" s="1"/>
  <c r="AC103" i="1" a="1"/>
  <c r="AC103" i="1" s="1"/>
  <c r="AC104" i="1" a="1"/>
  <c r="AC104" i="1" s="1"/>
  <c r="AC111" i="1" a="1"/>
  <c r="AC111" i="1" s="1"/>
  <c r="AC112" i="1" a="1"/>
  <c r="AC112" i="1" s="1"/>
  <c r="AC115" i="1" a="1"/>
  <c r="AC115" i="1" s="1"/>
  <c r="AC118" i="1" a="1"/>
  <c r="AC118" i="1" s="1"/>
  <c r="AC32" i="1" a="1"/>
  <c r="AC32" i="1" s="1"/>
  <c r="AC129" i="1" a="1"/>
  <c r="AC129" i="1" s="1"/>
  <c r="AC140" i="1" a="1"/>
  <c r="AC140" i="1" s="1"/>
  <c r="AC147" i="1" a="1"/>
  <c r="AC147" i="1" s="1"/>
  <c r="AC149" i="1" a="1"/>
  <c r="AC149" i="1" s="1"/>
  <c r="AC150" i="1" a="1"/>
  <c r="AC150" i="1" s="1"/>
  <c r="AC152" i="1" a="1"/>
  <c r="AC152" i="1" s="1"/>
  <c r="AC159" i="1" a="1"/>
  <c r="AC159" i="1" s="1"/>
  <c r="AC160" i="1" a="1"/>
  <c r="AC160" i="1" s="1"/>
  <c r="AC163" i="1" a="1"/>
  <c r="AC163" i="1" s="1"/>
  <c r="AC187" i="1" a="1"/>
  <c r="AC187" i="1" s="1"/>
  <c r="AC200" i="1" a="1"/>
  <c r="AC200" i="1" s="1"/>
  <c r="AC201" i="1" a="1"/>
  <c r="AC201" i="1" s="1"/>
  <c r="AC204" i="1" a="1"/>
  <c r="AC204" i="1" s="1"/>
  <c r="AC206" i="1" a="1"/>
  <c r="AC206" i="1" s="1"/>
  <c r="AC220" i="1" a="1"/>
  <c r="AC220" i="1" s="1"/>
  <c r="AC221" i="1" a="1"/>
  <c r="AC221" i="1" s="1"/>
  <c r="AC224" i="1" a="1"/>
  <c r="AC224" i="1" s="1"/>
  <c r="AC236" i="1" a="1"/>
  <c r="AC236" i="1" s="1"/>
  <c r="AC237" i="1" a="1"/>
  <c r="AC237" i="1" s="1"/>
  <c r="AC241" i="1" a="1"/>
  <c r="AC241" i="1" s="1"/>
  <c r="AC244" i="1" a="1"/>
  <c r="AC244" i="1" s="1"/>
  <c r="AC249" i="1" a="1"/>
  <c r="AC249" i="1" s="1"/>
  <c r="AC250" i="1" a="1"/>
  <c r="AC250" i="1" s="1"/>
  <c r="AC259" i="1" a="1"/>
  <c r="AC259" i="1" s="1"/>
  <c r="AC260" i="1" a="1"/>
  <c r="AC260" i="1" s="1"/>
  <c r="AC265" i="1" a="1"/>
  <c r="AC265" i="1" s="1"/>
  <c r="AC269" i="1" a="1"/>
  <c r="AC269" i="1" s="1"/>
  <c r="AC272" i="1" a="1"/>
  <c r="AC272" i="1" s="1"/>
  <c r="AC274" i="1" a="1"/>
  <c r="AC274" i="1" s="1"/>
  <c r="AC278" i="1" a="1"/>
  <c r="AC278" i="1" s="1"/>
  <c r="AC279" i="1" a="1"/>
  <c r="AC279" i="1" s="1"/>
  <c r="AC295" i="1" a="1"/>
  <c r="AC295" i="1" s="1"/>
  <c r="AC296" i="1" a="1"/>
  <c r="AC296" i="1" s="1"/>
  <c r="AC298" i="1" a="1"/>
  <c r="AC298" i="1" s="1"/>
  <c r="AC302" i="1" a="1"/>
  <c r="AC302" i="1" s="1"/>
  <c r="AC303" i="1" a="1"/>
  <c r="AC303" i="1" s="1"/>
  <c r="AC308" i="1" a="1"/>
  <c r="AC308" i="1" s="1"/>
  <c r="AC320" i="1" a="1"/>
  <c r="AC320" i="1" s="1"/>
  <c r="AC326" i="1" a="1"/>
  <c r="AC326" i="1" s="1"/>
  <c r="AC334" i="1" a="1"/>
  <c r="AC334" i="1" s="1"/>
  <c r="AC343" i="1" a="1"/>
  <c r="AC343" i="1" s="1"/>
  <c r="AC344" i="1" a="1"/>
  <c r="AC344" i="1" s="1"/>
  <c r="AC352" i="1" a="1"/>
  <c r="AC3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<sst xmlns="http://schemas.openxmlformats.org/spreadsheetml/2006/main" count="3364" uniqueCount="432">
  <si>
    <t>Experiment Name</t>
  </si>
  <si>
    <t>BARCODE_128</t>
  </si>
  <si>
    <t>BLOC</t>
  </si>
  <si>
    <t>Org Name</t>
  </si>
  <si>
    <t>Locn</t>
  </si>
  <si>
    <t>Plot</t>
  </si>
  <si>
    <t>Description1</t>
  </si>
  <si>
    <t>SPACING</t>
  </si>
  <si>
    <t>DENSITY</t>
  </si>
  <si>
    <t>VARIETY</t>
  </si>
  <si>
    <t>Treatment</t>
  </si>
  <si>
    <t>Mason Plot #</t>
  </si>
  <si>
    <t>qGIS plot number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</si>
  <si>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</si>
  <si>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</si>
  <si>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</si>
  <si>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</si>
  <si>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</si>
  <si>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</si>
  <si>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</si>
  <si>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</si>
  <si>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HAsum</t>
  </si>
  <si>
    <t>HAmean</t>
  </si>
  <si>
    <t>Weighted Adjustment(0.5)</t>
  </si>
  <si>
    <t>WeightedYield</t>
  </si>
  <si>
    <t>Comments</t>
  </si>
  <si>
    <t>Check</t>
  </si>
  <si>
    <t>Planter</t>
  </si>
  <si>
    <t>Planting Date</t>
  </si>
  <si>
    <t>Plot Area</t>
  </si>
  <si>
    <t>Actual Plants per ha</t>
  </si>
  <si>
    <t>Stand %</t>
  </si>
  <si>
    <t>Total weight</t>
  </si>
  <si>
    <t>Plot size</t>
  </si>
  <si>
    <t>Pallet</t>
  </si>
  <si>
    <t>BOX</t>
  </si>
  <si>
    <t>Row Spacing</t>
  </si>
  <si>
    <t>Density  (plants/a)</t>
  </si>
  <si>
    <t>Plot Length</t>
  </si>
  <si>
    <t>Existing Barcode</t>
  </si>
  <si>
    <t>Seed Mass</t>
  </si>
  <si>
    <t>Dry Weight</t>
  </si>
  <si>
    <t>Name 2</t>
  </si>
  <si>
    <t>Plants Selected</t>
  </si>
  <si>
    <t>Population</t>
  </si>
  <si>
    <t>Population Selections</t>
  </si>
  <si>
    <t>Seed #</t>
  </si>
  <si>
    <t>Org Name 2</t>
  </si>
  <si>
    <t>Male parent</t>
  </si>
  <si>
    <t>Female parent</t>
  </si>
  <si>
    <t>F2 reps</t>
  </si>
  <si>
    <t>24101-n</t>
  </si>
  <si>
    <t>17A4AB3390</t>
  </si>
  <si>
    <t>LODS</t>
  </si>
  <si>
    <t>30"</t>
  </si>
  <si>
    <t>Nautica</t>
  </si>
  <si>
    <t>1EB5B01FFF</t>
  </si>
  <si>
    <t>ETNA</t>
  </si>
  <si>
    <t>114965A262</t>
  </si>
  <si>
    <t>Red Rover</t>
  </si>
  <si>
    <t>1F294A5502</t>
  </si>
  <si>
    <t>22"</t>
  </si>
  <si>
    <t>black bear</t>
  </si>
  <si>
    <t>128FCE3EF1</t>
  </si>
  <si>
    <t>1BBE7A47FB</t>
  </si>
  <si>
    <t>Cayenne</t>
  </si>
  <si>
    <t>151746B5A8</t>
  </si>
  <si>
    <t>139FAB529C</t>
  </si>
  <si>
    <t>109D664FB0</t>
  </si>
  <si>
    <t>1CDBA3A339</t>
  </si>
  <si>
    <t>10E594A03A</t>
  </si>
  <si>
    <t>Redhawk</t>
  </si>
  <si>
    <t>1B388374BB</t>
  </si>
  <si>
    <t>Ronnies red</t>
  </si>
  <si>
    <t>18663BCBFE</t>
  </si>
  <si>
    <t>1A1BE75B42</t>
  </si>
  <si>
    <t>164D3540D0</t>
  </si>
  <si>
    <t>CLERK</t>
  </si>
  <si>
    <t>1AFDF9FCFC</t>
  </si>
  <si>
    <t>1EFFB4BBF3</t>
  </si>
  <si>
    <t>Apex</t>
  </si>
  <si>
    <t>1AEA6AB175</t>
  </si>
  <si>
    <t>Eclipse</t>
  </si>
  <si>
    <t>1629533B8A</t>
  </si>
  <si>
    <t>179D7709CE</t>
  </si>
  <si>
    <t>T9905</t>
  </si>
  <si>
    <t>19CD413B6F</t>
  </si>
  <si>
    <t>1.08E+65</t>
  </si>
  <si>
    <t>18D12A1076</t>
  </si>
  <si>
    <t>1EB3699B63</t>
  </si>
  <si>
    <t>17DD20C9A0</t>
  </si>
  <si>
    <t>167E0CFA3F</t>
  </si>
  <si>
    <t>13EFA08461</t>
  </si>
  <si>
    <t>184AA18C55</t>
  </si>
  <si>
    <t>108817FC5A</t>
  </si>
  <si>
    <t>Merlot</t>
  </si>
  <si>
    <t>17F17445E8</t>
  </si>
  <si>
    <t>Windbreaker</t>
  </si>
  <si>
    <t>14A4CA0F78</t>
  </si>
  <si>
    <t>Zorro</t>
  </si>
  <si>
    <t>14967C7782</t>
  </si>
  <si>
    <t>1BBE1B7C42</t>
  </si>
  <si>
    <t>1005824E2F</t>
  </si>
  <si>
    <t>1C72DABC5F</t>
  </si>
  <si>
    <t>158627AD2E</t>
  </si>
  <si>
    <t>108190DD84</t>
  </si>
  <si>
    <t>174D419533</t>
  </si>
  <si>
    <t>1BE74AADB7</t>
  </si>
  <si>
    <t>1C1CAA7A5F</t>
  </si>
  <si>
    <t>1597C0C6D6</t>
  </si>
  <si>
    <t>Red Dawn</t>
  </si>
  <si>
    <t>1CB9FA324A</t>
  </si>
  <si>
    <t>1836349E2A</t>
  </si>
  <si>
    <t>1EFD657BCD</t>
  </si>
  <si>
    <t>1846B14E28</t>
  </si>
  <si>
    <t>171E125DCE</t>
  </si>
  <si>
    <t>1B2DDA698C</t>
  </si>
  <si>
    <t>1DE0FDE558</t>
  </si>
  <si>
    <t>1143BB41EA</t>
  </si>
  <si>
    <t>1FA7816CE1</t>
  </si>
  <si>
    <t>15158A5F69</t>
  </si>
  <si>
    <t>1BEEB999A1</t>
  </si>
  <si>
    <t>1C2A16BA08</t>
  </si>
  <si>
    <t>1F019EB283</t>
  </si>
  <si>
    <t>1275B49A02</t>
  </si>
  <si>
    <t>1575F9896E</t>
  </si>
  <si>
    <t>19789DB30C</t>
  </si>
  <si>
    <t>1697EBC230</t>
  </si>
  <si>
    <t>1FCFC7D6A5</t>
  </si>
  <si>
    <t>1335921DEC</t>
  </si>
  <si>
    <t>1C8C2E820A</t>
  </si>
  <si>
    <t>1F4E4C5AF3</t>
  </si>
  <si>
    <t>1BFEDDC748</t>
  </si>
  <si>
    <t>15E9CC80F0</t>
  </si>
  <si>
    <t>1EF1E40699</t>
  </si>
  <si>
    <t>159D531A2B</t>
  </si>
  <si>
    <t>15F1103A97</t>
  </si>
  <si>
    <t>16E3AA9234</t>
  </si>
  <si>
    <t>165D4DC392</t>
  </si>
  <si>
    <t>1ED9D8003A</t>
  </si>
  <si>
    <t>15B3A956D5</t>
  </si>
  <si>
    <t>1AC1A4B836</t>
  </si>
  <si>
    <t>197BBB7845</t>
  </si>
  <si>
    <t>1CFB818B13</t>
  </si>
  <si>
    <t>1D59F1C964</t>
  </si>
  <si>
    <t>10DF836229</t>
  </si>
  <si>
    <t>1B00FCE504</t>
  </si>
  <si>
    <t>1080B6E78B</t>
  </si>
  <si>
    <t>176A73EB1D</t>
  </si>
  <si>
    <t>1BD33F1538</t>
  </si>
  <si>
    <t>1A8EC4F4D0</t>
  </si>
  <si>
    <t>1CA2619B26</t>
  </si>
  <si>
    <t>142716F39E</t>
  </si>
  <si>
    <t>1C6889CD4C</t>
  </si>
  <si>
    <t>1493D14504</t>
  </si>
  <si>
    <t>1A17AC8B9C</t>
  </si>
  <si>
    <t>161107F3EE</t>
  </si>
  <si>
    <t>1F98C2ABF6</t>
  </si>
  <si>
    <t>1FC9C898A6</t>
  </si>
  <si>
    <t>18B0FF5910</t>
  </si>
  <si>
    <t>119160E3DE</t>
  </si>
  <si>
    <t>1716A0EA9B</t>
  </si>
  <si>
    <t>19B22E8E3A</t>
  </si>
  <si>
    <t>19E2CC8138</t>
  </si>
  <si>
    <t>1EF86E95D8</t>
  </si>
  <si>
    <t>19A34A75F4</t>
  </si>
  <si>
    <t>1A09581714</t>
  </si>
  <si>
    <t>1BF894EAAD</t>
  </si>
  <si>
    <t>142BD536E6</t>
  </si>
  <si>
    <t>178A7FCC1B</t>
  </si>
  <si>
    <t>12BC26828A</t>
  </si>
  <si>
    <t>1C4B0E1D45</t>
  </si>
  <si>
    <t>1F0AE1958B</t>
  </si>
  <si>
    <t>1B69F7C04C</t>
  </si>
  <si>
    <t>15EEF1DD70</t>
  </si>
  <si>
    <t>1938526BD4</t>
  </si>
  <si>
    <t>152CB970AB</t>
  </si>
  <si>
    <t>103F624B8D</t>
  </si>
  <si>
    <t>1319C119F5</t>
  </si>
  <si>
    <t>131B9648B9</t>
  </si>
  <si>
    <t>1758056A3A</t>
  </si>
  <si>
    <t>14812201FE</t>
  </si>
  <si>
    <t>1B5F6CAFAA</t>
  </si>
  <si>
    <t>172F6E3B6E</t>
  </si>
  <si>
    <t>1FD697FBFD</t>
  </si>
  <si>
    <t>10367737DA</t>
  </si>
  <si>
    <t>1B4AF1198F</t>
  </si>
  <si>
    <t>197D5DC9C4</t>
  </si>
  <si>
    <t>1BF4944431</t>
  </si>
  <si>
    <t>1E5355C25E</t>
  </si>
  <si>
    <t>178E433348</t>
  </si>
  <si>
    <t>1ED16701A9</t>
  </si>
  <si>
    <t>1DBB1A7FEC</t>
  </si>
  <si>
    <t>137A27CF22</t>
  </si>
  <si>
    <t>1584ADAD28</t>
  </si>
  <si>
    <t>1F28AAC832</t>
  </si>
  <si>
    <t>1A8E6CC8D8</t>
  </si>
  <si>
    <t>1E8608BDB2</t>
  </si>
  <si>
    <t>1B62F0EA7F</t>
  </si>
  <si>
    <t>1875D9E138</t>
  </si>
  <si>
    <t>18E872AECC</t>
  </si>
  <si>
    <t>16EDD0D6A7</t>
  </si>
  <si>
    <t>13915D621D</t>
  </si>
  <si>
    <t>1657F218F5</t>
  </si>
  <si>
    <t>14CA912D81</t>
  </si>
  <si>
    <t>19E336647B</t>
  </si>
  <si>
    <t>16CA55D478</t>
  </si>
  <si>
    <t>178080C6F1</t>
  </si>
  <si>
    <t>1C77D7A0FB</t>
  </si>
  <si>
    <t>1D1279BF3A</t>
  </si>
  <si>
    <t>1559A17693</t>
  </si>
  <si>
    <t>113367E42B</t>
  </si>
  <si>
    <t>17F9F65A41</t>
  </si>
  <si>
    <t>135525D516</t>
  </si>
  <si>
    <t>1CB9084CD5</t>
  </si>
  <si>
    <t>1617DE1AAA</t>
  </si>
  <si>
    <t>1ABB092894</t>
  </si>
  <si>
    <t>13F7E6DCBF</t>
  </si>
  <si>
    <t>179874C9E2</t>
  </si>
  <si>
    <t>131622A06A</t>
  </si>
  <si>
    <t>10F0B9FC46</t>
  </si>
  <si>
    <t>12865E420B</t>
  </si>
  <si>
    <t>13ED8B4B49</t>
  </si>
  <si>
    <t>1F1317254C</t>
  </si>
  <si>
    <t>1EB43CFF67</t>
  </si>
  <si>
    <t>16A2B8AB04</t>
  </si>
  <si>
    <t>1D5B0E31A0</t>
  </si>
  <si>
    <t>19C0B13B77</t>
  </si>
  <si>
    <t>1743EE89CD</t>
  </si>
  <si>
    <t>1C399A622E</t>
  </si>
  <si>
    <t>1760FF63F5</t>
  </si>
  <si>
    <t>1D4E689309</t>
  </si>
  <si>
    <t>10A9092A76</t>
  </si>
  <si>
    <t>14D541DADE</t>
  </si>
  <si>
    <t>1C94E545BB</t>
  </si>
  <si>
    <t>1A2F8E059F</t>
  </si>
  <si>
    <t>13D7345BF6</t>
  </si>
  <si>
    <t>13519E0F5D</t>
  </si>
  <si>
    <t>1B93418F81</t>
  </si>
  <si>
    <t>18699C80DE</t>
  </si>
  <si>
    <t>1AFB396F00</t>
  </si>
  <si>
    <t>198A5A08B5</t>
  </si>
  <si>
    <t>1FCB05C378</t>
  </si>
  <si>
    <t>1A8D9C3D2C</t>
  </si>
  <si>
    <t>1295EA32E8</t>
  </si>
  <si>
    <t>12E1D82A3B</t>
  </si>
  <si>
    <t>16F697E982</t>
  </si>
  <si>
    <t>1DE6C77E1F</t>
  </si>
  <si>
    <t>120F0BA503</t>
  </si>
  <si>
    <t>11D718A042</t>
  </si>
  <si>
    <t>1070391AA4</t>
  </si>
  <si>
    <t>14133769EF</t>
  </si>
  <si>
    <t>1844C7FCA3</t>
  </si>
  <si>
    <t>1779F829CC</t>
  </si>
  <si>
    <t>17FD8383CA</t>
  </si>
  <si>
    <t>14D1B023D4</t>
  </si>
  <si>
    <t>13923433FD</t>
  </si>
  <si>
    <t>18448CDB9F</t>
  </si>
  <si>
    <t>18A3E17633</t>
  </si>
  <si>
    <t>1047A4D661</t>
  </si>
  <si>
    <t>17D142D80C</t>
  </si>
  <si>
    <t>1BAF74E1C8</t>
  </si>
  <si>
    <t>17C35F9EF6</t>
  </si>
  <si>
    <t>1CD6C3DBF6</t>
  </si>
  <si>
    <t>1C3156684C</t>
  </si>
  <si>
    <t>1C1CB6CE61</t>
  </si>
  <si>
    <t>10EDEF24ED</t>
  </si>
  <si>
    <t>1D82BAB71D</t>
  </si>
  <si>
    <t>150719918B</t>
  </si>
  <si>
    <t>1002DC1CCA</t>
  </si>
  <si>
    <t>101D2D89B4</t>
  </si>
  <si>
    <t>1DA96071B5</t>
  </si>
  <si>
    <t>185799D1B5</t>
  </si>
  <si>
    <t>12EF83B0EE</t>
  </si>
  <si>
    <t>15059F9B51</t>
  </si>
  <si>
    <t>1E26CF6FAC</t>
  </si>
  <si>
    <t>1621A5E489</t>
  </si>
  <si>
    <t>147179A32B</t>
  </si>
  <si>
    <t>19A4798182</t>
  </si>
  <si>
    <t>1703D43F70</t>
  </si>
  <si>
    <t>1633AA4AFF</t>
  </si>
  <si>
    <t>1DE4E0341F</t>
  </si>
  <si>
    <t>1F138CBA43</t>
  </si>
  <si>
    <t>161743762B</t>
  </si>
  <si>
    <t>128FFC5EE2</t>
  </si>
  <si>
    <t>1346BCE35D</t>
  </si>
  <si>
    <t>11AC5EA708</t>
  </si>
  <si>
    <t>11A3DEAF70</t>
  </si>
  <si>
    <t>1C8627CFE0</t>
  </si>
  <si>
    <t>1E7680FFC6</t>
  </si>
  <si>
    <t>1147AC00EA</t>
  </si>
  <si>
    <t>1AAFB87CE6</t>
  </si>
  <si>
    <t>1B8410F2B7</t>
  </si>
  <si>
    <t>1996D35627</t>
  </si>
  <si>
    <t>11F82120E3</t>
  </si>
  <si>
    <t>16C060718C</t>
  </si>
  <si>
    <t>14E6BD5F55</t>
  </si>
  <si>
    <t>1ACBA97B56</t>
  </si>
  <si>
    <t>1B1DAAE457</t>
  </si>
  <si>
    <t>19560BA2F1</t>
  </si>
  <si>
    <t>131D420CA5</t>
  </si>
  <si>
    <t>1D1564C77F</t>
  </si>
  <si>
    <t>15250B59CE</t>
  </si>
  <si>
    <t>185306E99C</t>
  </si>
  <si>
    <t>1BD891F8B8</t>
  </si>
  <si>
    <t>1E095762D9</t>
  </si>
  <si>
    <t>1F6D482069</t>
  </si>
  <si>
    <t>11FBF792FB</t>
  </si>
  <si>
    <t>1B9839AAA6</t>
  </si>
  <si>
    <t>1CDB6474C6</t>
  </si>
  <si>
    <t>1D1519F912</t>
  </si>
  <si>
    <t>15BD90DF5B</t>
  </si>
  <si>
    <t>1D32470AF7</t>
  </si>
  <si>
    <t>189A641B49</t>
  </si>
  <si>
    <t>1D4DC84C27</t>
  </si>
  <si>
    <t>179DF95BCF</t>
  </si>
  <si>
    <t>1BEE9EAA14</t>
  </si>
  <si>
    <t>108FE7B6A8</t>
  </si>
  <si>
    <t>16CA3B78BF</t>
  </si>
  <si>
    <t>1E5DB73B6E</t>
  </si>
  <si>
    <t>173155525C</t>
  </si>
  <si>
    <t>1259CDB3C1</t>
  </si>
  <si>
    <t>18DA1E9071</t>
  </si>
  <si>
    <t>1A88B14122</t>
  </si>
  <si>
    <t>10B9B24050</t>
  </si>
  <si>
    <t>1D3EE19DDE</t>
  </si>
  <si>
    <t>11CA3A8C7E</t>
  </si>
  <si>
    <t>172226D42A</t>
  </si>
  <si>
    <t>1E6C09B8E8</t>
  </si>
  <si>
    <t>199C9D9E7A</t>
  </si>
  <si>
    <t>14D1D74C4F</t>
  </si>
  <si>
    <t>11EC8AEE89</t>
  </si>
  <si>
    <t>176658E42D</t>
  </si>
  <si>
    <t>1B20C85804</t>
  </si>
  <si>
    <t>196A2A2CFF</t>
  </si>
  <si>
    <t>103B4585F5</t>
  </si>
  <si>
    <t>1183CAA820</t>
  </si>
  <si>
    <t>1AA89F614D</t>
  </si>
  <si>
    <t>1EBA4CDAE3</t>
  </si>
  <si>
    <t>1C32A3B1D2</t>
  </si>
  <si>
    <t>143255DC9E</t>
  </si>
  <si>
    <t>191BA5BC4A</t>
  </si>
  <si>
    <t>1D89C9FD69</t>
  </si>
  <si>
    <t>18429729A7</t>
  </si>
  <si>
    <t>11EC604BC5</t>
  </si>
  <si>
    <t>14314EC041</t>
  </si>
  <si>
    <t>1839F24454</t>
  </si>
  <si>
    <t>1DFD5992AB</t>
  </si>
  <si>
    <t>11B9586688</t>
  </si>
  <si>
    <t>1A28CF475A</t>
  </si>
  <si>
    <t>1A4C47E754</t>
  </si>
  <si>
    <t>1CEC5C1AED</t>
  </si>
  <si>
    <t>1CF5B62A28</t>
  </si>
  <si>
    <t>1AB9478878</t>
  </si>
  <si>
    <t>1913C5BCE2</t>
  </si>
  <si>
    <t>17B74EF533</t>
  </si>
  <si>
    <t>17ADAD86EC</t>
  </si>
  <si>
    <t>196870E465</t>
  </si>
  <si>
    <t>1B00F5B1B3</t>
  </si>
  <si>
    <t>10EDA2B6DF</t>
  </si>
  <si>
    <t>151856F93E</t>
  </si>
  <si>
    <t>1EBDA28DB6</t>
  </si>
  <si>
    <t>1D7CAA682B</t>
  </si>
  <si>
    <t>19B80CD0F0</t>
  </si>
  <si>
    <t>163BBC07EE</t>
  </si>
  <si>
    <t>190123EEC1</t>
  </si>
  <si>
    <t>1B900C80E9</t>
  </si>
  <si>
    <t>112C7B61D6</t>
  </si>
  <si>
    <t>1FDA18AEA7</t>
  </si>
  <si>
    <t>17EBFE59C1</t>
  </si>
  <si>
    <t>1BE6B8661A</t>
  </si>
  <si>
    <t>17413F4289</t>
  </si>
  <si>
    <t>116C8646E4</t>
  </si>
  <si>
    <t>18EB119CF7</t>
  </si>
  <si>
    <t>1362E33B9E</t>
  </si>
  <si>
    <t>1FFCF5480D</t>
  </si>
  <si>
    <t>1053FECB2B</t>
  </si>
  <si>
    <t>1F7EC2169B</t>
  </si>
  <si>
    <t>1F3E3C7202</t>
  </si>
  <si>
    <t>1EE98D13AE</t>
  </si>
  <si>
    <t>10C128A4AC</t>
  </si>
  <si>
    <t>162DD8AFEB</t>
  </si>
  <si>
    <t>10F8436E71</t>
  </si>
  <si>
    <t>1E5BC0F5A0</t>
  </si>
  <si>
    <t>1AA5643697</t>
  </si>
  <si>
    <t>10F0B53C07</t>
  </si>
  <si>
    <t>1E9F22FC24</t>
  </si>
  <si>
    <t>1F24AA3057</t>
  </si>
  <si>
    <t>1BD5369796</t>
  </si>
  <si>
    <t>101C8DC954</t>
  </si>
  <si>
    <t>1FD7ADB5B1</t>
  </si>
  <si>
    <t>140B25FD63</t>
  </si>
  <si>
    <t>17BCFC1D0E</t>
  </si>
  <si>
    <t>1D7076FD12</t>
  </si>
  <si>
    <t>1C8BF78179</t>
  </si>
  <si>
    <t>1C05A9DD0F</t>
  </si>
  <si>
    <t>1713FA3EEE</t>
  </si>
  <si>
    <t>179B0EBA68</t>
  </si>
  <si>
    <t>13928AF387</t>
  </si>
  <si>
    <t>1A14590FE2</t>
  </si>
  <si>
    <t>13D39C81EF</t>
  </si>
  <si>
    <t>1ECBE9100C</t>
  </si>
  <si>
    <t>13C7E686AA</t>
  </si>
  <si>
    <t>16614BF8FB</t>
  </si>
  <si>
    <t>1FE3C8DD87</t>
  </si>
  <si>
    <t>1F69EB8F23</t>
  </si>
  <si>
    <t>13438C38B0</t>
  </si>
  <si>
    <t>143B059D49</t>
  </si>
  <si>
    <t>1B94CD7BFB</t>
  </si>
  <si>
    <t>1F6ACB792D</t>
  </si>
  <si>
    <t>102E845022</t>
  </si>
  <si>
    <t>10E7A3798C</t>
  </si>
  <si>
    <t>15CE3CEFE9</t>
  </si>
  <si>
    <t>1F61015D17</t>
  </si>
  <si>
    <t>1B3C6DE8BA</t>
  </si>
  <si>
    <t>11D5A160FD</t>
  </si>
  <si>
    <t>1DD79202CD</t>
  </si>
  <si>
    <t>137C8A71EA</t>
  </si>
  <si>
    <t>1C6C69333A</t>
  </si>
  <si>
    <t>19CB41E919</t>
  </si>
  <si>
    <t>1CADF115D8</t>
  </si>
  <si>
    <t>1C5C0EAFE4</t>
  </si>
  <si>
    <t>14A75B7E58</t>
  </si>
  <si>
    <t>17BE1EC0F9</t>
  </si>
  <si>
    <t>HAmean2row</t>
  </si>
  <si>
    <t>AdjustedYield2row</t>
  </si>
  <si>
    <t>AlgoYieldSiE</t>
  </si>
  <si>
    <t>AlgoYieldSi</t>
  </si>
  <si>
    <t>AlgoYieldN</t>
  </si>
  <si>
    <t>AlgoYield</t>
  </si>
  <si>
    <t>spatialcv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</si>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</sst>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  <xf numFmtId="0" fontId="0" fillId="33" borderId="0" xfId="0" applyFill="1"/>
    <xf numFmtId="0" fontId="0" fillId="34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4" borderId="11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71B9-9265-4C93-BB8E-7E3F472DCE18}">
  <dimension ref="A1:BF362"/>
  <sheetViews>
    <sheetView tabSelected="1" zoomScale="85" zoomScaleNormal="85" workbookViewId="0">
      <selection activeCell="X11" sqref="X11"/>
    </sheetView>
  </sheetViews>
  <sheetFormatPr defaultRowHeight="15" x14ac:dyDescent="0.25"/>
  <cols>
    <col min="24" max="24" width="18.140625" style="4" customWidth="1"/>
    <col min="25" max="25" width="18.5703125" style="4" customWidth="1"/>
    <col min="26" max="26" width="18.85546875" style="4" customWidth="1"/>
    <col min="27" max="27" width="12.140625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" t="s">
        <v>424</v>
      </c>
      <c r="Y1" s="4" t="s">
        <v>425</v>
      </c>
      <c r="Z1" s="4" t="s">
        <v>430</v>
      </c>
      <c r="AA1" t="s">
        <v>23</v>
      </c>
      <c r="AB1" t="s">
        <v>24</v>
      </c>
      <c r="AC1" t="s">
        <v>426</v>
      </c>
      <c r="AD1" t="s">
        <v>427</v>
      </c>
      <c r="AE1" t="s">
        <v>428</v>
      </c>
      <c r="AF1" t="s">
        <v>429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</row>
    <row r="2" spans="1:58" x14ac:dyDescent="0.25">
      <c r="A2" t="s">
        <v>51</v>
      </c>
      <c r="B2" t="s">
        <v>52</v>
      </c>
      <c r="C2">
        <v>1</v>
      </c>
      <c r="E2" t="s">
        <v>53</v>
      </c>
      <c r="F2">
        <v>1</v>
      </c>
      <c r="H2" t="s">
        <v>54</v>
      </c>
      <c r="I2">
        <v>100000</v>
      </c>
      <c r="J2" t="s">
        <v>55</v>
      </c>
      <c r="K2">
        <v>68</v>
      </c>
      <c r="L2">
        <v>101</v>
      </c>
      <c r="M2">
        <v>1001</v>
      </c>
      <c r="N2">
        <v>1</v>
      </c>
      <c r="O2">
        <v>1</v>
      </c>
      <c r="P2">
        <v>39</v>
      </c>
      <c r="Q2">
        <v>19.8</v>
      </c>
      <c r="R2">
        <v>1772</v>
      </c>
      <c r="S2">
        <v>2280</v>
      </c>
      <c r="T2" s="1">
        <v>45497</v>
      </c>
      <c r="U2" s="1">
        <v>45536</v>
      </c>
      <c r="V2">
        <v>131707</v>
      </c>
      <c r="W2">
        <v>0.86650482200000001</v>
      </c>
      <c r="X2" s="4">
        <v>0.99893422454967695</v>
      </c>
      <c r="Y2" s="4">
        <f>S2/X2</f>
        <v>2282.4325605900949</v>
      </c>
      <c r="AA2">
        <v>0.933252411</v>
      </c>
      <c r="AB2">
        <v>2443.0689630000002</v>
      </c>
      <c r="AC2" cm="1">
        <f t="array" ref="AC2">_xlfn.IFS(W2&lt;0.6,S2,W2&gt;0.85,S2,W2,Y2)</f>
        <v>2280</v>
      </c>
      <c r="AH2">
        <v>0</v>
      </c>
      <c r="AI2">
        <v>1</v>
      </c>
    </row>
    <row r="3" spans="1:58" x14ac:dyDescent="0.25">
      <c r="A3" t="s">
        <v>51</v>
      </c>
      <c r="B3" t="s">
        <v>56</v>
      </c>
      <c r="C3">
        <v>1</v>
      </c>
      <c r="E3" t="s">
        <v>53</v>
      </c>
      <c r="F3">
        <v>30</v>
      </c>
      <c r="H3" t="s">
        <v>54</v>
      </c>
      <c r="I3">
        <v>150000</v>
      </c>
      <c r="J3" t="s">
        <v>57</v>
      </c>
      <c r="K3">
        <v>81</v>
      </c>
      <c r="L3">
        <v>102</v>
      </c>
      <c r="M3">
        <v>1002</v>
      </c>
      <c r="N3">
        <v>1</v>
      </c>
      <c r="O3">
        <v>2</v>
      </c>
      <c r="P3">
        <v>47</v>
      </c>
      <c r="Q3">
        <v>19.2</v>
      </c>
      <c r="R3">
        <v>1967</v>
      </c>
      <c r="S3">
        <v>2550</v>
      </c>
      <c r="T3" s="1">
        <v>45490</v>
      </c>
      <c r="U3" s="1">
        <v>45524</v>
      </c>
      <c r="V3">
        <v>143320</v>
      </c>
      <c r="W3">
        <v>0.94289473700000004</v>
      </c>
      <c r="X3" s="4">
        <v>0.99853953133428897</v>
      </c>
      <c r="Y3" s="4">
        <f t="shared" ref="Y3:Y66" si="0">S3/X3</f>
        <v>2553.729642123018</v>
      </c>
      <c r="AA3">
        <v>0.97144736899999995</v>
      </c>
      <c r="AB3">
        <v>2624.9492070000001</v>
      </c>
      <c r="AC3" cm="1">
        <f t="array" ref="AC3">_xlfn.IFS(W3&lt;0.6,S3,W3&gt;0.85,S3,W3,Y3)</f>
        <v>2550</v>
      </c>
      <c r="AH3">
        <v>0</v>
      </c>
      <c r="AI3">
        <v>30</v>
      </c>
    </row>
    <row r="4" spans="1:58" x14ac:dyDescent="0.25">
      <c r="A4" t="s">
        <v>51</v>
      </c>
      <c r="B4" t="s">
        <v>58</v>
      </c>
      <c r="C4">
        <v>1</v>
      </c>
      <c r="E4" t="s">
        <v>53</v>
      </c>
      <c r="F4">
        <v>31</v>
      </c>
      <c r="H4" t="s">
        <v>54</v>
      </c>
      <c r="I4">
        <v>75000</v>
      </c>
      <c r="J4" t="s">
        <v>59</v>
      </c>
      <c r="K4">
        <v>55</v>
      </c>
      <c r="L4">
        <v>103</v>
      </c>
      <c r="M4">
        <v>1003</v>
      </c>
      <c r="N4">
        <v>1</v>
      </c>
      <c r="O4">
        <v>3</v>
      </c>
      <c r="S4" t="s">
        <v>431</v>
      </c>
      <c r="T4" s="1">
        <v>45489</v>
      </c>
      <c r="U4" s="1">
        <v>45525</v>
      </c>
      <c r="V4">
        <v>149940</v>
      </c>
      <c r="W4">
        <v>0.98644087899999999</v>
      </c>
      <c r="X4" s="4">
        <v>0.99781581821291798</v>
      </c>
      <c r="Y4" s="4" t="s">
        <v>431</v>
      </c>
      <c r="AH4">
        <v>0</v>
      </c>
      <c r="AI4">
        <v>31</v>
      </c>
    </row>
    <row r="5" spans="1:58" x14ac:dyDescent="0.25">
      <c r="A5" t="s">
        <v>51</v>
      </c>
      <c r="B5" t="s">
        <v>60</v>
      </c>
      <c r="C5">
        <v>1</v>
      </c>
      <c r="E5" t="s">
        <v>53</v>
      </c>
      <c r="F5">
        <v>60</v>
      </c>
      <c r="H5" t="s">
        <v>61</v>
      </c>
      <c r="I5">
        <v>150000</v>
      </c>
      <c r="J5" t="s">
        <v>62</v>
      </c>
      <c r="K5">
        <v>32</v>
      </c>
      <c r="L5">
        <v>104</v>
      </c>
      <c r="M5">
        <v>1004</v>
      </c>
      <c r="N5">
        <v>1</v>
      </c>
      <c r="O5">
        <v>4</v>
      </c>
      <c r="Q5">
        <v>1</v>
      </c>
      <c r="S5" t="s">
        <v>431</v>
      </c>
      <c r="T5" s="1">
        <v>45494</v>
      </c>
      <c r="W5">
        <v>0</v>
      </c>
      <c r="X5" s="4">
        <v>0</v>
      </c>
      <c r="Y5" s="4" t="s">
        <v>431</v>
      </c>
      <c r="AH5">
        <v>0</v>
      </c>
      <c r="AI5">
        <v>60</v>
      </c>
    </row>
    <row r="6" spans="1:58" x14ac:dyDescent="0.25">
      <c r="A6" t="s">
        <v>51</v>
      </c>
      <c r="B6" t="s">
        <v>63</v>
      </c>
      <c r="C6">
        <v>1</v>
      </c>
      <c r="E6" t="s">
        <v>53</v>
      </c>
      <c r="F6">
        <v>61</v>
      </c>
      <c r="H6" t="s">
        <v>61</v>
      </c>
      <c r="I6">
        <v>75000</v>
      </c>
      <c r="J6" t="s">
        <v>55</v>
      </c>
      <c r="K6">
        <v>8</v>
      </c>
      <c r="L6">
        <v>105</v>
      </c>
      <c r="M6">
        <v>1005</v>
      </c>
      <c r="N6">
        <v>1</v>
      </c>
      <c r="O6">
        <v>5</v>
      </c>
      <c r="P6">
        <v>29</v>
      </c>
      <c r="Q6">
        <v>17.2</v>
      </c>
      <c r="R6">
        <v>482</v>
      </c>
      <c r="S6">
        <v>640</v>
      </c>
      <c r="T6" s="1">
        <v>45495</v>
      </c>
      <c r="U6" s="1">
        <v>45536</v>
      </c>
      <c r="V6">
        <v>112896</v>
      </c>
      <c r="W6">
        <v>0.81769437</v>
      </c>
      <c r="X6" s="4">
        <v>0.911439114391144</v>
      </c>
      <c r="Y6" s="4">
        <f t="shared" si="0"/>
        <v>702.18623481781367</v>
      </c>
      <c r="AA6">
        <v>0.87137086500000005</v>
      </c>
      <c r="AB6">
        <v>734.47486719999995</v>
      </c>
      <c r="AC6" cm="1">
        <f t="array" ref="AC6">_xlfn.IFS(W6&lt;0.6,S6,W6&gt;0.85,S6,W6,Y6)</f>
        <v>702.18623481781367</v>
      </c>
      <c r="AH6">
        <v>0</v>
      </c>
      <c r="AI6">
        <v>61</v>
      </c>
    </row>
    <row r="7" spans="1:58" x14ac:dyDescent="0.25">
      <c r="A7" t="s">
        <v>51</v>
      </c>
      <c r="B7" t="s">
        <v>64</v>
      </c>
      <c r="C7">
        <v>1</v>
      </c>
      <c r="E7" t="s">
        <v>53</v>
      </c>
      <c r="F7">
        <v>90</v>
      </c>
      <c r="H7" t="s">
        <v>61</v>
      </c>
      <c r="I7">
        <v>100000</v>
      </c>
      <c r="J7" t="s">
        <v>65</v>
      </c>
      <c r="K7">
        <v>18</v>
      </c>
      <c r="L7">
        <v>106</v>
      </c>
      <c r="M7">
        <v>1006</v>
      </c>
      <c r="N7">
        <v>1</v>
      </c>
      <c r="O7">
        <v>6</v>
      </c>
      <c r="P7">
        <v>45</v>
      </c>
      <c r="Q7">
        <v>20.3</v>
      </c>
      <c r="R7">
        <v>2006</v>
      </c>
      <c r="S7">
        <v>2565</v>
      </c>
      <c r="T7" s="1">
        <v>45495</v>
      </c>
      <c r="V7">
        <v>117763</v>
      </c>
      <c r="W7">
        <v>0.902048085</v>
      </c>
      <c r="X7" s="4">
        <v>0.97966728280961202</v>
      </c>
      <c r="Y7" s="4">
        <f t="shared" si="0"/>
        <v>2618.2358490566035</v>
      </c>
      <c r="AA7">
        <v>0.88737574100000005</v>
      </c>
      <c r="AB7">
        <v>2890.5455510000002</v>
      </c>
      <c r="AC7" cm="1">
        <f t="array" ref="AC7">_xlfn.IFS(W7&lt;0.6,S7,W7&gt;0.85,S7,W7,Y7)</f>
        <v>2565</v>
      </c>
      <c r="AH7">
        <v>0</v>
      </c>
      <c r="AI7">
        <v>90</v>
      </c>
    </row>
    <row r="8" spans="1:58" x14ac:dyDescent="0.25">
      <c r="A8" t="s">
        <v>51</v>
      </c>
      <c r="B8" t="s">
        <v>66</v>
      </c>
      <c r="C8">
        <v>2</v>
      </c>
      <c r="E8" t="s">
        <v>53</v>
      </c>
      <c r="F8">
        <v>91</v>
      </c>
      <c r="H8" t="s">
        <v>61</v>
      </c>
      <c r="I8">
        <v>75000</v>
      </c>
      <c r="J8" t="s">
        <v>59</v>
      </c>
      <c r="K8">
        <v>10</v>
      </c>
      <c r="L8">
        <v>107</v>
      </c>
      <c r="M8">
        <v>1007</v>
      </c>
      <c r="N8">
        <v>1</v>
      </c>
      <c r="O8">
        <v>7</v>
      </c>
      <c r="P8">
        <v>62</v>
      </c>
      <c r="Q8">
        <v>20</v>
      </c>
      <c r="R8">
        <v>659</v>
      </c>
      <c r="S8">
        <v>846</v>
      </c>
      <c r="T8" s="1">
        <v>45490</v>
      </c>
      <c r="U8" s="1">
        <v>45526</v>
      </c>
      <c r="V8">
        <v>100665</v>
      </c>
      <c r="W8">
        <v>0.76854334199999996</v>
      </c>
      <c r="X8" s="4">
        <v>0.99257884972170696</v>
      </c>
      <c r="Y8" s="4">
        <f t="shared" si="0"/>
        <v>852.32523364485974</v>
      </c>
      <c r="AA8">
        <v>0.831134869</v>
      </c>
      <c r="AB8">
        <v>1017.885342</v>
      </c>
      <c r="AC8" cm="1">
        <f t="array" ref="AC8">_xlfn.IFS(W8&lt;0.6,S8,W8&gt;0.85,S8,W8,Y8)</f>
        <v>852.32523364485974</v>
      </c>
      <c r="AH8">
        <v>0</v>
      </c>
      <c r="AI8">
        <v>91</v>
      </c>
    </row>
    <row r="9" spans="1:58" x14ac:dyDescent="0.25">
      <c r="A9" t="s">
        <v>51</v>
      </c>
      <c r="B9" t="s">
        <v>67</v>
      </c>
      <c r="C9">
        <v>2</v>
      </c>
      <c r="E9" t="s">
        <v>53</v>
      </c>
      <c r="F9">
        <v>120</v>
      </c>
      <c r="H9" t="s">
        <v>61</v>
      </c>
      <c r="I9">
        <v>150000</v>
      </c>
      <c r="J9" t="s">
        <v>55</v>
      </c>
      <c r="K9">
        <v>38</v>
      </c>
      <c r="L9">
        <v>108</v>
      </c>
      <c r="M9">
        <v>1008</v>
      </c>
      <c r="N9">
        <v>1</v>
      </c>
      <c r="O9">
        <v>8</v>
      </c>
      <c r="P9">
        <v>26</v>
      </c>
      <c r="Q9">
        <v>17.600000000000001</v>
      </c>
      <c r="R9">
        <v>1773</v>
      </c>
      <c r="S9">
        <v>2344</v>
      </c>
      <c r="T9" s="1">
        <v>45496</v>
      </c>
      <c r="U9" s="1">
        <v>45536</v>
      </c>
      <c r="V9">
        <v>118323</v>
      </c>
      <c r="W9">
        <v>0.92685102600000002</v>
      </c>
      <c r="X9" s="4">
        <v>0.99261992619926198</v>
      </c>
      <c r="Y9" s="4">
        <f t="shared" si="0"/>
        <v>2361.4275092936805</v>
      </c>
      <c r="AA9">
        <v>0.88922295600000001</v>
      </c>
      <c r="AB9">
        <v>2636.0093219999999</v>
      </c>
      <c r="AC9" cm="1">
        <f t="array" ref="AC9">_xlfn.IFS(W9&lt;0.6,S9,W9&gt;0.85,S9,W9,Y9)</f>
        <v>2344</v>
      </c>
      <c r="AH9">
        <v>0</v>
      </c>
      <c r="AI9">
        <v>120</v>
      </c>
    </row>
    <row r="10" spans="1:58" x14ac:dyDescent="0.25">
      <c r="A10" t="s">
        <v>51</v>
      </c>
      <c r="B10" t="s">
        <v>68</v>
      </c>
      <c r="C10">
        <v>2</v>
      </c>
      <c r="E10" t="s">
        <v>53</v>
      </c>
      <c r="F10">
        <v>121</v>
      </c>
      <c r="H10" t="s">
        <v>61</v>
      </c>
      <c r="I10">
        <v>100000</v>
      </c>
      <c r="J10" t="s">
        <v>62</v>
      </c>
      <c r="K10">
        <v>17</v>
      </c>
      <c r="L10">
        <v>109</v>
      </c>
      <c r="M10">
        <v>1009</v>
      </c>
      <c r="N10">
        <v>1</v>
      </c>
      <c r="O10">
        <v>9</v>
      </c>
      <c r="P10">
        <v>26</v>
      </c>
      <c r="Q10">
        <v>21.4</v>
      </c>
      <c r="R10">
        <v>1941</v>
      </c>
      <c r="S10">
        <v>2448</v>
      </c>
      <c r="T10" s="1">
        <v>45496</v>
      </c>
      <c r="U10" s="1">
        <v>45536</v>
      </c>
      <c r="V10">
        <v>126236</v>
      </c>
      <c r="W10">
        <v>0.89830508499999995</v>
      </c>
      <c r="X10" s="4">
        <v>0.94619666048237505</v>
      </c>
      <c r="Y10" s="4">
        <f t="shared" si="0"/>
        <v>2587.1999999999994</v>
      </c>
      <c r="AA10">
        <v>0.915247268</v>
      </c>
      <c r="AB10">
        <v>2674.6870330000002</v>
      </c>
      <c r="AC10" cm="1">
        <f t="array" ref="AC10">_xlfn.IFS(W10&lt;0.6,S10,W10&gt;0.85,S10,W10,Y10)</f>
        <v>2448</v>
      </c>
      <c r="AH10">
        <v>0</v>
      </c>
      <c r="AI10">
        <v>121</v>
      </c>
    </row>
    <row r="11" spans="1:58" x14ac:dyDescent="0.25">
      <c r="A11" t="s">
        <v>51</v>
      </c>
      <c r="B11" t="s">
        <v>69</v>
      </c>
      <c r="C11">
        <v>2</v>
      </c>
      <c r="E11" t="s">
        <v>53</v>
      </c>
      <c r="F11">
        <v>150</v>
      </c>
      <c r="H11" t="s">
        <v>54</v>
      </c>
      <c r="I11">
        <v>100000</v>
      </c>
      <c r="J11" t="s">
        <v>62</v>
      </c>
      <c r="K11">
        <v>62</v>
      </c>
      <c r="L11">
        <v>110</v>
      </c>
      <c r="M11">
        <v>1010</v>
      </c>
      <c r="N11">
        <v>1</v>
      </c>
      <c r="O11">
        <v>10</v>
      </c>
      <c r="P11">
        <v>26</v>
      </c>
      <c r="Q11">
        <v>19.399999999999999</v>
      </c>
      <c r="R11">
        <v>2252</v>
      </c>
      <c r="S11">
        <v>2913</v>
      </c>
      <c r="T11" s="1">
        <v>45495</v>
      </c>
      <c r="U11" s="1">
        <v>45535</v>
      </c>
      <c r="V11">
        <v>150764</v>
      </c>
      <c r="W11">
        <v>0.99186842099999994</v>
      </c>
      <c r="X11" s="4">
        <v>0.99621047645363803</v>
      </c>
      <c r="Y11" s="4">
        <f t="shared" si="0"/>
        <v>2924.0808733209165</v>
      </c>
      <c r="AA11">
        <v>0.99593421100000001</v>
      </c>
      <c r="AB11">
        <v>2924.891995</v>
      </c>
      <c r="AC11" cm="1">
        <f t="array" ref="AC11">_xlfn.IFS(W11&lt;0.6,S11,W11&gt;0.85,S11,W11,Y11)</f>
        <v>2913</v>
      </c>
      <c r="AH11">
        <v>0</v>
      </c>
      <c r="AI11">
        <v>150</v>
      </c>
    </row>
    <row r="12" spans="1:58" x14ac:dyDescent="0.25">
      <c r="A12" t="s">
        <v>51</v>
      </c>
      <c r="B12" s="2" t="s">
        <v>70</v>
      </c>
      <c r="C12">
        <v>2</v>
      </c>
      <c r="E12" t="s">
        <v>53</v>
      </c>
      <c r="F12">
        <v>151</v>
      </c>
      <c r="H12" t="s">
        <v>54</v>
      </c>
      <c r="I12">
        <v>75000</v>
      </c>
      <c r="J12" t="s">
        <v>71</v>
      </c>
      <c r="K12">
        <v>56</v>
      </c>
      <c r="L12">
        <v>111</v>
      </c>
      <c r="M12">
        <v>1011</v>
      </c>
      <c r="N12">
        <v>1</v>
      </c>
      <c r="O12">
        <v>11</v>
      </c>
      <c r="P12">
        <v>47</v>
      </c>
      <c r="Q12">
        <v>19.8</v>
      </c>
      <c r="R12">
        <v>307</v>
      </c>
      <c r="S12">
        <v>395</v>
      </c>
      <c r="T12" s="1">
        <v>45489</v>
      </c>
      <c r="U12" s="1">
        <v>45524</v>
      </c>
      <c r="V12">
        <v>136601</v>
      </c>
      <c r="W12">
        <v>0.89868487699999999</v>
      </c>
      <c r="X12" s="4">
        <v>0.85966343433811798</v>
      </c>
      <c r="Y12" s="4">
        <f t="shared" si="0"/>
        <v>459.48214641015056</v>
      </c>
      <c r="AA12">
        <v>0.94934243900000004</v>
      </c>
      <c r="AB12">
        <v>416.07747000000001</v>
      </c>
      <c r="AC12" cm="1">
        <f t="array" ref="AC12">_xlfn.IFS(W12&lt;0.6,S12,W12&gt;0.85,S12,W12,Y12)</f>
        <v>395</v>
      </c>
      <c r="AH12">
        <v>0</v>
      </c>
      <c r="AI12">
        <v>151</v>
      </c>
    </row>
    <row r="13" spans="1:58" x14ac:dyDescent="0.25">
      <c r="A13" t="s">
        <v>51</v>
      </c>
      <c r="B13" t="s">
        <v>72</v>
      </c>
      <c r="C13">
        <v>2</v>
      </c>
      <c r="E13" t="s">
        <v>53</v>
      </c>
      <c r="F13">
        <v>180</v>
      </c>
      <c r="H13" t="s">
        <v>54</v>
      </c>
      <c r="I13">
        <v>150000</v>
      </c>
      <c r="J13" t="s">
        <v>73</v>
      </c>
      <c r="K13">
        <v>87</v>
      </c>
      <c r="L13">
        <v>112</v>
      </c>
      <c r="M13">
        <v>1012</v>
      </c>
      <c r="N13">
        <v>1</v>
      </c>
      <c r="O13">
        <v>12</v>
      </c>
      <c r="P13">
        <v>74</v>
      </c>
      <c r="Q13">
        <v>24.2</v>
      </c>
      <c r="R13">
        <v>889</v>
      </c>
      <c r="S13">
        <v>1081</v>
      </c>
      <c r="T13" s="1">
        <v>45492</v>
      </c>
      <c r="V13">
        <v>151415</v>
      </c>
      <c r="W13">
        <v>0.99617097700000001</v>
      </c>
      <c r="X13" s="4">
        <v>0.99667105263157896</v>
      </c>
      <c r="Y13" s="4">
        <f t="shared" si="0"/>
        <v>1084.610611641385</v>
      </c>
      <c r="AA13">
        <v>0.99808548900000005</v>
      </c>
      <c r="AB13">
        <v>1083.0735569999999</v>
      </c>
      <c r="AC13" cm="1">
        <f t="array" ref="AC13">_xlfn.IFS(W13&lt;0.6,S13,W13&gt;0.85,S13,W13,Y13)</f>
        <v>1081</v>
      </c>
      <c r="AH13">
        <v>0</v>
      </c>
      <c r="AI13">
        <v>180</v>
      </c>
    </row>
    <row r="14" spans="1:58" x14ac:dyDescent="0.25">
      <c r="A14" t="s">
        <v>51</v>
      </c>
      <c r="B14" t="s">
        <v>74</v>
      </c>
      <c r="C14">
        <v>3</v>
      </c>
      <c r="E14" t="s">
        <v>53</v>
      </c>
      <c r="F14">
        <v>181</v>
      </c>
      <c r="H14" t="s">
        <v>61</v>
      </c>
      <c r="I14">
        <v>150000</v>
      </c>
      <c r="J14" t="s">
        <v>59</v>
      </c>
      <c r="K14">
        <v>40</v>
      </c>
      <c r="L14">
        <v>113</v>
      </c>
      <c r="M14">
        <v>1013</v>
      </c>
      <c r="N14">
        <v>1</v>
      </c>
      <c r="O14">
        <v>13</v>
      </c>
      <c r="P14">
        <v>60</v>
      </c>
      <c r="Q14">
        <v>20.2</v>
      </c>
      <c r="R14">
        <v>454</v>
      </c>
      <c r="S14">
        <v>581</v>
      </c>
      <c r="T14" s="1">
        <v>45490</v>
      </c>
      <c r="U14" s="1">
        <v>45525</v>
      </c>
      <c r="V14">
        <v>126862</v>
      </c>
      <c r="W14">
        <v>0.98479427500000005</v>
      </c>
      <c r="X14" s="4">
        <v>0.99446494464944601</v>
      </c>
      <c r="Y14" s="4">
        <f t="shared" si="0"/>
        <v>584.23376623376646</v>
      </c>
      <c r="AA14">
        <v>0.91730646500000002</v>
      </c>
      <c r="AB14">
        <v>633.37610949999998</v>
      </c>
      <c r="AC14" cm="1">
        <f t="array" ref="AC14">_xlfn.IFS(W14&lt;0.6,S14,W14&gt;0.85,S14,W14,Y14)</f>
        <v>581</v>
      </c>
      <c r="AH14">
        <v>0</v>
      </c>
      <c r="AI14">
        <v>181</v>
      </c>
    </row>
    <row r="15" spans="1:58" x14ac:dyDescent="0.25">
      <c r="A15" t="s">
        <v>51</v>
      </c>
      <c r="B15" t="s">
        <v>75</v>
      </c>
      <c r="C15">
        <v>3</v>
      </c>
      <c r="E15" t="s">
        <v>53</v>
      </c>
      <c r="F15">
        <v>210</v>
      </c>
      <c r="H15" t="s">
        <v>61</v>
      </c>
      <c r="I15">
        <v>75000</v>
      </c>
      <c r="J15" t="s">
        <v>55</v>
      </c>
      <c r="K15">
        <v>8</v>
      </c>
      <c r="L15">
        <v>114</v>
      </c>
      <c r="M15">
        <v>1014</v>
      </c>
      <c r="N15">
        <v>1</v>
      </c>
      <c r="O15">
        <v>14</v>
      </c>
      <c r="P15">
        <v>26</v>
      </c>
      <c r="Q15">
        <v>17.2</v>
      </c>
      <c r="R15">
        <v>1454</v>
      </c>
      <c r="S15">
        <v>1932</v>
      </c>
      <c r="T15" s="1">
        <v>45495</v>
      </c>
      <c r="U15" s="1">
        <v>45534</v>
      </c>
      <c r="V15">
        <v>123784</v>
      </c>
      <c r="W15">
        <v>0.95438282600000002</v>
      </c>
      <c r="X15" s="4">
        <v>0.98701298701298701</v>
      </c>
      <c r="Y15" s="4">
        <f t="shared" si="0"/>
        <v>1957.421052631579</v>
      </c>
      <c r="AA15">
        <v>0.90717885300000001</v>
      </c>
      <c r="AB15">
        <v>2129.6792730000002</v>
      </c>
      <c r="AC15" cm="1">
        <f t="array" ref="AC15">_xlfn.IFS(W15&lt;0.6,S15,W15&gt;0.85,S15,W15,Y15)</f>
        <v>1932</v>
      </c>
      <c r="AH15">
        <v>0</v>
      </c>
      <c r="AI15">
        <v>210</v>
      </c>
    </row>
    <row r="16" spans="1:58" x14ac:dyDescent="0.25">
      <c r="A16" t="s">
        <v>51</v>
      </c>
      <c r="B16" t="s">
        <v>76</v>
      </c>
      <c r="C16">
        <v>3</v>
      </c>
      <c r="E16" t="s">
        <v>53</v>
      </c>
      <c r="F16">
        <v>211</v>
      </c>
      <c r="H16" t="s">
        <v>61</v>
      </c>
      <c r="I16">
        <v>100000</v>
      </c>
      <c r="J16" t="s">
        <v>77</v>
      </c>
      <c r="K16">
        <v>19</v>
      </c>
      <c r="L16">
        <v>115</v>
      </c>
      <c r="M16">
        <v>1015</v>
      </c>
      <c r="N16">
        <v>1</v>
      </c>
      <c r="O16">
        <v>15</v>
      </c>
      <c r="P16">
        <v>68</v>
      </c>
      <c r="Q16">
        <v>20.6</v>
      </c>
      <c r="R16">
        <v>626</v>
      </c>
      <c r="S16">
        <v>798</v>
      </c>
      <c r="T16" s="1">
        <v>45496</v>
      </c>
      <c r="V16">
        <v>125646</v>
      </c>
      <c r="W16">
        <v>0.962566845</v>
      </c>
      <c r="X16" s="4">
        <v>0.99443413729128005</v>
      </c>
      <c r="Y16" s="4">
        <f t="shared" si="0"/>
        <v>802.46641791044783</v>
      </c>
      <c r="AA16">
        <v>0.91330921099999995</v>
      </c>
      <c r="AB16">
        <v>873.74570500000004</v>
      </c>
      <c r="AC16" cm="1">
        <f t="array" ref="AC16">_xlfn.IFS(W16&lt;0.6,S16,W16&gt;0.85,S16,W16,Y16)</f>
        <v>798</v>
      </c>
      <c r="AH16">
        <v>0</v>
      </c>
      <c r="AI16">
        <v>211</v>
      </c>
    </row>
    <row r="17" spans="1:35" x14ac:dyDescent="0.25">
      <c r="A17" t="s">
        <v>51</v>
      </c>
      <c r="B17" t="s">
        <v>78</v>
      </c>
      <c r="C17">
        <v>3</v>
      </c>
      <c r="E17" t="s">
        <v>53</v>
      </c>
      <c r="F17">
        <v>240</v>
      </c>
      <c r="H17" t="s">
        <v>54</v>
      </c>
      <c r="I17">
        <v>100000</v>
      </c>
      <c r="J17" t="s">
        <v>62</v>
      </c>
      <c r="K17">
        <v>62</v>
      </c>
      <c r="L17">
        <v>116</v>
      </c>
      <c r="M17">
        <v>1016</v>
      </c>
      <c r="N17">
        <v>1</v>
      </c>
      <c r="O17">
        <v>16</v>
      </c>
      <c r="P17">
        <v>59</v>
      </c>
      <c r="Q17">
        <v>17.5</v>
      </c>
      <c r="R17">
        <v>1837</v>
      </c>
      <c r="S17">
        <v>2432</v>
      </c>
      <c r="T17" s="1">
        <v>45496</v>
      </c>
      <c r="U17" s="1">
        <v>45534</v>
      </c>
      <c r="V17">
        <v>149894</v>
      </c>
      <c r="W17">
        <v>0.98615771299999999</v>
      </c>
      <c r="X17" s="4">
        <v>0.98875000000000002</v>
      </c>
      <c r="Y17" s="4">
        <f t="shared" si="0"/>
        <v>2459.6713021491782</v>
      </c>
      <c r="AA17">
        <v>0.99307885699999998</v>
      </c>
      <c r="AB17">
        <v>2448.9495310000002</v>
      </c>
      <c r="AC17" cm="1">
        <f t="array" ref="AC17">_xlfn.IFS(W17&lt;0.6,S17,W17&gt;0.85,S17,W17,Y17)</f>
        <v>2432</v>
      </c>
      <c r="AH17">
        <v>0</v>
      </c>
      <c r="AI17">
        <v>240</v>
      </c>
    </row>
    <row r="18" spans="1:35" x14ac:dyDescent="0.25">
      <c r="A18" t="s">
        <v>51</v>
      </c>
      <c r="B18" t="s">
        <v>79</v>
      </c>
      <c r="C18">
        <v>3</v>
      </c>
      <c r="E18" t="s">
        <v>53</v>
      </c>
      <c r="F18">
        <v>241</v>
      </c>
      <c r="H18" t="s">
        <v>54</v>
      </c>
      <c r="I18">
        <v>150000</v>
      </c>
      <c r="J18" t="s">
        <v>80</v>
      </c>
      <c r="K18">
        <v>76</v>
      </c>
      <c r="L18">
        <v>117</v>
      </c>
      <c r="M18">
        <v>1017</v>
      </c>
      <c r="N18">
        <v>1</v>
      </c>
      <c r="O18">
        <v>17</v>
      </c>
      <c r="P18">
        <v>29</v>
      </c>
      <c r="Q18">
        <v>17.8</v>
      </c>
      <c r="R18">
        <v>2002</v>
      </c>
      <c r="S18">
        <v>2641</v>
      </c>
      <c r="T18" s="1">
        <v>45491</v>
      </c>
      <c r="U18" s="1">
        <v>45536</v>
      </c>
      <c r="V18">
        <v>139791</v>
      </c>
      <c r="W18">
        <v>0.91967763199999997</v>
      </c>
      <c r="X18" s="4">
        <v>0.98480243161094205</v>
      </c>
      <c r="Y18" s="4">
        <f t="shared" si="0"/>
        <v>2681.7561728395067</v>
      </c>
      <c r="AA18">
        <v>0.95983881599999998</v>
      </c>
      <c r="AB18">
        <v>2751.5036439999999</v>
      </c>
      <c r="AC18" cm="1">
        <f t="array" ref="AC18">_xlfn.IFS(W18&lt;0.6,S18,W18&gt;0.85,S18,W18,Y18)</f>
        <v>2641</v>
      </c>
      <c r="AH18">
        <v>0</v>
      </c>
      <c r="AI18">
        <v>241</v>
      </c>
    </row>
    <row r="19" spans="1:35" x14ac:dyDescent="0.25">
      <c r="A19" t="s">
        <v>51</v>
      </c>
      <c r="B19" t="s">
        <v>81</v>
      </c>
      <c r="C19">
        <v>3</v>
      </c>
      <c r="E19" t="s">
        <v>53</v>
      </c>
      <c r="F19">
        <v>270</v>
      </c>
      <c r="H19" t="s">
        <v>54</v>
      </c>
      <c r="I19">
        <v>75000</v>
      </c>
      <c r="J19" t="s">
        <v>82</v>
      </c>
      <c r="K19">
        <v>50</v>
      </c>
      <c r="L19">
        <v>118</v>
      </c>
      <c r="M19">
        <v>1018</v>
      </c>
      <c r="N19">
        <v>1</v>
      </c>
      <c r="O19">
        <v>18</v>
      </c>
      <c r="P19">
        <v>28</v>
      </c>
      <c r="Q19">
        <v>16.5</v>
      </c>
      <c r="R19">
        <v>1392</v>
      </c>
      <c r="S19">
        <v>1865</v>
      </c>
      <c r="T19" s="1">
        <v>45498</v>
      </c>
      <c r="U19" s="1">
        <v>45525</v>
      </c>
      <c r="V19">
        <v>142536</v>
      </c>
      <c r="W19">
        <v>0.93773067300000001</v>
      </c>
      <c r="X19" s="4">
        <v>0.87278779983947197</v>
      </c>
      <c r="Y19" s="4">
        <f t="shared" si="0"/>
        <v>2136.8309689285543</v>
      </c>
      <c r="AA19">
        <v>0.96886533699999999</v>
      </c>
      <c r="AB19">
        <v>1924.932114</v>
      </c>
      <c r="AC19" cm="1">
        <f t="array" ref="AC19">_xlfn.IFS(W19&lt;0.6,S19,W19&gt;0.85,S19,W19,Y19)</f>
        <v>1865</v>
      </c>
      <c r="AH19">
        <v>0</v>
      </c>
      <c r="AI19">
        <v>270</v>
      </c>
    </row>
    <row r="20" spans="1:35" x14ac:dyDescent="0.25">
      <c r="A20" t="s">
        <v>51</v>
      </c>
      <c r="B20" t="s">
        <v>83</v>
      </c>
      <c r="C20">
        <v>4</v>
      </c>
      <c r="E20" t="s">
        <v>53</v>
      </c>
      <c r="F20">
        <v>271</v>
      </c>
      <c r="H20" t="s">
        <v>61</v>
      </c>
      <c r="I20">
        <v>75000</v>
      </c>
      <c r="J20" t="s">
        <v>73</v>
      </c>
      <c r="K20">
        <v>12</v>
      </c>
      <c r="L20">
        <v>119</v>
      </c>
      <c r="M20">
        <v>1019</v>
      </c>
      <c r="N20">
        <v>1</v>
      </c>
      <c r="O20">
        <v>19</v>
      </c>
      <c r="P20">
        <v>76</v>
      </c>
      <c r="Q20">
        <v>18</v>
      </c>
      <c r="R20">
        <v>201</v>
      </c>
      <c r="S20" t="s">
        <v>431</v>
      </c>
      <c r="T20" s="1">
        <v>45492</v>
      </c>
      <c r="V20">
        <v>118264</v>
      </c>
      <c r="W20">
        <v>0.88502673799999998</v>
      </c>
      <c r="X20" s="4">
        <v>0.92962962962963003</v>
      </c>
      <c r="Y20" s="4" t="s">
        <v>431</v>
      </c>
      <c r="AA20">
        <v>0.88902375700000003</v>
      </c>
      <c r="AB20">
        <v>296.9549442</v>
      </c>
      <c r="AC20" t="str" cm="1">
        <f t="array" ref="AC20">_xlfn.IFS(W20&lt;0.6,S20,W20&gt;0.85,S20,W20,Y20)</f>
        <v>.</v>
      </c>
      <c r="AH20">
        <v>0</v>
      </c>
      <c r="AI20">
        <v>271</v>
      </c>
    </row>
    <row r="21" spans="1:35" x14ac:dyDescent="0.25">
      <c r="A21" t="s">
        <v>51</v>
      </c>
      <c r="B21" t="s">
        <v>84</v>
      </c>
      <c r="C21">
        <v>4</v>
      </c>
      <c r="E21" t="s">
        <v>53</v>
      </c>
      <c r="F21">
        <v>300</v>
      </c>
      <c r="H21" t="s">
        <v>61</v>
      </c>
      <c r="I21">
        <v>100000</v>
      </c>
      <c r="J21" t="s">
        <v>85</v>
      </c>
      <c r="K21">
        <v>28</v>
      </c>
      <c r="L21">
        <v>120</v>
      </c>
      <c r="M21">
        <v>1020</v>
      </c>
      <c r="N21">
        <v>1</v>
      </c>
      <c r="O21">
        <v>20</v>
      </c>
      <c r="P21">
        <v>27</v>
      </c>
      <c r="Q21">
        <v>18.399999999999999</v>
      </c>
      <c r="R21">
        <v>1182</v>
      </c>
      <c r="S21">
        <v>1548</v>
      </c>
      <c r="T21" s="1">
        <v>45495</v>
      </c>
      <c r="U21" s="1">
        <v>45534</v>
      </c>
      <c r="V21">
        <v>119975</v>
      </c>
      <c r="W21">
        <v>0.92424242400000001</v>
      </c>
      <c r="X21" s="4">
        <v>0.975836431226766</v>
      </c>
      <c r="Y21" s="4">
        <f t="shared" si="0"/>
        <v>1586.3314285714282</v>
      </c>
      <c r="AA21">
        <v>0.89465979799999995</v>
      </c>
      <c r="AB21">
        <v>1730.2666369999999</v>
      </c>
      <c r="AC21" cm="1">
        <f t="array" ref="AC21">_xlfn.IFS(W21&lt;0.6,S21,W21&gt;0.85,S21,W21,Y21)</f>
        <v>1548</v>
      </c>
      <c r="AH21">
        <v>0</v>
      </c>
      <c r="AI21">
        <v>300</v>
      </c>
    </row>
    <row r="22" spans="1:35" x14ac:dyDescent="0.25">
      <c r="A22" t="s">
        <v>51</v>
      </c>
      <c r="B22" t="s">
        <v>86</v>
      </c>
      <c r="C22">
        <v>4</v>
      </c>
      <c r="E22" t="s">
        <v>53</v>
      </c>
      <c r="F22">
        <v>301</v>
      </c>
      <c r="H22" t="s">
        <v>61</v>
      </c>
      <c r="I22">
        <v>150000</v>
      </c>
      <c r="J22" t="s">
        <v>55</v>
      </c>
      <c r="K22">
        <v>38</v>
      </c>
      <c r="L22">
        <v>121</v>
      </c>
      <c r="M22">
        <v>1021</v>
      </c>
      <c r="N22">
        <v>1</v>
      </c>
      <c r="O22">
        <v>21</v>
      </c>
      <c r="P22">
        <v>26</v>
      </c>
      <c r="Q22">
        <v>18</v>
      </c>
      <c r="R22">
        <v>949</v>
      </c>
      <c r="S22">
        <v>1249</v>
      </c>
      <c r="T22" s="1">
        <v>45495</v>
      </c>
      <c r="U22" s="1">
        <v>45530</v>
      </c>
      <c r="V22">
        <v>119654</v>
      </c>
      <c r="W22">
        <v>0.92844364899999998</v>
      </c>
      <c r="X22" s="4">
        <v>0.97592592592592597</v>
      </c>
      <c r="Y22" s="4">
        <f t="shared" si="0"/>
        <v>1279.8102466793168</v>
      </c>
      <c r="AA22">
        <v>0.89359609500000003</v>
      </c>
      <c r="AB22">
        <v>1397.723207</v>
      </c>
      <c r="AC22" cm="1">
        <f t="array" ref="AC22">_xlfn.IFS(W22&lt;0.6,S22,W22&gt;0.85,S22,W22,Y22)</f>
        <v>1249</v>
      </c>
      <c r="AH22">
        <v>0</v>
      </c>
      <c r="AI22">
        <v>301</v>
      </c>
    </row>
    <row r="23" spans="1:35" x14ac:dyDescent="0.25">
      <c r="A23" t="s">
        <v>51</v>
      </c>
      <c r="B23" s="3" t="s">
        <v>87</v>
      </c>
      <c r="C23">
        <v>4</v>
      </c>
      <c r="E23" t="s">
        <v>53</v>
      </c>
      <c r="F23">
        <v>330</v>
      </c>
      <c r="H23" t="s">
        <v>54</v>
      </c>
      <c r="I23">
        <v>150000</v>
      </c>
      <c r="J23" t="s">
        <v>62</v>
      </c>
      <c r="K23">
        <v>77</v>
      </c>
      <c r="L23">
        <v>122</v>
      </c>
      <c r="M23">
        <v>1022</v>
      </c>
      <c r="N23">
        <v>1</v>
      </c>
      <c r="O23">
        <v>22</v>
      </c>
      <c r="S23" t="s">
        <v>431</v>
      </c>
      <c r="T23" s="1">
        <v>45494</v>
      </c>
      <c r="U23" s="1">
        <v>45532</v>
      </c>
      <c r="V23">
        <v>151128</v>
      </c>
      <c r="W23">
        <v>0.99426315799999998</v>
      </c>
      <c r="X23" s="4">
        <v>0.99653938261533204</v>
      </c>
      <c r="Y23" s="4" t="s">
        <v>431</v>
      </c>
      <c r="AH23">
        <v>0</v>
      </c>
      <c r="AI23">
        <v>330</v>
      </c>
    </row>
    <row r="24" spans="1:35" x14ac:dyDescent="0.25">
      <c r="A24" t="s">
        <v>51</v>
      </c>
      <c r="B24" t="s">
        <v>88</v>
      </c>
      <c r="C24">
        <v>4</v>
      </c>
      <c r="E24" t="s">
        <v>53</v>
      </c>
      <c r="F24">
        <v>331</v>
      </c>
      <c r="H24" t="s">
        <v>54</v>
      </c>
      <c r="I24">
        <v>100000</v>
      </c>
      <c r="J24" t="s">
        <v>71</v>
      </c>
      <c r="K24">
        <v>71</v>
      </c>
      <c r="L24">
        <v>123</v>
      </c>
      <c r="M24">
        <v>1023</v>
      </c>
      <c r="N24">
        <v>1</v>
      </c>
      <c r="O24">
        <v>23</v>
      </c>
      <c r="P24">
        <v>51</v>
      </c>
      <c r="Q24">
        <v>20</v>
      </c>
      <c r="R24">
        <v>69</v>
      </c>
      <c r="S24" t="s">
        <v>431</v>
      </c>
      <c r="T24" s="1">
        <v>45490</v>
      </c>
      <c r="U24" s="1">
        <v>45525</v>
      </c>
      <c r="V24">
        <v>100546</v>
      </c>
      <c r="W24">
        <v>0.66148684199999996</v>
      </c>
      <c r="X24" s="4">
        <v>0.64046052631578898</v>
      </c>
      <c r="Y24" s="4" t="s">
        <v>431</v>
      </c>
      <c r="AA24">
        <v>0.83074342099999998</v>
      </c>
      <c r="AB24">
        <v>107.132958</v>
      </c>
      <c r="AC24" t="str" cm="1">
        <f t="array" ref="AC24">_xlfn.IFS(W24&lt;0.6,S24,W24&gt;0.85,S24,W24,Y24)</f>
        <v>.</v>
      </c>
      <c r="AH24">
        <v>0</v>
      </c>
      <c r="AI24">
        <v>331</v>
      </c>
    </row>
    <row r="25" spans="1:35" x14ac:dyDescent="0.25">
      <c r="A25" t="s">
        <v>51</v>
      </c>
      <c r="B25" t="s">
        <v>89</v>
      </c>
      <c r="C25">
        <v>4</v>
      </c>
      <c r="E25" t="s">
        <v>53</v>
      </c>
      <c r="F25">
        <v>360</v>
      </c>
      <c r="H25" t="s">
        <v>54</v>
      </c>
      <c r="I25">
        <v>75000</v>
      </c>
      <c r="J25" t="s">
        <v>73</v>
      </c>
      <c r="K25">
        <v>57</v>
      </c>
      <c r="L25">
        <v>124</v>
      </c>
      <c r="M25">
        <v>1024</v>
      </c>
      <c r="N25">
        <v>1</v>
      </c>
      <c r="O25">
        <v>24</v>
      </c>
      <c r="S25" t="s">
        <v>431</v>
      </c>
      <c r="T25" s="1">
        <v>45499</v>
      </c>
      <c r="V25">
        <v>129602</v>
      </c>
      <c r="W25">
        <v>0.863431956</v>
      </c>
      <c r="X25" s="4">
        <v>0.85693609294614503</v>
      </c>
      <c r="Y25" s="4" t="s">
        <v>431</v>
      </c>
      <c r="AH25">
        <v>0</v>
      </c>
      <c r="AI25">
        <v>360</v>
      </c>
    </row>
    <row r="26" spans="1:35" x14ac:dyDescent="0.25">
      <c r="A26" t="s">
        <v>51</v>
      </c>
      <c r="B26" t="s">
        <v>90</v>
      </c>
      <c r="C26">
        <v>1</v>
      </c>
      <c r="E26" t="s">
        <v>53</v>
      </c>
      <c r="F26">
        <v>2</v>
      </c>
      <c r="H26" t="s">
        <v>54</v>
      </c>
      <c r="I26">
        <v>100000</v>
      </c>
      <c r="J26" t="s">
        <v>77</v>
      </c>
      <c r="K26">
        <v>64</v>
      </c>
      <c r="L26">
        <v>201</v>
      </c>
      <c r="M26">
        <v>2001</v>
      </c>
      <c r="N26">
        <v>2</v>
      </c>
      <c r="O26">
        <v>1</v>
      </c>
      <c r="P26">
        <v>67</v>
      </c>
      <c r="Q26">
        <v>23.8</v>
      </c>
      <c r="R26">
        <v>635</v>
      </c>
      <c r="S26">
        <v>776</v>
      </c>
      <c r="T26" s="1">
        <v>45496</v>
      </c>
      <c r="U26" s="1">
        <v>45536</v>
      </c>
      <c r="V26">
        <v>151510</v>
      </c>
      <c r="W26">
        <v>0.99678287399999999</v>
      </c>
      <c r="X26" s="4">
        <v>0.99998684175899399</v>
      </c>
      <c r="Y26" s="4">
        <f t="shared" si="0"/>
        <v>776.01021092937856</v>
      </c>
      <c r="AA26">
        <v>0.99839143699999999</v>
      </c>
      <c r="AB26">
        <v>777.25025600000004</v>
      </c>
      <c r="AC26" cm="1">
        <f t="array" ref="AC26">_xlfn.IFS(W26&lt;0.6,S26,W26&gt;0.85,S26,W26,Y26)</f>
        <v>776</v>
      </c>
      <c r="AH26">
        <v>0</v>
      </c>
      <c r="AI26">
        <v>2</v>
      </c>
    </row>
    <row r="27" spans="1:35" x14ac:dyDescent="0.25">
      <c r="A27" t="s">
        <v>51</v>
      </c>
      <c r="B27" t="s">
        <v>91</v>
      </c>
      <c r="C27">
        <v>1</v>
      </c>
      <c r="E27" t="s">
        <v>53</v>
      </c>
      <c r="F27">
        <v>29</v>
      </c>
      <c r="H27" t="s">
        <v>54</v>
      </c>
      <c r="I27">
        <v>150000</v>
      </c>
      <c r="J27" t="s">
        <v>65</v>
      </c>
      <c r="K27">
        <v>78</v>
      </c>
      <c r="L27">
        <v>202</v>
      </c>
      <c r="M27">
        <v>2002</v>
      </c>
      <c r="N27">
        <v>2</v>
      </c>
      <c r="O27">
        <v>2</v>
      </c>
      <c r="S27" t="s">
        <v>431</v>
      </c>
      <c r="T27" s="1">
        <v>45493</v>
      </c>
      <c r="U27" s="1">
        <v>45534</v>
      </c>
      <c r="V27">
        <v>149240</v>
      </c>
      <c r="W27">
        <v>0.98184210500000002</v>
      </c>
      <c r="X27" s="4">
        <v>0.996289522506283</v>
      </c>
      <c r="Y27" s="4" t="s">
        <v>431</v>
      </c>
      <c r="AH27">
        <v>0</v>
      </c>
      <c r="AI27">
        <v>29</v>
      </c>
    </row>
    <row r="28" spans="1:35" x14ac:dyDescent="0.25">
      <c r="A28" t="s">
        <v>51</v>
      </c>
      <c r="B28" t="s">
        <v>92</v>
      </c>
      <c r="C28">
        <v>1</v>
      </c>
      <c r="E28" t="s">
        <v>53</v>
      </c>
      <c r="F28">
        <v>32</v>
      </c>
      <c r="H28" t="s">
        <v>54</v>
      </c>
      <c r="I28">
        <v>75000</v>
      </c>
      <c r="J28" t="s">
        <v>85</v>
      </c>
      <c r="K28">
        <v>58</v>
      </c>
      <c r="L28">
        <v>203</v>
      </c>
      <c r="M28">
        <v>2003</v>
      </c>
      <c r="N28">
        <v>2</v>
      </c>
      <c r="O28">
        <v>3</v>
      </c>
      <c r="P28">
        <v>38</v>
      </c>
      <c r="Q28">
        <v>21</v>
      </c>
      <c r="R28">
        <v>1637</v>
      </c>
      <c r="S28">
        <v>2075</v>
      </c>
      <c r="T28" s="1">
        <v>45497</v>
      </c>
      <c r="U28" s="1">
        <v>45534</v>
      </c>
      <c r="V28">
        <v>147503</v>
      </c>
      <c r="W28">
        <v>0.97040808899999997</v>
      </c>
      <c r="X28" s="4">
        <v>0.98611842105263203</v>
      </c>
      <c r="Y28" s="4">
        <f t="shared" si="0"/>
        <v>2104.2097538194666</v>
      </c>
      <c r="AA28">
        <v>0.98520404500000003</v>
      </c>
      <c r="AB28">
        <v>2106.1626889999998</v>
      </c>
      <c r="AC28" cm="1">
        <f t="array" ref="AC28">_xlfn.IFS(W28&lt;0.6,S28,W28&gt;0.85,S28,W28,Y28)</f>
        <v>2075</v>
      </c>
      <c r="AH28">
        <v>0</v>
      </c>
      <c r="AI28">
        <v>32</v>
      </c>
    </row>
    <row r="29" spans="1:35" x14ac:dyDescent="0.25">
      <c r="A29" t="s">
        <v>51</v>
      </c>
      <c r="B29" t="s">
        <v>93</v>
      </c>
      <c r="C29">
        <v>1</v>
      </c>
      <c r="E29" t="s">
        <v>53</v>
      </c>
      <c r="F29">
        <v>59</v>
      </c>
      <c r="H29" t="s">
        <v>61</v>
      </c>
      <c r="I29">
        <v>150000</v>
      </c>
      <c r="J29" t="s">
        <v>57</v>
      </c>
      <c r="K29">
        <v>36</v>
      </c>
      <c r="L29">
        <v>204</v>
      </c>
      <c r="M29">
        <v>2004</v>
      </c>
      <c r="N29">
        <v>2</v>
      </c>
      <c r="O29">
        <v>4</v>
      </c>
      <c r="P29">
        <v>47</v>
      </c>
      <c r="Q29">
        <v>19.3</v>
      </c>
      <c r="R29">
        <v>190</v>
      </c>
      <c r="S29" t="s">
        <v>431</v>
      </c>
      <c r="T29" s="1">
        <v>45490</v>
      </c>
      <c r="U29" s="1">
        <v>45526</v>
      </c>
      <c r="V29">
        <v>86819</v>
      </c>
      <c r="W29">
        <v>0.55921638500000004</v>
      </c>
      <c r="X29" s="4">
        <v>0.367837338262477</v>
      </c>
      <c r="Y29" s="4" t="s">
        <v>431</v>
      </c>
      <c r="AA29">
        <v>0.78558881599999997</v>
      </c>
      <c r="AB29">
        <v>313.1409142</v>
      </c>
      <c r="AC29" t="str" cm="1">
        <f t="array" ref="AC29">_xlfn.IFS(W29&lt;0.6,S29,W29&gt;0.85,S29,W29,Y29)</f>
        <v>.</v>
      </c>
      <c r="AH29">
        <v>0</v>
      </c>
      <c r="AI29">
        <v>59</v>
      </c>
    </row>
    <row r="30" spans="1:35" x14ac:dyDescent="0.25">
      <c r="A30" t="s">
        <v>51</v>
      </c>
      <c r="B30" t="s">
        <v>94</v>
      </c>
      <c r="C30">
        <v>1</v>
      </c>
      <c r="E30" t="s">
        <v>53</v>
      </c>
      <c r="F30">
        <v>62</v>
      </c>
      <c r="H30" t="s">
        <v>61</v>
      </c>
      <c r="I30">
        <v>75000</v>
      </c>
      <c r="J30" t="s">
        <v>95</v>
      </c>
      <c r="K30">
        <v>7</v>
      </c>
      <c r="L30">
        <v>205</v>
      </c>
      <c r="M30">
        <v>2005</v>
      </c>
      <c r="N30">
        <v>2</v>
      </c>
      <c r="O30">
        <v>5</v>
      </c>
      <c r="P30">
        <v>40</v>
      </c>
      <c r="Q30">
        <v>20.6</v>
      </c>
      <c r="R30">
        <v>929</v>
      </c>
      <c r="S30">
        <v>1184</v>
      </c>
      <c r="T30" s="1">
        <v>45496</v>
      </c>
      <c r="U30" s="1">
        <v>45536</v>
      </c>
      <c r="V30">
        <v>100329</v>
      </c>
      <c r="W30">
        <v>0.68722073299999997</v>
      </c>
      <c r="X30" s="4">
        <v>0.76066790352504599</v>
      </c>
      <c r="Y30" s="4">
        <f t="shared" si="0"/>
        <v>1556.5268292682936</v>
      </c>
      <c r="AA30">
        <v>0.83003177699999997</v>
      </c>
      <c r="AB30">
        <v>1426.4514119999999</v>
      </c>
      <c r="AC30" cm="1">
        <f t="array" ref="AC30">_xlfn.IFS(W30&lt;0.6,S30,W30&gt;0.85,S30,W30,Y30)</f>
        <v>1556.5268292682936</v>
      </c>
      <c r="AH30">
        <v>0</v>
      </c>
      <c r="AI30">
        <v>62</v>
      </c>
    </row>
    <row r="31" spans="1:35" x14ac:dyDescent="0.25">
      <c r="A31" t="s">
        <v>51</v>
      </c>
      <c r="B31" t="s">
        <v>96</v>
      </c>
      <c r="C31">
        <v>1</v>
      </c>
      <c r="E31" t="s">
        <v>53</v>
      </c>
      <c r="F31">
        <v>89</v>
      </c>
      <c r="H31" t="s">
        <v>61</v>
      </c>
      <c r="I31">
        <v>100000</v>
      </c>
      <c r="J31" t="s">
        <v>97</v>
      </c>
      <c r="K31">
        <v>29</v>
      </c>
      <c r="L31">
        <v>206</v>
      </c>
      <c r="M31">
        <v>2006</v>
      </c>
      <c r="N31">
        <v>2</v>
      </c>
      <c r="O31">
        <v>6</v>
      </c>
      <c r="P31">
        <v>47</v>
      </c>
      <c r="Q31">
        <v>21</v>
      </c>
      <c r="R31">
        <v>1359</v>
      </c>
      <c r="S31">
        <v>1723</v>
      </c>
      <c r="T31" s="1">
        <v>45494</v>
      </c>
      <c r="U31" s="1">
        <v>45528</v>
      </c>
      <c r="V31">
        <v>125734</v>
      </c>
      <c r="W31">
        <v>0.94206773600000004</v>
      </c>
      <c r="X31" s="4">
        <v>0.98148148148148195</v>
      </c>
      <c r="Y31" s="4">
        <f t="shared" si="0"/>
        <v>1755.5094339622633</v>
      </c>
      <c r="AA31">
        <v>0.91359868399999999</v>
      </c>
      <c r="AB31">
        <v>1885.9484259999999</v>
      </c>
      <c r="AC31" cm="1">
        <f t="array" ref="AC31">_xlfn.IFS(W31&lt;0.6,S31,W31&gt;0.85,S31,W31,Y31)</f>
        <v>1723</v>
      </c>
      <c r="AH31">
        <v>0</v>
      </c>
      <c r="AI31">
        <v>89</v>
      </c>
    </row>
    <row r="32" spans="1:35" x14ac:dyDescent="0.25">
      <c r="A32" t="s">
        <v>51</v>
      </c>
      <c r="B32" t="s">
        <v>194</v>
      </c>
      <c r="C32">
        <v>2</v>
      </c>
      <c r="E32" t="s">
        <v>53</v>
      </c>
      <c r="F32">
        <v>92</v>
      </c>
      <c r="H32" t="s">
        <v>61</v>
      </c>
      <c r="I32">
        <v>75000</v>
      </c>
      <c r="J32" t="s">
        <v>99</v>
      </c>
      <c r="K32">
        <v>15</v>
      </c>
      <c r="L32">
        <v>207</v>
      </c>
      <c r="M32">
        <v>2007</v>
      </c>
      <c r="N32">
        <v>2</v>
      </c>
      <c r="O32">
        <v>7</v>
      </c>
      <c r="P32">
        <v>26</v>
      </c>
      <c r="Q32">
        <v>20.5</v>
      </c>
      <c r="R32">
        <v>1573</v>
      </c>
      <c r="S32">
        <v>2007</v>
      </c>
      <c r="T32" s="1">
        <v>45498</v>
      </c>
      <c r="U32" s="1">
        <v>45535</v>
      </c>
      <c r="V32">
        <v>101188</v>
      </c>
      <c r="W32">
        <v>0.74060822900000001</v>
      </c>
      <c r="X32" s="4">
        <v>0.84200743494423802</v>
      </c>
      <c r="Y32" s="4">
        <f t="shared" si="0"/>
        <v>2383.5894039735094</v>
      </c>
      <c r="AA32">
        <v>0.83285307399999997</v>
      </c>
      <c r="AB32">
        <v>2409.7887900000001</v>
      </c>
      <c r="AC32" cm="1">
        <f t="array" ref="AC32">_xlfn.IFS(W32&lt;0.6,S32,W32&gt;0.85,S32,W32,Y32)</f>
        <v>2383.5894039735094</v>
      </c>
      <c r="AH32">
        <v>0</v>
      </c>
      <c r="AI32">
        <v>92</v>
      </c>
    </row>
    <row r="33" spans="1:35" x14ac:dyDescent="0.25">
      <c r="A33" t="s">
        <v>51</v>
      </c>
      <c r="B33" t="s">
        <v>100</v>
      </c>
      <c r="C33">
        <v>2</v>
      </c>
      <c r="E33" t="s">
        <v>53</v>
      </c>
      <c r="F33">
        <v>119</v>
      </c>
      <c r="H33" t="s">
        <v>61</v>
      </c>
      <c r="I33">
        <v>150000</v>
      </c>
      <c r="J33" t="s">
        <v>95</v>
      </c>
      <c r="K33">
        <v>37</v>
      </c>
      <c r="L33">
        <v>208</v>
      </c>
      <c r="M33">
        <v>2008</v>
      </c>
      <c r="N33">
        <v>2</v>
      </c>
      <c r="O33">
        <v>8</v>
      </c>
      <c r="P33">
        <v>45</v>
      </c>
      <c r="Q33">
        <v>18.600000000000001</v>
      </c>
      <c r="R33">
        <v>1280</v>
      </c>
      <c r="S33">
        <v>1672</v>
      </c>
      <c r="T33" s="1">
        <v>45497</v>
      </c>
      <c r="U33" s="1">
        <v>45534</v>
      </c>
      <c r="V33">
        <v>98089</v>
      </c>
      <c r="W33">
        <v>0.69079535299999995</v>
      </c>
      <c r="X33" s="4">
        <v>0.81598513011152396</v>
      </c>
      <c r="Y33" s="4">
        <f t="shared" si="0"/>
        <v>2049.056947608201</v>
      </c>
      <c r="AA33">
        <v>0.82265906200000005</v>
      </c>
      <c r="AB33">
        <v>2032.4337</v>
      </c>
      <c r="AC33" cm="1">
        <f t="array" ref="AC33">_xlfn.IFS(W33&lt;0.6,S33,W33&gt;0.85,S33,W33,Y33)</f>
        <v>2049.056947608201</v>
      </c>
      <c r="AH33">
        <v>0</v>
      </c>
      <c r="AI33">
        <v>119</v>
      </c>
    </row>
    <row r="34" spans="1:35" x14ac:dyDescent="0.25">
      <c r="A34" t="s">
        <v>51</v>
      </c>
      <c r="B34" t="s">
        <v>101</v>
      </c>
      <c r="C34">
        <v>2</v>
      </c>
      <c r="E34" t="s">
        <v>53</v>
      </c>
      <c r="F34">
        <v>122</v>
      </c>
      <c r="H34" t="s">
        <v>61</v>
      </c>
      <c r="I34">
        <v>100000</v>
      </c>
      <c r="J34" t="s">
        <v>95</v>
      </c>
      <c r="K34">
        <v>22</v>
      </c>
      <c r="L34">
        <v>209</v>
      </c>
      <c r="M34">
        <v>2009</v>
      </c>
      <c r="N34">
        <v>2</v>
      </c>
      <c r="O34">
        <v>9</v>
      </c>
      <c r="P34">
        <v>61</v>
      </c>
      <c r="Q34">
        <v>18.600000000000001</v>
      </c>
      <c r="R34">
        <v>1334</v>
      </c>
      <c r="S34">
        <v>1742</v>
      </c>
      <c r="T34" s="1">
        <v>45494</v>
      </c>
      <c r="U34" s="1">
        <v>45534</v>
      </c>
      <c r="V34">
        <v>121060</v>
      </c>
      <c r="W34">
        <v>0.88057041000000003</v>
      </c>
      <c r="X34" s="4">
        <v>0.92791127541589602</v>
      </c>
      <c r="Y34" s="4">
        <f t="shared" si="0"/>
        <v>1877.3346613545825</v>
      </c>
      <c r="AA34">
        <v>0.89823154400000005</v>
      </c>
      <c r="AB34">
        <v>1939.3663160000001</v>
      </c>
      <c r="AC34" cm="1">
        <f t="array" ref="AC34">_xlfn.IFS(W34&lt;0.6,S34,W34&gt;0.85,S34,W34,Y34)</f>
        <v>1742</v>
      </c>
      <c r="AH34">
        <v>0</v>
      </c>
      <c r="AI34">
        <v>122</v>
      </c>
    </row>
    <row r="35" spans="1:35" x14ac:dyDescent="0.25">
      <c r="A35" t="s">
        <v>51</v>
      </c>
      <c r="B35" t="s">
        <v>102</v>
      </c>
      <c r="C35">
        <v>2</v>
      </c>
      <c r="E35" t="s">
        <v>53</v>
      </c>
      <c r="F35">
        <v>149</v>
      </c>
      <c r="H35" t="s">
        <v>54</v>
      </c>
      <c r="I35">
        <v>100000</v>
      </c>
      <c r="J35" t="s">
        <v>59</v>
      </c>
      <c r="K35">
        <v>70</v>
      </c>
      <c r="L35">
        <v>210</v>
      </c>
      <c r="M35">
        <v>2010</v>
      </c>
      <c r="N35">
        <v>2</v>
      </c>
      <c r="O35">
        <v>10</v>
      </c>
      <c r="P35">
        <v>55</v>
      </c>
      <c r="Q35">
        <v>20.3</v>
      </c>
      <c r="R35">
        <v>674</v>
      </c>
      <c r="S35">
        <v>862</v>
      </c>
      <c r="T35" s="1">
        <v>45491</v>
      </c>
      <c r="U35" s="1">
        <v>45525</v>
      </c>
      <c r="V35">
        <v>151953</v>
      </c>
      <c r="W35">
        <v>0.99967763600000004</v>
      </c>
      <c r="X35" s="4">
        <v>0.99998684210526301</v>
      </c>
      <c r="Y35" s="4">
        <f t="shared" si="0"/>
        <v>862.01134225450346</v>
      </c>
      <c r="AA35">
        <v>0.99983881799999996</v>
      </c>
      <c r="AB35">
        <v>862.13896130000001</v>
      </c>
      <c r="AC35" cm="1">
        <f t="array" ref="AC35">_xlfn.IFS(W35&lt;0.6,S35,W35&gt;0.85,S35,W35,Y35)</f>
        <v>862</v>
      </c>
      <c r="AH35">
        <v>0</v>
      </c>
      <c r="AI35">
        <v>149</v>
      </c>
    </row>
    <row r="36" spans="1:35" x14ac:dyDescent="0.25">
      <c r="A36" t="s">
        <v>51</v>
      </c>
      <c r="B36" t="s">
        <v>103</v>
      </c>
      <c r="C36">
        <v>2</v>
      </c>
      <c r="E36" t="s">
        <v>53</v>
      </c>
      <c r="F36">
        <v>152</v>
      </c>
      <c r="H36" t="s">
        <v>54</v>
      </c>
      <c r="I36">
        <v>75000</v>
      </c>
      <c r="J36" t="s">
        <v>57</v>
      </c>
      <c r="K36">
        <v>51</v>
      </c>
      <c r="L36">
        <v>211</v>
      </c>
      <c r="M36">
        <v>2011</v>
      </c>
      <c r="N36">
        <v>2</v>
      </c>
      <c r="O36">
        <v>11</v>
      </c>
      <c r="P36">
        <v>63</v>
      </c>
      <c r="Q36">
        <v>21.5</v>
      </c>
      <c r="R36">
        <v>537</v>
      </c>
      <c r="S36">
        <v>676</v>
      </c>
      <c r="T36" s="1">
        <v>45489</v>
      </c>
      <c r="U36" s="1">
        <v>45525</v>
      </c>
      <c r="V36">
        <v>143412</v>
      </c>
      <c r="W36">
        <v>0.94350000000000001</v>
      </c>
      <c r="X36" s="4">
        <v>0.97934210526315801</v>
      </c>
      <c r="Y36" s="4">
        <f t="shared" si="0"/>
        <v>690.25930404406813</v>
      </c>
      <c r="AA36">
        <v>0.97175</v>
      </c>
      <c r="AB36">
        <v>695.65217389999998</v>
      </c>
      <c r="AC36" cm="1">
        <f t="array" ref="AC36">_xlfn.IFS(W36&lt;0.6,S36,W36&gt;0.85,S36,W36,Y36)</f>
        <v>676</v>
      </c>
      <c r="AH36">
        <v>0</v>
      </c>
      <c r="AI36">
        <v>152</v>
      </c>
    </row>
    <row r="37" spans="1:35" x14ac:dyDescent="0.25">
      <c r="A37" t="s">
        <v>51</v>
      </c>
      <c r="B37" t="s">
        <v>104</v>
      </c>
      <c r="C37">
        <v>2</v>
      </c>
      <c r="E37" t="s">
        <v>53</v>
      </c>
      <c r="F37">
        <v>179</v>
      </c>
      <c r="H37" t="s">
        <v>54</v>
      </c>
      <c r="I37">
        <v>150000</v>
      </c>
      <c r="J37" t="s">
        <v>82</v>
      </c>
      <c r="K37">
        <v>80</v>
      </c>
      <c r="L37">
        <v>212</v>
      </c>
      <c r="M37">
        <v>2012</v>
      </c>
      <c r="N37">
        <v>2</v>
      </c>
      <c r="O37">
        <v>12</v>
      </c>
      <c r="P37">
        <v>43</v>
      </c>
      <c r="Q37">
        <v>17.2</v>
      </c>
      <c r="R37">
        <v>1946</v>
      </c>
      <c r="S37">
        <v>2586</v>
      </c>
      <c r="T37" s="1">
        <v>45493</v>
      </c>
      <c r="U37" s="1">
        <v>45530</v>
      </c>
      <c r="V37">
        <v>151987</v>
      </c>
      <c r="W37">
        <v>0.999914474</v>
      </c>
      <c r="X37" s="4">
        <v>1</v>
      </c>
      <c r="Y37" s="4">
        <f t="shared" si="0"/>
        <v>2586</v>
      </c>
      <c r="AA37">
        <v>0.99995723700000005</v>
      </c>
      <c r="AB37">
        <v>2586.1105899999998</v>
      </c>
      <c r="AC37" cm="1">
        <f t="array" ref="AC37">_xlfn.IFS(W37&lt;0.6,S37,W37&gt;0.85,S37,W37,Y37)</f>
        <v>2586</v>
      </c>
      <c r="AH37">
        <v>0</v>
      </c>
      <c r="AI37">
        <v>179</v>
      </c>
    </row>
    <row r="38" spans="1:35" x14ac:dyDescent="0.25">
      <c r="A38" t="s">
        <v>51</v>
      </c>
      <c r="B38" t="s">
        <v>105</v>
      </c>
      <c r="C38">
        <v>3</v>
      </c>
      <c r="E38" t="s">
        <v>53</v>
      </c>
      <c r="F38">
        <v>182</v>
      </c>
      <c r="H38" t="s">
        <v>61</v>
      </c>
      <c r="I38">
        <v>150000</v>
      </c>
      <c r="J38" t="s">
        <v>99</v>
      </c>
      <c r="K38">
        <v>45</v>
      </c>
      <c r="L38">
        <v>213</v>
      </c>
      <c r="M38">
        <v>2013</v>
      </c>
      <c r="N38">
        <v>2</v>
      </c>
      <c r="O38">
        <v>13</v>
      </c>
      <c r="P38">
        <v>40</v>
      </c>
      <c r="Q38">
        <v>19.100000000000001</v>
      </c>
      <c r="R38">
        <v>1515</v>
      </c>
      <c r="S38">
        <v>1967</v>
      </c>
      <c r="T38" s="1">
        <v>45493</v>
      </c>
      <c r="U38" s="1">
        <v>45533</v>
      </c>
      <c r="V38">
        <v>122395</v>
      </c>
      <c r="W38">
        <v>0.85062611799999999</v>
      </c>
      <c r="X38" s="4">
        <v>0.99628252788104099</v>
      </c>
      <c r="Y38" s="4">
        <f t="shared" si="0"/>
        <v>1974.3395522388057</v>
      </c>
      <c r="AA38">
        <v>0.90262042899999995</v>
      </c>
      <c r="AB38">
        <v>2179.2105929999998</v>
      </c>
      <c r="AC38" cm="1">
        <f t="array" ref="AC38">_xlfn.IFS(W38&lt;0.6,S38,W38&gt;0.85,S38,W38,Y38)</f>
        <v>1967</v>
      </c>
      <c r="AH38">
        <v>0</v>
      </c>
      <c r="AI38">
        <v>182</v>
      </c>
    </row>
    <row r="39" spans="1:35" x14ac:dyDescent="0.25">
      <c r="A39" t="s">
        <v>51</v>
      </c>
      <c r="B39" t="s">
        <v>106</v>
      </c>
      <c r="C39">
        <v>3</v>
      </c>
      <c r="E39" t="s">
        <v>53</v>
      </c>
      <c r="F39">
        <v>209</v>
      </c>
      <c r="H39" t="s">
        <v>61</v>
      </c>
      <c r="I39">
        <v>75000</v>
      </c>
      <c r="J39" t="s">
        <v>73</v>
      </c>
      <c r="K39">
        <v>12</v>
      </c>
      <c r="L39">
        <v>214</v>
      </c>
      <c r="M39">
        <v>2014</v>
      </c>
      <c r="N39">
        <v>2</v>
      </c>
      <c r="O39">
        <v>14</v>
      </c>
      <c r="P39">
        <v>76</v>
      </c>
      <c r="Q39">
        <v>20</v>
      </c>
      <c r="R39">
        <v>567</v>
      </c>
      <c r="S39">
        <v>728</v>
      </c>
      <c r="T39" s="1">
        <v>45496</v>
      </c>
      <c r="V39">
        <v>122427</v>
      </c>
      <c r="W39">
        <v>0.83750000000000002</v>
      </c>
      <c r="X39" s="4">
        <v>0.87777777777777799</v>
      </c>
      <c r="Y39" s="4">
        <f t="shared" si="0"/>
        <v>829.36708860759472</v>
      </c>
      <c r="AA39">
        <v>0.90271774599999999</v>
      </c>
      <c r="AB39">
        <v>806.45362699999998</v>
      </c>
      <c r="AC39" cm="1">
        <f t="array" ref="AC39">_xlfn.IFS(W39&lt;0.6,S39,W39&gt;0.85,S39,W39,Y39)</f>
        <v>829.36708860759472</v>
      </c>
      <c r="AH39">
        <v>0</v>
      </c>
      <c r="AI39">
        <v>209</v>
      </c>
    </row>
    <row r="40" spans="1:35" x14ac:dyDescent="0.25">
      <c r="A40" t="s">
        <v>51</v>
      </c>
      <c r="B40" t="s">
        <v>107</v>
      </c>
      <c r="C40">
        <v>3</v>
      </c>
      <c r="E40" t="s">
        <v>53</v>
      </c>
      <c r="F40">
        <v>212</v>
      </c>
      <c r="H40" t="s">
        <v>61</v>
      </c>
      <c r="I40">
        <v>100000</v>
      </c>
      <c r="J40" t="s">
        <v>55</v>
      </c>
      <c r="K40">
        <v>23</v>
      </c>
      <c r="L40">
        <v>215</v>
      </c>
      <c r="M40">
        <v>2015</v>
      </c>
      <c r="N40">
        <v>2</v>
      </c>
      <c r="O40">
        <v>15</v>
      </c>
      <c r="P40">
        <v>25</v>
      </c>
      <c r="Q40">
        <v>20.3</v>
      </c>
      <c r="R40">
        <v>1627</v>
      </c>
      <c r="S40">
        <v>2081</v>
      </c>
      <c r="T40" s="1">
        <v>45496</v>
      </c>
      <c r="U40" s="1">
        <v>45534</v>
      </c>
      <c r="V40">
        <v>107334</v>
      </c>
      <c r="W40">
        <v>0.78895814799999997</v>
      </c>
      <c r="X40" s="4">
        <v>0.96672828096118302</v>
      </c>
      <c r="Y40" s="4">
        <f t="shared" si="0"/>
        <v>2152.6214149139578</v>
      </c>
      <c r="AA40">
        <v>0.853067723</v>
      </c>
      <c r="AB40">
        <v>2439.4311769999999</v>
      </c>
      <c r="AC40" cm="1">
        <f t="array" ref="AC40">_xlfn.IFS(W40&lt;0.6,S40,W40&gt;0.85,S40,W40,Y40)</f>
        <v>2152.6214149139578</v>
      </c>
      <c r="AH40">
        <v>0</v>
      </c>
      <c r="AI40">
        <v>212</v>
      </c>
    </row>
    <row r="41" spans="1:35" x14ac:dyDescent="0.25">
      <c r="A41" t="s">
        <v>51</v>
      </c>
      <c r="B41" t="s">
        <v>108</v>
      </c>
      <c r="C41">
        <v>3</v>
      </c>
      <c r="E41" t="s">
        <v>53</v>
      </c>
      <c r="F41">
        <v>239</v>
      </c>
      <c r="H41" t="s">
        <v>54</v>
      </c>
      <c r="I41">
        <v>100000</v>
      </c>
      <c r="J41" t="s">
        <v>71</v>
      </c>
      <c r="K41">
        <v>71</v>
      </c>
      <c r="L41">
        <v>216</v>
      </c>
      <c r="M41">
        <v>2016</v>
      </c>
      <c r="N41">
        <v>2</v>
      </c>
      <c r="O41">
        <v>16</v>
      </c>
      <c r="P41">
        <v>56</v>
      </c>
      <c r="Q41">
        <v>19.3</v>
      </c>
      <c r="R41">
        <v>361</v>
      </c>
      <c r="S41">
        <v>467</v>
      </c>
      <c r="T41" s="1">
        <v>45489</v>
      </c>
      <c r="U41" s="1">
        <v>45530</v>
      </c>
      <c r="V41">
        <v>147100</v>
      </c>
      <c r="W41">
        <v>0.96778225900000003</v>
      </c>
      <c r="X41" s="4">
        <v>0.99831583379384803</v>
      </c>
      <c r="Y41" s="4">
        <f t="shared" si="0"/>
        <v>467.78783245907664</v>
      </c>
      <c r="AA41">
        <v>0.98389112999999995</v>
      </c>
      <c r="AB41">
        <v>474.64601110000001</v>
      </c>
      <c r="AC41" cm="1">
        <f t="array" ref="AC41">_xlfn.IFS(W41&lt;0.6,S41,W41&gt;0.85,S41,W41,Y41)</f>
        <v>467</v>
      </c>
      <c r="AH41">
        <v>0</v>
      </c>
      <c r="AI41">
        <v>239</v>
      </c>
    </row>
    <row r="42" spans="1:35" x14ac:dyDescent="0.25">
      <c r="A42" t="s">
        <v>51</v>
      </c>
      <c r="B42" t="s">
        <v>109</v>
      </c>
      <c r="C42">
        <v>3</v>
      </c>
      <c r="E42" t="s">
        <v>53</v>
      </c>
      <c r="F42">
        <v>242</v>
      </c>
      <c r="H42" t="s">
        <v>54</v>
      </c>
      <c r="I42">
        <v>150000</v>
      </c>
      <c r="J42" t="s">
        <v>110</v>
      </c>
      <c r="K42">
        <v>84</v>
      </c>
      <c r="L42">
        <v>217</v>
      </c>
      <c r="M42">
        <v>2017</v>
      </c>
      <c r="N42">
        <v>2</v>
      </c>
      <c r="O42">
        <v>17</v>
      </c>
      <c r="P42">
        <v>63</v>
      </c>
      <c r="Q42">
        <v>20.3</v>
      </c>
      <c r="R42">
        <v>364</v>
      </c>
      <c r="S42">
        <v>466</v>
      </c>
      <c r="T42" s="1">
        <v>45489</v>
      </c>
      <c r="U42" s="1">
        <v>45524</v>
      </c>
      <c r="V42">
        <v>151930</v>
      </c>
      <c r="W42">
        <v>0.999532898</v>
      </c>
      <c r="X42" s="4">
        <v>1</v>
      </c>
      <c r="Y42" s="4">
        <f t="shared" si="0"/>
        <v>466</v>
      </c>
      <c r="AA42">
        <v>0.999766449</v>
      </c>
      <c r="AB42">
        <v>466.10886019999998</v>
      </c>
      <c r="AC42" cm="1">
        <f t="array" ref="AC42">_xlfn.IFS(W42&lt;0.6,S42,W42&gt;0.85,S42,W42,Y42)</f>
        <v>466</v>
      </c>
      <c r="AH42">
        <v>0</v>
      </c>
      <c r="AI42">
        <v>242</v>
      </c>
    </row>
    <row r="43" spans="1:35" x14ac:dyDescent="0.25">
      <c r="A43" t="s">
        <v>51</v>
      </c>
      <c r="B43" t="s">
        <v>111</v>
      </c>
      <c r="C43">
        <v>3</v>
      </c>
      <c r="E43" t="s">
        <v>53</v>
      </c>
      <c r="F43">
        <v>269</v>
      </c>
      <c r="H43" t="s">
        <v>54</v>
      </c>
      <c r="I43">
        <v>75000</v>
      </c>
      <c r="J43" t="s">
        <v>77</v>
      </c>
      <c r="K43">
        <v>49</v>
      </c>
      <c r="L43">
        <v>218</v>
      </c>
      <c r="M43">
        <v>2018</v>
      </c>
      <c r="N43">
        <v>2</v>
      </c>
      <c r="O43">
        <v>18</v>
      </c>
      <c r="P43">
        <v>71</v>
      </c>
      <c r="Q43">
        <v>21.9</v>
      </c>
      <c r="R43">
        <v>720</v>
      </c>
      <c r="S43">
        <v>902</v>
      </c>
      <c r="T43" s="1">
        <v>45494</v>
      </c>
      <c r="U43" s="1">
        <v>45537</v>
      </c>
      <c r="V43">
        <v>142915</v>
      </c>
      <c r="W43">
        <v>0.94022407699999999</v>
      </c>
      <c r="X43" s="4">
        <v>0.91891998578928702</v>
      </c>
      <c r="Y43" s="4">
        <f t="shared" si="0"/>
        <v>981.58709566562106</v>
      </c>
      <c r="AA43">
        <v>0.97011203899999998</v>
      </c>
      <c r="AB43">
        <v>929.78951319999999</v>
      </c>
      <c r="AC43" cm="1">
        <f t="array" ref="AC43">_xlfn.IFS(W43&lt;0.6,S43,W43&gt;0.85,S43,W43,Y43)</f>
        <v>902</v>
      </c>
      <c r="AH43">
        <v>0</v>
      </c>
      <c r="AI43">
        <v>269</v>
      </c>
    </row>
    <row r="44" spans="1:35" x14ac:dyDescent="0.25">
      <c r="A44" t="s">
        <v>51</v>
      </c>
      <c r="B44" t="s">
        <v>112</v>
      </c>
      <c r="C44">
        <v>4</v>
      </c>
      <c r="E44" t="s">
        <v>53</v>
      </c>
      <c r="F44">
        <v>272</v>
      </c>
      <c r="H44" t="s">
        <v>61</v>
      </c>
      <c r="I44">
        <v>75000</v>
      </c>
      <c r="J44" t="s">
        <v>77</v>
      </c>
      <c r="K44">
        <v>4</v>
      </c>
      <c r="L44">
        <v>219</v>
      </c>
      <c r="M44">
        <v>2019</v>
      </c>
      <c r="N44">
        <v>2</v>
      </c>
      <c r="O44">
        <v>19</v>
      </c>
      <c r="P44">
        <v>70</v>
      </c>
      <c r="Q44">
        <v>20.7</v>
      </c>
      <c r="R44">
        <v>639</v>
      </c>
      <c r="S44">
        <v>813</v>
      </c>
      <c r="T44" s="1">
        <v>45493</v>
      </c>
      <c r="V44">
        <v>124607</v>
      </c>
      <c r="W44">
        <v>0.897413024</v>
      </c>
      <c r="X44" s="4">
        <v>0.96481481481481501</v>
      </c>
      <c r="Y44" s="4">
        <f t="shared" si="0"/>
        <v>842.64875239923208</v>
      </c>
      <c r="AA44">
        <v>0.909888751</v>
      </c>
      <c r="AB44">
        <v>893.51582770000005</v>
      </c>
      <c r="AC44" cm="1">
        <f t="array" ref="AC44">_xlfn.IFS(W44&lt;0.6,S44,W44&gt;0.85,S44,W44,Y44)</f>
        <v>813</v>
      </c>
      <c r="AH44">
        <v>0</v>
      </c>
      <c r="AI44">
        <v>272</v>
      </c>
    </row>
    <row r="45" spans="1:35" x14ac:dyDescent="0.25">
      <c r="A45" t="s">
        <v>51</v>
      </c>
      <c r="B45" t="s">
        <v>113</v>
      </c>
      <c r="C45">
        <v>4</v>
      </c>
      <c r="E45" t="s">
        <v>53</v>
      </c>
      <c r="F45">
        <v>299</v>
      </c>
      <c r="H45" t="s">
        <v>61</v>
      </c>
      <c r="I45">
        <v>100000</v>
      </c>
      <c r="J45" t="s">
        <v>95</v>
      </c>
      <c r="K45">
        <v>22</v>
      </c>
      <c r="L45">
        <v>220</v>
      </c>
      <c r="M45">
        <v>2020</v>
      </c>
      <c r="N45">
        <v>2</v>
      </c>
      <c r="O45">
        <v>20</v>
      </c>
      <c r="P45">
        <v>44</v>
      </c>
      <c r="Q45">
        <v>18.2</v>
      </c>
      <c r="R45">
        <v>873</v>
      </c>
      <c r="S45">
        <v>1146</v>
      </c>
      <c r="T45" s="1">
        <v>45497</v>
      </c>
      <c r="U45" s="1">
        <v>45531</v>
      </c>
      <c r="V45">
        <v>119679</v>
      </c>
      <c r="W45">
        <v>0.84772929699999999</v>
      </c>
      <c r="X45" s="4">
        <v>0.88354898336414001</v>
      </c>
      <c r="Y45" s="4">
        <f t="shared" si="0"/>
        <v>1297.0418410041848</v>
      </c>
      <c r="AA45">
        <v>0.89368610100000001</v>
      </c>
      <c r="AB45">
        <v>1282.3294430000001</v>
      </c>
      <c r="AC45" cm="1">
        <f t="array" ref="AC45">_xlfn.IFS(W45&lt;0.6,S45,W45&gt;0.85,S45,W45,Y45)</f>
        <v>1297.0418410041848</v>
      </c>
      <c r="AH45">
        <v>0</v>
      </c>
      <c r="AI45">
        <v>299</v>
      </c>
    </row>
    <row r="46" spans="1:35" x14ac:dyDescent="0.25">
      <c r="A46" t="s">
        <v>51</v>
      </c>
      <c r="B46" t="s">
        <v>114</v>
      </c>
      <c r="C46">
        <v>4</v>
      </c>
      <c r="E46" t="s">
        <v>53</v>
      </c>
      <c r="F46">
        <v>302</v>
      </c>
      <c r="H46" t="s">
        <v>61</v>
      </c>
      <c r="I46">
        <v>150000</v>
      </c>
      <c r="J46" t="s">
        <v>73</v>
      </c>
      <c r="K46">
        <v>42</v>
      </c>
      <c r="L46">
        <v>221</v>
      </c>
      <c r="M46">
        <v>2021</v>
      </c>
      <c r="N46">
        <v>2</v>
      </c>
      <c r="O46">
        <v>21</v>
      </c>
      <c r="P46">
        <v>69</v>
      </c>
      <c r="Q46">
        <v>20</v>
      </c>
      <c r="R46">
        <v>252</v>
      </c>
      <c r="S46" t="s">
        <v>431</v>
      </c>
      <c r="T46" s="1">
        <v>45498</v>
      </c>
      <c r="U46" s="1">
        <v>45537</v>
      </c>
      <c r="V46">
        <v>127166</v>
      </c>
      <c r="W46">
        <v>0.93917710200000004</v>
      </c>
      <c r="X46" s="4">
        <v>0.99628252788104099</v>
      </c>
      <c r="Y46" s="4" t="s">
        <v>431</v>
      </c>
      <c r="AA46">
        <v>0.91831196299999995</v>
      </c>
      <c r="AB46">
        <v>351.7323232</v>
      </c>
      <c r="AC46" t="str" cm="1">
        <f t="array" ref="AC46">_xlfn.IFS(W46&lt;0.6,S46,W46&gt;0.85,S46,W46,Y46)</f>
        <v>.</v>
      </c>
      <c r="AH46">
        <v>0</v>
      </c>
      <c r="AI46">
        <v>302</v>
      </c>
    </row>
    <row r="47" spans="1:35" x14ac:dyDescent="0.25">
      <c r="A47" t="s">
        <v>51</v>
      </c>
      <c r="B47" t="s">
        <v>115</v>
      </c>
      <c r="C47">
        <v>4</v>
      </c>
      <c r="E47" t="s">
        <v>53</v>
      </c>
      <c r="F47">
        <v>329</v>
      </c>
      <c r="H47" t="s">
        <v>54</v>
      </c>
      <c r="I47">
        <v>150000</v>
      </c>
      <c r="J47" t="s">
        <v>85</v>
      </c>
      <c r="K47">
        <v>88</v>
      </c>
      <c r="L47">
        <v>222</v>
      </c>
      <c r="M47">
        <v>2022</v>
      </c>
      <c r="N47">
        <v>2</v>
      </c>
      <c r="O47">
        <v>22</v>
      </c>
      <c r="P47">
        <v>28</v>
      </c>
      <c r="Q47">
        <v>19.2</v>
      </c>
      <c r="R47">
        <v>602</v>
      </c>
      <c r="S47">
        <v>781</v>
      </c>
      <c r="T47" s="1">
        <v>45495</v>
      </c>
      <c r="U47" s="1">
        <v>45534</v>
      </c>
      <c r="V47">
        <v>149940</v>
      </c>
      <c r="W47">
        <v>0.98644087899999999</v>
      </c>
      <c r="X47" s="4">
        <v>0.99821050276977297</v>
      </c>
      <c r="Y47" s="4">
        <f t="shared" si="0"/>
        <v>782.40010281692025</v>
      </c>
      <c r="AA47">
        <v>0.99322043999999998</v>
      </c>
      <c r="AB47">
        <v>786.33097840000005</v>
      </c>
      <c r="AC47" cm="1">
        <f t="array" ref="AC47">_xlfn.IFS(W47&lt;0.6,S47,W47&gt;0.85,S47,W47,Y47)</f>
        <v>781</v>
      </c>
      <c r="AH47">
        <v>0</v>
      </c>
      <c r="AI47">
        <v>329</v>
      </c>
    </row>
    <row r="48" spans="1:35" x14ac:dyDescent="0.25">
      <c r="A48" t="s">
        <v>51</v>
      </c>
      <c r="B48" t="s">
        <v>116</v>
      </c>
      <c r="C48">
        <v>4</v>
      </c>
      <c r="E48" t="s">
        <v>53</v>
      </c>
      <c r="F48">
        <v>332</v>
      </c>
      <c r="H48" t="s">
        <v>54</v>
      </c>
      <c r="I48">
        <v>100000</v>
      </c>
      <c r="J48" t="s">
        <v>73</v>
      </c>
      <c r="K48">
        <v>72</v>
      </c>
      <c r="L48">
        <v>223</v>
      </c>
      <c r="M48">
        <v>2023</v>
      </c>
      <c r="N48">
        <v>2</v>
      </c>
      <c r="O48">
        <v>23</v>
      </c>
      <c r="S48" t="s">
        <v>431</v>
      </c>
      <c r="T48" s="1">
        <v>45498</v>
      </c>
      <c r="U48" s="1">
        <v>45535</v>
      </c>
      <c r="V48">
        <v>149719</v>
      </c>
      <c r="W48">
        <v>0.98499342099999998</v>
      </c>
      <c r="X48" s="4">
        <v>0.98373684210526302</v>
      </c>
      <c r="Y48" s="4" t="s">
        <v>431</v>
      </c>
      <c r="AH48">
        <v>0</v>
      </c>
      <c r="AI48">
        <v>332</v>
      </c>
    </row>
    <row r="49" spans="1:35" x14ac:dyDescent="0.25">
      <c r="A49" t="s">
        <v>51</v>
      </c>
      <c r="B49" t="s">
        <v>117</v>
      </c>
      <c r="C49">
        <v>4</v>
      </c>
      <c r="E49" t="s">
        <v>53</v>
      </c>
      <c r="F49">
        <v>359</v>
      </c>
      <c r="H49" t="s">
        <v>54</v>
      </c>
      <c r="I49">
        <v>75000</v>
      </c>
      <c r="J49" t="s">
        <v>82</v>
      </c>
      <c r="K49">
        <v>50</v>
      </c>
      <c r="L49">
        <v>224</v>
      </c>
      <c r="M49">
        <v>2024</v>
      </c>
      <c r="N49">
        <v>2</v>
      </c>
      <c r="O49">
        <v>24</v>
      </c>
      <c r="P49">
        <v>0</v>
      </c>
      <c r="Q49">
        <v>21.4</v>
      </c>
      <c r="R49">
        <v>224</v>
      </c>
      <c r="S49" t="s">
        <v>431</v>
      </c>
      <c r="T49" s="1">
        <v>45501</v>
      </c>
      <c r="U49" s="1">
        <v>45526</v>
      </c>
      <c r="V49">
        <v>151780</v>
      </c>
      <c r="W49">
        <v>0.99855920099999995</v>
      </c>
      <c r="X49" s="4">
        <v>0.99807892209107996</v>
      </c>
      <c r="Y49" s="4" t="s">
        <v>431</v>
      </c>
      <c r="AA49">
        <v>0.99927960100000002</v>
      </c>
      <c r="AB49">
        <v>283.20402000000001</v>
      </c>
      <c r="AC49" t="str" cm="1">
        <f t="array" ref="AC49">_xlfn.IFS(W49&lt;0.6,S49,W49&gt;0.85,S49,W49,Y49)</f>
        <v>.</v>
      </c>
      <c r="AH49">
        <v>0</v>
      </c>
      <c r="AI49">
        <v>359</v>
      </c>
    </row>
    <row r="50" spans="1:35" x14ac:dyDescent="0.25">
      <c r="A50" t="s">
        <v>51</v>
      </c>
      <c r="B50" t="s">
        <v>118</v>
      </c>
      <c r="C50">
        <v>1</v>
      </c>
      <c r="E50" t="s">
        <v>53</v>
      </c>
      <c r="F50">
        <v>3</v>
      </c>
      <c r="H50" t="s">
        <v>54</v>
      </c>
      <c r="I50">
        <v>100000</v>
      </c>
      <c r="J50" t="s">
        <v>97</v>
      </c>
      <c r="K50">
        <v>74</v>
      </c>
      <c r="L50">
        <v>301</v>
      </c>
      <c r="M50">
        <v>3001</v>
      </c>
      <c r="N50">
        <v>3</v>
      </c>
      <c r="O50">
        <v>1</v>
      </c>
      <c r="P50">
        <v>42</v>
      </c>
      <c r="Q50">
        <v>21.2</v>
      </c>
      <c r="R50">
        <v>1586</v>
      </c>
      <c r="S50">
        <v>2005</v>
      </c>
      <c r="T50" s="1">
        <v>45494</v>
      </c>
      <c r="U50" s="1">
        <v>45527</v>
      </c>
      <c r="V50">
        <v>151855</v>
      </c>
      <c r="W50">
        <v>0.99903947999999998</v>
      </c>
      <c r="X50" s="4">
        <v>0.99974999671048304</v>
      </c>
      <c r="Y50" s="4">
        <f t="shared" si="0"/>
        <v>2005.5013819426165</v>
      </c>
      <c r="AA50">
        <v>0.99951973999999999</v>
      </c>
      <c r="AB50">
        <v>2005.9633839999999</v>
      </c>
      <c r="AC50" cm="1">
        <f t="array" ref="AC50">_xlfn.IFS(W50&lt;0.6,S50,W50&gt;0.85,S50,W50,Y50)</f>
        <v>2005</v>
      </c>
      <c r="AH50">
        <v>0</v>
      </c>
      <c r="AI50">
        <v>3</v>
      </c>
    </row>
    <row r="51" spans="1:35" x14ac:dyDescent="0.25">
      <c r="A51" t="s">
        <v>51</v>
      </c>
      <c r="B51" t="s">
        <v>119</v>
      </c>
      <c r="C51">
        <v>1</v>
      </c>
      <c r="E51" t="s">
        <v>53</v>
      </c>
      <c r="F51">
        <v>28</v>
      </c>
      <c r="H51" t="s">
        <v>54</v>
      </c>
      <c r="I51">
        <v>150000</v>
      </c>
      <c r="J51" t="s">
        <v>99</v>
      </c>
      <c r="K51">
        <v>90</v>
      </c>
      <c r="L51">
        <v>302</v>
      </c>
      <c r="M51">
        <v>3002</v>
      </c>
      <c r="N51">
        <v>3</v>
      </c>
      <c r="O51">
        <v>2</v>
      </c>
      <c r="P51">
        <v>25</v>
      </c>
      <c r="Q51">
        <v>19.399999999999999</v>
      </c>
      <c r="R51">
        <v>2071</v>
      </c>
      <c r="S51">
        <v>2678</v>
      </c>
      <c r="T51" s="1">
        <v>45495</v>
      </c>
      <c r="U51" s="1">
        <v>45530</v>
      </c>
      <c r="V51">
        <v>148840</v>
      </c>
      <c r="W51">
        <v>0.97921052600000003</v>
      </c>
      <c r="X51" s="4">
        <v>0.99760535768324898</v>
      </c>
      <c r="Y51" s="4">
        <f t="shared" si="0"/>
        <v>2684.4282454728909</v>
      </c>
      <c r="AA51">
        <v>0.98960526299999996</v>
      </c>
      <c r="AB51">
        <v>2706.129504</v>
      </c>
      <c r="AC51" cm="1">
        <f t="array" ref="AC51">_xlfn.IFS(W51&lt;0.6,S51,W51&gt;0.85,S51,W51,Y51)</f>
        <v>2678</v>
      </c>
      <c r="AH51">
        <v>0</v>
      </c>
      <c r="AI51">
        <v>28</v>
      </c>
    </row>
    <row r="52" spans="1:35" x14ac:dyDescent="0.25">
      <c r="A52" t="s">
        <v>51</v>
      </c>
      <c r="B52" t="s">
        <v>120</v>
      </c>
      <c r="C52">
        <v>1</v>
      </c>
      <c r="E52" t="s">
        <v>53</v>
      </c>
      <c r="F52">
        <v>33</v>
      </c>
      <c r="H52" t="s">
        <v>54</v>
      </c>
      <c r="I52">
        <v>75000</v>
      </c>
      <c r="J52" t="s">
        <v>62</v>
      </c>
      <c r="K52">
        <v>47</v>
      </c>
      <c r="L52">
        <v>303</v>
      </c>
      <c r="M52">
        <v>3003</v>
      </c>
      <c r="N52">
        <v>3</v>
      </c>
      <c r="O52">
        <v>3</v>
      </c>
      <c r="P52">
        <v>26</v>
      </c>
      <c r="Q52">
        <v>21.7</v>
      </c>
      <c r="R52">
        <v>1836</v>
      </c>
      <c r="S52">
        <v>2307</v>
      </c>
      <c r="T52" s="1">
        <v>45496</v>
      </c>
      <c r="U52" s="1">
        <v>45535</v>
      </c>
      <c r="V52">
        <v>134790</v>
      </c>
      <c r="W52">
        <v>0.88678215000000005</v>
      </c>
      <c r="X52" s="4">
        <v>0.94146129656188704</v>
      </c>
      <c r="Y52" s="4">
        <f t="shared" si="0"/>
        <v>2450.4459274373889</v>
      </c>
      <c r="AA52">
        <v>0.94339107499999997</v>
      </c>
      <c r="AB52">
        <v>2445.4333529999999</v>
      </c>
      <c r="AC52" cm="1">
        <f t="array" ref="AC52">_xlfn.IFS(W52&lt;0.6,S52,W52&gt;0.85,S52,W52,Y52)</f>
        <v>2307</v>
      </c>
      <c r="AH52">
        <v>0</v>
      </c>
      <c r="AI52">
        <v>33</v>
      </c>
    </row>
    <row r="53" spans="1:35" x14ac:dyDescent="0.25">
      <c r="A53" t="s">
        <v>51</v>
      </c>
      <c r="B53" t="s">
        <v>121</v>
      </c>
      <c r="C53">
        <v>1</v>
      </c>
      <c r="E53" t="s">
        <v>53</v>
      </c>
      <c r="F53">
        <v>58</v>
      </c>
      <c r="H53" t="s">
        <v>61</v>
      </c>
      <c r="I53">
        <v>150000</v>
      </c>
      <c r="J53" t="s">
        <v>80</v>
      </c>
      <c r="K53">
        <v>31</v>
      </c>
      <c r="L53">
        <v>304</v>
      </c>
      <c r="M53">
        <v>3004</v>
      </c>
      <c r="N53">
        <v>3</v>
      </c>
      <c r="O53">
        <v>4</v>
      </c>
      <c r="P53">
        <v>28</v>
      </c>
      <c r="Q53">
        <v>20.5</v>
      </c>
      <c r="R53">
        <v>1623</v>
      </c>
      <c r="S53">
        <v>2070</v>
      </c>
      <c r="T53" s="1">
        <v>45495</v>
      </c>
      <c r="U53" s="1">
        <v>45536</v>
      </c>
      <c r="V53">
        <v>124963</v>
      </c>
      <c r="W53">
        <v>0.91978609600000005</v>
      </c>
      <c r="X53" s="4">
        <v>0.987060998151571</v>
      </c>
      <c r="Y53" s="4">
        <f t="shared" si="0"/>
        <v>2097.1348314606744</v>
      </c>
      <c r="AA53">
        <v>0.91105979599999998</v>
      </c>
      <c r="AB53">
        <v>2272.0791880000002</v>
      </c>
      <c r="AC53" cm="1">
        <f t="array" ref="AC53">_xlfn.IFS(W53&lt;0.6,S53,W53&gt;0.85,S53,W53,Y53)</f>
        <v>2070</v>
      </c>
      <c r="AH53">
        <v>0</v>
      </c>
      <c r="AI53">
        <v>58</v>
      </c>
    </row>
    <row r="54" spans="1:35" x14ac:dyDescent="0.25">
      <c r="A54" t="s">
        <v>51</v>
      </c>
      <c r="B54" t="s">
        <v>122</v>
      </c>
      <c r="C54">
        <v>1</v>
      </c>
      <c r="E54" t="s">
        <v>53</v>
      </c>
      <c r="F54">
        <v>63</v>
      </c>
      <c r="H54" t="s">
        <v>61</v>
      </c>
      <c r="I54">
        <v>75000</v>
      </c>
      <c r="J54" t="s">
        <v>80</v>
      </c>
      <c r="K54">
        <v>1</v>
      </c>
      <c r="L54">
        <v>305</v>
      </c>
      <c r="M54">
        <v>3005</v>
      </c>
      <c r="N54">
        <v>3</v>
      </c>
      <c r="O54">
        <v>5</v>
      </c>
      <c r="P54">
        <v>28</v>
      </c>
      <c r="Q54">
        <v>22.8</v>
      </c>
      <c r="R54">
        <v>1518</v>
      </c>
      <c r="S54">
        <v>1880</v>
      </c>
      <c r="T54" s="1">
        <v>45497</v>
      </c>
      <c r="V54">
        <v>123989</v>
      </c>
      <c r="W54">
        <v>0.96693476300000003</v>
      </c>
      <c r="X54" s="4">
        <v>0.96481481481481501</v>
      </c>
      <c r="Y54" s="4">
        <f t="shared" si="0"/>
        <v>1948.5604606525908</v>
      </c>
      <c r="AA54">
        <v>0.90785855299999996</v>
      </c>
      <c r="AB54">
        <v>2070.80717</v>
      </c>
      <c r="AC54" cm="1">
        <f t="array" ref="AC54">_xlfn.IFS(W54&lt;0.6,S54,W54&gt;0.85,S54,W54,Y54)</f>
        <v>1880</v>
      </c>
      <c r="AH54">
        <v>0</v>
      </c>
      <c r="AI54">
        <v>63</v>
      </c>
    </row>
    <row r="55" spans="1:35" x14ac:dyDescent="0.25">
      <c r="A55" t="s">
        <v>51</v>
      </c>
      <c r="B55" t="s">
        <v>123</v>
      </c>
      <c r="C55">
        <v>1</v>
      </c>
      <c r="E55" t="s">
        <v>53</v>
      </c>
      <c r="F55">
        <v>88</v>
      </c>
      <c r="H55" t="s">
        <v>61</v>
      </c>
      <c r="I55">
        <v>100000</v>
      </c>
      <c r="J55" t="s">
        <v>99</v>
      </c>
      <c r="K55">
        <v>30</v>
      </c>
      <c r="L55">
        <v>306</v>
      </c>
      <c r="M55">
        <v>3006</v>
      </c>
      <c r="N55">
        <v>3</v>
      </c>
      <c r="O55">
        <v>6</v>
      </c>
      <c r="P55">
        <v>25</v>
      </c>
      <c r="Q55">
        <v>20.8</v>
      </c>
      <c r="R55">
        <v>1322</v>
      </c>
      <c r="S55">
        <v>1680</v>
      </c>
      <c r="T55" s="1">
        <v>45495</v>
      </c>
      <c r="U55" s="1">
        <v>45530</v>
      </c>
      <c r="V55">
        <v>115942</v>
      </c>
      <c r="W55">
        <v>0.91347011600000005</v>
      </c>
      <c r="X55" s="4">
        <v>0.94795539033457299</v>
      </c>
      <c r="Y55" s="4">
        <f t="shared" si="0"/>
        <v>1772.2352941176462</v>
      </c>
      <c r="AA55">
        <v>0.881393176</v>
      </c>
      <c r="AB55">
        <v>1906.0733</v>
      </c>
      <c r="AC55" cm="1">
        <f t="array" ref="AC55">_xlfn.IFS(W55&lt;0.6,S55,W55&gt;0.85,S55,W55,Y55)</f>
        <v>1680</v>
      </c>
      <c r="AH55">
        <v>0</v>
      </c>
      <c r="AI55">
        <v>88</v>
      </c>
    </row>
    <row r="56" spans="1:35" x14ac:dyDescent="0.25">
      <c r="A56" t="s">
        <v>51</v>
      </c>
      <c r="B56" t="s">
        <v>124</v>
      </c>
      <c r="C56">
        <v>2</v>
      </c>
      <c r="E56" t="s">
        <v>53</v>
      </c>
      <c r="F56">
        <v>93</v>
      </c>
      <c r="H56" t="s">
        <v>61</v>
      </c>
      <c r="I56">
        <v>75000</v>
      </c>
      <c r="J56" t="s">
        <v>57</v>
      </c>
      <c r="K56">
        <v>6</v>
      </c>
      <c r="L56">
        <v>307</v>
      </c>
      <c r="M56">
        <v>3007</v>
      </c>
      <c r="N56">
        <v>3</v>
      </c>
      <c r="O56">
        <v>7</v>
      </c>
      <c r="P56">
        <v>59</v>
      </c>
      <c r="Q56">
        <v>18.899999999999999</v>
      </c>
      <c r="R56">
        <v>678</v>
      </c>
      <c r="S56">
        <v>882</v>
      </c>
      <c r="T56" s="1">
        <v>45492</v>
      </c>
      <c r="U56" s="1">
        <v>45527</v>
      </c>
      <c r="V56">
        <v>109193</v>
      </c>
      <c r="W56">
        <v>0.81071428599999995</v>
      </c>
      <c r="X56" s="4">
        <v>0.97407407407407398</v>
      </c>
      <c r="Y56" s="4">
        <f t="shared" si="0"/>
        <v>905.47528517110277</v>
      </c>
      <c r="AA56">
        <v>0.85918749999999999</v>
      </c>
      <c r="AB56">
        <v>1026.551248</v>
      </c>
      <c r="AC56" cm="1">
        <f t="array" ref="AC56">_xlfn.IFS(W56&lt;0.6,S56,W56&gt;0.85,S56,W56,Y56)</f>
        <v>905.47528517110277</v>
      </c>
      <c r="AH56">
        <v>0</v>
      </c>
      <c r="AI56">
        <v>93</v>
      </c>
    </row>
    <row r="57" spans="1:35" x14ac:dyDescent="0.25">
      <c r="A57" t="s">
        <v>51</v>
      </c>
      <c r="B57" t="s">
        <v>125</v>
      </c>
      <c r="C57">
        <v>2</v>
      </c>
      <c r="E57" t="s">
        <v>53</v>
      </c>
      <c r="F57">
        <v>118</v>
      </c>
      <c r="H57" t="s">
        <v>61</v>
      </c>
      <c r="I57">
        <v>150000</v>
      </c>
      <c r="J57" t="s">
        <v>73</v>
      </c>
      <c r="K57">
        <v>42</v>
      </c>
      <c r="L57">
        <v>308</v>
      </c>
      <c r="M57">
        <v>3008</v>
      </c>
      <c r="N57">
        <v>3</v>
      </c>
      <c r="O57">
        <v>8</v>
      </c>
      <c r="P57">
        <v>76</v>
      </c>
      <c r="Q57">
        <v>21.8</v>
      </c>
      <c r="R57">
        <v>790</v>
      </c>
      <c r="S57">
        <v>991</v>
      </c>
      <c r="T57" s="1">
        <v>45496</v>
      </c>
      <c r="U57" s="1">
        <v>45537</v>
      </c>
      <c r="V57">
        <v>113688</v>
      </c>
      <c r="W57">
        <v>0.85841495999999995</v>
      </c>
      <c r="X57" s="4">
        <v>1</v>
      </c>
      <c r="Y57" s="4">
        <f t="shared" si="0"/>
        <v>991</v>
      </c>
      <c r="AA57">
        <v>0.87396876400000001</v>
      </c>
      <c r="AB57">
        <v>1133.9078019999999</v>
      </c>
      <c r="AC57" cm="1">
        <f t="array" ref="AC57">_xlfn.IFS(W57&lt;0.6,S57,W57&gt;0.85,S57,W57,Y57)</f>
        <v>991</v>
      </c>
      <c r="AH57">
        <v>0</v>
      </c>
      <c r="AI57">
        <v>118</v>
      </c>
    </row>
    <row r="58" spans="1:35" x14ac:dyDescent="0.25">
      <c r="A58" t="s">
        <v>51</v>
      </c>
      <c r="B58" t="s">
        <v>126</v>
      </c>
      <c r="C58">
        <v>2</v>
      </c>
      <c r="E58" t="s">
        <v>53</v>
      </c>
      <c r="F58">
        <v>123</v>
      </c>
      <c r="H58" t="s">
        <v>61</v>
      </c>
      <c r="I58">
        <v>100000</v>
      </c>
      <c r="J58" t="s">
        <v>77</v>
      </c>
      <c r="K58">
        <v>19</v>
      </c>
      <c r="L58">
        <v>309</v>
      </c>
      <c r="M58">
        <v>3009</v>
      </c>
      <c r="N58">
        <v>3</v>
      </c>
      <c r="O58">
        <v>9</v>
      </c>
      <c r="P58">
        <v>67</v>
      </c>
      <c r="Q58">
        <v>20</v>
      </c>
      <c r="R58">
        <v>696</v>
      </c>
      <c r="S58">
        <v>893</v>
      </c>
      <c r="T58" s="1">
        <v>45496</v>
      </c>
      <c r="U58" s="1">
        <v>45537</v>
      </c>
      <c r="V58">
        <v>128183</v>
      </c>
      <c r="W58">
        <v>0.97853309499999996</v>
      </c>
      <c r="X58" s="4">
        <v>0.99259259259259303</v>
      </c>
      <c r="Y58" s="4">
        <f t="shared" si="0"/>
        <v>899.66417910447717</v>
      </c>
      <c r="AA58">
        <v>0.92165183100000003</v>
      </c>
      <c r="AB58">
        <v>968.91252199999997</v>
      </c>
      <c r="AC58" cm="1">
        <f t="array" ref="AC58">_xlfn.IFS(W58&lt;0.6,S58,W58&gt;0.85,S58,W58,Y58)</f>
        <v>893</v>
      </c>
      <c r="AH58">
        <v>0</v>
      </c>
      <c r="AI58">
        <v>123</v>
      </c>
    </row>
    <row r="59" spans="1:35" x14ac:dyDescent="0.25">
      <c r="A59" t="s">
        <v>51</v>
      </c>
      <c r="B59" t="s">
        <v>127</v>
      </c>
      <c r="C59">
        <v>2</v>
      </c>
      <c r="E59" t="s">
        <v>53</v>
      </c>
      <c r="F59">
        <v>148</v>
      </c>
      <c r="H59" t="s">
        <v>54</v>
      </c>
      <c r="I59">
        <v>100000</v>
      </c>
      <c r="J59" t="s">
        <v>85</v>
      </c>
      <c r="K59">
        <v>73</v>
      </c>
      <c r="L59">
        <v>310</v>
      </c>
      <c r="M59">
        <v>3010</v>
      </c>
      <c r="N59">
        <v>3</v>
      </c>
      <c r="O59">
        <v>10</v>
      </c>
      <c r="P59">
        <v>26</v>
      </c>
      <c r="Q59">
        <v>20.3</v>
      </c>
      <c r="R59">
        <v>1889</v>
      </c>
      <c r="S59">
        <v>2416</v>
      </c>
      <c r="T59" s="1">
        <v>45495</v>
      </c>
      <c r="U59" s="1">
        <v>45534</v>
      </c>
      <c r="V59">
        <v>148816</v>
      </c>
      <c r="W59">
        <v>0.97907195499999999</v>
      </c>
      <c r="X59" s="4">
        <v>0.97699939472091402</v>
      </c>
      <c r="Y59" s="4">
        <f t="shared" si="0"/>
        <v>2472.8776835016829</v>
      </c>
      <c r="AA59">
        <v>0.98953597800000004</v>
      </c>
      <c r="AB59">
        <v>2441.5484179999999</v>
      </c>
      <c r="AC59" cm="1">
        <f t="array" ref="AC59">_xlfn.IFS(W59&lt;0.6,S59,W59&gt;0.85,S59,W59,Y59)</f>
        <v>2416</v>
      </c>
      <c r="AH59">
        <v>0</v>
      </c>
      <c r="AI59">
        <v>148</v>
      </c>
    </row>
    <row r="60" spans="1:35" x14ac:dyDescent="0.25">
      <c r="A60" t="s">
        <v>51</v>
      </c>
      <c r="B60" t="s">
        <v>128</v>
      </c>
      <c r="C60">
        <v>2</v>
      </c>
      <c r="E60" t="s">
        <v>53</v>
      </c>
      <c r="F60">
        <v>153</v>
      </c>
      <c r="H60" t="s">
        <v>54</v>
      </c>
      <c r="I60">
        <v>75000</v>
      </c>
      <c r="J60" t="s">
        <v>55</v>
      </c>
      <c r="K60">
        <v>53</v>
      </c>
      <c r="L60">
        <v>311</v>
      </c>
      <c r="M60">
        <v>3011</v>
      </c>
      <c r="N60">
        <v>3</v>
      </c>
      <c r="O60">
        <v>11</v>
      </c>
      <c r="P60">
        <v>24</v>
      </c>
      <c r="Q60">
        <v>19.899999999999999</v>
      </c>
      <c r="R60">
        <v>1686</v>
      </c>
      <c r="S60">
        <v>2167</v>
      </c>
      <c r="T60" s="1">
        <v>45497</v>
      </c>
      <c r="U60" s="1">
        <v>45534</v>
      </c>
      <c r="V60">
        <v>146210</v>
      </c>
      <c r="W60">
        <v>0.96190156599999999</v>
      </c>
      <c r="X60" s="4">
        <v>0.90632771483835295</v>
      </c>
      <c r="Y60" s="4">
        <f t="shared" si="0"/>
        <v>2390.967378048781</v>
      </c>
      <c r="AA60">
        <v>0.98095078300000005</v>
      </c>
      <c r="AB60">
        <v>2209.0812679999999</v>
      </c>
      <c r="AC60" cm="1">
        <f t="array" ref="AC60">_xlfn.IFS(W60&lt;0.6,S60,W60&gt;0.85,S60,W60,Y60)</f>
        <v>2167</v>
      </c>
      <c r="AH60">
        <v>0</v>
      </c>
      <c r="AI60">
        <v>153</v>
      </c>
    </row>
    <row r="61" spans="1:35" x14ac:dyDescent="0.25">
      <c r="A61" t="s">
        <v>51</v>
      </c>
      <c r="B61" t="s">
        <v>129</v>
      </c>
      <c r="C61">
        <v>2</v>
      </c>
      <c r="E61" t="s">
        <v>53</v>
      </c>
      <c r="F61">
        <v>178</v>
      </c>
      <c r="H61" t="s">
        <v>54</v>
      </c>
      <c r="I61">
        <v>150000</v>
      </c>
      <c r="J61" t="s">
        <v>97</v>
      </c>
      <c r="K61">
        <v>89</v>
      </c>
      <c r="L61">
        <v>312</v>
      </c>
      <c r="M61">
        <v>3012</v>
      </c>
      <c r="N61">
        <v>3</v>
      </c>
      <c r="O61">
        <v>12</v>
      </c>
      <c r="P61">
        <v>42</v>
      </c>
      <c r="Q61">
        <v>19.2</v>
      </c>
      <c r="R61">
        <v>1618</v>
      </c>
      <c r="S61">
        <v>2098</v>
      </c>
      <c r="T61" s="1">
        <v>45492</v>
      </c>
      <c r="U61" s="1">
        <v>45526</v>
      </c>
      <c r="V61">
        <v>150232</v>
      </c>
      <c r="W61">
        <v>0.988368421</v>
      </c>
      <c r="X61" s="4">
        <v>0.999</v>
      </c>
      <c r="Y61" s="4">
        <f t="shared" si="0"/>
        <v>2100.1001001001</v>
      </c>
      <c r="AA61">
        <v>0.99418421099999998</v>
      </c>
      <c r="AB61">
        <v>2110.272903</v>
      </c>
      <c r="AC61" cm="1">
        <f t="array" ref="AC61">_xlfn.IFS(W61&lt;0.6,S61,W61&gt;0.85,S61,W61,Y61)</f>
        <v>2098</v>
      </c>
      <c r="AH61">
        <v>0</v>
      </c>
      <c r="AI61">
        <v>178</v>
      </c>
    </row>
    <row r="62" spans="1:35" x14ac:dyDescent="0.25">
      <c r="A62" t="s">
        <v>51</v>
      </c>
      <c r="B62" t="s">
        <v>130</v>
      </c>
      <c r="C62">
        <v>3</v>
      </c>
      <c r="E62" t="s">
        <v>53</v>
      </c>
      <c r="F62">
        <v>183</v>
      </c>
      <c r="H62" t="s">
        <v>61</v>
      </c>
      <c r="I62">
        <v>150000</v>
      </c>
      <c r="J62" t="s">
        <v>80</v>
      </c>
      <c r="K62">
        <v>31</v>
      </c>
      <c r="L62">
        <v>313</v>
      </c>
      <c r="M62">
        <v>3013</v>
      </c>
      <c r="N62">
        <v>3</v>
      </c>
      <c r="O62">
        <v>13</v>
      </c>
      <c r="P62">
        <v>28</v>
      </c>
      <c r="Q62">
        <v>20</v>
      </c>
      <c r="R62">
        <v>2126</v>
      </c>
      <c r="S62">
        <v>2729</v>
      </c>
      <c r="T62" s="1">
        <v>45494</v>
      </c>
      <c r="U62" s="1">
        <v>45536</v>
      </c>
      <c r="V62">
        <v>125482</v>
      </c>
      <c r="W62">
        <v>0.89562890299999998</v>
      </c>
      <c r="X62" s="4">
        <v>1</v>
      </c>
      <c r="Y62" s="4">
        <f t="shared" si="0"/>
        <v>2729</v>
      </c>
      <c r="AA62">
        <v>0.91276430600000003</v>
      </c>
      <c r="AB62">
        <v>2989.8189309999998</v>
      </c>
      <c r="AC62" cm="1">
        <f t="array" ref="AC62">_xlfn.IFS(W62&lt;0.6,S62,W62&gt;0.85,S62,W62,Y62)</f>
        <v>2729</v>
      </c>
      <c r="AH62">
        <v>0</v>
      </c>
      <c r="AI62">
        <v>183</v>
      </c>
    </row>
    <row r="63" spans="1:35" x14ac:dyDescent="0.25">
      <c r="A63" t="s">
        <v>51</v>
      </c>
      <c r="B63" t="s">
        <v>131</v>
      </c>
      <c r="C63">
        <v>3</v>
      </c>
      <c r="E63" t="s">
        <v>53</v>
      </c>
      <c r="F63">
        <v>208</v>
      </c>
      <c r="H63" t="s">
        <v>61</v>
      </c>
      <c r="I63">
        <v>75000</v>
      </c>
      <c r="J63" t="s">
        <v>97</v>
      </c>
      <c r="K63">
        <v>14</v>
      </c>
      <c r="L63">
        <v>314</v>
      </c>
      <c r="M63">
        <v>3014</v>
      </c>
      <c r="N63">
        <v>3</v>
      </c>
      <c r="O63">
        <v>14</v>
      </c>
      <c r="P63">
        <v>45</v>
      </c>
      <c r="Q63">
        <v>18.399999999999999</v>
      </c>
      <c r="R63">
        <v>925</v>
      </c>
      <c r="S63">
        <v>1211</v>
      </c>
      <c r="T63" s="1">
        <v>45493</v>
      </c>
      <c r="U63" s="1">
        <v>45525</v>
      </c>
      <c r="V63">
        <v>115221</v>
      </c>
      <c r="W63">
        <v>0.79982126899999995</v>
      </c>
      <c r="X63" s="4">
        <v>0.91094619666048204</v>
      </c>
      <c r="Y63" s="4">
        <f t="shared" si="0"/>
        <v>1329.3869653767827</v>
      </c>
      <c r="AA63">
        <v>0.87902143499999996</v>
      </c>
      <c r="AB63">
        <v>1377.6683390000001</v>
      </c>
      <c r="AC63" cm="1">
        <f t="array" ref="AC63">_xlfn.IFS(W63&lt;0.6,S63,W63&gt;0.85,S63,W63,Y63)</f>
        <v>1329.3869653767827</v>
      </c>
      <c r="AH63">
        <v>0</v>
      </c>
      <c r="AI63">
        <v>208</v>
      </c>
    </row>
    <row r="64" spans="1:35" x14ac:dyDescent="0.25">
      <c r="A64" t="s">
        <v>51</v>
      </c>
      <c r="B64" t="s">
        <v>132</v>
      </c>
      <c r="C64">
        <v>3</v>
      </c>
      <c r="E64" t="s">
        <v>53</v>
      </c>
      <c r="F64">
        <v>213</v>
      </c>
      <c r="H64" t="s">
        <v>61</v>
      </c>
      <c r="I64">
        <v>100000</v>
      </c>
      <c r="J64" t="s">
        <v>59</v>
      </c>
      <c r="K64">
        <v>25</v>
      </c>
      <c r="L64">
        <v>315</v>
      </c>
      <c r="M64">
        <v>3015</v>
      </c>
      <c r="N64">
        <v>3</v>
      </c>
      <c r="O64">
        <v>15</v>
      </c>
      <c r="P64">
        <v>62</v>
      </c>
      <c r="Q64">
        <v>20.9</v>
      </c>
      <c r="R64">
        <v>647</v>
      </c>
      <c r="S64">
        <v>821</v>
      </c>
      <c r="T64" s="1">
        <v>45491</v>
      </c>
      <c r="U64" s="1">
        <v>45528</v>
      </c>
      <c r="V64">
        <v>130185</v>
      </c>
      <c r="W64">
        <v>0.95539696699999999</v>
      </c>
      <c r="X64" s="4">
        <v>0.99629629629629601</v>
      </c>
      <c r="Y64" s="4">
        <f t="shared" si="0"/>
        <v>824.0520446096657</v>
      </c>
      <c r="AA64">
        <v>0.928240132</v>
      </c>
      <c r="AB64">
        <v>884.46940840000002</v>
      </c>
      <c r="AC64" cm="1">
        <f t="array" ref="AC64">_xlfn.IFS(W64&lt;0.6,S64,W64&gt;0.85,S64,W64,Y64)</f>
        <v>821</v>
      </c>
      <c r="AH64">
        <v>0</v>
      </c>
      <c r="AI64">
        <v>213</v>
      </c>
    </row>
    <row r="65" spans="1:35" x14ac:dyDescent="0.25">
      <c r="A65" t="s">
        <v>51</v>
      </c>
      <c r="B65" t="s">
        <v>133</v>
      </c>
      <c r="C65">
        <v>3</v>
      </c>
      <c r="E65" t="s">
        <v>53</v>
      </c>
      <c r="F65">
        <v>238</v>
      </c>
      <c r="H65" t="s">
        <v>54</v>
      </c>
      <c r="I65">
        <v>100000</v>
      </c>
      <c r="J65" t="s">
        <v>65</v>
      </c>
      <c r="K65">
        <v>63</v>
      </c>
      <c r="L65">
        <v>316</v>
      </c>
      <c r="M65">
        <v>3016</v>
      </c>
      <c r="N65">
        <v>3</v>
      </c>
      <c r="O65">
        <v>16</v>
      </c>
      <c r="P65">
        <v>56</v>
      </c>
      <c r="Q65">
        <v>17.899999999999999</v>
      </c>
      <c r="R65">
        <v>1310</v>
      </c>
      <c r="S65">
        <v>1726</v>
      </c>
      <c r="T65" s="1">
        <v>45499</v>
      </c>
      <c r="U65" s="1">
        <v>45534</v>
      </c>
      <c r="V65">
        <v>142226</v>
      </c>
      <c r="W65">
        <v>0.93569121300000002</v>
      </c>
      <c r="X65" s="4">
        <v>0.97363088502328998</v>
      </c>
      <c r="Y65" s="4">
        <f t="shared" si="0"/>
        <v>1772.7457361407683</v>
      </c>
      <c r="AA65">
        <v>0.967845607</v>
      </c>
      <c r="AB65">
        <v>1783.34229</v>
      </c>
      <c r="AC65" cm="1">
        <f t="array" ref="AC65">_xlfn.IFS(W65&lt;0.6,S65,W65&gt;0.85,S65,W65,Y65)</f>
        <v>1726</v>
      </c>
      <c r="AH65">
        <v>0</v>
      </c>
      <c r="AI65">
        <v>238</v>
      </c>
    </row>
    <row r="66" spans="1:35" x14ac:dyDescent="0.25">
      <c r="A66" t="s">
        <v>51</v>
      </c>
      <c r="B66" t="s">
        <v>134</v>
      </c>
      <c r="C66">
        <v>3</v>
      </c>
      <c r="E66" t="s">
        <v>53</v>
      </c>
      <c r="F66">
        <v>243</v>
      </c>
      <c r="H66" t="s">
        <v>54</v>
      </c>
      <c r="I66">
        <v>150000</v>
      </c>
      <c r="J66" t="s">
        <v>55</v>
      </c>
      <c r="K66">
        <v>83</v>
      </c>
      <c r="L66">
        <v>317</v>
      </c>
      <c r="M66">
        <v>3017</v>
      </c>
      <c r="N66">
        <v>3</v>
      </c>
      <c r="O66">
        <v>17</v>
      </c>
      <c r="P66">
        <v>23</v>
      </c>
      <c r="Q66">
        <v>15.9</v>
      </c>
      <c r="R66">
        <v>766</v>
      </c>
      <c r="S66">
        <v>1034</v>
      </c>
      <c r="T66" s="1">
        <v>45499</v>
      </c>
      <c r="U66" s="1">
        <v>45535</v>
      </c>
      <c r="V66">
        <v>149280</v>
      </c>
      <c r="W66">
        <v>0.98210526300000001</v>
      </c>
      <c r="X66" s="4">
        <v>0.98273684210526302</v>
      </c>
      <c r="Y66" s="4">
        <f t="shared" si="0"/>
        <v>1052.1636675235648</v>
      </c>
      <c r="AA66">
        <v>0.99105263200000004</v>
      </c>
      <c r="AB66">
        <v>1043.335104</v>
      </c>
      <c r="AC66" cm="1">
        <f t="array" ref="AC66">_xlfn.IFS(W66&lt;0.6,S66,W66&gt;0.85,S66,W66,Y66)</f>
        <v>1034</v>
      </c>
      <c r="AH66">
        <v>0</v>
      </c>
      <c r="AI66">
        <v>243</v>
      </c>
    </row>
    <row r="67" spans="1:35" x14ac:dyDescent="0.25">
      <c r="A67" t="s">
        <v>51</v>
      </c>
      <c r="B67" t="s">
        <v>135</v>
      </c>
      <c r="C67">
        <v>3</v>
      </c>
      <c r="E67" t="s">
        <v>53</v>
      </c>
      <c r="F67">
        <v>268</v>
      </c>
      <c r="H67" t="s">
        <v>54</v>
      </c>
      <c r="I67">
        <v>75000</v>
      </c>
      <c r="J67" t="s">
        <v>80</v>
      </c>
      <c r="K67">
        <v>46</v>
      </c>
      <c r="L67">
        <v>318</v>
      </c>
      <c r="M67">
        <v>3018</v>
      </c>
      <c r="N67">
        <v>3</v>
      </c>
      <c r="O67">
        <v>18</v>
      </c>
      <c r="P67">
        <v>28</v>
      </c>
      <c r="Q67">
        <v>20.5</v>
      </c>
      <c r="R67">
        <v>1838</v>
      </c>
      <c r="S67">
        <v>2345</v>
      </c>
      <c r="T67" s="1">
        <v>45496</v>
      </c>
      <c r="U67" s="1">
        <v>45537</v>
      </c>
      <c r="V67">
        <v>140291</v>
      </c>
      <c r="W67">
        <v>0.92297317700000003</v>
      </c>
      <c r="X67" s="4">
        <v>0.988986842105263</v>
      </c>
      <c r="Y67" s="4">
        <f t="shared" ref="Y67:Y130" si="1">S67/X67</f>
        <v>2371.1134467756747</v>
      </c>
      <c r="AA67">
        <v>0.96148658899999995</v>
      </c>
      <c r="AB67">
        <v>2438.9315750000001</v>
      </c>
      <c r="AC67" cm="1">
        <f t="array" ref="AC67">_xlfn.IFS(W67&lt;0.6,S67,W67&gt;0.85,S67,W67,Y67)</f>
        <v>2345</v>
      </c>
      <c r="AH67">
        <v>0</v>
      </c>
      <c r="AI67">
        <v>268</v>
      </c>
    </row>
    <row r="68" spans="1:35" x14ac:dyDescent="0.25">
      <c r="A68" t="s">
        <v>51</v>
      </c>
      <c r="B68" t="s">
        <v>136</v>
      </c>
      <c r="C68">
        <v>4</v>
      </c>
      <c r="E68" t="s">
        <v>53</v>
      </c>
      <c r="F68">
        <v>273</v>
      </c>
      <c r="H68" t="s">
        <v>61</v>
      </c>
      <c r="I68">
        <v>75000</v>
      </c>
      <c r="J68" t="s">
        <v>62</v>
      </c>
      <c r="K68">
        <v>2</v>
      </c>
      <c r="L68">
        <v>319</v>
      </c>
      <c r="M68">
        <v>3019</v>
      </c>
      <c r="N68">
        <v>3</v>
      </c>
      <c r="O68">
        <v>19</v>
      </c>
      <c r="P68">
        <v>43</v>
      </c>
      <c r="Q68">
        <v>17.100000000000001</v>
      </c>
      <c r="R68">
        <v>1417</v>
      </c>
      <c r="S68">
        <v>1885</v>
      </c>
      <c r="T68" s="1">
        <v>45497</v>
      </c>
      <c r="U68" s="1">
        <v>45536</v>
      </c>
      <c r="V68">
        <v>114733</v>
      </c>
      <c r="W68">
        <v>0.81233244000000004</v>
      </c>
      <c r="X68" s="4">
        <v>0.81598513011152396</v>
      </c>
      <c r="Y68" s="4">
        <f t="shared" si="1"/>
        <v>2310.0911161731215</v>
      </c>
      <c r="AA68">
        <v>0.87741118399999996</v>
      </c>
      <c r="AB68">
        <v>2148.3655950000002</v>
      </c>
      <c r="AC68" cm="1">
        <f t="array" ref="AC68">_xlfn.IFS(W68&lt;0.6,S68,W68&gt;0.85,S68,W68,Y68)</f>
        <v>2310.0911161731215</v>
      </c>
      <c r="AH68">
        <v>0</v>
      </c>
      <c r="AI68">
        <v>273</v>
      </c>
    </row>
    <row r="69" spans="1:35" x14ac:dyDescent="0.25">
      <c r="A69" t="s">
        <v>51</v>
      </c>
      <c r="B69" t="s">
        <v>137</v>
      </c>
      <c r="C69">
        <v>4</v>
      </c>
      <c r="E69" t="s">
        <v>53</v>
      </c>
      <c r="F69">
        <v>298</v>
      </c>
      <c r="H69" t="s">
        <v>61</v>
      </c>
      <c r="I69">
        <v>100000</v>
      </c>
      <c r="J69" t="s">
        <v>57</v>
      </c>
      <c r="K69">
        <v>21</v>
      </c>
      <c r="L69">
        <v>320</v>
      </c>
      <c r="M69">
        <v>3020</v>
      </c>
      <c r="N69">
        <v>3</v>
      </c>
      <c r="O69">
        <v>20</v>
      </c>
      <c r="P69">
        <v>53</v>
      </c>
      <c r="Q69">
        <v>18.7</v>
      </c>
      <c r="R69">
        <v>387</v>
      </c>
      <c r="S69" t="s">
        <v>431</v>
      </c>
      <c r="T69" s="1">
        <v>45493</v>
      </c>
      <c r="U69" s="1">
        <v>45524</v>
      </c>
      <c r="V69">
        <v>118764</v>
      </c>
      <c r="W69">
        <v>0.91889483100000002</v>
      </c>
      <c r="X69" s="4">
        <v>0.98141263940520496</v>
      </c>
      <c r="Y69" s="4" t="s">
        <v>431</v>
      </c>
      <c r="AA69">
        <v>0.89066848300000001</v>
      </c>
      <c r="AB69">
        <v>566.98986200000002</v>
      </c>
      <c r="AC69" t="str" cm="1">
        <f t="array" ref="AC69">_xlfn.IFS(W69&lt;0.6,S69,W69&gt;0.85,S69,W69,Y69)</f>
        <v>.</v>
      </c>
      <c r="AH69">
        <v>0</v>
      </c>
      <c r="AI69">
        <v>298</v>
      </c>
    </row>
    <row r="70" spans="1:35" x14ac:dyDescent="0.25">
      <c r="A70" t="s">
        <v>51</v>
      </c>
      <c r="B70" t="s">
        <v>138</v>
      </c>
      <c r="C70">
        <v>4</v>
      </c>
      <c r="E70" t="s">
        <v>53</v>
      </c>
      <c r="F70">
        <v>303</v>
      </c>
      <c r="H70" t="s">
        <v>61</v>
      </c>
      <c r="I70">
        <v>150000</v>
      </c>
      <c r="J70" t="s">
        <v>82</v>
      </c>
      <c r="K70">
        <v>35</v>
      </c>
      <c r="L70">
        <v>321</v>
      </c>
      <c r="M70">
        <v>3021</v>
      </c>
      <c r="N70">
        <v>3</v>
      </c>
      <c r="O70">
        <v>21</v>
      </c>
      <c r="P70">
        <v>44</v>
      </c>
      <c r="Q70">
        <v>17.3</v>
      </c>
      <c r="R70">
        <v>1162</v>
      </c>
      <c r="S70">
        <v>1542</v>
      </c>
      <c r="T70" s="1">
        <v>45496</v>
      </c>
      <c r="U70" s="1">
        <v>45527</v>
      </c>
      <c r="V70">
        <v>128625</v>
      </c>
      <c r="W70">
        <v>0.95885509800000002</v>
      </c>
      <c r="X70" s="4">
        <v>1</v>
      </c>
      <c r="Y70" s="4">
        <f t="shared" si="1"/>
        <v>1542</v>
      </c>
      <c r="AA70">
        <v>0.92311412000000004</v>
      </c>
      <c r="AB70">
        <v>1670.432687</v>
      </c>
      <c r="AC70" cm="1">
        <f t="array" ref="AC70">_xlfn.IFS(W70&lt;0.6,S70,W70&gt;0.85,S70,W70,Y70)</f>
        <v>1542</v>
      </c>
      <c r="AH70">
        <v>0</v>
      </c>
      <c r="AI70">
        <v>303</v>
      </c>
    </row>
    <row r="71" spans="1:35" x14ac:dyDescent="0.25">
      <c r="A71" t="s">
        <v>51</v>
      </c>
      <c r="B71" t="s">
        <v>139</v>
      </c>
      <c r="C71">
        <v>4</v>
      </c>
      <c r="E71" t="s">
        <v>53</v>
      </c>
      <c r="F71">
        <v>328</v>
      </c>
      <c r="H71" t="s">
        <v>54</v>
      </c>
      <c r="I71">
        <v>150000</v>
      </c>
      <c r="J71" t="s">
        <v>59</v>
      </c>
      <c r="K71">
        <v>85</v>
      </c>
      <c r="L71">
        <v>322</v>
      </c>
      <c r="M71">
        <v>3022</v>
      </c>
      <c r="N71">
        <v>3</v>
      </c>
      <c r="O71">
        <v>22</v>
      </c>
      <c r="S71" t="s">
        <v>431</v>
      </c>
      <c r="T71" s="1">
        <v>45492</v>
      </c>
      <c r="U71" s="1">
        <v>45527</v>
      </c>
      <c r="V71">
        <v>151518</v>
      </c>
      <c r="W71">
        <v>0.99682238899999998</v>
      </c>
      <c r="X71" s="4">
        <v>0.99594731509625101</v>
      </c>
      <c r="Y71" s="4" t="s">
        <v>431</v>
      </c>
      <c r="AH71">
        <v>0</v>
      </c>
      <c r="AI71">
        <v>328</v>
      </c>
    </row>
    <row r="72" spans="1:35" x14ac:dyDescent="0.25">
      <c r="A72" t="s">
        <v>51</v>
      </c>
      <c r="B72" t="s">
        <v>140</v>
      </c>
      <c r="C72">
        <v>4</v>
      </c>
      <c r="E72" t="s">
        <v>53</v>
      </c>
      <c r="F72">
        <v>333</v>
      </c>
      <c r="H72" t="s">
        <v>54</v>
      </c>
      <c r="I72">
        <v>100000</v>
      </c>
      <c r="J72" t="s">
        <v>95</v>
      </c>
      <c r="K72">
        <v>67</v>
      </c>
      <c r="L72">
        <v>323</v>
      </c>
      <c r="M72">
        <v>3023</v>
      </c>
      <c r="N72">
        <v>3</v>
      </c>
      <c r="O72">
        <v>23</v>
      </c>
      <c r="P72">
        <v>44</v>
      </c>
      <c r="Q72">
        <v>19.899999999999999</v>
      </c>
      <c r="R72">
        <v>507</v>
      </c>
      <c r="S72">
        <v>652</v>
      </c>
      <c r="T72" s="1">
        <v>45498</v>
      </c>
      <c r="U72" s="1">
        <v>45532</v>
      </c>
      <c r="V72">
        <v>135319</v>
      </c>
      <c r="W72">
        <v>0.89025072199999999</v>
      </c>
      <c r="X72" s="4">
        <v>0.91130263157894698</v>
      </c>
      <c r="Y72" s="4">
        <f t="shared" si="1"/>
        <v>715.45936268210664</v>
      </c>
      <c r="AA72">
        <v>0.945125361</v>
      </c>
      <c r="AB72">
        <v>689.85557570000003</v>
      </c>
      <c r="AC72" cm="1">
        <f t="array" ref="AC72">_xlfn.IFS(W72&lt;0.6,S72,W72&gt;0.85,S72,W72,Y72)</f>
        <v>652</v>
      </c>
      <c r="AH72">
        <v>0</v>
      </c>
      <c r="AI72">
        <v>333</v>
      </c>
    </row>
    <row r="73" spans="1:35" x14ac:dyDescent="0.25">
      <c r="A73" t="s">
        <v>51</v>
      </c>
      <c r="B73" t="s">
        <v>141</v>
      </c>
      <c r="C73">
        <v>4</v>
      </c>
      <c r="E73" t="s">
        <v>53</v>
      </c>
      <c r="F73">
        <v>358</v>
      </c>
      <c r="H73" t="s">
        <v>54</v>
      </c>
      <c r="I73">
        <v>75000</v>
      </c>
      <c r="J73" t="s">
        <v>59</v>
      </c>
      <c r="K73">
        <v>55</v>
      </c>
      <c r="L73">
        <v>324</v>
      </c>
      <c r="M73">
        <v>3024</v>
      </c>
      <c r="N73">
        <v>3</v>
      </c>
      <c r="O73">
        <v>24</v>
      </c>
      <c r="S73" t="s">
        <v>431</v>
      </c>
      <c r="T73" s="1">
        <v>45492</v>
      </c>
      <c r="U73" s="1">
        <v>45523</v>
      </c>
      <c r="V73">
        <v>149865</v>
      </c>
      <c r="W73">
        <v>0.98594746099999997</v>
      </c>
      <c r="X73" s="4">
        <v>0.99548678272082503</v>
      </c>
      <c r="Y73" s="4" t="s">
        <v>431</v>
      </c>
      <c r="AH73">
        <v>0</v>
      </c>
      <c r="AI73">
        <v>358</v>
      </c>
    </row>
    <row r="74" spans="1:35" x14ac:dyDescent="0.25">
      <c r="A74" t="s">
        <v>51</v>
      </c>
      <c r="B74" t="s">
        <v>142</v>
      </c>
      <c r="C74">
        <v>1</v>
      </c>
      <c r="E74" t="s">
        <v>53</v>
      </c>
      <c r="F74">
        <v>4</v>
      </c>
      <c r="H74" t="s">
        <v>54</v>
      </c>
      <c r="I74">
        <v>100000</v>
      </c>
      <c r="J74" t="s">
        <v>99</v>
      </c>
      <c r="K74">
        <v>75</v>
      </c>
      <c r="L74">
        <v>401</v>
      </c>
      <c r="M74">
        <v>4001</v>
      </c>
      <c r="N74">
        <v>4</v>
      </c>
      <c r="O74">
        <v>1</v>
      </c>
      <c r="P74">
        <v>27</v>
      </c>
      <c r="Q74">
        <v>21.5</v>
      </c>
      <c r="R74">
        <v>1519</v>
      </c>
      <c r="S74">
        <v>1913</v>
      </c>
      <c r="T74" s="1">
        <v>45494</v>
      </c>
      <c r="U74" s="1">
        <v>45528</v>
      </c>
      <c r="V74">
        <v>144210</v>
      </c>
      <c r="W74">
        <v>0.94875624199999997</v>
      </c>
      <c r="X74" s="4">
        <v>0.98372347004565897</v>
      </c>
      <c r="Y74" s="4">
        <f t="shared" si="1"/>
        <v>1944.6521896150441</v>
      </c>
      <c r="AA74">
        <v>0.97437812099999999</v>
      </c>
      <c r="AB74">
        <v>1963.303525</v>
      </c>
      <c r="AC74" cm="1">
        <f t="array" ref="AC74">_xlfn.IFS(W74&lt;0.6,S74,W74&gt;0.85,S74,W74,Y74)</f>
        <v>1913</v>
      </c>
      <c r="AH74">
        <v>0</v>
      </c>
      <c r="AI74">
        <v>4</v>
      </c>
    </row>
    <row r="75" spans="1:35" x14ac:dyDescent="0.25">
      <c r="A75" t="s">
        <v>51</v>
      </c>
      <c r="B75" t="s">
        <v>143</v>
      </c>
      <c r="C75">
        <v>1</v>
      </c>
      <c r="E75" t="s">
        <v>53</v>
      </c>
      <c r="F75">
        <v>27</v>
      </c>
      <c r="H75" t="s">
        <v>54</v>
      </c>
      <c r="I75">
        <v>150000</v>
      </c>
      <c r="J75" t="s">
        <v>95</v>
      </c>
      <c r="K75">
        <v>82</v>
      </c>
      <c r="L75">
        <v>402</v>
      </c>
      <c r="M75">
        <v>4002</v>
      </c>
      <c r="N75">
        <v>4</v>
      </c>
      <c r="O75">
        <v>2</v>
      </c>
      <c r="P75">
        <v>38</v>
      </c>
      <c r="Q75">
        <v>19.7</v>
      </c>
      <c r="R75">
        <v>1394</v>
      </c>
      <c r="S75">
        <v>1796</v>
      </c>
      <c r="T75" s="1">
        <v>45493</v>
      </c>
      <c r="U75" s="1">
        <v>45530</v>
      </c>
      <c r="V75">
        <v>144312</v>
      </c>
      <c r="W75">
        <v>0.94941480600000006</v>
      </c>
      <c r="X75" s="4">
        <v>0.99605263157894697</v>
      </c>
      <c r="Y75" s="4">
        <f t="shared" si="1"/>
        <v>1803.1175693527089</v>
      </c>
      <c r="AA75">
        <v>0.97470740300000003</v>
      </c>
      <c r="AB75">
        <v>1842.604247</v>
      </c>
      <c r="AC75" cm="1">
        <f t="array" ref="AC75">_xlfn.IFS(W75&lt;0.6,S75,W75&gt;0.85,S75,W75,Y75)</f>
        <v>1796</v>
      </c>
      <c r="AH75">
        <v>0</v>
      </c>
      <c r="AI75">
        <v>27</v>
      </c>
    </row>
    <row r="76" spans="1:35" x14ac:dyDescent="0.25">
      <c r="A76" t="s">
        <v>51</v>
      </c>
      <c r="B76" t="s">
        <v>144</v>
      </c>
      <c r="C76">
        <v>1</v>
      </c>
      <c r="E76" t="s">
        <v>53</v>
      </c>
      <c r="F76">
        <v>34</v>
      </c>
      <c r="H76" t="s">
        <v>54</v>
      </c>
      <c r="I76">
        <v>75000</v>
      </c>
      <c r="J76" t="s">
        <v>99</v>
      </c>
      <c r="K76">
        <v>60</v>
      </c>
      <c r="L76">
        <v>403</v>
      </c>
      <c r="M76">
        <v>4003</v>
      </c>
      <c r="N76">
        <v>4</v>
      </c>
      <c r="O76">
        <v>3</v>
      </c>
      <c r="P76">
        <v>28</v>
      </c>
      <c r="Q76">
        <v>19.600000000000001</v>
      </c>
      <c r="R76">
        <v>1320</v>
      </c>
      <c r="S76">
        <v>1703</v>
      </c>
      <c r="T76" s="1">
        <v>45496</v>
      </c>
      <c r="U76" s="1">
        <v>45530</v>
      </c>
      <c r="V76">
        <v>126330</v>
      </c>
      <c r="W76">
        <v>0.83111295299999999</v>
      </c>
      <c r="X76" s="4">
        <v>0.87409376192418498</v>
      </c>
      <c r="Y76" s="4">
        <f t="shared" si="1"/>
        <v>1948.3035735789986</v>
      </c>
      <c r="AA76">
        <v>0.91555647699999998</v>
      </c>
      <c r="AB76">
        <v>1860.0709449999999</v>
      </c>
      <c r="AC76" cm="1">
        <f t="array" ref="AC76">_xlfn.IFS(W76&lt;0.6,S76,W76&gt;0.85,S76,W76,Y76)</f>
        <v>1948.3035735789986</v>
      </c>
      <c r="AH76">
        <v>0</v>
      </c>
      <c r="AI76">
        <v>34</v>
      </c>
    </row>
    <row r="77" spans="1:35" x14ac:dyDescent="0.25">
      <c r="A77" t="s">
        <v>51</v>
      </c>
      <c r="B77" t="s">
        <v>145</v>
      </c>
      <c r="C77">
        <v>1</v>
      </c>
      <c r="E77" t="s">
        <v>53</v>
      </c>
      <c r="F77">
        <v>57</v>
      </c>
      <c r="H77" t="s">
        <v>61</v>
      </c>
      <c r="I77">
        <v>150000</v>
      </c>
      <c r="J77" t="s">
        <v>95</v>
      </c>
      <c r="K77">
        <v>37</v>
      </c>
      <c r="L77">
        <v>404</v>
      </c>
      <c r="M77">
        <v>4004</v>
      </c>
      <c r="N77">
        <v>4</v>
      </c>
      <c r="O77">
        <v>4</v>
      </c>
      <c r="P77">
        <v>40</v>
      </c>
      <c r="Q77">
        <v>19.899999999999999</v>
      </c>
      <c r="R77">
        <v>1582</v>
      </c>
      <c r="S77">
        <v>2033</v>
      </c>
      <c r="T77" s="1">
        <v>45495</v>
      </c>
      <c r="U77" s="1">
        <v>45534</v>
      </c>
      <c r="V77">
        <v>115707</v>
      </c>
      <c r="W77">
        <v>0.81550802099999997</v>
      </c>
      <c r="X77" s="4">
        <v>0.97217068645640103</v>
      </c>
      <c r="Y77" s="4">
        <f t="shared" si="1"/>
        <v>2091.1965648854957</v>
      </c>
      <c r="AA77">
        <v>0.88061763599999998</v>
      </c>
      <c r="AB77">
        <v>2308.606957</v>
      </c>
      <c r="AC77" cm="1">
        <f t="array" ref="AC77">_xlfn.IFS(W77&lt;0.6,S77,W77&gt;0.85,S77,W77,Y77)</f>
        <v>2091.1965648854957</v>
      </c>
      <c r="AH77">
        <v>0</v>
      </c>
      <c r="AI77">
        <v>57</v>
      </c>
    </row>
    <row r="78" spans="1:35" x14ac:dyDescent="0.25">
      <c r="A78" t="s">
        <v>51</v>
      </c>
      <c r="B78" t="s">
        <v>146</v>
      </c>
      <c r="C78">
        <v>1</v>
      </c>
      <c r="E78" t="s">
        <v>53</v>
      </c>
      <c r="F78">
        <v>64</v>
      </c>
      <c r="H78" t="s">
        <v>61</v>
      </c>
      <c r="I78">
        <v>75000</v>
      </c>
      <c r="J78" t="s">
        <v>62</v>
      </c>
      <c r="K78">
        <v>2</v>
      </c>
      <c r="L78">
        <v>405</v>
      </c>
      <c r="M78">
        <v>4005</v>
      </c>
      <c r="N78">
        <v>4</v>
      </c>
      <c r="O78">
        <v>5</v>
      </c>
      <c r="P78">
        <v>28</v>
      </c>
      <c r="Q78">
        <v>23.3</v>
      </c>
      <c r="R78">
        <v>1636</v>
      </c>
      <c r="S78">
        <v>2013</v>
      </c>
      <c r="T78" s="1">
        <v>45497</v>
      </c>
      <c r="U78" s="1">
        <v>45536</v>
      </c>
      <c r="V78">
        <v>119853</v>
      </c>
      <c r="W78">
        <v>0.90161001799999996</v>
      </c>
      <c r="X78" s="4">
        <v>0.94629629629629597</v>
      </c>
      <c r="Y78" s="4">
        <f t="shared" si="1"/>
        <v>2127.2407045009791</v>
      </c>
      <c r="AA78">
        <v>0.89424810200000004</v>
      </c>
      <c r="AB78">
        <v>2251.0531420000002</v>
      </c>
      <c r="AC78" cm="1">
        <f t="array" ref="AC78">_xlfn.IFS(W78&lt;0.6,S78,W78&gt;0.85,S78,W78,Y78)</f>
        <v>2013</v>
      </c>
      <c r="AH78">
        <v>0</v>
      </c>
      <c r="AI78">
        <v>64</v>
      </c>
    </row>
    <row r="79" spans="1:35" x14ac:dyDescent="0.25">
      <c r="A79" t="s">
        <v>51</v>
      </c>
      <c r="B79" t="s">
        <v>147</v>
      </c>
      <c r="C79">
        <v>1</v>
      </c>
      <c r="E79" t="s">
        <v>53</v>
      </c>
      <c r="F79">
        <v>87</v>
      </c>
      <c r="H79" t="s">
        <v>61</v>
      </c>
      <c r="I79">
        <v>100000</v>
      </c>
      <c r="J79" t="s">
        <v>82</v>
      </c>
      <c r="K79">
        <v>20</v>
      </c>
      <c r="L79">
        <v>406</v>
      </c>
      <c r="M79">
        <v>4006</v>
      </c>
      <c r="N79">
        <v>4</v>
      </c>
      <c r="O79">
        <v>6</v>
      </c>
      <c r="P79">
        <v>25</v>
      </c>
      <c r="Q79">
        <v>19.100000000000001</v>
      </c>
      <c r="R79">
        <v>1911</v>
      </c>
      <c r="S79">
        <v>2481</v>
      </c>
      <c r="T79" s="1">
        <v>45497</v>
      </c>
      <c r="U79" s="1">
        <v>45532</v>
      </c>
      <c r="V79">
        <v>124151</v>
      </c>
      <c r="W79">
        <v>0.98039215700000004</v>
      </c>
      <c r="X79" s="4">
        <v>0.98703703703703705</v>
      </c>
      <c r="Y79" s="4">
        <f t="shared" si="1"/>
        <v>2513.5834896810507</v>
      </c>
      <c r="AA79">
        <v>0.90839144800000005</v>
      </c>
      <c r="AB79">
        <v>2731.2014079999999</v>
      </c>
      <c r="AC79" cm="1">
        <f t="array" ref="AC79">_xlfn.IFS(W79&lt;0.6,S79,W79&gt;0.85,S79,W79,Y79)</f>
        <v>2481</v>
      </c>
      <c r="AH79">
        <v>0</v>
      </c>
      <c r="AI79">
        <v>87</v>
      </c>
    </row>
    <row r="80" spans="1:35" x14ac:dyDescent="0.25">
      <c r="A80" t="s">
        <v>51</v>
      </c>
      <c r="B80" t="s">
        <v>148</v>
      </c>
      <c r="C80">
        <v>2</v>
      </c>
      <c r="E80" t="s">
        <v>53</v>
      </c>
      <c r="F80">
        <v>94</v>
      </c>
      <c r="H80" t="s">
        <v>61</v>
      </c>
      <c r="I80">
        <v>75000</v>
      </c>
      <c r="J80" t="s">
        <v>80</v>
      </c>
      <c r="K80">
        <v>1</v>
      </c>
      <c r="L80">
        <v>407</v>
      </c>
      <c r="M80">
        <v>4007</v>
      </c>
      <c r="N80">
        <v>4</v>
      </c>
      <c r="O80">
        <v>7</v>
      </c>
      <c r="P80">
        <v>28</v>
      </c>
      <c r="Q80">
        <v>20.3</v>
      </c>
      <c r="R80">
        <v>1673</v>
      </c>
      <c r="S80">
        <v>2140</v>
      </c>
      <c r="T80" s="1">
        <v>45497</v>
      </c>
      <c r="U80" s="1">
        <v>45537</v>
      </c>
      <c r="V80">
        <v>108157</v>
      </c>
      <c r="W80">
        <v>0.76228775699999995</v>
      </c>
      <c r="X80" s="4">
        <v>0.91280148423005603</v>
      </c>
      <c r="Y80" s="4">
        <f t="shared" si="1"/>
        <v>2344.4308943089422</v>
      </c>
      <c r="AA80">
        <v>0.85577726499999995</v>
      </c>
      <c r="AB80">
        <v>2500.650682</v>
      </c>
      <c r="AC80" cm="1">
        <f t="array" ref="AC80">_xlfn.IFS(W80&lt;0.6,S80,W80&gt;0.85,S80,W80,Y80)</f>
        <v>2344.4308943089422</v>
      </c>
      <c r="AH80">
        <v>0</v>
      </c>
      <c r="AI80">
        <v>94</v>
      </c>
    </row>
    <row r="81" spans="1:35" x14ac:dyDescent="0.25">
      <c r="A81" t="s">
        <v>51</v>
      </c>
      <c r="B81" t="s">
        <v>149</v>
      </c>
      <c r="C81">
        <v>2</v>
      </c>
      <c r="E81" t="s">
        <v>53</v>
      </c>
      <c r="F81">
        <v>117</v>
      </c>
      <c r="H81" t="s">
        <v>61</v>
      </c>
      <c r="I81">
        <v>150000</v>
      </c>
      <c r="J81" t="s">
        <v>110</v>
      </c>
      <c r="K81">
        <v>39</v>
      </c>
      <c r="L81">
        <v>408</v>
      </c>
      <c r="M81">
        <v>4008</v>
      </c>
      <c r="N81">
        <v>4</v>
      </c>
      <c r="O81">
        <v>8</v>
      </c>
      <c r="P81">
        <v>62</v>
      </c>
      <c r="Q81">
        <v>21.3</v>
      </c>
      <c r="R81">
        <v>587</v>
      </c>
      <c r="S81">
        <v>741</v>
      </c>
      <c r="T81" s="1">
        <v>45490</v>
      </c>
      <c r="U81" s="1">
        <v>45524</v>
      </c>
      <c r="V81">
        <v>115137</v>
      </c>
      <c r="W81">
        <v>0.84252669000000002</v>
      </c>
      <c r="X81" s="4">
        <v>1</v>
      </c>
      <c r="Y81" s="4">
        <f t="shared" si="1"/>
        <v>741</v>
      </c>
      <c r="AA81">
        <v>0.87874511499999997</v>
      </c>
      <c r="AB81">
        <v>843.24793090000003</v>
      </c>
      <c r="AC81" cm="1">
        <f t="array" ref="AC81">_xlfn.IFS(W81&lt;0.6,S81,W81&gt;0.85,S81,W81,Y81)</f>
        <v>741</v>
      </c>
      <c r="AH81">
        <v>0</v>
      </c>
      <c r="AI81">
        <v>117</v>
      </c>
    </row>
    <row r="82" spans="1:35" x14ac:dyDescent="0.25">
      <c r="A82" t="s">
        <v>51</v>
      </c>
      <c r="B82" t="s">
        <v>150</v>
      </c>
      <c r="C82">
        <v>2</v>
      </c>
      <c r="E82" t="s">
        <v>53</v>
      </c>
      <c r="F82">
        <v>124</v>
      </c>
      <c r="H82" t="s">
        <v>61</v>
      </c>
      <c r="I82">
        <v>100000</v>
      </c>
      <c r="J82" t="s">
        <v>73</v>
      </c>
      <c r="K82">
        <v>27</v>
      </c>
      <c r="L82">
        <v>409</v>
      </c>
      <c r="M82">
        <v>4009</v>
      </c>
      <c r="N82">
        <v>4</v>
      </c>
      <c r="O82">
        <v>9</v>
      </c>
      <c r="P82">
        <v>217</v>
      </c>
      <c r="Q82">
        <v>20.6</v>
      </c>
      <c r="R82">
        <v>775</v>
      </c>
      <c r="S82">
        <v>987</v>
      </c>
      <c r="T82" s="1">
        <v>45494</v>
      </c>
      <c r="U82" s="1">
        <v>45537</v>
      </c>
      <c r="V82">
        <v>124914</v>
      </c>
      <c r="W82">
        <v>0.93482142899999998</v>
      </c>
      <c r="X82" s="4">
        <v>0.99074074074074103</v>
      </c>
      <c r="Y82" s="4">
        <f t="shared" si="1"/>
        <v>996.22429906542027</v>
      </c>
      <c r="AA82">
        <v>0.91090131600000002</v>
      </c>
      <c r="AB82">
        <v>1083.542183</v>
      </c>
      <c r="AC82" cm="1">
        <f t="array" ref="AC82">_xlfn.IFS(W82&lt;0.6,S82,W82&gt;0.85,S82,W82,Y82)</f>
        <v>987</v>
      </c>
      <c r="AH82">
        <v>0</v>
      </c>
      <c r="AI82">
        <v>124</v>
      </c>
    </row>
    <row r="83" spans="1:35" x14ac:dyDescent="0.25">
      <c r="A83" t="s">
        <v>51</v>
      </c>
      <c r="B83" t="s">
        <v>151</v>
      </c>
      <c r="C83">
        <v>2</v>
      </c>
      <c r="E83" t="s">
        <v>53</v>
      </c>
      <c r="F83">
        <v>147</v>
      </c>
      <c r="H83" t="s">
        <v>54</v>
      </c>
      <c r="I83">
        <v>100000</v>
      </c>
      <c r="J83" t="s">
        <v>80</v>
      </c>
      <c r="K83">
        <v>61</v>
      </c>
      <c r="L83">
        <v>410</v>
      </c>
      <c r="M83">
        <v>4010</v>
      </c>
      <c r="N83">
        <v>4</v>
      </c>
      <c r="O83">
        <v>10</v>
      </c>
      <c r="P83">
        <v>26</v>
      </c>
      <c r="Q83">
        <v>18.899999999999999</v>
      </c>
      <c r="R83">
        <v>1952</v>
      </c>
      <c r="S83">
        <v>2540</v>
      </c>
      <c r="T83" s="1">
        <v>45497</v>
      </c>
      <c r="U83" s="1">
        <v>45535</v>
      </c>
      <c r="V83">
        <v>151355</v>
      </c>
      <c r="W83">
        <v>0.99574347699999999</v>
      </c>
      <c r="X83" s="4">
        <v>0.99610531440375805</v>
      </c>
      <c r="Y83" s="4">
        <f t="shared" si="1"/>
        <v>2549.9311802390853</v>
      </c>
      <c r="AA83">
        <v>0.99787173900000004</v>
      </c>
      <c r="AB83">
        <v>2545.4173139999998</v>
      </c>
      <c r="AC83" cm="1">
        <f t="array" ref="AC83">_xlfn.IFS(W83&lt;0.6,S83,W83&gt;0.85,S83,W83,Y83)</f>
        <v>2540</v>
      </c>
      <c r="AH83">
        <v>0</v>
      </c>
      <c r="AI83">
        <v>147</v>
      </c>
    </row>
    <row r="84" spans="1:35" x14ac:dyDescent="0.25">
      <c r="A84" t="s">
        <v>51</v>
      </c>
      <c r="B84" t="s">
        <v>152</v>
      </c>
      <c r="C84">
        <v>2</v>
      </c>
      <c r="E84" t="s">
        <v>53</v>
      </c>
      <c r="F84">
        <v>154</v>
      </c>
      <c r="H84" t="s">
        <v>54</v>
      </c>
      <c r="I84">
        <v>75000</v>
      </c>
      <c r="J84" t="s">
        <v>59</v>
      </c>
      <c r="K84">
        <v>55</v>
      </c>
      <c r="L84">
        <v>411</v>
      </c>
      <c r="M84">
        <v>4011</v>
      </c>
      <c r="N84">
        <v>4</v>
      </c>
      <c r="O84">
        <v>11</v>
      </c>
      <c r="P84">
        <v>56</v>
      </c>
      <c r="Q84">
        <v>21</v>
      </c>
      <c r="R84">
        <v>680</v>
      </c>
      <c r="S84">
        <v>862</v>
      </c>
      <c r="T84" s="1">
        <v>45492</v>
      </c>
      <c r="U84" s="1">
        <v>45526</v>
      </c>
      <c r="V84">
        <v>150293</v>
      </c>
      <c r="W84">
        <v>0.98877624200000003</v>
      </c>
      <c r="X84" s="4">
        <v>0.98727631578947395</v>
      </c>
      <c r="Y84" s="4">
        <f t="shared" si="1"/>
        <v>873.10916530060081</v>
      </c>
      <c r="AA84">
        <v>0.99438812099999996</v>
      </c>
      <c r="AB84">
        <v>866.86473999999998</v>
      </c>
      <c r="AC84" cm="1">
        <f t="array" ref="AC84">_xlfn.IFS(W84&lt;0.6,S84,W84&gt;0.85,S84,W84,Y84)</f>
        <v>862</v>
      </c>
      <c r="AH84">
        <v>0</v>
      </c>
      <c r="AI84">
        <v>154</v>
      </c>
    </row>
    <row r="85" spans="1:35" x14ac:dyDescent="0.25">
      <c r="A85" t="s">
        <v>51</v>
      </c>
      <c r="B85" t="s">
        <v>153</v>
      </c>
      <c r="C85">
        <v>2</v>
      </c>
      <c r="E85" t="s">
        <v>53</v>
      </c>
      <c r="F85">
        <v>177</v>
      </c>
      <c r="H85" t="s">
        <v>54</v>
      </c>
      <c r="I85">
        <v>150000</v>
      </c>
      <c r="J85" t="s">
        <v>77</v>
      </c>
      <c r="K85">
        <v>79</v>
      </c>
      <c r="L85">
        <v>412</v>
      </c>
      <c r="M85">
        <v>4012</v>
      </c>
      <c r="N85">
        <v>4</v>
      </c>
      <c r="O85">
        <v>12</v>
      </c>
      <c r="P85">
        <v>68</v>
      </c>
      <c r="Q85">
        <v>20.8</v>
      </c>
      <c r="R85">
        <v>1144</v>
      </c>
      <c r="S85">
        <v>1454</v>
      </c>
      <c r="T85" s="1">
        <v>45495</v>
      </c>
      <c r="U85" s="1">
        <v>45537</v>
      </c>
      <c r="V85">
        <v>151957</v>
      </c>
      <c r="W85">
        <v>0.99972368199999995</v>
      </c>
      <c r="X85" s="4">
        <v>0.99906580176576598</v>
      </c>
      <c r="Y85" s="4">
        <f t="shared" si="1"/>
        <v>1455.3595943632297</v>
      </c>
      <c r="AA85">
        <v>0.99986184099999997</v>
      </c>
      <c r="AB85">
        <v>1454.2009109999999</v>
      </c>
      <c r="AC85" cm="1">
        <f t="array" ref="AC85">_xlfn.IFS(W85&lt;0.6,S85,W85&gt;0.85,S85,W85,Y85)</f>
        <v>1454</v>
      </c>
      <c r="AH85">
        <v>0</v>
      </c>
      <c r="AI85">
        <v>177</v>
      </c>
    </row>
    <row r="86" spans="1:35" x14ac:dyDescent="0.25">
      <c r="A86" t="s">
        <v>51</v>
      </c>
      <c r="B86" t="s">
        <v>154</v>
      </c>
      <c r="C86">
        <v>3</v>
      </c>
      <c r="E86" t="s">
        <v>53</v>
      </c>
      <c r="F86">
        <v>184</v>
      </c>
      <c r="H86" t="s">
        <v>61</v>
      </c>
      <c r="I86">
        <v>150000</v>
      </c>
      <c r="J86" t="s">
        <v>95</v>
      </c>
      <c r="K86">
        <v>37</v>
      </c>
      <c r="L86">
        <v>413</v>
      </c>
      <c r="M86">
        <v>4013</v>
      </c>
      <c r="N86">
        <v>4</v>
      </c>
      <c r="O86">
        <v>13</v>
      </c>
      <c r="P86">
        <v>41</v>
      </c>
      <c r="Q86">
        <v>20.2</v>
      </c>
      <c r="R86">
        <v>1541</v>
      </c>
      <c r="S86">
        <v>1973</v>
      </c>
      <c r="T86" s="1">
        <v>45497</v>
      </c>
      <c r="U86" s="1">
        <v>45536</v>
      </c>
      <c r="V86">
        <v>102344</v>
      </c>
      <c r="W86">
        <v>0.64642857099999995</v>
      </c>
      <c r="X86" s="4">
        <v>0.82407407407407396</v>
      </c>
      <c r="Y86" s="4">
        <f t="shared" si="1"/>
        <v>2394.2022471910118</v>
      </c>
      <c r="AA86">
        <v>0.83665568000000001</v>
      </c>
      <c r="AB86">
        <v>2358.1982969999999</v>
      </c>
      <c r="AC86" cm="1">
        <f t="array" ref="AC86">_xlfn.IFS(W86&lt;0.6,S86,W86&gt;0.85,S86,W86,Y86)</f>
        <v>2394.2022471910118</v>
      </c>
      <c r="AH86">
        <v>0</v>
      </c>
      <c r="AI86">
        <v>184</v>
      </c>
    </row>
    <row r="87" spans="1:35" x14ac:dyDescent="0.25">
      <c r="A87" t="s">
        <v>51</v>
      </c>
      <c r="B87" t="s">
        <v>155</v>
      </c>
      <c r="C87">
        <v>3</v>
      </c>
      <c r="E87" t="s">
        <v>53</v>
      </c>
      <c r="F87">
        <v>207</v>
      </c>
      <c r="H87" t="s">
        <v>61</v>
      </c>
      <c r="I87">
        <v>75000</v>
      </c>
      <c r="J87" t="s">
        <v>59</v>
      </c>
      <c r="K87">
        <v>10</v>
      </c>
      <c r="L87">
        <v>414</v>
      </c>
      <c r="M87">
        <v>4014</v>
      </c>
      <c r="N87">
        <v>4</v>
      </c>
      <c r="O87">
        <v>14</v>
      </c>
      <c r="P87">
        <v>77</v>
      </c>
      <c r="Q87">
        <v>20.7</v>
      </c>
      <c r="R87">
        <v>541</v>
      </c>
      <c r="S87">
        <v>688</v>
      </c>
      <c r="T87" s="1">
        <v>45489</v>
      </c>
      <c r="U87" s="1">
        <v>45530</v>
      </c>
      <c r="V87">
        <v>112984</v>
      </c>
      <c r="W87">
        <v>0.73792486599999996</v>
      </c>
      <c r="X87" s="4">
        <v>0.63703703703703696</v>
      </c>
      <c r="Y87" s="4">
        <f t="shared" si="1"/>
        <v>1080.0000000000002</v>
      </c>
      <c r="AA87">
        <v>0.87165545</v>
      </c>
      <c r="AB87">
        <v>789.30270029999997</v>
      </c>
      <c r="AC87" cm="1">
        <f t="array" ref="AC87">_xlfn.IFS(W87&lt;0.6,S87,W87&gt;0.85,S87,W87,Y87)</f>
        <v>1080.0000000000002</v>
      </c>
      <c r="AH87">
        <v>0</v>
      </c>
      <c r="AI87">
        <v>207</v>
      </c>
    </row>
    <row r="88" spans="1:35" x14ac:dyDescent="0.25">
      <c r="A88" t="s">
        <v>51</v>
      </c>
      <c r="B88" t="s">
        <v>156</v>
      </c>
      <c r="C88">
        <v>3</v>
      </c>
      <c r="E88" t="s">
        <v>53</v>
      </c>
      <c r="F88">
        <v>214</v>
      </c>
      <c r="H88" t="s">
        <v>61</v>
      </c>
      <c r="I88">
        <v>100000</v>
      </c>
      <c r="J88" t="s">
        <v>110</v>
      </c>
      <c r="K88">
        <v>24</v>
      </c>
      <c r="L88">
        <v>415</v>
      </c>
      <c r="M88">
        <v>4015</v>
      </c>
      <c r="N88">
        <v>4</v>
      </c>
      <c r="O88">
        <v>15</v>
      </c>
      <c r="P88">
        <v>63</v>
      </c>
      <c r="Q88">
        <v>19.100000000000001</v>
      </c>
      <c r="R88">
        <v>488</v>
      </c>
      <c r="S88">
        <v>633</v>
      </c>
      <c r="T88" s="1">
        <v>45489</v>
      </c>
      <c r="U88" s="1">
        <v>45523</v>
      </c>
      <c r="V88">
        <v>127409</v>
      </c>
      <c r="W88">
        <v>0.95102404299999999</v>
      </c>
      <c r="X88" s="4">
        <v>0.98888888888888904</v>
      </c>
      <c r="Y88" s="4">
        <f t="shared" si="1"/>
        <v>640.11235955056168</v>
      </c>
      <c r="AA88">
        <v>0.91911406799999995</v>
      </c>
      <c r="AB88">
        <v>688.70668220000005</v>
      </c>
      <c r="AC88" cm="1">
        <f t="array" ref="AC88">_xlfn.IFS(W88&lt;0.6,S88,W88&gt;0.85,S88,W88,Y88)</f>
        <v>633</v>
      </c>
      <c r="AH88">
        <v>0</v>
      </c>
      <c r="AI88">
        <v>214</v>
      </c>
    </row>
    <row r="89" spans="1:35" x14ac:dyDescent="0.25">
      <c r="A89" t="s">
        <v>51</v>
      </c>
      <c r="B89" t="s">
        <v>157</v>
      </c>
      <c r="C89">
        <v>3</v>
      </c>
      <c r="E89" t="s">
        <v>53</v>
      </c>
      <c r="F89">
        <v>237</v>
      </c>
      <c r="H89" t="s">
        <v>54</v>
      </c>
      <c r="I89">
        <v>100000</v>
      </c>
      <c r="J89" t="s">
        <v>80</v>
      </c>
      <c r="K89">
        <v>61</v>
      </c>
      <c r="L89">
        <v>416</v>
      </c>
      <c r="M89">
        <v>4016</v>
      </c>
      <c r="N89">
        <v>4</v>
      </c>
      <c r="O89">
        <v>16</v>
      </c>
      <c r="P89">
        <v>30</v>
      </c>
      <c r="Q89">
        <v>19.399999999999999</v>
      </c>
      <c r="R89">
        <v>1969</v>
      </c>
      <c r="S89">
        <v>2547</v>
      </c>
      <c r="T89" s="1">
        <v>45499</v>
      </c>
      <c r="U89" s="1">
        <v>45536</v>
      </c>
      <c r="V89">
        <v>147168</v>
      </c>
      <c r="W89">
        <v>0.96821052600000002</v>
      </c>
      <c r="X89" s="4">
        <v>0.99811842105263204</v>
      </c>
      <c r="Y89" s="4">
        <f t="shared" si="1"/>
        <v>2551.8014158218743</v>
      </c>
      <c r="AA89">
        <v>0.98410526300000001</v>
      </c>
      <c r="AB89">
        <v>2588.1377689999999</v>
      </c>
      <c r="AC89" cm="1">
        <f t="array" ref="AC89">_xlfn.IFS(W89&lt;0.6,S89,W89&gt;0.85,S89,W89,Y89)</f>
        <v>2547</v>
      </c>
      <c r="AH89">
        <v>0</v>
      </c>
      <c r="AI89">
        <v>237</v>
      </c>
    </row>
    <row r="90" spans="1:35" x14ac:dyDescent="0.25">
      <c r="A90" t="s">
        <v>51</v>
      </c>
      <c r="B90" t="s">
        <v>158</v>
      </c>
      <c r="C90">
        <v>3</v>
      </c>
      <c r="E90" t="s">
        <v>53</v>
      </c>
      <c r="F90">
        <v>244</v>
      </c>
      <c r="H90" t="s">
        <v>54</v>
      </c>
      <c r="I90">
        <v>150000</v>
      </c>
      <c r="J90" t="s">
        <v>97</v>
      </c>
      <c r="K90">
        <v>89</v>
      </c>
      <c r="L90">
        <v>417</v>
      </c>
      <c r="M90">
        <v>4017</v>
      </c>
      <c r="N90">
        <v>4</v>
      </c>
      <c r="O90">
        <v>17</v>
      </c>
      <c r="P90">
        <v>41</v>
      </c>
      <c r="Q90">
        <v>19.600000000000001</v>
      </c>
      <c r="R90">
        <v>1767</v>
      </c>
      <c r="S90">
        <v>2280</v>
      </c>
      <c r="T90" s="1">
        <v>45494</v>
      </c>
      <c r="U90" s="1">
        <v>45525</v>
      </c>
      <c r="V90">
        <v>144048</v>
      </c>
      <c r="W90">
        <v>0.94767797600000003</v>
      </c>
      <c r="X90" s="4">
        <v>0.97805320912607596</v>
      </c>
      <c r="Y90" s="4">
        <f t="shared" si="1"/>
        <v>2331.1615142465084</v>
      </c>
      <c r="AA90">
        <v>0.97383898800000002</v>
      </c>
      <c r="AB90">
        <v>2341.2494550000001</v>
      </c>
      <c r="AC90" cm="1">
        <f t="array" ref="AC90">_xlfn.IFS(W90&lt;0.6,S90,W90&gt;0.85,S90,W90,Y90)</f>
        <v>2280</v>
      </c>
      <c r="AH90">
        <v>0</v>
      </c>
      <c r="AI90">
        <v>244</v>
      </c>
    </row>
    <row r="91" spans="1:35" x14ac:dyDescent="0.25">
      <c r="A91" t="s">
        <v>51</v>
      </c>
      <c r="B91" t="s">
        <v>159</v>
      </c>
      <c r="C91">
        <v>3</v>
      </c>
      <c r="E91" t="s">
        <v>53</v>
      </c>
      <c r="F91">
        <v>267</v>
      </c>
      <c r="H91" t="s">
        <v>54</v>
      </c>
      <c r="I91">
        <v>75000</v>
      </c>
      <c r="J91" t="s">
        <v>110</v>
      </c>
      <c r="K91">
        <v>54</v>
      </c>
      <c r="L91">
        <v>418</v>
      </c>
      <c r="M91">
        <v>4018</v>
      </c>
      <c r="N91">
        <v>4</v>
      </c>
      <c r="O91">
        <v>18</v>
      </c>
      <c r="P91">
        <v>61</v>
      </c>
      <c r="Q91">
        <v>20.3</v>
      </c>
      <c r="R91">
        <v>636</v>
      </c>
      <c r="S91">
        <v>813</v>
      </c>
      <c r="T91" s="1">
        <v>45492</v>
      </c>
      <c r="U91" s="1">
        <v>45523</v>
      </c>
      <c r="V91">
        <v>148587</v>
      </c>
      <c r="W91">
        <v>0.97753319000000005</v>
      </c>
      <c r="X91" s="4">
        <v>0.99239513709804705</v>
      </c>
      <c r="Y91" s="4">
        <f t="shared" si="1"/>
        <v>819.23013284543822</v>
      </c>
      <c r="AA91">
        <v>0.98876659499999997</v>
      </c>
      <c r="AB91">
        <v>822.23651580000001</v>
      </c>
      <c r="AC91" cm="1">
        <f t="array" ref="AC91">_xlfn.IFS(W91&lt;0.6,S91,W91&gt;0.85,S91,W91,Y91)</f>
        <v>813</v>
      </c>
      <c r="AH91">
        <v>0</v>
      </c>
      <c r="AI91">
        <v>267</v>
      </c>
    </row>
    <row r="92" spans="1:35" x14ac:dyDescent="0.25">
      <c r="A92" t="s">
        <v>51</v>
      </c>
      <c r="B92" t="s">
        <v>160</v>
      </c>
      <c r="C92">
        <v>4</v>
      </c>
      <c r="E92" t="s">
        <v>53</v>
      </c>
      <c r="F92">
        <v>274</v>
      </c>
      <c r="H92" t="s">
        <v>61</v>
      </c>
      <c r="I92">
        <v>75000</v>
      </c>
      <c r="J92" t="s">
        <v>55</v>
      </c>
      <c r="K92">
        <v>8</v>
      </c>
      <c r="L92">
        <v>419</v>
      </c>
      <c r="M92">
        <v>4019</v>
      </c>
      <c r="N92">
        <v>4</v>
      </c>
      <c r="O92">
        <v>19</v>
      </c>
      <c r="P92">
        <v>41</v>
      </c>
      <c r="Q92">
        <v>18.399999999999999</v>
      </c>
      <c r="R92">
        <v>1685</v>
      </c>
      <c r="S92">
        <v>2206</v>
      </c>
      <c r="T92" s="1">
        <v>45498</v>
      </c>
      <c r="U92" s="1">
        <v>45534</v>
      </c>
      <c r="V92">
        <v>117431</v>
      </c>
      <c r="W92">
        <v>0.84539767600000004</v>
      </c>
      <c r="X92" s="4">
        <v>0.937037037037037</v>
      </c>
      <c r="Y92" s="4">
        <f t="shared" si="1"/>
        <v>2354.229249011858</v>
      </c>
      <c r="AA92">
        <v>0.88629380899999999</v>
      </c>
      <c r="AB92">
        <v>2489.0165980000002</v>
      </c>
      <c r="AC92" cm="1">
        <f t="array" ref="AC92">_xlfn.IFS(W92&lt;0.6,S92,W92&gt;0.85,S92,W92,Y92)</f>
        <v>2354.229249011858</v>
      </c>
      <c r="AH92">
        <v>0</v>
      </c>
      <c r="AI92">
        <v>274</v>
      </c>
    </row>
    <row r="93" spans="1:35" x14ac:dyDescent="0.25">
      <c r="A93" t="s">
        <v>51</v>
      </c>
      <c r="B93" t="s">
        <v>161</v>
      </c>
      <c r="C93">
        <v>4</v>
      </c>
      <c r="E93" t="s">
        <v>53</v>
      </c>
      <c r="F93">
        <v>297</v>
      </c>
      <c r="H93" t="s">
        <v>61</v>
      </c>
      <c r="I93">
        <v>100000</v>
      </c>
      <c r="J93" t="s">
        <v>71</v>
      </c>
      <c r="K93">
        <v>26</v>
      </c>
      <c r="L93">
        <v>420</v>
      </c>
      <c r="M93">
        <v>4020</v>
      </c>
      <c r="N93">
        <v>4</v>
      </c>
      <c r="O93">
        <v>20</v>
      </c>
      <c r="P93">
        <v>48</v>
      </c>
      <c r="Q93">
        <v>20</v>
      </c>
      <c r="R93">
        <v>305</v>
      </c>
      <c r="S93" t="s">
        <v>431</v>
      </c>
      <c r="T93" s="1">
        <v>45491</v>
      </c>
      <c r="U93" s="1">
        <v>45524</v>
      </c>
      <c r="V93">
        <v>125273</v>
      </c>
      <c r="W93">
        <v>0.98039215700000004</v>
      </c>
      <c r="X93" s="4">
        <v>1</v>
      </c>
      <c r="Y93" s="4" t="s">
        <v>431</v>
      </c>
      <c r="AA93">
        <v>0.91207952599999997</v>
      </c>
      <c r="AB93">
        <v>429.78708419999998</v>
      </c>
      <c r="AC93" t="str" cm="1">
        <f t="array" ref="AC93">_xlfn.IFS(W93&lt;0.6,S93,W93&gt;0.85,S93,W93,Y93)</f>
        <v>.</v>
      </c>
      <c r="AH93">
        <v>0</v>
      </c>
      <c r="AI93">
        <v>297</v>
      </c>
    </row>
    <row r="94" spans="1:35" x14ac:dyDescent="0.25">
      <c r="A94" t="s">
        <v>51</v>
      </c>
      <c r="B94" t="s">
        <v>162</v>
      </c>
      <c r="C94">
        <v>4</v>
      </c>
      <c r="E94" t="s">
        <v>53</v>
      </c>
      <c r="F94">
        <v>304</v>
      </c>
      <c r="H94" t="s">
        <v>61</v>
      </c>
      <c r="I94">
        <v>150000</v>
      </c>
      <c r="J94" t="s">
        <v>62</v>
      </c>
      <c r="K94">
        <v>32</v>
      </c>
      <c r="L94">
        <v>421</v>
      </c>
      <c r="M94">
        <v>4021</v>
      </c>
      <c r="N94">
        <v>4</v>
      </c>
      <c r="O94">
        <v>21</v>
      </c>
      <c r="P94">
        <v>40</v>
      </c>
      <c r="Q94">
        <v>17.3</v>
      </c>
      <c r="R94">
        <v>1875</v>
      </c>
      <c r="S94">
        <v>2488</v>
      </c>
      <c r="T94" s="1">
        <v>45496</v>
      </c>
      <c r="U94" s="1">
        <v>45533</v>
      </c>
      <c r="V94">
        <v>127438</v>
      </c>
      <c r="W94">
        <v>0.96961572799999995</v>
      </c>
      <c r="X94" s="4">
        <v>1</v>
      </c>
      <c r="Y94" s="4">
        <f t="shared" si="1"/>
        <v>2488</v>
      </c>
      <c r="AA94">
        <v>0.91920394800000005</v>
      </c>
      <c r="AB94">
        <v>2706.689856</v>
      </c>
      <c r="AC94" cm="1">
        <f t="array" ref="AC94">_xlfn.IFS(W94&lt;0.6,S94,W94&gt;0.85,S94,W94,Y94)</f>
        <v>2488</v>
      </c>
      <c r="AH94">
        <v>0</v>
      </c>
      <c r="AI94">
        <v>304</v>
      </c>
    </row>
    <row r="95" spans="1:35" x14ac:dyDescent="0.25">
      <c r="A95" t="s">
        <v>51</v>
      </c>
      <c r="B95" t="s">
        <v>163</v>
      </c>
      <c r="C95">
        <v>4</v>
      </c>
      <c r="E95" t="s">
        <v>53</v>
      </c>
      <c r="F95">
        <v>327</v>
      </c>
      <c r="H95" t="s">
        <v>54</v>
      </c>
      <c r="I95">
        <v>150000</v>
      </c>
      <c r="J95" t="s">
        <v>95</v>
      </c>
      <c r="K95">
        <v>82</v>
      </c>
      <c r="L95">
        <v>422</v>
      </c>
      <c r="M95">
        <v>4022</v>
      </c>
      <c r="N95">
        <v>4</v>
      </c>
      <c r="O95">
        <v>22</v>
      </c>
      <c r="P95">
        <v>44</v>
      </c>
      <c r="Q95">
        <v>18.3</v>
      </c>
      <c r="R95">
        <v>1108</v>
      </c>
      <c r="S95">
        <v>1453</v>
      </c>
      <c r="T95" s="1">
        <v>45493</v>
      </c>
      <c r="U95" s="1">
        <v>45534</v>
      </c>
      <c r="V95">
        <v>128282</v>
      </c>
      <c r="W95">
        <v>0.84395497399999997</v>
      </c>
      <c r="X95" s="4">
        <v>0.85685714661649204</v>
      </c>
      <c r="Y95" s="4">
        <f t="shared" si="1"/>
        <v>1695.731903197076</v>
      </c>
      <c r="AA95">
        <v>0.92197748700000004</v>
      </c>
      <c r="AB95">
        <v>1575.96039</v>
      </c>
      <c r="AC95" cm="1">
        <f t="array" ref="AC95">_xlfn.IFS(W95&lt;0.6,S95,W95&gt;0.85,S95,W95,Y95)</f>
        <v>1695.731903197076</v>
      </c>
      <c r="AH95">
        <v>0</v>
      </c>
      <c r="AI95">
        <v>327</v>
      </c>
    </row>
    <row r="96" spans="1:35" x14ac:dyDescent="0.25">
      <c r="A96" t="s">
        <v>51</v>
      </c>
      <c r="B96" t="s">
        <v>164</v>
      </c>
      <c r="C96">
        <v>4</v>
      </c>
      <c r="E96" t="s">
        <v>53</v>
      </c>
      <c r="F96">
        <v>334</v>
      </c>
      <c r="H96" t="s">
        <v>54</v>
      </c>
      <c r="I96">
        <v>100000</v>
      </c>
      <c r="J96" t="s">
        <v>82</v>
      </c>
      <c r="K96">
        <v>65</v>
      </c>
      <c r="L96">
        <v>423</v>
      </c>
      <c r="M96">
        <v>4023</v>
      </c>
      <c r="N96">
        <v>4</v>
      </c>
      <c r="O96">
        <v>23</v>
      </c>
      <c r="S96" t="s">
        <v>431</v>
      </c>
      <c r="T96" s="1">
        <v>45493</v>
      </c>
      <c r="U96" s="1">
        <v>45530</v>
      </c>
      <c r="V96">
        <v>113124</v>
      </c>
      <c r="W96">
        <v>0.74424173800000004</v>
      </c>
      <c r="X96" s="4">
        <v>0.99809210526315795</v>
      </c>
      <c r="Y96" s="4" t="s">
        <v>431</v>
      </c>
      <c r="AH96">
        <v>0</v>
      </c>
      <c r="AI96">
        <v>334</v>
      </c>
    </row>
    <row r="97" spans="1:35" x14ac:dyDescent="0.25">
      <c r="A97" t="s">
        <v>51</v>
      </c>
      <c r="B97" t="s">
        <v>165</v>
      </c>
      <c r="C97">
        <v>4</v>
      </c>
      <c r="E97" t="s">
        <v>53</v>
      </c>
      <c r="F97">
        <v>357</v>
      </c>
      <c r="H97" t="s">
        <v>54</v>
      </c>
      <c r="I97">
        <v>75000</v>
      </c>
      <c r="J97" t="s">
        <v>77</v>
      </c>
      <c r="K97">
        <v>49</v>
      </c>
      <c r="L97">
        <v>424</v>
      </c>
      <c r="M97">
        <v>4024</v>
      </c>
      <c r="N97">
        <v>4</v>
      </c>
      <c r="O97">
        <v>24</v>
      </c>
      <c r="S97" t="s">
        <v>431</v>
      </c>
      <c r="T97" s="1">
        <v>45494</v>
      </c>
      <c r="U97" s="1">
        <v>45534</v>
      </c>
      <c r="V97">
        <v>151574</v>
      </c>
      <c r="W97">
        <v>0.99719736800000003</v>
      </c>
      <c r="X97" s="4">
        <v>0.99668416689693295</v>
      </c>
      <c r="Y97" s="4" t="s">
        <v>431</v>
      </c>
      <c r="AH97">
        <v>0</v>
      </c>
      <c r="AI97">
        <v>357</v>
      </c>
    </row>
    <row r="98" spans="1:35" x14ac:dyDescent="0.25">
      <c r="A98" t="s">
        <v>51</v>
      </c>
      <c r="B98" t="s">
        <v>166</v>
      </c>
      <c r="C98">
        <v>1</v>
      </c>
      <c r="E98" t="s">
        <v>53</v>
      </c>
      <c r="F98">
        <v>5</v>
      </c>
      <c r="H98" t="s">
        <v>54</v>
      </c>
      <c r="I98">
        <v>100000</v>
      </c>
      <c r="J98" t="s">
        <v>82</v>
      </c>
      <c r="K98">
        <v>65</v>
      </c>
      <c r="L98">
        <v>501</v>
      </c>
      <c r="M98">
        <v>5001</v>
      </c>
      <c r="N98">
        <v>5</v>
      </c>
      <c r="O98">
        <v>1</v>
      </c>
      <c r="P98">
        <v>26</v>
      </c>
      <c r="Q98">
        <v>19.399999999999999</v>
      </c>
      <c r="R98">
        <v>1534</v>
      </c>
      <c r="S98">
        <v>1984</v>
      </c>
      <c r="T98" s="1">
        <v>45496</v>
      </c>
      <c r="U98" s="1">
        <v>45530</v>
      </c>
      <c r="V98">
        <v>151698</v>
      </c>
      <c r="W98">
        <v>0.99801315800000001</v>
      </c>
      <c r="X98" s="4">
        <v>0.99998684210526301</v>
      </c>
      <c r="Y98" s="4">
        <f t="shared" si="1"/>
        <v>1984.0261056066531</v>
      </c>
      <c r="AA98">
        <v>0.99900657900000001</v>
      </c>
      <c r="AB98">
        <v>1985.9729070000001</v>
      </c>
      <c r="AC98" cm="1">
        <f t="array" ref="AC98">_xlfn.IFS(W98&lt;0.6,S98,W98&gt;0.85,S98,W98,Y98)</f>
        <v>1984</v>
      </c>
      <c r="AH98">
        <v>0</v>
      </c>
      <c r="AI98">
        <v>5</v>
      </c>
    </row>
    <row r="99" spans="1:35" x14ac:dyDescent="0.25">
      <c r="A99" t="s">
        <v>51</v>
      </c>
      <c r="B99" t="s">
        <v>167</v>
      </c>
      <c r="C99">
        <v>1</v>
      </c>
      <c r="E99" t="s">
        <v>53</v>
      </c>
      <c r="F99">
        <v>26</v>
      </c>
      <c r="H99" t="s">
        <v>54</v>
      </c>
      <c r="I99">
        <v>150000</v>
      </c>
      <c r="J99" t="s">
        <v>55</v>
      </c>
      <c r="K99">
        <v>83</v>
      </c>
      <c r="L99">
        <v>502</v>
      </c>
      <c r="M99">
        <v>5002</v>
      </c>
      <c r="N99">
        <v>5</v>
      </c>
      <c r="O99">
        <v>2</v>
      </c>
      <c r="P99">
        <v>48</v>
      </c>
      <c r="Q99">
        <v>18.899999999999999</v>
      </c>
      <c r="R99">
        <v>1705</v>
      </c>
      <c r="S99">
        <v>2219</v>
      </c>
      <c r="T99" s="1">
        <v>45495</v>
      </c>
      <c r="U99" s="1">
        <v>45532</v>
      </c>
      <c r="V99">
        <v>149375</v>
      </c>
      <c r="W99">
        <v>0.98272379799999998</v>
      </c>
      <c r="X99" s="4">
        <v>0.99748684210526295</v>
      </c>
      <c r="Y99" s="4">
        <f t="shared" si="1"/>
        <v>2224.5907478003937</v>
      </c>
      <c r="AA99">
        <v>0.99136189900000005</v>
      </c>
      <c r="AB99">
        <v>2238.3349629999998</v>
      </c>
      <c r="AC99" cm="1">
        <f t="array" ref="AC99">_xlfn.IFS(W99&lt;0.6,S99,W99&gt;0.85,S99,W99,Y99)</f>
        <v>2219</v>
      </c>
      <c r="AH99">
        <v>0</v>
      </c>
      <c r="AI99">
        <v>26</v>
      </c>
    </row>
    <row r="100" spans="1:35" x14ac:dyDescent="0.25">
      <c r="A100" t="s">
        <v>51</v>
      </c>
      <c r="B100" t="s">
        <v>168</v>
      </c>
      <c r="C100">
        <v>1</v>
      </c>
      <c r="E100" t="s">
        <v>53</v>
      </c>
      <c r="F100">
        <v>35</v>
      </c>
      <c r="H100" t="s">
        <v>54</v>
      </c>
      <c r="I100">
        <v>75000</v>
      </c>
      <c r="J100" t="s">
        <v>73</v>
      </c>
      <c r="K100">
        <v>57</v>
      </c>
      <c r="L100">
        <v>503</v>
      </c>
      <c r="M100">
        <v>5003</v>
      </c>
      <c r="N100">
        <v>5</v>
      </c>
      <c r="O100">
        <v>3</v>
      </c>
      <c r="P100">
        <v>70</v>
      </c>
      <c r="Q100">
        <v>22</v>
      </c>
      <c r="R100">
        <v>693</v>
      </c>
      <c r="S100">
        <v>867</v>
      </c>
      <c r="T100" s="1">
        <v>45495</v>
      </c>
      <c r="V100">
        <v>144507</v>
      </c>
      <c r="W100">
        <v>0.950691438</v>
      </c>
      <c r="X100" s="4">
        <v>0.99451308569849595</v>
      </c>
      <c r="Y100" s="4">
        <f t="shared" si="1"/>
        <v>871.78340080971668</v>
      </c>
      <c r="AA100">
        <v>0.975345719</v>
      </c>
      <c r="AB100">
        <v>888.91557439999997</v>
      </c>
      <c r="AC100" cm="1">
        <f t="array" ref="AC100">_xlfn.IFS(W100&lt;0.6,S100,W100&gt;0.85,S100,W100,Y100)</f>
        <v>867</v>
      </c>
      <c r="AH100">
        <v>0</v>
      </c>
      <c r="AI100">
        <v>35</v>
      </c>
    </row>
    <row r="101" spans="1:35" x14ac:dyDescent="0.25">
      <c r="A101" t="s">
        <v>51</v>
      </c>
      <c r="B101" t="s">
        <v>169</v>
      </c>
      <c r="C101">
        <v>1</v>
      </c>
      <c r="E101" t="s">
        <v>53</v>
      </c>
      <c r="F101">
        <v>56</v>
      </c>
      <c r="H101" t="s">
        <v>61</v>
      </c>
      <c r="I101">
        <v>150000</v>
      </c>
      <c r="J101" t="s">
        <v>73</v>
      </c>
      <c r="K101">
        <v>42</v>
      </c>
      <c r="L101">
        <v>504</v>
      </c>
      <c r="M101">
        <v>5004</v>
      </c>
      <c r="N101">
        <v>5</v>
      </c>
      <c r="O101">
        <v>4</v>
      </c>
      <c r="P101">
        <v>70</v>
      </c>
      <c r="Q101">
        <v>19.600000000000001</v>
      </c>
      <c r="R101">
        <v>766</v>
      </c>
      <c r="S101">
        <v>988</v>
      </c>
      <c r="T101" s="1">
        <v>45494</v>
      </c>
      <c r="U101" s="1">
        <v>45537</v>
      </c>
      <c r="V101">
        <v>125912</v>
      </c>
      <c r="W101">
        <v>0.88918677400000001</v>
      </c>
      <c r="X101" s="4">
        <v>0.99259259259259303</v>
      </c>
      <c r="Y101" s="4">
        <f t="shared" si="1"/>
        <v>995.37313432835776</v>
      </c>
      <c r="AA101">
        <v>0.91418148600000004</v>
      </c>
      <c r="AB101">
        <v>1080.748206</v>
      </c>
      <c r="AC101" cm="1">
        <f t="array" ref="AC101">_xlfn.IFS(W101&lt;0.6,S101,W101&gt;0.85,S101,W101,Y101)</f>
        <v>988</v>
      </c>
      <c r="AH101">
        <v>0</v>
      </c>
      <c r="AI101">
        <v>56</v>
      </c>
    </row>
    <row r="102" spans="1:35" x14ac:dyDescent="0.25">
      <c r="A102" t="s">
        <v>51</v>
      </c>
      <c r="B102" t="s">
        <v>170</v>
      </c>
      <c r="C102">
        <v>1</v>
      </c>
      <c r="E102" t="s">
        <v>53</v>
      </c>
      <c r="F102">
        <v>65</v>
      </c>
      <c r="H102" t="s">
        <v>61</v>
      </c>
      <c r="I102">
        <v>75000</v>
      </c>
      <c r="J102" t="s">
        <v>57</v>
      </c>
      <c r="K102">
        <v>6</v>
      </c>
      <c r="L102">
        <v>505</v>
      </c>
      <c r="M102">
        <v>5005</v>
      </c>
      <c r="N102">
        <v>5</v>
      </c>
      <c r="O102">
        <v>5</v>
      </c>
      <c r="P102">
        <v>72</v>
      </c>
      <c r="Q102">
        <v>18.899999999999999</v>
      </c>
      <c r="R102">
        <v>740</v>
      </c>
      <c r="S102">
        <v>963</v>
      </c>
      <c r="T102" s="1">
        <v>45490</v>
      </c>
      <c r="U102" s="1">
        <v>45524</v>
      </c>
      <c r="V102">
        <v>118856</v>
      </c>
      <c r="W102">
        <v>0.87835420399999997</v>
      </c>
      <c r="X102" s="4">
        <v>0.97042513863216295</v>
      </c>
      <c r="Y102" s="4">
        <f t="shared" si="1"/>
        <v>992.34857142857118</v>
      </c>
      <c r="AA102">
        <v>0.89097111200000001</v>
      </c>
      <c r="AB102">
        <v>1080.843124</v>
      </c>
      <c r="AC102" cm="1">
        <f t="array" ref="AC102">_xlfn.IFS(W102&lt;0.6,S102,W102&gt;0.85,S102,W102,Y102)</f>
        <v>963</v>
      </c>
      <c r="AH102">
        <v>0</v>
      </c>
      <c r="AI102">
        <v>65</v>
      </c>
    </row>
    <row r="103" spans="1:35" x14ac:dyDescent="0.25">
      <c r="A103" t="s">
        <v>51</v>
      </c>
      <c r="B103" t="s">
        <v>171</v>
      </c>
      <c r="C103">
        <v>1</v>
      </c>
      <c r="E103" t="s">
        <v>53</v>
      </c>
      <c r="F103">
        <v>86</v>
      </c>
      <c r="H103" t="s">
        <v>61</v>
      </c>
      <c r="I103">
        <v>100000</v>
      </c>
      <c r="J103" t="s">
        <v>95</v>
      </c>
      <c r="K103">
        <v>22</v>
      </c>
      <c r="L103">
        <v>506</v>
      </c>
      <c r="M103">
        <v>5006</v>
      </c>
      <c r="N103">
        <v>5</v>
      </c>
      <c r="O103">
        <v>6</v>
      </c>
      <c r="P103">
        <v>47</v>
      </c>
      <c r="Q103">
        <v>20.5</v>
      </c>
      <c r="R103">
        <v>955</v>
      </c>
      <c r="S103">
        <v>1218</v>
      </c>
      <c r="T103" s="1">
        <v>45497</v>
      </c>
      <c r="V103">
        <v>94032</v>
      </c>
      <c r="W103">
        <v>0.65652951699999995</v>
      </c>
      <c r="X103" s="4">
        <v>0.76481481481481495</v>
      </c>
      <c r="Y103" s="4">
        <f t="shared" si="1"/>
        <v>1592.5423728813557</v>
      </c>
      <c r="AA103">
        <v>0.80931578999999998</v>
      </c>
      <c r="AB103">
        <v>1504.9749629999999</v>
      </c>
      <c r="AC103" cm="1">
        <f t="array" ref="AC103">_xlfn.IFS(W103&lt;0.6,S103,W103&gt;0.85,S103,W103,Y103)</f>
        <v>1592.5423728813557</v>
      </c>
      <c r="AH103">
        <v>0</v>
      </c>
      <c r="AI103">
        <v>86</v>
      </c>
    </row>
    <row r="104" spans="1:35" x14ac:dyDescent="0.25">
      <c r="A104" t="s">
        <v>51</v>
      </c>
      <c r="B104" t="s">
        <v>172</v>
      </c>
      <c r="C104">
        <v>2</v>
      </c>
      <c r="E104" t="s">
        <v>53</v>
      </c>
      <c r="F104">
        <v>95</v>
      </c>
      <c r="H104" t="s">
        <v>61</v>
      </c>
      <c r="I104">
        <v>75000</v>
      </c>
      <c r="J104" t="s">
        <v>110</v>
      </c>
      <c r="K104">
        <v>9</v>
      </c>
      <c r="L104">
        <v>507</v>
      </c>
      <c r="M104">
        <v>5007</v>
      </c>
      <c r="N104">
        <v>5</v>
      </c>
      <c r="O104">
        <v>7</v>
      </c>
      <c r="P104">
        <v>65</v>
      </c>
      <c r="Q104">
        <v>19.899999999999999</v>
      </c>
      <c r="R104">
        <v>378</v>
      </c>
      <c r="S104">
        <v>486</v>
      </c>
      <c r="T104" s="1">
        <v>45488</v>
      </c>
      <c r="U104" s="1">
        <v>45522</v>
      </c>
      <c r="V104">
        <v>115916</v>
      </c>
      <c r="W104">
        <v>0.78342246000000004</v>
      </c>
      <c r="X104" s="4">
        <v>0.96296296296296302</v>
      </c>
      <c r="Y104" s="4">
        <f t="shared" si="1"/>
        <v>504.69230769230768</v>
      </c>
      <c r="AA104">
        <v>0.88130514000000004</v>
      </c>
      <c r="AB104">
        <v>551.45485710000003</v>
      </c>
      <c r="AC104" cm="1">
        <f t="array" ref="AC104">_xlfn.IFS(W104&lt;0.6,S104,W104&gt;0.85,S104,W104,Y104)</f>
        <v>504.69230769230768</v>
      </c>
      <c r="AH104">
        <v>0</v>
      </c>
      <c r="AI104">
        <v>95</v>
      </c>
    </row>
    <row r="105" spans="1:35" x14ac:dyDescent="0.25">
      <c r="A105" t="s">
        <v>51</v>
      </c>
      <c r="B105" t="s">
        <v>173</v>
      </c>
      <c r="C105">
        <v>2</v>
      </c>
      <c r="E105" t="s">
        <v>53</v>
      </c>
      <c r="F105">
        <v>116</v>
      </c>
      <c r="H105" t="s">
        <v>61</v>
      </c>
      <c r="I105">
        <v>150000</v>
      </c>
      <c r="J105" t="s">
        <v>77</v>
      </c>
      <c r="K105">
        <v>34</v>
      </c>
      <c r="L105">
        <v>508</v>
      </c>
      <c r="M105">
        <v>5008</v>
      </c>
      <c r="N105">
        <v>5</v>
      </c>
      <c r="O105">
        <v>8</v>
      </c>
      <c r="P105">
        <v>70</v>
      </c>
      <c r="Q105">
        <v>22.8</v>
      </c>
      <c r="R105">
        <v>873</v>
      </c>
      <c r="S105">
        <v>1081</v>
      </c>
      <c r="T105" s="1">
        <v>45498</v>
      </c>
      <c r="V105">
        <v>110257</v>
      </c>
      <c r="W105">
        <v>0.85790884700000003</v>
      </c>
      <c r="X105" s="4">
        <v>1</v>
      </c>
      <c r="Y105" s="4">
        <f t="shared" si="1"/>
        <v>1081</v>
      </c>
      <c r="AA105">
        <v>0.86268750000000005</v>
      </c>
      <c r="AB105">
        <v>1253.060929</v>
      </c>
      <c r="AC105" cm="1">
        <f t="array" ref="AC105">_xlfn.IFS(W105&lt;0.6,S105,W105&gt;0.85,S105,W105,Y105)</f>
        <v>1081</v>
      </c>
      <c r="AH105">
        <v>0</v>
      </c>
      <c r="AI105">
        <v>116</v>
      </c>
    </row>
    <row r="106" spans="1:35" x14ac:dyDescent="0.25">
      <c r="A106" t="s">
        <v>51</v>
      </c>
      <c r="B106" t="s">
        <v>174</v>
      </c>
      <c r="C106">
        <v>2</v>
      </c>
      <c r="E106" t="s">
        <v>53</v>
      </c>
      <c r="F106">
        <v>125</v>
      </c>
      <c r="H106" t="s">
        <v>61</v>
      </c>
      <c r="I106">
        <v>100000</v>
      </c>
      <c r="J106" t="s">
        <v>71</v>
      </c>
      <c r="K106">
        <v>26</v>
      </c>
      <c r="L106">
        <v>509</v>
      </c>
      <c r="M106">
        <v>5009</v>
      </c>
      <c r="N106">
        <v>5</v>
      </c>
      <c r="O106">
        <v>9</v>
      </c>
      <c r="P106">
        <v>60</v>
      </c>
      <c r="Q106">
        <v>20.8</v>
      </c>
      <c r="R106">
        <v>672</v>
      </c>
      <c r="S106">
        <v>854</v>
      </c>
      <c r="T106" s="1">
        <v>45492</v>
      </c>
      <c r="U106" s="1">
        <v>45523</v>
      </c>
      <c r="V106">
        <v>130871</v>
      </c>
      <c r="W106">
        <v>0.92576028600000004</v>
      </c>
      <c r="X106" s="4">
        <v>0.99814126394052005</v>
      </c>
      <c r="Y106" s="4">
        <f t="shared" si="1"/>
        <v>855.59031657355717</v>
      </c>
      <c r="AA106">
        <v>0.93049387900000002</v>
      </c>
      <c r="AB106">
        <v>917.79217440000002</v>
      </c>
      <c r="AC106" cm="1">
        <f t="array" ref="AC106">_xlfn.IFS(W106&lt;0.6,S106,W106&gt;0.85,S106,W106,Y106)</f>
        <v>854</v>
      </c>
      <c r="AH106">
        <v>0</v>
      </c>
      <c r="AI106">
        <v>125</v>
      </c>
    </row>
    <row r="107" spans="1:35" x14ac:dyDescent="0.25">
      <c r="A107" t="s">
        <v>51</v>
      </c>
      <c r="B107" t="s">
        <v>175</v>
      </c>
      <c r="C107">
        <v>2</v>
      </c>
      <c r="E107" t="s">
        <v>53</v>
      </c>
      <c r="F107">
        <v>146</v>
      </c>
      <c r="H107" t="s">
        <v>54</v>
      </c>
      <c r="I107">
        <v>100000</v>
      </c>
      <c r="J107" t="s">
        <v>110</v>
      </c>
      <c r="K107">
        <v>69</v>
      </c>
      <c r="L107">
        <v>510</v>
      </c>
      <c r="M107">
        <v>5010</v>
      </c>
      <c r="N107">
        <v>5</v>
      </c>
      <c r="O107">
        <v>10</v>
      </c>
      <c r="P107">
        <v>62</v>
      </c>
      <c r="Q107">
        <v>20.5</v>
      </c>
      <c r="R107">
        <v>538</v>
      </c>
      <c r="S107">
        <v>686</v>
      </c>
      <c r="T107" s="1">
        <v>45489</v>
      </c>
      <c r="U107" s="1">
        <v>45523</v>
      </c>
      <c r="V107">
        <v>151811</v>
      </c>
      <c r="W107">
        <v>0.99875000800000002</v>
      </c>
      <c r="X107" s="4">
        <v>0.99989473822712904</v>
      </c>
      <c r="Y107" s="4">
        <f t="shared" si="1"/>
        <v>686.07221717789764</v>
      </c>
      <c r="AA107">
        <v>0.99937500400000001</v>
      </c>
      <c r="AB107">
        <v>686.42901540000003</v>
      </c>
      <c r="AC107" cm="1">
        <f t="array" ref="AC107">_xlfn.IFS(W107&lt;0.6,S107,W107&gt;0.85,S107,W107,Y107)</f>
        <v>686</v>
      </c>
      <c r="AH107">
        <v>0</v>
      </c>
      <c r="AI107">
        <v>146</v>
      </c>
    </row>
    <row r="108" spans="1:35" x14ac:dyDescent="0.25">
      <c r="A108" t="s">
        <v>51</v>
      </c>
      <c r="B108" t="s">
        <v>176</v>
      </c>
      <c r="C108">
        <v>2</v>
      </c>
      <c r="E108" t="s">
        <v>53</v>
      </c>
      <c r="F108">
        <v>155</v>
      </c>
      <c r="H108" t="s">
        <v>54</v>
      </c>
      <c r="I108">
        <v>75000</v>
      </c>
      <c r="J108" t="s">
        <v>62</v>
      </c>
      <c r="K108">
        <v>47</v>
      </c>
      <c r="L108">
        <v>511</v>
      </c>
      <c r="M108">
        <v>5011</v>
      </c>
      <c r="N108">
        <v>5</v>
      </c>
      <c r="O108">
        <v>11</v>
      </c>
      <c r="P108">
        <v>37</v>
      </c>
      <c r="Q108">
        <v>19.7</v>
      </c>
      <c r="R108">
        <v>1726</v>
      </c>
      <c r="S108">
        <v>2224</v>
      </c>
      <c r="T108" s="1">
        <v>45496</v>
      </c>
      <c r="U108" s="1">
        <v>45536</v>
      </c>
      <c r="V108">
        <v>151265</v>
      </c>
      <c r="W108">
        <v>0.99518411500000004</v>
      </c>
      <c r="X108" s="4">
        <v>0.991894523540093</v>
      </c>
      <c r="Y108" s="4">
        <f t="shared" si="1"/>
        <v>2242.1738876654908</v>
      </c>
      <c r="AA108">
        <v>0.99759205799999995</v>
      </c>
      <c r="AB108">
        <v>2229.3681900000001</v>
      </c>
      <c r="AC108" cm="1">
        <f t="array" ref="AC108">_xlfn.IFS(W108&lt;0.6,S108,W108&gt;0.85,S108,W108,Y108)</f>
        <v>2224</v>
      </c>
      <c r="AH108">
        <v>0</v>
      </c>
      <c r="AI108">
        <v>155</v>
      </c>
    </row>
    <row r="109" spans="1:35" x14ac:dyDescent="0.25">
      <c r="A109" t="s">
        <v>51</v>
      </c>
      <c r="B109" t="s">
        <v>177</v>
      </c>
      <c r="C109">
        <v>2</v>
      </c>
      <c r="E109" t="s">
        <v>53</v>
      </c>
      <c r="F109">
        <v>176</v>
      </c>
      <c r="H109" t="s">
        <v>54</v>
      </c>
      <c r="I109">
        <v>150000</v>
      </c>
      <c r="J109" t="s">
        <v>71</v>
      </c>
      <c r="K109">
        <v>86</v>
      </c>
      <c r="L109">
        <v>512</v>
      </c>
      <c r="M109">
        <v>5012</v>
      </c>
      <c r="N109">
        <v>5</v>
      </c>
      <c r="O109">
        <v>12</v>
      </c>
      <c r="P109">
        <v>58</v>
      </c>
      <c r="Q109">
        <v>20</v>
      </c>
      <c r="R109">
        <v>867</v>
      </c>
      <c r="S109">
        <v>1113</v>
      </c>
      <c r="T109" s="1">
        <v>45491</v>
      </c>
      <c r="U109" s="1">
        <v>45525</v>
      </c>
      <c r="V109">
        <v>148921</v>
      </c>
      <c r="W109">
        <v>0.979743421</v>
      </c>
      <c r="X109" s="4">
        <v>0.990368294319662</v>
      </c>
      <c r="Y109" s="4">
        <f t="shared" si="1"/>
        <v>1123.8243453306231</v>
      </c>
      <c r="AA109">
        <v>0.98987171100000004</v>
      </c>
      <c r="AB109">
        <v>1124.3881280000001</v>
      </c>
      <c r="AC109" cm="1">
        <f t="array" ref="AC109">_xlfn.IFS(W109&lt;0.6,S109,W109&gt;0.85,S109,W109,Y109)</f>
        <v>1113</v>
      </c>
      <c r="AH109">
        <v>0</v>
      </c>
      <c r="AI109">
        <v>176</v>
      </c>
    </row>
    <row r="110" spans="1:35" x14ac:dyDescent="0.25">
      <c r="A110" t="s">
        <v>51</v>
      </c>
      <c r="B110" t="s">
        <v>178</v>
      </c>
      <c r="C110">
        <v>3</v>
      </c>
      <c r="E110" t="s">
        <v>53</v>
      </c>
      <c r="F110">
        <v>185</v>
      </c>
      <c r="H110" t="s">
        <v>61</v>
      </c>
      <c r="I110">
        <v>150000</v>
      </c>
      <c r="J110" t="s">
        <v>110</v>
      </c>
      <c r="K110">
        <v>39</v>
      </c>
      <c r="L110">
        <v>513</v>
      </c>
      <c r="M110">
        <v>5013</v>
      </c>
      <c r="N110">
        <v>5</v>
      </c>
      <c r="O110">
        <v>13</v>
      </c>
      <c r="P110">
        <v>62</v>
      </c>
      <c r="Q110">
        <v>18.100000000000001</v>
      </c>
      <c r="R110">
        <v>441</v>
      </c>
      <c r="S110">
        <v>580</v>
      </c>
      <c r="T110" s="1">
        <v>45490</v>
      </c>
      <c r="U110" s="1">
        <v>45524</v>
      </c>
      <c r="V110">
        <v>126287</v>
      </c>
      <c r="W110">
        <v>0.96969696999999999</v>
      </c>
      <c r="X110" s="4">
        <v>1</v>
      </c>
      <c r="Y110" s="4">
        <f t="shared" si="1"/>
        <v>580</v>
      </c>
      <c r="AA110">
        <v>0.91541229700000004</v>
      </c>
      <c r="AB110">
        <v>633.59428519999994</v>
      </c>
      <c r="AC110" cm="1">
        <f t="array" ref="AC110">_xlfn.IFS(W110&lt;0.6,S110,W110&gt;0.85,S110,W110,Y110)</f>
        <v>580</v>
      </c>
      <c r="AH110">
        <v>0</v>
      </c>
      <c r="AI110">
        <v>185</v>
      </c>
    </row>
    <row r="111" spans="1:35" x14ac:dyDescent="0.25">
      <c r="A111" t="s">
        <v>51</v>
      </c>
      <c r="B111" t="s">
        <v>179</v>
      </c>
      <c r="C111">
        <v>3</v>
      </c>
      <c r="E111" t="s">
        <v>53</v>
      </c>
      <c r="F111">
        <v>206</v>
      </c>
      <c r="H111" t="s">
        <v>61</v>
      </c>
      <c r="I111">
        <v>75000</v>
      </c>
      <c r="J111" t="s">
        <v>71</v>
      </c>
      <c r="K111">
        <v>11</v>
      </c>
      <c r="L111">
        <v>514</v>
      </c>
      <c r="M111">
        <v>5014</v>
      </c>
      <c r="N111">
        <v>5</v>
      </c>
      <c r="O111">
        <v>14</v>
      </c>
      <c r="P111">
        <v>60</v>
      </c>
      <c r="Q111">
        <v>19</v>
      </c>
      <c r="R111">
        <v>482</v>
      </c>
      <c r="S111">
        <v>626</v>
      </c>
      <c r="T111" s="1">
        <v>45488</v>
      </c>
      <c r="U111" s="1">
        <v>45525</v>
      </c>
      <c r="V111">
        <v>89469</v>
      </c>
      <c r="W111">
        <v>0.69313113299999995</v>
      </c>
      <c r="X111" s="4">
        <v>0.85687732342007406</v>
      </c>
      <c r="Y111" s="4">
        <f t="shared" si="1"/>
        <v>730.55965292841677</v>
      </c>
      <c r="AA111">
        <v>0.79430592099999997</v>
      </c>
      <c r="AB111">
        <v>788.1094468</v>
      </c>
      <c r="AC111" cm="1">
        <f t="array" ref="AC111">_xlfn.IFS(W111&lt;0.6,S111,W111&gt;0.85,S111,W111,Y111)</f>
        <v>730.55965292841677</v>
      </c>
      <c r="AH111">
        <v>0</v>
      </c>
      <c r="AI111">
        <v>206</v>
      </c>
    </row>
    <row r="112" spans="1:35" x14ac:dyDescent="0.25">
      <c r="A112" t="s">
        <v>51</v>
      </c>
      <c r="B112" t="s">
        <v>180</v>
      </c>
      <c r="C112">
        <v>3</v>
      </c>
      <c r="E112" t="s">
        <v>53</v>
      </c>
      <c r="F112">
        <v>215</v>
      </c>
      <c r="H112" t="s">
        <v>61</v>
      </c>
      <c r="I112">
        <v>100000</v>
      </c>
      <c r="J112" t="s">
        <v>99</v>
      </c>
      <c r="K112">
        <v>30</v>
      </c>
      <c r="L112">
        <v>515</v>
      </c>
      <c r="M112">
        <v>5015</v>
      </c>
      <c r="N112">
        <v>5</v>
      </c>
      <c r="O112">
        <v>15</v>
      </c>
      <c r="P112">
        <v>26</v>
      </c>
      <c r="Q112">
        <v>19</v>
      </c>
      <c r="R112">
        <v>1395</v>
      </c>
      <c r="S112">
        <v>1813</v>
      </c>
      <c r="T112" s="1">
        <v>45497</v>
      </c>
      <c r="U112" s="1">
        <v>45534</v>
      </c>
      <c r="V112">
        <v>111164</v>
      </c>
      <c r="W112">
        <v>0.84539767600000004</v>
      </c>
      <c r="X112" s="4">
        <v>0.88909426987061002</v>
      </c>
      <c r="Y112" s="4">
        <f t="shared" si="1"/>
        <v>2039.153846153846</v>
      </c>
      <c r="AA112">
        <v>0.86567586399999996</v>
      </c>
      <c r="AB112">
        <v>2094.3173710000001</v>
      </c>
      <c r="AC112" cm="1">
        <f t="array" ref="AC112">_xlfn.IFS(W112&lt;0.6,S112,W112&gt;0.85,S112,W112,Y112)</f>
        <v>2039.153846153846</v>
      </c>
      <c r="AH112">
        <v>0</v>
      </c>
      <c r="AI112">
        <v>215</v>
      </c>
    </row>
    <row r="113" spans="1:35" x14ac:dyDescent="0.25">
      <c r="A113" t="s">
        <v>51</v>
      </c>
      <c r="B113" t="s">
        <v>181</v>
      </c>
      <c r="C113">
        <v>3</v>
      </c>
      <c r="E113" t="s">
        <v>53</v>
      </c>
      <c r="F113">
        <v>236</v>
      </c>
      <c r="H113" t="s">
        <v>54</v>
      </c>
      <c r="I113">
        <v>100000</v>
      </c>
      <c r="J113" t="s">
        <v>55</v>
      </c>
      <c r="K113">
        <v>68</v>
      </c>
      <c r="L113">
        <v>516</v>
      </c>
      <c r="M113">
        <v>5016</v>
      </c>
      <c r="N113">
        <v>5</v>
      </c>
      <c r="O113">
        <v>16</v>
      </c>
      <c r="S113" t="s">
        <v>431</v>
      </c>
      <c r="T113" s="1">
        <v>45497</v>
      </c>
      <c r="U113" s="1">
        <v>45534</v>
      </c>
      <c r="V113">
        <v>140570</v>
      </c>
      <c r="W113">
        <v>0.92480263200000001</v>
      </c>
      <c r="X113" s="4">
        <v>0.98498703964421497</v>
      </c>
      <c r="Y113" s="4" t="s">
        <v>431</v>
      </c>
      <c r="AH113">
        <v>0</v>
      </c>
      <c r="AI113">
        <v>236</v>
      </c>
    </row>
    <row r="114" spans="1:35" x14ac:dyDescent="0.25">
      <c r="A114" t="s">
        <v>51</v>
      </c>
      <c r="B114" t="s">
        <v>182</v>
      </c>
      <c r="C114">
        <v>3</v>
      </c>
      <c r="E114" t="s">
        <v>53</v>
      </c>
      <c r="F114">
        <v>245</v>
      </c>
      <c r="H114" t="s">
        <v>54</v>
      </c>
      <c r="I114">
        <v>150000</v>
      </c>
      <c r="J114" t="s">
        <v>82</v>
      </c>
      <c r="K114">
        <v>80</v>
      </c>
      <c r="L114">
        <v>517</v>
      </c>
      <c r="M114">
        <v>5017</v>
      </c>
      <c r="N114">
        <v>5</v>
      </c>
      <c r="O114">
        <v>17</v>
      </c>
      <c r="P114">
        <v>48</v>
      </c>
      <c r="Q114">
        <v>17.899999999999999</v>
      </c>
      <c r="R114">
        <v>1973</v>
      </c>
      <c r="S114">
        <v>2599</v>
      </c>
      <c r="T114" s="1">
        <v>45494</v>
      </c>
      <c r="U114" s="1">
        <v>45527</v>
      </c>
      <c r="V114">
        <v>151532</v>
      </c>
      <c r="W114">
        <v>0.99690793499999997</v>
      </c>
      <c r="X114" s="4">
        <v>0.99976316101103901</v>
      </c>
      <c r="Y114" s="4">
        <f t="shared" si="1"/>
        <v>2599.6156903517899</v>
      </c>
      <c r="AA114">
        <v>0.99845396799999997</v>
      </c>
      <c r="AB114">
        <v>2603.0243599999999</v>
      </c>
      <c r="AC114" cm="1">
        <f t="array" ref="AC114">_xlfn.IFS(W114&lt;0.6,S114,W114&gt;0.85,S114,W114,Y114)</f>
        <v>2599</v>
      </c>
      <c r="AH114">
        <v>0</v>
      </c>
      <c r="AI114">
        <v>245</v>
      </c>
    </row>
    <row r="115" spans="1:35" x14ac:dyDescent="0.25">
      <c r="A115" t="s">
        <v>51</v>
      </c>
      <c r="B115" t="s">
        <v>183</v>
      </c>
      <c r="C115">
        <v>3</v>
      </c>
      <c r="E115" t="s">
        <v>53</v>
      </c>
      <c r="F115">
        <v>266</v>
      </c>
      <c r="H115" t="s">
        <v>54</v>
      </c>
      <c r="I115">
        <v>75000</v>
      </c>
      <c r="J115" t="s">
        <v>99</v>
      </c>
      <c r="K115">
        <v>60</v>
      </c>
      <c r="L115">
        <v>518</v>
      </c>
      <c r="M115">
        <v>5018</v>
      </c>
      <c r="N115">
        <v>5</v>
      </c>
      <c r="O115">
        <v>18</v>
      </c>
      <c r="P115">
        <v>27</v>
      </c>
      <c r="Q115">
        <v>18.600000000000001</v>
      </c>
      <c r="R115">
        <v>1694</v>
      </c>
      <c r="S115">
        <v>2213</v>
      </c>
      <c r="T115" s="1">
        <v>45494</v>
      </c>
      <c r="U115" s="1">
        <v>45530</v>
      </c>
      <c r="V115">
        <v>127655</v>
      </c>
      <c r="W115">
        <v>0.83984105200000003</v>
      </c>
      <c r="X115" s="4">
        <v>0.93919816844515203</v>
      </c>
      <c r="Y115" s="4">
        <f t="shared" si="1"/>
        <v>2356.2652423648083</v>
      </c>
      <c r="AA115">
        <v>0.91992052599999996</v>
      </c>
      <c r="AB115">
        <v>2405.6425939999999</v>
      </c>
      <c r="AC115" cm="1">
        <f t="array" ref="AC115">_xlfn.IFS(W115&lt;0.6,S115,W115&gt;0.85,S115,W115,Y115)</f>
        <v>2356.2652423648083</v>
      </c>
      <c r="AH115">
        <v>0</v>
      </c>
      <c r="AI115">
        <v>266</v>
      </c>
    </row>
    <row r="116" spans="1:35" x14ac:dyDescent="0.25">
      <c r="A116" t="s">
        <v>51</v>
      </c>
      <c r="B116" t="s">
        <v>184</v>
      </c>
      <c r="C116">
        <v>4</v>
      </c>
      <c r="E116" t="s">
        <v>53</v>
      </c>
      <c r="F116">
        <v>275</v>
      </c>
      <c r="H116" t="s">
        <v>61</v>
      </c>
      <c r="I116">
        <v>75000</v>
      </c>
      <c r="J116" t="s">
        <v>57</v>
      </c>
      <c r="K116">
        <v>6</v>
      </c>
      <c r="L116">
        <v>519</v>
      </c>
      <c r="M116">
        <v>5019</v>
      </c>
      <c r="N116">
        <v>5</v>
      </c>
      <c r="O116">
        <v>19</v>
      </c>
      <c r="P116">
        <v>59</v>
      </c>
      <c r="Q116">
        <v>18.8</v>
      </c>
      <c r="R116">
        <v>592</v>
      </c>
      <c r="S116">
        <v>771</v>
      </c>
      <c r="T116" s="1">
        <v>45491</v>
      </c>
      <c r="U116" s="1">
        <v>45524</v>
      </c>
      <c r="V116">
        <v>119543</v>
      </c>
      <c r="W116">
        <v>0.90178571399999996</v>
      </c>
      <c r="X116" s="4">
        <v>0.94805194805194803</v>
      </c>
      <c r="Y116" s="4">
        <f t="shared" si="1"/>
        <v>813.2465753424658</v>
      </c>
      <c r="AA116">
        <v>0.89323613999999996</v>
      </c>
      <c r="AB116">
        <v>863.15361180000002</v>
      </c>
      <c r="AC116" cm="1">
        <f t="array" ref="AC116">_xlfn.IFS(W116&lt;0.6,S116,W116&gt;0.85,S116,W116,Y116)</f>
        <v>771</v>
      </c>
      <c r="AH116">
        <v>0</v>
      </c>
      <c r="AI116">
        <v>275</v>
      </c>
    </row>
    <row r="117" spans="1:35" x14ac:dyDescent="0.25">
      <c r="A117" t="s">
        <v>51</v>
      </c>
      <c r="B117" t="s">
        <v>185</v>
      </c>
      <c r="C117">
        <v>4</v>
      </c>
      <c r="E117" t="s">
        <v>53</v>
      </c>
      <c r="F117">
        <v>296</v>
      </c>
      <c r="H117" t="s">
        <v>61</v>
      </c>
      <c r="I117">
        <v>100000</v>
      </c>
      <c r="J117" t="s">
        <v>62</v>
      </c>
      <c r="K117">
        <v>17</v>
      </c>
      <c r="L117">
        <v>520</v>
      </c>
      <c r="M117">
        <v>5020</v>
      </c>
      <c r="N117">
        <v>5</v>
      </c>
      <c r="O117">
        <v>20</v>
      </c>
      <c r="P117">
        <v>26</v>
      </c>
      <c r="Q117">
        <v>18</v>
      </c>
      <c r="R117">
        <v>1756</v>
      </c>
      <c r="S117">
        <v>2311</v>
      </c>
      <c r="T117" s="1">
        <v>45498</v>
      </c>
      <c r="U117" s="1">
        <v>45535</v>
      </c>
      <c r="V117">
        <v>125535</v>
      </c>
      <c r="W117">
        <v>0.936436885</v>
      </c>
      <c r="X117" s="4">
        <v>0.95724907063196996</v>
      </c>
      <c r="Y117" s="4">
        <f t="shared" si="1"/>
        <v>2414.2097087378647</v>
      </c>
      <c r="AA117">
        <v>0.91294136199999998</v>
      </c>
      <c r="AB117">
        <v>2531.3783520000002</v>
      </c>
      <c r="AC117" cm="1">
        <f t="array" ref="AC117">_xlfn.IFS(W117&lt;0.6,S117,W117&gt;0.85,S117,W117,Y117)</f>
        <v>2311</v>
      </c>
      <c r="AH117">
        <v>0</v>
      </c>
      <c r="AI117">
        <v>296</v>
      </c>
    </row>
    <row r="118" spans="1:35" x14ac:dyDescent="0.25">
      <c r="A118" t="s">
        <v>51</v>
      </c>
      <c r="B118" t="s">
        <v>186</v>
      </c>
      <c r="C118">
        <v>4</v>
      </c>
      <c r="E118" t="s">
        <v>53</v>
      </c>
      <c r="F118">
        <v>305</v>
      </c>
      <c r="H118" t="s">
        <v>61</v>
      </c>
      <c r="I118">
        <v>150000</v>
      </c>
      <c r="J118" t="s">
        <v>95</v>
      </c>
      <c r="K118">
        <v>37</v>
      </c>
      <c r="L118">
        <v>521</v>
      </c>
      <c r="M118">
        <v>5021</v>
      </c>
      <c r="N118">
        <v>5</v>
      </c>
      <c r="O118">
        <v>21</v>
      </c>
      <c r="P118">
        <v>40</v>
      </c>
      <c r="Q118">
        <v>18.399999999999999</v>
      </c>
      <c r="R118">
        <v>1332</v>
      </c>
      <c r="S118">
        <v>1744</v>
      </c>
      <c r="T118" s="1">
        <v>45499</v>
      </c>
      <c r="U118" s="1">
        <v>45535</v>
      </c>
      <c r="V118">
        <v>123300</v>
      </c>
      <c r="W118">
        <v>0.84861976800000005</v>
      </c>
      <c r="X118" s="4">
        <v>0.91666666666666696</v>
      </c>
      <c r="Y118" s="4">
        <f t="shared" si="1"/>
        <v>1902.5454545454538</v>
      </c>
      <c r="AA118">
        <v>0.90558943700000005</v>
      </c>
      <c r="AB118">
        <v>1925.8175160000001</v>
      </c>
      <c r="AC118" cm="1">
        <f t="array" ref="AC118">_xlfn.IFS(W118&lt;0.6,S118,W118&gt;0.85,S118,W118,Y118)</f>
        <v>1902.5454545454538</v>
      </c>
      <c r="AH118">
        <v>0</v>
      </c>
      <c r="AI118">
        <v>305</v>
      </c>
    </row>
    <row r="119" spans="1:35" x14ac:dyDescent="0.25">
      <c r="A119" t="s">
        <v>51</v>
      </c>
      <c r="B119" t="s">
        <v>187</v>
      </c>
      <c r="C119">
        <v>4</v>
      </c>
      <c r="E119" t="s">
        <v>53</v>
      </c>
      <c r="F119">
        <v>326</v>
      </c>
      <c r="H119" t="s">
        <v>54</v>
      </c>
      <c r="I119">
        <v>150000</v>
      </c>
      <c r="J119" t="s">
        <v>99</v>
      </c>
      <c r="K119">
        <v>90</v>
      </c>
      <c r="L119">
        <v>522</v>
      </c>
      <c r="M119">
        <v>5022</v>
      </c>
      <c r="N119">
        <v>5</v>
      </c>
      <c r="O119">
        <v>22</v>
      </c>
      <c r="P119">
        <v>24</v>
      </c>
      <c r="Q119">
        <v>19.3</v>
      </c>
      <c r="R119">
        <v>1872</v>
      </c>
      <c r="S119">
        <v>2424</v>
      </c>
      <c r="T119" s="1">
        <v>45498</v>
      </c>
      <c r="U119" s="1">
        <v>45528</v>
      </c>
      <c r="V119">
        <v>146106</v>
      </c>
      <c r="W119">
        <v>0.96123633200000003</v>
      </c>
      <c r="X119" s="4">
        <v>0.98822368421052598</v>
      </c>
      <c r="Y119" s="4">
        <f t="shared" si="1"/>
        <v>2452.8859596564816</v>
      </c>
      <c r="AA119">
        <v>0.98061816599999996</v>
      </c>
      <c r="AB119">
        <v>2471.9101519999999</v>
      </c>
      <c r="AC119" cm="1">
        <f t="array" ref="AC119">_xlfn.IFS(W119&lt;0.6,S119,W119&gt;0.85,S119,W119,Y119)</f>
        <v>2424</v>
      </c>
      <c r="AH119">
        <v>0</v>
      </c>
      <c r="AI119">
        <v>326</v>
      </c>
    </row>
    <row r="120" spans="1:35" x14ac:dyDescent="0.25">
      <c r="A120" t="s">
        <v>51</v>
      </c>
      <c r="B120" t="s">
        <v>188</v>
      </c>
      <c r="C120">
        <v>4</v>
      </c>
      <c r="E120" t="s">
        <v>53</v>
      </c>
      <c r="F120">
        <v>335</v>
      </c>
      <c r="H120" t="s">
        <v>54</v>
      </c>
      <c r="I120">
        <v>100000</v>
      </c>
      <c r="J120" t="s">
        <v>80</v>
      </c>
      <c r="K120">
        <v>61</v>
      </c>
      <c r="L120">
        <v>523</v>
      </c>
      <c r="M120">
        <v>5023</v>
      </c>
      <c r="N120">
        <v>5</v>
      </c>
      <c r="O120">
        <v>23</v>
      </c>
      <c r="P120">
        <v>31</v>
      </c>
      <c r="Q120">
        <v>24.1</v>
      </c>
      <c r="R120">
        <v>1489</v>
      </c>
      <c r="S120">
        <v>1813</v>
      </c>
      <c r="T120" s="1">
        <v>45497</v>
      </c>
      <c r="V120">
        <v>151202</v>
      </c>
      <c r="W120">
        <v>0.99475000000000002</v>
      </c>
      <c r="X120" s="4">
        <v>0.99324991118304196</v>
      </c>
      <c r="Y120" s="4">
        <f t="shared" si="1"/>
        <v>1825.3210794054526</v>
      </c>
      <c r="AA120">
        <v>0.99737500000000001</v>
      </c>
      <c r="AB120">
        <v>1817.771651</v>
      </c>
      <c r="AC120" cm="1">
        <f t="array" ref="AC120">_xlfn.IFS(W120&lt;0.6,S120,W120&gt;0.85,S120,W120,Y120)</f>
        <v>1813</v>
      </c>
      <c r="AH120">
        <v>0</v>
      </c>
      <c r="AI120">
        <v>335</v>
      </c>
    </row>
    <row r="121" spans="1:35" x14ac:dyDescent="0.25">
      <c r="A121" t="s">
        <v>51</v>
      </c>
      <c r="B121" s="2" t="s">
        <v>189</v>
      </c>
      <c r="C121">
        <v>4</v>
      </c>
      <c r="E121" t="s">
        <v>53</v>
      </c>
      <c r="F121">
        <v>356</v>
      </c>
      <c r="H121" t="s">
        <v>54</v>
      </c>
      <c r="I121">
        <v>75000</v>
      </c>
      <c r="J121" t="s">
        <v>110</v>
      </c>
      <c r="K121">
        <v>54</v>
      </c>
      <c r="L121">
        <v>524</v>
      </c>
      <c r="M121">
        <v>5024</v>
      </c>
      <c r="N121">
        <v>5</v>
      </c>
      <c r="O121">
        <v>24</v>
      </c>
      <c r="P121">
        <v>58.4</v>
      </c>
      <c r="Q121">
        <v>20</v>
      </c>
      <c r="R121">
        <v>57</v>
      </c>
      <c r="S121" t="s">
        <v>431</v>
      </c>
      <c r="T121" s="1">
        <v>45493</v>
      </c>
      <c r="U121" s="1">
        <v>45523</v>
      </c>
      <c r="V121">
        <v>150103</v>
      </c>
      <c r="W121">
        <v>0.98751323999999996</v>
      </c>
      <c r="X121" s="4">
        <v>0.99942105263157899</v>
      </c>
      <c r="Y121" s="4" t="s">
        <v>431</v>
      </c>
      <c r="AA121">
        <v>0.99375661999999998</v>
      </c>
      <c r="AB121">
        <v>73.458630139999997</v>
      </c>
      <c r="AC121" t="str" cm="1">
        <f t="array" ref="AC121">_xlfn.IFS(W121&lt;0.6,S121,W121&gt;0.85,S121,W121,Y121)</f>
        <v>.</v>
      </c>
      <c r="AH121">
        <v>0</v>
      </c>
      <c r="AI121">
        <v>356</v>
      </c>
    </row>
    <row r="122" spans="1:35" x14ac:dyDescent="0.25">
      <c r="A122" t="s">
        <v>51</v>
      </c>
      <c r="B122" s="2" t="s">
        <v>190</v>
      </c>
      <c r="C122">
        <v>1</v>
      </c>
      <c r="E122" t="s">
        <v>53</v>
      </c>
      <c r="F122">
        <v>6</v>
      </c>
      <c r="H122" t="s">
        <v>54</v>
      </c>
      <c r="I122">
        <v>100000</v>
      </c>
      <c r="J122" t="s">
        <v>80</v>
      </c>
      <c r="K122">
        <v>61</v>
      </c>
      <c r="L122">
        <v>601</v>
      </c>
      <c r="M122">
        <v>6001</v>
      </c>
      <c r="N122">
        <v>6</v>
      </c>
      <c r="O122">
        <v>1</v>
      </c>
      <c r="P122">
        <v>52</v>
      </c>
      <c r="Q122">
        <v>25.6</v>
      </c>
      <c r="R122">
        <v>1417</v>
      </c>
      <c r="S122">
        <v>1692</v>
      </c>
      <c r="T122" s="1">
        <v>45493</v>
      </c>
      <c r="U122" s="1">
        <v>45536</v>
      </c>
      <c r="V122">
        <v>129965</v>
      </c>
      <c r="W122">
        <v>0.85502164400000003</v>
      </c>
      <c r="X122" s="4">
        <v>0.75766108340679705</v>
      </c>
      <c r="Y122" s="4">
        <f t="shared" si="1"/>
        <v>2233.1884757654175</v>
      </c>
      <c r="AA122">
        <v>0.92751082200000001</v>
      </c>
      <c r="AB122">
        <v>1824.2374749999999</v>
      </c>
      <c r="AC122" cm="1">
        <f t="array" ref="AC122">_xlfn.IFS(W122&lt;0.6,S122,W122&gt;0.85,S122,W122,Y122)</f>
        <v>1692</v>
      </c>
      <c r="AH122">
        <v>0</v>
      </c>
      <c r="AI122">
        <v>6</v>
      </c>
    </row>
    <row r="123" spans="1:35" x14ac:dyDescent="0.25">
      <c r="A123" t="s">
        <v>51</v>
      </c>
      <c r="B123" t="s">
        <v>191</v>
      </c>
      <c r="C123">
        <v>1</v>
      </c>
      <c r="E123" t="s">
        <v>53</v>
      </c>
      <c r="F123">
        <v>25</v>
      </c>
      <c r="H123" t="s">
        <v>54</v>
      </c>
      <c r="I123">
        <v>150000</v>
      </c>
      <c r="J123" t="s">
        <v>82</v>
      </c>
      <c r="K123">
        <v>80</v>
      </c>
      <c r="L123">
        <v>602</v>
      </c>
      <c r="M123">
        <v>6002</v>
      </c>
      <c r="N123">
        <v>6</v>
      </c>
      <c r="O123">
        <v>2</v>
      </c>
      <c r="P123">
        <v>27</v>
      </c>
      <c r="Q123">
        <v>19.399999999999999</v>
      </c>
      <c r="R123">
        <v>2351</v>
      </c>
      <c r="S123">
        <v>3041</v>
      </c>
      <c r="T123" s="1">
        <v>45493</v>
      </c>
      <c r="U123" s="1">
        <v>45531</v>
      </c>
      <c r="V123">
        <v>151962</v>
      </c>
      <c r="W123">
        <v>0.99976315500000001</v>
      </c>
      <c r="X123" s="4">
        <v>0.99998684210526301</v>
      </c>
      <c r="Y123" s="4">
        <f t="shared" si="1"/>
        <v>3041.0400136843909</v>
      </c>
      <c r="AA123">
        <v>0.99988157799999999</v>
      </c>
      <c r="AB123">
        <v>3041.3601650000001</v>
      </c>
      <c r="AC123" cm="1">
        <f t="array" ref="AC123">_xlfn.IFS(W123&lt;0.6,S123,W123&gt;0.85,S123,W123,Y123)</f>
        <v>3041</v>
      </c>
      <c r="AH123">
        <v>0</v>
      </c>
      <c r="AI123">
        <v>25</v>
      </c>
    </row>
    <row r="124" spans="1:35" x14ac:dyDescent="0.25">
      <c r="A124" t="s">
        <v>51</v>
      </c>
      <c r="B124" t="s">
        <v>192</v>
      </c>
      <c r="C124">
        <v>1</v>
      </c>
      <c r="E124" t="s">
        <v>53</v>
      </c>
      <c r="F124">
        <v>36</v>
      </c>
      <c r="H124" t="s">
        <v>54</v>
      </c>
      <c r="I124">
        <v>75000</v>
      </c>
      <c r="J124" t="s">
        <v>57</v>
      </c>
      <c r="K124">
        <v>51</v>
      </c>
      <c r="L124">
        <v>603</v>
      </c>
      <c r="M124">
        <v>6003</v>
      </c>
      <c r="N124">
        <v>6</v>
      </c>
      <c r="O124">
        <v>3</v>
      </c>
      <c r="P124">
        <v>58</v>
      </c>
      <c r="Q124">
        <v>23</v>
      </c>
      <c r="R124">
        <v>828</v>
      </c>
      <c r="S124">
        <v>1023</v>
      </c>
      <c r="T124" s="1">
        <v>45492</v>
      </c>
      <c r="U124" s="1">
        <v>45525</v>
      </c>
      <c r="V124">
        <v>144415</v>
      </c>
      <c r="W124">
        <v>0.95009868399999997</v>
      </c>
      <c r="X124" s="4">
        <v>0.98667105263157895</v>
      </c>
      <c r="Y124" s="4">
        <f t="shared" si="1"/>
        <v>1036.819715417339</v>
      </c>
      <c r="AA124">
        <v>0.97504934200000004</v>
      </c>
      <c r="AB124">
        <v>1049.1776729999999</v>
      </c>
      <c r="AC124" cm="1">
        <f t="array" ref="AC124">_xlfn.IFS(W124&lt;0.6,S124,W124&gt;0.85,S124,W124,Y124)</f>
        <v>1023</v>
      </c>
      <c r="AH124">
        <v>0</v>
      </c>
      <c r="AI124">
        <v>36</v>
      </c>
    </row>
    <row r="125" spans="1:35" x14ac:dyDescent="0.25">
      <c r="A125" t="s">
        <v>51</v>
      </c>
      <c r="B125" t="s">
        <v>193</v>
      </c>
      <c r="C125">
        <v>1</v>
      </c>
      <c r="E125" t="s">
        <v>53</v>
      </c>
      <c r="F125">
        <v>55</v>
      </c>
      <c r="H125" t="s">
        <v>61</v>
      </c>
      <c r="I125">
        <v>150000</v>
      </c>
      <c r="J125" t="s">
        <v>85</v>
      </c>
      <c r="K125">
        <v>43</v>
      </c>
      <c r="L125">
        <v>604</v>
      </c>
      <c r="M125">
        <v>6004</v>
      </c>
      <c r="N125">
        <v>6</v>
      </c>
      <c r="O125">
        <v>4</v>
      </c>
      <c r="P125">
        <v>25</v>
      </c>
      <c r="Q125">
        <v>18.3</v>
      </c>
      <c r="R125">
        <v>1828</v>
      </c>
      <c r="S125">
        <v>2396</v>
      </c>
      <c r="T125" s="1">
        <v>45495</v>
      </c>
      <c r="U125" s="1">
        <v>45534</v>
      </c>
      <c r="V125">
        <v>120972</v>
      </c>
      <c r="W125">
        <v>0.87745974999999998</v>
      </c>
      <c r="X125" s="4">
        <v>0.97955390334572501</v>
      </c>
      <c r="Y125" s="4">
        <f t="shared" si="1"/>
        <v>2446.0113851992405</v>
      </c>
      <c r="AA125">
        <v>0.89793159300000003</v>
      </c>
      <c r="AB125">
        <v>2668.3547170000002</v>
      </c>
      <c r="AC125" cm="1">
        <f t="array" ref="AC125">_xlfn.IFS(W125&lt;0.6,S125,W125&gt;0.85,S125,W125,Y125)</f>
        <v>2396</v>
      </c>
      <c r="AH125">
        <v>0</v>
      </c>
      <c r="AI125">
        <v>55</v>
      </c>
    </row>
    <row r="126" spans="1:35" x14ac:dyDescent="0.25">
      <c r="A126" t="s">
        <v>51</v>
      </c>
      <c r="B126" t="s">
        <v>98</v>
      </c>
      <c r="C126">
        <v>1</v>
      </c>
      <c r="E126" t="s">
        <v>53</v>
      </c>
      <c r="F126">
        <v>66</v>
      </c>
      <c r="H126" t="s">
        <v>61</v>
      </c>
      <c r="I126">
        <v>75000</v>
      </c>
      <c r="J126" t="s">
        <v>99</v>
      </c>
      <c r="K126">
        <v>15</v>
      </c>
      <c r="L126">
        <v>605</v>
      </c>
      <c r="M126">
        <v>6005</v>
      </c>
      <c r="N126">
        <v>6</v>
      </c>
      <c r="O126">
        <v>5</v>
      </c>
      <c r="P126">
        <v>28</v>
      </c>
      <c r="Q126">
        <v>21.2</v>
      </c>
      <c r="R126">
        <v>1688</v>
      </c>
      <c r="S126">
        <v>2134</v>
      </c>
      <c r="T126" s="1">
        <v>45494</v>
      </c>
      <c r="U126" s="1">
        <v>45534</v>
      </c>
      <c r="V126">
        <v>113011</v>
      </c>
      <c r="W126">
        <v>0.78966131900000003</v>
      </c>
      <c r="X126" s="4">
        <v>0.90573012939001896</v>
      </c>
      <c r="Y126" s="4">
        <f t="shared" si="1"/>
        <v>2356.1102040816313</v>
      </c>
      <c r="AA126">
        <v>0.87175160200000001</v>
      </c>
      <c r="AB126">
        <v>2447.9450280000001</v>
      </c>
      <c r="AC126" cm="1">
        <f t="array" ref="AC126">_xlfn.IFS(W126&lt;0.6,S126,W126&gt;0.85,S126,W126,Y126)</f>
        <v>2356.1102040816313</v>
      </c>
      <c r="AH126">
        <v>0</v>
      </c>
      <c r="AI126">
        <v>66</v>
      </c>
    </row>
    <row r="127" spans="1:35" x14ac:dyDescent="0.25">
      <c r="A127" t="s">
        <v>51</v>
      </c>
      <c r="B127" t="s">
        <v>195</v>
      </c>
      <c r="C127">
        <v>1</v>
      </c>
      <c r="E127" t="s">
        <v>53</v>
      </c>
      <c r="F127">
        <v>85</v>
      </c>
      <c r="H127" t="s">
        <v>61</v>
      </c>
      <c r="I127">
        <v>100000</v>
      </c>
      <c r="J127" t="s">
        <v>59</v>
      </c>
      <c r="K127">
        <v>25</v>
      </c>
      <c r="L127">
        <v>606</v>
      </c>
      <c r="M127">
        <v>6006</v>
      </c>
      <c r="N127">
        <v>6</v>
      </c>
      <c r="O127">
        <v>6</v>
      </c>
      <c r="P127">
        <v>61</v>
      </c>
      <c r="Q127">
        <v>18.600000000000001</v>
      </c>
      <c r="R127">
        <v>827</v>
      </c>
      <c r="S127">
        <v>1080</v>
      </c>
      <c r="T127" s="1">
        <v>45491</v>
      </c>
      <c r="U127" s="1">
        <v>45525</v>
      </c>
      <c r="V127">
        <v>119735</v>
      </c>
      <c r="W127">
        <v>0.93828264800000005</v>
      </c>
      <c r="X127" s="4">
        <v>0.99445471349353098</v>
      </c>
      <c r="Y127" s="4">
        <f t="shared" si="1"/>
        <v>1086.0223048327132</v>
      </c>
      <c r="AA127">
        <v>0.89386254099999995</v>
      </c>
      <c r="AB127">
        <v>1208.239468</v>
      </c>
      <c r="AC127" cm="1">
        <f t="array" ref="AC127">_xlfn.IFS(W127&lt;0.6,S127,W127&gt;0.85,S127,W127,Y127)</f>
        <v>1080</v>
      </c>
      <c r="AH127">
        <v>0</v>
      </c>
      <c r="AI127">
        <v>85</v>
      </c>
    </row>
    <row r="128" spans="1:35" x14ac:dyDescent="0.25">
      <c r="A128" t="s">
        <v>51</v>
      </c>
      <c r="B128" t="s">
        <v>196</v>
      </c>
      <c r="C128">
        <v>2</v>
      </c>
      <c r="E128" t="s">
        <v>53</v>
      </c>
      <c r="F128">
        <v>96</v>
      </c>
      <c r="H128" t="s">
        <v>61</v>
      </c>
      <c r="I128">
        <v>75000</v>
      </c>
      <c r="J128" t="s">
        <v>85</v>
      </c>
      <c r="K128">
        <v>13</v>
      </c>
      <c r="L128">
        <v>607</v>
      </c>
      <c r="M128">
        <v>6007</v>
      </c>
      <c r="N128">
        <v>6</v>
      </c>
      <c r="O128">
        <v>7</v>
      </c>
      <c r="P128">
        <v>27</v>
      </c>
      <c r="Q128">
        <v>18.100000000000001</v>
      </c>
      <c r="R128">
        <v>1526</v>
      </c>
      <c r="S128">
        <v>2005</v>
      </c>
      <c r="T128" s="1">
        <v>45497</v>
      </c>
      <c r="U128" s="1">
        <v>45535</v>
      </c>
      <c r="V128">
        <v>88994</v>
      </c>
      <c r="W128">
        <v>0.57321428600000002</v>
      </c>
      <c r="X128" s="4">
        <v>0.69074074074074099</v>
      </c>
      <c r="Y128" s="4">
        <f t="shared" si="1"/>
        <v>2902.6809651474518</v>
      </c>
      <c r="AA128">
        <v>0.79274149500000002</v>
      </c>
      <c r="AB128">
        <v>2529.1977430000002</v>
      </c>
      <c r="AC128" cm="1">
        <f t="array" ref="AC128">_xlfn.IFS(W128&lt;0.6,S128,W128&gt;0.85,S128,W128,Y128)</f>
        <v>2005</v>
      </c>
      <c r="AH128">
        <v>0</v>
      </c>
      <c r="AI128">
        <v>96</v>
      </c>
    </row>
    <row r="129" spans="1:35" x14ac:dyDescent="0.25">
      <c r="A129" t="s">
        <v>51</v>
      </c>
      <c r="B129" s="2" t="s">
        <v>197</v>
      </c>
      <c r="C129">
        <v>2</v>
      </c>
      <c r="E129" t="s">
        <v>53</v>
      </c>
      <c r="F129">
        <v>115</v>
      </c>
      <c r="H129" t="s">
        <v>61</v>
      </c>
      <c r="I129">
        <v>150000</v>
      </c>
      <c r="J129" t="s">
        <v>85</v>
      </c>
      <c r="K129">
        <v>43</v>
      </c>
      <c r="L129">
        <v>608</v>
      </c>
      <c r="M129">
        <v>6008</v>
      </c>
      <c r="N129">
        <v>6</v>
      </c>
      <c r="O129">
        <v>8</v>
      </c>
      <c r="P129">
        <v>25</v>
      </c>
      <c r="Q129">
        <v>19.7</v>
      </c>
      <c r="R129">
        <v>2088</v>
      </c>
      <c r="S129">
        <v>2690</v>
      </c>
      <c r="T129" s="1">
        <v>45497</v>
      </c>
      <c r="U129" s="1">
        <v>45534</v>
      </c>
      <c r="V129">
        <v>103567</v>
      </c>
      <c r="W129">
        <v>0.798214286</v>
      </c>
      <c r="X129" s="4">
        <v>0.97773654916512098</v>
      </c>
      <c r="Y129" s="4">
        <f t="shared" si="1"/>
        <v>2751.2523719165074</v>
      </c>
      <c r="AA129">
        <v>0.84068092100000003</v>
      </c>
      <c r="AB129">
        <v>3199.7871399999999</v>
      </c>
      <c r="AC129" cm="1">
        <f t="array" ref="AC129">_xlfn.IFS(W129&lt;0.6,S129,W129&gt;0.85,S129,W129,Y129)</f>
        <v>2751.2523719165074</v>
      </c>
      <c r="AH129">
        <v>0</v>
      </c>
      <c r="AI129">
        <v>115</v>
      </c>
    </row>
    <row r="130" spans="1:35" x14ac:dyDescent="0.25">
      <c r="A130" t="s">
        <v>51</v>
      </c>
      <c r="B130" t="s">
        <v>198</v>
      </c>
      <c r="C130">
        <v>2</v>
      </c>
      <c r="E130" t="s">
        <v>53</v>
      </c>
      <c r="F130">
        <v>126</v>
      </c>
      <c r="H130" t="s">
        <v>61</v>
      </c>
      <c r="I130">
        <v>100000</v>
      </c>
      <c r="J130" t="s">
        <v>57</v>
      </c>
      <c r="K130">
        <v>21</v>
      </c>
      <c r="L130">
        <v>609</v>
      </c>
      <c r="M130">
        <v>6009</v>
      </c>
      <c r="N130">
        <v>6</v>
      </c>
      <c r="O130">
        <v>9</v>
      </c>
      <c r="P130">
        <v>53</v>
      </c>
      <c r="Q130">
        <v>19.7</v>
      </c>
      <c r="R130">
        <v>845</v>
      </c>
      <c r="S130">
        <v>1089</v>
      </c>
      <c r="T130" s="1">
        <v>45492</v>
      </c>
      <c r="U130" s="1">
        <v>45525</v>
      </c>
      <c r="V130">
        <v>120335</v>
      </c>
      <c r="W130">
        <v>0.87867974999999998</v>
      </c>
      <c r="X130" s="4">
        <v>0.99075785582255105</v>
      </c>
      <c r="Y130" s="4">
        <f t="shared" si="1"/>
        <v>1099.1585820895521</v>
      </c>
      <c r="AA130">
        <v>0.89584402500000004</v>
      </c>
      <c r="AB130">
        <v>1215.6133990000001</v>
      </c>
      <c r="AC130" cm="1">
        <f t="array" ref="AC130">_xlfn.IFS(W130&lt;0.6,S130,W130&gt;0.85,S130,W130,Y130)</f>
        <v>1089</v>
      </c>
      <c r="AH130">
        <v>0</v>
      </c>
      <c r="AI130">
        <v>126</v>
      </c>
    </row>
    <row r="131" spans="1:35" x14ac:dyDescent="0.25">
      <c r="A131" t="s">
        <v>51</v>
      </c>
      <c r="B131" t="s">
        <v>199</v>
      </c>
      <c r="C131">
        <v>2</v>
      </c>
      <c r="E131" t="s">
        <v>53</v>
      </c>
      <c r="F131">
        <v>145</v>
      </c>
      <c r="H131" t="s">
        <v>54</v>
      </c>
      <c r="I131">
        <v>100000</v>
      </c>
      <c r="J131" t="s">
        <v>65</v>
      </c>
      <c r="K131">
        <v>63</v>
      </c>
      <c r="L131">
        <v>610</v>
      </c>
      <c r="M131">
        <v>6010</v>
      </c>
      <c r="N131">
        <v>6</v>
      </c>
      <c r="O131">
        <v>10</v>
      </c>
      <c r="P131">
        <v>37</v>
      </c>
      <c r="Q131">
        <v>20.2</v>
      </c>
      <c r="R131">
        <v>2044</v>
      </c>
      <c r="S131">
        <v>2617</v>
      </c>
      <c r="T131" s="1">
        <v>45497</v>
      </c>
      <c r="U131" s="1">
        <v>45532</v>
      </c>
      <c r="V131">
        <v>145550</v>
      </c>
      <c r="W131">
        <v>0.957565789</v>
      </c>
      <c r="X131" s="4">
        <v>0.99067117537927096</v>
      </c>
      <c r="Y131" s="4">
        <f t="shared" ref="Y131:Y194" si="2">S131/X131</f>
        <v>2641.6434282526707</v>
      </c>
      <c r="AA131">
        <v>0.97878289500000004</v>
      </c>
      <c r="AB131">
        <v>2673.7287860000001</v>
      </c>
      <c r="AC131" cm="1">
        <f t="array" ref="AC131">_xlfn.IFS(W131&lt;0.6,S131,W131&gt;0.85,S131,W131,Y131)</f>
        <v>2617</v>
      </c>
      <c r="AH131">
        <v>0</v>
      </c>
      <c r="AI131">
        <v>145</v>
      </c>
    </row>
    <row r="132" spans="1:35" x14ac:dyDescent="0.25">
      <c r="A132" t="s">
        <v>51</v>
      </c>
      <c r="B132" s="2" t="s">
        <v>200</v>
      </c>
      <c r="C132">
        <v>2</v>
      </c>
      <c r="E132" t="s">
        <v>53</v>
      </c>
      <c r="F132">
        <v>156</v>
      </c>
      <c r="H132" t="s">
        <v>54</v>
      </c>
      <c r="I132">
        <v>75000</v>
      </c>
      <c r="J132" t="s">
        <v>95</v>
      </c>
      <c r="K132">
        <v>52</v>
      </c>
      <c r="L132">
        <v>611</v>
      </c>
      <c r="M132">
        <v>6011</v>
      </c>
      <c r="N132">
        <v>6</v>
      </c>
      <c r="O132">
        <v>11</v>
      </c>
      <c r="P132">
        <v>42</v>
      </c>
      <c r="Q132">
        <v>20.5</v>
      </c>
      <c r="R132">
        <v>1282</v>
      </c>
      <c r="S132">
        <v>1635</v>
      </c>
      <c r="T132" s="1">
        <v>45498</v>
      </c>
      <c r="U132" s="1">
        <v>45536</v>
      </c>
      <c r="V132">
        <v>133093</v>
      </c>
      <c r="W132">
        <v>0.87560032099999996</v>
      </c>
      <c r="X132" s="4">
        <v>0.87655263157894703</v>
      </c>
      <c r="Y132" s="4">
        <f t="shared" si="2"/>
        <v>1865.2616409979291</v>
      </c>
      <c r="AA132">
        <v>0.93780016099999997</v>
      </c>
      <c r="AB132">
        <v>1743.4418000000001</v>
      </c>
      <c r="AC132" cm="1">
        <f t="array" ref="AC132">_xlfn.IFS(W132&lt;0.6,S132,W132&gt;0.85,S132,W132,Y132)</f>
        <v>1635</v>
      </c>
      <c r="AH132">
        <v>0</v>
      </c>
      <c r="AI132">
        <v>156</v>
      </c>
    </row>
    <row r="133" spans="1:35" x14ac:dyDescent="0.25">
      <c r="A133" t="s">
        <v>51</v>
      </c>
      <c r="B133" t="s">
        <v>201</v>
      </c>
      <c r="C133">
        <v>2</v>
      </c>
      <c r="E133" t="s">
        <v>53</v>
      </c>
      <c r="F133">
        <v>175</v>
      </c>
      <c r="H133" t="s">
        <v>54</v>
      </c>
      <c r="I133">
        <v>150000</v>
      </c>
      <c r="J133" t="s">
        <v>110</v>
      </c>
      <c r="K133">
        <v>84</v>
      </c>
      <c r="L133">
        <v>612</v>
      </c>
      <c r="M133">
        <v>6012</v>
      </c>
      <c r="N133">
        <v>6</v>
      </c>
      <c r="O133">
        <v>12</v>
      </c>
      <c r="P133">
        <v>64</v>
      </c>
      <c r="Q133">
        <v>19.7</v>
      </c>
      <c r="R133">
        <v>766</v>
      </c>
      <c r="S133">
        <v>987</v>
      </c>
      <c r="T133" s="1">
        <v>45489</v>
      </c>
      <c r="U133" s="1">
        <v>45524</v>
      </c>
      <c r="V133">
        <v>151523</v>
      </c>
      <c r="W133">
        <v>0.99686184200000005</v>
      </c>
      <c r="X133" s="4">
        <v>0.99972368057474403</v>
      </c>
      <c r="Y133" s="4">
        <f t="shared" si="2"/>
        <v>987.27280265340005</v>
      </c>
      <c r="AA133">
        <v>0.99843092099999997</v>
      </c>
      <c r="AB133">
        <v>988.55111480000005</v>
      </c>
      <c r="AC133" cm="1">
        <f t="array" ref="AC133">_xlfn.IFS(W133&lt;0.6,S133,W133&gt;0.85,S133,W133,Y133)</f>
        <v>987</v>
      </c>
      <c r="AH133">
        <v>0</v>
      </c>
      <c r="AI133">
        <v>175</v>
      </c>
    </row>
    <row r="134" spans="1:35" x14ac:dyDescent="0.25">
      <c r="A134" t="s">
        <v>51</v>
      </c>
      <c r="B134" t="s">
        <v>202</v>
      </c>
      <c r="C134">
        <v>3</v>
      </c>
      <c r="E134" t="s">
        <v>53</v>
      </c>
      <c r="F134">
        <v>186</v>
      </c>
      <c r="H134" t="s">
        <v>61</v>
      </c>
      <c r="I134">
        <v>150000</v>
      </c>
      <c r="J134" t="s">
        <v>71</v>
      </c>
      <c r="K134">
        <v>41</v>
      </c>
      <c r="L134">
        <v>613</v>
      </c>
      <c r="M134">
        <v>6013</v>
      </c>
      <c r="N134">
        <v>6</v>
      </c>
      <c r="O134">
        <v>13</v>
      </c>
      <c r="P134">
        <v>56</v>
      </c>
      <c r="Q134">
        <v>20.3</v>
      </c>
      <c r="R134">
        <v>580</v>
      </c>
      <c r="S134">
        <v>742</v>
      </c>
      <c r="T134" s="1">
        <v>45490</v>
      </c>
      <c r="U134" s="1">
        <v>45524</v>
      </c>
      <c r="V134">
        <v>123286</v>
      </c>
      <c r="W134">
        <v>0.89553571399999998</v>
      </c>
      <c r="X134" s="4">
        <v>0.95361781076066798</v>
      </c>
      <c r="Y134" s="4">
        <f t="shared" si="2"/>
        <v>778.08949416342409</v>
      </c>
      <c r="AA134">
        <v>0.90555138899999998</v>
      </c>
      <c r="AB134">
        <v>819.39027320000002</v>
      </c>
      <c r="AC134" cm="1">
        <f t="array" ref="AC134">_xlfn.IFS(W134&lt;0.6,S134,W134&gt;0.85,S134,W134,Y134)</f>
        <v>742</v>
      </c>
      <c r="AH134">
        <v>0</v>
      </c>
      <c r="AI134">
        <v>186</v>
      </c>
    </row>
    <row r="135" spans="1:35" x14ac:dyDescent="0.25">
      <c r="A135" t="s">
        <v>51</v>
      </c>
      <c r="B135" t="s">
        <v>203</v>
      </c>
      <c r="C135">
        <v>3</v>
      </c>
      <c r="E135" t="s">
        <v>53</v>
      </c>
      <c r="F135">
        <v>205</v>
      </c>
      <c r="H135" t="s">
        <v>61</v>
      </c>
      <c r="I135">
        <v>75000</v>
      </c>
      <c r="J135" t="s">
        <v>99</v>
      </c>
      <c r="K135">
        <v>15</v>
      </c>
      <c r="L135">
        <v>614</v>
      </c>
      <c r="M135">
        <v>6014</v>
      </c>
      <c r="N135">
        <v>6</v>
      </c>
      <c r="O135">
        <v>14</v>
      </c>
      <c r="P135">
        <v>26</v>
      </c>
      <c r="Q135">
        <v>20</v>
      </c>
      <c r="R135">
        <v>1588</v>
      </c>
      <c r="S135">
        <v>2039</v>
      </c>
      <c r="T135" s="1">
        <v>45494</v>
      </c>
      <c r="U135" s="1">
        <v>45534</v>
      </c>
      <c r="V135">
        <v>119337</v>
      </c>
      <c r="W135">
        <v>0.90625</v>
      </c>
      <c r="X135" s="4">
        <v>0.96857670979667299</v>
      </c>
      <c r="Y135" s="4">
        <f t="shared" si="2"/>
        <v>2105.1507633587785</v>
      </c>
      <c r="AA135">
        <v>0.892553339</v>
      </c>
      <c r="AB135">
        <v>2284.4573110000001</v>
      </c>
      <c r="AC135" cm="1">
        <f t="array" ref="AC135">_xlfn.IFS(W135&lt;0.6,S135,W135&gt;0.85,S135,W135,Y135)</f>
        <v>2039</v>
      </c>
      <c r="AH135">
        <v>0</v>
      </c>
      <c r="AI135">
        <v>205</v>
      </c>
    </row>
    <row r="136" spans="1:35" x14ac:dyDescent="0.25">
      <c r="A136" t="s">
        <v>51</v>
      </c>
      <c r="B136" t="s">
        <v>204</v>
      </c>
      <c r="C136">
        <v>3</v>
      </c>
      <c r="E136" t="s">
        <v>53</v>
      </c>
      <c r="F136">
        <v>216</v>
      </c>
      <c r="H136" t="s">
        <v>61</v>
      </c>
      <c r="I136">
        <v>100000</v>
      </c>
      <c r="J136" t="s">
        <v>80</v>
      </c>
      <c r="K136">
        <v>16</v>
      </c>
      <c r="L136">
        <v>615</v>
      </c>
      <c r="M136">
        <v>6015</v>
      </c>
      <c r="N136">
        <v>6</v>
      </c>
      <c r="O136">
        <v>15</v>
      </c>
      <c r="P136">
        <v>29</v>
      </c>
      <c r="Q136">
        <v>20.9</v>
      </c>
      <c r="R136">
        <v>1315</v>
      </c>
      <c r="S136">
        <v>1669</v>
      </c>
      <c r="T136" s="1">
        <v>45494</v>
      </c>
      <c r="U136" s="1">
        <v>45537</v>
      </c>
      <c r="V136">
        <v>83791</v>
      </c>
      <c r="W136">
        <v>0.51160714299999999</v>
      </c>
      <c r="X136" s="4">
        <v>0.57777777777777795</v>
      </c>
      <c r="Y136" s="4">
        <f t="shared" si="2"/>
        <v>2888.6538461538453</v>
      </c>
      <c r="AA136">
        <v>0.77562647600000001</v>
      </c>
      <c r="AB136">
        <v>2151.808959</v>
      </c>
      <c r="AC136" cm="1">
        <f t="array" ref="AC136">_xlfn.IFS(W136&lt;0.6,S136,W136&gt;0.85,S136,W136,Y136)</f>
        <v>1669</v>
      </c>
      <c r="AH136">
        <v>0</v>
      </c>
      <c r="AI136">
        <v>216</v>
      </c>
    </row>
    <row r="137" spans="1:35" x14ac:dyDescent="0.25">
      <c r="A137" t="s">
        <v>51</v>
      </c>
      <c r="B137" s="2" t="s">
        <v>205</v>
      </c>
      <c r="C137">
        <v>3</v>
      </c>
      <c r="E137" t="s">
        <v>53</v>
      </c>
      <c r="F137">
        <v>235</v>
      </c>
      <c r="H137" t="s">
        <v>54</v>
      </c>
      <c r="I137">
        <v>100000</v>
      </c>
      <c r="J137" t="s">
        <v>57</v>
      </c>
      <c r="K137">
        <v>66</v>
      </c>
      <c r="L137">
        <v>616</v>
      </c>
      <c r="M137">
        <v>6016</v>
      </c>
      <c r="N137">
        <v>6</v>
      </c>
      <c r="O137">
        <v>16</v>
      </c>
      <c r="P137">
        <v>58</v>
      </c>
      <c r="Q137">
        <v>17.7</v>
      </c>
      <c r="R137">
        <v>980</v>
      </c>
      <c r="S137">
        <v>1294</v>
      </c>
      <c r="T137" s="1">
        <v>45491</v>
      </c>
      <c r="U137" s="1">
        <v>45525</v>
      </c>
      <c r="V137">
        <v>148769</v>
      </c>
      <c r="W137">
        <v>0.97873698200000003</v>
      </c>
      <c r="X137" s="4">
        <v>0.99976315789473702</v>
      </c>
      <c r="Y137" s="4">
        <f t="shared" si="2"/>
        <v>1294.3065462872783</v>
      </c>
      <c r="AA137">
        <v>0.98936849100000002</v>
      </c>
      <c r="AB137">
        <v>1307.905004</v>
      </c>
      <c r="AC137" cm="1">
        <f t="array" ref="AC137">_xlfn.IFS(W137&lt;0.6,S137,W137&gt;0.85,S137,W137,Y137)</f>
        <v>1294</v>
      </c>
      <c r="AH137">
        <v>0</v>
      </c>
      <c r="AI137">
        <v>235</v>
      </c>
    </row>
    <row r="138" spans="1:35" x14ac:dyDescent="0.25">
      <c r="A138" t="s">
        <v>51</v>
      </c>
      <c r="B138" t="s">
        <v>206</v>
      </c>
      <c r="C138">
        <v>3</v>
      </c>
      <c r="E138" t="s">
        <v>53</v>
      </c>
      <c r="F138">
        <v>246</v>
      </c>
      <c r="H138" t="s">
        <v>54</v>
      </c>
      <c r="I138">
        <v>150000</v>
      </c>
      <c r="J138" t="s">
        <v>62</v>
      </c>
      <c r="K138">
        <v>77</v>
      </c>
      <c r="L138">
        <v>617</v>
      </c>
      <c r="M138">
        <v>6017</v>
      </c>
      <c r="N138">
        <v>6</v>
      </c>
      <c r="O138">
        <v>17</v>
      </c>
      <c r="P138">
        <v>24</v>
      </c>
      <c r="Q138">
        <v>17.899999999999999</v>
      </c>
      <c r="R138">
        <v>2120</v>
      </c>
      <c r="S138">
        <v>2793</v>
      </c>
      <c r="T138" s="1">
        <v>45496</v>
      </c>
      <c r="U138" s="1">
        <v>45534</v>
      </c>
      <c r="V138">
        <v>151753</v>
      </c>
      <c r="W138">
        <v>0.99838813699999995</v>
      </c>
      <c r="X138" s="4">
        <v>0.99955263157894703</v>
      </c>
      <c r="Y138" s="4">
        <f t="shared" si="2"/>
        <v>2794.2500592370279</v>
      </c>
      <c r="AA138">
        <v>0.99919406899999996</v>
      </c>
      <c r="AB138">
        <v>2795.252782</v>
      </c>
      <c r="AC138" cm="1">
        <f t="array" ref="AC138">_xlfn.IFS(W138&lt;0.6,S138,W138&gt;0.85,S138,W138,Y138)</f>
        <v>2793</v>
      </c>
      <c r="AH138">
        <v>0</v>
      </c>
      <c r="AI138">
        <v>246</v>
      </c>
    </row>
    <row r="139" spans="1:35" x14ac:dyDescent="0.25">
      <c r="A139" t="s">
        <v>51</v>
      </c>
      <c r="B139" t="s">
        <v>207</v>
      </c>
      <c r="C139">
        <v>3</v>
      </c>
      <c r="E139" t="s">
        <v>53</v>
      </c>
      <c r="F139">
        <v>265</v>
      </c>
      <c r="H139" t="s">
        <v>54</v>
      </c>
      <c r="I139">
        <v>75000</v>
      </c>
      <c r="J139" t="s">
        <v>65</v>
      </c>
      <c r="K139">
        <v>48</v>
      </c>
      <c r="L139">
        <v>618</v>
      </c>
      <c r="M139">
        <v>6018</v>
      </c>
      <c r="N139">
        <v>6</v>
      </c>
      <c r="O139">
        <v>18</v>
      </c>
      <c r="P139">
        <v>41</v>
      </c>
      <c r="Q139">
        <v>17.8</v>
      </c>
      <c r="R139">
        <v>2207</v>
      </c>
      <c r="S139">
        <v>2911</v>
      </c>
      <c r="T139" s="1">
        <v>45497</v>
      </c>
      <c r="U139" s="1">
        <v>45534</v>
      </c>
      <c r="V139">
        <v>141755</v>
      </c>
      <c r="W139">
        <v>0.93259868400000001</v>
      </c>
      <c r="X139" s="4">
        <v>0.99575000000000002</v>
      </c>
      <c r="Y139" s="4">
        <f t="shared" si="2"/>
        <v>2923.4245543560128</v>
      </c>
      <c r="AA139">
        <v>0.96629934200000001</v>
      </c>
      <c r="AB139">
        <v>3012.524042</v>
      </c>
      <c r="AC139" cm="1">
        <f t="array" ref="AC139">_xlfn.IFS(W139&lt;0.6,S139,W139&gt;0.85,S139,W139,Y139)</f>
        <v>2911</v>
      </c>
      <c r="AH139">
        <v>0</v>
      </c>
      <c r="AI139">
        <v>265</v>
      </c>
    </row>
    <row r="140" spans="1:35" x14ac:dyDescent="0.25">
      <c r="A140" t="s">
        <v>51</v>
      </c>
      <c r="B140" t="s">
        <v>208</v>
      </c>
      <c r="C140">
        <v>4</v>
      </c>
      <c r="E140" t="s">
        <v>53</v>
      </c>
      <c r="F140">
        <v>276</v>
      </c>
      <c r="H140" t="s">
        <v>61</v>
      </c>
      <c r="I140">
        <v>75000</v>
      </c>
      <c r="J140" t="s">
        <v>95</v>
      </c>
      <c r="K140">
        <v>7</v>
      </c>
      <c r="L140">
        <v>619</v>
      </c>
      <c r="M140">
        <v>6019</v>
      </c>
      <c r="N140">
        <v>6</v>
      </c>
      <c r="O140">
        <v>19</v>
      </c>
      <c r="P140">
        <v>0</v>
      </c>
      <c r="Q140">
        <v>17.600000000000001</v>
      </c>
      <c r="R140">
        <v>1003</v>
      </c>
      <c r="S140">
        <v>1326</v>
      </c>
      <c r="T140" s="1">
        <v>45498</v>
      </c>
      <c r="U140" s="1">
        <v>45536</v>
      </c>
      <c r="V140">
        <v>107330</v>
      </c>
      <c r="W140">
        <v>0.71033868099999997</v>
      </c>
      <c r="X140" s="4">
        <v>0.77264325323475003</v>
      </c>
      <c r="Y140" s="4">
        <f t="shared" si="2"/>
        <v>1716.1866028708143</v>
      </c>
      <c r="AA140">
        <v>0.85305688800000001</v>
      </c>
      <c r="AB140">
        <v>1554.4098160000001</v>
      </c>
      <c r="AC140" cm="1">
        <f t="array" ref="AC140">_xlfn.IFS(W140&lt;0.6,S140,W140&gt;0.85,S140,W140,Y140)</f>
        <v>1716.1866028708143</v>
      </c>
      <c r="AH140">
        <v>0</v>
      </c>
      <c r="AI140">
        <v>276</v>
      </c>
    </row>
    <row r="141" spans="1:35" x14ac:dyDescent="0.25">
      <c r="A141" t="s">
        <v>51</v>
      </c>
      <c r="B141" t="s">
        <v>209</v>
      </c>
      <c r="C141">
        <v>4</v>
      </c>
      <c r="E141" t="s">
        <v>53</v>
      </c>
      <c r="F141">
        <v>295</v>
      </c>
      <c r="H141" t="s">
        <v>61</v>
      </c>
      <c r="I141">
        <v>100000</v>
      </c>
      <c r="J141" t="s">
        <v>110</v>
      </c>
      <c r="K141">
        <v>24</v>
      </c>
      <c r="L141">
        <v>620</v>
      </c>
      <c r="M141">
        <v>6020</v>
      </c>
      <c r="N141">
        <v>6</v>
      </c>
      <c r="O141">
        <v>20</v>
      </c>
      <c r="P141">
        <v>67</v>
      </c>
      <c r="Q141">
        <v>20.6</v>
      </c>
      <c r="R141">
        <v>479</v>
      </c>
      <c r="S141">
        <v>610</v>
      </c>
      <c r="T141" s="1">
        <v>45489</v>
      </c>
      <c r="U141" s="1">
        <v>45523</v>
      </c>
      <c r="V141">
        <v>124466</v>
      </c>
      <c r="W141">
        <v>0.96690518800000003</v>
      </c>
      <c r="X141" s="4">
        <v>0.97966728280961202</v>
      </c>
      <c r="Y141" s="4">
        <f t="shared" si="2"/>
        <v>622.66037735849045</v>
      </c>
      <c r="AA141">
        <v>0.90943032499999998</v>
      </c>
      <c r="AB141">
        <v>670.74957059999997</v>
      </c>
      <c r="AC141" cm="1">
        <f t="array" ref="AC141">_xlfn.IFS(W141&lt;0.6,S141,W141&gt;0.85,S141,W141,Y141)</f>
        <v>610</v>
      </c>
      <c r="AH141">
        <v>0</v>
      </c>
      <c r="AI141">
        <v>295</v>
      </c>
    </row>
    <row r="142" spans="1:35" x14ac:dyDescent="0.25">
      <c r="A142" t="s">
        <v>51</v>
      </c>
      <c r="B142">
        <v>1268400927</v>
      </c>
      <c r="C142">
        <v>4</v>
      </c>
      <c r="E142" t="s">
        <v>53</v>
      </c>
      <c r="F142">
        <v>306</v>
      </c>
      <c r="H142" t="s">
        <v>61</v>
      </c>
      <c r="I142">
        <v>150000</v>
      </c>
      <c r="J142" t="s">
        <v>71</v>
      </c>
      <c r="K142">
        <v>41</v>
      </c>
      <c r="L142">
        <v>621</v>
      </c>
      <c r="M142">
        <v>6021</v>
      </c>
      <c r="N142">
        <v>6</v>
      </c>
      <c r="O142">
        <v>21</v>
      </c>
      <c r="T142" s="1">
        <v>45490</v>
      </c>
      <c r="U142" s="1">
        <v>45525</v>
      </c>
      <c r="V142">
        <v>123395</v>
      </c>
      <c r="W142">
        <v>0.88512911800000005</v>
      </c>
      <c r="X142" s="4">
        <v>0.855287569573284</v>
      </c>
      <c r="Y142" s="4" t="s">
        <v>431</v>
      </c>
      <c r="AH142">
        <v>0</v>
      </c>
      <c r="AI142">
        <v>306</v>
      </c>
    </row>
    <row r="143" spans="1:35" x14ac:dyDescent="0.25">
      <c r="A143" t="s">
        <v>51</v>
      </c>
      <c r="B143" t="s">
        <v>210</v>
      </c>
      <c r="C143">
        <v>4</v>
      </c>
      <c r="E143" t="s">
        <v>53</v>
      </c>
      <c r="F143">
        <v>325</v>
      </c>
      <c r="H143" t="s">
        <v>54</v>
      </c>
      <c r="I143">
        <v>150000</v>
      </c>
      <c r="J143" t="s">
        <v>80</v>
      </c>
      <c r="K143">
        <v>76</v>
      </c>
      <c r="L143">
        <v>622</v>
      </c>
      <c r="M143">
        <v>6022</v>
      </c>
      <c r="N143">
        <v>6</v>
      </c>
      <c r="O143">
        <v>22</v>
      </c>
      <c r="P143">
        <v>28</v>
      </c>
      <c r="Q143">
        <v>18.899999999999999</v>
      </c>
      <c r="R143">
        <v>1843</v>
      </c>
      <c r="S143">
        <v>2398</v>
      </c>
      <c r="T143" s="1">
        <v>45494</v>
      </c>
      <c r="U143" s="1">
        <v>45536</v>
      </c>
      <c r="V143">
        <v>149638</v>
      </c>
      <c r="W143">
        <v>0.984460526</v>
      </c>
      <c r="X143" s="4">
        <v>0.98677614179133899</v>
      </c>
      <c r="Y143" s="4">
        <f t="shared" si="2"/>
        <v>2430.1357708616697</v>
      </c>
      <c r="AA143">
        <v>0.99223026299999995</v>
      </c>
      <c r="AB143">
        <v>2416.7777270000001</v>
      </c>
      <c r="AC143" cm="1">
        <f t="array" ref="AC143">_xlfn.IFS(W143&lt;0.6,S143,W143&gt;0.85,S143,W143,Y143)</f>
        <v>2398</v>
      </c>
      <c r="AH143">
        <v>0</v>
      </c>
      <c r="AI143">
        <v>325</v>
      </c>
    </row>
    <row r="144" spans="1:35" x14ac:dyDescent="0.25">
      <c r="A144" t="s">
        <v>51</v>
      </c>
      <c r="B144" t="s">
        <v>211</v>
      </c>
      <c r="C144">
        <v>4</v>
      </c>
      <c r="E144" t="s">
        <v>53</v>
      </c>
      <c r="F144">
        <v>336</v>
      </c>
      <c r="H144" t="s">
        <v>54</v>
      </c>
      <c r="I144">
        <v>100000</v>
      </c>
      <c r="J144" t="s">
        <v>77</v>
      </c>
      <c r="K144">
        <v>64</v>
      </c>
      <c r="L144">
        <v>623</v>
      </c>
      <c r="M144">
        <v>6023</v>
      </c>
      <c r="N144">
        <v>6</v>
      </c>
      <c r="O144">
        <v>23</v>
      </c>
      <c r="P144">
        <v>64</v>
      </c>
      <c r="Q144">
        <v>25.4</v>
      </c>
      <c r="R144">
        <v>419</v>
      </c>
      <c r="S144" t="s">
        <v>431</v>
      </c>
      <c r="T144" s="1">
        <v>45497</v>
      </c>
      <c r="V144">
        <v>151433</v>
      </c>
      <c r="W144">
        <v>0.99626318199999997</v>
      </c>
      <c r="X144" s="4">
        <v>0.99430263157894705</v>
      </c>
      <c r="Y144" s="4" t="e">
        <f t="shared" si="2"/>
        <v>#VALUE!</v>
      </c>
      <c r="AA144">
        <v>0.99813159100000004</v>
      </c>
      <c r="AB144">
        <v>502.93969709999999</v>
      </c>
      <c r="AC144" t="str" cm="1">
        <f t="array" ref="AC144">_xlfn.IFS(W144&lt;0.6,S144,W144&gt;0.85,S144,W144,Y144)</f>
        <v>.</v>
      </c>
      <c r="AH144">
        <v>0</v>
      </c>
      <c r="AI144">
        <v>336</v>
      </c>
    </row>
    <row r="145" spans="1:35" x14ac:dyDescent="0.25">
      <c r="A145" t="s">
        <v>51</v>
      </c>
      <c r="B145" t="s">
        <v>212</v>
      </c>
      <c r="C145">
        <v>4</v>
      </c>
      <c r="E145" t="s">
        <v>53</v>
      </c>
      <c r="F145">
        <v>355</v>
      </c>
      <c r="H145" t="s">
        <v>54</v>
      </c>
      <c r="I145">
        <v>75000</v>
      </c>
      <c r="J145" t="s">
        <v>71</v>
      </c>
      <c r="K145">
        <v>56</v>
      </c>
      <c r="L145">
        <v>624</v>
      </c>
      <c r="M145">
        <v>6024</v>
      </c>
      <c r="N145">
        <v>6</v>
      </c>
      <c r="O145">
        <v>24</v>
      </c>
      <c r="P145">
        <v>62</v>
      </c>
      <c r="Q145">
        <v>24</v>
      </c>
      <c r="R145">
        <v>362</v>
      </c>
      <c r="S145" t="s">
        <v>431</v>
      </c>
      <c r="T145" s="1">
        <v>45489</v>
      </c>
      <c r="U145" s="1">
        <v>45529</v>
      </c>
      <c r="V145">
        <v>131093</v>
      </c>
      <c r="W145">
        <v>0.86246529599999999</v>
      </c>
      <c r="X145" s="4">
        <v>0.93009118541033398</v>
      </c>
      <c r="Y145" s="4" t="e">
        <f t="shared" si="2"/>
        <v>#VALUE!</v>
      </c>
      <c r="AA145">
        <v>0.93123264800000005</v>
      </c>
      <c r="AB145">
        <v>473.56587089999999</v>
      </c>
      <c r="AC145" t="str" cm="1">
        <f t="array" ref="AC145">_xlfn.IFS(W145&lt;0.6,S145,W145&gt;0.85,S145,W145,Y145)</f>
        <v>.</v>
      </c>
      <c r="AH145">
        <v>0</v>
      </c>
      <c r="AI145">
        <v>355</v>
      </c>
    </row>
    <row r="146" spans="1:35" x14ac:dyDescent="0.25">
      <c r="A146" t="s">
        <v>51</v>
      </c>
      <c r="B146">
        <v>1647132305</v>
      </c>
      <c r="C146">
        <v>1</v>
      </c>
      <c r="E146" t="s">
        <v>53</v>
      </c>
      <c r="F146">
        <v>7</v>
      </c>
      <c r="H146" t="s">
        <v>54</v>
      </c>
      <c r="I146">
        <v>100000</v>
      </c>
      <c r="J146" t="s">
        <v>71</v>
      </c>
      <c r="K146">
        <v>71</v>
      </c>
      <c r="L146">
        <v>701</v>
      </c>
      <c r="M146">
        <v>7001</v>
      </c>
      <c r="N146">
        <v>7</v>
      </c>
      <c r="O146">
        <v>1</v>
      </c>
      <c r="P146">
        <v>-9</v>
      </c>
      <c r="Q146">
        <v>-9</v>
      </c>
      <c r="R146">
        <v>-9</v>
      </c>
      <c r="T146" s="1">
        <v>45490</v>
      </c>
      <c r="U146" s="1">
        <v>45525</v>
      </c>
      <c r="V146">
        <v>141596</v>
      </c>
      <c r="W146">
        <v>0.931540374</v>
      </c>
      <c r="X146" s="4">
        <v>0.98302609244858496</v>
      </c>
      <c r="Y146" s="4" t="s">
        <v>431</v>
      </c>
      <c r="AH146">
        <v>0</v>
      </c>
      <c r="AI146">
        <v>7</v>
      </c>
    </row>
    <row r="147" spans="1:35" x14ac:dyDescent="0.25">
      <c r="A147" t="s">
        <v>51</v>
      </c>
      <c r="B147" t="s">
        <v>213</v>
      </c>
      <c r="C147">
        <v>1</v>
      </c>
      <c r="E147" t="s">
        <v>53</v>
      </c>
      <c r="F147">
        <v>24</v>
      </c>
      <c r="H147" t="s">
        <v>54</v>
      </c>
      <c r="I147">
        <v>150000</v>
      </c>
      <c r="J147" t="s">
        <v>85</v>
      </c>
      <c r="K147">
        <v>88</v>
      </c>
      <c r="L147">
        <v>702</v>
      </c>
      <c r="M147">
        <v>7002</v>
      </c>
      <c r="N147">
        <v>7</v>
      </c>
      <c r="O147">
        <v>2</v>
      </c>
      <c r="P147">
        <v>27</v>
      </c>
      <c r="Q147">
        <v>20</v>
      </c>
      <c r="R147">
        <v>2001</v>
      </c>
      <c r="S147">
        <v>2569</v>
      </c>
      <c r="T147" s="1">
        <v>45497</v>
      </c>
      <c r="U147" s="1">
        <v>45534</v>
      </c>
      <c r="V147">
        <v>123769</v>
      </c>
      <c r="W147">
        <v>0.81426973700000005</v>
      </c>
      <c r="X147" s="4">
        <v>0.90960407373781205</v>
      </c>
      <c r="Y147" s="4">
        <f t="shared" si="2"/>
        <v>2824.305732760492</v>
      </c>
      <c r="AA147">
        <v>0.90713486899999995</v>
      </c>
      <c r="AB147">
        <v>2831.9934440000002</v>
      </c>
      <c r="AC147" cm="1">
        <f t="array" ref="AC147">_xlfn.IFS(W147&lt;0.6,S147,W147&gt;0.85,S147,W147,Y147)</f>
        <v>2824.305732760492</v>
      </c>
      <c r="AH147">
        <v>0</v>
      </c>
      <c r="AI147">
        <v>24</v>
      </c>
    </row>
    <row r="148" spans="1:35" x14ac:dyDescent="0.25">
      <c r="A148" t="s">
        <v>51</v>
      </c>
      <c r="B148" t="s">
        <v>214</v>
      </c>
      <c r="C148">
        <v>1</v>
      </c>
      <c r="E148" t="s">
        <v>53</v>
      </c>
      <c r="F148">
        <v>37</v>
      </c>
      <c r="H148" t="s">
        <v>54</v>
      </c>
      <c r="I148">
        <v>75000</v>
      </c>
      <c r="J148" t="s">
        <v>110</v>
      </c>
      <c r="K148">
        <v>54</v>
      </c>
      <c r="L148">
        <v>703</v>
      </c>
      <c r="M148">
        <v>7003</v>
      </c>
      <c r="N148">
        <v>7</v>
      </c>
      <c r="O148">
        <v>3</v>
      </c>
      <c r="P148">
        <v>65</v>
      </c>
      <c r="Q148">
        <v>20.6</v>
      </c>
      <c r="R148">
        <v>553</v>
      </c>
      <c r="S148">
        <v>705</v>
      </c>
      <c r="T148" s="1">
        <v>45489</v>
      </c>
      <c r="U148" s="1">
        <v>45524</v>
      </c>
      <c r="V148">
        <v>148085</v>
      </c>
      <c r="W148">
        <v>0.97424342100000005</v>
      </c>
      <c r="X148" s="4">
        <v>0.99355263157894702</v>
      </c>
      <c r="Y148" s="4">
        <f t="shared" si="2"/>
        <v>709.57489074294824</v>
      </c>
      <c r="AA148">
        <v>0.98712171100000001</v>
      </c>
      <c r="AB148">
        <v>714.19764399999997</v>
      </c>
      <c r="AC148" cm="1">
        <f t="array" ref="AC148">_xlfn.IFS(W148&lt;0.6,S148,W148&gt;0.85,S148,W148,Y148)</f>
        <v>705</v>
      </c>
      <c r="AH148">
        <v>0</v>
      </c>
      <c r="AI148">
        <v>37</v>
      </c>
    </row>
    <row r="149" spans="1:35" x14ac:dyDescent="0.25">
      <c r="A149" t="s">
        <v>51</v>
      </c>
      <c r="B149" t="s">
        <v>215</v>
      </c>
      <c r="C149">
        <v>1</v>
      </c>
      <c r="E149" t="s">
        <v>53</v>
      </c>
      <c r="F149">
        <v>54</v>
      </c>
      <c r="H149" t="s">
        <v>61</v>
      </c>
      <c r="I149">
        <v>150000</v>
      </c>
      <c r="J149" t="s">
        <v>110</v>
      </c>
      <c r="K149">
        <v>39</v>
      </c>
      <c r="L149">
        <v>704</v>
      </c>
      <c r="M149">
        <v>7004</v>
      </c>
      <c r="N149">
        <v>7</v>
      </c>
      <c r="O149">
        <v>4</v>
      </c>
      <c r="P149">
        <v>64</v>
      </c>
      <c r="Q149">
        <v>20.7</v>
      </c>
      <c r="R149">
        <v>550</v>
      </c>
      <c r="S149">
        <v>700</v>
      </c>
      <c r="T149" s="1">
        <v>45491</v>
      </c>
      <c r="U149" s="1">
        <v>45524</v>
      </c>
      <c r="V149">
        <v>121350</v>
      </c>
      <c r="W149">
        <v>0.83363148499999995</v>
      </c>
      <c r="X149" s="4">
        <v>0.911439114391144</v>
      </c>
      <c r="Y149" s="4">
        <f t="shared" si="2"/>
        <v>768.01619433198368</v>
      </c>
      <c r="AA149">
        <v>0.899175006</v>
      </c>
      <c r="AB149">
        <v>778.49139009999999</v>
      </c>
      <c r="AC149" cm="1">
        <f t="array" ref="AC149">_xlfn.IFS(W149&lt;0.6,S149,W149&gt;0.85,S149,W149,Y149)</f>
        <v>768.01619433198368</v>
      </c>
      <c r="AH149">
        <v>0</v>
      </c>
      <c r="AI149">
        <v>54</v>
      </c>
    </row>
    <row r="150" spans="1:35" x14ac:dyDescent="0.25">
      <c r="A150" t="s">
        <v>51</v>
      </c>
      <c r="B150" t="s">
        <v>216</v>
      </c>
      <c r="C150">
        <v>1</v>
      </c>
      <c r="E150" t="s">
        <v>53</v>
      </c>
      <c r="F150">
        <v>67</v>
      </c>
      <c r="H150" t="s">
        <v>61</v>
      </c>
      <c r="I150">
        <v>75000</v>
      </c>
      <c r="J150" t="s">
        <v>85</v>
      </c>
      <c r="K150">
        <v>13</v>
      </c>
      <c r="L150">
        <v>705</v>
      </c>
      <c r="M150">
        <v>7005</v>
      </c>
      <c r="N150">
        <v>7</v>
      </c>
      <c r="O150">
        <v>5</v>
      </c>
      <c r="P150">
        <v>27</v>
      </c>
      <c r="Q150">
        <v>21.3</v>
      </c>
      <c r="R150">
        <v>1322</v>
      </c>
      <c r="S150">
        <v>1669</v>
      </c>
      <c r="T150" s="1">
        <v>45498</v>
      </c>
      <c r="U150" s="1">
        <v>45535</v>
      </c>
      <c r="V150">
        <v>118049</v>
      </c>
      <c r="W150">
        <v>0.77094474199999996</v>
      </c>
      <c r="X150" s="4">
        <v>0.81918819188191905</v>
      </c>
      <c r="Y150" s="4">
        <f t="shared" si="2"/>
        <v>2037.3828828828823</v>
      </c>
      <c r="AA150">
        <v>0.88831397000000001</v>
      </c>
      <c r="AB150">
        <v>1878.8402040000001</v>
      </c>
      <c r="AC150" cm="1">
        <f t="array" ref="AC150">_xlfn.IFS(W150&lt;0.6,S150,W150&gt;0.85,S150,W150,Y150)</f>
        <v>2037.3828828828823</v>
      </c>
      <c r="AH150">
        <v>0</v>
      </c>
      <c r="AI150">
        <v>67</v>
      </c>
    </row>
    <row r="151" spans="1:35" x14ac:dyDescent="0.25">
      <c r="A151" t="s">
        <v>51</v>
      </c>
      <c r="B151" t="s">
        <v>217</v>
      </c>
      <c r="C151">
        <v>1</v>
      </c>
      <c r="E151" t="s">
        <v>53</v>
      </c>
      <c r="F151">
        <v>84</v>
      </c>
      <c r="H151" t="s">
        <v>61</v>
      </c>
      <c r="I151">
        <v>100000</v>
      </c>
      <c r="J151" t="s">
        <v>62</v>
      </c>
      <c r="K151">
        <v>17</v>
      </c>
      <c r="L151">
        <v>706</v>
      </c>
      <c r="M151">
        <v>7006</v>
      </c>
      <c r="N151">
        <v>7</v>
      </c>
      <c r="O151">
        <v>6</v>
      </c>
      <c r="P151">
        <v>29</v>
      </c>
      <c r="Q151">
        <v>20.3</v>
      </c>
      <c r="R151">
        <v>1943</v>
      </c>
      <c r="S151">
        <v>2485</v>
      </c>
      <c r="T151" s="1">
        <v>45498</v>
      </c>
      <c r="U151" s="1">
        <v>45536</v>
      </c>
      <c r="V151">
        <v>121688</v>
      </c>
      <c r="W151">
        <v>0.95442359200000004</v>
      </c>
      <c r="X151" s="4">
        <v>0.96481481481481501</v>
      </c>
      <c r="Y151" s="4">
        <f t="shared" si="2"/>
        <v>2575.6238003838766</v>
      </c>
      <c r="AA151">
        <v>0.90028684000000003</v>
      </c>
      <c r="AB151">
        <v>2760.2313949999998</v>
      </c>
      <c r="AC151" cm="1">
        <f t="array" ref="AC151">_xlfn.IFS(W151&lt;0.6,S151,W151&gt;0.85,S151,W151,Y151)</f>
        <v>2485</v>
      </c>
      <c r="AH151">
        <v>0</v>
      </c>
      <c r="AI151">
        <v>84</v>
      </c>
    </row>
    <row r="152" spans="1:35" x14ac:dyDescent="0.25">
      <c r="A152" t="s">
        <v>51</v>
      </c>
      <c r="B152" t="s">
        <v>218</v>
      </c>
      <c r="C152">
        <v>2</v>
      </c>
      <c r="E152" t="s">
        <v>53</v>
      </c>
      <c r="F152">
        <v>97</v>
      </c>
      <c r="H152" t="s">
        <v>61</v>
      </c>
      <c r="I152">
        <v>75000</v>
      </c>
      <c r="J152" t="s">
        <v>97</v>
      </c>
      <c r="K152">
        <v>14</v>
      </c>
      <c r="L152">
        <v>707</v>
      </c>
      <c r="M152">
        <v>7007</v>
      </c>
      <c r="N152">
        <v>7</v>
      </c>
      <c r="O152">
        <v>7</v>
      </c>
      <c r="P152">
        <v>53</v>
      </c>
      <c r="Q152">
        <v>19.399999999999999</v>
      </c>
      <c r="R152">
        <v>1575</v>
      </c>
      <c r="S152">
        <v>2037</v>
      </c>
      <c r="T152" s="1">
        <v>45494</v>
      </c>
      <c r="U152" s="1">
        <v>45532</v>
      </c>
      <c r="V152">
        <v>104167</v>
      </c>
      <c r="W152">
        <v>0.74331550800000001</v>
      </c>
      <c r="X152" s="4">
        <v>0.935304990757856</v>
      </c>
      <c r="Y152" s="4">
        <f t="shared" si="2"/>
        <v>2177.8992094861655</v>
      </c>
      <c r="AA152">
        <v>0.84266136899999999</v>
      </c>
      <c r="AB152">
        <v>2417.341148</v>
      </c>
      <c r="AC152" cm="1">
        <f t="array" ref="AC152">_xlfn.IFS(W152&lt;0.6,S152,W152&gt;0.85,S152,W152,Y152)</f>
        <v>2177.8992094861655</v>
      </c>
      <c r="AH152">
        <v>0</v>
      </c>
      <c r="AI152">
        <v>97</v>
      </c>
    </row>
    <row r="153" spans="1:35" x14ac:dyDescent="0.25">
      <c r="A153" t="s">
        <v>51</v>
      </c>
      <c r="B153" t="s">
        <v>219</v>
      </c>
      <c r="C153">
        <v>2</v>
      </c>
      <c r="E153" t="s">
        <v>53</v>
      </c>
      <c r="F153">
        <v>114</v>
      </c>
      <c r="H153" t="s">
        <v>61</v>
      </c>
      <c r="I153">
        <v>150000</v>
      </c>
      <c r="J153" t="s">
        <v>82</v>
      </c>
      <c r="K153">
        <v>35</v>
      </c>
      <c r="L153">
        <v>708</v>
      </c>
      <c r="M153">
        <v>7008</v>
      </c>
      <c r="N153">
        <v>7</v>
      </c>
      <c r="O153">
        <v>8</v>
      </c>
      <c r="P153">
        <v>61</v>
      </c>
      <c r="Q153">
        <v>17.399999999999999</v>
      </c>
      <c r="R153">
        <v>1594</v>
      </c>
      <c r="S153">
        <v>2113</v>
      </c>
      <c r="T153" s="1">
        <v>45494</v>
      </c>
      <c r="U153" s="1">
        <v>45530</v>
      </c>
      <c r="V153">
        <v>112700</v>
      </c>
      <c r="W153">
        <v>0.88640429300000001</v>
      </c>
      <c r="X153" s="4">
        <v>1</v>
      </c>
      <c r="Y153" s="4">
        <f t="shared" si="2"/>
        <v>2113</v>
      </c>
      <c r="AA153">
        <v>0.870721246</v>
      </c>
      <c r="AB153">
        <v>2426.7238349999998</v>
      </c>
      <c r="AC153" cm="1">
        <f t="array" ref="AC153">_xlfn.IFS(W153&lt;0.6,S153,W153&gt;0.85,S153,W153,Y153)</f>
        <v>2113</v>
      </c>
      <c r="AH153">
        <v>0</v>
      </c>
      <c r="AI153">
        <v>114</v>
      </c>
    </row>
    <row r="154" spans="1:35" x14ac:dyDescent="0.25">
      <c r="A154" t="s">
        <v>51</v>
      </c>
      <c r="B154" t="s">
        <v>220</v>
      </c>
      <c r="C154">
        <v>2</v>
      </c>
      <c r="E154" t="s">
        <v>53</v>
      </c>
      <c r="F154">
        <v>127</v>
      </c>
      <c r="H154" t="s">
        <v>61</v>
      </c>
      <c r="I154">
        <v>100000</v>
      </c>
      <c r="J154" t="s">
        <v>65</v>
      </c>
      <c r="K154">
        <v>18</v>
      </c>
      <c r="L154">
        <v>709</v>
      </c>
      <c r="M154">
        <v>7009</v>
      </c>
      <c r="N154">
        <v>7</v>
      </c>
      <c r="O154">
        <v>9</v>
      </c>
      <c r="P154">
        <v>39</v>
      </c>
      <c r="Q154">
        <v>20.100000000000001</v>
      </c>
      <c r="R154">
        <v>2126</v>
      </c>
      <c r="S154">
        <v>2726</v>
      </c>
      <c r="T154" s="1">
        <v>45497</v>
      </c>
      <c r="U154" s="1">
        <v>45534</v>
      </c>
      <c r="V154">
        <v>126035</v>
      </c>
      <c r="W154">
        <v>0.91339285699999995</v>
      </c>
      <c r="X154" s="4">
        <v>1</v>
      </c>
      <c r="Y154" s="4">
        <f t="shared" si="2"/>
        <v>2726</v>
      </c>
      <c r="AA154">
        <v>0.91458608799999996</v>
      </c>
      <c r="AB154">
        <v>2980.5832780000001</v>
      </c>
      <c r="AC154" cm="1">
        <f t="array" ref="AC154">_xlfn.IFS(W154&lt;0.6,S154,W154&gt;0.85,S154,W154,Y154)</f>
        <v>2726</v>
      </c>
      <c r="AH154">
        <v>0</v>
      </c>
      <c r="AI154">
        <v>127</v>
      </c>
    </row>
    <row r="155" spans="1:35" x14ac:dyDescent="0.25">
      <c r="A155" t="s">
        <v>51</v>
      </c>
      <c r="B155" s="2" t="s">
        <v>221</v>
      </c>
      <c r="C155">
        <v>2</v>
      </c>
      <c r="E155" t="s">
        <v>53</v>
      </c>
      <c r="F155">
        <v>144</v>
      </c>
      <c r="H155" t="s">
        <v>54</v>
      </c>
      <c r="I155">
        <v>100000</v>
      </c>
      <c r="J155" t="s">
        <v>97</v>
      </c>
      <c r="K155">
        <v>74</v>
      </c>
      <c r="L155">
        <v>710</v>
      </c>
      <c r="M155">
        <v>7010</v>
      </c>
      <c r="N155">
        <v>7</v>
      </c>
      <c r="O155">
        <v>10</v>
      </c>
      <c r="P155">
        <v>41</v>
      </c>
      <c r="Q155">
        <v>19.100000000000001</v>
      </c>
      <c r="R155">
        <v>1573</v>
      </c>
      <c r="S155">
        <v>2042</v>
      </c>
      <c r="T155" s="1">
        <v>45494</v>
      </c>
      <c r="U155" s="1">
        <v>45528</v>
      </c>
      <c r="V155">
        <v>151444</v>
      </c>
      <c r="W155">
        <v>0.99633554999999996</v>
      </c>
      <c r="X155" s="4">
        <v>0.98207847574936202</v>
      </c>
      <c r="Y155" s="4">
        <f t="shared" si="2"/>
        <v>2079.2635725387208</v>
      </c>
      <c r="AA155">
        <v>0.99816777499999998</v>
      </c>
      <c r="AB155">
        <v>2045.7482709999999</v>
      </c>
      <c r="AC155" cm="1">
        <f t="array" ref="AC155">_xlfn.IFS(W155&lt;0.6,S155,W155&gt;0.85,S155,W155,Y155)</f>
        <v>2042</v>
      </c>
      <c r="AH155">
        <v>0</v>
      </c>
      <c r="AI155">
        <v>144</v>
      </c>
    </row>
    <row r="156" spans="1:35" x14ac:dyDescent="0.25">
      <c r="A156" t="s">
        <v>51</v>
      </c>
      <c r="B156" t="s">
        <v>222</v>
      </c>
      <c r="C156">
        <v>2</v>
      </c>
      <c r="E156" t="s">
        <v>53</v>
      </c>
      <c r="F156">
        <v>157</v>
      </c>
      <c r="H156" t="s">
        <v>54</v>
      </c>
      <c r="I156">
        <v>75000</v>
      </c>
      <c r="J156" t="s">
        <v>82</v>
      </c>
      <c r="K156">
        <v>50</v>
      </c>
      <c r="L156">
        <v>711</v>
      </c>
      <c r="M156">
        <v>7011</v>
      </c>
      <c r="N156">
        <v>7</v>
      </c>
      <c r="O156">
        <v>11</v>
      </c>
      <c r="P156">
        <v>26</v>
      </c>
      <c r="Q156">
        <v>19.600000000000001</v>
      </c>
      <c r="R156">
        <v>1818</v>
      </c>
      <c r="S156">
        <v>2345</v>
      </c>
      <c r="T156" s="1">
        <v>45495</v>
      </c>
      <c r="U156" s="1">
        <v>45532</v>
      </c>
      <c r="V156">
        <v>151627</v>
      </c>
      <c r="W156">
        <v>0.99756574099999995</v>
      </c>
      <c r="X156" s="4">
        <v>0.99844738885014706</v>
      </c>
      <c r="Y156" s="4">
        <f t="shared" si="2"/>
        <v>2348.6465347969893</v>
      </c>
      <c r="AA156">
        <v>0.99878287099999996</v>
      </c>
      <c r="AB156">
        <v>2347.8576469999998</v>
      </c>
      <c r="AC156" cm="1">
        <f t="array" ref="AC156">_xlfn.IFS(W156&lt;0.6,S156,W156&gt;0.85,S156,W156,Y156)</f>
        <v>2345</v>
      </c>
      <c r="AH156">
        <v>0</v>
      </c>
      <c r="AI156">
        <v>157</v>
      </c>
    </row>
    <row r="157" spans="1:35" x14ac:dyDescent="0.25">
      <c r="A157" t="s">
        <v>51</v>
      </c>
      <c r="B157" t="s">
        <v>223</v>
      </c>
      <c r="C157">
        <v>2</v>
      </c>
      <c r="E157" t="s">
        <v>53</v>
      </c>
      <c r="F157">
        <v>174</v>
      </c>
      <c r="H157" t="s">
        <v>54</v>
      </c>
      <c r="I157">
        <v>150000</v>
      </c>
      <c r="J157" t="s">
        <v>62</v>
      </c>
      <c r="K157">
        <v>77</v>
      </c>
      <c r="L157">
        <v>712</v>
      </c>
      <c r="M157">
        <v>7012</v>
      </c>
      <c r="N157">
        <v>7</v>
      </c>
      <c r="O157">
        <v>12</v>
      </c>
      <c r="P157">
        <v>27</v>
      </c>
      <c r="Q157">
        <v>18.5</v>
      </c>
      <c r="R157">
        <v>2396</v>
      </c>
      <c r="S157">
        <v>3133</v>
      </c>
      <c r="T157" s="1">
        <v>45498</v>
      </c>
      <c r="U157" s="1">
        <v>45536</v>
      </c>
      <c r="V157">
        <v>151792</v>
      </c>
      <c r="W157">
        <v>0.99862500899999995</v>
      </c>
      <c r="X157" s="4">
        <v>1</v>
      </c>
      <c r="Y157" s="4">
        <f t="shared" si="2"/>
        <v>3133</v>
      </c>
      <c r="AA157">
        <v>0.99931250500000002</v>
      </c>
      <c r="AB157">
        <v>3135.155405</v>
      </c>
      <c r="AC157" cm="1">
        <f t="array" ref="AC157">_xlfn.IFS(W157&lt;0.6,S157,W157&gt;0.85,S157,W157,Y157)</f>
        <v>3133</v>
      </c>
      <c r="AH157">
        <v>0</v>
      </c>
      <c r="AI157">
        <v>174</v>
      </c>
    </row>
    <row r="158" spans="1:35" x14ac:dyDescent="0.25">
      <c r="A158" t="s">
        <v>51</v>
      </c>
      <c r="B158" t="s">
        <v>224</v>
      </c>
      <c r="C158">
        <v>3</v>
      </c>
      <c r="E158" t="s">
        <v>53</v>
      </c>
      <c r="F158">
        <v>187</v>
      </c>
      <c r="H158" t="s">
        <v>61</v>
      </c>
      <c r="I158">
        <v>150000</v>
      </c>
      <c r="J158" t="s">
        <v>77</v>
      </c>
      <c r="K158">
        <v>34</v>
      </c>
      <c r="L158">
        <v>713</v>
      </c>
      <c r="M158">
        <v>7013</v>
      </c>
      <c r="N158">
        <v>7</v>
      </c>
      <c r="O158">
        <v>13</v>
      </c>
      <c r="P158">
        <v>68</v>
      </c>
      <c r="Q158">
        <v>19.5</v>
      </c>
      <c r="R158">
        <v>931</v>
      </c>
      <c r="S158">
        <v>1203</v>
      </c>
      <c r="T158" s="1">
        <v>45497</v>
      </c>
      <c r="V158">
        <v>126132</v>
      </c>
      <c r="W158">
        <v>0.94919786100000003</v>
      </c>
      <c r="X158" s="4">
        <v>0.99630314232901995</v>
      </c>
      <c r="Y158" s="4">
        <f t="shared" si="2"/>
        <v>1207.4638218923938</v>
      </c>
      <c r="AA158">
        <v>0.91490243599999999</v>
      </c>
      <c r="AB158">
        <v>1314.894303</v>
      </c>
      <c r="AC158" cm="1">
        <f t="array" ref="AC158">_xlfn.IFS(W158&lt;0.6,S158,W158&gt;0.85,S158,W158,Y158)</f>
        <v>1203</v>
      </c>
      <c r="AH158">
        <v>0</v>
      </c>
      <c r="AI158">
        <v>187</v>
      </c>
    </row>
    <row r="159" spans="1:35" x14ac:dyDescent="0.25">
      <c r="A159" t="s">
        <v>51</v>
      </c>
      <c r="B159" t="s">
        <v>225</v>
      </c>
      <c r="C159">
        <v>3</v>
      </c>
      <c r="E159" t="s">
        <v>53</v>
      </c>
      <c r="F159">
        <v>204</v>
      </c>
      <c r="H159" t="s">
        <v>61</v>
      </c>
      <c r="I159">
        <v>75000</v>
      </c>
      <c r="J159" t="s">
        <v>85</v>
      </c>
      <c r="K159">
        <v>13</v>
      </c>
      <c r="L159">
        <v>714</v>
      </c>
      <c r="M159">
        <v>7014</v>
      </c>
      <c r="N159">
        <v>7</v>
      </c>
      <c r="O159">
        <v>14</v>
      </c>
      <c r="P159">
        <v>26</v>
      </c>
      <c r="Q159">
        <v>18.3</v>
      </c>
      <c r="R159">
        <v>1310</v>
      </c>
      <c r="S159">
        <v>1717</v>
      </c>
      <c r="T159" s="1">
        <v>45499</v>
      </c>
      <c r="U159" s="1">
        <v>45535</v>
      </c>
      <c r="V159">
        <v>105086</v>
      </c>
      <c r="W159">
        <v>0.70089285700000004</v>
      </c>
      <c r="X159" s="4">
        <v>0.83828996282527901</v>
      </c>
      <c r="Y159" s="4">
        <f t="shared" si="2"/>
        <v>2048.2172949002211</v>
      </c>
      <c r="AA159">
        <v>0.84567990599999998</v>
      </c>
      <c r="AB159">
        <v>2030.3190219999999</v>
      </c>
      <c r="AC159" cm="1">
        <f t="array" ref="AC159">_xlfn.IFS(W159&lt;0.6,S159,W159&gt;0.85,S159,W159,Y159)</f>
        <v>2048.2172949002211</v>
      </c>
      <c r="AH159">
        <v>0</v>
      </c>
      <c r="AI159">
        <v>204</v>
      </c>
    </row>
    <row r="160" spans="1:35" x14ac:dyDescent="0.25">
      <c r="A160" t="s">
        <v>51</v>
      </c>
      <c r="B160" t="s">
        <v>226</v>
      </c>
      <c r="C160">
        <v>3</v>
      </c>
      <c r="E160" t="s">
        <v>53</v>
      </c>
      <c r="F160">
        <v>217</v>
      </c>
      <c r="H160" t="s">
        <v>61</v>
      </c>
      <c r="I160">
        <v>100000</v>
      </c>
      <c r="J160" t="s">
        <v>85</v>
      </c>
      <c r="K160">
        <v>28</v>
      </c>
      <c r="L160">
        <v>715</v>
      </c>
      <c r="M160">
        <v>7015</v>
      </c>
      <c r="N160">
        <v>7</v>
      </c>
      <c r="O160">
        <v>15</v>
      </c>
      <c r="P160">
        <v>23</v>
      </c>
      <c r="Q160">
        <v>19.2</v>
      </c>
      <c r="R160">
        <v>1592</v>
      </c>
      <c r="S160">
        <v>2064</v>
      </c>
      <c r="T160" s="1">
        <v>45497</v>
      </c>
      <c r="V160">
        <v>97257</v>
      </c>
      <c r="W160">
        <v>0.66427932000000001</v>
      </c>
      <c r="X160" s="4">
        <v>0.77551020408163296</v>
      </c>
      <c r="Y160" s="4">
        <f t="shared" si="2"/>
        <v>2661.4736842105253</v>
      </c>
      <c r="AA160">
        <v>0.81992644699999995</v>
      </c>
      <c r="AB160">
        <v>2517.2989689999999</v>
      </c>
      <c r="AC160" cm="1">
        <f t="array" ref="AC160">_xlfn.IFS(W160&lt;0.6,S160,W160&gt;0.85,S160,W160,Y160)</f>
        <v>2661.4736842105253</v>
      </c>
      <c r="AH160">
        <v>0</v>
      </c>
      <c r="AI160">
        <v>217</v>
      </c>
    </row>
    <row r="161" spans="1:35" x14ac:dyDescent="0.25">
      <c r="A161" t="s">
        <v>51</v>
      </c>
      <c r="B161" t="s">
        <v>227</v>
      </c>
      <c r="C161">
        <v>3</v>
      </c>
      <c r="E161" t="s">
        <v>53</v>
      </c>
      <c r="F161">
        <v>234</v>
      </c>
      <c r="H161" t="s">
        <v>54</v>
      </c>
      <c r="I161">
        <v>100000</v>
      </c>
      <c r="J161" t="s">
        <v>77</v>
      </c>
      <c r="K161">
        <v>64</v>
      </c>
      <c r="L161">
        <v>716</v>
      </c>
      <c r="M161">
        <v>7016</v>
      </c>
      <c r="N161">
        <v>7</v>
      </c>
      <c r="O161">
        <v>16</v>
      </c>
      <c r="P161">
        <v>75</v>
      </c>
      <c r="Q161">
        <v>21.2</v>
      </c>
      <c r="R161">
        <v>895</v>
      </c>
      <c r="S161">
        <v>1132</v>
      </c>
      <c r="T161" s="1">
        <v>45493</v>
      </c>
      <c r="V161">
        <v>151812</v>
      </c>
      <c r="W161">
        <v>0.99875658700000003</v>
      </c>
      <c r="X161" s="4">
        <v>0.99599994736772901</v>
      </c>
      <c r="Y161" s="4">
        <f t="shared" si="2"/>
        <v>1136.5462447982027</v>
      </c>
      <c r="AA161">
        <v>0.999378294</v>
      </c>
      <c r="AB161">
        <v>1132.7042100000001</v>
      </c>
      <c r="AC161" cm="1">
        <f t="array" ref="AC161">_xlfn.IFS(W161&lt;0.6,S161,W161&gt;0.85,S161,W161,Y161)</f>
        <v>1132</v>
      </c>
      <c r="AH161">
        <v>0</v>
      </c>
      <c r="AI161">
        <v>234</v>
      </c>
    </row>
    <row r="162" spans="1:35" x14ac:dyDescent="0.25">
      <c r="A162" t="s">
        <v>51</v>
      </c>
      <c r="B162" t="s">
        <v>228</v>
      </c>
      <c r="C162">
        <v>3</v>
      </c>
      <c r="E162" t="s">
        <v>53</v>
      </c>
      <c r="F162">
        <v>247</v>
      </c>
      <c r="H162" t="s">
        <v>54</v>
      </c>
      <c r="I162">
        <v>150000</v>
      </c>
      <c r="J162" t="s">
        <v>95</v>
      </c>
      <c r="K162">
        <v>82</v>
      </c>
      <c r="L162">
        <v>717</v>
      </c>
      <c r="M162">
        <v>7017</v>
      </c>
      <c r="N162">
        <v>7</v>
      </c>
      <c r="O162">
        <v>17</v>
      </c>
      <c r="P162">
        <v>41</v>
      </c>
      <c r="Q162">
        <v>17.7</v>
      </c>
      <c r="R162">
        <v>1483</v>
      </c>
      <c r="S162">
        <v>1958</v>
      </c>
      <c r="T162" s="1">
        <v>45496</v>
      </c>
      <c r="U162" s="1">
        <v>45536</v>
      </c>
      <c r="V162">
        <v>147383</v>
      </c>
      <c r="W162">
        <v>0.96962499999999996</v>
      </c>
      <c r="X162" s="4">
        <v>0.97609210526315804</v>
      </c>
      <c r="Y162" s="4">
        <f t="shared" si="2"/>
        <v>2005.9582384104172</v>
      </c>
      <c r="AA162">
        <v>0.98481249999999998</v>
      </c>
      <c r="AB162">
        <v>1988.195723</v>
      </c>
      <c r="AC162" cm="1">
        <f t="array" ref="AC162">_xlfn.IFS(W162&lt;0.6,S162,W162&gt;0.85,S162,W162,Y162)</f>
        <v>1958</v>
      </c>
      <c r="AH162">
        <v>0</v>
      </c>
      <c r="AI162">
        <v>247</v>
      </c>
    </row>
    <row r="163" spans="1:35" x14ac:dyDescent="0.25">
      <c r="A163" t="s">
        <v>51</v>
      </c>
      <c r="B163" t="s">
        <v>229</v>
      </c>
      <c r="C163">
        <v>3</v>
      </c>
      <c r="E163" t="s">
        <v>53</v>
      </c>
      <c r="F163">
        <v>264</v>
      </c>
      <c r="H163" t="s">
        <v>54</v>
      </c>
      <c r="I163">
        <v>75000</v>
      </c>
      <c r="J163" t="s">
        <v>59</v>
      </c>
      <c r="K163">
        <v>55</v>
      </c>
      <c r="L163">
        <v>718</v>
      </c>
      <c r="M163">
        <v>7018</v>
      </c>
      <c r="N163">
        <v>7</v>
      </c>
      <c r="O163">
        <v>18</v>
      </c>
      <c r="P163">
        <v>58</v>
      </c>
      <c r="Q163">
        <v>18.899999999999999</v>
      </c>
      <c r="R163">
        <v>527</v>
      </c>
      <c r="S163">
        <v>686</v>
      </c>
      <c r="T163" s="1">
        <v>45490</v>
      </c>
      <c r="U163" s="1">
        <v>45525</v>
      </c>
      <c r="V163">
        <v>112910</v>
      </c>
      <c r="W163">
        <v>0.74282894700000002</v>
      </c>
      <c r="X163" s="4">
        <v>0.89264473684210499</v>
      </c>
      <c r="Y163" s="4">
        <f t="shared" si="2"/>
        <v>768.50282277678718</v>
      </c>
      <c r="AA163">
        <v>0.87141447400000005</v>
      </c>
      <c r="AB163">
        <v>787.22585049999998</v>
      </c>
      <c r="AC163" cm="1">
        <f t="array" ref="AC163">_xlfn.IFS(W163&lt;0.6,S163,W163&gt;0.85,S163,W163,Y163)</f>
        <v>768.50282277678718</v>
      </c>
      <c r="AH163">
        <v>0</v>
      </c>
      <c r="AI163">
        <v>264</v>
      </c>
    </row>
    <row r="164" spans="1:35" x14ac:dyDescent="0.25">
      <c r="A164" t="s">
        <v>51</v>
      </c>
      <c r="B164">
        <v>1261178526</v>
      </c>
      <c r="C164">
        <v>4</v>
      </c>
      <c r="E164" t="s">
        <v>53</v>
      </c>
      <c r="F164">
        <v>277</v>
      </c>
      <c r="H164" t="s">
        <v>61</v>
      </c>
      <c r="I164">
        <v>75000</v>
      </c>
      <c r="J164" t="s">
        <v>71</v>
      </c>
      <c r="K164">
        <v>11</v>
      </c>
      <c r="L164">
        <v>719</v>
      </c>
      <c r="M164">
        <v>7019</v>
      </c>
      <c r="N164">
        <v>7</v>
      </c>
      <c r="O164">
        <v>19</v>
      </c>
      <c r="T164" s="1">
        <v>45489</v>
      </c>
      <c r="U164" s="1">
        <v>45525</v>
      </c>
      <c r="V164">
        <v>123278</v>
      </c>
      <c r="W164">
        <v>0.94101876699999998</v>
      </c>
      <c r="X164" s="4">
        <v>0.99074074074074103</v>
      </c>
      <c r="Y164" s="4" t="s">
        <v>431</v>
      </c>
      <c r="AH164">
        <v>0</v>
      </c>
      <c r="AI164">
        <v>277</v>
      </c>
    </row>
    <row r="165" spans="1:35" x14ac:dyDescent="0.25">
      <c r="A165" t="s">
        <v>51</v>
      </c>
      <c r="B165" t="s">
        <v>230</v>
      </c>
      <c r="C165">
        <v>4</v>
      </c>
      <c r="E165" t="s">
        <v>53</v>
      </c>
      <c r="F165">
        <v>294</v>
      </c>
      <c r="H165" t="s">
        <v>61</v>
      </c>
      <c r="I165">
        <v>100000</v>
      </c>
      <c r="J165" t="s">
        <v>55</v>
      </c>
      <c r="K165">
        <v>23</v>
      </c>
      <c r="L165">
        <v>720</v>
      </c>
      <c r="M165">
        <v>7020</v>
      </c>
      <c r="N165">
        <v>7</v>
      </c>
      <c r="O165">
        <v>20</v>
      </c>
      <c r="P165">
        <v>31</v>
      </c>
      <c r="Q165">
        <v>17.7</v>
      </c>
      <c r="R165">
        <v>1480</v>
      </c>
      <c r="S165">
        <v>1954</v>
      </c>
      <c r="T165" s="1">
        <v>45498</v>
      </c>
      <c r="U165" s="1">
        <v>45534</v>
      </c>
      <c r="V165">
        <v>122306</v>
      </c>
      <c r="W165">
        <v>0.91413237899999999</v>
      </c>
      <c r="X165" s="4">
        <v>0.91651205936920199</v>
      </c>
      <c r="Y165" s="4">
        <f t="shared" si="2"/>
        <v>2131.9959514170046</v>
      </c>
      <c r="AA165">
        <v>0.90231972199999999</v>
      </c>
      <c r="AB165">
        <v>2165.5295270000001</v>
      </c>
      <c r="AC165" cm="1">
        <f t="array" ref="AC165">_xlfn.IFS(W165&lt;0.6,S165,W165&gt;0.85,S165,W165,Y165)</f>
        <v>1954</v>
      </c>
      <c r="AH165">
        <v>0</v>
      </c>
      <c r="AI165">
        <v>294</v>
      </c>
    </row>
    <row r="166" spans="1:35" x14ac:dyDescent="0.25">
      <c r="A166" t="s">
        <v>51</v>
      </c>
      <c r="B166" t="s">
        <v>231</v>
      </c>
      <c r="C166">
        <v>4</v>
      </c>
      <c r="E166" t="s">
        <v>53</v>
      </c>
      <c r="F166">
        <v>307</v>
      </c>
      <c r="H166" t="s">
        <v>61</v>
      </c>
      <c r="I166">
        <v>150000</v>
      </c>
      <c r="J166" t="s">
        <v>65</v>
      </c>
      <c r="K166">
        <v>33</v>
      </c>
      <c r="L166">
        <v>721</v>
      </c>
      <c r="M166">
        <v>7021</v>
      </c>
      <c r="N166">
        <v>7</v>
      </c>
      <c r="O166">
        <v>21</v>
      </c>
      <c r="P166">
        <v>40</v>
      </c>
      <c r="Q166">
        <v>18.3</v>
      </c>
      <c r="R166">
        <v>2280</v>
      </c>
      <c r="S166">
        <v>2989</v>
      </c>
      <c r="T166" s="1">
        <v>45496</v>
      </c>
      <c r="U166" s="1">
        <v>45532</v>
      </c>
      <c r="V166">
        <v>130952</v>
      </c>
      <c r="W166">
        <v>0.95450490600000004</v>
      </c>
      <c r="X166" s="4">
        <v>0.99630996309963105</v>
      </c>
      <c r="Y166" s="4">
        <f t="shared" si="2"/>
        <v>3000.0703703703703</v>
      </c>
      <c r="AA166">
        <v>0.93076315799999998</v>
      </c>
      <c r="AB166">
        <v>3211.3432659999999</v>
      </c>
      <c r="AC166" cm="1">
        <f t="array" ref="AC166">_xlfn.IFS(W166&lt;0.6,S166,W166&gt;0.85,S166,W166,Y166)</f>
        <v>2989</v>
      </c>
      <c r="AH166">
        <v>0</v>
      </c>
      <c r="AI166">
        <v>307</v>
      </c>
    </row>
    <row r="167" spans="1:35" x14ac:dyDescent="0.25">
      <c r="A167" t="s">
        <v>51</v>
      </c>
      <c r="B167" t="s">
        <v>232</v>
      </c>
      <c r="C167">
        <v>4</v>
      </c>
      <c r="E167" t="s">
        <v>53</v>
      </c>
      <c r="F167">
        <v>324</v>
      </c>
      <c r="H167" t="s">
        <v>54</v>
      </c>
      <c r="I167">
        <v>150000</v>
      </c>
      <c r="J167" t="s">
        <v>77</v>
      </c>
      <c r="K167">
        <v>79</v>
      </c>
      <c r="L167">
        <v>722</v>
      </c>
      <c r="M167">
        <v>7022</v>
      </c>
      <c r="N167">
        <v>7</v>
      </c>
      <c r="O167">
        <v>22</v>
      </c>
      <c r="P167">
        <v>67</v>
      </c>
      <c r="Q167">
        <v>20</v>
      </c>
      <c r="R167">
        <v>827</v>
      </c>
      <c r="S167">
        <v>1062</v>
      </c>
      <c r="T167" s="1">
        <v>45493</v>
      </c>
      <c r="V167">
        <v>151937</v>
      </c>
      <c r="W167">
        <v>0.99959867899999999</v>
      </c>
      <c r="X167" s="4">
        <v>0.99830263157894705</v>
      </c>
      <c r="Y167" s="4">
        <f t="shared" si="2"/>
        <v>1063.8056701506507</v>
      </c>
      <c r="AA167">
        <v>0.99979934000000004</v>
      </c>
      <c r="AB167">
        <v>1062.2131440000001</v>
      </c>
      <c r="AC167" cm="1">
        <f t="array" ref="AC167">_xlfn.IFS(W167&lt;0.6,S167,W167&gt;0.85,S167,W167,Y167)</f>
        <v>1062</v>
      </c>
      <c r="AH167">
        <v>0</v>
      </c>
      <c r="AI167">
        <v>324</v>
      </c>
    </row>
    <row r="168" spans="1:35" x14ac:dyDescent="0.25">
      <c r="A168" t="s">
        <v>51</v>
      </c>
      <c r="B168" t="s">
        <v>233</v>
      </c>
      <c r="C168">
        <v>4</v>
      </c>
      <c r="E168" t="s">
        <v>53</v>
      </c>
      <c r="F168">
        <v>337</v>
      </c>
      <c r="H168" t="s">
        <v>54</v>
      </c>
      <c r="I168">
        <v>100000</v>
      </c>
      <c r="J168" t="s">
        <v>57</v>
      </c>
      <c r="K168">
        <v>66</v>
      </c>
      <c r="L168">
        <v>723</v>
      </c>
      <c r="M168">
        <v>7023</v>
      </c>
      <c r="N168">
        <v>7</v>
      </c>
      <c r="O168">
        <v>23</v>
      </c>
      <c r="P168">
        <v>57</v>
      </c>
      <c r="Q168">
        <v>23.6</v>
      </c>
      <c r="R168">
        <v>681</v>
      </c>
      <c r="S168">
        <v>835</v>
      </c>
      <c r="T168" s="1">
        <v>45491</v>
      </c>
      <c r="U168" s="1">
        <v>45530</v>
      </c>
      <c r="V168">
        <v>147817</v>
      </c>
      <c r="W168">
        <v>0.97246746799999995</v>
      </c>
      <c r="X168" s="4">
        <v>1</v>
      </c>
      <c r="Y168" s="4">
        <f t="shared" si="2"/>
        <v>835</v>
      </c>
      <c r="AA168">
        <v>0.98623373400000003</v>
      </c>
      <c r="AB168">
        <v>846.65528180000001</v>
      </c>
      <c r="AC168" cm="1">
        <f t="array" ref="AC168">_xlfn.IFS(W168&lt;0.6,S168,W168&gt;0.85,S168,W168,Y168)</f>
        <v>835</v>
      </c>
      <c r="AH168">
        <v>0</v>
      </c>
      <c r="AI168">
        <v>337</v>
      </c>
    </row>
    <row r="169" spans="1:35" x14ac:dyDescent="0.25">
      <c r="A169" t="s">
        <v>51</v>
      </c>
      <c r="B169" t="s">
        <v>234</v>
      </c>
      <c r="C169">
        <v>4</v>
      </c>
      <c r="E169" t="s">
        <v>53</v>
      </c>
      <c r="F169">
        <v>354</v>
      </c>
      <c r="H169" t="s">
        <v>54</v>
      </c>
      <c r="I169">
        <v>75000</v>
      </c>
      <c r="J169" t="s">
        <v>65</v>
      </c>
      <c r="K169">
        <v>48</v>
      </c>
      <c r="L169">
        <v>724</v>
      </c>
      <c r="M169">
        <v>7024</v>
      </c>
      <c r="N169">
        <v>7</v>
      </c>
      <c r="O169">
        <v>24</v>
      </c>
      <c r="P169">
        <v>43</v>
      </c>
      <c r="Q169">
        <v>20.5</v>
      </c>
      <c r="R169">
        <v>1832</v>
      </c>
      <c r="S169">
        <v>2337</v>
      </c>
      <c r="T169" s="1">
        <v>45492</v>
      </c>
      <c r="U169" s="1">
        <v>45536</v>
      </c>
      <c r="V169">
        <v>146315</v>
      </c>
      <c r="W169">
        <v>0.96259868400000004</v>
      </c>
      <c r="X169" s="4">
        <v>0.97181616031368001</v>
      </c>
      <c r="Y169" s="4">
        <f t="shared" si="2"/>
        <v>2404.7758160819944</v>
      </c>
      <c r="AA169">
        <v>0.98129934200000002</v>
      </c>
      <c r="AB169">
        <v>2381.5362960000002</v>
      </c>
      <c r="AC169" cm="1">
        <f t="array" ref="AC169">_xlfn.IFS(W169&lt;0.6,S169,W169&gt;0.85,S169,W169,Y169)</f>
        <v>2337</v>
      </c>
      <c r="AH169">
        <v>0</v>
      </c>
      <c r="AI169">
        <v>354</v>
      </c>
    </row>
    <row r="170" spans="1:35" x14ac:dyDescent="0.25">
      <c r="A170" t="s">
        <v>51</v>
      </c>
      <c r="B170" t="s">
        <v>235</v>
      </c>
      <c r="C170">
        <v>1</v>
      </c>
      <c r="E170" t="s">
        <v>53</v>
      </c>
      <c r="F170">
        <v>8</v>
      </c>
      <c r="H170" t="s">
        <v>54</v>
      </c>
      <c r="I170">
        <v>100000</v>
      </c>
      <c r="J170" t="s">
        <v>57</v>
      </c>
      <c r="K170">
        <v>66</v>
      </c>
      <c r="L170">
        <v>801</v>
      </c>
      <c r="M170">
        <v>8001</v>
      </c>
      <c r="N170">
        <v>8</v>
      </c>
      <c r="O170">
        <v>1</v>
      </c>
      <c r="P170">
        <v>41</v>
      </c>
      <c r="Q170">
        <v>18.2</v>
      </c>
      <c r="R170">
        <v>851</v>
      </c>
      <c r="S170">
        <v>1117</v>
      </c>
      <c r="T170" s="1">
        <v>45489</v>
      </c>
      <c r="U170" s="1">
        <v>45523</v>
      </c>
      <c r="V170">
        <v>146571</v>
      </c>
      <c r="W170">
        <v>0.96428289499999997</v>
      </c>
      <c r="X170" s="4">
        <v>0.982105027697733</v>
      </c>
      <c r="Y170" s="4">
        <f t="shared" si="2"/>
        <v>1137.3528986186845</v>
      </c>
      <c r="AA170">
        <v>0.98214144800000003</v>
      </c>
      <c r="AB170">
        <v>1137.3107230000001</v>
      </c>
      <c r="AC170" cm="1">
        <f t="array" ref="AC170">_xlfn.IFS(W170&lt;0.6,S170,W170&gt;0.85,S170,W170,Y170)</f>
        <v>1117</v>
      </c>
      <c r="AH170">
        <v>0</v>
      </c>
      <c r="AI170">
        <v>8</v>
      </c>
    </row>
    <row r="171" spans="1:35" x14ac:dyDescent="0.25">
      <c r="A171" t="s">
        <v>51</v>
      </c>
      <c r="B171" t="s">
        <v>236</v>
      </c>
      <c r="C171">
        <v>1</v>
      </c>
      <c r="E171" t="s">
        <v>53</v>
      </c>
      <c r="F171">
        <v>23</v>
      </c>
      <c r="H171" t="s">
        <v>54</v>
      </c>
      <c r="I171">
        <v>150000</v>
      </c>
      <c r="J171" t="s">
        <v>62</v>
      </c>
      <c r="K171">
        <v>77</v>
      </c>
      <c r="L171">
        <v>802</v>
      </c>
      <c r="M171">
        <v>8002</v>
      </c>
      <c r="N171">
        <v>8</v>
      </c>
      <c r="O171">
        <v>2</v>
      </c>
      <c r="P171">
        <v>60</v>
      </c>
      <c r="Q171">
        <v>19</v>
      </c>
      <c r="R171">
        <v>1885</v>
      </c>
      <c r="S171">
        <v>2450</v>
      </c>
      <c r="T171" s="1">
        <v>45496</v>
      </c>
      <c r="U171" s="1">
        <v>45533</v>
      </c>
      <c r="V171">
        <v>151632</v>
      </c>
      <c r="W171">
        <v>0.99757894700000005</v>
      </c>
      <c r="X171" s="4">
        <v>0.99872368421052604</v>
      </c>
      <c r="Y171" s="4">
        <f t="shared" si="2"/>
        <v>2453.1309697903912</v>
      </c>
      <c r="AA171">
        <v>0.99878947399999995</v>
      </c>
      <c r="AB171">
        <v>2452.969384</v>
      </c>
      <c r="AC171" cm="1">
        <f t="array" ref="AC171">_xlfn.IFS(W171&lt;0.6,S171,W171&gt;0.85,S171,W171,Y171)</f>
        <v>2450</v>
      </c>
      <c r="AH171">
        <v>0</v>
      </c>
      <c r="AI171">
        <v>23</v>
      </c>
    </row>
    <row r="172" spans="1:35" x14ac:dyDescent="0.25">
      <c r="A172" t="s">
        <v>51</v>
      </c>
      <c r="B172" t="s">
        <v>237</v>
      </c>
      <c r="C172">
        <v>1</v>
      </c>
      <c r="E172" t="s">
        <v>53</v>
      </c>
      <c r="F172">
        <v>38</v>
      </c>
      <c r="H172" t="s">
        <v>54</v>
      </c>
      <c r="I172">
        <v>75000</v>
      </c>
      <c r="J172" t="s">
        <v>77</v>
      </c>
      <c r="K172">
        <v>49</v>
      </c>
      <c r="L172">
        <v>803</v>
      </c>
      <c r="M172">
        <v>8003</v>
      </c>
      <c r="N172">
        <v>8</v>
      </c>
      <c r="O172">
        <v>3</v>
      </c>
      <c r="P172">
        <v>67</v>
      </c>
      <c r="Q172">
        <v>23</v>
      </c>
      <c r="R172">
        <v>722</v>
      </c>
      <c r="S172">
        <v>892</v>
      </c>
      <c r="T172" s="1">
        <v>45496</v>
      </c>
      <c r="V172">
        <v>142067</v>
      </c>
      <c r="W172">
        <v>0.93465746500000002</v>
      </c>
      <c r="X172" s="4">
        <v>0.997394736842105</v>
      </c>
      <c r="Y172" s="4">
        <f t="shared" si="2"/>
        <v>894.32996490857784</v>
      </c>
      <c r="AA172">
        <v>0.967328733</v>
      </c>
      <c r="AB172">
        <v>922.12705979999998</v>
      </c>
      <c r="AC172" cm="1">
        <f t="array" ref="AC172">_xlfn.IFS(W172&lt;0.6,S172,W172&gt;0.85,S172,W172,Y172)</f>
        <v>892</v>
      </c>
      <c r="AH172">
        <v>0</v>
      </c>
      <c r="AI172">
        <v>38</v>
      </c>
    </row>
    <row r="173" spans="1:35" x14ac:dyDescent="0.25">
      <c r="A173" t="s">
        <v>51</v>
      </c>
      <c r="B173" t="s">
        <v>238</v>
      </c>
      <c r="C173">
        <v>1</v>
      </c>
      <c r="E173" t="s">
        <v>53</v>
      </c>
      <c r="F173">
        <v>53</v>
      </c>
      <c r="H173" t="s">
        <v>61</v>
      </c>
      <c r="I173">
        <v>150000</v>
      </c>
      <c r="J173" t="s">
        <v>59</v>
      </c>
      <c r="K173">
        <v>40</v>
      </c>
      <c r="L173">
        <v>804</v>
      </c>
      <c r="M173">
        <v>8004</v>
      </c>
      <c r="N173">
        <v>8</v>
      </c>
      <c r="O173">
        <v>4</v>
      </c>
      <c r="P173">
        <v>57</v>
      </c>
      <c r="Q173">
        <v>18.899999999999999</v>
      </c>
      <c r="R173">
        <v>764</v>
      </c>
      <c r="S173">
        <v>994</v>
      </c>
      <c r="T173" s="1">
        <v>45490</v>
      </c>
      <c r="U173" s="1">
        <v>45526</v>
      </c>
      <c r="V173">
        <v>129000</v>
      </c>
      <c r="W173">
        <v>0.98928571399999998</v>
      </c>
      <c r="X173" s="4">
        <v>0.98710865561694305</v>
      </c>
      <c r="Y173" s="4">
        <f t="shared" si="2"/>
        <v>1006.981343283582</v>
      </c>
      <c r="AA173">
        <v>0.92433931400000002</v>
      </c>
      <c r="AB173">
        <v>1075.362678</v>
      </c>
      <c r="AC173" cm="1">
        <f t="array" ref="AC173">_xlfn.IFS(W173&lt;0.6,S173,W173&gt;0.85,S173,W173,Y173)</f>
        <v>994</v>
      </c>
      <c r="AH173">
        <v>0</v>
      </c>
      <c r="AI173">
        <v>53</v>
      </c>
    </row>
    <row r="174" spans="1:35" x14ac:dyDescent="0.25">
      <c r="A174" t="s">
        <v>51</v>
      </c>
      <c r="B174" t="s">
        <v>239</v>
      </c>
      <c r="C174">
        <v>1</v>
      </c>
      <c r="E174" t="s">
        <v>53</v>
      </c>
      <c r="F174">
        <v>68</v>
      </c>
      <c r="H174" t="s">
        <v>61</v>
      </c>
      <c r="I174">
        <v>75000</v>
      </c>
      <c r="J174" t="s">
        <v>65</v>
      </c>
      <c r="K174">
        <v>3</v>
      </c>
      <c r="L174">
        <v>805</v>
      </c>
      <c r="M174">
        <v>8005</v>
      </c>
      <c r="N174">
        <v>8</v>
      </c>
      <c r="O174">
        <v>5</v>
      </c>
      <c r="P174">
        <v>41</v>
      </c>
      <c r="Q174">
        <v>19.7</v>
      </c>
      <c r="R174">
        <v>1511</v>
      </c>
      <c r="S174">
        <v>1947</v>
      </c>
      <c r="T174" s="1">
        <v>45496</v>
      </c>
      <c r="U174" s="1">
        <v>45534</v>
      </c>
      <c r="V174">
        <v>76037</v>
      </c>
      <c r="W174">
        <v>0.51520572499999995</v>
      </c>
      <c r="X174" s="4">
        <v>0.53717472118959098</v>
      </c>
      <c r="Y174" s="4">
        <f t="shared" si="2"/>
        <v>3624.5190311418692</v>
      </c>
      <c r="AA174">
        <v>0.75012006499999995</v>
      </c>
      <c r="AB174">
        <v>2595.5844820000002</v>
      </c>
      <c r="AC174" cm="1">
        <f t="array" ref="AC174">_xlfn.IFS(W174&lt;0.6,S174,W174&gt;0.85,S174,W174,Y174)</f>
        <v>1947</v>
      </c>
      <c r="AH174">
        <v>0</v>
      </c>
      <c r="AI174">
        <v>68</v>
      </c>
    </row>
    <row r="175" spans="1:35" x14ac:dyDescent="0.25">
      <c r="A175" t="s">
        <v>51</v>
      </c>
      <c r="B175" t="s">
        <v>240</v>
      </c>
      <c r="C175">
        <v>1</v>
      </c>
      <c r="E175" t="s">
        <v>53</v>
      </c>
      <c r="F175">
        <v>83</v>
      </c>
      <c r="H175" t="s">
        <v>61</v>
      </c>
      <c r="I175">
        <v>100000</v>
      </c>
      <c r="J175" t="s">
        <v>80</v>
      </c>
      <c r="K175">
        <v>16</v>
      </c>
      <c r="L175">
        <v>806</v>
      </c>
      <c r="M175">
        <v>8006</v>
      </c>
      <c r="N175">
        <v>8</v>
      </c>
      <c r="O175">
        <v>6</v>
      </c>
      <c r="P175">
        <v>28</v>
      </c>
      <c r="Q175">
        <v>22.7</v>
      </c>
      <c r="R175">
        <v>1549</v>
      </c>
      <c r="S175">
        <v>1921</v>
      </c>
      <c r="T175" s="1">
        <v>45497</v>
      </c>
      <c r="U175" s="1">
        <v>45535</v>
      </c>
      <c r="V175">
        <v>113134</v>
      </c>
      <c r="W175">
        <v>0.87399463799999999</v>
      </c>
      <c r="X175" s="4">
        <v>0.98330241187384004</v>
      </c>
      <c r="Y175" s="4">
        <f t="shared" si="2"/>
        <v>1953.620754716982</v>
      </c>
      <c r="AA175">
        <v>0.87215621300000001</v>
      </c>
      <c r="AB175">
        <v>2202.587074</v>
      </c>
      <c r="AC175" cm="1">
        <f t="array" ref="AC175">_xlfn.IFS(W175&lt;0.6,S175,W175&gt;0.85,S175,W175,Y175)</f>
        <v>1921</v>
      </c>
      <c r="AH175">
        <v>0</v>
      </c>
      <c r="AI175">
        <v>83</v>
      </c>
    </row>
    <row r="176" spans="1:35" x14ac:dyDescent="0.25">
      <c r="A176" t="s">
        <v>51</v>
      </c>
      <c r="B176" t="s">
        <v>241</v>
      </c>
      <c r="C176">
        <v>2</v>
      </c>
      <c r="E176" t="s">
        <v>53</v>
      </c>
      <c r="F176">
        <v>98</v>
      </c>
      <c r="H176" t="s">
        <v>61</v>
      </c>
      <c r="I176">
        <v>75000</v>
      </c>
      <c r="J176" t="s">
        <v>55</v>
      </c>
      <c r="K176">
        <v>8</v>
      </c>
      <c r="L176">
        <v>807</v>
      </c>
      <c r="M176">
        <v>8007</v>
      </c>
      <c r="N176">
        <v>8</v>
      </c>
      <c r="O176">
        <v>7</v>
      </c>
      <c r="P176">
        <v>28</v>
      </c>
      <c r="Q176">
        <v>20</v>
      </c>
      <c r="R176">
        <v>1804</v>
      </c>
      <c r="S176">
        <v>2316</v>
      </c>
      <c r="T176" s="1">
        <v>45498</v>
      </c>
      <c r="U176" s="1">
        <v>45533</v>
      </c>
      <c r="V176">
        <v>112556</v>
      </c>
      <c r="W176">
        <v>0.86631016000000005</v>
      </c>
      <c r="X176" s="4">
        <v>0.96125461254612499</v>
      </c>
      <c r="Y176" s="4">
        <f t="shared" si="2"/>
        <v>2409.3512476007691</v>
      </c>
      <c r="AA176">
        <v>0.87024756400000003</v>
      </c>
      <c r="AB176">
        <v>2661.3116719999998</v>
      </c>
      <c r="AC176" cm="1">
        <f t="array" ref="AC176">_xlfn.IFS(W176&lt;0.6,S176,W176&gt;0.85,S176,W176,Y176)</f>
        <v>2316</v>
      </c>
      <c r="AH176">
        <v>0</v>
      </c>
      <c r="AI176">
        <v>98</v>
      </c>
    </row>
    <row r="177" spans="1:35" x14ac:dyDescent="0.25">
      <c r="A177" t="s">
        <v>51</v>
      </c>
      <c r="B177" t="s">
        <v>242</v>
      </c>
      <c r="C177">
        <v>2</v>
      </c>
      <c r="E177" t="s">
        <v>53</v>
      </c>
      <c r="F177">
        <v>113</v>
      </c>
      <c r="H177" t="s">
        <v>61</v>
      </c>
      <c r="I177">
        <v>150000</v>
      </c>
      <c r="J177" t="s">
        <v>62</v>
      </c>
      <c r="K177">
        <v>32</v>
      </c>
      <c r="L177">
        <v>808</v>
      </c>
      <c r="M177">
        <v>8008</v>
      </c>
      <c r="N177">
        <v>8</v>
      </c>
      <c r="O177">
        <v>8</v>
      </c>
      <c r="P177">
        <v>36</v>
      </c>
      <c r="Q177">
        <v>19.2</v>
      </c>
      <c r="R177">
        <v>1748</v>
      </c>
      <c r="S177">
        <v>2266</v>
      </c>
      <c r="T177" s="1">
        <v>45495</v>
      </c>
      <c r="U177" s="1">
        <v>45532</v>
      </c>
      <c r="V177">
        <v>115505</v>
      </c>
      <c r="W177">
        <v>0.88561215400000004</v>
      </c>
      <c r="X177" s="4">
        <v>1</v>
      </c>
      <c r="Y177" s="4">
        <f t="shared" si="2"/>
        <v>2266</v>
      </c>
      <c r="AA177">
        <v>0.87995065800000005</v>
      </c>
      <c r="AB177">
        <v>2575.1443899999999</v>
      </c>
      <c r="AC177" cm="1">
        <f t="array" ref="AC177">_xlfn.IFS(W177&lt;0.6,S177,W177&gt;0.85,S177,W177,Y177)</f>
        <v>2266</v>
      </c>
      <c r="AH177">
        <v>0</v>
      </c>
      <c r="AI177">
        <v>113</v>
      </c>
    </row>
    <row r="178" spans="1:35" x14ac:dyDescent="0.25">
      <c r="A178" t="s">
        <v>51</v>
      </c>
      <c r="B178" t="s">
        <v>243</v>
      </c>
      <c r="C178">
        <v>2</v>
      </c>
      <c r="E178" t="s">
        <v>53</v>
      </c>
      <c r="F178">
        <v>128</v>
      </c>
      <c r="H178" t="s">
        <v>61</v>
      </c>
      <c r="I178">
        <v>100000</v>
      </c>
      <c r="J178" t="s">
        <v>59</v>
      </c>
      <c r="K178">
        <v>25</v>
      </c>
      <c r="L178">
        <v>809</v>
      </c>
      <c r="M178">
        <v>8009</v>
      </c>
      <c r="N178">
        <v>8</v>
      </c>
      <c r="O178">
        <v>9</v>
      </c>
      <c r="P178">
        <v>62</v>
      </c>
      <c r="Q178">
        <v>20.6</v>
      </c>
      <c r="R178">
        <v>913</v>
      </c>
      <c r="S178">
        <v>1163</v>
      </c>
      <c r="T178" s="1">
        <v>45490</v>
      </c>
      <c r="U178" s="1">
        <v>45524</v>
      </c>
      <c r="V178">
        <v>134725</v>
      </c>
      <c r="W178">
        <v>0.97408400399999995</v>
      </c>
      <c r="X178" s="4">
        <v>0.99630314232901995</v>
      </c>
      <c r="Y178" s="4">
        <f t="shared" si="2"/>
        <v>1167.315398886828</v>
      </c>
      <c r="AA178">
        <v>0.94317142700000001</v>
      </c>
      <c r="AB178">
        <v>1233.0738269999999</v>
      </c>
      <c r="AC178" cm="1">
        <f t="array" ref="AC178">_xlfn.IFS(W178&lt;0.6,S178,W178&gt;0.85,S178,W178,Y178)</f>
        <v>1163</v>
      </c>
      <c r="AH178">
        <v>0</v>
      </c>
      <c r="AI178">
        <v>128</v>
      </c>
    </row>
    <row r="179" spans="1:35" x14ac:dyDescent="0.25">
      <c r="A179" t="s">
        <v>51</v>
      </c>
      <c r="B179" t="s">
        <v>244</v>
      </c>
      <c r="C179">
        <v>2</v>
      </c>
      <c r="E179" t="s">
        <v>53</v>
      </c>
      <c r="F179">
        <v>143</v>
      </c>
      <c r="H179" t="s">
        <v>54</v>
      </c>
      <c r="I179">
        <v>100000</v>
      </c>
      <c r="J179" t="s">
        <v>77</v>
      </c>
      <c r="K179">
        <v>64</v>
      </c>
      <c r="L179">
        <v>810</v>
      </c>
      <c r="M179">
        <v>8010</v>
      </c>
      <c r="N179">
        <v>8</v>
      </c>
      <c r="O179">
        <v>10</v>
      </c>
      <c r="P179">
        <v>63</v>
      </c>
      <c r="Q179">
        <v>20.399999999999999</v>
      </c>
      <c r="R179">
        <v>1000</v>
      </c>
      <c r="S179">
        <v>1277</v>
      </c>
      <c r="T179" s="1">
        <v>45496</v>
      </c>
      <c r="V179">
        <v>139923</v>
      </c>
      <c r="W179">
        <v>0.92055816499999998</v>
      </c>
      <c r="X179" s="4">
        <v>0.989592105263158</v>
      </c>
      <c r="Y179" s="4">
        <f t="shared" si="2"/>
        <v>1290.4306665425679</v>
      </c>
      <c r="AA179">
        <v>0.96027908299999998</v>
      </c>
      <c r="AB179">
        <v>1329.8217400000001</v>
      </c>
      <c r="AC179" cm="1">
        <f t="array" ref="AC179">_xlfn.IFS(W179&lt;0.6,S179,W179&gt;0.85,S179,W179,Y179)</f>
        <v>1277</v>
      </c>
      <c r="AH179">
        <v>0</v>
      </c>
      <c r="AI179">
        <v>143</v>
      </c>
    </row>
    <row r="180" spans="1:35" x14ac:dyDescent="0.25">
      <c r="A180" t="s">
        <v>51</v>
      </c>
      <c r="B180" t="s">
        <v>245</v>
      </c>
      <c r="C180">
        <v>2</v>
      </c>
      <c r="E180" t="s">
        <v>53</v>
      </c>
      <c r="F180">
        <v>158</v>
      </c>
      <c r="H180" t="s">
        <v>54</v>
      </c>
      <c r="I180">
        <v>75000</v>
      </c>
      <c r="J180" t="s">
        <v>73</v>
      </c>
      <c r="K180">
        <v>57</v>
      </c>
      <c r="L180">
        <v>811</v>
      </c>
      <c r="M180">
        <v>8011</v>
      </c>
      <c r="N180">
        <v>8</v>
      </c>
      <c r="O180">
        <v>11</v>
      </c>
      <c r="P180">
        <v>70</v>
      </c>
      <c r="Q180">
        <v>20.8</v>
      </c>
      <c r="R180">
        <v>1183</v>
      </c>
      <c r="S180">
        <v>1503</v>
      </c>
      <c r="T180" s="1">
        <v>45494</v>
      </c>
      <c r="V180">
        <v>150758</v>
      </c>
      <c r="W180">
        <v>0.99182242200000004</v>
      </c>
      <c r="X180" s="4">
        <v>0.99853947368421003</v>
      </c>
      <c r="Y180" s="4">
        <f t="shared" si="2"/>
        <v>1505.1983818471722</v>
      </c>
      <c r="AA180">
        <v>0.99591121100000002</v>
      </c>
      <c r="AB180">
        <v>1509.1706799999999</v>
      </c>
      <c r="AC180" cm="1">
        <f t="array" ref="AC180">_xlfn.IFS(W180&lt;0.6,S180,W180&gt;0.85,S180,W180,Y180)</f>
        <v>1503</v>
      </c>
      <c r="AH180">
        <v>0</v>
      </c>
      <c r="AI180">
        <v>158</v>
      </c>
    </row>
    <row r="181" spans="1:35" x14ac:dyDescent="0.25">
      <c r="A181" t="s">
        <v>51</v>
      </c>
      <c r="B181" t="s">
        <v>246</v>
      </c>
      <c r="C181">
        <v>2</v>
      </c>
      <c r="E181" t="s">
        <v>53</v>
      </c>
      <c r="F181">
        <v>173</v>
      </c>
      <c r="H181" t="s">
        <v>54</v>
      </c>
      <c r="I181">
        <v>150000</v>
      </c>
      <c r="J181" t="s">
        <v>55</v>
      </c>
      <c r="K181">
        <v>83</v>
      </c>
      <c r="L181">
        <v>812</v>
      </c>
      <c r="M181">
        <v>8012</v>
      </c>
      <c r="N181">
        <v>8</v>
      </c>
      <c r="O181">
        <v>12</v>
      </c>
      <c r="P181">
        <v>24</v>
      </c>
      <c r="Q181">
        <v>20.5</v>
      </c>
      <c r="R181">
        <v>2112</v>
      </c>
      <c r="S181">
        <v>2694</v>
      </c>
      <c r="T181" s="1">
        <v>45494</v>
      </c>
      <c r="U181" s="1">
        <v>45533</v>
      </c>
      <c r="V181">
        <v>144687</v>
      </c>
      <c r="W181">
        <v>0.95188189599999995</v>
      </c>
      <c r="X181" s="4">
        <v>0.99919735785997199</v>
      </c>
      <c r="Y181" s="4">
        <f t="shared" si="2"/>
        <v>2696.1640548868809</v>
      </c>
      <c r="AA181">
        <v>0.97594094799999997</v>
      </c>
      <c r="AB181">
        <v>2760.412918</v>
      </c>
      <c r="AC181" cm="1">
        <f t="array" ref="AC181">_xlfn.IFS(W181&lt;0.6,S181,W181&gt;0.85,S181,W181,Y181)</f>
        <v>2694</v>
      </c>
      <c r="AH181">
        <v>0</v>
      </c>
      <c r="AI181">
        <v>173</v>
      </c>
    </row>
    <row r="182" spans="1:35" x14ac:dyDescent="0.25">
      <c r="A182" t="s">
        <v>51</v>
      </c>
      <c r="B182" t="s">
        <v>247</v>
      </c>
      <c r="C182">
        <v>3</v>
      </c>
      <c r="E182" t="s">
        <v>53</v>
      </c>
      <c r="F182">
        <v>188</v>
      </c>
      <c r="H182" t="s">
        <v>61</v>
      </c>
      <c r="I182">
        <v>150000</v>
      </c>
      <c r="J182" t="s">
        <v>73</v>
      </c>
      <c r="K182">
        <v>42</v>
      </c>
      <c r="L182">
        <v>813</v>
      </c>
      <c r="M182">
        <v>8013</v>
      </c>
      <c r="N182">
        <v>8</v>
      </c>
      <c r="O182">
        <v>13</v>
      </c>
      <c r="P182">
        <v>67</v>
      </c>
      <c r="Q182">
        <v>21.3</v>
      </c>
      <c r="R182">
        <v>824</v>
      </c>
      <c r="S182">
        <v>1041</v>
      </c>
      <c r="T182" s="1">
        <v>45493</v>
      </c>
      <c r="U182" s="1">
        <v>45537</v>
      </c>
      <c r="V182">
        <v>126104</v>
      </c>
      <c r="W182">
        <v>0.91362422099999996</v>
      </c>
      <c r="X182" s="4">
        <v>0.99629629629629601</v>
      </c>
      <c r="Y182" s="4">
        <f t="shared" si="2"/>
        <v>1044.8698884758367</v>
      </c>
      <c r="AA182">
        <v>0.914818519</v>
      </c>
      <c r="AB182">
        <v>1137.9306160000001</v>
      </c>
      <c r="AC182" cm="1">
        <f t="array" ref="AC182">_xlfn.IFS(W182&lt;0.6,S182,W182&gt;0.85,S182,W182,Y182)</f>
        <v>1041</v>
      </c>
      <c r="AH182">
        <v>0</v>
      </c>
      <c r="AI182">
        <v>188</v>
      </c>
    </row>
    <row r="183" spans="1:35" x14ac:dyDescent="0.25">
      <c r="A183" t="s">
        <v>51</v>
      </c>
      <c r="B183" t="s">
        <v>248</v>
      </c>
      <c r="C183">
        <v>3</v>
      </c>
      <c r="E183" t="s">
        <v>53</v>
      </c>
      <c r="F183">
        <v>203</v>
      </c>
      <c r="H183" t="s">
        <v>61</v>
      </c>
      <c r="I183">
        <v>75000</v>
      </c>
      <c r="J183" t="s">
        <v>110</v>
      </c>
      <c r="K183">
        <v>9</v>
      </c>
      <c r="L183">
        <v>814</v>
      </c>
      <c r="M183">
        <v>8014</v>
      </c>
      <c r="N183">
        <v>8</v>
      </c>
      <c r="O183">
        <v>14</v>
      </c>
      <c r="P183">
        <v>70</v>
      </c>
      <c r="Q183">
        <v>18.2</v>
      </c>
      <c r="R183">
        <v>474</v>
      </c>
      <c r="S183">
        <v>622</v>
      </c>
      <c r="T183" s="1">
        <v>45489</v>
      </c>
      <c r="U183" s="1">
        <v>45523</v>
      </c>
      <c r="V183">
        <v>121053</v>
      </c>
      <c r="W183">
        <v>0.88492417499999998</v>
      </c>
      <c r="X183" s="4">
        <v>0.98884758364312297</v>
      </c>
      <c r="Y183" s="4">
        <f t="shared" si="2"/>
        <v>629.01503759398474</v>
      </c>
      <c r="AA183">
        <v>0.89820327799999999</v>
      </c>
      <c r="AB183">
        <v>692.49357640000005</v>
      </c>
      <c r="AC183" cm="1">
        <f t="array" ref="AC183">_xlfn.IFS(W183&lt;0.6,S183,W183&gt;0.85,S183,W183,Y183)</f>
        <v>622</v>
      </c>
      <c r="AH183">
        <v>0</v>
      </c>
      <c r="AI183">
        <v>203</v>
      </c>
    </row>
    <row r="184" spans="1:35" x14ac:dyDescent="0.25">
      <c r="A184" t="s">
        <v>51</v>
      </c>
      <c r="B184" t="s">
        <v>249</v>
      </c>
      <c r="C184">
        <v>3</v>
      </c>
      <c r="E184" t="s">
        <v>53</v>
      </c>
      <c r="F184">
        <v>218</v>
      </c>
      <c r="H184" t="s">
        <v>61</v>
      </c>
      <c r="I184">
        <v>100000</v>
      </c>
      <c r="J184" t="s">
        <v>73</v>
      </c>
      <c r="K184">
        <v>27</v>
      </c>
      <c r="L184">
        <v>815</v>
      </c>
      <c r="M184">
        <v>8015</v>
      </c>
      <c r="N184">
        <v>8</v>
      </c>
      <c r="O184">
        <v>15</v>
      </c>
      <c r="P184">
        <v>67</v>
      </c>
      <c r="Q184">
        <v>19</v>
      </c>
      <c r="R184">
        <v>592</v>
      </c>
      <c r="S184">
        <v>769</v>
      </c>
      <c r="T184" s="1">
        <v>45492</v>
      </c>
      <c r="V184">
        <v>130536</v>
      </c>
      <c r="W184">
        <v>0.94285714300000001</v>
      </c>
      <c r="X184" s="4">
        <v>0.98333333333333295</v>
      </c>
      <c r="Y184" s="4">
        <f t="shared" si="2"/>
        <v>782.03389830508502</v>
      </c>
      <c r="AA184">
        <v>0.929389087</v>
      </c>
      <c r="AB184">
        <v>827.42525250000006</v>
      </c>
      <c r="AC184" cm="1">
        <f t="array" ref="AC184">_xlfn.IFS(W184&lt;0.6,S184,W184&gt;0.85,S184,W184,Y184)</f>
        <v>769</v>
      </c>
      <c r="AH184">
        <v>0</v>
      </c>
      <c r="AI184">
        <v>218</v>
      </c>
    </row>
    <row r="185" spans="1:35" x14ac:dyDescent="0.25">
      <c r="A185" t="s">
        <v>51</v>
      </c>
      <c r="B185" t="s">
        <v>250</v>
      </c>
      <c r="C185">
        <v>3</v>
      </c>
      <c r="E185" t="s">
        <v>53</v>
      </c>
      <c r="F185">
        <v>233</v>
      </c>
      <c r="H185" t="s">
        <v>54</v>
      </c>
      <c r="I185">
        <v>100000</v>
      </c>
      <c r="J185" t="s">
        <v>59</v>
      </c>
      <c r="K185">
        <v>70</v>
      </c>
      <c r="L185">
        <v>816</v>
      </c>
      <c r="M185">
        <v>8016</v>
      </c>
      <c r="N185">
        <v>8</v>
      </c>
      <c r="O185">
        <v>16</v>
      </c>
      <c r="P185">
        <v>51</v>
      </c>
      <c r="Q185">
        <v>21.1</v>
      </c>
      <c r="R185">
        <v>857</v>
      </c>
      <c r="S185">
        <v>1085</v>
      </c>
      <c r="T185" s="1">
        <v>45490</v>
      </c>
      <c r="U185" s="1">
        <v>45525</v>
      </c>
      <c r="V185">
        <v>145338</v>
      </c>
      <c r="W185">
        <v>0.95617105300000005</v>
      </c>
      <c r="X185" s="4">
        <v>0.99934210526315803</v>
      </c>
      <c r="Y185" s="4">
        <f t="shared" si="2"/>
        <v>1085.7142857142856</v>
      </c>
      <c r="AA185">
        <v>0.97808552699999995</v>
      </c>
      <c r="AB185">
        <v>1109.309943</v>
      </c>
      <c r="AC185" cm="1">
        <f t="array" ref="AC185">_xlfn.IFS(W185&lt;0.6,S185,W185&gt;0.85,S185,W185,Y185)</f>
        <v>1085</v>
      </c>
      <c r="AH185">
        <v>0</v>
      </c>
      <c r="AI185">
        <v>233</v>
      </c>
    </row>
    <row r="186" spans="1:35" x14ac:dyDescent="0.25">
      <c r="A186" t="s">
        <v>51</v>
      </c>
      <c r="B186" t="s">
        <v>251</v>
      </c>
      <c r="C186">
        <v>3</v>
      </c>
      <c r="E186" t="s">
        <v>53</v>
      </c>
      <c r="F186">
        <v>248</v>
      </c>
      <c r="H186" t="s">
        <v>54</v>
      </c>
      <c r="I186">
        <v>150000</v>
      </c>
      <c r="J186" t="s">
        <v>77</v>
      </c>
      <c r="K186">
        <v>79</v>
      </c>
      <c r="L186">
        <v>817</v>
      </c>
      <c r="M186">
        <v>8017</v>
      </c>
      <c r="N186">
        <v>8</v>
      </c>
      <c r="O186">
        <v>17</v>
      </c>
      <c r="P186">
        <v>94</v>
      </c>
      <c r="Q186">
        <v>22.7</v>
      </c>
      <c r="R186">
        <v>980</v>
      </c>
      <c r="S186">
        <v>1216</v>
      </c>
      <c r="T186" s="1">
        <v>45497</v>
      </c>
      <c r="V186">
        <v>134199</v>
      </c>
      <c r="W186">
        <v>0.88289977500000005</v>
      </c>
      <c r="X186" s="4">
        <v>0.99998684210526301</v>
      </c>
      <c r="Y186" s="4">
        <f t="shared" si="2"/>
        <v>1216.0160002105292</v>
      </c>
      <c r="AA186">
        <v>0.94144988799999996</v>
      </c>
      <c r="AB186">
        <v>1291.6247760000001</v>
      </c>
      <c r="AC186" cm="1">
        <f t="array" ref="AC186">_xlfn.IFS(W186&lt;0.6,S186,W186&gt;0.85,S186,W186,Y186)</f>
        <v>1216</v>
      </c>
      <c r="AH186">
        <v>0</v>
      </c>
      <c r="AI186">
        <v>248</v>
      </c>
    </row>
    <row r="187" spans="1:35" x14ac:dyDescent="0.25">
      <c r="A187" t="s">
        <v>51</v>
      </c>
      <c r="B187" t="s">
        <v>252</v>
      </c>
      <c r="C187">
        <v>3</v>
      </c>
      <c r="E187" t="s">
        <v>53</v>
      </c>
      <c r="F187">
        <v>263</v>
      </c>
      <c r="H187" t="s">
        <v>54</v>
      </c>
      <c r="I187">
        <v>75000</v>
      </c>
      <c r="J187" t="s">
        <v>85</v>
      </c>
      <c r="K187">
        <v>58</v>
      </c>
      <c r="L187">
        <v>818</v>
      </c>
      <c r="M187">
        <v>8018</v>
      </c>
      <c r="N187">
        <v>8</v>
      </c>
      <c r="O187">
        <v>18</v>
      </c>
      <c r="P187">
        <v>48</v>
      </c>
      <c r="Q187">
        <v>18.600000000000001</v>
      </c>
      <c r="R187">
        <v>1875</v>
      </c>
      <c r="S187">
        <v>2449</v>
      </c>
      <c r="T187" s="1">
        <v>45494</v>
      </c>
      <c r="U187" s="1">
        <v>45534</v>
      </c>
      <c r="V187">
        <v>124603</v>
      </c>
      <c r="W187">
        <v>0.81975657899999999</v>
      </c>
      <c r="X187" s="4">
        <v>0.896646096761885</v>
      </c>
      <c r="Y187" s="4">
        <f t="shared" si="2"/>
        <v>2731.2894227100628</v>
      </c>
      <c r="AA187">
        <v>0.90987828999999998</v>
      </c>
      <c r="AB187">
        <v>2691.5687830000002</v>
      </c>
      <c r="AC187" cm="1">
        <f t="array" ref="AC187">_xlfn.IFS(W187&lt;0.6,S187,W187&gt;0.85,S187,W187,Y187)</f>
        <v>2731.2894227100628</v>
      </c>
      <c r="AH187">
        <v>0</v>
      </c>
      <c r="AI187">
        <v>263</v>
      </c>
    </row>
    <row r="188" spans="1:35" x14ac:dyDescent="0.25">
      <c r="A188" t="s">
        <v>51</v>
      </c>
      <c r="B188" t="s">
        <v>253</v>
      </c>
      <c r="C188">
        <v>4</v>
      </c>
      <c r="E188" t="s">
        <v>53</v>
      </c>
      <c r="F188">
        <v>278</v>
      </c>
      <c r="H188" t="s">
        <v>61</v>
      </c>
      <c r="I188">
        <v>75000</v>
      </c>
      <c r="J188" t="s">
        <v>80</v>
      </c>
      <c r="K188">
        <v>1</v>
      </c>
      <c r="L188">
        <v>819</v>
      </c>
      <c r="M188">
        <v>8019</v>
      </c>
      <c r="N188">
        <v>8</v>
      </c>
      <c r="O188">
        <v>19</v>
      </c>
      <c r="P188">
        <v>27</v>
      </c>
      <c r="Q188">
        <v>19.100000000000001</v>
      </c>
      <c r="R188">
        <v>1860</v>
      </c>
      <c r="S188">
        <v>2415</v>
      </c>
      <c r="T188" s="1">
        <v>45495</v>
      </c>
      <c r="U188" s="1">
        <v>45536</v>
      </c>
      <c r="V188">
        <v>123954</v>
      </c>
      <c r="W188">
        <v>0.91771019700000001</v>
      </c>
      <c r="X188" s="4">
        <v>0.98333333333333295</v>
      </c>
      <c r="Y188" s="4">
        <f t="shared" si="2"/>
        <v>2455.9322033898316</v>
      </c>
      <c r="AA188">
        <v>0.90773805600000002</v>
      </c>
      <c r="AB188">
        <v>2660.4591310000001</v>
      </c>
      <c r="AC188" cm="1">
        <f t="array" ref="AC188">_xlfn.IFS(W188&lt;0.6,S188,W188&gt;0.85,S188,W188,Y188)</f>
        <v>2415</v>
      </c>
      <c r="AH188">
        <v>0</v>
      </c>
      <c r="AI188">
        <v>278</v>
      </c>
    </row>
    <row r="189" spans="1:35" x14ac:dyDescent="0.25">
      <c r="A189" t="s">
        <v>51</v>
      </c>
      <c r="B189" t="s">
        <v>254</v>
      </c>
      <c r="C189">
        <v>4</v>
      </c>
      <c r="E189" t="s">
        <v>53</v>
      </c>
      <c r="F189">
        <v>293</v>
      </c>
      <c r="H189" t="s">
        <v>61</v>
      </c>
      <c r="I189">
        <v>100000</v>
      </c>
      <c r="J189" t="s">
        <v>99</v>
      </c>
      <c r="K189">
        <v>30</v>
      </c>
      <c r="L189">
        <v>820</v>
      </c>
      <c r="M189">
        <v>8020</v>
      </c>
      <c r="N189">
        <v>8</v>
      </c>
      <c r="O189">
        <v>20</v>
      </c>
      <c r="P189">
        <v>41</v>
      </c>
      <c r="Q189">
        <v>19.100000000000001</v>
      </c>
      <c r="R189">
        <v>1350</v>
      </c>
      <c r="S189">
        <v>1752</v>
      </c>
      <c r="T189" s="1">
        <v>45497</v>
      </c>
      <c r="U189" s="1">
        <v>45534</v>
      </c>
      <c r="V189">
        <v>113325</v>
      </c>
      <c r="W189">
        <v>0.86684539800000004</v>
      </c>
      <c r="X189" s="4">
        <v>0.96296296296296302</v>
      </c>
      <c r="Y189" s="4">
        <f t="shared" si="2"/>
        <v>1819.3846153846152</v>
      </c>
      <c r="AA189">
        <v>0.87277715300000003</v>
      </c>
      <c r="AB189">
        <v>2007.3852690000001</v>
      </c>
      <c r="AC189" cm="1">
        <f t="array" ref="AC189">_xlfn.IFS(W189&lt;0.6,S189,W189&gt;0.85,S189,W189,Y189)</f>
        <v>1752</v>
      </c>
      <c r="AH189">
        <v>0</v>
      </c>
      <c r="AI189">
        <v>293</v>
      </c>
    </row>
    <row r="190" spans="1:35" x14ac:dyDescent="0.25">
      <c r="A190" t="s">
        <v>51</v>
      </c>
      <c r="B190" t="s">
        <v>255</v>
      </c>
      <c r="C190">
        <v>4</v>
      </c>
      <c r="E190" t="s">
        <v>53</v>
      </c>
      <c r="F190">
        <v>308</v>
      </c>
      <c r="H190" t="s">
        <v>61</v>
      </c>
      <c r="I190">
        <v>150000</v>
      </c>
      <c r="J190" t="s">
        <v>59</v>
      </c>
      <c r="K190">
        <v>40</v>
      </c>
      <c r="L190">
        <v>821</v>
      </c>
      <c r="M190">
        <v>8021</v>
      </c>
      <c r="N190">
        <v>8</v>
      </c>
      <c r="O190">
        <v>21</v>
      </c>
      <c r="P190">
        <v>62</v>
      </c>
      <c r="Q190">
        <v>21.7</v>
      </c>
      <c r="R190">
        <v>561</v>
      </c>
      <c r="S190">
        <v>705</v>
      </c>
      <c r="T190" s="1">
        <v>45492</v>
      </c>
      <c r="U190" s="1">
        <v>45527</v>
      </c>
      <c r="V190">
        <v>133785</v>
      </c>
      <c r="W190">
        <v>0.95008912700000003</v>
      </c>
      <c r="X190" s="4">
        <v>0.99814126394052005</v>
      </c>
      <c r="Y190" s="4">
        <f t="shared" si="2"/>
        <v>706.3128491620115</v>
      </c>
      <c r="AA190">
        <v>0.94009092299999997</v>
      </c>
      <c r="AB190">
        <v>749.92746209999996</v>
      </c>
      <c r="AC190" cm="1">
        <f t="array" ref="AC190">_xlfn.IFS(W190&lt;0.6,S190,W190&gt;0.85,S190,W190,Y190)</f>
        <v>705</v>
      </c>
      <c r="AH190">
        <v>0</v>
      </c>
      <c r="AI190">
        <v>308</v>
      </c>
    </row>
    <row r="191" spans="1:35" x14ac:dyDescent="0.25">
      <c r="A191" t="s">
        <v>51</v>
      </c>
      <c r="B191" t="s">
        <v>256</v>
      </c>
      <c r="C191">
        <v>4</v>
      </c>
      <c r="E191" t="s">
        <v>53</v>
      </c>
      <c r="F191">
        <v>323</v>
      </c>
      <c r="H191" t="s">
        <v>54</v>
      </c>
      <c r="I191">
        <v>150000</v>
      </c>
      <c r="J191" t="s">
        <v>57</v>
      </c>
      <c r="K191">
        <v>81</v>
      </c>
      <c r="L191">
        <v>822</v>
      </c>
      <c r="M191">
        <v>8022</v>
      </c>
      <c r="N191">
        <v>8</v>
      </c>
      <c r="O191">
        <v>22</v>
      </c>
      <c r="P191">
        <v>49</v>
      </c>
      <c r="Q191">
        <v>20.7</v>
      </c>
      <c r="R191">
        <v>398</v>
      </c>
      <c r="S191" t="s">
        <v>431</v>
      </c>
      <c r="T191" s="1">
        <v>45491</v>
      </c>
      <c r="U191" s="1">
        <v>45525</v>
      </c>
      <c r="V191">
        <v>151058</v>
      </c>
      <c r="W191">
        <v>0.99379609300000005</v>
      </c>
      <c r="X191" s="4">
        <v>0.99955262569244296</v>
      </c>
      <c r="Y191" s="4" t="s">
        <v>431</v>
      </c>
      <c r="AA191">
        <v>0.99689804699999995</v>
      </c>
      <c r="AB191">
        <v>507.57447239999999</v>
      </c>
      <c r="AC191" t="str" cm="1">
        <f t="array" ref="AC191">_xlfn.IFS(W191&lt;0.6,S191,W191&gt;0.85,S191,W191,Y191)</f>
        <v>.</v>
      </c>
      <c r="AH191">
        <v>0</v>
      </c>
      <c r="AI191">
        <v>323</v>
      </c>
    </row>
    <row r="192" spans="1:35" x14ac:dyDescent="0.25">
      <c r="A192" t="s">
        <v>51</v>
      </c>
      <c r="B192" t="s">
        <v>257</v>
      </c>
      <c r="C192">
        <v>4</v>
      </c>
      <c r="E192" t="s">
        <v>53</v>
      </c>
      <c r="F192">
        <v>338</v>
      </c>
      <c r="H192" t="s">
        <v>54</v>
      </c>
      <c r="I192">
        <v>100000</v>
      </c>
      <c r="J192" t="s">
        <v>65</v>
      </c>
      <c r="K192">
        <v>63</v>
      </c>
      <c r="L192">
        <v>823</v>
      </c>
      <c r="M192">
        <v>8023</v>
      </c>
      <c r="N192">
        <v>8</v>
      </c>
      <c r="O192">
        <v>23</v>
      </c>
      <c r="T192" s="1">
        <v>45494</v>
      </c>
      <c r="U192" s="1">
        <v>45534</v>
      </c>
      <c r="V192">
        <v>150028</v>
      </c>
      <c r="W192">
        <v>0.98701982200000005</v>
      </c>
      <c r="X192" s="4">
        <v>0.99901314490980098</v>
      </c>
      <c r="Y192" s="4" t="s">
        <v>431</v>
      </c>
      <c r="AH192">
        <v>0</v>
      </c>
      <c r="AI192">
        <v>338</v>
      </c>
    </row>
    <row r="193" spans="1:35" x14ac:dyDescent="0.25">
      <c r="A193" t="s">
        <v>51</v>
      </c>
      <c r="B193" t="s">
        <v>258</v>
      </c>
      <c r="C193">
        <v>4</v>
      </c>
      <c r="E193" t="s">
        <v>53</v>
      </c>
      <c r="F193">
        <v>353</v>
      </c>
      <c r="H193" t="s">
        <v>54</v>
      </c>
      <c r="I193">
        <v>75000</v>
      </c>
      <c r="J193" t="s">
        <v>80</v>
      </c>
      <c r="K193">
        <v>46</v>
      </c>
      <c r="L193">
        <v>824</v>
      </c>
      <c r="M193">
        <v>8024</v>
      </c>
      <c r="N193">
        <v>8</v>
      </c>
      <c r="O193">
        <v>24</v>
      </c>
      <c r="P193">
        <v>30</v>
      </c>
      <c r="Q193">
        <v>25.2</v>
      </c>
      <c r="R193">
        <v>1433</v>
      </c>
      <c r="S193">
        <v>1720</v>
      </c>
      <c r="T193" s="1">
        <v>45496</v>
      </c>
      <c r="U193" s="1">
        <v>45538</v>
      </c>
      <c r="V193">
        <v>132174</v>
      </c>
      <c r="W193">
        <v>0.86956578900000003</v>
      </c>
      <c r="X193" s="4">
        <v>0.97657894736842099</v>
      </c>
      <c r="Y193" s="4">
        <f t="shared" si="2"/>
        <v>1761.2503368364323</v>
      </c>
      <c r="AA193">
        <v>0.934782895</v>
      </c>
      <c r="AB193">
        <v>1839.9994369999999</v>
      </c>
      <c r="AC193" cm="1">
        <f t="array" ref="AC193">_xlfn.IFS(W193&lt;0.6,S193,W193&gt;0.85,S193,W193,Y193)</f>
        <v>1720</v>
      </c>
      <c r="AH193">
        <v>0</v>
      </c>
      <c r="AI193">
        <v>353</v>
      </c>
    </row>
    <row r="194" spans="1:35" x14ac:dyDescent="0.25">
      <c r="A194" t="s">
        <v>51</v>
      </c>
      <c r="B194" t="s">
        <v>259</v>
      </c>
      <c r="C194">
        <v>1</v>
      </c>
      <c r="E194" t="s">
        <v>53</v>
      </c>
      <c r="F194">
        <v>9</v>
      </c>
      <c r="H194" t="s">
        <v>54</v>
      </c>
      <c r="I194">
        <v>100000</v>
      </c>
      <c r="J194" t="s">
        <v>62</v>
      </c>
      <c r="K194">
        <v>62</v>
      </c>
      <c r="L194">
        <v>901</v>
      </c>
      <c r="M194">
        <v>9001</v>
      </c>
      <c r="N194">
        <v>9</v>
      </c>
      <c r="O194">
        <v>1</v>
      </c>
      <c r="P194">
        <v>25</v>
      </c>
      <c r="Q194">
        <v>19.600000000000001</v>
      </c>
      <c r="R194">
        <v>1633</v>
      </c>
      <c r="S194">
        <v>2107</v>
      </c>
      <c r="T194" s="1">
        <v>45499</v>
      </c>
      <c r="U194" s="1">
        <v>45534</v>
      </c>
      <c r="V194">
        <v>151495</v>
      </c>
      <c r="W194">
        <v>0.99667107499999996</v>
      </c>
      <c r="X194" s="4">
        <v>0.99292095948630898</v>
      </c>
      <c r="Y194" s="4">
        <f t="shared" si="2"/>
        <v>2122.0218788513271</v>
      </c>
      <c r="AA194">
        <v>0.99833553799999997</v>
      </c>
      <c r="AB194">
        <v>2110.51287</v>
      </c>
      <c r="AC194" cm="1">
        <f t="array" ref="AC194">_xlfn.IFS(W194&lt;0.6,S194,W194&gt;0.85,S194,W194,Y194)</f>
        <v>2107</v>
      </c>
      <c r="AH194">
        <v>0</v>
      </c>
      <c r="AI194">
        <v>9</v>
      </c>
    </row>
    <row r="195" spans="1:35" x14ac:dyDescent="0.25">
      <c r="A195" t="s">
        <v>51</v>
      </c>
      <c r="B195" t="s">
        <v>260</v>
      </c>
      <c r="C195">
        <v>1</v>
      </c>
      <c r="E195" t="s">
        <v>53</v>
      </c>
      <c r="F195">
        <v>22</v>
      </c>
      <c r="H195" t="s">
        <v>54</v>
      </c>
      <c r="I195">
        <v>150000</v>
      </c>
      <c r="J195" t="s">
        <v>80</v>
      </c>
      <c r="K195">
        <v>76</v>
      </c>
      <c r="L195">
        <v>902</v>
      </c>
      <c r="M195">
        <v>9002</v>
      </c>
      <c r="N195">
        <v>9</v>
      </c>
      <c r="O195">
        <v>2</v>
      </c>
      <c r="P195">
        <v>28</v>
      </c>
      <c r="Q195">
        <v>20.3</v>
      </c>
      <c r="R195">
        <v>2220</v>
      </c>
      <c r="S195">
        <v>2839</v>
      </c>
      <c r="T195" s="1">
        <v>45497</v>
      </c>
      <c r="U195" s="1">
        <v>45535</v>
      </c>
      <c r="V195">
        <v>147339</v>
      </c>
      <c r="W195">
        <v>0.96932277200000005</v>
      </c>
      <c r="X195" s="4">
        <v>0.99777625726992802</v>
      </c>
      <c r="Y195" s="4">
        <f t="shared" ref="Y195:Y258" si="3">S195/X195</f>
        <v>2845.3272758443345</v>
      </c>
      <c r="AA195">
        <v>0.98466138599999997</v>
      </c>
      <c r="AB195">
        <v>2883.2246700000001</v>
      </c>
      <c r="AC195" cm="1">
        <f t="array" ref="AC195">_xlfn.IFS(W195&lt;0.6,S195,W195&gt;0.85,S195,W195,Y195)</f>
        <v>2839</v>
      </c>
      <c r="AH195">
        <v>0</v>
      </c>
      <c r="AI195">
        <v>22</v>
      </c>
    </row>
    <row r="196" spans="1:35" x14ac:dyDescent="0.25">
      <c r="A196" t="s">
        <v>51</v>
      </c>
      <c r="B196" t="s">
        <v>261</v>
      </c>
      <c r="C196">
        <v>1</v>
      </c>
      <c r="E196" t="s">
        <v>53</v>
      </c>
      <c r="F196">
        <v>39</v>
      </c>
      <c r="H196" t="s">
        <v>54</v>
      </c>
      <c r="I196">
        <v>75000</v>
      </c>
      <c r="J196" t="s">
        <v>97</v>
      </c>
      <c r="K196">
        <v>59</v>
      </c>
      <c r="L196">
        <v>903</v>
      </c>
      <c r="M196">
        <v>9003</v>
      </c>
      <c r="N196">
        <v>9</v>
      </c>
      <c r="O196">
        <v>3</v>
      </c>
      <c r="P196">
        <v>46</v>
      </c>
      <c r="Q196">
        <v>19.600000000000001</v>
      </c>
      <c r="R196">
        <v>1482</v>
      </c>
      <c r="S196">
        <v>1912</v>
      </c>
      <c r="T196" s="1">
        <v>45494</v>
      </c>
      <c r="U196" s="1">
        <v>45530</v>
      </c>
      <c r="V196">
        <v>144393</v>
      </c>
      <c r="W196">
        <v>0.94997894699999996</v>
      </c>
      <c r="X196" s="4">
        <v>0.99317105263157901</v>
      </c>
      <c r="Y196" s="4">
        <f t="shared" si="3"/>
        <v>1925.1467256660615</v>
      </c>
      <c r="AA196">
        <v>0.97498947400000002</v>
      </c>
      <c r="AB196">
        <v>1961.0468129999999</v>
      </c>
      <c r="AC196" cm="1">
        <f t="array" ref="AC196">_xlfn.IFS(W196&lt;0.6,S196,W196&gt;0.85,S196,W196,Y196)</f>
        <v>1912</v>
      </c>
      <c r="AH196">
        <v>0</v>
      </c>
      <c r="AI196">
        <v>39</v>
      </c>
    </row>
    <row r="197" spans="1:35" x14ac:dyDescent="0.25">
      <c r="A197" t="s">
        <v>51</v>
      </c>
      <c r="B197" t="s">
        <v>262</v>
      </c>
      <c r="C197">
        <v>1</v>
      </c>
      <c r="E197" t="s">
        <v>53</v>
      </c>
      <c r="F197">
        <v>52</v>
      </c>
      <c r="H197" t="s">
        <v>61</v>
      </c>
      <c r="I197">
        <v>150000</v>
      </c>
      <c r="J197" t="s">
        <v>77</v>
      </c>
      <c r="K197">
        <v>34</v>
      </c>
      <c r="L197">
        <v>904</v>
      </c>
      <c r="M197">
        <v>9004</v>
      </c>
      <c r="N197">
        <v>9</v>
      </c>
      <c r="O197">
        <v>4</v>
      </c>
      <c r="P197">
        <v>61</v>
      </c>
      <c r="Q197">
        <v>20.399999999999999</v>
      </c>
      <c r="R197">
        <v>657</v>
      </c>
      <c r="S197">
        <v>839</v>
      </c>
      <c r="T197" s="1">
        <v>45496</v>
      </c>
      <c r="V197">
        <v>122748</v>
      </c>
      <c r="W197">
        <v>0.95102404299999999</v>
      </c>
      <c r="X197" s="4">
        <v>0.99814814814814801</v>
      </c>
      <c r="Y197" s="4">
        <f t="shared" si="3"/>
        <v>840.55658627087212</v>
      </c>
      <c r="AA197">
        <v>0.90377366000000003</v>
      </c>
      <c r="AB197">
        <v>928.32977719999997</v>
      </c>
      <c r="AC197" cm="1">
        <f t="array" ref="AC197">_xlfn.IFS(W197&lt;0.6,S197,W197&gt;0.85,S197,W197,Y197)</f>
        <v>839</v>
      </c>
      <c r="AH197">
        <v>0</v>
      </c>
      <c r="AI197">
        <v>52</v>
      </c>
    </row>
    <row r="198" spans="1:35" x14ac:dyDescent="0.25">
      <c r="A198" t="s">
        <v>51</v>
      </c>
      <c r="B198" t="s">
        <v>263</v>
      </c>
      <c r="C198">
        <v>1</v>
      </c>
      <c r="E198" t="s">
        <v>53</v>
      </c>
      <c r="F198">
        <v>69</v>
      </c>
      <c r="H198" t="s">
        <v>61</v>
      </c>
      <c r="I198">
        <v>75000</v>
      </c>
      <c r="J198" t="s">
        <v>110</v>
      </c>
      <c r="K198">
        <v>9</v>
      </c>
      <c r="L198">
        <v>905</v>
      </c>
      <c r="M198">
        <v>9005</v>
      </c>
      <c r="N198">
        <v>9</v>
      </c>
      <c r="O198">
        <v>5</v>
      </c>
      <c r="P198">
        <v>59</v>
      </c>
      <c r="Q198">
        <v>19</v>
      </c>
      <c r="R198">
        <v>513</v>
      </c>
      <c r="S198">
        <v>667</v>
      </c>
      <c r="T198" s="1">
        <v>45489</v>
      </c>
      <c r="U198" s="1">
        <v>45525</v>
      </c>
      <c r="V198">
        <v>123728</v>
      </c>
      <c r="W198">
        <v>0.94007155600000003</v>
      </c>
      <c r="X198" s="4">
        <v>0.92962962962963003</v>
      </c>
      <c r="Y198" s="4">
        <f t="shared" si="3"/>
        <v>717.49003984063711</v>
      </c>
      <c r="AA198">
        <v>0.90699732300000002</v>
      </c>
      <c r="AB198">
        <v>735.39357110000003</v>
      </c>
      <c r="AC198" cm="1">
        <f t="array" ref="AC198">_xlfn.IFS(W198&lt;0.6,S198,W198&gt;0.85,S198,W198,Y198)</f>
        <v>667</v>
      </c>
      <c r="AH198">
        <v>0</v>
      </c>
      <c r="AI198">
        <v>69</v>
      </c>
    </row>
    <row r="199" spans="1:35" x14ac:dyDescent="0.25">
      <c r="A199" t="s">
        <v>51</v>
      </c>
      <c r="B199" t="s">
        <v>264</v>
      </c>
      <c r="C199">
        <v>1</v>
      </c>
      <c r="E199" t="s">
        <v>53</v>
      </c>
      <c r="F199">
        <v>82</v>
      </c>
      <c r="H199" t="s">
        <v>61</v>
      </c>
      <c r="I199">
        <v>100000</v>
      </c>
      <c r="J199" t="s">
        <v>77</v>
      </c>
      <c r="K199">
        <v>19</v>
      </c>
      <c r="L199">
        <v>906</v>
      </c>
      <c r="M199">
        <v>9006</v>
      </c>
      <c r="N199">
        <v>9</v>
      </c>
      <c r="O199">
        <v>6</v>
      </c>
      <c r="P199">
        <v>72</v>
      </c>
      <c r="Q199">
        <v>24</v>
      </c>
      <c r="R199">
        <v>432</v>
      </c>
      <c r="S199">
        <v>527</v>
      </c>
      <c r="T199" s="1">
        <v>45498</v>
      </c>
      <c r="V199">
        <v>124273</v>
      </c>
      <c r="W199">
        <v>0.97682709400000001</v>
      </c>
      <c r="X199" s="4">
        <v>1</v>
      </c>
      <c r="Y199" s="4">
        <f t="shared" si="3"/>
        <v>527</v>
      </c>
      <c r="AA199">
        <v>0.908790074</v>
      </c>
      <c r="AB199">
        <v>579.89189729999998</v>
      </c>
      <c r="AC199" cm="1">
        <f t="array" ref="AC199">_xlfn.IFS(W199&lt;0.6,S199,W199&gt;0.85,S199,W199,Y199)</f>
        <v>527</v>
      </c>
      <c r="AH199">
        <v>0</v>
      </c>
      <c r="AI199">
        <v>82</v>
      </c>
    </row>
    <row r="200" spans="1:35" x14ac:dyDescent="0.25">
      <c r="A200" t="s">
        <v>51</v>
      </c>
      <c r="B200" t="s">
        <v>265</v>
      </c>
      <c r="C200">
        <v>2</v>
      </c>
      <c r="E200" t="s">
        <v>53</v>
      </c>
      <c r="F200">
        <v>99</v>
      </c>
      <c r="H200" t="s">
        <v>61</v>
      </c>
      <c r="I200">
        <v>75000</v>
      </c>
      <c r="J200" t="s">
        <v>95</v>
      </c>
      <c r="K200">
        <v>7</v>
      </c>
      <c r="L200">
        <v>907</v>
      </c>
      <c r="M200">
        <v>9007</v>
      </c>
      <c r="N200">
        <v>9</v>
      </c>
      <c r="O200">
        <v>7</v>
      </c>
      <c r="P200">
        <v>50</v>
      </c>
      <c r="Q200">
        <v>18.899999999999999</v>
      </c>
      <c r="R200">
        <v>1139</v>
      </c>
      <c r="S200">
        <v>1482</v>
      </c>
      <c r="T200" s="1">
        <v>45496</v>
      </c>
      <c r="V200">
        <v>101116</v>
      </c>
      <c r="W200">
        <v>0.68872987500000005</v>
      </c>
      <c r="X200" s="4">
        <v>0.87198515769944296</v>
      </c>
      <c r="Y200" s="4">
        <f t="shared" si="3"/>
        <v>1699.5702127659583</v>
      </c>
      <c r="AA200">
        <v>0.83262279800000005</v>
      </c>
      <c r="AB200">
        <v>1779.9176339999999</v>
      </c>
      <c r="AC200" cm="1">
        <f t="array" ref="AC200">_xlfn.IFS(W200&lt;0.6,S200,W200&gt;0.85,S200,W200,Y200)</f>
        <v>1699.5702127659583</v>
      </c>
      <c r="AH200">
        <v>0</v>
      </c>
      <c r="AI200">
        <v>99</v>
      </c>
    </row>
    <row r="201" spans="1:35" x14ac:dyDescent="0.25">
      <c r="A201" t="s">
        <v>51</v>
      </c>
      <c r="B201" t="s">
        <v>266</v>
      </c>
      <c r="C201">
        <v>2</v>
      </c>
      <c r="E201" t="s">
        <v>53</v>
      </c>
      <c r="F201">
        <v>112</v>
      </c>
      <c r="H201" t="s">
        <v>61</v>
      </c>
      <c r="I201">
        <v>150000</v>
      </c>
      <c r="J201" t="s">
        <v>99</v>
      </c>
      <c r="K201">
        <v>45</v>
      </c>
      <c r="L201">
        <v>908</v>
      </c>
      <c r="M201">
        <v>9008</v>
      </c>
      <c r="N201">
        <v>9</v>
      </c>
      <c r="O201">
        <v>8</v>
      </c>
      <c r="P201">
        <v>26</v>
      </c>
      <c r="Q201">
        <v>20.9</v>
      </c>
      <c r="R201">
        <v>1506</v>
      </c>
      <c r="S201">
        <v>1911</v>
      </c>
      <c r="T201" s="1">
        <v>45497</v>
      </c>
      <c r="U201" s="1">
        <v>45532</v>
      </c>
      <c r="V201">
        <v>109320</v>
      </c>
      <c r="W201">
        <v>0.82872435300000002</v>
      </c>
      <c r="X201" s="4">
        <v>1</v>
      </c>
      <c r="Y201" s="4">
        <f t="shared" si="3"/>
        <v>1911</v>
      </c>
      <c r="AA201">
        <v>0.85960526299999995</v>
      </c>
      <c r="AB201">
        <v>2223.113425</v>
      </c>
      <c r="AC201" cm="1">
        <f t="array" ref="AC201">_xlfn.IFS(W201&lt;0.6,S201,W201&gt;0.85,S201,W201,Y201)</f>
        <v>1911</v>
      </c>
      <c r="AH201">
        <v>0</v>
      </c>
      <c r="AI201">
        <v>112</v>
      </c>
    </row>
    <row r="202" spans="1:35" x14ac:dyDescent="0.25">
      <c r="A202" t="s">
        <v>51</v>
      </c>
      <c r="B202" t="s">
        <v>267</v>
      </c>
      <c r="C202">
        <v>2</v>
      </c>
      <c r="E202" t="s">
        <v>53</v>
      </c>
      <c r="F202">
        <v>129</v>
      </c>
      <c r="H202" t="s">
        <v>61</v>
      </c>
      <c r="I202">
        <v>100000</v>
      </c>
      <c r="J202" t="s">
        <v>80</v>
      </c>
      <c r="K202">
        <v>16</v>
      </c>
      <c r="L202">
        <v>909</v>
      </c>
      <c r="M202">
        <v>9009</v>
      </c>
      <c r="N202">
        <v>9</v>
      </c>
      <c r="O202">
        <v>9</v>
      </c>
      <c r="P202">
        <v>52</v>
      </c>
      <c r="Q202">
        <v>18.7</v>
      </c>
      <c r="R202">
        <v>1438</v>
      </c>
      <c r="S202">
        <v>1876</v>
      </c>
      <c r="T202" s="1">
        <v>45499</v>
      </c>
      <c r="U202" s="1">
        <v>45537</v>
      </c>
      <c r="V202">
        <v>124178</v>
      </c>
      <c r="W202">
        <v>0.94821428600000002</v>
      </c>
      <c r="X202" s="4">
        <v>0.99072356215213397</v>
      </c>
      <c r="Y202" s="4">
        <f t="shared" si="3"/>
        <v>1893.5655430711604</v>
      </c>
      <c r="AA202">
        <v>0.90847757600000001</v>
      </c>
      <c r="AB202">
        <v>2064.9931820000002</v>
      </c>
      <c r="AC202" cm="1">
        <f t="array" ref="AC202">_xlfn.IFS(W202&lt;0.6,S202,W202&gt;0.85,S202,W202,Y202)</f>
        <v>1876</v>
      </c>
      <c r="AH202">
        <v>0</v>
      </c>
      <c r="AI202">
        <v>129</v>
      </c>
    </row>
    <row r="203" spans="1:35" x14ac:dyDescent="0.25">
      <c r="A203" t="s">
        <v>51</v>
      </c>
      <c r="B203" t="s">
        <v>268</v>
      </c>
      <c r="C203">
        <v>2</v>
      </c>
      <c r="E203" t="s">
        <v>53</v>
      </c>
      <c r="F203">
        <v>142</v>
      </c>
      <c r="H203" t="s">
        <v>54</v>
      </c>
      <c r="I203">
        <v>100000</v>
      </c>
      <c r="J203" t="s">
        <v>95</v>
      </c>
      <c r="K203">
        <v>67</v>
      </c>
      <c r="L203">
        <v>910</v>
      </c>
      <c r="M203">
        <v>9010</v>
      </c>
      <c r="N203">
        <v>9</v>
      </c>
      <c r="O203">
        <v>10</v>
      </c>
      <c r="P203">
        <v>0</v>
      </c>
      <c r="Q203">
        <v>19.2</v>
      </c>
      <c r="R203">
        <v>1600</v>
      </c>
      <c r="S203">
        <v>2074</v>
      </c>
      <c r="T203" s="1">
        <v>45498</v>
      </c>
      <c r="U203" s="1">
        <v>45537</v>
      </c>
      <c r="V203">
        <v>136658</v>
      </c>
      <c r="W203">
        <v>0.899065789</v>
      </c>
      <c r="X203" s="4">
        <v>0.91648684210526299</v>
      </c>
      <c r="Y203" s="4">
        <f t="shared" si="3"/>
        <v>2262.989390263162</v>
      </c>
      <c r="AA203">
        <v>0.94953289500000004</v>
      </c>
      <c r="AB203">
        <v>2184.2318599999999</v>
      </c>
      <c r="AC203" cm="1">
        <f t="array" ref="AC203">_xlfn.IFS(W203&lt;0.6,S203,W203&gt;0.85,S203,W203,Y203)</f>
        <v>2074</v>
      </c>
      <c r="AH203">
        <v>0</v>
      </c>
      <c r="AI203">
        <v>142</v>
      </c>
    </row>
    <row r="204" spans="1:35" x14ac:dyDescent="0.25">
      <c r="A204" t="s">
        <v>51</v>
      </c>
      <c r="B204" t="s">
        <v>269</v>
      </c>
      <c r="C204">
        <v>2</v>
      </c>
      <c r="E204" t="s">
        <v>53</v>
      </c>
      <c r="F204">
        <v>159</v>
      </c>
      <c r="H204" t="s">
        <v>54</v>
      </c>
      <c r="I204">
        <v>75000</v>
      </c>
      <c r="J204" t="s">
        <v>99</v>
      </c>
      <c r="K204">
        <v>60</v>
      </c>
      <c r="L204">
        <v>911</v>
      </c>
      <c r="M204">
        <v>9011</v>
      </c>
      <c r="N204">
        <v>9</v>
      </c>
      <c r="O204">
        <v>11</v>
      </c>
      <c r="P204">
        <v>38</v>
      </c>
      <c r="Q204">
        <v>21.2</v>
      </c>
      <c r="R204">
        <v>1261</v>
      </c>
      <c r="S204">
        <v>1594</v>
      </c>
      <c r="T204" s="1">
        <v>45501</v>
      </c>
      <c r="U204" s="1">
        <v>45534</v>
      </c>
      <c r="V204">
        <v>107376</v>
      </c>
      <c r="W204">
        <v>0.70642570000000005</v>
      </c>
      <c r="X204" s="4">
        <v>0.76569120240006305</v>
      </c>
      <c r="Y204" s="4">
        <f t="shared" si="3"/>
        <v>2081.779175473871</v>
      </c>
      <c r="AA204">
        <v>0.85321285000000002</v>
      </c>
      <c r="AB204">
        <v>1868.232528</v>
      </c>
      <c r="AC204" cm="1">
        <f t="array" ref="AC204">_xlfn.IFS(W204&lt;0.6,S204,W204&gt;0.85,S204,W204,Y204)</f>
        <v>2081.779175473871</v>
      </c>
      <c r="AH204">
        <v>0</v>
      </c>
      <c r="AI204">
        <v>159</v>
      </c>
    </row>
    <row r="205" spans="1:35" x14ac:dyDescent="0.25">
      <c r="A205" t="s">
        <v>51</v>
      </c>
      <c r="B205" t="s">
        <v>270</v>
      </c>
      <c r="C205">
        <v>2</v>
      </c>
      <c r="E205" t="s">
        <v>53</v>
      </c>
      <c r="F205">
        <v>172</v>
      </c>
      <c r="H205" t="s">
        <v>54</v>
      </c>
      <c r="I205">
        <v>150000</v>
      </c>
      <c r="J205" t="s">
        <v>85</v>
      </c>
      <c r="K205">
        <v>88</v>
      </c>
      <c r="L205">
        <v>912</v>
      </c>
      <c r="M205">
        <v>9012</v>
      </c>
      <c r="N205">
        <v>9</v>
      </c>
      <c r="O205">
        <v>12</v>
      </c>
      <c r="P205">
        <v>26</v>
      </c>
      <c r="Q205">
        <v>20.399999999999999</v>
      </c>
      <c r="R205">
        <v>1960</v>
      </c>
      <c r="S205">
        <v>2503</v>
      </c>
      <c r="T205" s="1">
        <v>45497</v>
      </c>
      <c r="U205" s="1">
        <v>45534</v>
      </c>
      <c r="V205">
        <v>141286</v>
      </c>
      <c r="W205">
        <v>0.92950704299999998</v>
      </c>
      <c r="X205" s="4">
        <v>0.87397202594770995</v>
      </c>
      <c r="Y205" s="4">
        <f t="shared" si="3"/>
        <v>2863.9360593788106</v>
      </c>
      <c r="AA205">
        <v>0.96475352199999997</v>
      </c>
      <c r="AB205">
        <v>2594.445052</v>
      </c>
      <c r="AC205" cm="1">
        <f t="array" ref="AC205">_xlfn.IFS(W205&lt;0.6,S205,W205&gt;0.85,S205,W205,Y205)</f>
        <v>2503</v>
      </c>
      <c r="AH205">
        <v>0</v>
      </c>
      <c r="AI205">
        <v>172</v>
      </c>
    </row>
    <row r="206" spans="1:35" x14ac:dyDescent="0.25">
      <c r="A206" t="s">
        <v>51</v>
      </c>
      <c r="B206" t="s">
        <v>271</v>
      </c>
      <c r="C206">
        <v>3</v>
      </c>
      <c r="E206" t="s">
        <v>53</v>
      </c>
      <c r="F206">
        <v>189</v>
      </c>
      <c r="H206" t="s">
        <v>61</v>
      </c>
      <c r="I206">
        <v>150000</v>
      </c>
      <c r="J206" t="s">
        <v>65</v>
      </c>
      <c r="K206">
        <v>33</v>
      </c>
      <c r="L206">
        <v>913</v>
      </c>
      <c r="M206">
        <v>9013</v>
      </c>
      <c r="N206">
        <v>9</v>
      </c>
      <c r="O206">
        <v>13</v>
      </c>
      <c r="P206">
        <v>40</v>
      </c>
      <c r="Q206">
        <v>18.2</v>
      </c>
      <c r="R206">
        <v>2265</v>
      </c>
      <c r="S206">
        <v>2973</v>
      </c>
      <c r="T206" s="1">
        <v>45497</v>
      </c>
      <c r="U206" s="1">
        <v>45533</v>
      </c>
      <c r="V206">
        <v>102950</v>
      </c>
      <c r="W206">
        <v>0.75581395299999998</v>
      </c>
      <c r="X206" s="4">
        <v>0.82222222222222197</v>
      </c>
      <c r="Y206" s="4">
        <f t="shared" si="3"/>
        <v>3615.8108108108117</v>
      </c>
      <c r="AA206">
        <v>0.83865131599999998</v>
      </c>
      <c r="AB206">
        <v>3544.9774459999999</v>
      </c>
      <c r="AC206" cm="1">
        <f t="array" ref="AC206">_xlfn.IFS(W206&lt;0.6,S206,W206&gt;0.85,S206,W206,Y206)</f>
        <v>3615.8108108108117</v>
      </c>
      <c r="AH206">
        <v>0</v>
      </c>
      <c r="AI206">
        <v>189</v>
      </c>
    </row>
    <row r="207" spans="1:35" x14ac:dyDescent="0.25">
      <c r="A207" t="s">
        <v>51</v>
      </c>
      <c r="B207" t="s">
        <v>272</v>
      </c>
      <c r="C207">
        <v>3</v>
      </c>
      <c r="E207" t="s">
        <v>53</v>
      </c>
      <c r="F207">
        <v>202</v>
      </c>
      <c r="H207" t="s">
        <v>61</v>
      </c>
      <c r="I207">
        <v>75000</v>
      </c>
      <c r="J207" t="s">
        <v>62</v>
      </c>
      <c r="K207">
        <v>2</v>
      </c>
      <c r="L207">
        <v>914</v>
      </c>
      <c r="M207">
        <v>9014</v>
      </c>
      <c r="N207">
        <v>9</v>
      </c>
      <c r="O207">
        <v>14</v>
      </c>
      <c r="P207">
        <v>25</v>
      </c>
      <c r="Q207">
        <v>18.399999999999999</v>
      </c>
      <c r="R207">
        <v>1534</v>
      </c>
      <c r="S207">
        <v>2009</v>
      </c>
      <c r="T207" s="1">
        <v>45498</v>
      </c>
      <c r="U207" s="1">
        <v>45534</v>
      </c>
      <c r="V207">
        <v>122084</v>
      </c>
      <c r="W207">
        <v>0.88839285700000004</v>
      </c>
      <c r="X207" s="4">
        <v>0.96863468634686301</v>
      </c>
      <c r="Y207" s="4">
        <f t="shared" si="3"/>
        <v>2074.0533333333342</v>
      </c>
      <c r="AA207">
        <v>0.90159474799999995</v>
      </c>
      <c r="AB207">
        <v>2228.2738509999999</v>
      </c>
      <c r="AC207" cm="1">
        <f t="array" ref="AC207">_xlfn.IFS(W207&lt;0.6,S207,W207&gt;0.85,S207,W207,Y207)</f>
        <v>2009</v>
      </c>
      <c r="AH207">
        <v>0</v>
      </c>
      <c r="AI207">
        <v>202</v>
      </c>
    </row>
    <row r="208" spans="1:35" x14ac:dyDescent="0.25">
      <c r="A208" t="s">
        <v>51</v>
      </c>
      <c r="B208" t="s">
        <v>273</v>
      </c>
      <c r="C208">
        <v>3</v>
      </c>
      <c r="E208" t="s">
        <v>53</v>
      </c>
      <c r="F208">
        <v>219</v>
      </c>
      <c r="H208" t="s">
        <v>61</v>
      </c>
      <c r="I208">
        <v>100000</v>
      </c>
      <c r="J208" t="s">
        <v>82</v>
      </c>
      <c r="K208">
        <v>20</v>
      </c>
      <c r="L208">
        <v>915</v>
      </c>
      <c r="M208">
        <v>9015</v>
      </c>
      <c r="N208">
        <v>9</v>
      </c>
      <c r="O208">
        <v>15</v>
      </c>
      <c r="P208">
        <v>41</v>
      </c>
      <c r="Q208">
        <v>18.399999999999999</v>
      </c>
      <c r="R208">
        <v>1559</v>
      </c>
      <c r="S208">
        <v>2041</v>
      </c>
      <c r="T208" s="1">
        <v>45492</v>
      </c>
      <c r="U208" s="1">
        <v>45530</v>
      </c>
      <c r="V208">
        <v>126603</v>
      </c>
      <c r="W208">
        <v>0.96791443899999996</v>
      </c>
      <c r="X208" s="4">
        <v>0.99445471349353098</v>
      </c>
      <c r="Y208" s="4">
        <f t="shared" si="3"/>
        <v>2052.3810408921922</v>
      </c>
      <c r="AA208">
        <v>0.91645723700000004</v>
      </c>
      <c r="AB208">
        <v>2227.054267</v>
      </c>
      <c r="AC208" cm="1">
        <f t="array" ref="AC208">_xlfn.IFS(W208&lt;0.6,S208,W208&gt;0.85,S208,W208,Y208)</f>
        <v>2041</v>
      </c>
      <c r="AH208">
        <v>0</v>
      </c>
      <c r="AI208">
        <v>219</v>
      </c>
    </row>
    <row r="209" spans="1:35" x14ac:dyDescent="0.25">
      <c r="A209" t="s">
        <v>51</v>
      </c>
      <c r="B209" t="s">
        <v>274</v>
      </c>
      <c r="C209">
        <v>3</v>
      </c>
      <c r="E209" t="s">
        <v>53</v>
      </c>
      <c r="F209">
        <v>232</v>
      </c>
      <c r="H209" t="s">
        <v>54</v>
      </c>
      <c r="I209">
        <v>100000</v>
      </c>
      <c r="J209" t="s">
        <v>73</v>
      </c>
      <c r="K209">
        <v>72</v>
      </c>
      <c r="L209">
        <v>916</v>
      </c>
      <c r="M209">
        <v>9016</v>
      </c>
      <c r="N209">
        <v>9</v>
      </c>
      <c r="O209">
        <v>16</v>
      </c>
      <c r="P209">
        <v>70</v>
      </c>
      <c r="Q209">
        <v>20.100000000000001</v>
      </c>
      <c r="R209">
        <v>728</v>
      </c>
      <c r="S209">
        <v>933</v>
      </c>
      <c r="T209" s="1">
        <v>45493</v>
      </c>
      <c r="U209" s="1">
        <v>45536</v>
      </c>
      <c r="V209">
        <v>150057</v>
      </c>
      <c r="W209">
        <v>0.98721060999999999</v>
      </c>
      <c r="X209" s="4">
        <v>0.99569742503388103</v>
      </c>
      <c r="Y209" s="4">
        <f t="shared" si="3"/>
        <v>937.03164891508322</v>
      </c>
      <c r="AA209">
        <v>0.99360530499999999</v>
      </c>
      <c r="AB209">
        <v>939.00464829999999</v>
      </c>
      <c r="AC209" cm="1">
        <f t="array" ref="AC209">_xlfn.IFS(W209&lt;0.6,S209,W209&gt;0.85,S209,W209,Y209)</f>
        <v>933</v>
      </c>
      <c r="AH209">
        <v>0</v>
      </c>
      <c r="AI209">
        <v>232</v>
      </c>
    </row>
    <row r="210" spans="1:35" x14ac:dyDescent="0.25">
      <c r="A210" t="s">
        <v>51</v>
      </c>
      <c r="B210" t="s">
        <v>275</v>
      </c>
      <c r="C210">
        <v>3</v>
      </c>
      <c r="E210" t="s">
        <v>53</v>
      </c>
      <c r="F210">
        <v>249</v>
      </c>
      <c r="H210" t="s">
        <v>54</v>
      </c>
      <c r="I210">
        <v>150000</v>
      </c>
      <c r="J210" t="s">
        <v>73</v>
      </c>
      <c r="K210">
        <v>87</v>
      </c>
      <c r="L210">
        <v>917</v>
      </c>
      <c r="M210">
        <v>9017</v>
      </c>
      <c r="N210">
        <v>9</v>
      </c>
      <c r="O210">
        <v>17</v>
      </c>
      <c r="P210">
        <v>66</v>
      </c>
      <c r="Q210">
        <v>19.8</v>
      </c>
      <c r="R210">
        <v>984</v>
      </c>
      <c r="S210">
        <v>1266</v>
      </c>
      <c r="T210" s="1">
        <v>45495</v>
      </c>
      <c r="V210">
        <v>151808</v>
      </c>
      <c r="W210">
        <v>0.99873027199999997</v>
      </c>
      <c r="X210" s="4">
        <v>0.99880261582389196</v>
      </c>
      <c r="Y210" s="4">
        <f t="shared" si="3"/>
        <v>1267.5177056436746</v>
      </c>
      <c r="AA210">
        <v>0.99936513599999999</v>
      </c>
      <c r="AB210">
        <v>1266.8042479999999</v>
      </c>
      <c r="AC210" cm="1">
        <f t="array" ref="AC210">_xlfn.IFS(W210&lt;0.6,S210,W210&gt;0.85,S210,W210,Y210)</f>
        <v>1266</v>
      </c>
      <c r="AH210">
        <v>0</v>
      </c>
      <c r="AI210">
        <v>249</v>
      </c>
    </row>
    <row r="211" spans="1:35" x14ac:dyDescent="0.25">
      <c r="A211" t="s">
        <v>51</v>
      </c>
      <c r="B211" t="s">
        <v>276</v>
      </c>
      <c r="C211">
        <v>3</v>
      </c>
      <c r="E211" t="s">
        <v>53</v>
      </c>
      <c r="F211">
        <v>262</v>
      </c>
      <c r="H211" t="s">
        <v>54</v>
      </c>
      <c r="I211">
        <v>75000</v>
      </c>
      <c r="J211" t="s">
        <v>97</v>
      </c>
      <c r="K211">
        <v>59</v>
      </c>
      <c r="L211">
        <v>918</v>
      </c>
      <c r="M211">
        <v>9018</v>
      </c>
      <c r="N211">
        <v>9</v>
      </c>
      <c r="O211">
        <v>18</v>
      </c>
      <c r="P211">
        <v>26</v>
      </c>
      <c r="Q211">
        <v>19.600000000000001</v>
      </c>
      <c r="R211">
        <v>1247</v>
      </c>
      <c r="S211">
        <v>1609</v>
      </c>
      <c r="T211" s="1">
        <v>45492</v>
      </c>
      <c r="U211" s="1">
        <v>45528</v>
      </c>
      <c r="V211">
        <v>150896</v>
      </c>
      <c r="W211">
        <v>0.99275643599999996</v>
      </c>
      <c r="X211" s="4">
        <v>0.99639468940380804</v>
      </c>
      <c r="Y211" s="4">
        <f t="shared" si="3"/>
        <v>1614.8219346318915</v>
      </c>
      <c r="AA211">
        <v>0.99637821800000004</v>
      </c>
      <c r="AB211">
        <v>1614.84863</v>
      </c>
      <c r="AC211" cm="1">
        <f t="array" ref="AC211">_xlfn.IFS(W211&lt;0.6,S211,W211&gt;0.85,S211,W211,Y211)</f>
        <v>1609</v>
      </c>
      <c r="AH211">
        <v>0</v>
      </c>
      <c r="AI211">
        <v>262</v>
      </c>
    </row>
    <row r="212" spans="1:35" x14ac:dyDescent="0.25">
      <c r="A212" t="s">
        <v>51</v>
      </c>
      <c r="B212" t="s">
        <v>277</v>
      </c>
      <c r="C212">
        <v>4</v>
      </c>
      <c r="E212" t="s">
        <v>53</v>
      </c>
      <c r="F212">
        <v>279</v>
      </c>
      <c r="H212" t="s">
        <v>61</v>
      </c>
      <c r="I212">
        <v>75000</v>
      </c>
      <c r="J212" t="s">
        <v>59</v>
      </c>
      <c r="K212">
        <v>10</v>
      </c>
      <c r="L212">
        <v>919</v>
      </c>
      <c r="M212">
        <v>9019</v>
      </c>
      <c r="N212">
        <v>9</v>
      </c>
      <c r="O212">
        <v>19</v>
      </c>
      <c r="P212">
        <v>69</v>
      </c>
      <c r="Q212">
        <v>19.399999999999999</v>
      </c>
      <c r="R212">
        <v>368</v>
      </c>
      <c r="S212" t="s">
        <v>431</v>
      </c>
      <c r="T212" s="1">
        <v>45490</v>
      </c>
      <c r="U212" s="1">
        <v>45525</v>
      </c>
      <c r="V212">
        <v>123365</v>
      </c>
      <c r="W212">
        <v>0.92486583200000005</v>
      </c>
      <c r="X212" s="4">
        <v>0.99074074074074103</v>
      </c>
      <c r="Y212" s="4" t="s">
        <v>431</v>
      </c>
      <c r="AA212">
        <v>0.90580058200000002</v>
      </c>
      <c r="AB212">
        <v>525.501981</v>
      </c>
      <c r="AC212" t="str" cm="1">
        <f t="array" ref="AC212">_xlfn.IFS(W212&lt;0.6,S212,W212&gt;0.85,S212,W212,Y212)</f>
        <v>.</v>
      </c>
      <c r="AH212">
        <v>0</v>
      </c>
      <c r="AI212">
        <v>279</v>
      </c>
    </row>
    <row r="213" spans="1:35" x14ac:dyDescent="0.25">
      <c r="A213" t="s">
        <v>51</v>
      </c>
      <c r="B213" t="s">
        <v>278</v>
      </c>
      <c r="C213">
        <v>4</v>
      </c>
      <c r="E213" t="s">
        <v>53</v>
      </c>
      <c r="F213">
        <v>292</v>
      </c>
      <c r="H213" t="s">
        <v>61</v>
      </c>
      <c r="I213">
        <v>100000</v>
      </c>
      <c r="J213" t="s">
        <v>80</v>
      </c>
      <c r="K213">
        <v>16</v>
      </c>
      <c r="L213">
        <v>920</v>
      </c>
      <c r="M213">
        <v>9020</v>
      </c>
      <c r="N213">
        <v>9</v>
      </c>
      <c r="O213">
        <v>20</v>
      </c>
      <c r="T213" s="1">
        <v>45499</v>
      </c>
      <c r="U213" s="1">
        <v>45538</v>
      </c>
      <c r="V213">
        <v>113640</v>
      </c>
      <c r="W213">
        <v>0.86631016000000005</v>
      </c>
      <c r="X213" s="4">
        <v>0.95185185185185195</v>
      </c>
      <c r="Y213" s="4" t="s">
        <v>431</v>
      </c>
      <c r="AH213">
        <v>0</v>
      </c>
      <c r="AI213">
        <v>292</v>
      </c>
    </row>
    <row r="214" spans="1:35" x14ac:dyDescent="0.25">
      <c r="A214" t="s">
        <v>51</v>
      </c>
      <c r="B214" t="s">
        <v>279</v>
      </c>
      <c r="C214">
        <v>4</v>
      </c>
      <c r="E214" t="s">
        <v>53</v>
      </c>
      <c r="F214">
        <v>309</v>
      </c>
      <c r="H214" t="s">
        <v>61</v>
      </c>
      <c r="I214">
        <v>150000</v>
      </c>
      <c r="J214" t="s">
        <v>99</v>
      </c>
      <c r="K214">
        <v>45</v>
      </c>
      <c r="L214">
        <v>921</v>
      </c>
      <c r="M214">
        <v>9021</v>
      </c>
      <c r="N214">
        <v>9</v>
      </c>
      <c r="O214">
        <v>21</v>
      </c>
      <c r="P214">
        <v>26</v>
      </c>
      <c r="Q214">
        <v>19</v>
      </c>
      <c r="R214">
        <v>1452</v>
      </c>
      <c r="S214">
        <v>1887</v>
      </c>
      <c r="T214" s="1">
        <v>45499</v>
      </c>
      <c r="U214" s="1">
        <v>45530</v>
      </c>
      <c r="V214">
        <v>122991</v>
      </c>
      <c r="W214">
        <v>0.89534883700000001</v>
      </c>
      <c r="X214" s="4">
        <v>0.95185185185185195</v>
      </c>
      <c r="Y214" s="4">
        <f t="shared" si="3"/>
        <v>1982.451361867704</v>
      </c>
      <c r="AA214">
        <v>0.90457565799999995</v>
      </c>
      <c r="AB214">
        <v>2086.0609979999999</v>
      </c>
      <c r="AC214" cm="1">
        <f t="array" ref="AC214">_xlfn.IFS(W214&lt;0.6,S214,W214&gt;0.85,S214,W214,Y214)</f>
        <v>1887</v>
      </c>
      <c r="AH214">
        <v>0</v>
      </c>
      <c r="AI214">
        <v>309</v>
      </c>
    </row>
    <row r="215" spans="1:35" x14ac:dyDescent="0.25">
      <c r="A215" t="s">
        <v>51</v>
      </c>
      <c r="B215" t="s">
        <v>280</v>
      </c>
      <c r="C215">
        <v>4</v>
      </c>
      <c r="E215" t="s">
        <v>53</v>
      </c>
      <c r="F215">
        <v>322</v>
      </c>
      <c r="H215" t="s">
        <v>54</v>
      </c>
      <c r="I215">
        <v>150000</v>
      </c>
      <c r="J215" t="s">
        <v>82</v>
      </c>
      <c r="K215">
        <v>80</v>
      </c>
      <c r="L215">
        <v>922</v>
      </c>
      <c r="M215">
        <v>9022</v>
      </c>
      <c r="N215">
        <v>9</v>
      </c>
      <c r="O215">
        <v>22</v>
      </c>
      <c r="P215">
        <v>40</v>
      </c>
      <c r="Q215">
        <v>18</v>
      </c>
      <c r="R215">
        <v>1761</v>
      </c>
      <c r="S215">
        <v>2317</v>
      </c>
      <c r="T215" s="1">
        <v>45496</v>
      </c>
      <c r="U215" s="1">
        <v>45530</v>
      </c>
      <c r="V215">
        <v>151836</v>
      </c>
      <c r="W215">
        <v>0.99893419699999997</v>
      </c>
      <c r="X215" s="4">
        <v>0.99990789352491505</v>
      </c>
      <c r="Y215" s="4">
        <f t="shared" si="3"/>
        <v>2317.2134303610901</v>
      </c>
      <c r="AA215">
        <v>0.99946709899999997</v>
      </c>
      <c r="AB215">
        <v>2318.2353910000002</v>
      </c>
      <c r="AC215" cm="1">
        <f t="array" ref="AC215">_xlfn.IFS(W215&lt;0.6,S215,W215&gt;0.85,S215,W215,Y215)</f>
        <v>2317</v>
      </c>
      <c r="AH215">
        <v>0</v>
      </c>
      <c r="AI215">
        <v>322</v>
      </c>
    </row>
    <row r="216" spans="1:35" x14ac:dyDescent="0.25">
      <c r="A216" t="s">
        <v>51</v>
      </c>
      <c r="B216" t="s">
        <v>281</v>
      </c>
      <c r="C216">
        <v>4</v>
      </c>
      <c r="E216" t="s">
        <v>53</v>
      </c>
      <c r="F216">
        <v>339</v>
      </c>
      <c r="H216" t="s">
        <v>54</v>
      </c>
      <c r="I216">
        <v>100000</v>
      </c>
      <c r="J216" t="s">
        <v>99</v>
      </c>
      <c r="K216">
        <v>75</v>
      </c>
      <c r="L216">
        <v>923</v>
      </c>
      <c r="M216">
        <v>9023</v>
      </c>
      <c r="N216">
        <v>9</v>
      </c>
      <c r="O216">
        <v>23</v>
      </c>
      <c r="P216">
        <v>26</v>
      </c>
      <c r="Q216">
        <v>24.3</v>
      </c>
      <c r="R216">
        <v>1653</v>
      </c>
      <c r="S216">
        <v>2008</v>
      </c>
      <c r="T216" s="1">
        <v>45497</v>
      </c>
      <c r="U216" s="1">
        <v>45532</v>
      </c>
      <c r="V216">
        <v>136781</v>
      </c>
      <c r="W216">
        <v>0.89986907999999999</v>
      </c>
      <c r="X216" s="4">
        <v>0.94236766273240402</v>
      </c>
      <c r="Y216" s="4">
        <f t="shared" si="3"/>
        <v>2130.8031667574255</v>
      </c>
      <c r="AA216">
        <v>0.94993453999999999</v>
      </c>
      <c r="AB216">
        <v>2113.8298650000002</v>
      </c>
      <c r="AC216" cm="1">
        <f t="array" ref="AC216">_xlfn.IFS(W216&lt;0.6,S216,W216&gt;0.85,S216,W216,Y216)</f>
        <v>2008</v>
      </c>
      <c r="AH216">
        <v>0</v>
      </c>
      <c r="AI216">
        <v>339</v>
      </c>
    </row>
    <row r="217" spans="1:35" x14ac:dyDescent="0.25">
      <c r="A217" t="s">
        <v>51</v>
      </c>
      <c r="B217" t="s">
        <v>282</v>
      </c>
      <c r="C217">
        <v>4</v>
      </c>
      <c r="E217" t="s">
        <v>53</v>
      </c>
      <c r="F217">
        <v>352</v>
      </c>
      <c r="H217" t="s">
        <v>54</v>
      </c>
      <c r="I217">
        <v>75000</v>
      </c>
      <c r="J217" t="s">
        <v>85</v>
      </c>
      <c r="K217">
        <v>58</v>
      </c>
      <c r="L217">
        <v>924</v>
      </c>
      <c r="M217">
        <v>9024</v>
      </c>
      <c r="N217">
        <v>9</v>
      </c>
      <c r="O217">
        <v>24</v>
      </c>
      <c r="P217">
        <v>29</v>
      </c>
      <c r="Q217">
        <v>23.3</v>
      </c>
      <c r="R217">
        <v>1460</v>
      </c>
      <c r="S217">
        <v>1797</v>
      </c>
      <c r="T217" s="1">
        <v>45500</v>
      </c>
      <c r="U217" s="1">
        <v>45535</v>
      </c>
      <c r="V217">
        <v>148936</v>
      </c>
      <c r="W217">
        <v>0.97983565900000003</v>
      </c>
      <c r="X217" s="4">
        <v>0.98961855765055695</v>
      </c>
      <c r="Y217" s="4">
        <f t="shared" si="3"/>
        <v>1815.8511540711593</v>
      </c>
      <c r="AA217">
        <v>0.98991783</v>
      </c>
      <c r="AB217">
        <v>1815.3021859999999</v>
      </c>
      <c r="AC217" cm="1">
        <f t="array" ref="AC217">_xlfn.IFS(W217&lt;0.6,S217,W217&gt;0.85,S217,W217,Y217)</f>
        <v>1797</v>
      </c>
      <c r="AH217">
        <v>0</v>
      </c>
      <c r="AI217">
        <v>352</v>
      </c>
    </row>
    <row r="218" spans="1:35" x14ac:dyDescent="0.25">
      <c r="A218" t="s">
        <v>51</v>
      </c>
      <c r="B218" t="s">
        <v>283</v>
      </c>
      <c r="C218">
        <v>1</v>
      </c>
      <c r="E218" t="s">
        <v>53</v>
      </c>
      <c r="F218">
        <v>10</v>
      </c>
      <c r="H218" t="s">
        <v>54</v>
      </c>
      <c r="I218">
        <v>100000</v>
      </c>
      <c r="J218" t="s">
        <v>73</v>
      </c>
      <c r="K218">
        <v>72</v>
      </c>
      <c r="L218">
        <v>1001</v>
      </c>
      <c r="M218">
        <v>10001</v>
      </c>
      <c r="N218">
        <v>10</v>
      </c>
      <c r="O218">
        <v>1</v>
      </c>
      <c r="P218">
        <v>72</v>
      </c>
      <c r="Q218">
        <v>23</v>
      </c>
      <c r="R218">
        <v>590</v>
      </c>
      <c r="S218">
        <v>729</v>
      </c>
      <c r="T218" s="1">
        <v>45497</v>
      </c>
      <c r="U218" s="1">
        <v>45537</v>
      </c>
      <c r="V218">
        <v>149980</v>
      </c>
      <c r="W218">
        <v>0.98671052599999998</v>
      </c>
      <c r="X218" s="4">
        <v>0.99771055644004703</v>
      </c>
      <c r="Y218" s="4">
        <f t="shared" si="3"/>
        <v>730.67283421472553</v>
      </c>
      <c r="AA218">
        <v>0.99335526299999999</v>
      </c>
      <c r="AB218">
        <v>733.87641580000002</v>
      </c>
      <c r="AC218" cm="1">
        <f t="array" ref="AC218">_xlfn.IFS(W218&lt;0.6,S218,W218&gt;0.85,S218,W218,Y218)</f>
        <v>729</v>
      </c>
      <c r="AH218">
        <v>0</v>
      </c>
      <c r="AI218">
        <v>10</v>
      </c>
    </row>
    <row r="219" spans="1:35" x14ac:dyDescent="0.25">
      <c r="A219" t="s">
        <v>51</v>
      </c>
      <c r="B219" t="s">
        <v>284</v>
      </c>
      <c r="C219">
        <v>1</v>
      </c>
      <c r="E219" t="s">
        <v>53</v>
      </c>
      <c r="F219">
        <v>21</v>
      </c>
      <c r="H219" t="s">
        <v>54</v>
      </c>
      <c r="I219">
        <v>150000</v>
      </c>
      <c r="J219" t="s">
        <v>97</v>
      </c>
      <c r="K219">
        <v>89</v>
      </c>
      <c r="L219">
        <v>1002</v>
      </c>
      <c r="M219">
        <v>10002</v>
      </c>
      <c r="N219">
        <v>10</v>
      </c>
      <c r="O219">
        <v>2</v>
      </c>
      <c r="P219">
        <v>45</v>
      </c>
      <c r="Q219">
        <v>20.2</v>
      </c>
      <c r="R219">
        <v>1444</v>
      </c>
      <c r="S219">
        <v>1849</v>
      </c>
      <c r="T219" s="1">
        <v>45493</v>
      </c>
      <c r="U219" s="1">
        <v>45528</v>
      </c>
      <c r="V219">
        <v>151879</v>
      </c>
      <c r="W219">
        <v>0.99920394700000004</v>
      </c>
      <c r="X219" s="4">
        <v>0.99842105263157899</v>
      </c>
      <c r="Y219" s="4">
        <f t="shared" si="3"/>
        <v>1851.9240906694781</v>
      </c>
      <c r="AA219">
        <v>0.99960197399999995</v>
      </c>
      <c r="AB219">
        <v>1849.7362439999999</v>
      </c>
      <c r="AC219" cm="1">
        <f t="array" ref="AC219">_xlfn.IFS(W219&lt;0.6,S219,W219&gt;0.85,S219,W219,Y219)</f>
        <v>1849</v>
      </c>
      <c r="AH219">
        <v>0</v>
      </c>
      <c r="AI219">
        <v>21</v>
      </c>
    </row>
    <row r="220" spans="1:35" x14ac:dyDescent="0.25">
      <c r="A220" t="s">
        <v>51</v>
      </c>
      <c r="B220" t="s">
        <v>285</v>
      </c>
      <c r="C220">
        <v>1</v>
      </c>
      <c r="E220" t="s">
        <v>53</v>
      </c>
      <c r="F220">
        <v>40</v>
      </c>
      <c r="H220" t="s">
        <v>54</v>
      </c>
      <c r="I220">
        <v>75000</v>
      </c>
      <c r="J220" t="s">
        <v>71</v>
      </c>
      <c r="K220">
        <v>56</v>
      </c>
      <c r="L220">
        <v>1003</v>
      </c>
      <c r="M220">
        <v>10003</v>
      </c>
      <c r="N220">
        <v>10</v>
      </c>
      <c r="O220">
        <v>3</v>
      </c>
      <c r="P220">
        <v>52</v>
      </c>
      <c r="Q220">
        <v>20.399999999999999</v>
      </c>
      <c r="R220">
        <v>358</v>
      </c>
      <c r="S220">
        <v>457</v>
      </c>
      <c r="T220" s="1">
        <v>45490</v>
      </c>
      <c r="U220" s="1">
        <v>45525</v>
      </c>
      <c r="V220">
        <v>99365</v>
      </c>
      <c r="W220">
        <v>0.65370850400000002</v>
      </c>
      <c r="X220" s="4">
        <v>0.92734306127551003</v>
      </c>
      <c r="Y220" s="4">
        <f t="shared" si="3"/>
        <v>492.80575774344106</v>
      </c>
      <c r="AA220">
        <v>0.82685425199999996</v>
      </c>
      <c r="AB220">
        <v>552.69716389999996</v>
      </c>
      <c r="AC220" cm="1">
        <f t="array" ref="AC220">_xlfn.IFS(W220&lt;0.6,S220,W220&gt;0.85,S220,W220,Y220)</f>
        <v>492.80575774344106</v>
      </c>
      <c r="AH220">
        <v>0</v>
      </c>
      <c r="AI220">
        <v>40</v>
      </c>
    </row>
    <row r="221" spans="1:35" x14ac:dyDescent="0.25">
      <c r="A221" t="s">
        <v>51</v>
      </c>
      <c r="B221" t="s">
        <v>286</v>
      </c>
      <c r="C221">
        <v>1</v>
      </c>
      <c r="E221" t="s">
        <v>53</v>
      </c>
      <c r="F221">
        <v>51</v>
      </c>
      <c r="H221" t="s">
        <v>61</v>
      </c>
      <c r="I221">
        <v>150000</v>
      </c>
      <c r="J221" t="s">
        <v>82</v>
      </c>
      <c r="K221">
        <v>35</v>
      </c>
      <c r="L221">
        <v>1004</v>
      </c>
      <c r="M221">
        <v>10004</v>
      </c>
      <c r="N221">
        <v>10</v>
      </c>
      <c r="O221">
        <v>4</v>
      </c>
      <c r="P221">
        <v>45</v>
      </c>
      <c r="Q221">
        <v>20</v>
      </c>
      <c r="R221">
        <v>1319</v>
      </c>
      <c r="S221">
        <v>1693</v>
      </c>
      <c r="T221" s="1">
        <v>45496</v>
      </c>
      <c r="U221" s="1">
        <v>45532</v>
      </c>
      <c r="V221">
        <v>86857</v>
      </c>
      <c r="W221">
        <v>0.64311270099999995</v>
      </c>
      <c r="X221" s="4">
        <v>0.72458410351201497</v>
      </c>
      <c r="Y221" s="4">
        <f t="shared" si="3"/>
        <v>2336.51275510204</v>
      </c>
      <c r="AA221">
        <v>0.78571757499999995</v>
      </c>
      <c r="AB221">
        <v>2154.7182520000001</v>
      </c>
      <c r="AC221" cm="1">
        <f t="array" ref="AC221">_xlfn.IFS(W221&lt;0.6,S221,W221&gt;0.85,S221,W221,Y221)</f>
        <v>2336.51275510204</v>
      </c>
      <c r="AH221">
        <v>0</v>
      </c>
      <c r="AI221">
        <v>51</v>
      </c>
    </row>
    <row r="222" spans="1:35" x14ac:dyDescent="0.25">
      <c r="A222" t="s">
        <v>51</v>
      </c>
      <c r="B222" t="s">
        <v>287</v>
      </c>
      <c r="C222">
        <v>1</v>
      </c>
      <c r="E222" t="s">
        <v>53</v>
      </c>
      <c r="F222">
        <v>70</v>
      </c>
      <c r="H222" t="s">
        <v>61</v>
      </c>
      <c r="I222">
        <v>75000</v>
      </c>
      <c r="J222" t="s">
        <v>71</v>
      </c>
      <c r="K222">
        <v>11</v>
      </c>
      <c r="L222">
        <v>1005</v>
      </c>
      <c r="M222">
        <v>10005</v>
      </c>
      <c r="N222">
        <v>10</v>
      </c>
      <c r="O222">
        <v>5</v>
      </c>
      <c r="P222">
        <v>56</v>
      </c>
      <c r="Q222">
        <v>19.2</v>
      </c>
      <c r="R222">
        <v>507</v>
      </c>
      <c r="S222">
        <v>657</v>
      </c>
      <c r="T222" s="1">
        <v>45490</v>
      </c>
      <c r="U222" s="1">
        <v>45525</v>
      </c>
      <c r="V222">
        <v>122648</v>
      </c>
      <c r="W222">
        <v>0.94826048200000002</v>
      </c>
      <c r="X222" s="4">
        <v>0.99814471243042702</v>
      </c>
      <c r="Y222" s="4">
        <f t="shared" si="3"/>
        <v>658.22118959107786</v>
      </c>
      <c r="AA222">
        <v>0.903447369</v>
      </c>
      <c r="AB222">
        <v>727.21447079999996</v>
      </c>
      <c r="AC222" cm="1">
        <f t="array" ref="AC222">_xlfn.IFS(W222&lt;0.6,S222,W222&gt;0.85,S222,W222,Y222)</f>
        <v>657</v>
      </c>
      <c r="AH222">
        <v>0</v>
      </c>
      <c r="AI222">
        <v>70</v>
      </c>
    </row>
    <row r="223" spans="1:35" x14ac:dyDescent="0.25">
      <c r="A223" t="s">
        <v>51</v>
      </c>
      <c r="B223" t="s">
        <v>288</v>
      </c>
      <c r="C223">
        <v>1</v>
      </c>
      <c r="E223" t="s">
        <v>53</v>
      </c>
      <c r="F223">
        <v>81</v>
      </c>
      <c r="H223" t="s">
        <v>61</v>
      </c>
      <c r="I223">
        <v>100000</v>
      </c>
      <c r="J223" t="s">
        <v>57</v>
      </c>
      <c r="K223">
        <v>21</v>
      </c>
      <c r="L223">
        <v>1006</v>
      </c>
      <c r="M223">
        <v>10006</v>
      </c>
      <c r="N223">
        <v>10</v>
      </c>
      <c r="O223">
        <v>6</v>
      </c>
      <c r="P223">
        <v>56</v>
      </c>
      <c r="Q223">
        <v>20.5</v>
      </c>
      <c r="R223">
        <v>823</v>
      </c>
      <c r="S223">
        <v>1050</v>
      </c>
      <c r="T223" s="1">
        <v>45491</v>
      </c>
      <c r="U223" s="1">
        <v>45526</v>
      </c>
      <c r="V223">
        <v>123499</v>
      </c>
      <c r="W223">
        <v>0.97237076600000005</v>
      </c>
      <c r="X223" s="4">
        <v>0.99072356215213397</v>
      </c>
      <c r="Y223" s="4">
        <f t="shared" si="3"/>
        <v>1059.8314606741569</v>
      </c>
      <c r="AA223">
        <v>0.90624403799999997</v>
      </c>
      <c r="AB223">
        <v>1158.6283120000001</v>
      </c>
      <c r="AC223" cm="1">
        <f t="array" ref="AC223">_xlfn.IFS(W223&lt;0.6,S223,W223&gt;0.85,S223,W223,Y223)</f>
        <v>1050</v>
      </c>
      <c r="AH223">
        <v>0</v>
      </c>
      <c r="AI223">
        <v>81</v>
      </c>
    </row>
    <row r="224" spans="1:35" x14ac:dyDescent="0.25">
      <c r="A224" t="s">
        <v>51</v>
      </c>
      <c r="B224" s="2" t="s">
        <v>289</v>
      </c>
      <c r="C224">
        <v>2</v>
      </c>
      <c r="E224" t="s">
        <v>53</v>
      </c>
      <c r="F224">
        <v>100</v>
      </c>
      <c r="H224" t="s">
        <v>61</v>
      </c>
      <c r="I224">
        <v>75000</v>
      </c>
      <c r="J224" t="s">
        <v>62</v>
      </c>
      <c r="K224">
        <v>2</v>
      </c>
      <c r="L224">
        <v>1007</v>
      </c>
      <c r="M224">
        <v>10007</v>
      </c>
      <c r="N224">
        <v>10</v>
      </c>
      <c r="O224">
        <v>7</v>
      </c>
      <c r="P224">
        <v>25</v>
      </c>
      <c r="Q224">
        <v>19.7</v>
      </c>
      <c r="R224">
        <v>1479</v>
      </c>
      <c r="S224">
        <v>1906</v>
      </c>
      <c r="T224" s="1">
        <v>45498</v>
      </c>
      <c r="U224" s="1">
        <v>45536</v>
      </c>
      <c r="V224">
        <v>106696</v>
      </c>
      <c r="W224">
        <v>0.79445933899999999</v>
      </c>
      <c r="X224" s="4">
        <v>0.93173431734317302</v>
      </c>
      <c r="Y224" s="4">
        <f t="shared" si="3"/>
        <v>2045.6475247524761</v>
      </c>
      <c r="AA224">
        <v>0.85097137499999997</v>
      </c>
      <c r="AB224">
        <v>2239.7933189999999</v>
      </c>
      <c r="AC224" cm="1">
        <f t="array" ref="AC224">_xlfn.IFS(W224&lt;0.6,S224,W224&gt;0.85,S224,W224,Y224)</f>
        <v>2045.6475247524761</v>
      </c>
      <c r="AH224">
        <v>0</v>
      </c>
      <c r="AI224">
        <v>100</v>
      </c>
    </row>
    <row r="225" spans="1:35" x14ac:dyDescent="0.25">
      <c r="A225" t="s">
        <v>51</v>
      </c>
      <c r="B225" t="s">
        <v>290</v>
      </c>
      <c r="C225">
        <v>2</v>
      </c>
      <c r="E225" t="s">
        <v>53</v>
      </c>
      <c r="F225">
        <v>111</v>
      </c>
      <c r="H225" t="s">
        <v>61</v>
      </c>
      <c r="I225">
        <v>150000</v>
      </c>
      <c r="J225" t="s">
        <v>59</v>
      </c>
      <c r="K225">
        <v>40</v>
      </c>
      <c r="L225">
        <v>1008</v>
      </c>
      <c r="M225">
        <v>10008</v>
      </c>
      <c r="N225">
        <v>10</v>
      </c>
      <c r="O225">
        <v>8</v>
      </c>
      <c r="P225">
        <v>63</v>
      </c>
      <c r="Q225">
        <v>21.5</v>
      </c>
      <c r="R225">
        <v>830</v>
      </c>
      <c r="S225">
        <v>1045</v>
      </c>
      <c r="T225" s="1">
        <v>45492</v>
      </c>
      <c r="U225" s="1">
        <v>45528</v>
      </c>
      <c r="V225">
        <v>113643</v>
      </c>
      <c r="W225">
        <v>0.86940965999999997</v>
      </c>
      <c r="X225" s="4">
        <v>1</v>
      </c>
      <c r="Y225" s="4">
        <f t="shared" si="3"/>
        <v>1045</v>
      </c>
      <c r="AA225">
        <v>0.873830577</v>
      </c>
      <c r="AB225">
        <v>1195.883994</v>
      </c>
      <c r="AC225" cm="1">
        <f t="array" ref="AC225">_xlfn.IFS(W225&lt;0.6,S225,W225&gt;0.85,S225,W225,Y225)</f>
        <v>1045</v>
      </c>
      <c r="AH225">
        <v>0</v>
      </c>
      <c r="AI225">
        <v>111</v>
      </c>
    </row>
    <row r="226" spans="1:35" x14ac:dyDescent="0.25">
      <c r="A226" t="s">
        <v>51</v>
      </c>
      <c r="B226" t="s">
        <v>291</v>
      </c>
      <c r="C226">
        <v>2</v>
      </c>
      <c r="E226" t="s">
        <v>53</v>
      </c>
      <c r="F226">
        <v>130</v>
      </c>
      <c r="H226" t="s">
        <v>61</v>
      </c>
      <c r="I226">
        <v>100000</v>
      </c>
      <c r="J226" t="s">
        <v>97</v>
      </c>
      <c r="K226">
        <v>29</v>
      </c>
      <c r="L226">
        <v>1009</v>
      </c>
      <c r="M226">
        <v>10009</v>
      </c>
      <c r="N226">
        <v>10</v>
      </c>
      <c r="O226">
        <v>9</v>
      </c>
      <c r="P226">
        <v>39</v>
      </c>
      <c r="Q226">
        <v>20.5</v>
      </c>
      <c r="R226">
        <v>1540</v>
      </c>
      <c r="S226">
        <v>1965</v>
      </c>
      <c r="T226" s="1">
        <v>45493</v>
      </c>
      <c r="U226" s="1">
        <v>45530</v>
      </c>
      <c r="V226">
        <v>117433</v>
      </c>
      <c r="W226">
        <v>0.86898395699999997</v>
      </c>
      <c r="X226" s="4">
        <v>0.99815157116451003</v>
      </c>
      <c r="Y226" s="4">
        <f t="shared" si="3"/>
        <v>1968.6388888888891</v>
      </c>
      <c r="AA226">
        <v>0.88629022199999996</v>
      </c>
      <c r="AB226">
        <v>2217.1067119999998</v>
      </c>
      <c r="AC226" cm="1">
        <f t="array" ref="AC226">_xlfn.IFS(W226&lt;0.6,S226,W226&gt;0.85,S226,W226,Y226)</f>
        <v>1965</v>
      </c>
      <c r="AH226">
        <v>0</v>
      </c>
      <c r="AI226">
        <v>130</v>
      </c>
    </row>
    <row r="227" spans="1:35" x14ac:dyDescent="0.25">
      <c r="A227" t="s">
        <v>51</v>
      </c>
      <c r="B227" t="s">
        <v>292</v>
      </c>
      <c r="C227">
        <v>2</v>
      </c>
      <c r="E227" t="s">
        <v>53</v>
      </c>
      <c r="F227">
        <v>141</v>
      </c>
      <c r="H227" t="s">
        <v>54</v>
      </c>
      <c r="I227">
        <v>100000</v>
      </c>
      <c r="J227" t="s">
        <v>73</v>
      </c>
      <c r="K227">
        <v>72</v>
      </c>
      <c r="L227">
        <v>1010</v>
      </c>
      <c r="M227">
        <v>10010</v>
      </c>
      <c r="N227">
        <v>10</v>
      </c>
      <c r="O227">
        <v>10</v>
      </c>
      <c r="P227">
        <v>82</v>
      </c>
      <c r="Q227">
        <v>21.9</v>
      </c>
      <c r="R227">
        <v>956</v>
      </c>
      <c r="S227">
        <v>1198</v>
      </c>
      <c r="T227" s="1">
        <v>45496</v>
      </c>
      <c r="V227">
        <v>149063</v>
      </c>
      <c r="W227">
        <v>0.98067763200000002</v>
      </c>
      <c r="X227" s="4">
        <v>0.99949999342096596</v>
      </c>
      <c r="Y227" s="4">
        <f t="shared" si="3"/>
        <v>1198.5993075393953</v>
      </c>
      <c r="AA227">
        <v>0.99033881599999996</v>
      </c>
      <c r="AB227">
        <v>1209.687009</v>
      </c>
      <c r="AC227" cm="1">
        <f t="array" ref="AC227">_xlfn.IFS(W227&lt;0.6,S227,W227&gt;0.85,S227,W227,Y227)</f>
        <v>1198</v>
      </c>
      <c r="AH227">
        <v>0</v>
      </c>
      <c r="AI227">
        <v>141</v>
      </c>
    </row>
    <row r="228" spans="1:35" x14ac:dyDescent="0.25">
      <c r="A228" t="s">
        <v>51</v>
      </c>
      <c r="B228" t="s">
        <v>293</v>
      </c>
      <c r="C228">
        <v>2</v>
      </c>
      <c r="E228" t="s">
        <v>53</v>
      </c>
      <c r="F228">
        <v>160</v>
      </c>
      <c r="H228" t="s">
        <v>54</v>
      </c>
      <c r="I228">
        <v>75000</v>
      </c>
      <c r="J228" t="s">
        <v>77</v>
      </c>
      <c r="K228">
        <v>49</v>
      </c>
      <c r="L228">
        <v>1011</v>
      </c>
      <c r="M228">
        <v>10011</v>
      </c>
      <c r="N228">
        <v>10</v>
      </c>
      <c r="O228">
        <v>11</v>
      </c>
      <c r="P228">
        <v>63</v>
      </c>
      <c r="Q228">
        <v>21.7</v>
      </c>
      <c r="R228">
        <v>851</v>
      </c>
      <c r="S228">
        <v>1069</v>
      </c>
      <c r="T228" s="1">
        <v>45496</v>
      </c>
      <c r="V228">
        <v>146865</v>
      </c>
      <c r="W228">
        <v>0.96621710500000002</v>
      </c>
      <c r="X228" s="4">
        <v>0.99585520862116605</v>
      </c>
      <c r="Y228" s="4">
        <f t="shared" si="3"/>
        <v>1073.4492230854605</v>
      </c>
      <c r="AA228">
        <v>0.983108553</v>
      </c>
      <c r="AB228">
        <v>1087.3672059999999</v>
      </c>
      <c r="AC228" cm="1">
        <f t="array" ref="AC228">_xlfn.IFS(W228&lt;0.6,S228,W228&gt;0.85,S228,W228,Y228)</f>
        <v>1069</v>
      </c>
      <c r="AH228">
        <v>0</v>
      </c>
      <c r="AI228">
        <v>160</v>
      </c>
    </row>
    <row r="229" spans="1:35" x14ac:dyDescent="0.25">
      <c r="A229" t="s">
        <v>51</v>
      </c>
      <c r="B229" t="s">
        <v>294</v>
      </c>
      <c r="C229">
        <v>2</v>
      </c>
      <c r="E229" t="s">
        <v>53</v>
      </c>
      <c r="F229">
        <v>171</v>
      </c>
      <c r="H229" t="s">
        <v>54</v>
      </c>
      <c r="I229">
        <v>150000</v>
      </c>
      <c r="J229" t="s">
        <v>99</v>
      </c>
      <c r="K229">
        <v>90</v>
      </c>
      <c r="L229">
        <v>1012</v>
      </c>
      <c r="M229">
        <v>10012</v>
      </c>
      <c r="N229">
        <v>10</v>
      </c>
      <c r="O229">
        <v>12</v>
      </c>
      <c r="P229">
        <v>26</v>
      </c>
      <c r="Q229">
        <v>18.5</v>
      </c>
      <c r="R229">
        <v>2202</v>
      </c>
      <c r="S229">
        <v>2880</v>
      </c>
      <c r="T229" s="1">
        <v>45497</v>
      </c>
      <c r="U229" s="1">
        <v>45532</v>
      </c>
      <c r="V229">
        <v>149619</v>
      </c>
      <c r="W229">
        <v>0.98433552599999996</v>
      </c>
      <c r="X229" s="4">
        <v>0.99847366412715999</v>
      </c>
      <c r="Y229" s="4">
        <f t="shared" si="3"/>
        <v>2884.4025671098916</v>
      </c>
      <c r="AA229">
        <v>0.99216776299999998</v>
      </c>
      <c r="AB229">
        <v>2902.7349079999999</v>
      </c>
      <c r="AC229" cm="1">
        <f t="array" ref="AC229">_xlfn.IFS(W229&lt;0.6,S229,W229&gt;0.85,S229,W229,Y229)</f>
        <v>2880</v>
      </c>
      <c r="AH229">
        <v>0</v>
      </c>
      <c r="AI229">
        <v>171</v>
      </c>
    </row>
    <row r="230" spans="1:35" x14ac:dyDescent="0.25">
      <c r="A230" t="s">
        <v>51</v>
      </c>
      <c r="B230" t="s">
        <v>295</v>
      </c>
      <c r="C230">
        <v>3</v>
      </c>
      <c r="E230" t="s">
        <v>53</v>
      </c>
      <c r="F230">
        <v>190</v>
      </c>
      <c r="H230" t="s">
        <v>61</v>
      </c>
      <c r="I230">
        <v>150000</v>
      </c>
      <c r="J230" t="s">
        <v>62</v>
      </c>
      <c r="K230">
        <v>32</v>
      </c>
      <c r="L230">
        <v>1013</v>
      </c>
      <c r="M230">
        <v>10013</v>
      </c>
      <c r="N230">
        <v>10</v>
      </c>
      <c r="O230">
        <v>13</v>
      </c>
      <c r="P230">
        <v>25</v>
      </c>
      <c r="Q230">
        <v>20.2</v>
      </c>
      <c r="R230">
        <v>2191</v>
      </c>
      <c r="S230">
        <v>2806</v>
      </c>
      <c r="T230" s="1">
        <v>45496</v>
      </c>
      <c r="U230" s="1">
        <v>45534</v>
      </c>
      <c r="V230">
        <v>133367</v>
      </c>
      <c r="W230">
        <v>0.95263628199999995</v>
      </c>
      <c r="X230" s="4">
        <v>1</v>
      </c>
      <c r="Y230" s="4">
        <f t="shared" si="3"/>
        <v>2806</v>
      </c>
      <c r="AA230">
        <v>0.93870723700000003</v>
      </c>
      <c r="AB230">
        <v>2989.2173929999999</v>
      </c>
      <c r="AC230" cm="1">
        <f t="array" ref="AC230">_xlfn.IFS(W230&lt;0.6,S230,W230&gt;0.85,S230,W230,Y230)</f>
        <v>2806</v>
      </c>
      <c r="AH230">
        <v>0</v>
      </c>
      <c r="AI230">
        <v>190</v>
      </c>
    </row>
    <row r="231" spans="1:35" x14ac:dyDescent="0.25">
      <c r="A231" t="s">
        <v>51</v>
      </c>
      <c r="B231" t="s">
        <v>296</v>
      </c>
      <c r="C231">
        <v>3</v>
      </c>
      <c r="E231" t="s">
        <v>53</v>
      </c>
      <c r="F231">
        <v>201</v>
      </c>
      <c r="H231" t="s">
        <v>61</v>
      </c>
      <c r="I231">
        <v>75000</v>
      </c>
      <c r="J231" t="s">
        <v>95</v>
      </c>
      <c r="K231">
        <v>7</v>
      </c>
      <c r="L231">
        <v>1014</v>
      </c>
      <c r="M231">
        <v>10014</v>
      </c>
      <c r="N231">
        <v>10</v>
      </c>
      <c r="O231">
        <v>14</v>
      </c>
      <c r="P231">
        <v>40</v>
      </c>
      <c r="Q231">
        <v>19.2</v>
      </c>
      <c r="R231">
        <v>1140</v>
      </c>
      <c r="S231">
        <v>1478</v>
      </c>
      <c r="T231" s="1">
        <v>45497</v>
      </c>
      <c r="U231" s="1">
        <v>45535</v>
      </c>
      <c r="V231">
        <v>122341</v>
      </c>
      <c r="W231">
        <v>0.85241502700000005</v>
      </c>
      <c r="X231" s="4">
        <v>0.907407407407407</v>
      </c>
      <c r="Y231" s="4">
        <f t="shared" si="3"/>
        <v>1628.816326530613</v>
      </c>
      <c r="AA231">
        <v>0.90243485300000004</v>
      </c>
      <c r="AB231">
        <v>1637.7913550000001</v>
      </c>
      <c r="AC231" cm="1">
        <f t="array" ref="AC231">_xlfn.IFS(W231&lt;0.6,S231,W231&gt;0.85,S231,W231,Y231)</f>
        <v>1478</v>
      </c>
      <c r="AH231">
        <v>0</v>
      </c>
      <c r="AI231">
        <v>201</v>
      </c>
    </row>
    <row r="232" spans="1:35" x14ac:dyDescent="0.25">
      <c r="A232" t="s">
        <v>51</v>
      </c>
      <c r="B232" t="s">
        <v>297</v>
      </c>
      <c r="C232">
        <v>3</v>
      </c>
      <c r="E232" t="s">
        <v>53</v>
      </c>
      <c r="F232">
        <v>220</v>
      </c>
      <c r="H232" t="s">
        <v>61</v>
      </c>
      <c r="I232">
        <v>100000</v>
      </c>
      <c r="J232" t="s">
        <v>65</v>
      </c>
      <c r="K232">
        <v>18</v>
      </c>
      <c r="L232">
        <v>1015</v>
      </c>
      <c r="M232">
        <v>10015</v>
      </c>
      <c r="N232">
        <v>10</v>
      </c>
      <c r="O232">
        <v>15</v>
      </c>
      <c r="P232">
        <v>41</v>
      </c>
      <c r="Q232">
        <v>20.3</v>
      </c>
      <c r="R232">
        <v>1672</v>
      </c>
      <c r="S232">
        <v>2138</v>
      </c>
      <c r="T232" s="1">
        <v>45496</v>
      </c>
      <c r="U232" s="1">
        <v>45534</v>
      </c>
      <c r="V232">
        <v>124700</v>
      </c>
      <c r="W232">
        <v>0.94112399599999996</v>
      </c>
      <c r="X232" s="4">
        <v>0.99444444444444402</v>
      </c>
      <c r="Y232" s="4">
        <f t="shared" si="3"/>
        <v>2149.9441340782132</v>
      </c>
      <c r="AA232">
        <v>0.91020546499999999</v>
      </c>
      <c r="AB232">
        <v>2348.9201979999998</v>
      </c>
      <c r="AC232" cm="1">
        <f t="array" ref="AC232">_xlfn.IFS(W232&lt;0.6,S232,W232&gt;0.85,S232,W232,Y232)</f>
        <v>2138</v>
      </c>
      <c r="AH232">
        <v>0</v>
      </c>
      <c r="AI232">
        <v>220</v>
      </c>
    </row>
    <row r="233" spans="1:35" x14ac:dyDescent="0.25">
      <c r="A233" t="s">
        <v>51</v>
      </c>
      <c r="B233" t="s">
        <v>298</v>
      </c>
      <c r="C233">
        <v>3</v>
      </c>
      <c r="E233" t="s">
        <v>53</v>
      </c>
      <c r="F233">
        <v>231</v>
      </c>
      <c r="H233" t="s">
        <v>54</v>
      </c>
      <c r="I233">
        <v>100000</v>
      </c>
      <c r="J233" t="s">
        <v>110</v>
      </c>
      <c r="K233">
        <v>69</v>
      </c>
      <c r="L233">
        <v>1016</v>
      </c>
      <c r="M233">
        <v>10016</v>
      </c>
      <c r="N233">
        <v>10</v>
      </c>
      <c r="O233">
        <v>16</v>
      </c>
      <c r="P233">
        <v>69</v>
      </c>
      <c r="Q233">
        <v>19.2</v>
      </c>
      <c r="R233">
        <v>398</v>
      </c>
      <c r="S233">
        <v>516</v>
      </c>
      <c r="T233" s="1">
        <v>45489</v>
      </c>
      <c r="U233" s="1">
        <v>45525</v>
      </c>
      <c r="V233">
        <v>147552</v>
      </c>
      <c r="W233">
        <v>0.97072406899999997</v>
      </c>
      <c r="X233" s="4">
        <v>0.99784207686943205</v>
      </c>
      <c r="Y233" s="4">
        <f t="shared" si="3"/>
        <v>517.11589635392647</v>
      </c>
      <c r="AA233">
        <v>0.98536203499999997</v>
      </c>
      <c r="AB233">
        <v>523.66539599999999</v>
      </c>
      <c r="AC233" cm="1">
        <f t="array" ref="AC233">_xlfn.IFS(W233&lt;0.6,S233,W233&gt;0.85,S233,W233,Y233)</f>
        <v>516</v>
      </c>
      <c r="AH233">
        <v>0</v>
      </c>
      <c r="AI233">
        <v>231</v>
      </c>
    </row>
    <row r="234" spans="1:35" x14ac:dyDescent="0.25">
      <c r="A234" t="s">
        <v>51</v>
      </c>
      <c r="B234" t="s">
        <v>299</v>
      </c>
      <c r="C234">
        <v>3</v>
      </c>
      <c r="E234" t="s">
        <v>53</v>
      </c>
      <c r="F234">
        <v>250</v>
      </c>
      <c r="H234" t="s">
        <v>54</v>
      </c>
      <c r="I234">
        <v>150000</v>
      </c>
      <c r="J234" t="s">
        <v>71</v>
      </c>
      <c r="K234">
        <v>86</v>
      </c>
      <c r="L234">
        <v>1017</v>
      </c>
      <c r="M234">
        <v>10017</v>
      </c>
      <c r="N234">
        <v>10</v>
      </c>
      <c r="O234">
        <v>17</v>
      </c>
      <c r="P234">
        <v>65</v>
      </c>
      <c r="Q234">
        <v>20.5</v>
      </c>
      <c r="R234">
        <v>775</v>
      </c>
      <c r="S234">
        <v>989</v>
      </c>
      <c r="T234" s="1">
        <v>45491</v>
      </c>
      <c r="U234" s="1">
        <v>45530</v>
      </c>
      <c r="V234">
        <v>142072</v>
      </c>
      <c r="W234">
        <v>0.93468421099999999</v>
      </c>
      <c r="X234" s="4">
        <v>0.99106590702753905</v>
      </c>
      <c r="Y234" s="4">
        <f t="shared" si="3"/>
        <v>997.91546958391973</v>
      </c>
      <c r="AA234">
        <v>0.96734210600000003</v>
      </c>
      <c r="AB234">
        <v>1022.389075</v>
      </c>
      <c r="AC234" cm="1">
        <f t="array" ref="AC234">_xlfn.IFS(W234&lt;0.6,S234,W234&gt;0.85,S234,W234,Y234)</f>
        <v>989</v>
      </c>
      <c r="AH234">
        <v>0</v>
      </c>
      <c r="AI234">
        <v>250</v>
      </c>
    </row>
    <row r="235" spans="1:35" x14ac:dyDescent="0.25">
      <c r="A235" t="s">
        <v>51</v>
      </c>
      <c r="B235" t="s">
        <v>300</v>
      </c>
      <c r="C235">
        <v>3</v>
      </c>
      <c r="E235" t="s">
        <v>53</v>
      </c>
      <c r="F235">
        <v>261</v>
      </c>
      <c r="H235" t="s">
        <v>54</v>
      </c>
      <c r="I235">
        <v>75000</v>
      </c>
      <c r="J235" t="s">
        <v>71</v>
      </c>
      <c r="K235">
        <v>56</v>
      </c>
      <c r="L235">
        <v>1018</v>
      </c>
      <c r="M235">
        <v>10018</v>
      </c>
      <c r="N235">
        <v>10</v>
      </c>
      <c r="O235">
        <v>18</v>
      </c>
      <c r="P235">
        <v>70</v>
      </c>
      <c r="Q235">
        <v>19.7</v>
      </c>
      <c r="R235">
        <v>614</v>
      </c>
      <c r="S235">
        <v>791</v>
      </c>
      <c r="T235" s="1">
        <v>45492</v>
      </c>
      <c r="U235" s="1">
        <v>45534</v>
      </c>
      <c r="V235">
        <v>137680</v>
      </c>
      <c r="W235">
        <v>0.90578351499999998</v>
      </c>
      <c r="X235" s="4">
        <v>0.93989552769042495</v>
      </c>
      <c r="Y235" s="4">
        <f t="shared" si="3"/>
        <v>841.5828958604568</v>
      </c>
      <c r="AA235">
        <v>0.95289175800000003</v>
      </c>
      <c r="AB235">
        <v>830.10477709999998</v>
      </c>
      <c r="AC235" cm="1">
        <f t="array" ref="AC235">_xlfn.IFS(W235&lt;0.6,S235,W235&gt;0.85,S235,W235,Y235)</f>
        <v>791</v>
      </c>
      <c r="AH235">
        <v>0</v>
      </c>
      <c r="AI235">
        <v>261</v>
      </c>
    </row>
    <row r="236" spans="1:35" x14ac:dyDescent="0.25">
      <c r="A236" t="s">
        <v>51</v>
      </c>
      <c r="B236" t="s">
        <v>301</v>
      </c>
      <c r="C236">
        <v>4</v>
      </c>
      <c r="E236" t="s">
        <v>53</v>
      </c>
      <c r="F236">
        <v>280</v>
      </c>
      <c r="H236" t="s">
        <v>61</v>
      </c>
      <c r="I236">
        <v>75000</v>
      </c>
      <c r="J236" t="s">
        <v>85</v>
      </c>
      <c r="K236">
        <v>13</v>
      </c>
      <c r="L236">
        <v>1019</v>
      </c>
      <c r="M236">
        <v>10019</v>
      </c>
      <c r="N236">
        <v>10</v>
      </c>
      <c r="O236">
        <v>19</v>
      </c>
      <c r="P236">
        <v>29</v>
      </c>
      <c r="Q236">
        <v>18.899999999999999</v>
      </c>
      <c r="R236">
        <v>1261</v>
      </c>
      <c r="S236">
        <v>1641</v>
      </c>
      <c r="T236" s="1">
        <v>45499</v>
      </c>
      <c r="U236" s="1">
        <v>45534</v>
      </c>
      <c r="V236">
        <v>110099</v>
      </c>
      <c r="W236">
        <v>0.67975022299999999</v>
      </c>
      <c r="X236" s="4">
        <v>0.77922077922077904</v>
      </c>
      <c r="Y236" s="4">
        <f t="shared" si="3"/>
        <v>2105.9500000000003</v>
      </c>
      <c r="AA236">
        <v>0.86217252899999997</v>
      </c>
      <c r="AB236">
        <v>1903.3313470000001</v>
      </c>
      <c r="AC236" cm="1">
        <f t="array" ref="AC236">_xlfn.IFS(W236&lt;0.6,S236,W236&gt;0.85,S236,W236,Y236)</f>
        <v>2105.9500000000003</v>
      </c>
      <c r="AH236">
        <v>0</v>
      </c>
      <c r="AI236">
        <v>280</v>
      </c>
    </row>
    <row r="237" spans="1:35" x14ac:dyDescent="0.25">
      <c r="A237" t="s">
        <v>51</v>
      </c>
      <c r="B237" t="s">
        <v>302</v>
      </c>
      <c r="C237">
        <v>4</v>
      </c>
      <c r="E237" t="s">
        <v>53</v>
      </c>
      <c r="F237">
        <v>291</v>
      </c>
      <c r="H237" t="s">
        <v>61</v>
      </c>
      <c r="I237">
        <v>100000</v>
      </c>
      <c r="J237" t="s">
        <v>65</v>
      </c>
      <c r="K237">
        <v>18</v>
      </c>
      <c r="L237">
        <v>1020</v>
      </c>
      <c r="M237">
        <v>10020</v>
      </c>
      <c r="N237">
        <v>10</v>
      </c>
      <c r="O237">
        <v>20</v>
      </c>
      <c r="P237">
        <v>44</v>
      </c>
      <c r="Q237">
        <v>19.5</v>
      </c>
      <c r="R237">
        <v>1870</v>
      </c>
      <c r="S237">
        <v>2416</v>
      </c>
      <c r="T237" s="1">
        <v>45497</v>
      </c>
      <c r="U237" s="1">
        <v>45534</v>
      </c>
      <c r="V237">
        <v>107395</v>
      </c>
      <c r="W237">
        <v>0.83586083899999997</v>
      </c>
      <c r="X237" s="4">
        <v>0.937037037037037</v>
      </c>
      <c r="Y237" s="4">
        <f t="shared" si="3"/>
        <v>2578.3399209486165</v>
      </c>
      <c r="AA237">
        <v>0.85327070199999999</v>
      </c>
      <c r="AB237">
        <v>2831.4578179999999</v>
      </c>
      <c r="AC237" cm="1">
        <f t="array" ref="AC237">_xlfn.IFS(W237&lt;0.6,S237,W237&gt;0.85,S237,W237,Y237)</f>
        <v>2578.3399209486165</v>
      </c>
      <c r="AH237">
        <v>0</v>
      </c>
      <c r="AI237">
        <v>291</v>
      </c>
    </row>
    <row r="238" spans="1:35" x14ac:dyDescent="0.25">
      <c r="A238" t="s">
        <v>51</v>
      </c>
      <c r="B238" t="s">
        <v>303</v>
      </c>
      <c r="C238">
        <v>4</v>
      </c>
      <c r="E238" t="s">
        <v>53</v>
      </c>
      <c r="F238">
        <v>310</v>
      </c>
      <c r="H238" t="s">
        <v>61</v>
      </c>
      <c r="I238">
        <v>150000</v>
      </c>
      <c r="J238" t="s">
        <v>85</v>
      </c>
      <c r="K238">
        <v>43</v>
      </c>
      <c r="L238">
        <v>1021</v>
      </c>
      <c r="M238">
        <v>10021</v>
      </c>
      <c r="N238">
        <v>10</v>
      </c>
      <c r="O238">
        <v>21</v>
      </c>
      <c r="P238">
        <v>25</v>
      </c>
      <c r="Q238">
        <v>18.2</v>
      </c>
      <c r="R238">
        <v>1903</v>
      </c>
      <c r="S238">
        <v>2498</v>
      </c>
      <c r="T238" s="1">
        <v>45496</v>
      </c>
      <c r="U238" s="1">
        <v>45534</v>
      </c>
      <c r="V238">
        <v>124069</v>
      </c>
      <c r="W238">
        <v>0.93744414700000001</v>
      </c>
      <c r="X238" s="4">
        <v>0.98698884758364303</v>
      </c>
      <c r="Y238" s="4">
        <f t="shared" si="3"/>
        <v>2530.9303201506596</v>
      </c>
      <c r="AA238">
        <v>0.90811902600000005</v>
      </c>
      <c r="AB238">
        <v>2750.7407400000002</v>
      </c>
      <c r="AC238" cm="1">
        <f t="array" ref="AC238">_xlfn.IFS(W238&lt;0.6,S238,W238&gt;0.85,S238,W238,Y238)</f>
        <v>2498</v>
      </c>
      <c r="AH238">
        <v>0</v>
      </c>
      <c r="AI238">
        <v>310</v>
      </c>
    </row>
    <row r="239" spans="1:35" x14ac:dyDescent="0.25">
      <c r="A239" t="s">
        <v>51</v>
      </c>
      <c r="B239" t="s">
        <v>304</v>
      </c>
      <c r="C239">
        <v>4</v>
      </c>
      <c r="E239" t="s">
        <v>53</v>
      </c>
      <c r="F239">
        <v>321</v>
      </c>
      <c r="H239" t="s">
        <v>54</v>
      </c>
      <c r="I239">
        <v>150000</v>
      </c>
      <c r="J239" t="s">
        <v>55</v>
      </c>
      <c r="K239">
        <v>83</v>
      </c>
      <c r="L239">
        <v>1022</v>
      </c>
      <c r="M239">
        <v>10022</v>
      </c>
      <c r="N239">
        <v>10</v>
      </c>
      <c r="O239">
        <v>22</v>
      </c>
      <c r="P239">
        <v>27</v>
      </c>
      <c r="Q239">
        <v>18.899999999999999</v>
      </c>
      <c r="R239">
        <v>1809</v>
      </c>
      <c r="S239">
        <v>2354</v>
      </c>
      <c r="T239" s="1">
        <v>45496</v>
      </c>
      <c r="U239" s="1">
        <v>45533</v>
      </c>
      <c r="V239">
        <v>144339</v>
      </c>
      <c r="W239">
        <v>0.94959868400000003</v>
      </c>
      <c r="X239" s="4">
        <v>0.998578984763559</v>
      </c>
      <c r="Y239" s="4">
        <f t="shared" si="3"/>
        <v>2357.3498300260885</v>
      </c>
      <c r="AA239">
        <v>0.97479934199999996</v>
      </c>
      <c r="AB239">
        <v>2414.855959</v>
      </c>
      <c r="AC239" cm="1">
        <f t="array" ref="AC239">_xlfn.IFS(W239&lt;0.6,S239,W239&gt;0.85,S239,W239,Y239)</f>
        <v>2354</v>
      </c>
      <c r="AH239">
        <v>0</v>
      </c>
      <c r="AI239">
        <v>321</v>
      </c>
    </row>
    <row r="240" spans="1:35" x14ac:dyDescent="0.25">
      <c r="A240" t="s">
        <v>51</v>
      </c>
      <c r="B240" s="2" t="s">
        <v>305</v>
      </c>
      <c r="C240">
        <v>4</v>
      </c>
      <c r="E240" t="s">
        <v>53</v>
      </c>
      <c r="F240">
        <v>340</v>
      </c>
      <c r="H240" t="s">
        <v>54</v>
      </c>
      <c r="I240">
        <v>100000</v>
      </c>
      <c r="J240" t="s">
        <v>59</v>
      </c>
      <c r="K240">
        <v>70</v>
      </c>
      <c r="L240">
        <v>1023</v>
      </c>
      <c r="M240">
        <v>10023</v>
      </c>
      <c r="N240">
        <v>10</v>
      </c>
      <c r="O240">
        <v>23</v>
      </c>
      <c r="P240">
        <v>66</v>
      </c>
      <c r="Q240">
        <v>19.399999999999999</v>
      </c>
      <c r="R240">
        <v>411</v>
      </c>
      <c r="S240">
        <v>532</v>
      </c>
      <c r="T240" s="1">
        <v>45491</v>
      </c>
      <c r="U240" s="1">
        <v>45528</v>
      </c>
      <c r="V240">
        <v>151459</v>
      </c>
      <c r="W240">
        <v>0.99645390099999998</v>
      </c>
      <c r="X240" s="4">
        <v>0.99981578947368399</v>
      </c>
      <c r="Y240" s="4">
        <f t="shared" si="3"/>
        <v>532.09801805595782</v>
      </c>
      <c r="AA240">
        <v>0.99822695100000003</v>
      </c>
      <c r="AB240">
        <v>532.94493780000005</v>
      </c>
      <c r="AC240" cm="1">
        <f t="array" ref="AC240">_xlfn.IFS(W240&lt;0.6,S240,W240&gt;0.85,S240,W240,Y240)</f>
        <v>532</v>
      </c>
      <c r="AH240">
        <v>0</v>
      </c>
      <c r="AI240">
        <v>340</v>
      </c>
    </row>
    <row r="241" spans="1:35" x14ac:dyDescent="0.25">
      <c r="A241" t="s">
        <v>51</v>
      </c>
      <c r="B241" t="s">
        <v>306</v>
      </c>
      <c r="C241">
        <v>4</v>
      </c>
      <c r="E241" t="s">
        <v>53</v>
      </c>
      <c r="F241">
        <v>351</v>
      </c>
      <c r="H241" t="s">
        <v>54</v>
      </c>
      <c r="I241">
        <v>75000</v>
      </c>
      <c r="J241" t="s">
        <v>95</v>
      </c>
      <c r="K241">
        <v>52</v>
      </c>
      <c r="L241">
        <v>1024</v>
      </c>
      <c r="M241">
        <v>10024</v>
      </c>
      <c r="N241">
        <v>10</v>
      </c>
      <c r="O241">
        <v>24</v>
      </c>
      <c r="P241">
        <v>55</v>
      </c>
      <c r="Q241">
        <v>23</v>
      </c>
      <c r="R241">
        <v>1094</v>
      </c>
      <c r="S241">
        <v>1352</v>
      </c>
      <c r="T241" s="1">
        <v>45497</v>
      </c>
      <c r="U241" s="1">
        <v>45537</v>
      </c>
      <c r="V241">
        <v>116836</v>
      </c>
      <c r="W241">
        <v>0.76864778099999997</v>
      </c>
      <c r="X241" s="4">
        <v>0.80666596489381304</v>
      </c>
      <c r="Y241" s="4">
        <f t="shared" si="3"/>
        <v>1676.0345159448657</v>
      </c>
      <c r="AA241">
        <v>0.88432389099999997</v>
      </c>
      <c r="AB241">
        <v>1528.8516059999999</v>
      </c>
      <c r="AC241" cm="1">
        <f t="array" ref="AC241">_xlfn.IFS(W241&lt;0.6,S241,W241&gt;0.85,S241,W241,Y241)</f>
        <v>1676.0345159448657</v>
      </c>
      <c r="AH241">
        <v>0</v>
      </c>
      <c r="AI241">
        <v>351</v>
      </c>
    </row>
    <row r="242" spans="1:35" x14ac:dyDescent="0.25">
      <c r="A242" t="s">
        <v>51</v>
      </c>
      <c r="B242" t="s">
        <v>307</v>
      </c>
      <c r="C242">
        <v>1</v>
      </c>
      <c r="E242" t="s">
        <v>53</v>
      </c>
      <c r="F242">
        <v>11</v>
      </c>
      <c r="H242" t="s">
        <v>54</v>
      </c>
      <c r="I242">
        <v>100000</v>
      </c>
      <c r="J242" t="s">
        <v>85</v>
      </c>
      <c r="K242">
        <v>73</v>
      </c>
      <c r="L242">
        <v>1101</v>
      </c>
      <c r="M242">
        <v>11001</v>
      </c>
      <c r="N242">
        <v>11</v>
      </c>
      <c r="O242">
        <v>1</v>
      </c>
      <c r="P242">
        <v>26</v>
      </c>
      <c r="Q242">
        <v>21.3</v>
      </c>
      <c r="R242">
        <v>1675</v>
      </c>
      <c r="S242">
        <v>2115</v>
      </c>
      <c r="T242" s="1">
        <v>45499</v>
      </c>
      <c r="U242" s="1">
        <v>45534</v>
      </c>
      <c r="V242">
        <v>149211</v>
      </c>
      <c r="W242">
        <v>0.981651316</v>
      </c>
      <c r="X242" s="4">
        <v>0.98797336772020306</v>
      </c>
      <c r="Y242" s="4">
        <f t="shared" si="3"/>
        <v>2140.7459645197382</v>
      </c>
      <c r="AA242">
        <v>0.990825658</v>
      </c>
      <c r="AB242">
        <v>2134.5833980000002</v>
      </c>
      <c r="AC242" cm="1">
        <f t="array" ref="AC242">_xlfn.IFS(W242&lt;0.6,S242,W242&gt;0.85,S242,W242,Y242)</f>
        <v>2115</v>
      </c>
      <c r="AH242">
        <v>0</v>
      </c>
      <c r="AI242">
        <v>11</v>
      </c>
    </row>
    <row r="243" spans="1:35" x14ac:dyDescent="0.25">
      <c r="A243" t="s">
        <v>51</v>
      </c>
      <c r="B243" t="s">
        <v>308</v>
      </c>
      <c r="C243">
        <v>1</v>
      </c>
      <c r="E243" t="s">
        <v>53</v>
      </c>
      <c r="F243">
        <v>20</v>
      </c>
      <c r="H243" t="s">
        <v>54</v>
      </c>
      <c r="I243">
        <v>150000</v>
      </c>
      <c r="J243" t="s">
        <v>77</v>
      </c>
      <c r="K243">
        <v>79</v>
      </c>
      <c r="L243">
        <v>1102</v>
      </c>
      <c r="M243">
        <v>11002</v>
      </c>
      <c r="N243">
        <v>11</v>
      </c>
      <c r="O243">
        <v>2</v>
      </c>
      <c r="P243">
        <v>70</v>
      </c>
      <c r="Q243">
        <v>23</v>
      </c>
      <c r="R243">
        <v>963</v>
      </c>
      <c r="S243">
        <v>1190</v>
      </c>
      <c r="T243" s="1">
        <v>45498</v>
      </c>
      <c r="U243" s="1">
        <v>45538</v>
      </c>
      <c r="V243">
        <v>149803</v>
      </c>
      <c r="W243">
        <v>0.98554605299999998</v>
      </c>
      <c r="X243" s="4">
        <v>0.99921051592784105</v>
      </c>
      <c r="Y243" s="4">
        <f t="shared" si="3"/>
        <v>1190.9402283411687</v>
      </c>
      <c r="AA243">
        <v>0.99277302700000003</v>
      </c>
      <c r="AB243">
        <v>1198.6627040000001</v>
      </c>
      <c r="AC243" cm="1">
        <f t="array" ref="AC243">_xlfn.IFS(W243&lt;0.6,S243,W243&gt;0.85,S243,W243,Y243)</f>
        <v>1190</v>
      </c>
      <c r="AH243">
        <v>0</v>
      </c>
      <c r="AI243">
        <v>20</v>
      </c>
    </row>
    <row r="244" spans="1:35" x14ac:dyDescent="0.25">
      <c r="A244" t="s">
        <v>51</v>
      </c>
      <c r="B244" t="s">
        <v>309</v>
      </c>
      <c r="C244">
        <v>1</v>
      </c>
      <c r="E244" t="s">
        <v>53</v>
      </c>
      <c r="F244">
        <v>41</v>
      </c>
      <c r="H244" t="s">
        <v>54</v>
      </c>
      <c r="I244">
        <v>75000</v>
      </c>
      <c r="J244" t="s">
        <v>82</v>
      </c>
      <c r="K244">
        <v>50</v>
      </c>
      <c r="L244">
        <v>1103</v>
      </c>
      <c r="M244">
        <v>11003</v>
      </c>
      <c r="N244">
        <v>11</v>
      </c>
      <c r="O244">
        <v>3</v>
      </c>
      <c r="P244">
        <v>25</v>
      </c>
      <c r="Q244">
        <v>20.3</v>
      </c>
      <c r="R244">
        <v>1476</v>
      </c>
      <c r="S244">
        <v>1888</v>
      </c>
      <c r="T244" s="1">
        <v>45495</v>
      </c>
      <c r="U244" s="1">
        <v>45532</v>
      </c>
      <c r="V244">
        <v>111814</v>
      </c>
      <c r="W244">
        <v>0.73562810000000001</v>
      </c>
      <c r="X244" s="4">
        <v>0.59379728680640498</v>
      </c>
      <c r="Y244" s="4">
        <f t="shared" si="3"/>
        <v>3179.5362524375132</v>
      </c>
      <c r="AA244">
        <v>0.86781405</v>
      </c>
      <c r="AB244">
        <v>2175.5812780000001</v>
      </c>
      <c r="AC244" cm="1">
        <f t="array" ref="AC244">_xlfn.IFS(W244&lt;0.6,S244,W244&gt;0.85,S244,W244,Y244)</f>
        <v>3179.5362524375132</v>
      </c>
      <c r="AH244">
        <v>0</v>
      </c>
      <c r="AI244">
        <v>41</v>
      </c>
    </row>
    <row r="245" spans="1:35" x14ac:dyDescent="0.25">
      <c r="A245" t="s">
        <v>51</v>
      </c>
      <c r="B245" t="s">
        <v>310</v>
      </c>
      <c r="C245">
        <v>1</v>
      </c>
      <c r="E245" t="s">
        <v>53</v>
      </c>
      <c r="F245">
        <v>50</v>
      </c>
      <c r="H245" t="s">
        <v>61</v>
      </c>
      <c r="I245">
        <v>150000</v>
      </c>
      <c r="J245" t="s">
        <v>97</v>
      </c>
      <c r="K245">
        <v>44</v>
      </c>
      <c r="L245">
        <v>1104</v>
      </c>
      <c r="M245">
        <v>11004</v>
      </c>
      <c r="N245">
        <v>11</v>
      </c>
      <c r="O245">
        <v>4</v>
      </c>
      <c r="P245">
        <v>42</v>
      </c>
      <c r="Q245">
        <v>20.100000000000001</v>
      </c>
      <c r="R245">
        <v>1532</v>
      </c>
      <c r="S245">
        <v>1964</v>
      </c>
      <c r="T245" s="1">
        <v>45493</v>
      </c>
      <c r="U245" s="1">
        <v>45528</v>
      </c>
      <c r="V245">
        <v>124995</v>
      </c>
      <c r="W245">
        <v>0.95008912700000003</v>
      </c>
      <c r="X245" s="4">
        <v>0.98144712430426695</v>
      </c>
      <c r="Y245" s="4">
        <f t="shared" si="3"/>
        <v>2001.1266540642725</v>
      </c>
      <c r="AA245">
        <v>0.91116235300000004</v>
      </c>
      <c r="AB245">
        <v>2155.4885290000002</v>
      </c>
      <c r="AC245" cm="1">
        <f t="array" ref="AC245">_xlfn.IFS(W245&lt;0.6,S245,W245&gt;0.85,S245,W245,Y245)</f>
        <v>1964</v>
      </c>
      <c r="AH245">
        <v>0</v>
      </c>
      <c r="AI245">
        <v>50</v>
      </c>
    </row>
    <row r="246" spans="1:35" x14ac:dyDescent="0.25">
      <c r="A246" t="s">
        <v>51</v>
      </c>
      <c r="B246" t="s">
        <v>311</v>
      </c>
      <c r="C246">
        <v>1</v>
      </c>
      <c r="E246" t="s">
        <v>53</v>
      </c>
      <c r="F246">
        <v>71</v>
      </c>
      <c r="H246" t="s">
        <v>61</v>
      </c>
      <c r="I246">
        <v>75000</v>
      </c>
      <c r="J246" t="s">
        <v>73</v>
      </c>
      <c r="K246">
        <v>12</v>
      </c>
      <c r="L246">
        <v>1105</v>
      </c>
      <c r="M246">
        <v>11005</v>
      </c>
      <c r="N246">
        <v>11</v>
      </c>
      <c r="O246">
        <v>5</v>
      </c>
      <c r="P246">
        <v>73</v>
      </c>
      <c r="Q246">
        <v>21</v>
      </c>
      <c r="R246">
        <v>768</v>
      </c>
      <c r="S246">
        <v>974</v>
      </c>
      <c r="T246" s="1">
        <v>45494</v>
      </c>
      <c r="U246" s="1">
        <v>45536</v>
      </c>
      <c r="V246">
        <v>121596</v>
      </c>
      <c r="W246">
        <v>0.920464701</v>
      </c>
      <c r="X246" s="4">
        <v>0.93542435424354198</v>
      </c>
      <c r="Y246" s="4">
        <f t="shared" si="3"/>
        <v>1041.2386587771209</v>
      </c>
      <c r="AA246">
        <v>0.89998421100000003</v>
      </c>
      <c r="AB246">
        <v>1082.241209</v>
      </c>
      <c r="AC246" cm="1">
        <f t="array" ref="AC246">_xlfn.IFS(W246&lt;0.6,S246,W246&gt;0.85,S246,W246,Y246)</f>
        <v>974</v>
      </c>
      <c r="AH246">
        <v>0</v>
      </c>
      <c r="AI246">
        <v>71</v>
      </c>
    </row>
    <row r="247" spans="1:35" x14ac:dyDescent="0.25">
      <c r="A247" t="s">
        <v>51</v>
      </c>
      <c r="B247" t="s">
        <v>312</v>
      </c>
      <c r="C247">
        <v>1</v>
      </c>
      <c r="E247" t="s">
        <v>53</v>
      </c>
      <c r="F247">
        <v>80</v>
      </c>
      <c r="H247" t="s">
        <v>61</v>
      </c>
      <c r="I247">
        <v>100000</v>
      </c>
      <c r="J247" t="s">
        <v>71</v>
      </c>
      <c r="K247">
        <v>26</v>
      </c>
      <c r="L247">
        <v>1106</v>
      </c>
      <c r="M247">
        <v>11006</v>
      </c>
      <c r="N247">
        <v>11</v>
      </c>
      <c r="O247">
        <v>6</v>
      </c>
      <c r="P247">
        <v>51</v>
      </c>
      <c r="Q247">
        <v>19.2</v>
      </c>
      <c r="R247">
        <v>832</v>
      </c>
      <c r="S247">
        <v>1079</v>
      </c>
      <c r="T247" s="1">
        <v>45494</v>
      </c>
      <c r="U247" s="1">
        <v>45526</v>
      </c>
      <c r="V247">
        <v>124411</v>
      </c>
      <c r="W247">
        <v>0.99196428599999997</v>
      </c>
      <c r="X247" s="4">
        <v>0.968518518518519</v>
      </c>
      <c r="Y247" s="4">
        <f t="shared" si="3"/>
        <v>1114.0726577437854</v>
      </c>
      <c r="AA247">
        <v>0.90925478800000004</v>
      </c>
      <c r="AB247">
        <v>1186.6860799999999</v>
      </c>
      <c r="AC247" cm="1">
        <f t="array" ref="AC247">_xlfn.IFS(W247&lt;0.6,S247,W247&gt;0.85,S247,W247,Y247)</f>
        <v>1079</v>
      </c>
      <c r="AH247">
        <v>0</v>
      </c>
      <c r="AI247">
        <v>80</v>
      </c>
    </row>
    <row r="248" spans="1:35" x14ac:dyDescent="0.25">
      <c r="A248" t="s">
        <v>51</v>
      </c>
      <c r="B248">
        <v>1485745121</v>
      </c>
      <c r="C248">
        <v>2</v>
      </c>
      <c r="E248" t="s">
        <v>53</v>
      </c>
      <c r="F248">
        <v>101</v>
      </c>
      <c r="H248" t="s">
        <v>61</v>
      </c>
      <c r="I248">
        <v>75000</v>
      </c>
      <c r="J248" t="s">
        <v>82</v>
      </c>
      <c r="K248">
        <v>5</v>
      </c>
      <c r="L248">
        <v>1107</v>
      </c>
      <c r="M248">
        <v>11007</v>
      </c>
      <c r="N248">
        <v>11</v>
      </c>
      <c r="O248">
        <v>7</v>
      </c>
      <c r="S248" t="s">
        <v>431</v>
      </c>
      <c r="T248" s="1">
        <v>45496</v>
      </c>
      <c r="U248" s="1">
        <v>45532</v>
      </c>
      <c r="V248">
        <v>111606</v>
      </c>
      <c r="W248">
        <v>0.84780662500000004</v>
      </c>
      <c r="X248" s="4">
        <v>0.97031539888682705</v>
      </c>
      <c r="Y248" s="4" t="s">
        <v>431</v>
      </c>
      <c r="AH248">
        <v>0</v>
      </c>
      <c r="AI248">
        <v>101</v>
      </c>
    </row>
    <row r="249" spans="1:35" x14ac:dyDescent="0.25">
      <c r="A249" t="s">
        <v>51</v>
      </c>
      <c r="B249" t="s">
        <v>313</v>
      </c>
      <c r="C249">
        <v>2</v>
      </c>
      <c r="E249" t="s">
        <v>53</v>
      </c>
      <c r="F249">
        <v>110</v>
      </c>
      <c r="H249" t="s">
        <v>61</v>
      </c>
      <c r="I249">
        <v>150000</v>
      </c>
      <c r="J249" t="s">
        <v>80</v>
      </c>
      <c r="K249">
        <v>31</v>
      </c>
      <c r="L249">
        <v>1108</v>
      </c>
      <c r="M249">
        <v>11008</v>
      </c>
      <c r="N249">
        <v>11</v>
      </c>
      <c r="O249">
        <v>8</v>
      </c>
      <c r="P249">
        <v>29</v>
      </c>
      <c r="Q249">
        <v>22</v>
      </c>
      <c r="R249">
        <v>1489</v>
      </c>
      <c r="S249">
        <v>1864</v>
      </c>
      <c r="T249" s="1">
        <v>45492</v>
      </c>
      <c r="U249" s="1">
        <v>45534</v>
      </c>
      <c r="V249">
        <v>105965</v>
      </c>
      <c r="W249">
        <v>0.82531194299999999</v>
      </c>
      <c r="X249" s="4">
        <v>0.96857670979667299</v>
      </c>
      <c r="Y249" s="4">
        <f t="shared" si="3"/>
        <v>1924.4732824427479</v>
      </c>
      <c r="AA249">
        <v>0.848569079</v>
      </c>
      <c r="AB249">
        <v>2196.639079</v>
      </c>
      <c r="AC249" cm="1">
        <f t="array" ref="AC249">_xlfn.IFS(W249&lt;0.6,S249,W249&gt;0.85,S249,W249,Y249)</f>
        <v>1924.4732824427479</v>
      </c>
      <c r="AH249">
        <v>0</v>
      </c>
      <c r="AI249">
        <v>110</v>
      </c>
    </row>
    <row r="250" spans="1:35" x14ac:dyDescent="0.25">
      <c r="A250" t="s">
        <v>51</v>
      </c>
      <c r="B250" t="s">
        <v>314</v>
      </c>
      <c r="C250">
        <v>2</v>
      </c>
      <c r="E250" t="s">
        <v>53</v>
      </c>
      <c r="F250">
        <v>131</v>
      </c>
      <c r="H250" t="s">
        <v>61</v>
      </c>
      <c r="I250">
        <v>100000</v>
      </c>
      <c r="J250" t="s">
        <v>85</v>
      </c>
      <c r="K250">
        <v>28</v>
      </c>
      <c r="L250">
        <v>1109</v>
      </c>
      <c r="M250">
        <v>11009</v>
      </c>
      <c r="N250">
        <v>11</v>
      </c>
      <c r="O250">
        <v>9</v>
      </c>
      <c r="P250">
        <v>26</v>
      </c>
      <c r="Q250">
        <v>18.7</v>
      </c>
      <c r="R250">
        <v>1194</v>
      </c>
      <c r="S250">
        <v>1558</v>
      </c>
      <c r="T250" s="1">
        <v>45494</v>
      </c>
      <c r="U250" s="1">
        <v>45534</v>
      </c>
      <c r="V250">
        <v>121141</v>
      </c>
      <c r="W250">
        <v>0.81964285699999995</v>
      </c>
      <c r="X250" s="4">
        <v>0.81481481481481499</v>
      </c>
      <c r="Y250" s="4">
        <f t="shared" si="3"/>
        <v>1912.0909090909088</v>
      </c>
      <c r="AA250">
        <v>0.89848488900000001</v>
      </c>
      <c r="AB250">
        <v>1734.0302770000001</v>
      </c>
      <c r="AC250" cm="1">
        <f t="array" ref="AC250">_xlfn.IFS(W250&lt;0.6,S250,W250&gt;0.85,S250,W250,Y250)</f>
        <v>1912.0909090909088</v>
      </c>
      <c r="AH250">
        <v>0</v>
      </c>
      <c r="AI250">
        <v>131</v>
      </c>
    </row>
    <row r="251" spans="1:35" x14ac:dyDescent="0.25">
      <c r="A251" t="s">
        <v>51</v>
      </c>
      <c r="B251" t="s">
        <v>315</v>
      </c>
      <c r="C251">
        <v>2</v>
      </c>
      <c r="E251" t="s">
        <v>53</v>
      </c>
      <c r="F251">
        <v>140</v>
      </c>
      <c r="H251" t="s">
        <v>54</v>
      </c>
      <c r="I251">
        <v>100000</v>
      </c>
      <c r="J251" t="s">
        <v>99</v>
      </c>
      <c r="K251">
        <v>75</v>
      </c>
      <c r="L251">
        <v>1110</v>
      </c>
      <c r="M251">
        <v>11010</v>
      </c>
      <c r="N251">
        <v>11</v>
      </c>
      <c r="O251">
        <v>10</v>
      </c>
      <c r="P251">
        <v>25</v>
      </c>
      <c r="Q251">
        <v>18.399999999999999</v>
      </c>
      <c r="R251">
        <v>1570</v>
      </c>
      <c r="S251">
        <v>2056</v>
      </c>
      <c r="T251" s="1">
        <v>45496</v>
      </c>
      <c r="U251" s="1">
        <v>45534</v>
      </c>
      <c r="V251">
        <v>138591</v>
      </c>
      <c r="W251">
        <v>0.91179489199999997</v>
      </c>
      <c r="X251" s="4">
        <v>0.99459203410571195</v>
      </c>
      <c r="Y251" s="4">
        <f t="shared" si="3"/>
        <v>2067.1792347991745</v>
      </c>
      <c r="AA251">
        <v>0.95589744600000004</v>
      </c>
      <c r="AB251">
        <v>2150.858346</v>
      </c>
      <c r="AC251" cm="1">
        <f t="array" ref="AC251">_xlfn.IFS(W251&lt;0.6,S251,W251&gt;0.85,S251,W251,Y251)</f>
        <v>2056</v>
      </c>
      <c r="AH251">
        <v>0</v>
      </c>
      <c r="AI251">
        <v>140</v>
      </c>
    </row>
    <row r="252" spans="1:35" x14ac:dyDescent="0.25">
      <c r="A252" t="s">
        <v>51</v>
      </c>
      <c r="B252" t="s">
        <v>316</v>
      </c>
      <c r="C252">
        <v>2</v>
      </c>
      <c r="E252" t="s">
        <v>53</v>
      </c>
      <c r="F252">
        <v>161</v>
      </c>
      <c r="H252" t="s">
        <v>54</v>
      </c>
      <c r="I252">
        <v>75000</v>
      </c>
      <c r="J252" t="s">
        <v>110</v>
      </c>
      <c r="K252">
        <v>54</v>
      </c>
      <c r="L252">
        <v>1111</v>
      </c>
      <c r="M252">
        <v>11011</v>
      </c>
      <c r="N252">
        <v>11</v>
      </c>
      <c r="O252">
        <v>11</v>
      </c>
      <c r="P252">
        <v>65</v>
      </c>
      <c r="Q252">
        <v>19.5</v>
      </c>
      <c r="R252">
        <v>341</v>
      </c>
      <c r="S252">
        <v>440</v>
      </c>
      <c r="T252" s="1">
        <v>45491</v>
      </c>
      <c r="U252" s="1">
        <v>45525</v>
      </c>
      <c r="V252">
        <v>149108</v>
      </c>
      <c r="W252">
        <v>0.98097368399999996</v>
      </c>
      <c r="X252" s="4">
        <v>0.97773684210526302</v>
      </c>
      <c r="Y252" s="4">
        <f t="shared" si="3"/>
        <v>450.01884050169571</v>
      </c>
      <c r="AA252">
        <v>0.99048684200000003</v>
      </c>
      <c r="AB252">
        <v>444.22599209999998</v>
      </c>
      <c r="AC252" cm="1">
        <f t="array" ref="AC252">_xlfn.IFS(W252&lt;0.6,S252,W252&gt;0.85,S252,W252,Y252)</f>
        <v>440</v>
      </c>
      <c r="AH252">
        <v>0</v>
      </c>
      <c r="AI252">
        <v>161</v>
      </c>
    </row>
    <row r="253" spans="1:35" x14ac:dyDescent="0.25">
      <c r="A253" t="s">
        <v>51</v>
      </c>
      <c r="B253" t="s">
        <v>317</v>
      </c>
      <c r="C253">
        <v>2</v>
      </c>
      <c r="E253" t="s">
        <v>53</v>
      </c>
      <c r="F253">
        <v>170</v>
      </c>
      <c r="H253" t="s">
        <v>54</v>
      </c>
      <c r="I253">
        <v>150000</v>
      </c>
      <c r="J253" t="s">
        <v>57</v>
      </c>
      <c r="K253">
        <v>81</v>
      </c>
      <c r="L253">
        <v>1112</v>
      </c>
      <c r="M253">
        <v>11012</v>
      </c>
      <c r="N253">
        <v>11</v>
      </c>
      <c r="O253">
        <v>12</v>
      </c>
      <c r="P253">
        <v>53</v>
      </c>
      <c r="Q253">
        <v>17.8</v>
      </c>
      <c r="R253">
        <v>815</v>
      </c>
      <c r="S253">
        <v>1075</v>
      </c>
      <c r="T253" s="1">
        <v>45492</v>
      </c>
      <c r="U253" s="1">
        <v>45525</v>
      </c>
      <c r="V253">
        <v>137672</v>
      </c>
      <c r="W253">
        <v>0.90573684200000004</v>
      </c>
      <c r="X253" s="4">
        <v>0.994420905813311</v>
      </c>
      <c r="Y253" s="4">
        <f t="shared" si="3"/>
        <v>1081.0311747426363</v>
      </c>
      <c r="AA253">
        <v>0.95286842100000002</v>
      </c>
      <c r="AB253">
        <v>1128.172554</v>
      </c>
      <c r="AC253" cm="1">
        <f t="array" ref="AC253">_xlfn.IFS(W253&lt;0.6,S253,W253&gt;0.85,S253,W253,Y253)</f>
        <v>1075</v>
      </c>
      <c r="AH253">
        <v>0</v>
      </c>
      <c r="AI253">
        <v>170</v>
      </c>
    </row>
    <row r="254" spans="1:35" x14ac:dyDescent="0.25">
      <c r="A254" t="s">
        <v>51</v>
      </c>
      <c r="B254" t="s">
        <v>318</v>
      </c>
      <c r="C254">
        <v>3</v>
      </c>
      <c r="E254" t="s">
        <v>53</v>
      </c>
      <c r="F254">
        <v>191</v>
      </c>
      <c r="H254" t="s">
        <v>61</v>
      </c>
      <c r="I254">
        <v>150000</v>
      </c>
      <c r="J254" t="s">
        <v>85</v>
      </c>
      <c r="K254">
        <v>43</v>
      </c>
      <c r="L254">
        <v>1113</v>
      </c>
      <c r="M254">
        <v>11013</v>
      </c>
      <c r="N254">
        <v>11</v>
      </c>
      <c r="O254">
        <v>13</v>
      </c>
      <c r="P254">
        <v>26</v>
      </c>
      <c r="Q254">
        <v>20.8</v>
      </c>
      <c r="R254">
        <v>2309</v>
      </c>
      <c r="S254">
        <v>2934</v>
      </c>
      <c r="T254" s="1">
        <v>45499</v>
      </c>
      <c r="U254" s="1">
        <v>45534</v>
      </c>
      <c r="V254">
        <v>121058</v>
      </c>
      <c r="W254">
        <v>0.91316025099999998</v>
      </c>
      <c r="X254" s="4">
        <v>0.94639556377079503</v>
      </c>
      <c r="Y254" s="4">
        <f t="shared" si="3"/>
        <v>3100.1835937499991</v>
      </c>
      <c r="AA254">
        <v>0.89821972500000002</v>
      </c>
      <c r="AB254">
        <v>3266.4613330000002</v>
      </c>
      <c r="AC254" cm="1">
        <f t="array" ref="AC254">_xlfn.IFS(W254&lt;0.6,S254,W254&gt;0.85,S254,W254,Y254)</f>
        <v>2934</v>
      </c>
      <c r="AH254">
        <v>0</v>
      </c>
      <c r="AI254">
        <v>191</v>
      </c>
    </row>
    <row r="255" spans="1:35" x14ac:dyDescent="0.25">
      <c r="A255" t="s">
        <v>51</v>
      </c>
      <c r="B255" t="s">
        <v>319</v>
      </c>
      <c r="C255">
        <v>3</v>
      </c>
      <c r="E255" t="s">
        <v>53</v>
      </c>
      <c r="F255">
        <v>200</v>
      </c>
      <c r="H255" t="s">
        <v>61</v>
      </c>
      <c r="I255">
        <v>75000</v>
      </c>
      <c r="J255" t="s">
        <v>82</v>
      </c>
      <c r="K255">
        <v>5</v>
      </c>
      <c r="L255">
        <v>1114</v>
      </c>
      <c r="M255">
        <v>11014</v>
      </c>
      <c r="N255">
        <v>11</v>
      </c>
      <c r="O255">
        <v>14</v>
      </c>
      <c r="P255">
        <v>25</v>
      </c>
      <c r="Q255">
        <v>20.2</v>
      </c>
      <c r="R255">
        <v>1638</v>
      </c>
      <c r="S255">
        <v>2097</v>
      </c>
      <c r="T255" s="1">
        <v>45497</v>
      </c>
      <c r="U255" s="1">
        <v>45534</v>
      </c>
      <c r="V255">
        <v>116578</v>
      </c>
      <c r="W255">
        <v>0.86058981199999995</v>
      </c>
      <c r="X255" s="4">
        <v>0.91481481481481497</v>
      </c>
      <c r="Y255" s="4">
        <f t="shared" si="3"/>
        <v>2292.2672064777325</v>
      </c>
      <c r="AA255">
        <v>0.88348026300000004</v>
      </c>
      <c r="AB255">
        <v>2373.5674560000002</v>
      </c>
      <c r="AC255" cm="1">
        <f t="array" ref="AC255">_xlfn.IFS(W255&lt;0.6,S255,W255&gt;0.85,S255,W255,Y255)</f>
        <v>2097</v>
      </c>
      <c r="AH255">
        <v>0</v>
      </c>
      <c r="AI255">
        <v>200</v>
      </c>
    </row>
    <row r="256" spans="1:35" x14ac:dyDescent="0.25">
      <c r="A256" t="s">
        <v>51</v>
      </c>
      <c r="B256" t="s">
        <v>320</v>
      </c>
      <c r="C256">
        <v>3</v>
      </c>
      <c r="E256" t="s">
        <v>53</v>
      </c>
      <c r="F256">
        <v>221</v>
      </c>
      <c r="H256" t="s">
        <v>61</v>
      </c>
      <c r="I256">
        <v>100000</v>
      </c>
      <c r="J256" t="s">
        <v>62</v>
      </c>
      <c r="K256">
        <v>17</v>
      </c>
      <c r="L256">
        <v>1115</v>
      </c>
      <c r="M256">
        <v>11015</v>
      </c>
      <c r="N256">
        <v>11</v>
      </c>
      <c r="O256">
        <v>15</v>
      </c>
      <c r="P256">
        <v>26</v>
      </c>
      <c r="Q256">
        <v>20.2</v>
      </c>
      <c r="R256">
        <v>1727</v>
      </c>
      <c r="S256">
        <v>2211</v>
      </c>
      <c r="T256" s="1">
        <v>45497</v>
      </c>
      <c r="U256" s="1">
        <v>45535</v>
      </c>
      <c r="V256">
        <v>125703</v>
      </c>
      <c r="W256">
        <v>0.95900178300000005</v>
      </c>
      <c r="X256" s="4">
        <v>0.95740740740740704</v>
      </c>
      <c r="Y256" s="4">
        <f t="shared" si="3"/>
        <v>2309.3617021276605</v>
      </c>
      <c r="AA256">
        <v>0.91349671099999996</v>
      </c>
      <c r="AB256">
        <v>2420.369964</v>
      </c>
      <c r="AC256" cm="1">
        <f t="array" ref="AC256">_xlfn.IFS(W256&lt;0.6,S256,W256&gt;0.85,S256,W256,Y256)</f>
        <v>2211</v>
      </c>
      <c r="AH256">
        <v>0</v>
      </c>
      <c r="AI256">
        <v>221</v>
      </c>
    </row>
    <row r="257" spans="1:35" x14ac:dyDescent="0.25">
      <c r="A257" t="s">
        <v>51</v>
      </c>
      <c r="B257" t="s">
        <v>321</v>
      </c>
      <c r="C257">
        <v>3</v>
      </c>
      <c r="E257" t="s">
        <v>53</v>
      </c>
      <c r="F257">
        <v>230</v>
      </c>
      <c r="H257" t="s">
        <v>54</v>
      </c>
      <c r="I257">
        <v>100000</v>
      </c>
      <c r="J257" t="s">
        <v>99</v>
      </c>
      <c r="K257">
        <v>75</v>
      </c>
      <c r="L257">
        <v>1116</v>
      </c>
      <c r="M257">
        <v>11016</v>
      </c>
      <c r="N257">
        <v>11</v>
      </c>
      <c r="O257">
        <v>16</v>
      </c>
      <c r="P257">
        <v>29</v>
      </c>
      <c r="Q257">
        <v>20.8</v>
      </c>
      <c r="R257">
        <v>2007</v>
      </c>
      <c r="S257">
        <v>2551</v>
      </c>
      <c r="T257" s="1">
        <v>45499</v>
      </c>
      <c r="U257" s="1">
        <v>45534</v>
      </c>
      <c r="V257">
        <v>135047</v>
      </c>
      <c r="W257">
        <v>0.88846126000000003</v>
      </c>
      <c r="X257" s="4">
        <v>0.99315789473684202</v>
      </c>
      <c r="Y257" s="4">
        <f t="shared" si="3"/>
        <v>2568.5744568097512</v>
      </c>
      <c r="AA257">
        <v>0.94423062999999996</v>
      </c>
      <c r="AB257">
        <v>2701.6704589999999</v>
      </c>
      <c r="AC257" cm="1">
        <f t="array" ref="AC257">_xlfn.IFS(W257&lt;0.6,S257,W257&gt;0.85,S257,W257,Y257)</f>
        <v>2551</v>
      </c>
      <c r="AH257">
        <v>0</v>
      </c>
      <c r="AI257">
        <v>230</v>
      </c>
    </row>
    <row r="258" spans="1:35" x14ac:dyDescent="0.25">
      <c r="A258" t="s">
        <v>51</v>
      </c>
      <c r="B258" t="s">
        <v>322</v>
      </c>
      <c r="C258">
        <v>3</v>
      </c>
      <c r="E258" t="s">
        <v>53</v>
      </c>
      <c r="F258">
        <v>251</v>
      </c>
      <c r="H258" t="s">
        <v>54</v>
      </c>
      <c r="I258">
        <v>150000</v>
      </c>
      <c r="J258" t="s">
        <v>65</v>
      </c>
      <c r="K258">
        <v>78</v>
      </c>
      <c r="L258">
        <v>1117</v>
      </c>
      <c r="M258">
        <v>11017</v>
      </c>
      <c r="N258">
        <v>11</v>
      </c>
      <c r="O258">
        <v>17</v>
      </c>
      <c r="P258">
        <v>41</v>
      </c>
      <c r="Q258">
        <v>19.100000000000001</v>
      </c>
      <c r="R258">
        <v>2508</v>
      </c>
      <c r="S258">
        <v>3256</v>
      </c>
      <c r="T258" s="1">
        <v>45496</v>
      </c>
      <c r="U258" s="1">
        <v>45534</v>
      </c>
      <c r="V258">
        <v>144834</v>
      </c>
      <c r="W258">
        <v>0.95286153200000001</v>
      </c>
      <c r="X258" s="4">
        <v>0.99289464335056998</v>
      </c>
      <c r="Y258" s="4">
        <f t="shared" si="3"/>
        <v>3279.3006003260061</v>
      </c>
      <c r="AA258">
        <v>0.97643076600000001</v>
      </c>
      <c r="AB258">
        <v>3334.5938219999998</v>
      </c>
      <c r="AC258" cm="1">
        <f t="array" ref="AC258">_xlfn.IFS(W258&lt;0.6,S258,W258&gt;0.85,S258,W258,Y258)</f>
        <v>3256</v>
      </c>
      <c r="AH258">
        <v>0</v>
      </c>
      <c r="AI258">
        <v>251</v>
      </c>
    </row>
    <row r="259" spans="1:35" x14ac:dyDescent="0.25">
      <c r="A259" t="s">
        <v>51</v>
      </c>
      <c r="B259" t="s">
        <v>323</v>
      </c>
      <c r="C259">
        <v>3</v>
      </c>
      <c r="E259" t="s">
        <v>53</v>
      </c>
      <c r="F259">
        <v>260</v>
      </c>
      <c r="H259" t="s">
        <v>54</v>
      </c>
      <c r="I259">
        <v>75000</v>
      </c>
      <c r="J259" t="s">
        <v>95</v>
      </c>
      <c r="K259">
        <v>52</v>
      </c>
      <c r="L259">
        <v>1118</v>
      </c>
      <c r="M259">
        <v>11018</v>
      </c>
      <c r="N259">
        <v>11</v>
      </c>
      <c r="O259">
        <v>18</v>
      </c>
      <c r="P259">
        <v>41</v>
      </c>
      <c r="Q259">
        <v>19</v>
      </c>
      <c r="R259">
        <v>1258</v>
      </c>
      <c r="S259">
        <v>1635</v>
      </c>
      <c r="T259" s="1">
        <v>45497</v>
      </c>
      <c r="U259" s="1">
        <v>45534</v>
      </c>
      <c r="V259">
        <v>105908</v>
      </c>
      <c r="W259">
        <v>0.69676315799999999</v>
      </c>
      <c r="X259" s="4">
        <v>0.76134210526315804</v>
      </c>
      <c r="Y259" s="4">
        <f t="shared" ref="Y259:Y322" si="4">S259/X259</f>
        <v>2147.5234177871484</v>
      </c>
      <c r="AA259">
        <v>0.848381579</v>
      </c>
      <c r="AB259">
        <v>1927.198846</v>
      </c>
      <c r="AC259" cm="1">
        <f t="array" ref="AC259">_xlfn.IFS(W259&lt;0.6,S259,W259&gt;0.85,S259,W259,Y259)</f>
        <v>2147.5234177871484</v>
      </c>
      <c r="AH259">
        <v>0</v>
      </c>
      <c r="AI259">
        <v>260</v>
      </c>
    </row>
    <row r="260" spans="1:35" x14ac:dyDescent="0.25">
      <c r="A260" t="s">
        <v>51</v>
      </c>
      <c r="B260" t="s">
        <v>324</v>
      </c>
      <c r="C260">
        <v>4</v>
      </c>
      <c r="E260" t="s">
        <v>53</v>
      </c>
      <c r="F260">
        <v>281</v>
      </c>
      <c r="H260" t="s">
        <v>61</v>
      </c>
      <c r="I260">
        <v>75000</v>
      </c>
      <c r="J260" t="s">
        <v>65</v>
      </c>
      <c r="K260">
        <v>3</v>
      </c>
      <c r="L260">
        <v>1119</v>
      </c>
      <c r="M260">
        <v>11019</v>
      </c>
      <c r="N260">
        <v>11</v>
      </c>
      <c r="O260">
        <v>19</v>
      </c>
      <c r="P260">
        <v>41</v>
      </c>
      <c r="Q260">
        <v>19.100000000000001</v>
      </c>
      <c r="R260">
        <v>1497</v>
      </c>
      <c r="S260">
        <v>1943</v>
      </c>
      <c r="T260" s="1">
        <v>45496</v>
      </c>
      <c r="U260" s="1">
        <v>45536</v>
      </c>
      <c r="V260">
        <v>111372</v>
      </c>
      <c r="W260">
        <v>0.80411449000000002</v>
      </c>
      <c r="X260" s="4">
        <v>0.89667896678966796</v>
      </c>
      <c r="Y260" s="4">
        <f t="shared" si="4"/>
        <v>2166.8847736625512</v>
      </c>
      <c r="AA260">
        <v>0.86635285299999998</v>
      </c>
      <c r="AB260">
        <v>2242.7351549999998</v>
      </c>
      <c r="AC260" cm="1">
        <f t="array" ref="AC260">_xlfn.IFS(W260&lt;0.6,S260,W260&gt;0.85,S260,W260,Y260)</f>
        <v>2166.8847736625512</v>
      </c>
      <c r="AH260">
        <v>0</v>
      </c>
      <c r="AI260">
        <v>281</v>
      </c>
    </row>
    <row r="261" spans="1:35" x14ac:dyDescent="0.25">
      <c r="A261" t="s">
        <v>51</v>
      </c>
      <c r="B261" t="s">
        <v>325</v>
      </c>
      <c r="C261">
        <v>4</v>
      </c>
      <c r="E261" t="s">
        <v>53</v>
      </c>
      <c r="F261">
        <v>290</v>
      </c>
      <c r="H261" t="s">
        <v>61</v>
      </c>
      <c r="I261">
        <v>100000</v>
      </c>
      <c r="J261" t="s">
        <v>97</v>
      </c>
      <c r="K261">
        <v>29</v>
      </c>
      <c r="L261">
        <v>1120</v>
      </c>
      <c r="M261">
        <v>11020</v>
      </c>
      <c r="N261">
        <v>11</v>
      </c>
      <c r="O261">
        <v>20</v>
      </c>
      <c r="P261">
        <v>46</v>
      </c>
      <c r="Q261">
        <v>18.899999999999999</v>
      </c>
      <c r="R261">
        <v>1409</v>
      </c>
      <c r="S261">
        <v>1834</v>
      </c>
      <c r="T261" s="1">
        <v>45493</v>
      </c>
      <c r="U261" s="1">
        <v>45528</v>
      </c>
      <c r="V261">
        <v>120593</v>
      </c>
      <c r="W261">
        <v>0.92163846800000004</v>
      </c>
      <c r="X261" s="4">
        <v>0.92962962962963003</v>
      </c>
      <c r="Y261" s="4">
        <f t="shared" si="4"/>
        <v>1972.8286852589633</v>
      </c>
      <c r="AA261">
        <v>0.89668488999999996</v>
      </c>
      <c r="AB261">
        <v>2045.311592</v>
      </c>
      <c r="AC261" cm="1">
        <f t="array" ref="AC261">_xlfn.IFS(W261&lt;0.6,S261,W261&gt;0.85,S261,W261,Y261)</f>
        <v>1834</v>
      </c>
      <c r="AH261">
        <v>0</v>
      </c>
      <c r="AI261">
        <v>290</v>
      </c>
    </row>
    <row r="262" spans="1:35" x14ac:dyDescent="0.25">
      <c r="A262" t="s">
        <v>51</v>
      </c>
      <c r="B262" t="s">
        <v>326</v>
      </c>
      <c r="C262">
        <v>4</v>
      </c>
      <c r="E262" t="s">
        <v>53</v>
      </c>
      <c r="F262">
        <v>311</v>
      </c>
      <c r="H262" t="s">
        <v>61</v>
      </c>
      <c r="I262">
        <v>150000</v>
      </c>
      <c r="J262" t="s">
        <v>77</v>
      </c>
      <c r="K262">
        <v>34</v>
      </c>
      <c r="L262">
        <v>1121</v>
      </c>
      <c r="M262">
        <v>11021</v>
      </c>
      <c r="N262">
        <v>11</v>
      </c>
      <c r="O262">
        <v>21</v>
      </c>
      <c r="P262">
        <v>64</v>
      </c>
      <c r="Q262">
        <v>16.8</v>
      </c>
      <c r="R262">
        <v>669</v>
      </c>
      <c r="S262">
        <v>893</v>
      </c>
      <c r="T262" s="1">
        <v>45495</v>
      </c>
      <c r="U262" s="1">
        <v>45537</v>
      </c>
      <c r="V262">
        <v>127646</v>
      </c>
      <c r="W262">
        <v>0.95531724799999995</v>
      </c>
      <c r="X262" s="4">
        <v>0.97232472324723296</v>
      </c>
      <c r="Y262" s="4">
        <f t="shared" si="4"/>
        <v>918.41745730550235</v>
      </c>
      <c r="AA262">
        <v>0.91989644599999998</v>
      </c>
      <c r="AB262">
        <v>970.76144209999995</v>
      </c>
      <c r="AC262" cm="1">
        <f t="array" ref="AC262">_xlfn.IFS(W262&lt;0.6,S262,W262&gt;0.85,S262,W262,Y262)</f>
        <v>893</v>
      </c>
      <c r="AH262">
        <v>0</v>
      </c>
      <c r="AI262">
        <v>311</v>
      </c>
    </row>
    <row r="263" spans="1:35" x14ac:dyDescent="0.25">
      <c r="A263" t="s">
        <v>51</v>
      </c>
      <c r="B263" t="s">
        <v>327</v>
      </c>
      <c r="C263">
        <v>4</v>
      </c>
      <c r="E263" t="s">
        <v>53</v>
      </c>
      <c r="F263">
        <v>320</v>
      </c>
      <c r="H263" t="s">
        <v>54</v>
      </c>
      <c r="I263">
        <v>150000</v>
      </c>
      <c r="J263" t="s">
        <v>97</v>
      </c>
      <c r="K263">
        <v>89</v>
      </c>
      <c r="L263">
        <v>1122</v>
      </c>
      <c r="M263">
        <v>11022</v>
      </c>
      <c r="N263">
        <v>11</v>
      </c>
      <c r="O263">
        <v>22</v>
      </c>
      <c r="P263">
        <v>44</v>
      </c>
      <c r="Q263">
        <v>18.600000000000001</v>
      </c>
      <c r="R263">
        <v>1507</v>
      </c>
      <c r="S263">
        <v>1968</v>
      </c>
      <c r="T263" s="1">
        <v>45493</v>
      </c>
      <c r="U263" s="1">
        <v>45527</v>
      </c>
      <c r="V263">
        <v>149603</v>
      </c>
      <c r="W263">
        <v>0.98422378799999999</v>
      </c>
      <c r="X263" s="4">
        <v>0.998118470566564</v>
      </c>
      <c r="Y263" s="4">
        <f t="shared" si="4"/>
        <v>1971.7098300794896</v>
      </c>
      <c r="AA263">
        <v>0.99211189399999999</v>
      </c>
      <c r="AB263">
        <v>1983.6472200000001</v>
      </c>
      <c r="AC263" cm="1">
        <f t="array" ref="AC263">_xlfn.IFS(W263&lt;0.6,S263,W263&gt;0.85,S263,W263,Y263)</f>
        <v>1968</v>
      </c>
      <c r="AH263">
        <v>0</v>
      </c>
      <c r="AI263">
        <v>320</v>
      </c>
    </row>
    <row r="264" spans="1:35" x14ac:dyDescent="0.25">
      <c r="A264" t="s">
        <v>51</v>
      </c>
      <c r="B264" t="s">
        <v>328</v>
      </c>
      <c r="C264">
        <v>4</v>
      </c>
      <c r="E264" t="s">
        <v>53</v>
      </c>
      <c r="F264">
        <v>341</v>
      </c>
      <c r="H264" t="s">
        <v>54</v>
      </c>
      <c r="I264">
        <v>100000</v>
      </c>
      <c r="J264" t="s">
        <v>55</v>
      </c>
      <c r="K264">
        <v>68</v>
      </c>
      <c r="L264">
        <v>1123</v>
      </c>
      <c r="M264">
        <v>11023</v>
      </c>
      <c r="N264">
        <v>11</v>
      </c>
      <c r="O264">
        <v>23</v>
      </c>
      <c r="P264">
        <v>46</v>
      </c>
      <c r="Q264">
        <v>21.4</v>
      </c>
      <c r="R264">
        <v>1311</v>
      </c>
      <c r="S264">
        <v>1653</v>
      </c>
      <c r="T264" s="1">
        <v>45496</v>
      </c>
      <c r="U264" s="1">
        <v>45534</v>
      </c>
      <c r="V264">
        <v>146106</v>
      </c>
      <c r="W264">
        <v>0.96121736000000002</v>
      </c>
      <c r="X264" s="4">
        <v>0.99199989473545702</v>
      </c>
      <c r="Y264" s="4">
        <f t="shared" si="4"/>
        <v>1666.3308219814037</v>
      </c>
      <c r="AA264">
        <v>0.98060868000000001</v>
      </c>
      <c r="AB264">
        <v>1685.6877099999999</v>
      </c>
      <c r="AC264" cm="1">
        <f t="array" ref="AC264">_xlfn.IFS(W264&lt;0.6,S264,W264&gt;0.85,S264,W264,Y264)</f>
        <v>1653</v>
      </c>
      <c r="AH264">
        <v>0</v>
      </c>
      <c r="AI264">
        <v>341</v>
      </c>
    </row>
    <row r="265" spans="1:35" x14ac:dyDescent="0.25">
      <c r="A265" t="s">
        <v>51</v>
      </c>
      <c r="B265" t="s">
        <v>329</v>
      </c>
      <c r="C265">
        <v>4</v>
      </c>
      <c r="E265" t="s">
        <v>53</v>
      </c>
      <c r="F265">
        <v>350</v>
      </c>
      <c r="H265" t="s">
        <v>54</v>
      </c>
      <c r="I265">
        <v>75000</v>
      </c>
      <c r="J265" t="s">
        <v>99</v>
      </c>
      <c r="K265">
        <v>60</v>
      </c>
      <c r="L265">
        <v>1124</v>
      </c>
      <c r="M265">
        <v>11024</v>
      </c>
      <c r="N265">
        <v>11</v>
      </c>
      <c r="O265">
        <v>24</v>
      </c>
      <c r="P265">
        <v>30</v>
      </c>
      <c r="Q265">
        <v>25.6</v>
      </c>
      <c r="R265">
        <v>1272</v>
      </c>
      <c r="S265">
        <v>1519</v>
      </c>
      <c r="T265" s="1">
        <v>45494</v>
      </c>
      <c r="U265" s="1">
        <v>45536</v>
      </c>
      <c r="V265">
        <v>108689</v>
      </c>
      <c r="W265">
        <v>0.71505450599999998</v>
      </c>
      <c r="X265" s="4">
        <v>0.86471586647895504</v>
      </c>
      <c r="Y265" s="4">
        <f t="shared" si="4"/>
        <v>1756.6463839564212</v>
      </c>
      <c r="AA265">
        <v>0.85752725299999999</v>
      </c>
      <c r="AB265">
        <v>1771.3722740000001</v>
      </c>
      <c r="AC265" cm="1">
        <f t="array" ref="AC265">_xlfn.IFS(W265&lt;0.6,S265,W265&gt;0.85,S265,W265,Y265)</f>
        <v>1756.6463839564212</v>
      </c>
      <c r="AH265">
        <v>0</v>
      </c>
      <c r="AI265">
        <v>350</v>
      </c>
    </row>
    <row r="266" spans="1:35" x14ac:dyDescent="0.25">
      <c r="A266" t="s">
        <v>51</v>
      </c>
      <c r="B266" t="s">
        <v>330</v>
      </c>
      <c r="C266">
        <v>1</v>
      </c>
      <c r="E266" t="s">
        <v>53</v>
      </c>
      <c r="F266">
        <v>12</v>
      </c>
      <c r="H266" t="s">
        <v>54</v>
      </c>
      <c r="I266">
        <v>100000</v>
      </c>
      <c r="J266" t="s">
        <v>59</v>
      </c>
      <c r="K266">
        <v>70</v>
      </c>
      <c r="L266">
        <v>1201</v>
      </c>
      <c r="M266">
        <v>12001</v>
      </c>
      <c r="N266">
        <v>12</v>
      </c>
      <c r="O266">
        <v>1</v>
      </c>
      <c r="P266">
        <v>60</v>
      </c>
      <c r="Q266">
        <v>20.7</v>
      </c>
      <c r="R266">
        <v>642</v>
      </c>
      <c r="S266">
        <v>817</v>
      </c>
      <c r="T266" s="1">
        <v>45491</v>
      </c>
      <c r="U266" s="1">
        <v>45524</v>
      </c>
      <c r="V266">
        <v>151820</v>
      </c>
      <c r="W266">
        <v>0.998809218</v>
      </c>
      <c r="X266" s="4">
        <v>0.99963157409965897</v>
      </c>
      <c r="Y266" s="4">
        <f t="shared" si="4"/>
        <v>817.30111489910644</v>
      </c>
      <c r="AA266">
        <v>0.99940460900000005</v>
      </c>
      <c r="AB266">
        <v>817.48672420000003</v>
      </c>
      <c r="AC266" cm="1">
        <f t="array" ref="AC266">_xlfn.IFS(W266&lt;0.6,S266,W266&gt;0.85,S266,W266,Y266)</f>
        <v>817</v>
      </c>
      <c r="AH266">
        <v>0</v>
      </c>
      <c r="AI266">
        <v>12</v>
      </c>
    </row>
    <row r="267" spans="1:35" x14ac:dyDescent="0.25">
      <c r="A267" t="s">
        <v>51</v>
      </c>
      <c r="B267" t="s">
        <v>331</v>
      </c>
      <c r="C267">
        <v>1</v>
      </c>
      <c r="E267" t="s">
        <v>53</v>
      </c>
      <c r="F267">
        <v>19</v>
      </c>
      <c r="H267" t="s">
        <v>54</v>
      </c>
      <c r="I267">
        <v>150000</v>
      </c>
      <c r="J267" t="s">
        <v>59</v>
      </c>
      <c r="K267">
        <v>85</v>
      </c>
      <c r="L267">
        <v>1202</v>
      </c>
      <c r="M267">
        <v>12002</v>
      </c>
      <c r="N267">
        <v>12</v>
      </c>
      <c r="O267">
        <v>2</v>
      </c>
      <c r="P267">
        <v>57</v>
      </c>
      <c r="Q267">
        <v>21.2</v>
      </c>
      <c r="R267">
        <v>1338</v>
      </c>
      <c r="S267">
        <v>1692</v>
      </c>
      <c r="T267" s="1">
        <v>45492</v>
      </c>
      <c r="U267" s="1">
        <v>45526</v>
      </c>
      <c r="V267">
        <v>150834</v>
      </c>
      <c r="W267">
        <v>0.99234200500000003</v>
      </c>
      <c r="X267" s="4">
        <v>0.99996052631578902</v>
      </c>
      <c r="Y267" s="4">
        <f t="shared" si="4"/>
        <v>1692.0667921102156</v>
      </c>
      <c r="AA267">
        <v>0.99617100300000005</v>
      </c>
      <c r="AB267">
        <v>1698.5035660000001</v>
      </c>
      <c r="AC267" cm="1">
        <f t="array" ref="AC267">_xlfn.IFS(W267&lt;0.6,S267,W267&gt;0.85,S267,W267,Y267)</f>
        <v>1692</v>
      </c>
      <c r="AH267">
        <v>0</v>
      </c>
      <c r="AI267">
        <v>19</v>
      </c>
    </row>
    <row r="268" spans="1:35" x14ac:dyDescent="0.25">
      <c r="A268" t="s">
        <v>51</v>
      </c>
      <c r="B268" t="s">
        <v>332</v>
      </c>
      <c r="C268">
        <v>1</v>
      </c>
      <c r="E268" t="s">
        <v>53</v>
      </c>
      <c r="F268">
        <v>42</v>
      </c>
      <c r="H268" t="s">
        <v>54</v>
      </c>
      <c r="I268">
        <v>75000</v>
      </c>
      <c r="J268" t="s">
        <v>80</v>
      </c>
      <c r="K268">
        <v>46</v>
      </c>
      <c r="L268">
        <v>1203</v>
      </c>
      <c r="M268">
        <v>12003</v>
      </c>
      <c r="N268">
        <v>12</v>
      </c>
      <c r="O268">
        <v>3</v>
      </c>
      <c r="P268">
        <v>51</v>
      </c>
      <c r="Q268">
        <v>19.5</v>
      </c>
      <c r="R268">
        <v>1576</v>
      </c>
      <c r="S268">
        <v>2036</v>
      </c>
      <c r="T268" s="1">
        <v>45493</v>
      </c>
      <c r="U268" s="1">
        <v>45537</v>
      </c>
      <c r="V268">
        <v>141696</v>
      </c>
      <c r="W268">
        <v>0.93221052599999998</v>
      </c>
      <c r="X268" s="4">
        <v>0.97652662464967599</v>
      </c>
      <c r="Y268" s="4">
        <f t="shared" si="4"/>
        <v>2084.9405931255637</v>
      </c>
      <c r="AA268">
        <v>0.96610526299999999</v>
      </c>
      <c r="AB268">
        <v>2107.4308129999999</v>
      </c>
      <c r="AC268" cm="1">
        <f t="array" ref="AC268">_xlfn.IFS(W268&lt;0.6,S268,W268&gt;0.85,S268,W268,Y268)</f>
        <v>2036</v>
      </c>
      <c r="AH268">
        <v>0</v>
      </c>
      <c r="AI268">
        <v>42</v>
      </c>
    </row>
    <row r="269" spans="1:35" x14ac:dyDescent="0.25">
      <c r="A269" t="s">
        <v>51</v>
      </c>
      <c r="B269" t="s">
        <v>333</v>
      </c>
      <c r="C269">
        <v>1</v>
      </c>
      <c r="E269" t="s">
        <v>53</v>
      </c>
      <c r="F269">
        <v>49</v>
      </c>
      <c r="H269" t="s">
        <v>61</v>
      </c>
      <c r="I269">
        <v>150000</v>
      </c>
      <c r="J269" t="s">
        <v>65</v>
      </c>
      <c r="K269">
        <v>33</v>
      </c>
      <c r="L269">
        <v>1204</v>
      </c>
      <c r="M269">
        <v>12004</v>
      </c>
      <c r="N269">
        <v>12</v>
      </c>
      <c r="O269">
        <v>4</v>
      </c>
      <c r="P269">
        <v>39</v>
      </c>
      <c r="Q269">
        <v>19.899999999999999</v>
      </c>
      <c r="R269">
        <v>1476</v>
      </c>
      <c r="S269">
        <v>1897</v>
      </c>
      <c r="T269" s="1">
        <v>45497</v>
      </c>
      <c r="U269" s="1">
        <v>45534</v>
      </c>
      <c r="V269">
        <v>89482</v>
      </c>
      <c r="W269">
        <v>0.66398570199999996</v>
      </c>
      <c r="X269" s="4">
        <v>0.77079482439926095</v>
      </c>
      <c r="Y269" s="4">
        <f t="shared" si="4"/>
        <v>2461.09592326139</v>
      </c>
      <c r="AA269">
        <v>0.79434674800000005</v>
      </c>
      <c r="AB269">
        <v>2388.1258480000001</v>
      </c>
      <c r="AC269" cm="1">
        <f t="array" ref="AC269">_xlfn.IFS(W269&lt;0.6,S269,W269&gt;0.85,S269,W269,Y269)</f>
        <v>2461.09592326139</v>
      </c>
      <c r="AH269">
        <v>0</v>
      </c>
      <c r="AI269">
        <v>49</v>
      </c>
    </row>
    <row r="270" spans="1:35" x14ac:dyDescent="0.25">
      <c r="A270" t="s">
        <v>51</v>
      </c>
      <c r="B270" t="s">
        <v>334</v>
      </c>
      <c r="C270">
        <v>1</v>
      </c>
      <c r="E270" t="s">
        <v>53</v>
      </c>
      <c r="F270">
        <v>72</v>
      </c>
      <c r="H270" t="s">
        <v>61</v>
      </c>
      <c r="I270">
        <v>75000</v>
      </c>
      <c r="J270" t="s">
        <v>82</v>
      </c>
      <c r="K270">
        <v>5</v>
      </c>
      <c r="L270">
        <v>1205</v>
      </c>
      <c r="M270">
        <v>12005</v>
      </c>
      <c r="N270">
        <v>12</v>
      </c>
      <c r="O270">
        <v>5</v>
      </c>
      <c r="P270">
        <v>48</v>
      </c>
      <c r="Q270">
        <v>17.7</v>
      </c>
      <c r="R270">
        <v>1216</v>
      </c>
      <c r="S270">
        <v>1606</v>
      </c>
      <c r="T270" s="1">
        <v>45497</v>
      </c>
      <c r="U270" s="1">
        <v>45530</v>
      </c>
      <c r="V270">
        <v>122878</v>
      </c>
      <c r="W270">
        <v>0.94290811799999996</v>
      </c>
      <c r="X270" s="4">
        <v>0.91836734693877597</v>
      </c>
      <c r="Y270" s="4">
        <f t="shared" si="4"/>
        <v>1748.7555555555546</v>
      </c>
      <c r="AA270">
        <v>0.90419862900000003</v>
      </c>
      <c r="AB270">
        <v>1776.1584109999999</v>
      </c>
      <c r="AC270" cm="1">
        <f t="array" ref="AC270">_xlfn.IFS(W270&lt;0.6,S270,W270&gt;0.85,S270,W270,Y270)</f>
        <v>1606</v>
      </c>
      <c r="AH270">
        <v>0</v>
      </c>
      <c r="AI270">
        <v>72</v>
      </c>
    </row>
    <row r="271" spans="1:35" x14ac:dyDescent="0.25">
      <c r="A271" t="s">
        <v>51</v>
      </c>
      <c r="B271" t="s">
        <v>335</v>
      </c>
      <c r="C271">
        <v>1</v>
      </c>
      <c r="E271" t="s">
        <v>53</v>
      </c>
      <c r="F271">
        <v>79</v>
      </c>
      <c r="H271" t="s">
        <v>61</v>
      </c>
      <c r="I271">
        <v>100000</v>
      </c>
      <c r="J271" t="s">
        <v>73</v>
      </c>
      <c r="K271">
        <v>27</v>
      </c>
      <c r="L271">
        <v>1206</v>
      </c>
      <c r="M271">
        <v>12006</v>
      </c>
      <c r="N271">
        <v>12</v>
      </c>
      <c r="O271">
        <v>6</v>
      </c>
      <c r="P271">
        <v>66</v>
      </c>
      <c r="Q271">
        <v>19.600000000000001</v>
      </c>
      <c r="R271">
        <v>642</v>
      </c>
      <c r="S271">
        <v>828</v>
      </c>
      <c r="T271" s="1">
        <v>45495</v>
      </c>
      <c r="U271" s="1">
        <v>45536</v>
      </c>
      <c r="V271">
        <v>125538</v>
      </c>
      <c r="W271">
        <v>0.97678571400000003</v>
      </c>
      <c r="X271" s="4">
        <v>0.98144712430426695</v>
      </c>
      <c r="Y271" s="4">
        <f t="shared" si="4"/>
        <v>843.65217391304361</v>
      </c>
      <c r="AA271">
        <v>0.91296209800000006</v>
      </c>
      <c r="AB271">
        <v>906.93797889999996</v>
      </c>
      <c r="AC271" cm="1">
        <f t="array" ref="AC271">_xlfn.IFS(W271&lt;0.6,S271,W271&gt;0.85,S271,W271,Y271)</f>
        <v>828</v>
      </c>
      <c r="AH271">
        <v>0</v>
      </c>
      <c r="AI271">
        <v>79</v>
      </c>
    </row>
    <row r="272" spans="1:35" x14ac:dyDescent="0.25">
      <c r="A272" t="s">
        <v>51</v>
      </c>
      <c r="B272" t="s">
        <v>336</v>
      </c>
      <c r="C272">
        <v>2</v>
      </c>
      <c r="E272" t="s">
        <v>53</v>
      </c>
      <c r="F272">
        <v>102</v>
      </c>
      <c r="H272" t="s">
        <v>61</v>
      </c>
      <c r="I272">
        <v>75000</v>
      </c>
      <c r="J272" t="s">
        <v>77</v>
      </c>
      <c r="K272">
        <v>4</v>
      </c>
      <c r="L272">
        <v>1207</v>
      </c>
      <c r="M272">
        <v>12007</v>
      </c>
      <c r="N272">
        <v>12</v>
      </c>
      <c r="O272">
        <v>7</v>
      </c>
      <c r="P272">
        <v>66</v>
      </c>
      <c r="Q272">
        <v>22.9</v>
      </c>
      <c r="R272">
        <v>588</v>
      </c>
      <c r="S272">
        <v>727</v>
      </c>
      <c r="T272" s="1">
        <v>45494</v>
      </c>
      <c r="U272" s="1">
        <v>45537</v>
      </c>
      <c r="V272">
        <v>113115</v>
      </c>
      <c r="W272">
        <v>0.81729055299999998</v>
      </c>
      <c r="X272" s="4">
        <v>0.95933456561922403</v>
      </c>
      <c r="Y272" s="4">
        <f t="shared" si="4"/>
        <v>757.81695568400744</v>
      </c>
      <c r="AA272">
        <v>0.87208636799999995</v>
      </c>
      <c r="AB272">
        <v>833.63302839999994</v>
      </c>
      <c r="AC272" cm="1">
        <f t="array" ref="AC272">_xlfn.IFS(W272&lt;0.6,S272,W272&gt;0.85,S272,W272,Y272)</f>
        <v>757.81695568400744</v>
      </c>
      <c r="AH272">
        <v>0</v>
      </c>
      <c r="AI272">
        <v>102</v>
      </c>
    </row>
    <row r="273" spans="1:35" x14ac:dyDescent="0.25">
      <c r="A273" t="s">
        <v>51</v>
      </c>
      <c r="B273" t="s">
        <v>337</v>
      </c>
      <c r="C273">
        <v>2</v>
      </c>
      <c r="E273" t="s">
        <v>53</v>
      </c>
      <c r="F273">
        <v>109</v>
      </c>
      <c r="H273" t="s">
        <v>61</v>
      </c>
      <c r="I273">
        <v>150000</v>
      </c>
      <c r="J273" t="s">
        <v>57</v>
      </c>
      <c r="K273">
        <v>36</v>
      </c>
      <c r="L273">
        <v>1208</v>
      </c>
      <c r="M273">
        <v>12008</v>
      </c>
      <c r="N273">
        <v>12</v>
      </c>
      <c r="O273">
        <v>8</v>
      </c>
      <c r="P273">
        <v>52</v>
      </c>
      <c r="Q273">
        <v>20</v>
      </c>
      <c r="R273">
        <v>170</v>
      </c>
      <c r="S273">
        <v>218</v>
      </c>
      <c r="T273" s="1">
        <v>45491</v>
      </c>
      <c r="U273" s="1">
        <v>45524</v>
      </c>
      <c r="V273">
        <v>87314</v>
      </c>
      <c r="W273">
        <v>0.58355674700000004</v>
      </c>
      <c r="X273" s="4">
        <v>0.55658627087198498</v>
      </c>
      <c r="Y273" s="4">
        <f t="shared" si="4"/>
        <v>391.67333333333346</v>
      </c>
      <c r="AA273">
        <v>0.787215216</v>
      </c>
      <c r="AB273">
        <v>276.9255417</v>
      </c>
      <c r="AC273" cm="1">
        <f t="array" ref="AC273">_xlfn.IFS(W273&lt;0.6,S273,W273&gt;0.85,S273,W273,Y273)</f>
        <v>218</v>
      </c>
      <c r="AH273">
        <v>0</v>
      </c>
      <c r="AI273">
        <v>109</v>
      </c>
    </row>
    <row r="274" spans="1:35" x14ac:dyDescent="0.25">
      <c r="A274" t="s">
        <v>51</v>
      </c>
      <c r="B274" t="s">
        <v>338</v>
      </c>
      <c r="C274">
        <v>2</v>
      </c>
      <c r="E274" t="s">
        <v>53</v>
      </c>
      <c r="F274">
        <v>132</v>
      </c>
      <c r="H274" t="s">
        <v>61</v>
      </c>
      <c r="I274">
        <v>100000</v>
      </c>
      <c r="J274" t="s">
        <v>55</v>
      </c>
      <c r="K274">
        <v>23</v>
      </c>
      <c r="L274">
        <v>1209</v>
      </c>
      <c r="M274">
        <v>12009</v>
      </c>
      <c r="N274">
        <v>12</v>
      </c>
      <c r="O274">
        <v>9</v>
      </c>
      <c r="P274">
        <v>24</v>
      </c>
      <c r="Q274">
        <v>20.2</v>
      </c>
      <c r="R274">
        <v>1403</v>
      </c>
      <c r="S274">
        <v>1797</v>
      </c>
      <c r="T274" s="1">
        <v>45498</v>
      </c>
      <c r="U274" s="1">
        <v>45535</v>
      </c>
      <c r="V274">
        <v>115600</v>
      </c>
      <c r="W274">
        <v>0.84745762700000005</v>
      </c>
      <c r="X274" s="4">
        <v>0.97777777777777797</v>
      </c>
      <c r="Y274" s="4">
        <f t="shared" si="4"/>
        <v>1837.8409090909088</v>
      </c>
      <c r="AA274">
        <v>0.88026315799999999</v>
      </c>
      <c r="AB274">
        <v>2041.4349769999999</v>
      </c>
      <c r="AC274" cm="1">
        <f t="array" ref="AC274">_xlfn.IFS(W274&lt;0.6,S274,W274&gt;0.85,S274,W274,Y274)</f>
        <v>1837.8409090909088</v>
      </c>
      <c r="AH274">
        <v>0</v>
      </c>
      <c r="AI274">
        <v>132</v>
      </c>
    </row>
    <row r="275" spans="1:35" x14ac:dyDescent="0.25">
      <c r="A275" t="s">
        <v>51</v>
      </c>
      <c r="B275" t="s">
        <v>339</v>
      </c>
      <c r="C275">
        <v>2</v>
      </c>
      <c r="E275" t="s">
        <v>53</v>
      </c>
      <c r="F275">
        <v>139</v>
      </c>
      <c r="H275" t="s">
        <v>54</v>
      </c>
      <c r="I275">
        <v>100000</v>
      </c>
      <c r="J275" t="s">
        <v>71</v>
      </c>
      <c r="K275">
        <v>71</v>
      </c>
      <c r="L275">
        <v>1210</v>
      </c>
      <c r="M275">
        <v>12010</v>
      </c>
      <c r="N275">
        <v>12</v>
      </c>
      <c r="O275">
        <v>10</v>
      </c>
      <c r="P275">
        <v>74</v>
      </c>
      <c r="Q275">
        <v>21.2</v>
      </c>
      <c r="R275">
        <v>738</v>
      </c>
      <c r="S275">
        <v>933</v>
      </c>
      <c r="T275" s="1">
        <v>45491</v>
      </c>
      <c r="U275" s="1">
        <v>45527</v>
      </c>
      <c r="V275">
        <v>148267</v>
      </c>
      <c r="W275">
        <v>0.97544720699999998</v>
      </c>
      <c r="X275" s="4">
        <v>0.95907948579623903</v>
      </c>
      <c r="Y275" s="4">
        <f t="shared" si="4"/>
        <v>972.80779520105409</v>
      </c>
      <c r="AA275">
        <v>0.98772360400000003</v>
      </c>
      <c r="AB275">
        <v>944.59623790000001</v>
      </c>
      <c r="AC275" cm="1">
        <f t="array" ref="AC275">_xlfn.IFS(W275&lt;0.6,S275,W275&gt;0.85,S275,W275,Y275)</f>
        <v>933</v>
      </c>
      <c r="AH275">
        <v>0</v>
      </c>
      <c r="AI275">
        <v>139</v>
      </c>
    </row>
    <row r="276" spans="1:35" x14ac:dyDescent="0.25">
      <c r="A276" t="s">
        <v>51</v>
      </c>
      <c r="B276" t="s">
        <v>340</v>
      </c>
      <c r="C276">
        <v>2</v>
      </c>
      <c r="E276" t="s">
        <v>53</v>
      </c>
      <c r="F276">
        <v>162</v>
      </c>
      <c r="H276" t="s">
        <v>54</v>
      </c>
      <c r="I276">
        <v>75000</v>
      </c>
      <c r="J276" t="s">
        <v>85</v>
      </c>
      <c r="K276">
        <v>58</v>
      </c>
      <c r="L276">
        <v>1211</v>
      </c>
      <c r="M276">
        <v>12011</v>
      </c>
      <c r="N276">
        <v>12</v>
      </c>
      <c r="O276">
        <v>11</v>
      </c>
      <c r="P276">
        <v>22</v>
      </c>
      <c r="Q276">
        <v>22.1</v>
      </c>
      <c r="R276">
        <v>1630</v>
      </c>
      <c r="S276">
        <v>2038</v>
      </c>
      <c r="T276" s="1">
        <v>45496</v>
      </c>
      <c r="U276" s="1">
        <v>45536</v>
      </c>
      <c r="V276">
        <v>147584</v>
      </c>
      <c r="W276">
        <v>0.97094736800000003</v>
      </c>
      <c r="X276" s="4">
        <v>0.98822337429932405</v>
      </c>
      <c r="Y276" s="4">
        <f t="shared" si="4"/>
        <v>2062.2867794895001</v>
      </c>
      <c r="AA276">
        <v>0.98547368400000002</v>
      </c>
      <c r="AB276">
        <v>2068.041017</v>
      </c>
      <c r="AC276" cm="1">
        <f t="array" ref="AC276">_xlfn.IFS(W276&lt;0.6,S276,W276&gt;0.85,S276,W276,Y276)</f>
        <v>2038</v>
      </c>
      <c r="AH276">
        <v>0</v>
      </c>
      <c r="AI276">
        <v>162</v>
      </c>
    </row>
    <row r="277" spans="1:35" x14ac:dyDescent="0.25">
      <c r="A277" t="s">
        <v>51</v>
      </c>
      <c r="B277" t="s">
        <v>341</v>
      </c>
      <c r="C277">
        <v>2</v>
      </c>
      <c r="E277" t="s">
        <v>53</v>
      </c>
      <c r="F277">
        <v>169</v>
      </c>
      <c r="H277" t="s">
        <v>54</v>
      </c>
      <c r="I277">
        <v>150000</v>
      </c>
      <c r="J277" t="s">
        <v>59</v>
      </c>
      <c r="K277">
        <v>85</v>
      </c>
      <c r="L277">
        <v>1212</v>
      </c>
      <c r="M277">
        <v>12012</v>
      </c>
      <c r="N277">
        <v>12</v>
      </c>
      <c r="O277">
        <v>12</v>
      </c>
      <c r="P277">
        <v>57</v>
      </c>
      <c r="Q277">
        <v>20.399999999999999</v>
      </c>
      <c r="R277">
        <v>971</v>
      </c>
      <c r="S277">
        <v>1240</v>
      </c>
      <c r="T277" s="1">
        <v>45489</v>
      </c>
      <c r="U277" s="1">
        <v>45528</v>
      </c>
      <c r="V277">
        <v>151990</v>
      </c>
      <c r="W277">
        <v>0.99992763200000001</v>
      </c>
      <c r="X277" s="4">
        <v>0.999394744805989</v>
      </c>
      <c r="Y277" s="4">
        <f t="shared" si="4"/>
        <v>1240.7509709696535</v>
      </c>
      <c r="AA277">
        <v>0.99996381599999995</v>
      </c>
      <c r="AB277">
        <v>1240.0448699999999</v>
      </c>
      <c r="AC277" cm="1">
        <f t="array" ref="AC277">_xlfn.IFS(W277&lt;0.6,S277,W277&gt;0.85,S277,W277,Y277)</f>
        <v>1240</v>
      </c>
      <c r="AH277">
        <v>0</v>
      </c>
      <c r="AI277">
        <v>169</v>
      </c>
    </row>
    <row r="278" spans="1:35" x14ac:dyDescent="0.25">
      <c r="A278" t="s">
        <v>51</v>
      </c>
      <c r="B278" t="s">
        <v>342</v>
      </c>
      <c r="C278">
        <v>3</v>
      </c>
      <c r="E278" t="s">
        <v>53</v>
      </c>
      <c r="F278">
        <v>192</v>
      </c>
      <c r="H278" t="s">
        <v>61</v>
      </c>
      <c r="I278">
        <v>150000</v>
      </c>
      <c r="J278" t="s">
        <v>55</v>
      </c>
      <c r="K278">
        <v>38</v>
      </c>
      <c r="L278">
        <v>1213</v>
      </c>
      <c r="M278">
        <v>12013</v>
      </c>
      <c r="N278">
        <v>12</v>
      </c>
      <c r="O278">
        <v>13</v>
      </c>
      <c r="P278">
        <v>23</v>
      </c>
      <c r="Q278">
        <v>18.399999999999999</v>
      </c>
      <c r="R278">
        <v>1470</v>
      </c>
      <c r="S278">
        <v>1925</v>
      </c>
      <c r="T278" s="1">
        <v>45496</v>
      </c>
      <c r="U278" s="1">
        <v>45534</v>
      </c>
      <c r="V278">
        <v>116036</v>
      </c>
      <c r="W278">
        <v>0.82515611099999997</v>
      </c>
      <c r="X278" s="4">
        <v>0.951762523191095</v>
      </c>
      <c r="Y278" s="4">
        <f t="shared" si="4"/>
        <v>2022.5633528265098</v>
      </c>
      <c r="AA278">
        <v>0.88169987999999999</v>
      </c>
      <c r="AB278">
        <v>2183.2825939999998</v>
      </c>
      <c r="AC278" cm="1">
        <f t="array" ref="AC278">_xlfn.IFS(W278&lt;0.6,S278,W278&gt;0.85,S278,W278,Y278)</f>
        <v>2022.5633528265098</v>
      </c>
      <c r="AH278">
        <v>0</v>
      </c>
      <c r="AI278">
        <v>192</v>
      </c>
    </row>
    <row r="279" spans="1:35" x14ac:dyDescent="0.25">
      <c r="A279" t="s">
        <v>51</v>
      </c>
      <c r="B279" t="s">
        <v>343</v>
      </c>
      <c r="C279">
        <v>3</v>
      </c>
      <c r="E279" t="s">
        <v>53</v>
      </c>
      <c r="F279">
        <v>199</v>
      </c>
      <c r="H279" t="s">
        <v>61</v>
      </c>
      <c r="I279">
        <v>75000</v>
      </c>
      <c r="J279" t="s">
        <v>77</v>
      </c>
      <c r="K279">
        <v>4</v>
      </c>
      <c r="L279">
        <v>1214</v>
      </c>
      <c r="M279">
        <v>12014</v>
      </c>
      <c r="N279">
        <v>12</v>
      </c>
      <c r="O279">
        <v>14</v>
      </c>
      <c r="P279">
        <v>67</v>
      </c>
      <c r="Q279">
        <v>20.6</v>
      </c>
      <c r="R279">
        <v>584</v>
      </c>
      <c r="S279">
        <v>744</v>
      </c>
      <c r="T279" s="1">
        <v>45495</v>
      </c>
      <c r="V279">
        <v>117241</v>
      </c>
      <c r="W279">
        <v>0.79910714299999996</v>
      </c>
      <c r="X279" s="4">
        <v>0.91449814126394002</v>
      </c>
      <c r="Y279" s="4">
        <f t="shared" si="4"/>
        <v>813.5609756097565</v>
      </c>
      <c r="AA279">
        <v>0.88566118400000005</v>
      </c>
      <c r="AB279">
        <v>840.05036399999995</v>
      </c>
      <c r="AC279" cm="1">
        <f t="array" ref="AC279">_xlfn.IFS(W279&lt;0.6,S279,W279&gt;0.85,S279,W279,Y279)</f>
        <v>813.5609756097565</v>
      </c>
      <c r="AH279">
        <v>0</v>
      </c>
      <c r="AI279">
        <v>199</v>
      </c>
    </row>
    <row r="280" spans="1:35" x14ac:dyDescent="0.25">
      <c r="A280" t="s">
        <v>51</v>
      </c>
      <c r="B280" t="s">
        <v>344</v>
      </c>
      <c r="C280">
        <v>3</v>
      </c>
      <c r="E280" t="s">
        <v>53</v>
      </c>
      <c r="F280">
        <v>222</v>
      </c>
      <c r="H280" t="s">
        <v>61</v>
      </c>
      <c r="I280">
        <v>100000</v>
      </c>
      <c r="J280" t="s">
        <v>57</v>
      </c>
      <c r="K280">
        <v>21</v>
      </c>
      <c r="L280">
        <v>1215</v>
      </c>
      <c r="M280">
        <v>12015</v>
      </c>
      <c r="N280">
        <v>12</v>
      </c>
      <c r="O280">
        <v>15</v>
      </c>
      <c r="P280">
        <v>58</v>
      </c>
      <c r="Q280">
        <v>20</v>
      </c>
      <c r="R280">
        <v>676</v>
      </c>
      <c r="S280">
        <v>868</v>
      </c>
      <c r="T280" s="1">
        <v>45492</v>
      </c>
      <c r="U280" s="1">
        <v>45527</v>
      </c>
      <c r="V280">
        <v>126514</v>
      </c>
      <c r="W280">
        <v>0.93828264800000005</v>
      </c>
      <c r="X280" s="4">
        <v>0.99077490774907795</v>
      </c>
      <c r="Y280" s="4">
        <f t="shared" si="4"/>
        <v>876.08193668528827</v>
      </c>
      <c r="AA280">
        <v>0.91616447400000001</v>
      </c>
      <c r="AB280">
        <v>947.42813669999998</v>
      </c>
      <c r="AC280" cm="1">
        <f t="array" ref="AC280">_xlfn.IFS(W280&lt;0.6,S280,W280&gt;0.85,S280,W280,Y280)</f>
        <v>868</v>
      </c>
      <c r="AH280">
        <v>0</v>
      </c>
      <c r="AI280">
        <v>222</v>
      </c>
    </row>
    <row r="281" spans="1:35" x14ac:dyDescent="0.25">
      <c r="A281" t="s">
        <v>51</v>
      </c>
      <c r="B281" t="s">
        <v>345</v>
      </c>
      <c r="C281">
        <v>3</v>
      </c>
      <c r="E281" t="s">
        <v>53</v>
      </c>
      <c r="F281">
        <v>229</v>
      </c>
      <c r="H281" t="s">
        <v>54</v>
      </c>
      <c r="I281">
        <v>100000</v>
      </c>
      <c r="J281" t="s">
        <v>97</v>
      </c>
      <c r="K281">
        <v>74</v>
      </c>
      <c r="L281">
        <v>1216</v>
      </c>
      <c r="M281">
        <v>12016</v>
      </c>
      <c r="N281">
        <v>12</v>
      </c>
      <c r="O281">
        <v>16</v>
      </c>
      <c r="P281">
        <v>43</v>
      </c>
      <c r="Q281">
        <v>17.600000000000001</v>
      </c>
      <c r="R281">
        <v>1402</v>
      </c>
      <c r="S281">
        <v>1854</v>
      </c>
      <c r="T281" s="1">
        <v>45493</v>
      </c>
      <c r="U281" s="1">
        <v>45528</v>
      </c>
      <c r="V281">
        <v>151711</v>
      </c>
      <c r="W281">
        <v>0.99809868400000001</v>
      </c>
      <c r="X281" s="4">
        <v>0.99903944840653702</v>
      </c>
      <c r="Y281" s="4">
        <f t="shared" si="4"/>
        <v>1855.7825749094502</v>
      </c>
      <c r="AA281">
        <v>0.99904934199999995</v>
      </c>
      <c r="AB281">
        <v>1855.764197</v>
      </c>
      <c r="AC281" cm="1">
        <f t="array" ref="AC281">_xlfn.IFS(W281&lt;0.6,S281,W281&gt;0.85,S281,W281,Y281)</f>
        <v>1854</v>
      </c>
      <c r="AH281">
        <v>0</v>
      </c>
      <c r="AI281">
        <v>229</v>
      </c>
    </row>
    <row r="282" spans="1:35" x14ac:dyDescent="0.25">
      <c r="A282" t="s">
        <v>51</v>
      </c>
      <c r="B282" t="s">
        <v>346</v>
      </c>
      <c r="C282">
        <v>3</v>
      </c>
      <c r="E282" t="s">
        <v>53</v>
      </c>
      <c r="F282">
        <v>252</v>
      </c>
      <c r="H282" t="s">
        <v>54</v>
      </c>
      <c r="I282">
        <v>150000</v>
      </c>
      <c r="J282" t="s">
        <v>57</v>
      </c>
      <c r="K282">
        <v>81</v>
      </c>
      <c r="L282">
        <v>1217</v>
      </c>
      <c r="M282">
        <v>12017</v>
      </c>
      <c r="N282">
        <v>12</v>
      </c>
      <c r="O282">
        <v>17</v>
      </c>
      <c r="P282">
        <v>50</v>
      </c>
      <c r="Q282">
        <v>17.8</v>
      </c>
      <c r="R282">
        <v>472</v>
      </c>
      <c r="S282">
        <v>623</v>
      </c>
      <c r="T282" s="1">
        <v>45490</v>
      </c>
      <c r="U282" s="1">
        <v>45524</v>
      </c>
      <c r="V282">
        <v>149308</v>
      </c>
      <c r="W282">
        <v>0.98230239900000005</v>
      </c>
      <c r="X282" s="4">
        <v>0.99473677285227402</v>
      </c>
      <c r="Y282" s="4">
        <f t="shared" si="4"/>
        <v>626.29633989867614</v>
      </c>
      <c r="AA282">
        <v>0.99115120000000001</v>
      </c>
      <c r="AB282">
        <v>628.5620199</v>
      </c>
      <c r="AC282" cm="1">
        <f t="array" ref="AC282">_xlfn.IFS(W282&lt;0.6,S282,W282&gt;0.85,S282,W282,Y282)</f>
        <v>623</v>
      </c>
      <c r="AH282">
        <v>0</v>
      </c>
      <c r="AI282">
        <v>252</v>
      </c>
    </row>
    <row r="283" spans="1:35" x14ac:dyDescent="0.25">
      <c r="A283" t="s">
        <v>51</v>
      </c>
      <c r="B283" t="s">
        <v>347</v>
      </c>
      <c r="C283">
        <v>3</v>
      </c>
      <c r="E283" t="s">
        <v>53</v>
      </c>
      <c r="F283">
        <v>259</v>
      </c>
      <c r="H283" t="s">
        <v>54</v>
      </c>
      <c r="I283">
        <v>75000</v>
      </c>
      <c r="J283" t="s">
        <v>73</v>
      </c>
      <c r="K283">
        <v>57</v>
      </c>
      <c r="L283">
        <v>1218</v>
      </c>
      <c r="M283">
        <v>12018</v>
      </c>
      <c r="N283">
        <v>12</v>
      </c>
      <c r="O283">
        <v>18</v>
      </c>
      <c r="P283">
        <v>71</v>
      </c>
      <c r="Q283">
        <v>21.6</v>
      </c>
      <c r="R283">
        <v>714</v>
      </c>
      <c r="S283">
        <v>898</v>
      </c>
      <c r="T283" s="1">
        <v>45494</v>
      </c>
      <c r="U283" s="1">
        <v>45537</v>
      </c>
      <c r="V283">
        <v>148970</v>
      </c>
      <c r="W283">
        <v>0.980059342</v>
      </c>
      <c r="X283" s="4">
        <v>0.98876315789473701</v>
      </c>
      <c r="Y283" s="4">
        <f t="shared" si="4"/>
        <v>908.20536023208138</v>
      </c>
      <c r="AA283">
        <v>0.99002967100000006</v>
      </c>
      <c r="AB283">
        <v>907.04352229999995</v>
      </c>
      <c r="AC283" cm="1">
        <f t="array" ref="AC283">_xlfn.IFS(W283&lt;0.6,S283,W283&gt;0.85,S283,W283,Y283)</f>
        <v>898</v>
      </c>
      <c r="AH283">
        <v>0</v>
      </c>
      <c r="AI283">
        <v>259</v>
      </c>
    </row>
    <row r="284" spans="1:35" x14ac:dyDescent="0.25">
      <c r="A284" t="s">
        <v>51</v>
      </c>
      <c r="B284" t="s">
        <v>348</v>
      </c>
      <c r="C284">
        <v>4</v>
      </c>
      <c r="E284" t="s">
        <v>53</v>
      </c>
      <c r="F284">
        <v>282</v>
      </c>
      <c r="H284" t="s">
        <v>61</v>
      </c>
      <c r="I284">
        <v>75000</v>
      </c>
      <c r="J284" t="s">
        <v>99</v>
      </c>
      <c r="K284">
        <v>15</v>
      </c>
      <c r="L284">
        <v>1219</v>
      </c>
      <c r="M284">
        <v>12019</v>
      </c>
      <c r="N284">
        <v>12</v>
      </c>
      <c r="O284">
        <v>19</v>
      </c>
      <c r="P284">
        <v>39</v>
      </c>
      <c r="Q284">
        <v>19.3</v>
      </c>
      <c r="R284">
        <v>1677</v>
      </c>
      <c r="S284">
        <v>2172</v>
      </c>
      <c r="T284" s="1">
        <v>45494</v>
      </c>
      <c r="U284" s="1">
        <v>45534</v>
      </c>
      <c r="V284">
        <v>124924</v>
      </c>
      <c r="W284">
        <v>0.95535714299999996</v>
      </c>
      <c r="X284" s="4">
        <v>0.99257884972170696</v>
      </c>
      <c r="Y284" s="4">
        <f t="shared" si="4"/>
        <v>2188.2392523364483</v>
      </c>
      <c r="AA284">
        <v>0.91093150700000003</v>
      </c>
      <c r="AB284">
        <v>2384.3724619999998</v>
      </c>
      <c r="AC284" cm="1">
        <f t="array" ref="AC284">_xlfn.IFS(W284&lt;0.6,S284,W284&gt;0.85,S284,W284,Y284)</f>
        <v>2172</v>
      </c>
      <c r="AH284">
        <v>0</v>
      </c>
      <c r="AI284">
        <v>282</v>
      </c>
    </row>
    <row r="285" spans="1:35" x14ac:dyDescent="0.25">
      <c r="A285" t="s">
        <v>51</v>
      </c>
      <c r="B285" t="s">
        <v>349</v>
      </c>
      <c r="C285">
        <v>4</v>
      </c>
      <c r="E285" t="s">
        <v>53</v>
      </c>
      <c r="F285">
        <v>289</v>
      </c>
      <c r="H285" t="s">
        <v>61</v>
      </c>
      <c r="I285">
        <v>100000</v>
      </c>
      <c r="J285" t="s">
        <v>73</v>
      </c>
      <c r="K285">
        <v>27</v>
      </c>
      <c r="L285">
        <v>1220</v>
      </c>
      <c r="M285">
        <v>12020</v>
      </c>
      <c r="N285">
        <v>12</v>
      </c>
      <c r="O285">
        <v>20</v>
      </c>
      <c r="P285">
        <v>71</v>
      </c>
      <c r="Q285">
        <v>18.5</v>
      </c>
      <c r="R285">
        <v>695</v>
      </c>
      <c r="S285">
        <v>909</v>
      </c>
      <c r="T285" s="1">
        <v>45494</v>
      </c>
      <c r="V285">
        <v>121064</v>
      </c>
      <c r="W285">
        <v>0.92850759599999999</v>
      </c>
      <c r="X285" s="4">
        <v>0.968518518518519</v>
      </c>
      <c r="Y285" s="4">
        <f t="shared" si="4"/>
        <v>938.54684512428253</v>
      </c>
      <c r="AA285">
        <v>0.89823422200000003</v>
      </c>
      <c r="AB285">
        <v>1011.985491</v>
      </c>
      <c r="AC285" cm="1">
        <f t="array" ref="AC285">_xlfn.IFS(W285&lt;0.6,S285,W285&gt;0.85,S285,W285,Y285)</f>
        <v>909</v>
      </c>
      <c r="AH285">
        <v>0</v>
      </c>
      <c r="AI285">
        <v>289</v>
      </c>
    </row>
    <row r="286" spans="1:35" x14ac:dyDescent="0.25">
      <c r="A286" t="s">
        <v>51</v>
      </c>
      <c r="B286" t="s">
        <v>350</v>
      </c>
      <c r="C286">
        <v>4</v>
      </c>
      <c r="E286" t="s">
        <v>53</v>
      </c>
      <c r="F286">
        <v>312</v>
      </c>
      <c r="H286" t="s">
        <v>61</v>
      </c>
      <c r="I286">
        <v>150000</v>
      </c>
      <c r="J286" t="s">
        <v>110</v>
      </c>
      <c r="K286">
        <v>39</v>
      </c>
      <c r="L286">
        <v>1221</v>
      </c>
      <c r="M286">
        <v>12021</v>
      </c>
      <c r="N286">
        <v>12</v>
      </c>
      <c r="O286">
        <v>21</v>
      </c>
      <c r="P286">
        <v>59</v>
      </c>
      <c r="Q286">
        <v>18</v>
      </c>
      <c r="R286">
        <v>387</v>
      </c>
      <c r="S286" t="s">
        <v>431</v>
      </c>
      <c r="T286" s="1">
        <v>45491</v>
      </c>
      <c r="U286" s="1">
        <v>45525</v>
      </c>
      <c r="V286">
        <v>122094</v>
      </c>
      <c r="W286">
        <v>0.91265597099999995</v>
      </c>
      <c r="X286" s="4">
        <v>0.95555555555555605</v>
      </c>
      <c r="Y286" s="4" t="s">
        <v>431</v>
      </c>
      <c r="AA286">
        <v>0.90163292699999997</v>
      </c>
      <c r="AB286">
        <v>564.5312907</v>
      </c>
      <c r="AC286" t="str" cm="1">
        <f t="array" ref="AC286">_xlfn.IFS(W286&lt;0.6,S286,W286&gt;0.85,S286,W286,Y286)</f>
        <v>.</v>
      </c>
      <c r="AH286">
        <v>0</v>
      </c>
      <c r="AI286">
        <v>312</v>
      </c>
    </row>
    <row r="287" spans="1:35" x14ac:dyDescent="0.25">
      <c r="A287" t="s">
        <v>51</v>
      </c>
      <c r="B287" t="s">
        <v>351</v>
      </c>
      <c r="C287">
        <v>4</v>
      </c>
      <c r="E287" t="s">
        <v>53</v>
      </c>
      <c r="F287">
        <v>319</v>
      </c>
      <c r="H287" t="s">
        <v>54</v>
      </c>
      <c r="I287">
        <v>150000</v>
      </c>
      <c r="J287" t="s">
        <v>110</v>
      </c>
      <c r="K287">
        <v>84</v>
      </c>
      <c r="L287">
        <v>1222</v>
      </c>
      <c r="M287">
        <v>12022</v>
      </c>
      <c r="N287">
        <v>12</v>
      </c>
      <c r="O287">
        <v>22</v>
      </c>
      <c r="P287">
        <v>67</v>
      </c>
      <c r="Q287">
        <v>20.6</v>
      </c>
      <c r="R287">
        <v>399</v>
      </c>
      <c r="S287" t="s">
        <v>431</v>
      </c>
      <c r="T287" s="1">
        <v>45491</v>
      </c>
      <c r="U287" s="1">
        <v>45525</v>
      </c>
      <c r="V287">
        <v>151684</v>
      </c>
      <c r="W287">
        <v>0.997907922</v>
      </c>
      <c r="X287" s="4">
        <v>0.99952632202207903</v>
      </c>
      <c r="Y287" s="4" t="s">
        <v>431</v>
      </c>
      <c r="AA287">
        <v>0.998953961</v>
      </c>
      <c r="AB287">
        <v>508.5319442</v>
      </c>
      <c r="AC287" t="str" cm="1">
        <f t="array" ref="AC287">_xlfn.IFS(W287&lt;0.6,S287,W287&gt;0.85,S287,W287,Y287)</f>
        <v>.</v>
      </c>
      <c r="AH287">
        <v>0</v>
      </c>
      <c r="AI287">
        <v>319</v>
      </c>
    </row>
    <row r="288" spans="1:35" x14ac:dyDescent="0.25">
      <c r="A288" t="s">
        <v>51</v>
      </c>
      <c r="B288" t="s">
        <v>352</v>
      </c>
      <c r="C288">
        <v>4</v>
      </c>
      <c r="E288" t="s">
        <v>53</v>
      </c>
      <c r="F288">
        <v>342</v>
      </c>
      <c r="H288" t="s">
        <v>54</v>
      </c>
      <c r="I288">
        <v>100000</v>
      </c>
      <c r="J288" t="s">
        <v>62</v>
      </c>
      <c r="K288">
        <v>62</v>
      </c>
      <c r="L288">
        <v>1223</v>
      </c>
      <c r="M288">
        <v>12023</v>
      </c>
      <c r="N288">
        <v>12</v>
      </c>
      <c r="O288">
        <v>23</v>
      </c>
      <c r="P288">
        <v>66</v>
      </c>
      <c r="Q288">
        <v>25.3</v>
      </c>
      <c r="R288">
        <v>1503</v>
      </c>
      <c r="S288">
        <v>1802</v>
      </c>
      <c r="T288" s="1">
        <v>45497</v>
      </c>
      <c r="U288" s="1">
        <v>45532</v>
      </c>
      <c r="V288">
        <v>150645</v>
      </c>
      <c r="W288">
        <v>0.99107900599999998</v>
      </c>
      <c r="X288" s="4">
        <v>0.99640789473684199</v>
      </c>
      <c r="Y288" s="4">
        <f t="shared" si="4"/>
        <v>1808.4963091103571</v>
      </c>
      <c r="AA288">
        <v>0.99553950300000005</v>
      </c>
      <c r="AB288">
        <v>1810.0738289999999</v>
      </c>
      <c r="AC288" cm="1">
        <f t="array" ref="AC288">_xlfn.IFS(W288&lt;0.6,S288,W288&gt;0.85,S288,W288,Y288)</f>
        <v>1802</v>
      </c>
      <c r="AH288">
        <v>0</v>
      </c>
      <c r="AI288">
        <v>342</v>
      </c>
    </row>
    <row r="289" spans="1:35" x14ac:dyDescent="0.25">
      <c r="A289" t="s">
        <v>51</v>
      </c>
      <c r="B289" t="s">
        <v>353</v>
      </c>
      <c r="C289">
        <v>4</v>
      </c>
      <c r="E289" t="s">
        <v>53</v>
      </c>
      <c r="F289">
        <v>349</v>
      </c>
      <c r="H289" t="s">
        <v>54</v>
      </c>
      <c r="I289">
        <v>75000</v>
      </c>
      <c r="J289" t="s">
        <v>57</v>
      </c>
      <c r="K289">
        <v>51</v>
      </c>
      <c r="L289">
        <v>1224</v>
      </c>
      <c r="M289">
        <v>12024</v>
      </c>
      <c r="N289">
        <v>12</v>
      </c>
      <c r="O289">
        <v>24</v>
      </c>
      <c r="P289">
        <v>55</v>
      </c>
      <c r="Q289">
        <v>22.2</v>
      </c>
      <c r="R289">
        <v>501</v>
      </c>
      <c r="S289">
        <v>625</v>
      </c>
      <c r="T289" s="1">
        <v>45493</v>
      </c>
      <c r="U289" s="1">
        <v>45528</v>
      </c>
      <c r="V289">
        <v>151269</v>
      </c>
      <c r="W289">
        <v>0.99519733700000002</v>
      </c>
      <c r="X289" s="4">
        <v>0.99700003947316496</v>
      </c>
      <c r="Y289" s="4">
        <f t="shared" si="4"/>
        <v>626.88061710635702</v>
      </c>
      <c r="AA289">
        <v>0.99759866900000005</v>
      </c>
      <c r="AB289">
        <v>626.50444489999995</v>
      </c>
      <c r="AC289" cm="1">
        <f t="array" ref="AC289">_xlfn.IFS(W289&lt;0.6,S289,W289&gt;0.85,S289,W289,Y289)</f>
        <v>625</v>
      </c>
      <c r="AH289">
        <v>0</v>
      </c>
      <c r="AI289">
        <v>349</v>
      </c>
    </row>
    <row r="290" spans="1:35" x14ac:dyDescent="0.25">
      <c r="A290" t="s">
        <v>51</v>
      </c>
      <c r="B290" t="s">
        <v>354</v>
      </c>
      <c r="C290">
        <v>1</v>
      </c>
      <c r="E290" t="s">
        <v>53</v>
      </c>
      <c r="F290">
        <v>13</v>
      </c>
      <c r="H290" t="s">
        <v>54</v>
      </c>
      <c r="I290">
        <v>100000</v>
      </c>
      <c r="J290" t="s">
        <v>95</v>
      </c>
      <c r="K290">
        <v>67</v>
      </c>
      <c r="L290">
        <v>1301</v>
      </c>
      <c r="M290">
        <v>13001</v>
      </c>
      <c r="N290">
        <v>13</v>
      </c>
      <c r="O290">
        <v>1</v>
      </c>
      <c r="P290">
        <v>40</v>
      </c>
      <c r="Q290">
        <v>19.5</v>
      </c>
      <c r="R290">
        <v>1360</v>
      </c>
      <c r="S290">
        <v>1757</v>
      </c>
      <c r="T290" s="1">
        <v>45498</v>
      </c>
      <c r="U290" s="1">
        <v>45536</v>
      </c>
      <c r="V290">
        <v>129422</v>
      </c>
      <c r="W290">
        <v>0.85145492499999997</v>
      </c>
      <c r="X290" s="4">
        <v>0.88027474045711096</v>
      </c>
      <c r="Y290" s="4">
        <f t="shared" si="4"/>
        <v>1995.9677578475344</v>
      </c>
      <c r="AA290">
        <v>0.92572746299999997</v>
      </c>
      <c r="AB290">
        <v>1897.966811</v>
      </c>
      <c r="AC290" cm="1">
        <f t="array" ref="AC290">_xlfn.IFS(W290&lt;0.6,S290,W290&gt;0.85,S290,W290,Y290)</f>
        <v>1757</v>
      </c>
      <c r="AH290">
        <v>0</v>
      </c>
      <c r="AI290">
        <v>13</v>
      </c>
    </row>
    <row r="291" spans="1:35" x14ac:dyDescent="0.25">
      <c r="A291" t="s">
        <v>51</v>
      </c>
      <c r="B291" t="s">
        <v>355</v>
      </c>
      <c r="C291">
        <v>1</v>
      </c>
      <c r="E291" t="s">
        <v>53</v>
      </c>
      <c r="F291">
        <v>18</v>
      </c>
      <c r="H291" t="s">
        <v>54</v>
      </c>
      <c r="I291">
        <v>150000</v>
      </c>
      <c r="J291" t="s">
        <v>71</v>
      </c>
      <c r="K291">
        <v>86</v>
      </c>
      <c r="L291">
        <v>1302</v>
      </c>
      <c r="M291">
        <v>13002</v>
      </c>
      <c r="N291">
        <v>13</v>
      </c>
      <c r="O291">
        <v>2</v>
      </c>
      <c r="P291">
        <v>61</v>
      </c>
      <c r="Q291">
        <v>21.2</v>
      </c>
      <c r="R291">
        <v>763</v>
      </c>
      <c r="S291">
        <v>965</v>
      </c>
      <c r="T291" s="1">
        <v>45493</v>
      </c>
      <c r="U291" s="1">
        <v>45530</v>
      </c>
      <c r="V291">
        <v>149562</v>
      </c>
      <c r="W291">
        <v>0.98397347300000004</v>
      </c>
      <c r="X291" s="4">
        <v>0.989697232858327</v>
      </c>
      <c r="Y291" s="4">
        <f t="shared" si="4"/>
        <v>975.04566847479271</v>
      </c>
      <c r="AA291">
        <v>0.99198673699999995</v>
      </c>
      <c r="AB291">
        <v>972.79526480000004</v>
      </c>
      <c r="AC291" cm="1">
        <f t="array" ref="AC291">_xlfn.IFS(W291&lt;0.6,S291,W291&gt;0.85,S291,W291,Y291)</f>
        <v>965</v>
      </c>
      <c r="AH291">
        <v>0</v>
      </c>
      <c r="AI291">
        <v>18</v>
      </c>
    </row>
    <row r="292" spans="1:35" x14ac:dyDescent="0.25">
      <c r="A292" t="s">
        <v>51</v>
      </c>
      <c r="B292" t="s">
        <v>356</v>
      </c>
      <c r="C292">
        <v>1</v>
      </c>
      <c r="E292" t="s">
        <v>53</v>
      </c>
      <c r="F292">
        <v>43</v>
      </c>
      <c r="H292" t="s">
        <v>54</v>
      </c>
      <c r="I292">
        <v>75000</v>
      </c>
      <c r="J292" t="s">
        <v>65</v>
      </c>
      <c r="K292">
        <v>48</v>
      </c>
      <c r="L292">
        <v>1303</v>
      </c>
      <c r="M292">
        <v>13003</v>
      </c>
      <c r="N292">
        <v>13</v>
      </c>
      <c r="O292">
        <v>3</v>
      </c>
      <c r="P292">
        <v>39</v>
      </c>
      <c r="Q292">
        <v>20.5</v>
      </c>
      <c r="R292">
        <v>2047</v>
      </c>
      <c r="S292">
        <v>2611</v>
      </c>
      <c r="T292" s="1">
        <v>45498</v>
      </c>
      <c r="U292" s="1">
        <v>45534</v>
      </c>
      <c r="V292">
        <v>132852</v>
      </c>
      <c r="W292">
        <v>0.874020566</v>
      </c>
      <c r="X292" s="4">
        <v>0.98680297886897705</v>
      </c>
      <c r="Y292" s="4">
        <f t="shared" si="4"/>
        <v>2645.9182389098523</v>
      </c>
      <c r="AA292">
        <v>0.937010283</v>
      </c>
      <c r="AB292">
        <v>2786.5222480000002</v>
      </c>
      <c r="AC292" cm="1">
        <f t="array" ref="AC292">_xlfn.IFS(W292&lt;0.6,S292,W292&gt;0.85,S292,W292,Y292)</f>
        <v>2611</v>
      </c>
      <c r="AH292">
        <v>0</v>
      </c>
      <c r="AI292">
        <v>43</v>
      </c>
    </row>
    <row r="293" spans="1:35" x14ac:dyDescent="0.25">
      <c r="A293" t="s">
        <v>51</v>
      </c>
      <c r="B293" s="2" t="s">
        <v>357</v>
      </c>
      <c r="C293">
        <v>1</v>
      </c>
      <c r="E293" t="s">
        <v>53</v>
      </c>
      <c r="F293">
        <v>48</v>
      </c>
      <c r="H293" t="s">
        <v>61</v>
      </c>
      <c r="I293">
        <v>150000</v>
      </c>
      <c r="J293" t="s">
        <v>71</v>
      </c>
      <c r="K293">
        <v>41</v>
      </c>
      <c r="L293">
        <v>1304</v>
      </c>
      <c r="M293">
        <v>13004</v>
      </c>
      <c r="N293">
        <v>13</v>
      </c>
      <c r="O293">
        <v>4</v>
      </c>
      <c r="P293">
        <v>54</v>
      </c>
      <c r="Q293">
        <v>20.7</v>
      </c>
      <c r="R293">
        <v>645</v>
      </c>
      <c r="S293">
        <v>821</v>
      </c>
      <c r="T293" s="1">
        <v>45492</v>
      </c>
      <c r="U293" s="1">
        <v>45530</v>
      </c>
      <c r="V293">
        <v>119061</v>
      </c>
      <c r="W293">
        <v>0.87209302300000002</v>
      </c>
      <c r="X293" s="4">
        <v>0.93506493506493504</v>
      </c>
      <c r="Y293" s="4">
        <f t="shared" si="4"/>
        <v>878.01388888888891</v>
      </c>
      <c r="AA293">
        <v>0.89164802700000001</v>
      </c>
      <c r="AB293">
        <v>920.76691210000001</v>
      </c>
      <c r="AC293" cm="1">
        <f t="array" ref="AC293">_xlfn.IFS(W293&lt;0.6,S293,W293&gt;0.85,S293,W293,Y293)</f>
        <v>821</v>
      </c>
      <c r="AH293">
        <v>0</v>
      </c>
      <c r="AI293">
        <v>48</v>
      </c>
    </row>
    <row r="294" spans="1:35" x14ac:dyDescent="0.25">
      <c r="A294" t="s">
        <v>51</v>
      </c>
      <c r="B294" t="s">
        <v>358</v>
      </c>
      <c r="C294">
        <v>1</v>
      </c>
      <c r="E294" t="s">
        <v>53</v>
      </c>
      <c r="F294">
        <v>73</v>
      </c>
      <c r="H294" t="s">
        <v>61</v>
      </c>
      <c r="I294">
        <v>75000</v>
      </c>
      <c r="J294" t="s">
        <v>77</v>
      </c>
      <c r="K294">
        <v>4</v>
      </c>
      <c r="L294">
        <v>1305</v>
      </c>
      <c r="M294">
        <v>13005</v>
      </c>
      <c r="N294">
        <v>13</v>
      </c>
      <c r="O294">
        <v>5</v>
      </c>
      <c r="P294">
        <v>64</v>
      </c>
      <c r="Q294">
        <v>21.6</v>
      </c>
      <c r="R294">
        <v>666</v>
      </c>
      <c r="S294">
        <v>838</v>
      </c>
      <c r="T294" s="1">
        <v>45498</v>
      </c>
      <c r="V294">
        <v>121315</v>
      </c>
      <c r="W294">
        <v>0.94454382800000003</v>
      </c>
      <c r="X294" s="4">
        <v>0.97962962962962996</v>
      </c>
      <c r="Y294" s="4">
        <f t="shared" si="4"/>
        <v>855.4253308128541</v>
      </c>
      <c r="AA294">
        <v>0.89906249999999999</v>
      </c>
      <c r="AB294">
        <v>932.08202989999995</v>
      </c>
      <c r="AC294" cm="1">
        <f t="array" ref="AC294">_xlfn.IFS(W294&lt;0.6,S294,W294&gt;0.85,S294,W294,Y294)</f>
        <v>838</v>
      </c>
      <c r="AH294">
        <v>0</v>
      </c>
      <c r="AI294">
        <v>73</v>
      </c>
    </row>
    <row r="295" spans="1:35" x14ac:dyDescent="0.25">
      <c r="A295" t="s">
        <v>51</v>
      </c>
      <c r="B295" t="s">
        <v>359</v>
      </c>
      <c r="C295">
        <v>1</v>
      </c>
      <c r="E295" t="s">
        <v>53</v>
      </c>
      <c r="F295">
        <v>78</v>
      </c>
      <c r="H295" t="s">
        <v>61</v>
      </c>
      <c r="I295">
        <v>100000</v>
      </c>
      <c r="J295" t="s">
        <v>85</v>
      </c>
      <c r="K295">
        <v>28</v>
      </c>
      <c r="L295">
        <v>1306</v>
      </c>
      <c r="M295">
        <v>13006</v>
      </c>
      <c r="N295">
        <v>13</v>
      </c>
      <c r="O295">
        <v>6</v>
      </c>
      <c r="P295">
        <v>54</v>
      </c>
      <c r="Q295">
        <v>23.2</v>
      </c>
      <c r="R295">
        <v>1886</v>
      </c>
      <c r="S295">
        <v>2324</v>
      </c>
      <c r="T295" s="1">
        <v>45499</v>
      </c>
      <c r="U295" s="1">
        <v>45535</v>
      </c>
      <c r="V295">
        <v>108032</v>
      </c>
      <c r="W295">
        <v>0.737030411</v>
      </c>
      <c r="X295" s="4">
        <v>0.82994454713493504</v>
      </c>
      <c r="Y295" s="4">
        <f t="shared" si="4"/>
        <v>2800.1870824053462</v>
      </c>
      <c r="AA295">
        <v>0.85537075900000004</v>
      </c>
      <c r="AB295">
        <v>2716.9504870000001</v>
      </c>
      <c r="AC295" cm="1">
        <f t="array" ref="AC295">_xlfn.IFS(W295&lt;0.6,S295,W295&gt;0.85,S295,W295,Y295)</f>
        <v>2800.1870824053462</v>
      </c>
      <c r="AH295">
        <v>0</v>
      </c>
      <c r="AI295">
        <v>78</v>
      </c>
    </row>
    <row r="296" spans="1:35" x14ac:dyDescent="0.25">
      <c r="A296" t="s">
        <v>51</v>
      </c>
      <c r="B296" t="s">
        <v>360</v>
      </c>
      <c r="C296">
        <v>2</v>
      </c>
      <c r="E296" t="s">
        <v>53</v>
      </c>
      <c r="F296">
        <v>103</v>
      </c>
      <c r="H296" t="s">
        <v>61</v>
      </c>
      <c r="I296">
        <v>75000</v>
      </c>
      <c r="J296" t="s">
        <v>73</v>
      </c>
      <c r="K296">
        <v>12</v>
      </c>
      <c r="L296">
        <v>1307</v>
      </c>
      <c r="M296">
        <v>13007</v>
      </c>
      <c r="N296">
        <v>13</v>
      </c>
      <c r="O296">
        <v>7</v>
      </c>
      <c r="P296">
        <v>76</v>
      </c>
      <c r="Q296">
        <v>22</v>
      </c>
      <c r="R296">
        <v>745</v>
      </c>
      <c r="S296">
        <v>932</v>
      </c>
      <c r="T296" s="1">
        <v>45495</v>
      </c>
      <c r="V296">
        <v>97701</v>
      </c>
      <c r="W296">
        <v>0.65093499600000004</v>
      </c>
      <c r="X296" s="4">
        <v>0.73048327137546498</v>
      </c>
      <c r="Y296" s="4">
        <f t="shared" si="4"/>
        <v>1275.8676844783711</v>
      </c>
      <c r="AA296">
        <v>0.82138275400000005</v>
      </c>
      <c r="AB296">
        <v>1134.6719849999999</v>
      </c>
      <c r="AC296" cm="1">
        <f t="array" ref="AC296">_xlfn.IFS(W296&lt;0.6,S296,W296&gt;0.85,S296,W296,Y296)</f>
        <v>1275.8676844783711</v>
      </c>
      <c r="AH296">
        <v>0</v>
      </c>
      <c r="AI296">
        <v>103</v>
      </c>
    </row>
    <row r="297" spans="1:35" x14ac:dyDescent="0.25">
      <c r="A297" t="s">
        <v>51</v>
      </c>
      <c r="B297" t="s">
        <v>361</v>
      </c>
      <c r="C297">
        <v>2</v>
      </c>
      <c r="E297" t="s">
        <v>53</v>
      </c>
      <c r="F297">
        <v>108</v>
      </c>
      <c r="H297" t="s">
        <v>61</v>
      </c>
      <c r="I297">
        <v>150000</v>
      </c>
      <c r="J297" t="s">
        <v>65</v>
      </c>
      <c r="K297">
        <v>33</v>
      </c>
      <c r="L297">
        <v>1308</v>
      </c>
      <c r="M297">
        <v>13008</v>
      </c>
      <c r="N297">
        <v>13</v>
      </c>
      <c r="O297">
        <v>8</v>
      </c>
      <c r="P297">
        <v>40</v>
      </c>
      <c r="Q297">
        <v>18.899999999999999</v>
      </c>
      <c r="R297">
        <v>1559</v>
      </c>
      <c r="S297">
        <v>2029</v>
      </c>
      <c r="T297" s="1">
        <v>45497</v>
      </c>
      <c r="U297" s="1">
        <v>45534</v>
      </c>
      <c r="V297">
        <v>111288</v>
      </c>
      <c r="W297">
        <v>0.85535714299999999</v>
      </c>
      <c r="X297" s="4">
        <v>0.99629629629629601</v>
      </c>
      <c r="Y297" s="4">
        <f t="shared" si="4"/>
        <v>2036.5427509293686</v>
      </c>
      <c r="AA297">
        <v>0.86607653900000003</v>
      </c>
      <c r="AB297">
        <v>2342.7490630000002</v>
      </c>
      <c r="AC297" cm="1">
        <f t="array" ref="AC297">_xlfn.IFS(W297&lt;0.6,S297,W297&gt;0.85,S297,W297,Y297)</f>
        <v>2029</v>
      </c>
      <c r="AH297">
        <v>0</v>
      </c>
      <c r="AI297">
        <v>108</v>
      </c>
    </row>
    <row r="298" spans="1:35" x14ac:dyDescent="0.25">
      <c r="A298" t="s">
        <v>51</v>
      </c>
      <c r="B298" t="s">
        <v>362</v>
      </c>
      <c r="C298">
        <v>2</v>
      </c>
      <c r="E298" t="s">
        <v>53</v>
      </c>
      <c r="F298">
        <v>133</v>
      </c>
      <c r="H298" t="s">
        <v>61</v>
      </c>
      <c r="I298">
        <v>100000</v>
      </c>
      <c r="J298" t="s">
        <v>99</v>
      </c>
      <c r="K298">
        <v>30</v>
      </c>
      <c r="L298">
        <v>1309</v>
      </c>
      <c r="M298">
        <v>13009</v>
      </c>
      <c r="N298">
        <v>13</v>
      </c>
      <c r="O298">
        <v>9</v>
      </c>
      <c r="P298">
        <v>50</v>
      </c>
      <c r="Q298">
        <v>18.8</v>
      </c>
      <c r="R298">
        <v>1451</v>
      </c>
      <c r="S298">
        <v>1891</v>
      </c>
      <c r="T298" s="1">
        <v>45496</v>
      </c>
      <c r="U298" s="1">
        <v>45534</v>
      </c>
      <c r="V298">
        <v>108943</v>
      </c>
      <c r="W298">
        <v>0.69677996399999997</v>
      </c>
      <c r="X298" s="4">
        <v>0.75695732838590002</v>
      </c>
      <c r="Y298" s="4">
        <f t="shared" si="4"/>
        <v>2498.1593137254895</v>
      </c>
      <c r="AA298">
        <v>0.858372205</v>
      </c>
      <c r="AB298">
        <v>2203.0070289999999</v>
      </c>
      <c r="AC298" cm="1">
        <f t="array" ref="AC298">_xlfn.IFS(W298&lt;0.6,S298,W298&gt;0.85,S298,W298,Y298)</f>
        <v>2498.1593137254895</v>
      </c>
      <c r="AH298">
        <v>0</v>
      </c>
      <c r="AI298">
        <v>133</v>
      </c>
    </row>
    <row r="299" spans="1:35" x14ac:dyDescent="0.25">
      <c r="A299" t="s">
        <v>51</v>
      </c>
      <c r="B299" t="s">
        <v>363</v>
      </c>
      <c r="C299">
        <v>2</v>
      </c>
      <c r="E299" t="s">
        <v>53</v>
      </c>
      <c r="F299">
        <v>138</v>
      </c>
      <c r="H299" t="s">
        <v>54</v>
      </c>
      <c r="I299">
        <v>100000</v>
      </c>
      <c r="J299" t="s">
        <v>82</v>
      </c>
      <c r="K299">
        <v>65</v>
      </c>
      <c r="L299">
        <v>1310</v>
      </c>
      <c r="M299">
        <v>13010</v>
      </c>
      <c r="N299">
        <v>13</v>
      </c>
      <c r="O299">
        <v>10</v>
      </c>
      <c r="P299">
        <v>27</v>
      </c>
      <c r="Q299">
        <v>18.899999999999999</v>
      </c>
      <c r="R299">
        <v>2265</v>
      </c>
      <c r="S299">
        <v>2948</v>
      </c>
      <c r="T299" s="1">
        <v>45497</v>
      </c>
      <c r="U299" s="1">
        <v>45530</v>
      </c>
      <c r="V299">
        <v>150589</v>
      </c>
      <c r="W299">
        <v>0.99071058700000003</v>
      </c>
      <c r="X299" s="4">
        <v>0.99296043368991704</v>
      </c>
      <c r="Y299" s="4">
        <f t="shared" si="4"/>
        <v>2968.899766776211</v>
      </c>
      <c r="AA299">
        <v>0.995355294</v>
      </c>
      <c r="AB299">
        <v>2961.7564900000002</v>
      </c>
      <c r="AC299" cm="1">
        <f t="array" ref="AC299">_xlfn.IFS(W299&lt;0.6,S299,W299&gt;0.85,S299,W299,Y299)</f>
        <v>2948</v>
      </c>
      <c r="AH299">
        <v>0</v>
      </c>
      <c r="AI299">
        <v>138</v>
      </c>
    </row>
    <row r="300" spans="1:35" x14ac:dyDescent="0.25">
      <c r="A300" t="s">
        <v>51</v>
      </c>
      <c r="B300" t="s">
        <v>364</v>
      </c>
      <c r="C300">
        <v>2</v>
      </c>
      <c r="E300" t="s">
        <v>53</v>
      </c>
      <c r="F300">
        <v>163</v>
      </c>
      <c r="H300" t="s">
        <v>54</v>
      </c>
      <c r="I300">
        <v>75000</v>
      </c>
      <c r="J300" t="s">
        <v>65</v>
      </c>
      <c r="K300">
        <v>48</v>
      </c>
      <c r="L300">
        <v>1311</v>
      </c>
      <c r="M300">
        <v>13011</v>
      </c>
      <c r="N300">
        <v>13</v>
      </c>
      <c r="O300">
        <v>11</v>
      </c>
      <c r="P300">
        <v>39</v>
      </c>
      <c r="Q300">
        <v>19.7</v>
      </c>
      <c r="R300">
        <v>1858</v>
      </c>
      <c r="S300">
        <v>2394</v>
      </c>
      <c r="T300" s="1">
        <v>45497</v>
      </c>
      <c r="U300" s="1">
        <v>45533</v>
      </c>
      <c r="V300">
        <v>146841</v>
      </c>
      <c r="W300">
        <v>0.96604649899999995</v>
      </c>
      <c r="X300" s="4">
        <v>0.99638153133593899</v>
      </c>
      <c r="Y300" s="4">
        <f t="shared" si="4"/>
        <v>2402.6940732132471</v>
      </c>
      <c r="AA300">
        <v>0.98302325000000002</v>
      </c>
      <c r="AB300">
        <v>2435.344231</v>
      </c>
      <c r="AC300" cm="1">
        <f t="array" ref="AC300">_xlfn.IFS(W300&lt;0.6,S300,W300&gt;0.85,S300,W300,Y300)</f>
        <v>2394</v>
      </c>
      <c r="AH300">
        <v>0</v>
      </c>
      <c r="AI300">
        <v>163</v>
      </c>
    </row>
    <row r="301" spans="1:35" x14ac:dyDescent="0.25">
      <c r="A301" t="s">
        <v>51</v>
      </c>
      <c r="B301" t="s">
        <v>365</v>
      </c>
      <c r="C301">
        <v>2</v>
      </c>
      <c r="E301" t="s">
        <v>53</v>
      </c>
      <c r="F301">
        <v>168</v>
      </c>
      <c r="H301" t="s">
        <v>54</v>
      </c>
      <c r="I301">
        <v>150000</v>
      </c>
      <c r="J301" t="s">
        <v>80</v>
      </c>
      <c r="K301">
        <v>76</v>
      </c>
      <c r="L301">
        <v>1312</v>
      </c>
      <c r="M301">
        <v>13012</v>
      </c>
      <c r="N301">
        <v>13</v>
      </c>
      <c r="O301">
        <v>12</v>
      </c>
      <c r="P301">
        <v>29</v>
      </c>
      <c r="Q301">
        <v>21.5</v>
      </c>
      <c r="R301">
        <v>2397</v>
      </c>
      <c r="S301">
        <v>3019</v>
      </c>
      <c r="T301" s="1">
        <v>45497</v>
      </c>
      <c r="U301" s="1">
        <v>45534</v>
      </c>
      <c r="V301">
        <v>142216</v>
      </c>
      <c r="W301">
        <v>0.93563157900000005</v>
      </c>
      <c r="X301" s="4">
        <v>0.99819739213957703</v>
      </c>
      <c r="Y301" s="4">
        <f t="shared" si="4"/>
        <v>3024.4519007697986</v>
      </c>
      <c r="AA301">
        <v>0.96781578999999995</v>
      </c>
      <c r="AB301">
        <v>3119.395274</v>
      </c>
      <c r="AC301" cm="1">
        <f t="array" ref="AC301">_xlfn.IFS(W301&lt;0.6,S301,W301&gt;0.85,S301,W301,Y301)</f>
        <v>3019</v>
      </c>
      <c r="AH301">
        <v>0</v>
      </c>
      <c r="AI301">
        <v>168</v>
      </c>
    </row>
    <row r="302" spans="1:35" x14ac:dyDescent="0.25">
      <c r="A302" t="s">
        <v>51</v>
      </c>
      <c r="B302" t="s">
        <v>366</v>
      </c>
      <c r="C302">
        <v>3</v>
      </c>
      <c r="E302" t="s">
        <v>53</v>
      </c>
      <c r="F302">
        <v>193</v>
      </c>
      <c r="H302" t="s">
        <v>61</v>
      </c>
      <c r="I302">
        <v>150000</v>
      </c>
      <c r="J302" t="s">
        <v>57</v>
      </c>
      <c r="K302">
        <v>36</v>
      </c>
      <c r="L302">
        <v>1313</v>
      </c>
      <c r="M302">
        <v>13013</v>
      </c>
      <c r="N302">
        <v>13</v>
      </c>
      <c r="O302">
        <v>13</v>
      </c>
      <c r="P302">
        <v>54</v>
      </c>
      <c r="Q302">
        <v>19.2</v>
      </c>
      <c r="R302">
        <v>277</v>
      </c>
      <c r="S302">
        <v>359</v>
      </c>
      <c r="T302" s="1">
        <v>45491</v>
      </c>
      <c r="U302" s="1">
        <v>45525</v>
      </c>
      <c r="V302">
        <v>111339</v>
      </c>
      <c r="W302">
        <v>0.71900089199999995</v>
      </c>
      <c r="X302" s="4">
        <v>0.658040665434381</v>
      </c>
      <c r="Y302" s="4">
        <f t="shared" si="4"/>
        <v>545.55898876404478</v>
      </c>
      <c r="AA302">
        <v>0.86625152999999999</v>
      </c>
      <c r="AB302">
        <v>414.42928269999999</v>
      </c>
      <c r="AC302" cm="1">
        <f t="array" ref="AC302">_xlfn.IFS(W302&lt;0.6,S302,W302&gt;0.85,S302,W302,Y302)</f>
        <v>545.55898876404478</v>
      </c>
      <c r="AH302">
        <v>0</v>
      </c>
      <c r="AI302">
        <v>193</v>
      </c>
    </row>
    <row r="303" spans="1:35" x14ac:dyDescent="0.25">
      <c r="A303" t="s">
        <v>51</v>
      </c>
      <c r="B303" t="s">
        <v>367</v>
      </c>
      <c r="C303">
        <v>3</v>
      </c>
      <c r="E303" t="s">
        <v>53</v>
      </c>
      <c r="F303">
        <v>198</v>
      </c>
      <c r="H303" t="s">
        <v>61</v>
      </c>
      <c r="I303">
        <v>75000</v>
      </c>
      <c r="J303" t="s">
        <v>57</v>
      </c>
      <c r="K303">
        <v>6</v>
      </c>
      <c r="L303">
        <v>1314</v>
      </c>
      <c r="M303">
        <v>13014</v>
      </c>
      <c r="N303">
        <v>13</v>
      </c>
      <c r="O303">
        <v>14</v>
      </c>
      <c r="P303">
        <v>57</v>
      </c>
      <c r="Q303">
        <v>20.2</v>
      </c>
      <c r="R303">
        <v>654</v>
      </c>
      <c r="S303">
        <v>837</v>
      </c>
      <c r="T303" s="1">
        <v>45491</v>
      </c>
      <c r="U303" s="1">
        <v>45526</v>
      </c>
      <c r="V303">
        <v>117997</v>
      </c>
      <c r="W303">
        <v>0.81818181800000001</v>
      </c>
      <c r="X303" s="4">
        <v>0.90573012939001896</v>
      </c>
      <c r="Y303" s="4">
        <f t="shared" si="4"/>
        <v>924.11632653061179</v>
      </c>
      <c r="AA303">
        <v>0.88814802699999995</v>
      </c>
      <c r="AB303">
        <v>942.41047100000003</v>
      </c>
      <c r="AC303" cm="1">
        <f t="array" ref="AC303">_xlfn.IFS(W303&lt;0.6,S303,W303&gt;0.85,S303,W303,Y303)</f>
        <v>924.11632653061179</v>
      </c>
      <c r="AH303">
        <v>0</v>
      </c>
      <c r="AI303">
        <v>198</v>
      </c>
    </row>
    <row r="304" spans="1:35" x14ac:dyDescent="0.25">
      <c r="A304" t="s">
        <v>51</v>
      </c>
      <c r="B304" t="s">
        <v>368</v>
      </c>
      <c r="C304">
        <v>3</v>
      </c>
      <c r="E304" t="s">
        <v>53</v>
      </c>
      <c r="F304">
        <v>223</v>
      </c>
      <c r="H304" t="s">
        <v>61</v>
      </c>
      <c r="I304">
        <v>100000</v>
      </c>
      <c r="J304" t="s">
        <v>71</v>
      </c>
      <c r="K304">
        <v>26</v>
      </c>
      <c r="L304">
        <v>1315</v>
      </c>
      <c r="M304">
        <v>13015</v>
      </c>
      <c r="N304">
        <v>13</v>
      </c>
      <c r="O304">
        <v>15</v>
      </c>
      <c r="P304">
        <v>57</v>
      </c>
      <c r="Q304">
        <v>19.2</v>
      </c>
      <c r="R304">
        <v>381</v>
      </c>
      <c r="S304">
        <v>494</v>
      </c>
      <c r="T304" s="1">
        <v>45492</v>
      </c>
      <c r="U304" s="1">
        <v>45525</v>
      </c>
      <c r="V304">
        <v>129811</v>
      </c>
      <c r="W304">
        <v>0.95617173499999997</v>
      </c>
      <c r="X304" s="4">
        <v>0.99814126394052005</v>
      </c>
      <c r="Y304" s="4">
        <f t="shared" si="4"/>
        <v>494.9199255121045</v>
      </c>
      <c r="AA304">
        <v>0.92700424999999997</v>
      </c>
      <c r="AB304">
        <v>532.89939070000003</v>
      </c>
      <c r="AC304" cm="1">
        <f t="array" ref="AC304">_xlfn.IFS(W304&lt;0.6,S304,W304&gt;0.85,S304,W304,Y304)</f>
        <v>494</v>
      </c>
      <c r="AH304">
        <v>0</v>
      </c>
      <c r="AI304">
        <v>223</v>
      </c>
    </row>
    <row r="305" spans="1:35" x14ac:dyDescent="0.25">
      <c r="A305" t="s">
        <v>51</v>
      </c>
      <c r="B305" t="s">
        <v>369</v>
      </c>
      <c r="C305">
        <v>3</v>
      </c>
      <c r="E305" t="s">
        <v>53</v>
      </c>
      <c r="F305">
        <v>228</v>
      </c>
      <c r="H305" t="s">
        <v>54</v>
      </c>
      <c r="I305">
        <v>100000</v>
      </c>
      <c r="J305" t="s">
        <v>95</v>
      </c>
      <c r="K305">
        <v>67</v>
      </c>
      <c r="L305">
        <v>1316</v>
      </c>
      <c r="M305">
        <v>13016</v>
      </c>
      <c r="N305">
        <v>13</v>
      </c>
      <c r="O305">
        <v>16</v>
      </c>
      <c r="P305">
        <v>45</v>
      </c>
      <c r="Q305">
        <v>19.600000000000001</v>
      </c>
      <c r="R305">
        <v>1474</v>
      </c>
      <c r="S305">
        <v>1902</v>
      </c>
      <c r="T305" s="1">
        <v>45499</v>
      </c>
      <c r="U305" s="1">
        <v>45536</v>
      </c>
      <c r="V305">
        <v>138020</v>
      </c>
      <c r="W305">
        <v>0.90802631599999994</v>
      </c>
      <c r="X305" s="4">
        <v>0.97293421052631601</v>
      </c>
      <c r="Y305" s="4">
        <f t="shared" si="4"/>
        <v>1954.9112153956421</v>
      </c>
      <c r="AA305">
        <v>0.95401315799999997</v>
      </c>
      <c r="AB305">
        <v>1993.683194</v>
      </c>
      <c r="AC305" cm="1">
        <f t="array" ref="AC305">_xlfn.IFS(W305&lt;0.6,S305,W305&gt;0.85,S305,W305,Y305)</f>
        <v>1902</v>
      </c>
      <c r="AH305">
        <v>0</v>
      </c>
      <c r="AI305">
        <v>228</v>
      </c>
    </row>
    <row r="306" spans="1:35" x14ac:dyDescent="0.25">
      <c r="A306" t="s">
        <v>51</v>
      </c>
      <c r="B306" t="s">
        <v>370</v>
      </c>
      <c r="C306">
        <v>3</v>
      </c>
      <c r="E306" t="s">
        <v>53</v>
      </c>
      <c r="F306">
        <v>253</v>
      </c>
      <c r="H306" t="s">
        <v>54</v>
      </c>
      <c r="I306">
        <v>150000</v>
      </c>
      <c r="J306" t="s">
        <v>59</v>
      </c>
      <c r="K306">
        <v>85</v>
      </c>
      <c r="L306">
        <v>1317</v>
      </c>
      <c r="M306">
        <v>13017</v>
      </c>
      <c r="N306">
        <v>13</v>
      </c>
      <c r="O306">
        <v>17</v>
      </c>
      <c r="P306">
        <v>63</v>
      </c>
      <c r="Q306">
        <v>19.7</v>
      </c>
      <c r="R306">
        <v>670</v>
      </c>
      <c r="S306">
        <v>863</v>
      </c>
      <c r="T306" s="1">
        <v>45491</v>
      </c>
      <c r="U306" s="1">
        <v>45527</v>
      </c>
      <c r="V306">
        <v>151348</v>
      </c>
      <c r="W306">
        <v>0.99572362800000003</v>
      </c>
      <c r="X306" s="4">
        <v>1</v>
      </c>
      <c r="Y306" s="4">
        <f t="shared" si="4"/>
        <v>863</v>
      </c>
      <c r="AA306">
        <v>0.99786181399999996</v>
      </c>
      <c r="AB306">
        <v>864.84920850000003</v>
      </c>
      <c r="AC306" cm="1">
        <f t="array" ref="AC306">_xlfn.IFS(W306&lt;0.6,S306,W306&gt;0.85,S306,W306,Y306)</f>
        <v>863</v>
      </c>
      <c r="AH306">
        <v>0</v>
      </c>
      <c r="AI306">
        <v>253</v>
      </c>
    </row>
    <row r="307" spans="1:35" x14ac:dyDescent="0.25">
      <c r="A307" t="s">
        <v>51</v>
      </c>
      <c r="B307" t="s">
        <v>371</v>
      </c>
      <c r="C307">
        <v>3</v>
      </c>
      <c r="E307" t="s">
        <v>53</v>
      </c>
      <c r="F307">
        <v>258</v>
      </c>
      <c r="H307" t="s">
        <v>54</v>
      </c>
      <c r="I307">
        <v>75000</v>
      </c>
      <c r="J307" t="s">
        <v>57</v>
      </c>
      <c r="K307">
        <v>51</v>
      </c>
      <c r="L307">
        <v>1318</v>
      </c>
      <c r="M307">
        <v>13018</v>
      </c>
      <c r="N307">
        <v>13</v>
      </c>
      <c r="O307">
        <v>18</v>
      </c>
      <c r="P307">
        <v>58</v>
      </c>
      <c r="Q307">
        <v>20.100000000000001</v>
      </c>
      <c r="R307">
        <v>617</v>
      </c>
      <c r="S307">
        <v>791</v>
      </c>
      <c r="T307" s="1">
        <v>45491</v>
      </c>
      <c r="U307" s="1">
        <v>45527</v>
      </c>
      <c r="V307">
        <v>142530</v>
      </c>
      <c r="W307">
        <v>0.93769119899999998</v>
      </c>
      <c r="X307" s="4">
        <v>0.99596047316412095</v>
      </c>
      <c r="Y307" s="4">
        <f t="shared" si="4"/>
        <v>794.20822543994052</v>
      </c>
      <c r="AA307">
        <v>0.96884559999999997</v>
      </c>
      <c r="AB307">
        <v>816.43556039999999</v>
      </c>
      <c r="AC307" cm="1">
        <f t="array" ref="AC307">_xlfn.IFS(W307&lt;0.6,S307,W307&gt;0.85,S307,W307,Y307)</f>
        <v>791</v>
      </c>
      <c r="AH307">
        <v>0</v>
      </c>
      <c r="AI307">
        <v>258</v>
      </c>
    </row>
    <row r="308" spans="1:35" x14ac:dyDescent="0.25">
      <c r="A308" t="s">
        <v>51</v>
      </c>
      <c r="B308" t="s">
        <v>372</v>
      </c>
      <c r="C308">
        <v>4</v>
      </c>
      <c r="E308" t="s">
        <v>53</v>
      </c>
      <c r="F308">
        <v>283</v>
      </c>
      <c r="H308" t="s">
        <v>61</v>
      </c>
      <c r="I308">
        <v>75000</v>
      </c>
      <c r="J308" t="s">
        <v>97</v>
      </c>
      <c r="K308">
        <v>14</v>
      </c>
      <c r="L308">
        <v>1319</v>
      </c>
      <c r="M308">
        <v>13019</v>
      </c>
      <c r="N308">
        <v>13</v>
      </c>
      <c r="O308">
        <v>19</v>
      </c>
      <c r="P308">
        <v>66</v>
      </c>
      <c r="Q308">
        <v>17.8</v>
      </c>
      <c r="R308">
        <v>1092</v>
      </c>
      <c r="S308">
        <v>1440</v>
      </c>
      <c r="T308" s="1">
        <v>45494</v>
      </c>
      <c r="U308" s="1">
        <v>45532</v>
      </c>
      <c r="V308">
        <v>109360</v>
      </c>
      <c r="W308">
        <v>0.76785714299999996</v>
      </c>
      <c r="X308" s="4">
        <v>0.97237569060773499</v>
      </c>
      <c r="Y308" s="4">
        <f t="shared" si="4"/>
        <v>1480.9090909090905</v>
      </c>
      <c r="AA308">
        <v>0.859736842</v>
      </c>
      <c r="AB308">
        <v>1674.9311299999999</v>
      </c>
      <c r="AC308" cm="1">
        <f t="array" ref="AC308">_xlfn.IFS(W308&lt;0.6,S308,W308&gt;0.85,S308,W308,Y308)</f>
        <v>1480.9090909090905</v>
      </c>
      <c r="AH308">
        <v>0</v>
      </c>
      <c r="AI308">
        <v>283</v>
      </c>
    </row>
    <row r="309" spans="1:35" x14ac:dyDescent="0.25">
      <c r="A309" t="s">
        <v>51</v>
      </c>
      <c r="B309" t="s">
        <v>373</v>
      </c>
      <c r="C309">
        <v>4</v>
      </c>
      <c r="E309" t="s">
        <v>53</v>
      </c>
      <c r="F309">
        <v>288</v>
      </c>
      <c r="H309" t="s">
        <v>61</v>
      </c>
      <c r="I309">
        <v>100000</v>
      </c>
      <c r="J309" t="s">
        <v>82</v>
      </c>
      <c r="K309">
        <v>20</v>
      </c>
      <c r="L309">
        <v>1320</v>
      </c>
      <c r="M309">
        <v>13020</v>
      </c>
      <c r="N309">
        <v>13</v>
      </c>
      <c r="O309">
        <v>20</v>
      </c>
      <c r="P309">
        <v>28</v>
      </c>
      <c r="Q309">
        <v>18.2</v>
      </c>
      <c r="R309">
        <v>1716</v>
      </c>
      <c r="S309">
        <v>2252</v>
      </c>
      <c r="T309" s="1">
        <v>45498</v>
      </c>
      <c r="U309" s="1">
        <v>45530</v>
      </c>
      <c r="V309">
        <v>125005</v>
      </c>
      <c r="W309">
        <v>0.96779964200000002</v>
      </c>
      <c r="X309" s="4">
        <v>0.99628252788104099</v>
      </c>
      <c r="Y309" s="4">
        <f t="shared" si="4"/>
        <v>2260.4029850746265</v>
      </c>
      <c r="AA309">
        <v>0.91119795299999995</v>
      </c>
      <c r="AB309">
        <v>2471.4717519999999</v>
      </c>
      <c r="AC309" cm="1">
        <f t="array" ref="AC309">_xlfn.IFS(W309&lt;0.6,S309,W309&gt;0.85,S309,W309,Y309)</f>
        <v>2252</v>
      </c>
      <c r="AH309">
        <v>0</v>
      </c>
      <c r="AI309">
        <v>288</v>
      </c>
    </row>
    <row r="310" spans="1:35" x14ac:dyDescent="0.25">
      <c r="A310" t="s">
        <v>51</v>
      </c>
      <c r="B310" t="s">
        <v>374</v>
      </c>
      <c r="C310">
        <v>4</v>
      </c>
      <c r="E310" t="s">
        <v>53</v>
      </c>
      <c r="F310">
        <v>313</v>
      </c>
      <c r="H310" t="s">
        <v>61</v>
      </c>
      <c r="I310">
        <v>150000</v>
      </c>
      <c r="J310" t="s">
        <v>80</v>
      </c>
      <c r="K310">
        <v>31</v>
      </c>
      <c r="L310">
        <v>1321</v>
      </c>
      <c r="M310">
        <v>13021</v>
      </c>
      <c r="N310">
        <v>13</v>
      </c>
      <c r="O310">
        <v>21</v>
      </c>
      <c r="P310">
        <v>36</v>
      </c>
      <c r="Q310">
        <v>19.3</v>
      </c>
      <c r="R310">
        <v>1403</v>
      </c>
      <c r="S310">
        <v>1817</v>
      </c>
      <c r="T310" s="1">
        <v>45495</v>
      </c>
      <c r="U310" s="1">
        <v>45535</v>
      </c>
      <c r="V310">
        <v>125605</v>
      </c>
      <c r="W310">
        <v>0.90454950899999997</v>
      </c>
      <c r="X310" s="4">
        <v>0.94259259259259298</v>
      </c>
      <c r="Y310" s="4">
        <f t="shared" si="4"/>
        <v>1927.662082514734</v>
      </c>
      <c r="AA310">
        <v>0.91317977900000002</v>
      </c>
      <c r="AB310">
        <v>1989.750587</v>
      </c>
      <c r="AC310" cm="1">
        <f t="array" ref="AC310">_xlfn.IFS(W310&lt;0.6,S310,W310&gt;0.85,S310,W310,Y310)</f>
        <v>1817</v>
      </c>
      <c r="AH310">
        <v>0</v>
      </c>
      <c r="AI310">
        <v>313</v>
      </c>
    </row>
    <row r="311" spans="1:35" x14ac:dyDescent="0.25">
      <c r="A311" t="s">
        <v>51</v>
      </c>
      <c r="B311" t="s">
        <v>375</v>
      </c>
      <c r="C311">
        <v>4</v>
      </c>
      <c r="E311" t="s">
        <v>53</v>
      </c>
      <c r="F311">
        <v>318</v>
      </c>
      <c r="H311" t="s">
        <v>54</v>
      </c>
      <c r="I311">
        <v>150000</v>
      </c>
      <c r="J311" t="s">
        <v>65</v>
      </c>
      <c r="K311">
        <v>78</v>
      </c>
      <c r="L311">
        <v>1322</v>
      </c>
      <c r="M311">
        <v>13022</v>
      </c>
      <c r="N311">
        <v>13</v>
      </c>
      <c r="O311">
        <v>22</v>
      </c>
      <c r="P311">
        <v>40</v>
      </c>
      <c r="Q311">
        <v>18.7</v>
      </c>
      <c r="R311">
        <v>1319</v>
      </c>
      <c r="S311">
        <v>1721</v>
      </c>
      <c r="T311" s="1">
        <v>45495</v>
      </c>
      <c r="U311" s="1">
        <v>45532</v>
      </c>
      <c r="V311">
        <v>147818</v>
      </c>
      <c r="W311">
        <v>0.972480444</v>
      </c>
      <c r="X311" s="4">
        <v>0.99428969909082499</v>
      </c>
      <c r="Y311" s="4">
        <f t="shared" si="4"/>
        <v>1730.8838677235381</v>
      </c>
      <c r="AA311">
        <v>0.98624022200000006</v>
      </c>
      <c r="AB311">
        <v>1745.0109629999999</v>
      </c>
      <c r="AC311" cm="1">
        <f t="array" ref="AC311">_xlfn.IFS(W311&lt;0.6,S311,W311&gt;0.85,S311,W311,Y311)</f>
        <v>1721</v>
      </c>
      <c r="AH311">
        <v>0</v>
      </c>
      <c r="AI311">
        <v>318</v>
      </c>
    </row>
    <row r="312" spans="1:35" x14ac:dyDescent="0.25">
      <c r="A312" t="s">
        <v>51</v>
      </c>
      <c r="B312" t="s">
        <v>376</v>
      </c>
      <c r="C312">
        <v>4</v>
      </c>
      <c r="E312" t="s">
        <v>53</v>
      </c>
      <c r="F312">
        <v>343</v>
      </c>
      <c r="H312" t="s">
        <v>54</v>
      </c>
      <c r="I312">
        <v>100000</v>
      </c>
      <c r="J312" t="s">
        <v>110</v>
      </c>
      <c r="K312">
        <v>69</v>
      </c>
      <c r="L312">
        <v>1323</v>
      </c>
      <c r="M312">
        <v>13023</v>
      </c>
      <c r="N312">
        <v>13</v>
      </c>
      <c r="O312">
        <v>23</v>
      </c>
      <c r="P312">
        <v>65</v>
      </c>
      <c r="Q312">
        <v>24.7</v>
      </c>
      <c r="R312">
        <v>214</v>
      </c>
      <c r="S312" t="s">
        <v>431</v>
      </c>
      <c r="T312" s="1">
        <v>45490</v>
      </c>
      <c r="U312" s="1">
        <v>45527</v>
      </c>
      <c r="V312">
        <v>151879</v>
      </c>
      <c r="W312">
        <v>0.99919737399999997</v>
      </c>
      <c r="X312" s="4">
        <v>0.999394744805989</v>
      </c>
      <c r="Y312" s="4" t="s">
        <v>431</v>
      </c>
      <c r="AA312">
        <v>0.99959868699999999</v>
      </c>
      <c r="AB312">
        <v>259.10398179999999</v>
      </c>
      <c r="AC312" t="str" cm="1">
        <f t="array" ref="AC312">_xlfn.IFS(W312&lt;0.6,S312,W312&gt;0.85,S312,W312,Y312)</f>
        <v>.</v>
      </c>
      <c r="AH312">
        <v>0</v>
      </c>
      <c r="AI312">
        <v>343</v>
      </c>
    </row>
    <row r="313" spans="1:35" x14ac:dyDescent="0.25">
      <c r="A313" t="s">
        <v>51</v>
      </c>
      <c r="B313" t="s">
        <v>377</v>
      </c>
      <c r="C313">
        <v>4</v>
      </c>
      <c r="E313" t="s">
        <v>53</v>
      </c>
      <c r="F313">
        <v>348</v>
      </c>
      <c r="H313" t="s">
        <v>54</v>
      </c>
      <c r="I313">
        <v>75000</v>
      </c>
      <c r="J313" t="s">
        <v>97</v>
      </c>
      <c r="K313">
        <v>59</v>
      </c>
      <c r="L313">
        <v>1324</v>
      </c>
      <c r="M313">
        <v>13024</v>
      </c>
      <c r="N313">
        <v>13</v>
      </c>
      <c r="O313">
        <v>24</v>
      </c>
      <c r="P313">
        <v>59</v>
      </c>
      <c r="Q313">
        <v>23.3</v>
      </c>
      <c r="R313">
        <v>1504</v>
      </c>
      <c r="S313">
        <v>1851</v>
      </c>
      <c r="T313" s="1">
        <v>45494</v>
      </c>
      <c r="U313" s="1">
        <v>45530</v>
      </c>
      <c r="V313">
        <v>131641</v>
      </c>
      <c r="W313">
        <v>0.86607630400000002</v>
      </c>
      <c r="X313" s="4">
        <v>0.97821052631578898</v>
      </c>
      <c r="Y313" s="4">
        <f t="shared" si="4"/>
        <v>1892.2307112880671</v>
      </c>
      <c r="AA313">
        <v>0.93303815199999995</v>
      </c>
      <c r="AB313">
        <v>1983.841707</v>
      </c>
      <c r="AC313" cm="1">
        <f t="array" ref="AC313">_xlfn.IFS(W313&lt;0.6,S313,W313&gt;0.85,S313,W313,Y313)</f>
        <v>1851</v>
      </c>
      <c r="AH313">
        <v>0</v>
      </c>
      <c r="AI313">
        <v>348</v>
      </c>
    </row>
    <row r="314" spans="1:35" x14ac:dyDescent="0.25">
      <c r="A314" t="s">
        <v>51</v>
      </c>
      <c r="B314" t="s">
        <v>378</v>
      </c>
      <c r="C314">
        <v>1</v>
      </c>
      <c r="E314" t="s">
        <v>53</v>
      </c>
      <c r="F314">
        <v>14</v>
      </c>
      <c r="H314" t="s">
        <v>54</v>
      </c>
      <c r="I314">
        <v>100000</v>
      </c>
      <c r="J314" t="s">
        <v>110</v>
      </c>
      <c r="K314">
        <v>69</v>
      </c>
      <c r="L314">
        <v>1401</v>
      </c>
      <c r="M314">
        <v>14001</v>
      </c>
      <c r="N314">
        <v>14</v>
      </c>
      <c r="O314">
        <v>1</v>
      </c>
      <c r="P314">
        <v>61</v>
      </c>
      <c r="Q314">
        <v>20.100000000000001</v>
      </c>
      <c r="R314">
        <v>427</v>
      </c>
      <c r="S314">
        <v>547</v>
      </c>
      <c r="T314" s="1">
        <v>45491</v>
      </c>
      <c r="U314" s="1">
        <v>45525</v>
      </c>
      <c r="V314">
        <v>150318</v>
      </c>
      <c r="W314">
        <v>0.988953729</v>
      </c>
      <c r="X314" s="4">
        <v>0.99715789473684202</v>
      </c>
      <c r="Y314" s="4">
        <f t="shared" si="4"/>
        <v>548.55906259896551</v>
      </c>
      <c r="AA314">
        <v>0.99447686499999999</v>
      </c>
      <c r="AB314">
        <v>550.03793399999995</v>
      </c>
      <c r="AC314" cm="1">
        <f t="array" ref="AC314">_xlfn.IFS(W314&lt;0.6,S314,W314&gt;0.85,S314,W314,Y314)</f>
        <v>547</v>
      </c>
      <c r="AH314">
        <v>0</v>
      </c>
      <c r="AI314">
        <v>14</v>
      </c>
    </row>
    <row r="315" spans="1:35" x14ac:dyDescent="0.25">
      <c r="A315" t="s">
        <v>51</v>
      </c>
      <c r="B315" t="s">
        <v>379</v>
      </c>
      <c r="C315">
        <v>1</v>
      </c>
      <c r="E315" t="s">
        <v>53</v>
      </c>
      <c r="F315">
        <v>17</v>
      </c>
      <c r="H315" t="s">
        <v>54</v>
      </c>
      <c r="I315">
        <v>150000</v>
      </c>
      <c r="J315" t="s">
        <v>110</v>
      </c>
      <c r="K315">
        <v>84</v>
      </c>
      <c r="L315">
        <v>1402</v>
      </c>
      <c r="M315">
        <v>14002</v>
      </c>
      <c r="N315">
        <v>14</v>
      </c>
      <c r="O315">
        <v>2</v>
      </c>
      <c r="P315">
        <v>65</v>
      </c>
      <c r="Q315">
        <v>20.5</v>
      </c>
      <c r="R315">
        <v>595</v>
      </c>
      <c r="S315">
        <v>759</v>
      </c>
      <c r="T315" s="1">
        <v>45492</v>
      </c>
      <c r="U315" s="1">
        <v>45525</v>
      </c>
      <c r="V315">
        <v>149613</v>
      </c>
      <c r="W315">
        <v>0.98428957699999997</v>
      </c>
      <c r="X315" s="4">
        <v>0.99685522177923402</v>
      </c>
      <c r="Y315" s="4">
        <f t="shared" si="4"/>
        <v>761.39441657866939</v>
      </c>
      <c r="AA315">
        <v>0.99214478900000003</v>
      </c>
      <c r="AB315">
        <v>765.00930989999995</v>
      </c>
      <c r="AC315" cm="1">
        <f t="array" ref="AC315">_xlfn.IFS(W315&lt;0.6,S315,W315&gt;0.85,S315,W315,Y315)</f>
        <v>759</v>
      </c>
      <c r="AH315">
        <v>0</v>
      </c>
      <c r="AI315">
        <v>17</v>
      </c>
    </row>
    <row r="316" spans="1:35" x14ac:dyDescent="0.25">
      <c r="A316" t="s">
        <v>51</v>
      </c>
      <c r="B316" t="s">
        <v>380</v>
      </c>
      <c r="C316">
        <v>1</v>
      </c>
      <c r="E316" t="s">
        <v>53</v>
      </c>
      <c r="F316">
        <v>44</v>
      </c>
      <c r="H316" t="s">
        <v>54</v>
      </c>
      <c r="I316">
        <v>75000</v>
      </c>
      <c r="J316" t="s">
        <v>95</v>
      </c>
      <c r="K316">
        <v>52</v>
      </c>
      <c r="L316">
        <v>1403</v>
      </c>
      <c r="M316">
        <v>14003</v>
      </c>
      <c r="N316">
        <v>14</v>
      </c>
      <c r="O316">
        <v>3</v>
      </c>
      <c r="P316">
        <v>42</v>
      </c>
      <c r="Q316">
        <v>18.600000000000001</v>
      </c>
      <c r="R316">
        <v>918</v>
      </c>
      <c r="S316">
        <v>1199</v>
      </c>
      <c r="T316" s="1">
        <v>45497</v>
      </c>
      <c r="U316" s="1">
        <v>45537</v>
      </c>
      <c r="V316">
        <v>132193</v>
      </c>
      <c r="W316">
        <v>0.86968506800000001</v>
      </c>
      <c r="X316" s="4">
        <v>0.90217233983763401</v>
      </c>
      <c r="Y316" s="4">
        <f t="shared" si="4"/>
        <v>1329.014365720619</v>
      </c>
      <c r="AA316">
        <v>0.93484253399999995</v>
      </c>
      <c r="AB316">
        <v>1282.5689420000001</v>
      </c>
      <c r="AC316" cm="1">
        <f t="array" ref="AC316">_xlfn.IFS(W316&lt;0.6,S316,W316&gt;0.85,S316,W316,Y316)</f>
        <v>1199</v>
      </c>
      <c r="AH316">
        <v>0</v>
      </c>
      <c r="AI316">
        <v>44</v>
      </c>
    </row>
    <row r="317" spans="1:35" x14ac:dyDescent="0.25">
      <c r="A317" t="s">
        <v>51</v>
      </c>
      <c r="B317" t="s">
        <v>381</v>
      </c>
      <c r="C317">
        <v>1</v>
      </c>
      <c r="E317" t="s">
        <v>53</v>
      </c>
      <c r="F317">
        <v>47</v>
      </c>
      <c r="H317" t="s">
        <v>61</v>
      </c>
      <c r="I317">
        <v>150000</v>
      </c>
      <c r="J317" t="s">
        <v>99</v>
      </c>
      <c r="K317">
        <v>45</v>
      </c>
      <c r="L317">
        <v>1404</v>
      </c>
      <c r="M317">
        <v>14004</v>
      </c>
      <c r="N317">
        <v>14</v>
      </c>
      <c r="O317">
        <v>4</v>
      </c>
      <c r="P317">
        <v>28</v>
      </c>
      <c r="Q317">
        <v>21.2</v>
      </c>
      <c r="R317">
        <v>1570</v>
      </c>
      <c r="S317">
        <v>1985</v>
      </c>
      <c r="T317" s="1">
        <v>45497</v>
      </c>
      <c r="U317" s="1">
        <v>45532</v>
      </c>
      <c r="V317">
        <v>123237</v>
      </c>
      <c r="W317">
        <v>0.95450490600000004</v>
      </c>
      <c r="X317" s="4">
        <v>0.99443413729128005</v>
      </c>
      <c r="Y317" s="4">
        <f t="shared" si="4"/>
        <v>1996.1100746268658</v>
      </c>
      <c r="AA317">
        <v>0.90538753599999999</v>
      </c>
      <c r="AB317">
        <v>2192.4313320000001</v>
      </c>
      <c r="AC317" cm="1">
        <f t="array" ref="AC317">_xlfn.IFS(W317&lt;0.6,S317,W317&gt;0.85,S317,W317,Y317)</f>
        <v>1985</v>
      </c>
      <c r="AH317">
        <v>0</v>
      </c>
      <c r="AI317">
        <v>47</v>
      </c>
    </row>
    <row r="318" spans="1:35" x14ac:dyDescent="0.25">
      <c r="A318" t="s">
        <v>51</v>
      </c>
      <c r="B318" t="s">
        <v>382</v>
      </c>
      <c r="C318">
        <v>1</v>
      </c>
      <c r="E318" t="s">
        <v>53</v>
      </c>
      <c r="F318">
        <v>74</v>
      </c>
      <c r="H318" t="s">
        <v>61</v>
      </c>
      <c r="I318">
        <v>75000</v>
      </c>
      <c r="J318" t="s">
        <v>97</v>
      </c>
      <c r="K318">
        <v>14</v>
      </c>
      <c r="L318">
        <v>1405</v>
      </c>
      <c r="M318">
        <v>14005</v>
      </c>
      <c r="N318">
        <v>14</v>
      </c>
      <c r="O318">
        <v>5</v>
      </c>
      <c r="P318">
        <v>50</v>
      </c>
      <c r="Q318">
        <v>19.899999999999999</v>
      </c>
      <c r="R318">
        <v>1223</v>
      </c>
      <c r="S318">
        <v>1572</v>
      </c>
      <c r="T318" s="1">
        <v>45494</v>
      </c>
      <c r="U318" s="1">
        <v>45530</v>
      </c>
      <c r="V318">
        <v>122658</v>
      </c>
      <c r="W318">
        <v>0.95706619000000004</v>
      </c>
      <c r="X318" s="4">
        <v>0.99257884972170696</v>
      </c>
      <c r="Y318" s="4">
        <f t="shared" si="4"/>
        <v>1583.7532710280373</v>
      </c>
      <c r="AA318">
        <v>0.90348026299999995</v>
      </c>
      <c r="AB318">
        <v>1739.938396</v>
      </c>
      <c r="AC318" cm="1">
        <f t="array" ref="AC318">_xlfn.IFS(W318&lt;0.6,S318,W318&gt;0.85,S318,W318,Y318)</f>
        <v>1572</v>
      </c>
      <c r="AH318">
        <v>0</v>
      </c>
      <c r="AI318">
        <v>74</v>
      </c>
    </row>
    <row r="319" spans="1:35" x14ac:dyDescent="0.25">
      <c r="A319" t="s">
        <v>51</v>
      </c>
      <c r="B319" t="s">
        <v>383</v>
      </c>
      <c r="C319">
        <v>1</v>
      </c>
      <c r="E319" t="s">
        <v>53</v>
      </c>
      <c r="F319">
        <v>77</v>
      </c>
      <c r="H319" t="s">
        <v>61</v>
      </c>
      <c r="I319">
        <v>100000</v>
      </c>
      <c r="J319" t="s">
        <v>110</v>
      </c>
      <c r="K319">
        <v>24</v>
      </c>
      <c r="L319">
        <v>1406</v>
      </c>
      <c r="M319">
        <v>14006</v>
      </c>
      <c r="N319">
        <v>14</v>
      </c>
      <c r="O319">
        <v>6</v>
      </c>
      <c r="P319">
        <v>56</v>
      </c>
      <c r="Q319">
        <v>18.5</v>
      </c>
      <c r="R319">
        <v>539</v>
      </c>
      <c r="S319">
        <v>705</v>
      </c>
      <c r="T319" s="1">
        <v>45493</v>
      </c>
      <c r="U319" s="1">
        <v>45523</v>
      </c>
      <c r="V319">
        <v>125487</v>
      </c>
      <c r="W319">
        <v>0.96434937600000004</v>
      </c>
      <c r="X319" s="4">
        <v>0.98886827458255999</v>
      </c>
      <c r="Y319" s="4">
        <f t="shared" si="4"/>
        <v>712.93621013133236</v>
      </c>
      <c r="AA319">
        <v>0.91278346899999996</v>
      </c>
      <c r="AB319">
        <v>772.36280490000001</v>
      </c>
      <c r="AC319" cm="1">
        <f t="array" ref="AC319">_xlfn.IFS(W319&lt;0.6,S319,W319&gt;0.85,S319,W319,Y319)</f>
        <v>705</v>
      </c>
      <c r="AH319">
        <v>0</v>
      </c>
      <c r="AI319">
        <v>77</v>
      </c>
    </row>
    <row r="320" spans="1:35" x14ac:dyDescent="0.25">
      <c r="A320" t="s">
        <v>51</v>
      </c>
      <c r="B320" t="s">
        <v>384</v>
      </c>
      <c r="C320">
        <v>2</v>
      </c>
      <c r="E320" t="s">
        <v>53</v>
      </c>
      <c r="F320">
        <v>104</v>
      </c>
      <c r="H320" t="s">
        <v>61</v>
      </c>
      <c r="I320">
        <v>75000</v>
      </c>
      <c r="J320" t="s">
        <v>71</v>
      </c>
      <c r="K320">
        <v>11</v>
      </c>
      <c r="L320">
        <v>1407</v>
      </c>
      <c r="M320">
        <v>14007</v>
      </c>
      <c r="N320">
        <v>14</v>
      </c>
      <c r="O320">
        <v>7</v>
      </c>
      <c r="P320">
        <v>57</v>
      </c>
      <c r="Q320">
        <v>20.6</v>
      </c>
      <c r="R320">
        <v>253</v>
      </c>
      <c r="S320">
        <v>322</v>
      </c>
      <c r="T320" s="1">
        <v>45490</v>
      </c>
      <c r="U320" s="1">
        <v>45525</v>
      </c>
      <c r="V320">
        <v>97018</v>
      </c>
      <c r="W320">
        <v>0.66934763200000003</v>
      </c>
      <c r="X320" s="4">
        <v>0.57380073800737996</v>
      </c>
      <c r="Y320" s="4">
        <f t="shared" si="4"/>
        <v>561.17041800643096</v>
      </c>
      <c r="AA320">
        <v>0.81913815800000001</v>
      </c>
      <c r="AB320">
        <v>393.0960814</v>
      </c>
      <c r="AC320" cm="1">
        <f t="array" ref="AC320">_xlfn.IFS(W320&lt;0.6,S320,W320&gt;0.85,S320,W320,Y320)</f>
        <v>561.17041800643096</v>
      </c>
      <c r="AH320">
        <v>0</v>
      </c>
      <c r="AI320">
        <v>104</v>
      </c>
    </row>
    <row r="321" spans="1:35" x14ac:dyDescent="0.25">
      <c r="A321" t="s">
        <v>51</v>
      </c>
      <c r="B321">
        <v>1157728786</v>
      </c>
      <c r="C321">
        <v>2</v>
      </c>
      <c r="E321" t="s">
        <v>53</v>
      </c>
      <c r="F321">
        <v>107</v>
      </c>
      <c r="H321" t="s">
        <v>61</v>
      </c>
      <c r="I321">
        <v>150000</v>
      </c>
      <c r="J321" t="s">
        <v>71</v>
      </c>
      <c r="K321">
        <v>41</v>
      </c>
      <c r="L321">
        <v>1408</v>
      </c>
      <c r="M321">
        <v>14008</v>
      </c>
      <c r="N321">
        <v>14</v>
      </c>
      <c r="O321">
        <v>8</v>
      </c>
      <c r="T321" s="1">
        <v>45491</v>
      </c>
      <c r="U321" s="1">
        <v>45528</v>
      </c>
      <c r="V321">
        <v>115099</v>
      </c>
      <c r="W321">
        <v>0.83065953699999995</v>
      </c>
      <c r="X321" s="4">
        <v>0.98518518518518505</v>
      </c>
      <c r="Y321" s="4" t="s">
        <v>431</v>
      </c>
      <c r="AH321">
        <v>0</v>
      </c>
      <c r="AI321">
        <v>107</v>
      </c>
    </row>
    <row r="322" spans="1:35" x14ac:dyDescent="0.25">
      <c r="A322" t="s">
        <v>51</v>
      </c>
      <c r="B322" t="s">
        <v>385</v>
      </c>
      <c r="C322">
        <v>2</v>
      </c>
      <c r="E322" t="s">
        <v>53</v>
      </c>
      <c r="F322">
        <v>134</v>
      </c>
      <c r="H322" t="s">
        <v>61</v>
      </c>
      <c r="I322">
        <v>100000</v>
      </c>
      <c r="J322" t="s">
        <v>82</v>
      </c>
      <c r="K322">
        <v>20</v>
      </c>
      <c r="L322">
        <v>1409</v>
      </c>
      <c r="M322">
        <v>14009</v>
      </c>
      <c r="N322">
        <v>14</v>
      </c>
      <c r="O322">
        <v>9</v>
      </c>
      <c r="P322">
        <v>29</v>
      </c>
      <c r="Q322">
        <v>19.600000000000001</v>
      </c>
      <c r="R322">
        <v>1786</v>
      </c>
      <c r="S322">
        <v>2304</v>
      </c>
      <c r="T322" s="1">
        <v>45495</v>
      </c>
      <c r="U322" s="1">
        <v>45532</v>
      </c>
      <c r="V322">
        <v>131040</v>
      </c>
      <c r="W322">
        <v>0.99285076000000005</v>
      </c>
      <c r="X322" s="4">
        <v>0.98703703703703705</v>
      </c>
      <c r="Y322" s="4">
        <f t="shared" si="4"/>
        <v>2334.2589118198875</v>
      </c>
      <c r="AA322">
        <v>0.93105263199999999</v>
      </c>
      <c r="AB322">
        <v>2474.6184290000001</v>
      </c>
      <c r="AC322" cm="1">
        <f t="array" ref="AC322">_xlfn.IFS(W322&lt;0.6,S322,W322&gt;0.85,S322,W322,Y322)</f>
        <v>2304</v>
      </c>
      <c r="AH322">
        <v>0</v>
      </c>
      <c r="AI322">
        <v>134</v>
      </c>
    </row>
    <row r="323" spans="1:35" x14ac:dyDescent="0.25">
      <c r="A323" t="s">
        <v>51</v>
      </c>
      <c r="B323" t="s">
        <v>386</v>
      </c>
      <c r="C323">
        <v>2</v>
      </c>
      <c r="E323" t="s">
        <v>53</v>
      </c>
      <c r="F323">
        <v>137</v>
      </c>
      <c r="H323" t="s">
        <v>54</v>
      </c>
      <c r="I323">
        <v>100000</v>
      </c>
      <c r="J323" t="s">
        <v>55</v>
      </c>
      <c r="K323">
        <v>68</v>
      </c>
      <c r="L323">
        <v>1410</v>
      </c>
      <c r="M323">
        <v>14010</v>
      </c>
      <c r="N323">
        <v>14</v>
      </c>
      <c r="O323">
        <v>10</v>
      </c>
      <c r="P323">
        <v>35</v>
      </c>
      <c r="Q323">
        <v>19.5</v>
      </c>
      <c r="R323">
        <v>1810</v>
      </c>
      <c r="S323">
        <v>2338</v>
      </c>
      <c r="T323" s="1">
        <v>45499</v>
      </c>
      <c r="U323" s="1">
        <v>45534</v>
      </c>
      <c r="V323">
        <v>137983</v>
      </c>
      <c r="W323">
        <v>0.90777692300000001</v>
      </c>
      <c r="X323" s="4">
        <v>0.90464222742703804</v>
      </c>
      <c r="Y323" s="4">
        <f t="shared" ref="Y323:Y361" si="5">S323/X323</f>
        <v>2584.4471207691508</v>
      </c>
      <c r="AA323">
        <v>0.95388846199999999</v>
      </c>
      <c r="AB323">
        <v>2451.0203179999999</v>
      </c>
      <c r="AC323" cm="1">
        <f t="array" ref="AC323">_xlfn.IFS(W323&lt;0.6,S323,W323&gt;0.85,S323,W323,Y323)</f>
        <v>2338</v>
      </c>
      <c r="AH323">
        <v>0</v>
      </c>
      <c r="AI323">
        <v>137</v>
      </c>
    </row>
    <row r="324" spans="1:35" x14ac:dyDescent="0.25">
      <c r="A324" t="s">
        <v>51</v>
      </c>
      <c r="B324" t="s">
        <v>387</v>
      </c>
      <c r="C324">
        <v>2</v>
      </c>
      <c r="E324" t="s">
        <v>53</v>
      </c>
      <c r="F324">
        <v>164</v>
      </c>
      <c r="H324" t="s">
        <v>54</v>
      </c>
      <c r="I324">
        <v>75000</v>
      </c>
      <c r="J324" t="s">
        <v>80</v>
      </c>
      <c r="K324">
        <v>46</v>
      </c>
      <c r="L324">
        <v>1411</v>
      </c>
      <c r="M324">
        <v>14011</v>
      </c>
      <c r="N324">
        <v>14</v>
      </c>
      <c r="O324">
        <v>11</v>
      </c>
      <c r="P324">
        <v>38</v>
      </c>
      <c r="Q324">
        <v>20.100000000000001</v>
      </c>
      <c r="R324">
        <v>1404</v>
      </c>
      <c r="S324">
        <v>1800</v>
      </c>
      <c r="T324" s="1">
        <v>45499</v>
      </c>
      <c r="U324" s="1">
        <v>45536</v>
      </c>
      <c r="V324">
        <v>142718</v>
      </c>
      <c r="W324">
        <v>0.93893421099999996</v>
      </c>
      <c r="X324" s="4">
        <v>0.98014473684210501</v>
      </c>
      <c r="Y324" s="4">
        <f t="shared" si="5"/>
        <v>1836.4634653850806</v>
      </c>
      <c r="AA324">
        <v>0.96946710599999997</v>
      </c>
      <c r="AB324">
        <v>1856.690124</v>
      </c>
      <c r="AC324" cm="1">
        <f t="array" ref="AC324">_xlfn.IFS(W324&lt;0.6,S324,W324&gt;0.85,S324,W324,Y324)</f>
        <v>1800</v>
      </c>
      <c r="AH324">
        <v>0</v>
      </c>
      <c r="AI324">
        <v>164</v>
      </c>
    </row>
    <row r="325" spans="1:35" x14ac:dyDescent="0.25">
      <c r="A325" t="s">
        <v>51</v>
      </c>
      <c r="B325" t="s">
        <v>388</v>
      </c>
      <c r="C325">
        <v>2</v>
      </c>
      <c r="E325" t="s">
        <v>53</v>
      </c>
      <c r="F325">
        <v>167</v>
      </c>
      <c r="H325" t="s">
        <v>54</v>
      </c>
      <c r="I325">
        <v>150000</v>
      </c>
      <c r="J325" t="s">
        <v>65</v>
      </c>
      <c r="K325">
        <v>78</v>
      </c>
      <c r="L325">
        <v>1412</v>
      </c>
      <c r="M325">
        <v>14012</v>
      </c>
      <c r="N325">
        <v>14</v>
      </c>
      <c r="O325">
        <v>12</v>
      </c>
      <c r="P325">
        <v>40</v>
      </c>
      <c r="Q325">
        <v>17.899999999999999</v>
      </c>
      <c r="R325">
        <v>2059</v>
      </c>
      <c r="S325">
        <v>2713</v>
      </c>
      <c r="T325" s="1">
        <v>45496</v>
      </c>
      <c r="U325" s="1">
        <v>45535</v>
      </c>
      <c r="V325">
        <v>149679</v>
      </c>
      <c r="W325">
        <v>0.98474322000000003</v>
      </c>
      <c r="X325" s="4">
        <v>0.99448676956275694</v>
      </c>
      <c r="Y325" s="4">
        <f t="shared" si="5"/>
        <v>2728.0403148981222</v>
      </c>
      <c r="AA325">
        <v>0.99237160999999996</v>
      </c>
      <c r="AB325">
        <v>2733.8549109999999</v>
      </c>
      <c r="AC325" cm="1">
        <f t="array" ref="AC325">_xlfn.IFS(W325&lt;0.6,S325,W325&gt;0.85,S325,W325,Y325)</f>
        <v>2713</v>
      </c>
      <c r="AH325">
        <v>0</v>
      </c>
      <c r="AI325">
        <v>167</v>
      </c>
    </row>
    <row r="326" spans="1:35" x14ac:dyDescent="0.25">
      <c r="A326" t="s">
        <v>51</v>
      </c>
      <c r="B326" t="s">
        <v>389</v>
      </c>
      <c r="C326">
        <v>3</v>
      </c>
      <c r="E326" t="s">
        <v>53</v>
      </c>
      <c r="F326">
        <v>194</v>
      </c>
      <c r="H326" t="s">
        <v>61</v>
      </c>
      <c r="I326">
        <v>150000</v>
      </c>
      <c r="J326" t="s">
        <v>82</v>
      </c>
      <c r="K326">
        <v>35</v>
      </c>
      <c r="L326">
        <v>1413</v>
      </c>
      <c r="M326">
        <v>14013</v>
      </c>
      <c r="N326">
        <v>14</v>
      </c>
      <c r="O326">
        <v>13</v>
      </c>
      <c r="P326">
        <v>28</v>
      </c>
      <c r="Q326">
        <v>18.399999999999999</v>
      </c>
      <c r="R326">
        <v>1318</v>
      </c>
      <c r="S326">
        <v>1726</v>
      </c>
      <c r="T326" s="1">
        <v>45495</v>
      </c>
      <c r="U326" s="1">
        <v>45532</v>
      </c>
      <c r="V326">
        <v>115179</v>
      </c>
      <c r="W326">
        <v>0.66905187799999999</v>
      </c>
      <c r="X326" s="4">
        <v>0.53505535055350595</v>
      </c>
      <c r="Y326" s="4">
        <f t="shared" si="5"/>
        <v>3225.8344827586184</v>
      </c>
      <c r="AA326">
        <v>0.87887330500000005</v>
      </c>
      <c r="AB326">
        <v>1963.87806</v>
      </c>
      <c r="AC326" cm="1">
        <f t="array" ref="AC326">_xlfn.IFS(W326&lt;0.6,S326,W326&gt;0.85,S326,W326,Y326)</f>
        <v>3225.8344827586184</v>
      </c>
      <c r="AH326">
        <v>0</v>
      </c>
      <c r="AI326">
        <v>194</v>
      </c>
    </row>
    <row r="327" spans="1:35" x14ac:dyDescent="0.25">
      <c r="A327" t="s">
        <v>51</v>
      </c>
      <c r="B327" t="s">
        <v>390</v>
      </c>
      <c r="C327">
        <v>3</v>
      </c>
      <c r="E327" t="s">
        <v>53</v>
      </c>
      <c r="F327">
        <v>197</v>
      </c>
      <c r="H327" t="s">
        <v>61</v>
      </c>
      <c r="I327">
        <v>75000</v>
      </c>
      <c r="J327" t="s">
        <v>65</v>
      </c>
      <c r="K327">
        <v>3</v>
      </c>
      <c r="L327">
        <v>1414</v>
      </c>
      <c r="M327">
        <v>14014</v>
      </c>
      <c r="N327">
        <v>14</v>
      </c>
      <c r="O327">
        <v>14</v>
      </c>
      <c r="P327">
        <v>41</v>
      </c>
      <c r="Q327">
        <v>18</v>
      </c>
      <c r="R327">
        <v>1429</v>
      </c>
      <c r="S327">
        <v>1880</v>
      </c>
      <c r="T327" s="1">
        <v>45496</v>
      </c>
      <c r="U327" s="1">
        <v>45534</v>
      </c>
      <c r="V327">
        <v>125890</v>
      </c>
      <c r="W327">
        <v>0.89454870399999997</v>
      </c>
      <c r="X327" s="4">
        <v>0.974121996303142</v>
      </c>
      <c r="Y327" s="4">
        <f t="shared" si="5"/>
        <v>1929.9430740037958</v>
      </c>
      <c r="AA327">
        <v>0.91411184199999995</v>
      </c>
      <c r="AB327">
        <v>2056.6411170000001</v>
      </c>
      <c r="AC327" cm="1">
        <f t="array" ref="AC327">_xlfn.IFS(W327&lt;0.6,S327,W327&gt;0.85,S327,W327,Y327)</f>
        <v>1880</v>
      </c>
      <c r="AH327">
        <v>0</v>
      </c>
      <c r="AI327">
        <v>197</v>
      </c>
    </row>
    <row r="328" spans="1:35" x14ac:dyDescent="0.25">
      <c r="A328" t="s">
        <v>51</v>
      </c>
      <c r="B328" t="s">
        <v>391</v>
      </c>
      <c r="C328">
        <v>3</v>
      </c>
      <c r="E328" t="s">
        <v>53</v>
      </c>
      <c r="F328">
        <v>224</v>
      </c>
      <c r="H328" t="s">
        <v>61</v>
      </c>
      <c r="I328">
        <v>100000</v>
      </c>
      <c r="J328" t="s">
        <v>97</v>
      </c>
      <c r="K328">
        <v>29</v>
      </c>
      <c r="L328">
        <v>1415</v>
      </c>
      <c r="M328">
        <v>14015</v>
      </c>
      <c r="N328">
        <v>14</v>
      </c>
      <c r="O328">
        <v>15</v>
      </c>
      <c r="P328">
        <v>44</v>
      </c>
      <c r="Q328">
        <v>18.2</v>
      </c>
      <c r="R328">
        <v>1194</v>
      </c>
      <c r="S328">
        <v>1567</v>
      </c>
      <c r="T328" s="1">
        <v>45493</v>
      </c>
      <c r="U328" s="1">
        <v>45530</v>
      </c>
      <c r="V328">
        <v>127659</v>
      </c>
      <c r="W328">
        <v>0.94919786100000003</v>
      </c>
      <c r="X328" s="4">
        <v>0.987060998151571</v>
      </c>
      <c r="Y328" s="4">
        <f t="shared" si="5"/>
        <v>1587.5411985018729</v>
      </c>
      <c r="AA328">
        <v>0.91993092099999996</v>
      </c>
      <c r="AB328">
        <v>1703.38877</v>
      </c>
      <c r="AC328" cm="1">
        <f t="array" ref="AC328">_xlfn.IFS(W328&lt;0.6,S328,W328&gt;0.85,S328,W328,Y328)</f>
        <v>1567</v>
      </c>
      <c r="AH328">
        <v>0</v>
      </c>
      <c r="AI328">
        <v>224</v>
      </c>
    </row>
    <row r="329" spans="1:35" x14ac:dyDescent="0.25">
      <c r="A329" t="s">
        <v>51</v>
      </c>
      <c r="B329" t="s">
        <v>392</v>
      </c>
      <c r="C329">
        <v>3</v>
      </c>
      <c r="E329" t="s">
        <v>53</v>
      </c>
      <c r="F329">
        <v>227</v>
      </c>
      <c r="H329" t="s">
        <v>54</v>
      </c>
      <c r="I329">
        <v>100000</v>
      </c>
      <c r="J329" t="s">
        <v>85</v>
      </c>
      <c r="K329">
        <v>73</v>
      </c>
      <c r="L329">
        <v>1416</v>
      </c>
      <c r="M329">
        <v>14016</v>
      </c>
      <c r="N329">
        <v>14</v>
      </c>
      <c r="O329">
        <v>16</v>
      </c>
      <c r="P329">
        <v>27</v>
      </c>
      <c r="Q329">
        <v>17.600000000000001</v>
      </c>
      <c r="R329">
        <v>2041</v>
      </c>
      <c r="S329">
        <v>2699</v>
      </c>
      <c r="T329" s="1">
        <v>45497</v>
      </c>
      <c r="U329" s="1">
        <v>45535</v>
      </c>
      <c r="V329">
        <v>148583</v>
      </c>
      <c r="W329">
        <v>0.977532599</v>
      </c>
      <c r="X329" s="4">
        <v>0.99588163313640599</v>
      </c>
      <c r="Y329" s="4">
        <f t="shared" si="5"/>
        <v>2710.1614390656382</v>
      </c>
      <c r="AA329">
        <v>0.98876629999999999</v>
      </c>
      <c r="AB329">
        <v>2729.6642299999999</v>
      </c>
      <c r="AC329" cm="1">
        <f t="array" ref="AC329">_xlfn.IFS(W329&lt;0.6,S329,W329&gt;0.85,S329,W329,Y329)</f>
        <v>2699</v>
      </c>
      <c r="AH329">
        <v>0</v>
      </c>
      <c r="AI329">
        <v>227</v>
      </c>
    </row>
    <row r="330" spans="1:35" x14ac:dyDescent="0.25">
      <c r="A330" t="s">
        <v>51</v>
      </c>
      <c r="B330" t="s">
        <v>393</v>
      </c>
      <c r="C330">
        <v>3</v>
      </c>
      <c r="E330" t="s">
        <v>53</v>
      </c>
      <c r="F330">
        <v>254</v>
      </c>
      <c r="H330" t="s">
        <v>54</v>
      </c>
      <c r="I330">
        <v>150000</v>
      </c>
      <c r="J330" t="s">
        <v>85</v>
      </c>
      <c r="K330">
        <v>88</v>
      </c>
      <c r="L330">
        <v>1417</v>
      </c>
      <c r="M330">
        <v>14017</v>
      </c>
      <c r="N330">
        <v>14</v>
      </c>
      <c r="O330">
        <v>17</v>
      </c>
      <c r="P330">
        <v>38</v>
      </c>
      <c r="Q330">
        <v>18.5</v>
      </c>
      <c r="R330">
        <v>2109</v>
      </c>
      <c r="S330">
        <v>2758</v>
      </c>
      <c r="T330" s="1">
        <v>45497</v>
      </c>
      <c r="U330" s="1">
        <v>45534</v>
      </c>
      <c r="V330">
        <v>151808</v>
      </c>
      <c r="W330">
        <v>0.99872370099999996</v>
      </c>
      <c r="X330" s="4">
        <v>1</v>
      </c>
      <c r="Y330" s="4">
        <f t="shared" si="5"/>
        <v>2758</v>
      </c>
      <c r="AA330">
        <v>0.99936185099999997</v>
      </c>
      <c r="AB330">
        <v>2759.7611400000001</v>
      </c>
      <c r="AC330" cm="1">
        <f t="array" ref="AC330">_xlfn.IFS(W330&lt;0.6,S330,W330&gt;0.85,S330,W330,Y330)</f>
        <v>2758</v>
      </c>
      <c r="AH330">
        <v>0</v>
      </c>
      <c r="AI330">
        <v>254</v>
      </c>
    </row>
    <row r="331" spans="1:35" x14ac:dyDescent="0.25">
      <c r="A331" t="s">
        <v>51</v>
      </c>
      <c r="B331" t="s">
        <v>394</v>
      </c>
      <c r="C331">
        <v>3</v>
      </c>
      <c r="E331" t="s">
        <v>53</v>
      </c>
      <c r="F331">
        <v>257</v>
      </c>
      <c r="H331" t="s">
        <v>54</v>
      </c>
      <c r="I331">
        <v>75000</v>
      </c>
      <c r="J331" t="s">
        <v>62</v>
      </c>
      <c r="K331">
        <v>47</v>
      </c>
      <c r="L331">
        <v>1418</v>
      </c>
      <c r="M331">
        <v>14018</v>
      </c>
      <c r="N331">
        <v>14</v>
      </c>
      <c r="O331">
        <v>18</v>
      </c>
      <c r="P331">
        <v>27</v>
      </c>
      <c r="Q331">
        <v>17.5</v>
      </c>
      <c r="R331">
        <v>2069</v>
      </c>
      <c r="S331">
        <v>2739</v>
      </c>
      <c r="T331" s="1">
        <v>45496</v>
      </c>
      <c r="U331" s="1">
        <v>45534</v>
      </c>
      <c r="V331">
        <v>150056</v>
      </c>
      <c r="W331">
        <v>0.98720403199999995</v>
      </c>
      <c r="X331" s="4">
        <v>0.99446052631578996</v>
      </c>
      <c r="Y331" s="4">
        <f t="shared" si="5"/>
        <v>2754.2571349184282</v>
      </c>
      <c r="AA331">
        <v>0.99360201599999998</v>
      </c>
      <c r="AB331">
        <v>2756.636919</v>
      </c>
      <c r="AC331" cm="1">
        <f t="array" ref="AC331">_xlfn.IFS(W331&lt;0.6,S331,W331&gt;0.85,S331,W331,Y331)</f>
        <v>2739</v>
      </c>
      <c r="AH331">
        <v>0</v>
      </c>
      <c r="AI331">
        <v>257</v>
      </c>
    </row>
    <row r="332" spans="1:35" x14ac:dyDescent="0.25">
      <c r="A332" t="s">
        <v>51</v>
      </c>
      <c r="B332" t="s">
        <v>395</v>
      </c>
      <c r="C332">
        <v>4</v>
      </c>
      <c r="E332" t="s">
        <v>53</v>
      </c>
      <c r="F332">
        <v>284</v>
      </c>
      <c r="H332" t="s">
        <v>61</v>
      </c>
      <c r="I332">
        <v>75000</v>
      </c>
      <c r="J332" t="s">
        <v>110</v>
      </c>
      <c r="K332">
        <v>9</v>
      </c>
      <c r="L332">
        <v>1419</v>
      </c>
      <c r="M332">
        <v>14019</v>
      </c>
      <c r="N332">
        <v>14</v>
      </c>
      <c r="O332">
        <v>19</v>
      </c>
      <c r="T332" s="1">
        <v>45493</v>
      </c>
      <c r="U332" s="1">
        <v>45528</v>
      </c>
      <c r="V332">
        <v>130315</v>
      </c>
      <c r="W332">
        <v>0.91055456199999996</v>
      </c>
      <c r="X332" s="4">
        <v>0.97962962962962996</v>
      </c>
      <c r="Y332" s="4" t="s">
        <v>431</v>
      </c>
      <c r="AH332">
        <v>0</v>
      </c>
      <c r="AI332">
        <v>284</v>
      </c>
    </row>
    <row r="333" spans="1:35" x14ac:dyDescent="0.25">
      <c r="A333" t="s">
        <v>51</v>
      </c>
      <c r="B333" t="s">
        <v>396</v>
      </c>
      <c r="C333">
        <v>4</v>
      </c>
      <c r="E333" t="s">
        <v>53</v>
      </c>
      <c r="F333">
        <v>287</v>
      </c>
      <c r="H333" t="s">
        <v>61</v>
      </c>
      <c r="I333">
        <v>100000</v>
      </c>
      <c r="J333" t="s">
        <v>59</v>
      </c>
      <c r="K333">
        <v>25</v>
      </c>
      <c r="L333">
        <v>1420</v>
      </c>
      <c r="M333">
        <v>14020</v>
      </c>
      <c r="N333">
        <v>14</v>
      </c>
      <c r="O333">
        <v>20</v>
      </c>
      <c r="T333" s="1">
        <v>45493</v>
      </c>
      <c r="U333" s="1">
        <v>45530</v>
      </c>
      <c r="V333">
        <v>125051</v>
      </c>
      <c r="W333">
        <v>0.95195729500000004</v>
      </c>
      <c r="X333" s="4">
        <v>0.99630314232901995</v>
      </c>
      <c r="Y333" s="4" t="s">
        <v>431</v>
      </c>
      <c r="AH333">
        <v>0</v>
      </c>
      <c r="AI333">
        <v>287</v>
      </c>
    </row>
    <row r="334" spans="1:35" x14ac:dyDescent="0.25">
      <c r="A334" t="s">
        <v>51</v>
      </c>
      <c r="B334" t="s">
        <v>397</v>
      </c>
      <c r="C334">
        <v>4</v>
      </c>
      <c r="E334" t="s">
        <v>53</v>
      </c>
      <c r="F334">
        <v>314</v>
      </c>
      <c r="H334" t="s">
        <v>61</v>
      </c>
      <c r="I334">
        <v>150000</v>
      </c>
      <c r="J334" t="s">
        <v>57</v>
      </c>
      <c r="K334">
        <v>36</v>
      </c>
      <c r="L334">
        <v>1421</v>
      </c>
      <c r="M334">
        <v>14021</v>
      </c>
      <c r="N334">
        <v>14</v>
      </c>
      <c r="O334">
        <v>21</v>
      </c>
      <c r="P334">
        <v>69</v>
      </c>
      <c r="Q334">
        <v>18</v>
      </c>
      <c r="R334">
        <v>283</v>
      </c>
      <c r="S334" t="s">
        <v>431</v>
      </c>
      <c r="T334" s="1">
        <v>45491</v>
      </c>
      <c r="U334" s="1">
        <v>45524</v>
      </c>
      <c r="V334">
        <v>93993</v>
      </c>
      <c r="W334">
        <v>0.68845120900000001</v>
      </c>
      <c r="X334" s="4">
        <v>0.69387755102040805</v>
      </c>
      <c r="Y334" s="4" t="s">
        <v>431</v>
      </c>
      <c r="AA334">
        <v>0.80918343199999998</v>
      </c>
      <c r="AB334">
        <v>459.7227097</v>
      </c>
      <c r="AC334" t="str" cm="1">
        <f t="array" ref="AC334">_xlfn.IFS(W334&lt;0.6,S334,W334&gt;0.85,S334,W334,Y334)</f>
        <v>.</v>
      </c>
      <c r="AH334">
        <v>0</v>
      </c>
      <c r="AI334">
        <v>314</v>
      </c>
    </row>
    <row r="335" spans="1:35" x14ac:dyDescent="0.25">
      <c r="A335" t="s">
        <v>51</v>
      </c>
      <c r="B335" t="s">
        <v>398</v>
      </c>
      <c r="C335">
        <v>4</v>
      </c>
      <c r="E335" t="s">
        <v>53</v>
      </c>
      <c r="F335">
        <v>317</v>
      </c>
      <c r="H335" t="s">
        <v>54</v>
      </c>
      <c r="I335">
        <v>150000</v>
      </c>
      <c r="J335" t="s">
        <v>71</v>
      </c>
      <c r="K335">
        <v>86</v>
      </c>
      <c r="L335">
        <v>1422</v>
      </c>
      <c r="M335">
        <v>14022</v>
      </c>
      <c r="N335">
        <v>14</v>
      </c>
      <c r="O335">
        <v>22</v>
      </c>
      <c r="P335">
        <v>56</v>
      </c>
      <c r="Q335">
        <v>21</v>
      </c>
      <c r="R335">
        <v>433</v>
      </c>
      <c r="S335">
        <v>549</v>
      </c>
      <c r="T335" s="1">
        <v>45492</v>
      </c>
      <c r="U335" s="1">
        <v>45527</v>
      </c>
      <c r="V335">
        <v>148482</v>
      </c>
      <c r="W335">
        <v>0.97685526300000003</v>
      </c>
      <c r="X335" s="4">
        <v>0.99798684210526301</v>
      </c>
      <c r="Y335" s="4">
        <f t="shared" si="5"/>
        <v>550.10745316228736</v>
      </c>
      <c r="AA335">
        <v>0.98842763199999994</v>
      </c>
      <c r="AB335">
        <v>555.42761299999995</v>
      </c>
      <c r="AC335" cm="1">
        <f t="array" ref="AC335">_xlfn.IFS(W335&lt;0.6,S335,W335&gt;0.85,S335,W335,Y335)</f>
        <v>549</v>
      </c>
      <c r="AH335">
        <v>0</v>
      </c>
      <c r="AI335">
        <v>317</v>
      </c>
    </row>
    <row r="336" spans="1:35" x14ac:dyDescent="0.25">
      <c r="A336" t="s">
        <v>51</v>
      </c>
      <c r="B336" t="s">
        <v>399</v>
      </c>
      <c r="C336">
        <v>4</v>
      </c>
      <c r="E336" t="s">
        <v>53</v>
      </c>
      <c r="F336">
        <v>344</v>
      </c>
      <c r="H336" t="s">
        <v>54</v>
      </c>
      <c r="I336">
        <v>100000</v>
      </c>
      <c r="J336" t="s">
        <v>85</v>
      </c>
      <c r="K336">
        <v>73</v>
      </c>
      <c r="L336">
        <v>1423</v>
      </c>
      <c r="M336">
        <v>14023</v>
      </c>
      <c r="N336">
        <v>14</v>
      </c>
      <c r="O336">
        <v>23</v>
      </c>
      <c r="T336" s="1">
        <v>45496</v>
      </c>
      <c r="U336" s="1">
        <v>45534</v>
      </c>
      <c r="V336">
        <v>138447</v>
      </c>
      <c r="W336">
        <v>0.91084751100000005</v>
      </c>
      <c r="X336" s="4">
        <v>0.907011934367557</v>
      </c>
      <c r="Y336" s="4" t="s">
        <v>431</v>
      </c>
      <c r="AH336">
        <v>0</v>
      </c>
      <c r="AI336">
        <v>344</v>
      </c>
    </row>
    <row r="337" spans="1:35" x14ac:dyDescent="0.25">
      <c r="A337" t="s">
        <v>51</v>
      </c>
      <c r="B337" t="s">
        <v>400</v>
      </c>
      <c r="C337">
        <v>4</v>
      </c>
      <c r="E337" t="s">
        <v>53</v>
      </c>
      <c r="F337">
        <v>347</v>
      </c>
      <c r="H337" t="s">
        <v>54</v>
      </c>
      <c r="I337">
        <v>75000</v>
      </c>
      <c r="J337" t="s">
        <v>55</v>
      </c>
      <c r="K337">
        <v>53</v>
      </c>
      <c r="L337">
        <v>1424</v>
      </c>
      <c r="M337">
        <v>14024</v>
      </c>
      <c r="N337">
        <v>14</v>
      </c>
      <c r="O337">
        <v>24</v>
      </c>
      <c r="T337" s="1">
        <v>45497</v>
      </c>
      <c r="U337" s="1">
        <v>45534</v>
      </c>
      <c r="V337">
        <v>143768</v>
      </c>
      <c r="W337">
        <v>0.94584210499999999</v>
      </c>
      <c r="X337" s="4">
        <v>0.99642114681192595</v>
      </c>
      <c r="Y337" s="4" t="s">
        <v>431</v>
      </c>
      <c r="AH337">
        <v>0</v>
      </c>
      <c r="AI337">
        <v>347</v>
      </c>
    </row>
    <row r="338" spans="1:35" x14ac:dyDescent="0.25">
      <c r="A338" t="s">
        <v>51</v>
      </c>
      <c r="B338" t="s">
        <v>401</v>
      </c>
      <c r="C338">
        <v>1</v>
      </c>
      <c r="E338" t="s">
        <v>53</v>
      </c>
      <c r="F338">
        <v>15</v>
      </c>
      <c r="H338" t="s">
        <v>54</v>
      </c>
      <c r="I338">
        <v>100000</v>
      </c>
      <c r="J338" t="s">
        <v>65</v>
      </c>
      <c r="K338">
        <v>63</v>
      </c>
      <c r="L338">
        <v>1501</v>
      </c>
      <c r="M338">
        <v>15001</v>
      </c>
      <c r="N338">
        <v>15</v>
      </c>
      <c r="O338">
        <v>1</v>
      </c>
      <c r="P338">
        <v>40</v>
      </c>
      <c r="Q338">
        <v>20.6</v>
      </c>
      <c r="R338">
        <v>1809</v>
      </c>
      <c r="S338">
        <v>2305</v>
      </c>
      <c r="T338" s="1">
        <v>45495</v>
      </c>
      <c r="U338" s="1">
        <v>45533</v>
      </c>
      <c r="V338">
        <v>145383</v>
      </c>
      <c r="W338">
        <v>0.95646081299999997</v>
      </c>
      <c r="X338" s="4">
        <v>0.95046182995184303</v>
      </c>
      <c r="Y338" s="4">
        <f t="shared" si="5"/>
        <v>2425.1368412309489</v>
      </c>
      <c r="AA338">
        <v>0.97823040699999997</v>
      </c>
      <c r="AB338">
        <v>2356.2955969999998</v>
      </c>
      <c r="AC338" cm="1">
        <f t="array" ref="AC338">_xlfn.IFS(W338&lt;0.6,S338,W338&gt;0.85,S338,W338,Y338)</f>
        <v>2305</v>
      </c>
      <c r="AH338">
        <v>0</v>
      </c>
      <c r="AI338">
        <v>15</v>
      </c>
    </row>
    <row r="339" spans="1:35" x14ac:dyDescent="0.25">
      <c r="A339" t="s">
        <v>51</v>
      </c>
      <c r="B339" t="s">
        <v>402</v>
      </c>
      <c r="C339">
        <v>1</v>
      </c>
      <c r="E339" t="s">
        <v>53</v>
      </c>
      <c r="F339">
        <v>16</v>
      </c>
      <c r="H339" t="s">
        <v>54</v>
      </c>
      <c r="I339">
        <v>150000</v>
      </c>
      <c r="J339" t="s">
        <v>73</v>
      </c>
      <c r="K339">
        <v>87</v>
      </c>
      <c r="L339">
        <v>1502</v>
      </c>
      <c r="M339">
        <v>15002</v>
      </c>
      <c r="N339">
        <v>15</v>
      </c>
      <c r="O339">
        <v>2</v>
      </c>
      <c r="P339">
        <v>82</v>
      </c>
      <c r="Q339">
        <v>22</v>
      </c>
      <c r="R339">
        <v>664</v>
      </c>
      <c r="S339">
        <v>831</v>
      </c>
      <c r="T339" s="1">
        <v>45494</v>
      </c>
      <c r="V339">
        <v>151993</v>
      </c>
      <c r="W339">
        <v>0.99997368399999997</v>
      </c>
      <c r="X339" s="4">
        <v>1</v>
      </c>
      <c r="Y339" s="4">
        <f t="shared" si="5"/>
        <v>831</v>
      </c>
      <c r="AA339">
        <v>0.99998684199999999</v>
      </c>
      <c r="AB339">
        <v>831.0109344</v>
      </c>
      <c r="AC339" cm="1">
        <f t="array" ref="AC339">_xlfn.IFS(W339&lt;0.6,S339,W339&gt;0.85,S339,W339,Y339)</f>
        <v>831</v>
      </c>
      <c r="AH339">
        <v>0</v>
      </c>
      <c r="AI339">
        <v>16</v>
      </c>
    </row>
    <row r="340" spans="1:35" x14ac:dyDescent="0.25">
      <c r="A340" t="s">
        <v>51</v>
      </c>
      <c r="B340" t="s">
        <v>403</v>
      </c>
      <c r="C340">
        <v>1</v>
      </c>
      <c r="E340" t="s">
        <v>53</v>
      </c>
      <c r="F340">
        <v>45</v>
      </c>
      <c r="H340" t="s">
        <v>54</v>
      </c>
      <c r="I340">
        <v>75000</v>
      </c>
      <c r="J340" t="s">
        <v>55</v>
      </c>
      <c r="K340">
        <v>53</v>
      </c>
      <c r="L340">
        <v>1503</v>
      </c>
      <c r="M340">
        <v>15003</v>
      </c>
      <c r="N340">
        <v>15</v>
      </c>
      <c r="O340">
        <v>3</v>
      </c>
      <c r="P340">
        <v>24</v>
      </c>
      <c r="Q340">
        <v>21.2</v>
      </c>
      <c r="R340">
        <v>1489</v>
      </c>
      <c r="S340">
        <v>1883</v>
      </c>
      <c r="T340" s="1">
        <v>45497</v>
      </c>
      <c r="U340" s="1">
        <v>45534</v>
      </c>
      <c r="V340">
        <v>141132</v>
      </c>
      <c r="W340">
        <v>0.92848778300000001</v>
      </c>
      <c r="X340" s="4">
        <v>0.927132537729767</v>
      </c>
      <c r="Y340" s="4">
        <f t="shared" si="5"/>
        <v>2030.9933298326775</v>
      </c>
      <c r="AA340">
        <v>0.96424389200000005</v>
      </c>
      <c r="AB340">
        <v>1952.8254380000001</v>
      </c>
      <c r="AC340" cm="1">
        <f t="array" ref="AC340">_xlfn.IFS(W340&lt;0.6,S340,W340&gt;0.85,S340,W340,Y340)</f>
        <v>1883</v>
      </c>
      <c r="AH340">
        <v>0</v>
      </c>
      <c r="AI340">
        <v>45</v>
      </c>
    </row>
    <row r="341" spans="1:35" x14ac:dyDescent="0.25">
      <c r="A341" t="s">
        <v>51</v>
      </c>
      <c r="B341">
        <v>1601855702</v>
      </c>
      <c r="C341">
        <v>1</v>
      </c>
      <c r="E341" t="s">
        <v>53</v>
      </c>
      <c r="F341">
        <v>46</v>
      </c>
      <c r="H341" t="s">
        <v>61</v>
      </c>
      <c r="I341">
        <v>150000</v>
      </c>
      <c r="J341" t="s">
        <v>55</v>
      </c>
      <c r="K341">
        <v>38</v>
      </c>
      <c r="L341">
        <v>1504</v>
      </c>
      <c r="M341">
        <v>15004</v>
      </c>
      <c r="N341">
        <v>15</v>
      </c>
      <c r="O341">
        <v>4</v>
      </c>
      <c r="T341" s="1">
        <v>45496</v>
      </c>
      <c r="U341" s="1">
        <v>45532</v>
      </c>
      <c r="V341">
        <v>114474</v>
      </c>
      <c r="W341">
        <v>0.88640429300000001</v>
      </c>
      <c r="X341" s="4">
        <v>0.97592592592592597</v>
      </c>
      <c r="Y341" s="4" t="s">
        <v>431</v>
      </c>
      <c r="AH341">
        <v>0</v>
      </c>
      <c r="AI341">
        <v>46</v>
      </c>
    </row>
    <row r="342" spans="1:35" x14ac:dyDescent="0.25">
      <c r="A342" t="s">
        <v>51</v>
      </c>
      <c r="B342" t="s">
        <v>404</v>
      </c>
      <c r="C342">
        <v>1</v>
      </c>
      <c r="E342" t="s">
        <v>53</v>
      </c>
      <c r="F342">
        <v>75</v>
      </c>
      <c r="H342" t="s">
        <v>61</v>
      </c>
      <c r="I342">
        <v>75000</v>
      </c>
      <c r="J342" t="s">
        <v>59</v>
      </c>
      <c r="K342">
        <v>10</v>
      </c>
      <c r="L342">
        <v>1505</v>
      </c>
      <c r="M342">
        <v>15005</v>
      </c>
      <c r="N342">
        <v>15</v>
      </c>
      <c r="O342">
        <v>5</v>
      </c>
      <c r="P342">
        <v>60</v>
      </c>
      <c r="Q342">
        <v>20.5</v>
      </c>
      <c r="R342">
        <v>744</v>
      </c>
      <c r="S342">
        <v>949</v>
      </c>
      <c r="T342" s="1">
        <v>45492</v>
      </c>
      <c r="U342" s="1">
        <v>45528</v>
      </c>
      <c r="V342">
        <v>123597</v>
      </c>
      <c r="W342">
        <v>0.94915254199999999</v>
      </c>
      <c r="X342" s="4">
        <v>0.98701298701298701</v>
      </c>
      <c r="Y342" s="4">
        <f t="shared" si="5"/>
        <v>961.48684210526312</v>
      </c>
      <c r="AA342">
        <v>0.90657175400000001</v>
      </c>
      <c r="AB342">
        <v>1046.800759</v>
      </c>
      <c r="AC342" cm="1">
        <f t="array" ref="AC342">_xlfn.IFS(W342&lt;0.6,S342,W342&gt;0.85,S342,W342,Y342)</f>
        <v>949</v>
      </c>
      <c r="AH342">
        <v>0</v>
      </c>
      <c r="AI342">
        <v>75</v>
      </c>
    </row>
    <row r="343" spans="1:35" x14ac:dyDescent="0.25">
      <c r="A343" t="s">
        <v>51</v>
      </c>
      <c r="B343" t="s">
        <v>405</v>
      </c>
      <c r="C343">
        <v>1</v>
      </c>
      <c r="E343" t="s">
        <v>53</v>
      </c>
      <c r="F343">
        <v>76</v>
      </c>
      <c r="H343" t="s">
        <v>61</v>
      </c>
      <c r="I343">
        <v>100000</v>
      </c>
      <c r="J343" t="s">
        <v>55</v>
      </c>
      <c r="K343">
        <v>23</v>
      </c>
      <c r="L343">
        <v>1506</v>
      </c>
      <c r="M343">
        <v>15006</v>
      </c>
      <c r="N343">
        <v>15</v>
      </c>
      <c r="O343">
        <v>6</v>
      </c>
      <c r="P343">
        <v>54</v>
      </c>
      <c r="Q343">
        <v>20.7</v>
      </c>
      <c r="R343">
        <v>1063</v>
      </c>
      <c r="S343">
        <v>1353</v>
      </c>
      <c r="T343" s="1">
        <v>45498</v>
      </c>
      <c r="U343" s="1">
        <v>45534</v>
      </c>
      <c r="V343">
        <v>111541</v>
      </c>
      <c r="W343">
        <v>0.811775201</v>
      </c>
      <c r="X343" s="4">
        <v>0.93357933579335795</v>
      </c>
      <c r="Y343" s="4">
        <f t="shared" si="5"/>
        <v>1449.2608695652173</v>
      </c>
      <c r="AA343">
        <v>0.866911184</v>
      </c>
      <c r="AB343">
        <v>1560.713514</v>
      </c>
      <c r="AC343" cm="1">
        <f t="array" ref="AC343">_xlfn.IFS(W343&lt;0.6,S343,W343&gt;0.85,S343,W343,Y343)</f>
        <v>1449.2608695652173</v>
      </c>
      <c r="AH343">
        <v>0</v>
      </c>
      <c r="AI343">
        <v>76</v>
      </c>
    </row>
    <row r="344" spans="1:35" x14ac:dyDescent="0.25">
      <c r="A344" t="s">
        <v>51</v>
      </c>
      <c r="B344" t="s">
        <v>406</v>
      </c>
      <c r="C344">
        <v>2</v>
      </c>
      <c r="E344" t="s">
        <v>53</v>
      </c>
      <c r="F344">
        <v>105</v>
      </c>
      <c r="H344" t="s">
        <v>61</v>
      </c>
      <c r="I344">
        <v>75000</v>
      </c>
      <c r="J344" t="s">
        <v>65</v>
      </c>
      <c r="K344">
        <v>3</v>
      </c>
      <c r="L344">
        <v>1507</v>
      </c>
      <c r="M344">
        <v>15007</v>
      </c>
      <c r="N344">
        <v>15</v>
      </c>
      <c r="O344">
        <v>7</v>
      </c>
      <c r="P344">
        <v>34</v>
      </c>
      <c r="Q344">
        <v>17.600000000000001</v>
      </c>
      <c r="R344">
        <v>1537</v>
      </c>
      <c r="S344">
        <v>2032</v>
      </c>
      <c r="T344" s="1">
        <v>45494</v>
      </c>
      <c r="U344" s="1">
        <v>45536</v>
      </c>
      <c r="V344">
        <v>111305</v>
      </c>
      <c r="W344">
        <v>0.82918149500000005</v>
      </c>
      <c r="X344" s="4">
        <v>0.951672862453532</v>
      </c>
      <c r="Y344" s="4">
        <f t="shared" si="5"/>
        <v>2135.1874999999991</v>
      </c>
      <c r="AA344">
        <v>0.86613486900000003</v>
      </c>
      <c r="AB344">
        <v>2346.0549550000001</v>
      </c>
      <c r="AC344" cm="1">
        <f t="array" ref="AC344">_xlfn.IFS(W344&lt;0.6,S344,W344&gt;0.85,S344,W344,Y344)</f>
        <v>2135.1874999999991</v>
      </c>
      <c r="AH344">
        <v>0</v>
      </c>
      <c r="AI344">
        <v>105</v>
      </c>
    </row>
    <row r="345" spans="1:35" x14ac:dyDescent="0.25">
      <c r="A345" t="s">
        <v>51</v>
      </c>
      <c r="B345" t="s">
        <v>407</v>
      </c>
      <c r="C345">
        <v>2</v>
      </c>
      <c r="E345" t="s">
        <v>53</v>
      </c>
      <c r="F345">
        <v>106</v>
      </c>
      <c r="H345" t="s">
        <v>61</v>
      </c>
      <c r="I345">
        <v>150000</v>
      </c>
      <c r="J345" t="s">
        <v>97</v>
      </c>
      <c r="K345">
        <v>44</v>
      </c>
      <c r="L345">
        <v>1508</v>
      </c>
      <c r="M345">
        <v>15008</v>
      </c>
      <c r="N345">
        <v>15</v>
      </c>
      <c r="O345">
        <v>8</v>
      </c>
      <c r="P345">
        <v>45</v>
      </c>
      <c r="Q345">
        <v>17.899999999999999</v>
      </c>
      <c r="R345">
        <v>1140</v>
      </c>
      <c r="S345">
        <v>1502</v>
      </c>
      <c r="T345" s="1">
        <v>45493</v>
      </c>
      <c r="U345" s="1">
        <v>45526</v>
      </c>
      <c r="V345">
        <v>118423</v>
      </c>
      <c r="W345">
        <v>0.86493738799999997</v>
      </c>
      <c r="X345" s="4">
        <v>0.98521256931608103</v>
      </c>
      <c r="Y345" s="4">
        <f t="shared" si="5"/>
        <v>1524.5440900562855</v>
      </c>
      <c r="AA345">
        <v>0.88954677999999998</v>
      </c>
      <c r="AB345">
        <v>1688.5002950000001</v>
      </c>
      <c r="AC345" cm="1">
        <f t="array" ref="AC345">_xlfn.IFS(W345&lt;0.6,S345,W345&gt;0.85,S345,W345,Y345)</f>
        <v>1502</v>
      </c>
      <c r="AH345">
        <v>0</v>
      </c>
      <c r="AI345">
        <v>106</v>
      </c>
    </row>
    <row r="346" spans="1:35" x14ac:dyDescent="0.25">
      <c r="A346" t="s">
        <v>51</v>
      </c>
      <c r="B346" t="s">
        <v>408</v>
      </c>
      <c r="C346">
        <v>2</v>
      </c>
      <c r="E346" t="s">
        <v>53</v>
      </c>
      <c r="F346">
        <v>135</v>
      </c>
      <c r="H346" t="s">
        <v>61</v>
      </c>
      <c r="I346">
        <v>100000</v>
      </c>
      <c r="J346" t="s">
        <v>110</v>
      </c>
      <c r="K346">
        <v>24</v>
      </c>
      <c r="L346">
        <v>1509</v>
      </c>
      <c r="M346">
        <v>15009</v>
      </c>
      <c r="N346">
        <v>15</v>
      </c>
      <c r="O346">
        <v>9</v>
      </c>
      <c r="P346">
        <v>81</v>
      </c>
      <c r="Q346">
        <v>18.8</v>
      </c>
      <c r="R346">
        <v>556</v>
      </c>
      <c r="S346">
        <v>724</v>
      </c>
      <c r="T346" s="1">
        <v>45490</v>
      </c>
      <c r="U346" s="1">
        <v>45524</v>
      </c>
      <c r="V346">
        <v>127391</v>
      </c>
      <c r="W346">
        <v>0.97857142900000005</v>
      </c>
      <c r="X346" s="4">
        <v>0.98884758364312297</v>
      </c>
      <c r="Y346" s="4">
        <f t="shared" si="5"/>
        <v>732.16541353383434</v>
      </c>
      <c r="AA346">
        <v>0.919057613</v>
      </c>
      <c r="AB346">
        <v>787.7634544</v>
      </c>
      <c r="AC346" cm="1">
        <f t="array" ref="AC346">_xlfn.IFS(W346&lt;0.6,S346,W346&gt;0.85,S346,W346,Y346)</f>
        <v>724</v>
      </c>
      <c r="AH346">
        <v>0</v>
      </c>
      <c r="AI346">
        <v>135</v>
      </c>
    </row>
    <row r="347" spans="1:35" x14ac:dyDescent="0.25">
      <c r="A347" t="s">
        <v>51</v>
      </c>
      <c r="B347" t="s">
        <v>409</v>
      </c>
      <c r="C347">
        <v>2</v>
      </c>
      <c r="E347" t="s">
        <v>53</v>
      </c>
      <c r="F347">
        <v>136</v>
      </c>
      <c r="H347" t="s">
        <v>54</v>
      </c>
      <c r="I347">
        <v>100000</v>
      </c>
      <c r="J347" t="s">
        <v>57</v>
      </c>
      <c r="K347">
        <v>66</v>
      </c>
      <c r="L347">
        <v>1510</v>
      </c>
      <c r="M347">
        <v>15010</v>
      </c>
      <c r="N347">
        <v>15</v>
      </c>
      <c r="O347">
        <v>10</v>
      </c>
      <c r="P347">
        <v>54</v>
      </c>
      <c r="Q347">
        <v>19</v>
      </c>
      <c r="R347">
        <v>1038</v>
      </c>
      <c r="S347">
        <v>1349</v>
      </c>
      <c r="T347" s="1">
        <v>45491</v>
      </c>
      <c r="U347" s="1">
        <v>45526</v>
      </c>
      <c r="V347">
        <v>144974</v>
      </c>
      <c r="W347">
        <v>0.95377004099999996</v>
      </c>
      <c r="X347" s="4">
        <v>0.99498697402699898</v>
      </c>
      <c r="Y347" s="4">
        <f t="shared" si="5"/>
        <v>1355.796643789424</v>
      </c>
      <c r="AA347">
        <v>0.97688502099999996</v>
      </c>
      <c r="AB347">
        <v>1380.919936</v>
      </c>
      <c r="AC347" cm="1">
        <f t="array" ref="AC347">_xlfn.IFS(W347&lt;0.6,S347,W347&gt;0.85,S347,W347,Y347)</f>
        <v>1349</v>
      </c>
      <c r="AH347">
        <v>0</v>
      </c>
      <c r="AI347">
        <v>136</v>
      </c>
    </row>
    <row r="348" spans="1:35" x14ac:dyDescent="0.25">
      <c r="A348" t="s">
        <v>51</v>
      </c>
      <c r="B348" s="2" t="s">
        <v>410</v>
      </c>
      <c r="C348">
        <v>2</v>
      </c>
      <c r="E348" t="s">
        <v>53</v>
      </c>
      <c r="F348">
        <v>165</v>
      </c>
      <c r="H348" t="s">
        <v>54</v>
      </c>
      <c r="I348">
        <v>75000</v>
      </c>
      <c r="J348" t="s">
        <v>97</v>
      </c>
      <c r="K348">
        <v>59</v>
      </c>
      <c r="L348">
        <v>1511</v>
      </c>
      <c r="M348">
        <v>15011</v>
      </c>
      <c r="N348">
        <v>15</v>
      </c>
      <c r="O348">
        <v>11</v>
      </c>
      <c r="P348">
        <v>48</v>
      </c>
      <c r="Q348">
        <v>20</v>
      </c>
      <c r="R348">
        <v>1445</v>
      </c>
      <c r="S348">
        <v>1855</v>
      </c>
      <c r="T348" s="1">
        <v>45495</v>
      </c>
      <c r="U348" s="1">
        <v>45530</v>
      </c>
      <c r="V348">
        <v>149601</v>
      </c>
      <c r="W348">
        <v>0.98421062999999998</v>
      </c>
      <c r="X348" s="4">
        <v>0.99896052631578902</v>
      </c>
      <c r="Y348" s="4">
        <f t="shared" si="5"/>
        <v>1856.9302301076127</v>
      </c>
      <c r="AA348">
        <v>0.99210531499999999</v>
      </c>
      <c r="AB348">
        <v>1869.761176</v>
      </c>
      <c r="AC348" cm="1">
        <f t="array" ref="AC348">_xlfn.IFS(W348&lt;0.6,S348,W348&gt;0.85,S348,W348,Y348)</f>
        <v>1855</v>
      </c>
      <c r="AH348">
        <v>0</v>
      </c>
      <c r="AI348">
        <v>165</v>
      </c>
    </row>
    <row r="349" spans="1:35" x14ac:dyDescent="0.25">
      <c r="A349" t="s">
        <v>51</v>
      </c>
      <c r="B349" t="s">
        <v>411</v>
      </c>
      <c r="C349">
        <v>2</v>
      </c>
      <c r="E349" t="s">
        <v>53</v>
      </c>
      <c r="F349">
        <v>166</v>
      </c>
      <c r="H349" t="s">
        <v>54</v>
      </c>
      <c r="I349">
        <v>150000</v>
      </c>
      <c r="J349" t="s">
        <v>95</v>
      </c>
      <c r="K349">
        <v>82</v>
      </c>
      <c r="L349">
        <v>1512</v>
      </c>
      <c r="M349">
        <v>15012</v>
      </c>
      <c r="N349">
        <v>15</v>
      </c>
      <c r="O349">
        <v>12</v>
      </c>
      <c r="P349">
        <v>41</v>
      </c>
      <c r="Q349">
        <v>18.2</v>
      </c>
      <c r="R349">
        <v>1340</v>
      </c>
      <c r="S349">
        <v>1759</v>
      </c>
      <c r="T349" s="1">
        <v>45496</v>
      </c>
      <c r="U349" s="1">
        <v>45534</v>
      </c>
      <c r="V349">
        <v>143440</v>
      </c>
      <c r="W349">
        <v>0.94367800199999996</v>
      </c>
      <c r="X349" s="4">
        <v>0.99722364767957505</v>
      </c>
      <c r="Y349" s="4">
        <f t="shared" si="5"/>
        <v>1763.8972000844456</v>
      </c>
      <c r="AA349">
        <v>0.97183900099999998</v>
      </c>
      <c r="AB349">
        <v>1809.9705799999999</v>
      </c>
      <c r="AC349" cm="1">
        <f t="array" ref="AC349">_xlfn.IFS(W349&lt;0.6,S349,W349&gt;0.85,S349,W349,Y349)</f>
        <v>1759</v>
      </c>
      <c r="AH349">
        <v>0</v>
      </c>
      <c r="AI349">
        <v>166</v>
      </c>
    </row>
    <row r="350" spans="1:35" x14ac:dyDescent="0.25">
      <c r="A350" t="s">
        <v>51</v>
      </c>
      <c r="B350" t="s">
        <v>412</v>
      </c>
      <c r="C350">
        <v>3</v>
      </c>
      <c r="E350" t="s">
        <v>53</v>
      </c>
      <c r="F350">
        <v>195</v>
      </c>
      <c r="H350" t="s">
        <v>61</v>
      </c>
      <c r="I350">
        <v>150000</v>
      </c>
      <c r="J350" t="s">
        <v>97</v>
      </c>
      <c r="K350">
        <v>44</v>
      </c>
      <c r="L350">
        <v>1513</v>
      </c>
      <c r="M350">
        <v>15013</v>
      </c>
      <c r="N350">
        <v>15</v>
      </c>
      <c r="O350">
        <v>13</v>
      </c>
      <c r="P350">
        <v>35</v>
      </c>
      <c r="Q350">
        <v>18</v>
      </c>
      <c r="R350">
        <v>1110</v>
      </c>
      <c r="S350">
        <v>1461</v>
      </c>
      <c r="T350" s="1">
        <v>45494</v>
      </c>
      <c r="U350" s="1">
        <v>45527</v>
      </c>
      <c r="V350">
        <v>122194</v>
      </c>
      <c r="W350">
        <v>0.89937666999999999</v>
      </c>
      <c r="X350" s="4">
        <v>0.98886827458255999</v>
      </c>
      <c r="Y350" s="4">
        <f t="shared" si="5"/>
        <v>1477.4465290806759</v>
      </c>
      <c r="AA350">
        <v>0.90195923700000002</v>
      </c>
      <c r="AB350">
        <v>1619.8071279999999</v>
      </c>
      <c r="AC350" cm="1">
        <f t="array" ref="AC350">_xlfn.IFS(W350&lt;0.6,S350,W350&gt;0.85,S350,W350,Y350)</f>
        <v>1461</v>
      </c>
      <c r="AH350">
        <v>0</v>
      </c>
      <c r="AI350">
        <v>195</v>
      </c>
    </row>
    <row r="351" spans="1:35" x14ac:dyDescent="0.25">
      <c r="A351" t="s">
        <v>51</v>
      </c>
      <c r="B351" t="s">
        <v>413</v>
      </c>
      <c r="C351">
        <v>3</v>
      </c>
      <c r="E351" t="s">
        <v>53</v>
      </c>
      <c r="F351">
        <v>196</v>
      </c>
      <c r="H351" t="s">
        <v>61</v>
      </c>
      <c r="I351">
        <v>75000</v>
      </c>
      <c r="J351" t="s">
        <v>80</v>
      </c>
      <c r="K351">
        <v>1</v>
      </c>
      <c r="L351">
        <v>1514</v>
      </c>
      <c r="M351">
        <v>15014</v>
      </c>
      <c r="N351">
        <v>15</v>
      </c>
      <c r="O351">
        <v>14</v>
      </c>
      <c r="P351">
        <v>39</v>
      </c>
      <c r="Q351">
        <v>19.7</v>
      </c>
      <c r="R351">
        <v>1647</v>
      </c>
      <c r="S351">
        <v>2122</v>
      </c>
      <c r="T351" s="1">
        <v>45496</v>
      </c>
      <c r="U351" s="1">
        <v>45536</v>
      </c>
      <c r="V351">
        <v>125524</v>
      </c>
      <c r="W351">
        <v>0.96345811100000001</v>
      </c>
      <c r="X351" s="4">
        <v>0.98521256931608103</v>
      </c>
      <c r="Y351" s="4">
        <f t="shared" si="5"/>
        <v>2153.8499061913703</v>
      </c>
      <c r="AA351">
        <v>0.91290789500000002</v>
      </c>
      <c r="AB351">
        <v>2324.4404089999998</v>
      </c>
      <c r="AC351" cm="1">
        <f t="array" ref="AC351">_xlfn.IFS(W351&lt;0.6,S351,W351&gt;0.85,S351,W351,Y351)</f>
        <v>2122</v>
      </c>
      <c r="AH351">
        <v>0</v>
      </c>
      <c r="AI351">
        <v>196</v>
      </c>
    </row>
    <row r="352" spans="1:35" x14ac:dyDescent="0.25">
      <c r="A352" t="s">
        <v>51</v>
      </c>
      <c r="B352" t="s">
        <v>414</v>
      </c>
      <c r="C352">
        <v>3</v>
      </c>
      <c r="E352" t="s">
        <v>53</v>
      </c>
      <c r="F352">
        <v>225</v>
      </c>
      <c r="H352" t="s">
        <v>61</v>
      </c>
      <c r="I352">
        <v>100000</v>
      </c>
      <c r="J352" t="s">
        <v>95</v>
      </c>
      <c r="K352">
        <v>22</v>
      </c>
      <c r="L352">
        <v>1515</v>
      </c>
      <c r="M352">
        <v>15015</v>
      </c>
      <c r="N352">
        <v>15</v>
      </c>
      <c r="O352">
        <v>15</v>
      </c>
      <c r="P352">
        <v>46</v>
      </c>
      <c r="Q352">
        <v>18.5</v>
      </c>
      <c r="R352">
        <v>1015</v>
      </c>
      <c r="S352">
        <v>1327</v>
      </c>
      <c r="T352" s="1">
        <v>45495</v>
      </c>
      <c r="V352">
        <v>99203</v>
      </c>
      <c r="W352">
        <v>0.71198568900000003</v>
      </c>
      <c r="X352" s="4">
        <v>0.82560296846011105</v>
      </c>
      <c r="Y352" s="4">
        <f t="shared" si="5"/>
        <v>1607.3101123595511</v>
      </c>
      <c r="AA352">
        <v>0.82632351100000001</v>
      </c>
      <c r="AB352">
        <v>1605.9085600000001</v>
      </c>
      <c r="AC352" cm="1">
        <f t="array" ref="AC352">_xlfn.IFS(W352&lt;0.6,S352,W352&gt;0.85,S352,W352,Y352)</f>
        <v>1607.3101123595511</v>
      </c>
      <c r="AH352">
        <v>0</v>
      </c>
      <c r="AI352">
        <v>225</v>
      </c>
    </row>
    <row r="353" spans="1:35" x14ac:dyDescent="0.25">
      <c r="A353" t="s">
        <v>51</v>
      </c>
      <c r="B353" t="s">
        <v>415</v>
      </c>
      <c r="C353">
        <v>3</v>
      </c>
      <c r="E353" t="s">
        <v>53</v>
      </c>
      <c r="F353">
        <v>226</v>
      </c>
      <c r="H353" t="s">
        <v>54</v>
      </c>
      <c r="I353">
        <v>100000</v>
      </c>
      <c r="J353" t="s">
        <v>82</v>
      </c>
      <c r="K353">
        <v>65</v>
      </c>
      <c r="L353">
        <v>1516</v>
      </c>
      <c r="M353">
        <v>15016</v>
      </c>
      <c r="N353">
        <v>15</v>
      </c>
      <c r="O353">
        <v>16</v>
      </c>
      <c r="P353">
        <v>25</v>
      </c>
      <c r="Q353">
        <v>17.899999999999999</v>
      </c>
      <c r="R353">
        <v>2074</v>
      </c>
      <c r="S353">
        <v>2732</v>
      </c>
      <c r="T353" s="1">
        <v>45495</v>
      </c>
      <c r="U353" s="1">
        <v>45530</v>
      </c>
      <c r="V353">
        <v>147230</v>
      </c>
      <c r="W353">
        <v>0.96861204899999997</v>
      </c>
      <c r="X353" s="4">
        <v>0.99946052631578997</v>
      </c>
      <c r="Y353" s="4">
        <f t="shared" si="5"/>
        <v>2733.4746376334588</v>
      </c>
      <c r="AA353">
        <v>0.98430602499999997</v>
      </c>
      <c r="AB353">
        <v>2775.5595640000001</v>
      </c>
      <c r="AC353" cm="1">
        <f t="array" ref="AC353">_xlfn.IFS(W353&lt;0.6,S353,W353&gt;0.85,S353,W353,Y353)</f>
        <v>2732</v>
      </c>
      <c r="AH353">
        <v>0</v>
      </c>
      <c r="AI353">
        <v>226</v>
      </c>
    </row>
    <row r="354" spans="1:35" x14ac:dyDescent="0.25">
      <c r="A354" t="s">
        <v>51</v>
      </c>
      <c r="B354" t="s">
        <v>416</v>
      </c>
      <c r="C354">
        <v>3</v>
      </c>
      <c r="E354" t="s">
        <v>53</v>
      </c>
      <c r="F354">
        <v>255</v>
      </c>
      <c r="H354" t="s">
        <v>54</v>
      </c>
      <c r="I354">
        <v>150000</v>
      </c>
      <c r="J354" t="s">
        <v>99</v>
      </c>
      <c r="K354">
        <v>90</v>
      </c>
      <c r="L354">
        <v>1517</v>
      </c>
      <c r="M354">
        <v>15017</v>
      </c>
      <c r="N354">
        <v>15</v>
      </c>
      <c r="O354">
        <v>17</v>
      </c>
      <c r="P354">
        <v>27</v>
      </c>
      <c r="Q354">
        <v>20.7</v>
      </c>
      <c r="R354">
        <v>1306</v>
      </c>
      <c r="S354">
        <v>1662</v>
      </c>
      <c r="T354" s="1">
        <v>45497</v>
      </c>
      <c r="U354" s="1">
        <v>45532</v>
      </c>
      <c r="V354">
        <v>129347</v>
      </c>
      <c r="W354">
        <v>0.85097830200000002</v>
      </c>
      <c r="X354" s="4">
        <v>0.82985302438190001</v>
      </c>
      <c r="Y354" s="4">
        <f t="shared" si="5"/>
        <v>2002.764286167311</v>
      </c>
      <c r="AA354">
        <v>0.92548915099999995</v>
      </c>
      <c r="AB354">
        <v>1795.8071130000001</v>
      </c>
      <c r="AC354" cm="1">
        <f t="array" ref="AC354">_xlfn.IFS(W354&lt;0.6,S354,W354&gt;0.85,S354,W354,Y354)</f>
        <v>1662</v>
      </c>
      <c r="AH354">
        <v>0</v>
      </c>
      <c r="AI354">
        <v>255</v>
      </c>
    </row>
    <row r="355" spans="1:35" x14ac:dyDescent="0.25">
      <c r="A355" t="s">
        <v>51</v>
      </c>
      <c r="B355" t="s">
        <v>417</v>
      </c>
      <c r="C355">
        <v>3</v>
      </c>
      <c r="E355" t="s">
        <v>53</v>
      </c>
      <c r="F355">
        <v>256</v>
      </c>
      <c r="H355" t="s">
        <v>54</v>
      </c>
      <c r="I355">
        <v>75000</v>
      </c>
      <c r="J355" t="s">
        <v>55</v>
      </c>
      <c r="K355">
        <v>53</v>
      </c>
      <c r="L355">
        <v>1518</v>
      </c>
      <c r="M355">
        <v>15018</v>
      </c>
      <c r="N355">
        <v>15</v>
      </c>
      <c r="O355">
        <v>18</v>
      </c>
      <c r="P355">
        <v>33</v>
      </c>
      <c r="Q355">
        <v>18.8</v>
      </c>
      <c r="R355">
        <v>1362</v>
      </c>
      <c r="S355">
        <v>1775</v>
      </c>
      <c r="T355" s="1">
        <v>45498</v>
      </c>
      <c r="U355" s="1">
        <v>45534</v>
      </c>
      <c r="V355">
        <v>143341</v>
      </c>
      <c r="W355">
        <v>0.94302669100000003</v>
      </c>
      <c r="X355" s="4">
        <v>0.95917051540151799</v>
      </c>
      <c r="Y355" s="4">
        <f t="shared" si="5"/>
        <v>1850.5573008121169</v>
      </c>
      <c r="AA355">
        <v>0.97151334600000006</v>
      </c>
      <c r="AB355">
        <v>1827.046441</v>
      </c>
      <c r="AC355" cm="1">
        <f t="array" ref="AC355">_xlfn.IFS(W355&lt;0.6,S355,W355&gt;0.85,S355,W355,Y355)</f>
        <v>1775</v>
      </c>
      <c r="AH355">
        <v>0</v>
      </c>
      <c r="AI355">
        <v>256</v>
      </c>
    </row>
    <row r="356" spans="1:35" x14ac:dyDescent="0.25">
      <c r="A356" t="s">
        <v>51</v>
      </c>
      <c r="B356" t="s">
        <v>418</v>
      </c>
      <c r="C356">
        <v>4</v>
      </c>
      <c r="E356" t="s">
        <v>53</v>
      </c>
      <c r="F356">
        <v>285</v>
      </c>
      <c r="H356" t="s">
        <v>61</v>
      </c>
      <c r="I356">
        <v>75000</v>
      </c>
      <c r="J356" t="s">
        <v>82</v>
      </c>
      <c r="K356">
        <v>5</v>
      </c>
      <c r="L356">
        <v>1519</v>
      </c>
      <c r="M356">
        <v>15019</v>
      </c>
      <c r="N356">
        <v>15</v>
      </c>
      <c r="O356">
        <v>19</v>
      </c>
      <c r="P356">
        <v>27</v>
      </c>
      <c r="Q356">
        <v>18.3</v>
      </c>
      <c r="R356">
        <v>905</v>
      </c>
      <c r="S356">
        <v>1186</v>
      </c>
      <c r="T356" s="1">
        <v>45497</v>
      </c>
      <c r="U356" s="1">
        <v>45534</v>
      </c>
      <c r="V356">
        <v>72005</v>
      </c>
      <c r="W356">
        <v>0.43789097399999999</v>
      </c>
      <c r="X356" s="4">
        <v>0.50646950092421394</v>
      </c>
      <c r="Y356" s="4">
        <f t="shared" si="5"/>
        <v>2341.7007299270094</v>
      </c>
      <c r="AA356">
        <v>0.73685855300000003</v>
      </c>
      <c r="AB356">
        <v>1609.535502</v>
      </c>
      <c r="AC356" cm="1">
        <f t="array" ref="AC356">_xlfn.IFS(W356&lt;0.6,S356,W356&gt;0.85,S356,W356,Y356)</f>
        <v>1186</v>
      </c>
      <c r="AH356">
        <v>0</v>
      </c>
      <c r="AI356">
        <v>285</v>
      </c>
    </row>
    <row r="357" spans="1:35" x14ac:dyDescent="0.25">
      <c r="A357" t="s">
        <v>51</v>
      </c>
      <c r="B357" t="s">
        <v>419</v>
      </c>
      <c r="C357">
        <v>4</v>
      </c>
      <c r="E357" t="s">
        <v>53</v>
      </c>
      <c r="F357">
        <v>286</v>
      </c>
      <c r="H357" t="s">
        <v>61</v>
      </c>
      <c r="I357">
        <v>100000</v>
      </c>
      <c r="J357" t="s">
        <v>77</v>
      </c>
      <c r="K357">
        <v>19</v>
      </c>
      <c r="L357">
        <v>1520</v>
      </c>
      <c r="M357">
        <v>15020</v>
      </c>
      <c r="N357">
        <v>15</v>
      </c>
      <c r="O357">
        <v>20</v>
      </c>
      <c r="P357">
        <v>76</v>
      </c>
      <c r="Q357">
        <v>19.399999999999999</v>
      </c>
      <c r="R357">
        <v>561</v>
      </c>
      <c r="S357">
        <v>726</v>
      </c>
      <c r="T357" s="1">
        <v>45497</v>
      </c>
      <c r="V357">
        <v>122196</v>
      </c>
      <c r="W357">
        <v>0.88908765700000003</v>
      </c>
      <c r="X357" s="4">
        <v>0.97962962962962996</v>
      </c>
      <c r="Y357" s="4">
        <f t="shared" si="5"/>
        <v>741.09640831758009</v>
      </c>
      <c r="AA357">
        <v>0.90196581600000003</v>
      </c>
      <c r="AB357">
        <v>804.90855369999997</v>
      </c>
      <c r="AC357" cm="1">
        <f t="array" ref="AC357">_xlfn.IFS(W357&lt;0.6,S357,W357&gt;0.85,S357,W357,Y357)</f>
        <v>726</v>
      </c>
      <c r="AH357">
        <v>0</v>
      </c>
      <c r="AI357">
        <v>286</v>
      </c>
    </row>
    <row r="358" spans="1:35" x14ac:dyDescent="0.25">
      <c r="A358" t="s">
        <v>51</v>
      </c>
      <c r="B358" t="s">
        <v>420</v>
      </c>
      <c r="C358">
        <v>4</v>
      </c>
      <c r="E358" t="s">
        <v>53</v>
      </c>
      <c r="F358">
        <v>315</v>
      </c>
      <c r="H358" t="s">
        <v>61</v>
      </c>
      <c r="I358">
        <v>150000</v>
      </c>
      <c r="J358" t="s">
        <v>97</v>
      </c>
      <c r="K358">
        <v>44</v>
      </c>
      <c r="L358">
        <v>1521</v>
      </c>
      <c r="M358">
        <v>15021</v>
      </c>
      <c r="N358">
        <v>15</v>
      </c>
      <c r="O358">
        <v>21</v>
      </c>
      <c r="T358" s="1">
        <v>45493</v>
      </c>
      <c r="U358" s="1">
        <v>45534</v>
      </c>
      <c r="V358">
        <v>48078</v>
      </c>
      <c r="W358">
        <v>0.30568079399999998</v>
      </c>
      <c r="X358" s="4">
        <v>0.15839694656488501</v>
      </c>
      <c r="Y358" s="4" t="s">
        <v>431</v>
      </c>
      <c r="AH358">
        <v>0</v>
      </c>
      <c r="AI358">
        <v>315</v>
      </c>
    </row>
    <row r="359" spans="1:35" x14ac:dyDescent="0.25">
      <c r="A359" t="s">
        <v>51</v>
      </c>
      <c r="B359" t="s">
        <v>421</v>
      </c>
      <c r="C359">
        <v>4</v>
      </c>
      <c r="E359" t="s">
        <v>53</v>
      </c>
      <c r="F359">
        <v>316</v>
      </c>
      <c r="H359" t="s">
        <v>54</v>
      </c>
      <c r="I359">
        <v>150000</v>
      </c>
      <c r="J359" t="s">
        <v>73</v>
      </c>
      <c r="K359">
        <v>87</v>
      </c>
      <c r="L359">
        <v>1522</v>
      </c>
      <c r="M359">
        <v>15022</v>
      </c>
      <c r="N359">
        <v>15</v>
      </c>
      <c r="O359">
        <v>22</v>
      </c>
      <c r="P359">
        <v>66</v>
      </c>
      <c r="Q359">
        <v>20</v>
      </c>
      <c r="R359">
        <v>602</v>
      </c>
      <c r="S359">
        <v>773</v>
      </c>
      <c r="T359" s="1">
        <v>45498</v>
      </c>
      <c r="V359">
        <v>148411</v>
      </c>
      <c r="W359">
        <v>0.97638173399999995</v>
      </c>
      <c r="X359" s="4">
        <v>1</v>
      </c>
      <c r="Y359" s="4">
        <f t="shared" si="5"/>
        <v>773</v>
      </c>
      <c r="AA359">
        <v>0.98819086700000003</v>
      </c>
      <c r="AB359">
        <v>782.23754719999999</v>
      </c>
      <c r="AC359" cm="1">
        <f t="array" ref="AC359">_xlfn.IFS(W359&lt;0.6,S359,W359&gt;0.85,S359,W359,Y359)</f>
        <v>773</v>
      </c>
      <c r="AH359">
        <v>0</v>
      </c>
      <c r="AI359">
        <v>316</v>
      </c>
    </row>
    <row r="360" spans="1:35" x14ac:dyDescent="0.25">
      <c r="A360" t="s">
        <v>51</v>
      </c>
      <c r="B360" t="s">
        <v>422</v>
      </c>
      <c r="C360">
        <v>4</v>
      </c>
      <c r="E360" t="s">
        <v>53</v>
      </c>
      <c r="F360">
        <v>345</v>
      </c>
      <c r="H360" t="s">
        <v>54</v>
      </c>
      <c r="I360">
        <v>100000</v>
      </c>
      <c r="J360" t="s">
        <v>97</v>
      </c>
      <c r="K360">
        <v>74</v>
      </c>
      <c r="L360">
        <v>1523</v>
      </c>
      <c r="M360">
        <v>15023</v>
      </c>
      <c r="N360">
        <v>15</v>
      </c>
      <c r="O360">
        <v>23</v>
      </c>
      <c r="P360">
        <v>53</v>
      </c>
      <c r="Q360">
        <v>21.3</v>
      </c>
      <c r="R360">
        <v>934</v>
      </c>
      <c r="S360">
        <v>1179</v>
      </c>
      <c r="T360" s="1">
        <v>45494</v>
      </c>
      <c r="U360" s="1">
        <v>45527</v>
      </c>
      <c r="V360">
        <v>150535</v>
      </c>
      <c r="W360">
        <v>0.99035532699999995</v>
      </c>
      <c r="X360" s="4">
        <v>0.99978947368421101</v>
      </c>
      <c r="Y360" s="4">
        <f t="shared" si="5"/>
        <v>1179.2482627921663</v>
      </c>
      <c r="AA360">
        <v>0.99517766399999996</v>
      </c>
      <c r="AB360">
        <v>1184.7130850000001</v>
      </c>
      <c r="AC360" cm="1">
        <f t="array" ref="AC360">_xlfn.IFS(W360&lt;0.6,S360,W360&gt;0.85,S360,W360,Y360)</f>
        <v>1179</v>
      </c>
      <c r="AH360">
        <v>0</v>
      </c>
      <c r="AI360">
        <v>345</v>
      </c>
    </row>
    <row r="361" spans="1:35" x14ac:dyDescent="0.25">
      <c r="A361" t="s">
        <v>51</v>
      </c>
      <c r="B361" t="s">
        <v>423</v>
      </c>
      <c r="C361">
        <v>4</v>
      </c>
      <c r="E361" t="s">
        <v>53</v>
      </c>
      <c r="F361">
        <v>346</v>
      </c>
      <c r="H361" t="s">
        <v>54</v>
      </c>
      <c r="I361">
        <v>75000</v>
      </c>
      <c r="J361" t="s">
        <v>62</v>
      </c>
      <c r="K361">
        <v>47</v>
      </c>
      <c r="L361">
        <v>1524</v>
      </c>
      <c r="M361">
        <v>15024</v>
      </c>
      <c r="N361">
        <v>15</v>
      </c>
      <c r="O361">
        <v>24</v>
      </c>
      <c r="P361">
        <v>27</v>
      </c>
      <c r="Q361">
        <v>26.2</v>
      </c>
      <c r="R361">
        <v>1565</v>
      </c>
      <c r="S361">
        <v>1853</v>
      </c>
      <c r="T361" s="1">
        <v>45495</v>
      </c>
      <c r="U361" s="1">
        <v>45534</v>
      </c>
      <c r="V361">
        <v>151856</v>
      </c>
      <c r="W361">
        <v>0.99907235000000005</v>
      </c>
      <c r="X361" s="4">
        <v>0.99899998684193203</v>
      </c>
      <c r="Y361" s="4">
        <f t="shared" si="5"/>
        <v>1854.8548792855922</v>
      </c>
      <c r="AA361">
        <v>0.99953617500000003</v>
      </c>
      <c r="AB361">
        <v>1853.8598669999999</v>
      </c>
      <c r="AC361" cm="1">
        <f t="array" ref="AC361">_xlfn.IFS(W361&lt;0.6,S361,W361&gt;0.85,S361,W361,Y361)</f>
        <v>1853</v>
      </c>
      <c r="AH361">
        <v>0</v>
      </c>
      <c r="AI361">
        <v>346</v>
      </c>
    </row>
    <row r="362" spans="1:35" x14ac:dyDescent="0.25">
      <c r="Z362" s="4">
        <f>(AVERAGE(X2:X361)/STDEV(X2:X361))</f>
        <v>8.355399755804525</v>
      </c>
    </row>
  </sheetData>
  <sortState xmlns:xlrd2="http://schemas.microsoft.com/office/spreadsheetml/2017/richdata2" ref="A2:BF362">
    <sortCondition ref="L2:L3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7FC0-493A-4C2D-9B4C-09CDC64E171E}">
  <dimension ref="B1:AG361"/>
  <sheetViews>
    <sheetView zoomScale="70" zoomScaleNormal="70" workbookViewId="0">
      <selection activeCell="B4" sqref="B4:Y92"/>
    </sheetView>
  </sheetViews>
  <sheetFormatPr defaultRowHeight="15" x14ac:dyDescent="0.25"/>
  <cols>
    <col min="2" max="25" width="12.28515625" style="6" bestFit="1" customWidth="1"/>
  </cols>
  <sheetData>
    <row r="1" spans="2:33" x14ac:dyDescent="0.25"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</row>
    <row r="2" spans="2:33" x14ac:dyDescent="0.25">
      <c r="AB2" t="s">
        <v>54</v>
      </c>
      <c r="AC2">
        <v>100000</v>
      </c>
      <c r="AD2" t="s">
        <v>55</v>
      </c>
      <c r="AE2">
        <v>68</v>
      </c>
      <c r="AF2">
        <v>101</v>
      </c>
      <c r="AG2">
        <v>1001</v>
      </c>
    </row>
    <row r="3" spans="2:33" x14ac:dyDescent="0.25">
      <c r="AB3" t="s">
        <v>54</v>
      </c>
      <c r="AC3">
        <v>150000</v>
      </c>
      <c r="AD3" t="s">
        <v>57</v>
      </c>
      <c r="AE3">
        <v>81</v>
      </c>
      <c r="AF3">
        <v>102</v>
      </c>
      <c r="AG3">
        <v>1002</v>
      </c>
    </row>
    <row r="4" spans="2:33" x14ac:dyDescent="0.25">
      <c r="B4" s="8">
        <v>1501</v>
      </c>
      <c r="C4" s="8">
        <v>1502</v>
      </c>
      <c r="D4" s="8">
        <v>1503</v>
      </c>
      <c r="E4" s="8">
        <v>1504</v>
      </c>
      <c r="F4" s="8">
        <v>1505</v>
      </c>
      <c r="G4" s="8">
        <v>1506</v>
      </c>
      <c r="H4" s="8">
        <v>1507</v>
      </c>
      <c r="I4" s="8">
        <v>1508</v>
      </c>
      <c r="J4" s="8">
        <v>1509</v>
      </c>
      <c r="K4" s="8">
        <v>1510</v>
      </c>
      <c r="L4" s="8">
        <v>1511</v>
      </c>
      <c r="M4" s="8">
        <v>1512</v>
      </c>
      <c r="N4" s="8">
        <v>1513</v>
      </c>
      <c r="O4" s="8">
        <v>1514</v>
      </c>
      <c r="P4" s="8">
        <v>1515</v>
      </c>
      <c r="Q4" s="8">
        <v>1516</v>
      </c>
      <c r="R4" s="8">
        <v>1517</v>
      </c>
      <c r="S4" s="8">
        <v>1518</v>
      </c>
      <c r="T4" s="8">
        <v>1519</v>
      </c>
      <c r="U4" s="8">
        <v>1520</v>
      </c>
      <c r="V4" s="8">
        <v>1521</v>
      </c>
      <c r="W4" s="8">
        <v>1522</v>
      </c>
      <c r="X4" s="8">
        <v>1523</v>
      </c>
      <c r="Y4" s="8">
        <v>1524</v>
      </c>
      <c r="AB4" t="s">
        <v>54</v>
      </c>
      <c r="AC4">
        <v>75000</v>
      </c>
      <c r="AD4" t="s">
        <v>59</v>
      </c>
      <c r="AE4">
        <v>55</v>
      </c>
      <c r="AF4">
        <v>103</v>
      </c>
      <c r="AG4">
        <v>1003</v>
      </c>
    </row>
    <row r="5" spans="2:33" x14ac:dyDescent="0.25">
      <c r="B5" s="7" t="s">
        <v>54</v>
      </c>
      <c r="C5" s="7" t="s">
        <v>54</v>
      </c>
      <c r="D5" s="7" t="s">
        <v>54</v>
      </c>
      <c r="E5" s="7" t="s">
        <v>61</v>
      </c>
      <c r="F5" s="7" t="s">
        <v>61</v>
      </c>
      <c r="G5" s="7" t="s">
        <v>61</v>
      </c>
      <c r="H5" s="7" t="s">
        <v>61</v>
      </c>
      <c r="I5" s="7" t="s">
        <v>61</v>
      </c>
      <c r="J5" s="7" t="s">
        <v>61</v>
      </c>
      <c r="K5" s="7" t="s">
        <v>54</v>
      </c>
      <c r="L5" s="7" t="s">
        <v>54</v>
      </c>
      <c r="M5" s="7" t="s">
        <v>54</v>
      </c>
      <c r="N5" s="7" t="s">
        <v>61</v>
      </c>
      <c r="O5" s="7" t="s">
        <v>61</v>
      </c>
      <c r="P5" s="7" t="s">
        <v>61</v>
      </c>
      <c r="Q5" s="7" t="s">
        <v>54</v>
      </c>
      <c r="R5" s="7" t="s">
        <v>54</v>
      </c>
      <c r="S5" s="7" t="s">
        <v>54</v>
      </c>
      <c r="T5" s="7" t="s">
        <v>61</v>
      </c>
      <c r="U5" s="7" t="s">
        <v>61</v>
      </c>
      <c r="V5" s="7" t="s">
        <v>61</v>
      </c>
      <c r="W5" s="7" t="s">
        <v>54</v>
      </c>
      <c r="X5" s="7" t="s">
        <v>54</v>
      </c>
      <c r="Y5" s="7" t="s">
        <v>54</v>
      </c>
      <c r="AB5" t="s">
        <v>61</v>
      </c>
      <c r="AC5">
        <v>150000</v>
      </c>
      <c r="AD5" t="s">
        <v>62</v>
      </c>
      <c r="AE5">
        <v>32</v>
      </c>
      <c r="AF5">
        <v>104</v>
      </c>
      <c r="AG5">
        <v>1004</v>
      </c>
    </row>
    <row r="6" spans="2:33" x14ac:dyDescent="0.25">
      <c r="B6" s="7">
        <v>100000</v>
      </c>
      <c r="C6" s="7">
        <v>150000</v>
      </c>
      <c r="D6" s="7">
        <v>75000</v>
      </c>
      <c r="E6" s="7">
        <v>150000</v>
      </c>
      <c r="F6" s="7">
        <v>75000</v>
      </c>
      <c r="G6" s="7">
        <v>100000</v>
      </c>
      <c r="H6" s="7">
        <v>75000</v>
      </c>
      <c r="I6" s="7">
        <v>150000</v>
      </c>
      <c r="J6" s="7">
        <v>100000</v>
      </c>
      <c r="K6" s="7">
        <v>100000</v>
      </c>
      <c r="L6" s="7">
        <v>75000</v>
      </c>
      <c r="M6" s="7">
        <v>150000</v>
      </c>
      <c r="N6" s="7">
        <v>150000</v>
      </c>
      <c r="O6" s="7">
        <v>75000</v>
      </c>
      <c r="P6" s="7">
        <v>100000</v>
      </c>
      <c r="Q6" s="7">
        <v>100000</v>
      </c>
      <c r="R6" s="7">
        <v>150000</v>
      </c>
      <c r="S6" s="7">
        <v>75000</v>
      </c>
      <c r="T6" s="7">
        <v>75000</v>
      </c>
      <c r="U6" s="7">
        <v>100000</v>
      </c>
      <c r="V6" s="7">
        <v>150000</v>
      </c>
      <c r="W6" s="7">
        <v>150000</v>
      </c>
      <c r="X6" s="7">
        <v>100000</v>
      </c>
      <c r="Y6" s="7">
        <v>75000</v>
      </c>
      <c r="AB6" t="s">
        <v>61</v>
      </c>
      <c r="AC6">
        <v>75000</v>
      </c>
      <c r="AD6" t="s">
        <v>55</v>
      </c>
      <c r="AE6">
        <v>8</v>
      </c>
      <c r="AF6">
        <v>105</v>
      </c>
      <c r="AG6">
        <v>1005</v>
      </c>
    </row>
    <row r="7" spans="2:33" x14ac:dyDescent="0.25">
      <c r="B7" s="7" t="s">
        <v>65</v>
      </c>
      <c r="C7" s="7" t="s">
        <v>73</v>
      </c>
      <c r="D7" s="7" t="s">
        <v>55</v>
      </c>
      <c r="E7" s="7" t="s">
        <v>55</v>
      </c>
      <c r="F7" s="7" t="s">
        <v>59</v>
      </c>
      <c r="G7" s="7" t="s">
        <v>55</v>
      </c>
      <c r="H7" s="7" t="s">
        <v>65</v>
      </c>
      <c r="I7" s="7" t="s">
        <v>97</v>
      </c>
      <c r="J7" s="7" t="s">
        <v>110</v>
      </c>
      <c r="K7" s="7" t="s">
        <v>57</v>
      </c>
      <c r="L7" s="7" t="s">
        <v>97</v>
      </c>
      <c r="M7" s="7" t="s">
        <v>95</v>
      </c>
      <c r="N7" s="7" t="s">
        <v>97</v>
      </c>
      <c r="O7" s="7" t="s">
        <v>80</v>
      </c>
      <c r="P7" s="7" t="s">
        <v>95</v>
      </c>
      <c r="Q7" s="7" t="s">
        <v>82</v>
      </c>
      <c r="R7" s="7" t="s">
        <v>99</v>
      </c>
      <c r="S7" s="7" t="s">
        <v>55</v>
      </c>
      <c r="T7" s="7" t="s">
        <v>82</v>
      </c>
      <c r="U7" s="7" t="s">
        <v>77</v>
      </c>
      <c r="V7" s="7" t="s">
        <v>97</v>
      </c>
      <c r="W7" s="7" t="s">
        <v>73</v>
      </c>
      <c r="X7" s="7" t="s">
        <v>97</v>
      </c>
      <c r="Y7" s="7" t="s">
        <v>62</v>
      </c>
      <c r="AB7" t="s">
        <v>61</v>
      </c>
      <c r="AC7">
        <v>100000</v>
      </c>
      <c r="AD7" t="s">
        <v>65</v>
      </c>
      <c r="AE7">
        <v>18</v>
      </c>
      <c r="AF7">
        <v>106</v>
      </c>
      <c r="AG7">
        <v>1006</v>
      </c>
    </row>
    <row r="8" spans="2:33" x14ac:dyDescent="0.2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B8" t="s">
        <v>61</v>
      </c>
      <c r="AC8">
        <v>75000</v>
      </c>
      <c r="AD8" t="s">
        <v>59</v>
      </c>
      <c r="AE8">
        <v>10</v>
      </c>
      <c r="AF8">
        <v>107</v>
      </c>
      <c r="AG8">
        <v>1007</v>
      </c>
    </row>
    <row r="9" spans="2:33" x14ac:dyDescent="0.25">
      <c r="AB9" t="s">
        <v>61</v>
      </c>
      <c r="AC9">
        <v>150000</v>
      </c>
      <c r="AD9" t="s">
        <v>55</v>
      </c>
      <c r="AE9">
        <v>38</v>
      </c>
      <c r="AF9">
        <v>108</v>
      </c>
      <c r="AG9">
        <v>1008</v>
      </c>
    </row>
    <row r="10" spans="2:33" x14ac:dyDescent="0.25">
      <c r="B10" s="8">
        <v>1401</v>
      </c>
      <c r="C10" s="8">
        <v>1402</v>
      </c>
      <c r="D10" s="8">
        <v>1403</v>
      </c>
      <c r="E10" s="8">
        <v>1404</v>
      </c>
      <c r="F10" s="8">
        <v>1405</v>
      </c>
      <c r="G10" s="8">
        <v>1406</v>
      </c>
      <c r="H10" s="8">
        <v>1407</v>
      </c>
      <c r="I10" s="8">
        <v>1408</v>
      </c>
      <c r="J10" s="8">
        <v>1409</v>
      </c>
      <c r="K10" s="8">
        <v>1410</v>
      </c>
      <c r="L10" s="8">
        <v>1411</v>
      </c>
      <c r="M10" s="8">
        <v>1412</v>
      </c>
      <c r="N10" s="8">
        <v>1413</v>
      </c>
      <c r="O10" s="8">
        <v>1414</v>
      </c>
      <c r="P10" s="8">
        <v>1415</v>
      </c>
      <c r="Q10" s="8">
        <v>1416</v>
      </c>
      <c r="R10" s="8">
        <v>1417</v>
      </c>
      <c r="S10" s="8">
        <v>1418</v>
      </c>
      <c r="T10" s="8">
        <v>1419</v>
      </c>
      <c r="U10" s="8">
        <v>1420</v>
      </c>
      <c r="V10" s="8">
        <v>1421</v>
      </c>
      <c r="W10" s="8">
        <v>1422</v>
      </c>
      <c r="X10" s="8">
        <v>1423</v>
      </c>
      <c r="Y10" s="8">
        <v>1424</v>
      </c>
      <c r="AB10" t="s">
        <v>61</v>
      </c>
      <c r="AC10">
        <v>100000</v>
      </c>
      <c r="AD10" t="s">
        <v>62</v>
      </c>
      <c r="AE10">
        <v>17</v>
      </c>
      <c r="AF10">
        <v>109</v>
      </c>
      <c r="AG10">
        <v>1009</v>
      </c>
    </row>
    <row r="11" spans="2:33" x14ac:dyDescent="0.25">
      <c r="B11" s="7" t="s">
        <v>54</v>
      </c>
      <c r="C11" s="7" t="s">
        <v>54</v>
      </c>
      <c r="D11" s="7" t="s">
        <v>54</v>
      </c>
      <c r="E11" s="7" t="s">
        <v>61</v>
      </c>
      <c r="F11" s="7" t="s">
        <v>61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54</v>
      </c>
      <c r="L11" s="7" t="s">
        <v>54</v>
      </c>
      <c r="M11" s="7" t="s">
        <v>54</v>
      </c>
      <c r="N11" s="7" t="s">
        <v>61</v>
      </c>
      <c r="O11" s="7" t="s">
        <v>61</v>
      </c>
      <c r="P11" s="7" t="s">
        <v>61</v>
      </c>
      <c r="Q11" s="7" t="s">
        <v>54</v>
      </c>
      <c r="R11" s="7" t="s">
        <v>54</v>
      </c>
      <c r="S11" s="7" t="s">
        <v>54</v>
      </c>
      <c r="T11" s="7" t="s">
        <v>61</v>
      </c>
      <c r="U11" s="7" t="s">
        <v>61</v>
      </c>
      <c r="V11" s="7" t="s">
        <v>61</v>
      </c>
      <c r="W11" s="7" t="s">
        <v>54</v>
      </c>
      <c r="X11" s="7" t="s">
        <v>54</v>
      </c>
      <c r="Y11" s="7" t="s">
        <v>54</v>
      </c>
      <c r="AB11" t="s">
        <v>54</v>
      </c>
      <c r="AC11">
        <v>100000</v>
      </c>
      <c r="AD11" t="s">
        <v>62</v>
      </c>
      <c r="AE11">
        <v>62</v>
      </c>
      <c r="AF11">
        <v>110</v>
      </c>
      <c r="AG11">
        <v>1010</v>
      </c>
    </row>
    <row r="12" spans="2:33" x14ac:dyDescent="0.25">
      <c r="B12" s="7">
        <v>100000</v>
      </c>
      <c r="C12" s="7">
        <v>150000</v>
      </c>
      <c r="D12" s="7">
        <v>75000</v>
      </c>
      <c r="E12" s="7">
        <v>150000</v>
      </c>
      <c r="F12" s="7">
        <v>75000</v>
      </c>
      <c r="G12" s="7">
        <v>100000</v>
      </c>
      <c r="H12" s="7">
        <v>75000</v>
      </c>
      <c r="I12" s="7">
        <v>150000</v>
      </c>
      <c r="J12" s="7">
        <v>100000</v>
      </c>
      <c r="K12" s="7">
        <v>100000</v>
      </c>
      <c r="L12" s="7">
        <v>75000</v>
      </c>
      <c r="M12" s="7">
        <v>150000</v>
      </c>
      <c r="N12" s="7">
        <v>150000</v>
      </c>
      <c r="O12" s="7">
        <v>75000</v>
      </c>
      <c r="P12" s="7">
        <v>100000</v>
      </c>
      <c r="Q12" s="7">
        <v>100000</v>
      </c>
      <c r="R12" s="7">
        <v>150000</v>
      </c>
      <c r="S12" s="7">
        <v>75000</v>
      </c>
      <c r="T12" s="7">
        <v>75000</v>
      </c>
      <c r="U12" s="7">
        <v>100000</v>
      </c>
      <c r="V12" s="7">
        <v>150000</v>
      </c>
      <c r="W12" s="7">
        <v>150000</v>
      </c>
      <c r="X12" s="7">
        <v>100000</v>
      </c>
      <c r="Y12" s="7">
        <v>75000</v>
      </c>
      <c r="AB12" t="s">
        <v>54</v>
      </c>
      <c r="AC12">
        <v>75000</v>
      </c>
      <c r="AD12" t="s">
        <v>71</v>
      </c>
      <c r="AE12">
        <v>56</v>
      </c>
      <c r="AF12">
        <v>111</v>
      </c>
      <c r="AG12">
        <v>1011</v>
      </c>
    </row>
    <row r="13" spans="2:33" x14ac:dyDescent="0.25">
      <c r="B13" s="7" t="s">
        <v>110</v>
      </c>
      <c r="C13" s="7" t="s">
        <v>110</v>
      </c>
      <c r="D13" s="7" t="s">
        <v>95</v>
      </c>
      <c r="E13" s="7" t="s">
        <v>99</v>
      </c>
      <c r="F13" s="7" t="s">
        <v>97</v>
      </c>
      <c r="G13" s="7" t="s">
        <v>110</v>
      </c>
      <c r="H13" s="7" t="s">
        <v>71</v>
      </c>
      <c r="I13" s="7" t="s">
        <v>71</v>
      </c>
      <c r="J13" s="7" t="s">
        <v>82</v>
      </c>
      <c r="K13" s="7" t="s">
        <v>55</v>
      </c>
      <c r="L13" s="7" t="s">
        <v>80</v>
      </c>
      <c r="M13" s="7" t="s">
        <v>65</v>
      </c>
      <c r="N13" s="7" t="s">
        <v>82</v>
      </c>
      <c r="O13" s="7" t="s">
        <v>65</v>
      </c>
      <c r="P13" s="7" t="s">
        <v>97</v>
      </c>
      <c r="Q13" s="7" t="s">
        <v>85</v>
      </c>
      <c r="R13" s="7" t="s">
        <v>85</v>
      </c>
      <c r="S13" s="7" t="s">
        <v>62</v>
      </c>
      <c r="T13" s="7" t="s">
        <v>110</v>
      </c>
      <c r="U13" s="7" t="s">
        <v>59</v>
      </c>
      <c r="V13" s="7" t="s">
        <v>57</v>
      </c>
      <c r="W13" s="7" t="s">
        <v>71</v>
      </c>
      <c r="X13" s="7" t="s">
        <v>85</v>
      </c>
      <c r="Y13" s="7" t="s">
        <v>55</v>
      </c>
      <c r="AB13" t="s">
        <v>54</v>
      </c>
      <c r="AC13">
        <v>150000</v>
      </c>
      <c r="AD13" t="s">
        <v>73</v>
      </c>
      <c r="AE13">
        <v>87</v>
      </c>
      <c r="AF13">
        <v>112</v>
      </c>
      <c r="AG13">
        <v>1012</v>
      </c>
    </row>
    <row r="14" spans="2:33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B14" t="s">
        <v>61</v>
      </c>
      <c r="AC14">
        <v>150000</v>
      </c>
      <c r="AD14" t="s">
        <v>59</v>
      </c>
      <c r="AE14">
        <v>40</v>
      </c>
      <c r="AF14">
        <v>113</v>
      </c>
      <c r="AG14">
        <v>1013</v>
      </c>
    </row>
    <row r="15" spans="2:33" x14ac:dyDescent="0.25">
      <c r="AB15" t="s">
        <v>61</v>
      </c>
      <c r="AC15">
        <v>75000</v>
      </c>
      <c r="AD15" t="s">
        <v>55</v>
      </c>
      <c r="AE15">
        <v>8</v>
      </c>
      <c r="AF15">
        <v>114</v>
      </c>
      <c r="AG15">
        <v>1014</v>
      </c>
    </row>
    <row r="16" spans="2:33" x14ac:dyDescent="0.25">
      <c r="B16" s="8">
        <v>1301</v>
      </c>
      <c r="C16" s="8">
        <v>1302</v>
      </c>
      <c r="D16" s="8">
        <v>1303</v>
      </c>
      <c r="E16" s="8">
        <v>1304</v>
      </c>
      <c r="F16" s="8">
        <v>1305</v>
      </c>
      <c r="G16" s="8">
        <v>1306</v>
      </c>
      <c r="H16" s="8">
        <v>1307</v>
      </c>
      <c r="I16" s="8">
        <v>1308</v>
      </c>
      <c r="J16" s="8">
        <v>1309</v>
      </c>
      <c r="K16" s="8">
        <v>1310</v>
      </c>
      <c r="L16" s="8">
        <v>1311</v>
      </c>
      <c r="M16" s="8">
        <v>1312</v>
      </c>
      <c r="N16" s="8">
        <v>1313</v>
      </c>
      <c r="O16" s="8">
        <v>1314</v>
      </c>
      <c r="P16" s="8">
        <v>1315</v>
      </c>
      <c r="Q16" s="8">
        <v>1316</v>
      </c>
      <c r="R16" s="8">
        <v>1317</v>
      </c>
      <c r="S16" s="8">
        <v>1318</v>
      </c>
      <c r="T16" s="8">
        <v>1319</v>
      </c>
      <c r="U16" s="8">
        <v>1320</v>
      </c>
      <c r="V16" s="8">
        <v>1321</v>
      </c>
      <c r="W16" s="8">
        <v>1322</v>
      </c>
      <c r="X16" s="8">
        <v>1323</v>
      </c>
      <c r="Y16" s="8">
        <v>1324</v>
      </c>
      <c r="AB16" t="s">
        <v>61</v>
      </c>
      <c r="AC16">
        <v>100000</v>
      </c>
      <c r="AD16" t="s">
        <v>77</v>
      </c>
      <c r="AE16">
        <v>19</v>
      </c>
      <c r="AF16">
        <v>115</v>
      </c>
      <c r="AG16">
        <v>1015</v>
      </c>
    </row>
    <row r="17" spans="2:33" x14ac:dyDescent="0.25">
      <c r="B17" s="7" t="s">
        <v>54</v>
      </c>
      <c r="C17" s="7" t="s">
        <v>54</v>
      </c>
      <c r="D17" s="7" t="s">
        <v>54</v>
      </c>
      <c r="E17" s="7" t="s">
        <v>61</v>
      </c>
      <c r="F17" s="7" t="s">
        <v>61</v>
      </c>
      <c r="G17" s="7" t="s">
        <v>61</v>
      </c>
      <c r="H17" s="7" t="s">
        <v>61</v>
      </c>
      <c r="I17" s="7" t="s">
        <v>61</v>
      </c>
      <c r="J17" s="7" t="s">
        <v>61</v>
      </c>
      <c r="K17" s="7" t="s">
        <v>54</v>
      </c>
      <c r="L17" s="7" t="s">
        <v>54</v>
      </c>
      <c r="M17" s="7" t="s">
        <v>54</v>
      </c>
      <c r="N17" s="7" t="s">
        <v>61</v>
      </c>
      <c r="O17" s="7" t="s">
        <v>61</v>
      </c>
      <c r="P17" s="7" t="s">
        <v>61</v>
      </c>
      <c r="Q17" s="7" t="s">
        <v>54</v>
      </c>
      <c r="R17" s="7" t="s">
        <v>54</v>
      </c>
      <c r="S17" s="7" t="s">
        <v>54</v>
      </c>
      <c r="T17" s="7" t="s">
        <v>61</v>
      </c>
      <c r="U17" s="7" t="s">
        <v>61</v>
      </c>
      <c r="V17" s="7" t="s">
        <v>61</v>
      </c>
      <c r="W17" s="7" t="s">
        <v>54</v>
      </c>
      <c r="X17" s="7" t="s">
        <v>54</v>
      </c>
      <c r="Y17" s="7" t="s">
        <v>54</v>
      </c>
      <c r="AB17" t="s">
        <v>54</v>
      </c>
      <c r="AC17">
        <v>100000</v>
      </c>
      <c r="AD17" t="s">
        <v>62</v>
      </c>
      <c r="AE17">
        <v>62</v>
      </c>
      <c r="AF17">
        <v>116</v>
      </c>
      <c r="AG17">
        <v>1016</v>
      </c>
    </row>
    <row r="18" spans="2:33" x14ac:dyDescent="0.25">
      <c r="B18" s="7">
        <v>100000</v>
      </c>
      <c r="C18" s="7">
        <v>150000</v>
      </c>
      <c r="D18" s="7">
        <v>75000</v>
      </c>
      <c r="E18" s="7">
        <v>150000</v>
      </c>
      <c r="F18" s="7">
        <v>75000</v>
      </c>
      <c r="G18" s="7">
        <v>100000</v>
      </c>
      <c r="H18" s="7">
        <v>75000</v>
      </c>
      <c r="I18" s="7">
        <v>150000</v>
      </c>
      <c r="J18" s="7">
        <v>100000</v>
      </c>
      <c r="K18" s="7">
        <v>100000</v>
      </c>
      <c r="L18" s="7">
        <v>75000</v>
      </c>
      <c r="M18" s="7">
        <v>150000</v>
      </c>
      <c r="N18" s="7">
        <v>150000</v>
      </c>
      <c r="O18" s="7">
        <v>75000</v>
      </c>
      <c r="P18" s="7">
        <v>100000</v>
      </c>
      <c r="Q18" s="7">
        <v>100000</v>
      </c>
      <c r="R18" s="7">
        <v>150000</v>
      </c>
      <c r="S18" s="7">
        <v>75000</v>
      </c>
      <c r="T18" s="7">
        <v>75000</v>
      </c>
      <c r="U18" s="7">
        <v>100000</v>
      </c>
      <c r="V18" s="7">
        <v>150000</v>
      </c>
      <c r="W18" s="7">
        <v>150000</v>
      </c>
      <c r="X18" s="7">
        <v>100000</v>
      </c>
      <c r="Y18" s="7">
        <v>75000</v>
      </c>
      <c r="AB18" t="s">
        <v>54</v>
      </c>
      <c r="AC18">
        <v>150000</v>
      </c>
      <c r="AD18" t="s">
        <v>80</v>
      </c>
      <c r="AE18">
        <v>76</v>
      </c>
      <c r="AF18">
        <v>117</v>
      </c>
      <c r="AG18">
        <v>1017</v>
      </c>
    </row>
    <row r="19" spans="2:33" x14ac:dyDescent="0.25">
      <c r="B19" s="7" t="s">
        <v>95</v>
      </c>
      <c r="C19" s="7" t="s">
        <v>71</v>
      </c>
      <c r="D19" s="7" t="s">
        <v>65</v>
      </c>
      <c r="E19" s="7" t="s">
        <v>71</v>
      </c>
      <c r="F19" s="7" t="s">
        <v>77</v>
      </c>
      <c r="G19" s="7" t="s">
        <v>85</v>
      </c>
      <c r="H19" s="7" t="s">
        <v>73</v>
      </c>
      <c r="I19" s="7" t="s">
        <v>65</v>
      </c>
      <c r="J19" s="7" t="s">
        <v>99</v>
      </c>
      <c r="K19" s="7" t="s">
        <v>82</v>
      </c>
      <c r="L19" s="7" t="s">
        <v>65</v>
      </c>
      <c r="M19" s="7" t="s">
        <v>80</v>
      </c>
      <c r="N19" s="7" t="s">
        <v>57</v>
      </c>
      <c r="O19" s="7" t="s">
        <v>57</v>
      </c>
      <c r="P19" s="7" t="s">
        <v>71</v>
      </c>
      <c r="Q19" s="7" t="s">
        <v>95</v>
      </c>
      <c r="R19" s="7" t="s">
        <v>59</v>
      </c>
      <c r="S19" s="7" t="s">
        <v>57</v>
      </c>
      <c r="T19" s="7" t="s">
        <v>97</v>
      </c>
      <c r="U19" s="7" t="s">
        <v>82</v>
      </c>
      <c r="V19" s="7" t="s">
        <v>80</v>
      </c>
      <c r="W19" s="7" t="s">
        <v>65</v>
      </c>
      <c r="X19" s="7" t="s">
        <v>110</v>
      </c>
      <c r="Y19" s="7" t="s">
        <v>97</v>
      </c>
      <c r="AB19" t="s">
        <v>54</v>
      </c>
      <c r="AC19">
        <v>75000</v>
      </c>
      <c r="AD19" t="s">
        <v>82</v>
      </c>
      <c r="AE19">
        <v>50</v>
      </c>
      <c r="AF19">
        <v>118</v>
      </c>
      <c r="AG19">
        <v>1018</v>
      </c>
    </row>
    <row r="20" spans="2:33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B20" t="s">
        <v>61</v>
      </c>
      <c r="AC20">
        <v>75000</v>
      </c>
      <c r="AD20" t="s">
        <v>73</v>
      </c>
      <c r="AE20">
        <v>12</v>
      </c>
      <c r="AF20">
        <v>119</v>
      </c>
      <c r="AG20">
        <v>1019</v>
      </c>
    </row>
    <row r="21" spans="2:33" x14ac:dyDescent="0.25">
      <c r="AB21" t="s">
        <v>61</v>
      </c>
      <c r="AC21">
        <v>100000</v>
      </c>
      <c r="AD21" t="s">
        <v>85</v>
      </c>
      <c r="AE21">
        <v>28</v>
      </c>
      <c r="AF21">
        <v>120</v>
      </c>
      <c r="AG21">
        <v>1020</v>
      </c>
    </row>
    <row r="22" spans="2:33" x14ac:dyDescent="0.25">
      <c r="B22" s="8">
        <v>1201</v>
      </c>
      <c r="C22" s="8">
        <v>1202</v>
      </c>
      <c r="D22" s="8">
        <v>1203</v>
      </c>
      <c r="E22" s="8">
        <v>1204</v>
      </c>
      <c r="F22" s="8">
        <v>1205</v>
      </c>
      <c r="G22" s="8">
        <v>1206</v>
      </c>
      <c r="H22" s="8">
        <v>1207</v>
      </c>
      <c r="I22" s="8">
        <v>1208</v>
      </c>
      <c r="J22" s="8">
        <v>1209</v>
      </c>
      <c r="K22" s="8">
        <v>1210</v>
      </c>
      <c r="L22" s="8">
        <v>1211</v>
      </c>
      <c r="M22" s="8">
        <v>1212</v>
      </c>
      <c r="N22" s="8">
        <v>1213</v>
      </c>
      <c r="O22" s="8">
        <v>1214</v>
      </c>
      <c r="P22" s="8">
        <v>1215</v>
      </c>
      <c r="Q22" s="8">
        <v>1216</v>
      </c>
      <c r="R22" s="8">
        <v>1217</v>
      </c>
      <c r="S22" s="8">
        <v>1218</v>
      </c>
      <c r="T22" s="8">
        <v>1219</v>
      </c>
      <c r="U22" s="8">
        <v>1220</v>
      </c>
      <c r="V22" s="8">
        <v>1221</v>
      </c>
      <c r="W22" s="8">
        <v>1222</v>
      </c>
      <c r="X22" s="8">
        <v>1223</v>
      </c>
      <c r="Y22" s="8">
        <v>1224</v>
      </c>
      <c r="AB22" t="s">
        <v>61</v>
      </c>
      <c r="AC22">
        <v>150000</v>
      </c>
      <c r="AD22" t="s">
        <v>55</v>
      </c>
      <c r="AE22">
        <v>38</v>
      </c>
      <c r="AF22">
        <v>121</v>
      </c>
      <c r="AG22">
        <v>1021</v>
      </c>
    </row>
    <row r="23" spans="2:33" x14ac:dyDescent="0.25">
      <c r="B23" s="7" t="s">
        <v>54</v>
      </c>
      <c r="C23" s="7" t="s">
        <v>54</v>
      </c>
      <c r="D23" s="7" t="s">
        <v>54</v>
      </c>
      <c r="E23" s="7" t="s">
        <v>61</v>
      </c>
      <c r="F23" s="7" t="s">
        <v>61</v>
      </c>
      <c r="G23" s="7" t="s">
        <v>61</v>
      </c>
      <c r="H23" s="7" t="s">
        <v>61</v>
      </c>
      <c r="I23" s="7" t="s">
        <v>61</v>
      </c>
      <c r="J23" s="7" t="s">
        <v>61</v>
      </c>
      <c r="K23" s="7" t="s">
        <v>54</v>
      </c>
      <c r="L23" s="7" t="s">
        <v>54</v>
      </c>
      <c r="M23" s="7" t="s">
        <v>54</v>
      </c>
      <c r="N23" s="7" t="s">
        <v>61</v>
      </c>
      <c r="O23" s="7" t="s">
        <v>61</v>
      </c>
      <c r="P23" s="7" t="s">
        <v>61</v>
      </c>
      <c r="Q23" s="7" t="s">
        <v>54</v>
      </c>
      <c r="R23" s="7" t="s">
        <v>54</v>
      </c>
      <c r="S23" s="7" t="s">
        <v>54</v>
      </c>
      <c r="T23" s="7" t="s">
        <v>61</v>
      </c>
      <c r="U23" s="7" t="s">
        <v>61</v>
      </c>
      <c r="V23" s="7" t="s">
        <v>61</v>
      </c>
      <c r="W23" s="7" t="s">
        <v>54</v>
      </c>
      <c r="X23" s="7" t="s">
        <v>54</v>
      </c>
      <c r="Y23" s="7" t="s">
        <v>54</v>
      </c>
      <c r="AB23" t="s">
        <v>54</v>
      </c>
      <c r="AC23">
        <v>150000</v>
      </c>
      <c r="AD23" t="s">
        <v>62</v>
      </c>
      <c r="AE23">
        <v>77</v>
      </c>
      <c r="AF23">
        <v>122</v>
      </c>
      <c r="AG23">
        <v>1022</v>
      </c>
    </row>
    <row r="24" spans="2:33" x14ac:dyDescent="0.25">
      <c r="B24" s="7">
        <v>100000</v>
      </c>
      <c r="C24" s="7">
        <v>150000</v>
      </c>
      <c r="D24" s="7">
        <v>75000</v>
      </c>
      <c r="E24" s="7">
        <v>150000</v>
      </c>
      <c r="F24" s="7">
        <v>75000</v>
      </c>
      <c r="G24" s="7">
        <v>100000</v>
      </c>
      <c r="H24" s="7">
        <v>75000</v>
      </c>
      <c r="I24" s="7">
        <v>150000</v>
      </c>
      <c r="J24" s="7">
        <v>100000</v>
      </c>
      <c r="K24" s="7">
        <v>100000</v>
      </c>
      <c r="L24" s="7">
        <v>75000</v>
      </c>
      <c r="M24" s="7">
        <v>150000</v>
      </c>
      <c r="N24" s="7">
        <v>150000</v>
      </c>
      <c r="O24" s="7">
        <v>75000</v>
      </c>
      <c r="P24" s="7">
        <v>100000</v>
      </c>
      <c r="Q24" s="7">
        <v>100000</v>
      </c>
      <c r="R24" s="7">
        <v>150000</v>
      </c>
      <c r="S24" s="7">
        <v>75000</v>
      </c>
      <c r="T24" s="7">
        <v>75000</v>
      </c>
      <c r="U24" s="7">
        <v>100000</v>
      </c>
      <c r="V24" s="7">
        <v>150000</v>
      </c>
      <c r="W24" s="7">
        <v>150000</v>
      </c>
      <c r="X24" s="7">
        <v>100000</v>
      </c>
      <c r="Y24" s="7">
        <v>75000</v>
      </c>
      <c r="AB24" t="s">
        <v>54</v>
      </c>
      <c r="AC24">
        <v>100000</v>
      </c>
      <c r="AD24" t="s">
        <v>71</v>
      </c>
      <c r="AE24">
        <v>71</v>
      </c>
      <c r="AF24">
        <v>123</v>
      </c>
      <c r="AG24">
        <v>1023</v>
      </c>
    </row>
    <row r="25" spans="2:33" x14ac:dyDescent="0.25">
      <c r="B25" s="7" t="s">
        <v>59</v>
      </c>
      <c r="C25" s="7" t="s">
        <v>59</v>
      </c>
      <c r="D25" s="7" t="s">
        <v>80</v>
      </c>
      <c r="E25" s="7" t="s">
        <v>65</v>
      </c>
      <c r="F25" s="7" t="s">
        <v>82</v>
      </c>
      <c r="G25" s="7" t="s">
        <v>73</v>
      </c>
      <c r="H25" s="7" t="s">
        <v>77</v>
      </c>
      <c r="I25" s="7" t="s">
        <v>57</v>
      </c>
      <c r="J25" s="7" t="s">
        <v>55</v>
      </c>
      <c r="K25" s="7" t="s">
        <v>71</v>
      </c>
      <c r="L25" s="7" t="s">
        <v>85</v>
      </c>
      <c r="M25" s="7" t="s">
        <v>59</v>
      </c>
      <c r="N25" s="7" t="s">
        <v>55</v>
      </c>
      <c r="O25" s="7" t="s">
        <v>77</v>
      </c>
      <c r="P25" s="7" t="s">
        <v>57</v>
      </c>
      <c r="Q25" s="7" t="s">
        <v>97</v>
      </c>
      <c r="R25" s="7" t="s">
        <v>57</v>
      </c>
      <c r="S25" s="7" t="s">
        <v>73</v>
      </c>
      <c r="T25" s="7" t="s">
        <v>99</v>
      </c>
      <c r="U25" s="7" t="s">
        <v>73</v>
      </c>
      <c r="V25" s="7" t="s">
        <v>110</v>
      </c>
      <c r="W25" s="7" t="s">
        <v>110</v>
      </c>
      <c r="X25" s="7" t="s">
        <v>62</v>
      </c>
      <c r="Y25" s="7" t="s">
        <v>57</v>
      </c>
      <c r="AB25" t="s">
        <v>54</v>
      </c>
      <c r="AC25">
        <v>75000</v>
      </c>
      <c r="AD25" t="s">
        <v>73</v>
      </c>
      <c r="AE25">
        <v>57</v>
      </c>
      <c r="AF25">
        <v>124</v>
      </c>
      <c r="AG25">
        <v>1024</v>
      </c>
    </row>
    <row r="26" spans="2:33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B26" t="s">
        <v>54</v>
      </c>
      <c r="AC26">
        <v>100000</v>
      </c>
      <c r="AD26" t="s">
        <v>77</v>
      </c>
      <c r="AE26">
        <v>64</v>
      </c>
      <c r="AF26">
        <v>201</v>
      </c>
      <c r="AG26">
        <v>2001</v>
      </c>
    </row>
    <row r="27" spans="2:33" x14ac:dyDescent="0.25">
      <c r="AB27" t="s">
        <v>54</v>
      </c>
      <c r="AC27">
        <v>150000</v>
      </c>
      <c r="AD27" t="s">
        <v>65</v>
      </c>
      <c r="AE27">
        <v>78</v>
      </c>
      <c r="AF27">
        <v>202</v>
      </c>
      <c r="AG27">
        <v>2002</v>
      </c>
    </row>
    <row r="28" spans="2:33" x14ac:dyDescent="0.25">
      <c r="B28" s="8">
        <v>1101</v>
      </c>
      <c r="C28" s="8">
        <v>1102</v>
      </c>
      <c r="D28" s="8">
        <v>1103</v>
      </c>
      <c r="E28" s="8">
        <v>1104</v>
      </c>
      <c r="F28" s="8">
        <v>1105</v>
      </c>
      <c r="G28" s="8">
        <v>1106</v>
      </c>
      <c r="H28" s="8">
        <v>1107</v>
      </c>
      <c r="I28" s="8">
        <v>1108</v>
      </c>
      <c r="J28" s="8">
        <v>1109</v>
      </c>
      <c r="K28" s="8">
        <v>1110</v>
      </c>
      <c r="L28" s="8">
        <v>1111</v>
      </c>
      <c r="M28" s="8">
        <v>1112</v>
      </c>
      <c r="N28" s="8">
        <v>1113</v>
      </c>
      <c r="O28" s="8">
        <v>1114</v>
      </c>
      <c r="P28" s="8">
        <v>1115</v>
      </c>
      <c r="Q28" s="8">
        <v>1116</v>
      </c>
      <c r="R28" s="8">
        <v>1117</v>
      </c>
      <c r="S28" s="8">
        <v>1118</v>
      </c>
      <c r="T28" s="8">
        <v>1119</v>
      </c>
      <c r="U28" s="8">
        <v>1120</v>
      </c>
      <c r="V28" s="8">
        <v>1121</v>
      </c>
      <c r="W28" s="8">
        <v>1122</v>
      </c>
      <c r="X28" s="8">
        <v>1123</v>
      </c>
      <c r="Y28" s="8">
        <v>1124</v>
      </c>
      <c r="AB28" t="s">
        <v>54</v>
      </c>
      <c r="AC28">
        <v>75000</v>
      </c>
      <c r="AD28" t="s">
        <v>85</v>
      </c>
      <c r="AE28">
        <v>58</v>
      </c>
      <c r="AF28">
        <v>203</v>
      </c>
      <c r="AG28">
        <v>2003</v>
      </c>
    </row>
    <row r="29" spans="2:33" x14ac:dyDescent="0.25">
      <c r="B29" s="7" t="s">
        <v>54</v>
      </c>
      <c r="C29" s="7" t="s">
        <v>54</v>
      </c>
      <c r="D29" s="7" t="s">
        <v>54</v>
      </c>
      <c r="E29" s="7" t="s">
        <v>61</v>
      </c>
      <c r="F29" s="7" t="s">
        <v>61</v>
      </c>
      <c r="G29" s="7" t="s">
        <v>61</v>
      </c>
      <c r="H29" s="7" t="s">
        <v>61</v>
      </c>
      <c r="I29" s="7" t="s">
        <v>61</v>
      </c>
      <c r="J29" s="7" t="s">
        <v>61</v>
      </c>
      <c r="K29" s="7" t="s">
        <v>54</v>
      </c>
      <c r="L29" s="7" t="s">
        <v>54</v>
      </c>
      <c r="M29" s="7" t="s">
        <v>54</v>
      </c>
      <c r="N29" s="7" t="s">
        <v>61</v>
      </c>
      <c r="O29" s="7" t="s">
        <v>61</v>
      </c>
      <c r="P29" s="7" t="s">
        <v>61</v>
      </c>
      <c r="Q29" s="7" t="s">
        <v>54</v>
      </c>
      <c r="R29" s="7" t="s">
        <v>54</v>
      </c>
      <c r="S29" s="7" t="s">
        <v>54</v>
      </c>
      <c r="T29" s="7" t="s">
        <v>61</v>
      </c>
      <c r="U29" s="7" t="s">
        <v>61</v>
      </c>
      <c r="V29" s="7" t="s">
        <v>61</v>
      </c>
      <c r="W29" s="7" t="s">
        <v>54</v>
      </c>
      <c r="X29" s="7" t="s">
        <v>54</v>
      </c>
      <c r="Y29" s="7" t="s">
        <v>54</v>
      </c>
      <c r="AB29" t="s">
        <v>61</v>
      </c>
      <c r="AC29">
        <v>150000</v>
      </c>
      <c r="AD29" t="s">
        <v>57</v>
      </c>
      <c r="AE29">
        <v>36</v>
      </c>
      <c r="AF29">
        <v>204</v>
      </c>
      <c r="AG29">
        <v>2004</v>
      </c>
    </row>
    <row r="30" spans="2:33" x14ac:dyDescent="0.25">
      <c r="B30" s="7">
        <v>100000</v>
      </c>
      <c r="C30" s="7">
        <v>150000</v>
      </c>
      <c r="D30" s="7">
        <v>75000</v>
      </c>
      <c r="E30" s="7">
        <v>150000</v>
      </c>
      <c r="F30" s="7">
        <v>75000</v>
      </c>
      <c r="G30" s="7">
        <v>100000</v>
      </c>
      <c r="H30" s="7">
        <v>75000</v>
      </c>
      <c r="I30" s="7">
        <v>150000</v>
      </c>
      <c r="J30" s="7">
        <v>100000</v>
      </c>
      <c r="K30" s="7">
        <v>100000</v>
      </c>
      <c r="L30" s="7">
        <v>75000</v>
      </c>
      <c r="M30" s="7">
        <v>150000</v>
      </c>
      <c r="N30" s="7">
        <v>150000</v>
      </c>
      <c r="O30" s="7">
        <v>75000</v>
      </c>
      <c r="P30" s="7">
        <v>100000</v>
      </c>
      <c r="Q30" s="7">
        <v>100000</v>
      </c>
      <c r="R30" s="7">
        <v>150000</v>
      </c>
      <c r="S30" s="7">
        <v>75000</v>
      </c>
      <c r="T30" s="7">
        <v>75000</v>
      </c>
      <c r="U30" s="7">
        <v>100000</v>
      </c>
      <c r="V30" s="7">
        <v>150000</v>
      </c>
      <c r="W30" s="7">
        <v>150000</v>
      </c>
      <c r="X30" s="7">
        <v>100000</v>
      </c>
      <c r="Y30" s="7">
        <v>75000</v>
      </c>
      <c r="AB30" t="s">
        <v>61</v>
      </c>
      <c r="AC30">
        <v>75000</v>
      </c>
      <c r="AD30" t="s">
        <v>95</v>
      </c>
      <c r="AE30">
        <v>7</v>
      </c>
      <c r="AF30">
        <v>205</v>
      </c>
      <c r="AG30">
        <v>2005</v>
      </c>
    </row>
    <row r="31" spans="2:33" x14ac:dyDescent="0.25">
      <c r="B31" s="7" t="s">
        <v>85</v>
      </c>
      <c r="C31" s="7" t="s">
        <v>77</v>
      </c>
      <c r="D31" s="7" t="s">
        <v>82</v>
      </c>
      <c r="E31" s="7" t="s">
        <v>97</v>
      </c>
      <c r="F31" s="7" t="s">
        <v>73</v>
      </c>
      <c r="G31" s="7" t="s">
        <v>71</v>
      </c>
      <c r="H31" s="7" t="s">
        <v>82</v>
      </c>
      <c r="I31" s="7" t="s">
        <v>80</v>
      </c>
      <c r="J31" s="7" t="s">
        <v>85</v>
      </c>
      <c r="K31" s="7" t="s">
        <v>99</v>
      </c>
      <c r="L31" s="7" t="s">
        <v>110</v>
      </c>
      <c r="M31" s="7" t="s">
        <v>57</v>
      </c>
      <c r="N31" s="7" t="s">
        <v>85</v>
      </c>
      <c r="O31" s="7" t="s">
        <v>82</v>
      </c>
      <c r="P31" s="7" t="s">
        <v>62</v>
      </c>
      <c r="Q31" s="7" t="s">
        <v>99</v>
      </c>
      <c r="R31" s="7" t="s">
        <v>65</v>
      </c>
      <c r="S31" s="7" t="s">
        <v>95</v>
      </c>
      <c r="T31" s="7" t="s">
        <v>65</v>
      </c>
      <c r="U31" s="7" t="s">
        <v>97</v>
      </c>
      <c r="V31" s="7" t="s">
        <v>77</v>
      </c>
      <c r="W31" s="7" t="s">
        <v>97</v>
      </c>
      <c r="X31" s="7" t="s">
        <v>55</v>
      </c>
      <c r="Y31" s="7" t="s">
        <v>99</v>
      </c>
      <c r="AB31" t="s">
        <v>61</v>
      </c>
      <c r="AC31">
        <v>100000</v>
      </c>
      <c r="AD31" t="s">
        <v>97</v>
      </c>
      <c r="AE31">
        <v>29</v>
      </c>
      <c r="AF31">
        <v>206</v>
      </c>
      <c r="AG31">
        <v>2006</v>
      </c>
    </row>
    <row r="32" spans="2:33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B32" t="s">
        <v>61</v>
      </c>
      <c r="AC32">
        <v>75000</v>
      </c>
      <c r="AD32" t="s">
        <v>99</v>
      </c>
      <c r="AE32">
        <v>15</v>
      </c>
      <c r="AF32">
        <v>605</v>
      </c>
      <c r="AG32">
        <v>6005</v>
      </c>
    </row>
    <row r="33" spans="2:33" x14ac:dyDescent="0.25">
      <c r="AB33" t="s">
        <v>61</v>
      </c>
      <c r="AC33">
        <v>150000</v>
      </c>
      <c r="AD33" t="s">
        <v>95</v>
      </c>
      <c r="AE33">
        <v>37</v>
      </c>
      <c r="AF33">
        <v>208</v>
      </c>
      <c r="AG33">
        <v>2008</v>
      </c>
    </row>
    <row r="34" spans="2:33" x14ac:dyDescent="0.25">
      <c r="B34" s="8">
        <v>1001</v>
      </c>
      <c r="C34" s="8">
        <v>1002</v>
      </c>
      <c r="D34" s="8">
        <v>1003</v>
      </c>
      <c r="E34" s="8">
        <v>1004</v>
      </c>
      <c r="F34" s="8">
        <v>1005</v>
      </c>
      <c r="G34" s="8">
        <v>1006</v>
      </c>
      <c r="H34" s="8">
        <v>1007</v>
      </c>
      <c r="I34" s="8">
        <v>1008</v>
      </c>
      <c r="J34" s="8">
        <v>1009</v>
      </c>
      <c r="K34" s="8">
        <v>1010</v>
      </c>
      <c r="L34" s="8">
        <v>1011</v>
      </c>
      <c r="M34" s="8">
        <v>1012</v>
      </c>
      <c r="N34" s="8">
        <v>1013</v>
      </c>
      <c r="O34" s="8">
        <v>1014</v>
      </c>
      <c r="P34" s="8">
        <v>1015</v>
      </c>
      <c r="Q34" s="8">
        <v>1016</v>
      </c>
      <c r="R34" s="8">
        <v>1017</v>
      </c>
      <c r="S34" s="8">
        <v>1018</v>
      </c>
      <c r="T34" s="8">
        <v>1019</v>
      </c>
      <c r="U34" s="8">
        <v>1020</v>
      </c>
      <c r="V34" s="8">
        <v>1021</v>
      </c>
      <c r="W34" s="8">
        <v>1022</v>
      </c>
      <c r="X34" s="8">
        <v>1023</v>
      </c>
      <c r="Y34" s="8">
        <v>1024</v>
      </c>
      <c r="AB34" t="s">
        <v>61</v>
      </c>
      <c r="AC34">
        <v>100000</v>
      </c>
      <c r="AD34" t="s">
        <v>95</v>
      </c>
      <c r="AE34">
        <v>22</v>
      </c>
      <c r="AF34">
        <v>209</v>
      </c>
      <c r="AG34">
        <v>2009</v>
      </c>
    </row>
    <row r="35" spans="2:33" x14ac:dyDescent="0.25">
      <c r="B35" s="7" t="s">
        <v>54</v>
      </c>
      <c r="C35" s="7" t="s">
        <v>54</v>
      </c>
      <c r="D35" s="7" t="s">
        <v>54</v>
      </c>
      <c r="E35" s="7" t="s">
        <v>61</v>
      </c>
      <c r="F35" s="7" t="s">
        <v>61</v>
      </c>
      <c r="G35" s="7" t="s">
        <v>61</v>
      </c>
      <c r="H35" s="7" t="s">
        <v>61</v>
      </c>
      <c r="I35" s="7" t="s">
        <v>61</v>
      </c>
      <c r="J35" s="7" t="s">
        <v>61</v>
      </c>
      <c r="K35" s="7" t="s">
        <v>54</v>
      </c>
      <c r="L35" s="7" t="s">
        <v>54</v>
      </c>
      <c r="M35" s="7" t="s">
        <v>54</v>
      </c>
      <c r="N35" s="7" t="s">
        <v>61</v>
      </c>
      <c r="O35" s="7" t="s">
        <v>61</v>
      </c>
      <c r="P35" s="7" t="s">
        <v>61</v>
      </c>
      <c r="Q35" s="7" t="s">
        <v>54</v>
      </c>
      <c r="R35" s="7" t="s">
        <v>54</v>
      </c>
      <c r="S35" s="7" t="s">
        <v>54</v>
      </c>
      <c r="T35" s="7" t="s">
        <v>61</v>
      </c>
      <c r="U35" s="7" t="s">
        <v>61</v>
      </c>
      <c r="V35" s="7" t="s">
        <v>61</v>
      </c>
      <c r="W35" s="7" t="s">
        <v>54</v>
      </c>
      <c r="X35" s="7" t="s">
        <v>54</v>
      </c>
      <c r="Y35" s="7" t="s">
        <v>54</v>
      </c>
      <c r="AB35" t="s">
        <v>54</v>
      </c>
      <c r="AC35">
        <v>100000</v>
      </c>
      <c r="AD35" t="s">
        <v>59</v>
      </c>
      <c r="AE35">
        <v>70</v>
      </c>
      <c r="AF35">
        <v>210</v>
      </c>
      <c r="AG35">
        <v>2010</v>
      </c>
    </row>
    <row r="36" spans="2:33" x14ac:dyDescent="0.25">
      <c r="B36" s="7">
        <v>100000</v>
      </c>
      <c r="C36" s="7">
        <v>150000</v>
      </c>
      <c r="D36" s="7">
        <v>75000</v>
      </c>
      <c r="E36" s="7">
        <v>150000</v>
      </c>
      <c r="F36" s="7">
        <v>75000</v>
      </c>
      <c r="G36" s="7">
        <v>100000</v>
      </c>
      <c r="H36" s="7">
        <v>75000</v>
      </c>
      <c r="I36" s="7">
        <v>150000</v>
      </c>
      <c r="J36" s="7">
        <v>100000</v>
      </c>
      <c r="K36" s="7">
        <v>100000</v>
      </c>
      <c r="L36" s="7">
        <v>75000</v>
      </c>
      <c r="M36" s="7">
        <v>150000</v>
      </c>
      <c r="N36" s="7">
        <v>150000</v>
      </c>
      <c r="O36" s="7">
        <v>75000</v>
      </c>
      <c r="P36" s="7">
        <v>100000</v>
      </c>
      <c r="Q36" s="7">
        <v>100000</v>
      </c>
      <c r="R36" s="7">
        <v>150000</v>
      </c>
      <c r="S36" s="7">
        <v>75000</v>
      </c>
      <c r="T36" s="7">
        <v>75000</v>
      </c>
      <c r="U36" s="7">
        <v>100000</v>
      </c>
      <c r="V36" s="7">
        <v>150000</v>
      </c>
      <c r="W36" s="7">
        <v>150000</v>
      </c>
      <c r="X36" s="7">
        <v>100000</v>
      </c>
      <c r="Y36" s="7">
        <v>75000</v>
      </c>
      <c r="AB36" t="s">
        <v>54</v>
      </c>
      <c r="AC36">
        <v>75000</v>
      </c>
      <c r="AD36" t="s">
        <v>57</v>
      </c>
      <c r="AE36">
        <v>51</v>
      </c>
      <c r="AF36">
        <v>211</v>
      </c>
      <c r="AG36">
        <v>2011</v>
      </c>
    </row>
    <row r="37" spans="2:33" x14ac:dyDescent="0.25">
      <c r="B37" s="7" t="s">
        <v>73</v>
      </c>
      <c r="C37" s="7" t="s">
        <v>97</v>
      </c>
      <c r="D37" s="7" t="s">
        <v>71</v>
      </c>
      <c r="E37" s="7" t="s">
        <v>82</v>
      </c>
      <c r="F37" s="7" t="s">
        <v>71</v>
      </c>
      <c r="G37" s="7" t="s">
        <v>57</v>
      </c>
      <c r="H37" s="7" t="s">
        <v>62</v>
      </c>
      <c r="I37" s="7" t="s">
        <v>59</v>
      </c>
      <c r="J37" s="7" t="s">
        <v>97</v>
      </c>
      <c r="K37" s="7" t="s">
        <v>73</v>
      </c>
      <c r="L37" s="7" t="s">
        <v>77</v>
      </c>
      <c r="M37" s="7" t="s">
        <v>99</v>
      </c>
      <c r="N37" s="7" t="s">
        <v>62</v>
      </c>
      <c r="O37" s="7" t="s">
        <v>95</v>
      </c>
      <c r="P37" s="7" t="s">
        <v>65</v>
      </c>
      <c r="Q37" s="7" t="s">
        <v>110</v>
      </c>
      <c r="R37" s="7" t="s">
        <v>71</v>
      </c>
      <c r="S37" s="7" t="s">
        <v>71</v>
      </c>
      <c r="T37" s="7" t="s">
        <v>85</v>
      </c>
      <c r="U37" s="7" t="s">
        <v>65</v>
      </c>
      <c r="V37" s="7" t="s">
        <v>85</v>
      </c>
      <c r="W37" s="7" t="s">
        <v>55</v>
      </c>
      <c r="X37" s="7" t="s">
        <v>59</v>
      </c>
      <c r="Y37" s="7" t="s">
        <v>95</v>
      </c>
      <c r="AB37" t="s">
        <v>54</v>
      </c>
      <c r="AC37">
        <v>150000</v>
      </c>
      <c r="AD37" t="s">
        <v>82</v>
      </c>
      <c r="AE37">
        <v>80</v>
      </c>
      <c r="AF37">
        <v>212</v>
      </c>
      <c r="AG37">
        <v>2012</v>
      </c>
    </row>
    <row r="38" spans="2:33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AB38" t="s">
        <v>61</v>
      </c>
      <c r="AC38">
        <v>150000</v>
      </c>
      <c r="AD38" t="s">
        <v>99</v>
      </c>
      <c r="AE38">
        <v>45</v>
      </c>
      <c r="AF38">
        <v>213</v>
      </c>
      <c r="AG38">
        <v>2013</v>
      </c>
    </row>
    <row r="39" spans="2:33" x14ac:dyDescent="0.25">
      <c r="AB39" t="s">
        <v>61</v>
      </c>
      <c r="AC39">
        <v>75000</v>
      </c>
      <c r="AD39" t="s">
        <v>73</v>
      </c>
      <c r="AE39">
        <v>12</v>
      </c>
      <c r="AF39">
        <v>214</v>
      </c>
      <c r="AG39">
        <v>2014</v>
      </c>
    </row>
    <row r="40" spans="2:33" x14ac:dyDescent="0.25">
      <c r="B40" s="8">
        <v>901</v>
      </c>
      <c r="C40" s="8">
        <v>902</v>
      </c>
      <c r="D40" s="8">
        <v>903</v>
      </c>
      <c r="E40" s="8">
        <v>904</v>
      </c>
      <c r="F40" s="8">
        <v>905</v>
      </c>
      <c r="G40" s="8">
        <v>906</v>
      </c>
      <c r="H40" s="8">
        <v>907</v>
      </c>
      <c r="I40" s="8">
        <v>908</v>
      </c>
      <c r="J40" s="8">
        <v>909</v>
      </c>
      <c r="K40" s="8">
        <v>910</v>
      </c>
      <c r="L40" s="8">
        <v>911</v>
      </c>
      <c r="M40" s="8">
        <v>912</v>
      </c>
      <c r="N40" s="8">
        <v>913</v>
      </c>
      <c r="O40" s="8">
        <v>914</v>
      </c>
      <c r="P40" s="8">
        <v>915</v>
      </c>
      <c r="Q40" s="8">
        <v>916</v>
      </c>
      <c r="R40" s="8">
        <v>917</v>
      </c>
      <c r="S40" s="8">
        <v>918</v>
      </c>
      <c r="T40" s="8">
        <v>919</v>
      </c>
      <c r="U40" s="8">
        <v>920</v>
      </c>
      <c r="V40" s="8">
        <v>921</v>
      </c>
      <c r="W40" s="8">
        <v>922</v>
      </c>
      <c r="X40" s="8">
        <v>923</v>
      </c>
      <c r="Y40" s="8">
        <v>924</v>
      </c>
      <c r="AB40" t="s">
        <v>61</v>
      </c>
      <c r="AC40">
        <v>100000</v>
      </c>
      <c r="AD40" t="s">
        <v>55</v>
      </c>
      <c r="AE40">
        <v>23</v>
      </c>
      <c r="AF40">
        <v>215</v>
      </c>
      <c r="AG40">
        <v>2015</v>
      </c>
    </row>
    <row r="41" spans="2:33" x14ac:dyDescent="0.25">
      <c r="B41" s="7" t="s">
        <v>54</v>
      </c>
      <c r="C41" s="7" t="s">
        <v>54</v>
      </c>
      <c r="D41" s="7" t="s">
        <v>54</v>
      </c>
      <c r="E41" s="7" t="s">
        <v>61</v>
      </c>
      <c r="F41" s="7" t="s">
        <v>61</v>
      </c>
      <c r="G41" s="7" t="s">
        <v>61</v>
      </c>
      <c r="H41" s="7" t="s">
        <v>61</v>
      </c>
      <c r="I41" s="7" t="s">
        <v>61</v>
      </c>
      <c r="J41" s="7" t="s">
        <v>61</v>
      </c>
      <c r="K41" s="7" t="s">
        <v>54</v>
      </c>
      <c r="L41" s="7" t="s">
        <v>54</v>
      </c>
      <c r="M41" s="7" t="s">
        <v>54</v>
      </c>
      <c r="N41" s="7" t="s">
        <v>61</v>
      </c>
      <c r="O41" s="7" t="s">
        <v>61</v>
      </c>
      <c r="P41" s="7" t="s">
        <v>61</v>
      </c>
      <c r="Q41" s="7" t="s">
        <v>54</v>
      </c>
      <c r="R41" s="7" t="s">
        <v>54</v>
      </c>
      <c r="S41" s="7" t="s">
        <v>54</v>
      </c>
      <c r="T41" s="7" t="s">
        <v>61</v>
      </c>
      <c r="U41" s="7" t="s">
        <v>61</v>
      </c>
      <c r="V41" s="7" t="s">
        <v>61</v>
      </c>
      <c r="W41" s="7" t="s">
        <v>54</v>
      </c>
      <c r="X41" s="7" t="s">
        <v>54</v>
      </c>
      <c r="Y41" s="7" t="s">
        <v>54</v>
      </c>
      <c r="AB41" t="s">
        <v>54</v>
      </c>
      <c r="AC41">
        <v>100000</v>
      </c>
      <c r="AD41" t="s">
        <v>71</v>
      </c>
      <c r="AE41">
        <v>71</v>
      </c>
      <c r="AF41">
        <v>216</v>
      </c>
      <c r="AG41">
        <v>2016</v>
      </c>
    </row>
    <row r="42" spans="2:33" x14ac:dyDescent="0.25">
      <c r="B42" s="7">
        <v>100000</v>
      </c>
      <c r="C42" s="7">
        <v>150000</v>
      </c>
      <c r="D42" s="7">
        <v>75000</v>
      </c>
      <c r="E42" s="7">
        <v>150000</v>
      </c>
      <c r="F42" s="7">
        <v>75000</v>
      </c>
      <c r="G42" s="7">
        <v>100000</v>
      </c>
      <c r="H42" s="7">
        <v>75000</v>
      </c>
      <c r="I42" s="7">
        <v>150000</v>
      </c>
      <c r="J42" s="7">
        <v>100000</v>
      </c>
      <c r="K42" s="7">
        <v>100000</v>
      </c>
      <c r="L42" s="7">
        <v>75000</v>
      </c>
      <c r="M42" s="7">
        <v>150000</v>
      </c>
      <c r="N42" s="7">
        <v>150000</v>
      </c>
      <c r="O42" s="7">
        <v>75000</v>
      </c>
      <c r="P42" s="7">
        <v>100000</v>
      </c>
      <c r="Q42" s="7">
        <v>100000</v>
      </c>
      <c r="R42" s="7">
        <v>150000</v>
      </c>
      <c r="S42" s="7">
        <v>75000</v>
      </c>
      <c r="T42" s="7">
        <v>75000</v>
      </c>
      <c r="U42" s="7">
        <v>100000</v>
      </c>
      <c r="V42" s="7">
        <v>150000</v>
      </c>
      <c r="W42" s="7">
        <v>150000</v>
      </c>
      <c r="X42" s="7">
        <v>100000</v>
      </c>
      <c r="Y42" s="7">
        <v>75000</v>
      </c>
      <c r="AB42" t="s">
        <v>54</v>
      </c>
      <c r="AC42">
        <v>150000</v>
      </c>
      <c r="AD42" t="s">
        <v>110</v>
      </c>
      <c r="AE42">
        <v>84</v>
      </c>
      <c r="AF42">
        <v>217</v>
      </c>
      <c r="AG42">
        <v>2017</v>
      </c>
    </row>
    <row r="43" spans="2:33" x14ac:dyDescent="0.25">
      <c r="B43" s="7" t="s">
        <v>62</v>
      </c>
      <c r="C43" s="7" t="s">
        <v>80</v>
      </c>
      <c r="D43" s="7" t="s">
        <v>97</v>
      </c>
      <c r="E43" s="7" t="s">
        <v>77</v>
      </c>
      <c r="F43" s="7" t="s">
        <v>110</v>
      </c>
      <c r="G43" s="7" t="s">
        <v>77</v>
      </c>
      <c r="H43" s="7" t="s">
        <v>95</v>
      </c>
      <c r="I43" s="7" t="s">
        <v>99</v>
      </c>
      <c r="J43" s="7" t="s">
        <v>80</v>
      </c>
      <c r="K43" s="7" t="s">
        <v>95</v>
      </c>
      <c r="L43" s="7" t="s">
        <v>99</v>
      </c>
      <c r="M43" s="7" t="s">
        <v>85</v>
      </c>
      <c r="N43" s="7" t="s">
        <v>65</v>
      </c>
      <c r="O43" s="7" t="s">
        <v>62</v>
      </c>
      <c r="P43" s="7" t="s">
        <v>82</v>
      </c>
      <c r="Q43" s="7" t="s">
        <v>73</v>
      </c>
      <c r="R43" s="7" t="s">
        <v>73</v>
      </c>
      <c r="S43" s="7" t="s">
        <v>97</v>
      </c>
      <c r="T43" s="7" t="s">
        <v>59</v>
      </c>
      <c r="U43" s="7" t="s">
        <v>80</v>
      </c>
      <c r="V43" s="7" t="s">
        <v>99</v>
      </c>
      <c r="W43" s="7" t="s">
        <v>82</v>
      </c>
      <c r="X43" s="7" t="s">
        <v>99</v>
      </c>
      <c r="Y43" s="7" t="s">
        <v>85</v>
      </c>
      <c r="AB43" t="s">
        <v>54</v>
      </c>
      <c r="AC43">
        <v>75000</v>
      </c>
      <c r="AD43" t="s">
        <v>77</v>
      </c>
      <c r="AE43">
        <v>49</v>
      </c>
      <c r="AF43">
        <v>218</v>
      </c>
      <c r="AG43">
        <v>2018</v>
      </c>
    </row>
    <row r="44" spans="2:33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B44" t="s">
        <v>61</v>
      </c>
      <c r="AC44">
        <v>75000</v>
      </c>
      <c r="AD44" t="s">
        <v>77</v>
      </c>
      <c r="AE44">
        <v>4</v>
      </c>
      <c r="AF44">
        <v>219</v>
      </c>
      <c r="AG44">
        <v>2019</v>
      </c>
    </row>
    <row r="45" spans="2:33" x14ac:dyDescent="0.25">
      <c r="AB45" t="s">
        <v>61</v>
      </c>
      <c r="AC45">
        <v>100000</v>
      </c>
      <c r="AD45" t="s">
        <v>95</v>
      </c>
      <c r="AE45">
        <v>22</v>
      </c>
      <c r="AF45">
        <v>220</v>
      </c>
      <c r="AG45">
        <v>2020</v>
      </c>
    </row>
    <row r="46" spans="2:33" x14ac:dyDescent="0.25">
      <c r="B46" s="8">
        <v>801</v>
      </c>
      <c r="C46" s="8">
        <v>802</v>
      </c>
      <c r="D46" s="8">
        <v>803</v>
      </c>
      <c r="E46" s="8">
        <v>804</v>
      </c>
      <c r="F46" s="8">
        <v>805</v>
      </c>
      <c r="G46" s="8">
        <v>806</v>
      </c>
      <c r="H46" s="8">
        <v>807</v>
      </c>
      <c r="I46" s="8">
        <v>808</v>
      </c>
      <c r="J46" s="8">
        <v>809</v>
      </c>
      <c r="K46" s="8">
        <v>810</v>
      </c>
      <c r="L46" s="8">
        <v>811</v>
      </c>
      <c r="M46" s="8">
        <v>812</v>
      </c>
      <c r="N46" s="8">
        <v>813</v>
      </c>
      <c r="O46" s="8">
        <v>814</v>
      </c>
      <c r="P46" s="8">
        <v>815</v>
      </c>
      <c r="Q46" s="8">
        <v>816</v>
      </c>
      <c r="R46" s="8">
        <v>817</v>
      </c>
      <c r="S46" s="8">
        <v>818</v>
      </c>
      <c r="T46" s="8">
        <v>819</v>
      </c>
      <c r="U46" s="8">
        <v>820</v>
      </c>
      <c r="V46" s="8">
        <v>821</v>
      </c>
      <c r="W46" s="8">
        <v>822</v>
      </c>
      <c r="X46" s="8">
        <v>823</v>
      </c>
      <c r="Y46" s="8">
        <v>824</v>
      </c>
      <c r="AB46" t="s">
        <v>61</v>
      </c>
      <c r="AC46">
        <v>150000</v>
      </c>
      <c r="AD46" t="s">
        <v>73</v>
      </c>
      <c r="AE46">
        <v>42</v>
      </c>
      <c r="AF46">
        <v>221</v>
      </c>
      <c r="AG46">
        <v>2021</v>
      </c>
    </row>
    <row r="47" spans="2:33" x14ac:dyDescent="0.25">
      <c r="B47" s="7" t="s">
        <v>54</v>
      </c>
      <c r="C47" s="7" t="s">
        <v>54</v>
      </c>
      <c r="D47" s="7" t="s">
        <v>54</v>
      </c>
      <c r="E47" s="7" t="s">
        <v>61</v>
      </c>
      <c r="F47" s="7" t="s">
        <v>61</v>
      </c>
      <c r="G47" s="7" t="s">
        <v>61</v>
      </c>
      <c r="H47" s="7" t="s">
        <v>61</v>
      </c>
      <c r="I47" s="7" t="s">
        <v>61</v>
      </c>
      <c r="J47" s="7" t="s">
        <v>61</v>
      </c>
      <c r="K47" s="7" t="s">
        <v>54</v>
      </c>
      <c r="L47" s="7" t="s">
        <v>54</v>
      </c>
      <c r="M47" s="7" t="s">
        <v>54</v>
      </c>
      <c r="N47" s="7" t="s">
        <v>61</v>
      </c>
      <c r="O47" s="7" t="s">
        <v>61</v>
      </c>
      <c r="P47" s="7" t="s">
        <v>61</v>
      </c>
      <c r="Q47" s="7" t="s">
        <v>54</v>
      </c>
      <c r="R47" s="7" t="s">
        <v>54</v>
      </c>
      <c r="S47" s="7" t="s">
        <v>54</v>
      </c>
      <c r="T47" s="7" t="s">
        <v>61</v>
      </c>
      <c r="U47" s="7" t="s">
        <v>61</v>
      </c>
      <c r="V47" s="7" t="s">
        <v>61</v>
      </c>
      <c r="W47" s="7" t="s">
        <v>54</v>
      </c>
      <c r="X47" s="7" t="s">
        <v>54</v>
      </c>
      <c r="Y47" s="7" t="s">
        <v>54</v>
      </c>
      <c r="AB47" t="s">
        <v>54</v>
      </c>
      <c r="AC47">
        <v>150000</v>
      </c>
      <c r="AD47" t="s">
        <v>85</v>
      </c>
      <c r="AE47">
        <v>88</v>
      </c>
      <c r="AF47">
        <v>222</v>
      </c>
      <c r="AG47">
        <v>2022</v>
      </c>
    </row>
    <row r="48" spans="2:33" x14ac:dyDescent="0.25">
      <c r="B48" s="7">
        <v>100000</v>
      </c>
      <c r="C48" s="7">
        <v>150000</v>
      </c>
      <c r="D48" s="7">
        <v>75000</v>
      </c>
      <c r="E48" s="7">
        <v>150000</v>
      </c>
      <c r="F48" s="7">
        <v>75000</v>
      </c>
      <c r="G48" s="7">
        <v>100000</v>
      </c>
      <c r="H48" s="7">
        <v>75000</v>
      </c>
      <c r="I48" s="7">
        <v>150000</v>
      </c>
      <c r="J48" s="7">
        <v>100000</v>
      </c>
      <c r="K48" s="7">
        <v>100000</v>
      </c>
      <c r="L48" s="7">
        <v>75000</v>
      </c>
      <c r="M48" s="7">
        <v>150000</v>
      </c>
      <c r="N48" s="7">
        <v>150000</v>
      </c>
      <c r="O48" s="7">
        <v>75000</v>
      </c>
      <c r="P48" s="7">
        <v>100000</v>
      </c>
      <c r="Q48" s="7">
        <v>100000</v>
      </c>
      <c r="R48" s="7">
        <v>150000</v>
      </c>
      <c r="S48" s="7">
        <v>75000</v>
      </c>
      <c r="T48" s="7">
        <v>75000</v>
      </c>
      <c r="U48" s="7">
        <v>100000</v>
      </c>
      <c r="V48" s="7">
        <v>150000</v>
      </c>
      <c r="W48" s="7">
        <v>150000</v>
      </c>
      <c r="X48" s="7">
        <v>100000</v>
      </c>
      <c r="Y48" s="7">
        <v>75000</v>
      </c>
      <c r="AB48" t="s">
        <v>54</v>
      </c>
      <c r="AC48">
        <v>100000</v>
      </c>
      <c r="AD48" t="s">
        <v>73</v>
      </c>
      <c r="AE48">
        <v>72</v>
      </c>
      <c r="AF48">
        <v>223</v>
      </c>
      <c r="AG48">
        <v>2023</v>
      </c>
    </row>
    <row r="49" spans="2:33" x14ac:dyDescent="0.25">
      <c r="B49" s="7" t="s">
        <v>57</v>
      </c>
      <c r="C49" s="7" t="s">
        <v>62</v>
      </c>
      <c r="D49" s="7" t="s">
        <v>77</v>
      </c>
      <c r="E49" s="7" t="s">
        <v>59</v>
      </c>
      <c r="F49" s="7" t="s">
        <v>65</v>
      </c>
      <c r="G49" s="7" t="s">
        <v>80</v>
      </c>
      <c r="H49" s="7" t="s">
        <v>55</v>
      </c>
      <c r="I49" s="7" t="s">
        <v>62</v>
      </c>
      <c r="J49" s="7" t="s">
        <v>59</v>
      </c>
      <c r="K49" s="7" t="s">
        <v>77</v>
      </c>
      <c r="L49" s="7" t="s">
        <v>73</v>
      </c>
      <c r="M49" s="7" t="s">
        <v>55</v>
      </c>
      <c r="N49" s="7" t="s">
        <v>73</v>
      </c>
      <c r="O49" s="7" t="s">
        <v>110</v>
      </c>
      <c r="P49" s="7" t="s">
        <v>73</v>
      </c>
      <c r="Q49" s="7" t="s">
        <v>59</v>
      </c>
      <c r="R49" s="7" t="s">
        <v>77</v>
      </c>
      <c r="S49" s="7" t="s">
        <v>85</v>
      </c>
      <c r="T49" s="7" t="s">
        <v>80</v>
      </c>
      <c r="U49" s="7" t="s">
        <v>99</v>
      </c>
      <c r="V49" s="7" t="s">
        <v>59</v>
      </c>
      <c r="W49" s="7" t="s">
        <v>57</v>
      </c>
      <c r="X49" s="7" t="s">
        <v>65</v>
      </c>
      <c r="Y49" s="7" t="s">
        <v>80</v>
      </c>
      <c r="AB49" t="s">
        <v>54</v>
      </c>
      <c r="AC49">
        <v>75000</v>
      </c>
      <c r="AD49" t="s">
        <v>82</v>
      </c>
      <c r="AE49">
        <v>50</v>
      </c>
      <c r="AF49">
        <v>224</v>
      </c>
      <c r="AG49">
        <v>2024</v>
      </c>
    </row>
    <row r="50" spans="2:33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AB50" t="s">
        <v>54</v>
      </c>
      <c r="AC50">
        <v>100000</v>
      </c>
      <c r="AD50" t="s">
        <v>97</v>
      </c>
      <c r="AE50">
        <v>74</v>
      </c>
      <c r="AF50">
        <v>301</v>
      </c>
      <c r="AG50">
        <v>3001</v>
      </c>
    </row>
    <row r="51" spans="2:33" x14ac:dyDescent="0.25">
      <c r="AB51" t="s">
        <v>54</v>
      </c>
      <c r="AC51">
        <v>150000</v>
      </c>
      <c r="AD51" t="s">
        <v>99</v>
      </c>
      <c r="AE51">
        <v>90</v>
      </c>
      <c r="AF51">
        <v>302</v>
      </c>
      <c r="AG51">
        <v>3002</v>
      </c>
    </row>
    <row r="52" spans="2:33" x14ac:dyDescent="0.25">
      <c r="B52" s="8">
        <v>701</v>
      </c>
      <c r="C52" s="8">
        <v>702</v>
      </c>
      <c r="D52" s="8">
        <v>703</v>
      </c>
      <c r="E52" s="8">
        <v>704</v>
      </c>
      <c r="F52" s="8">
        <v>705</v>
      </c>
      <c r="G52" s="8">
        <v>706</v>
      </c>
      <c r="H52" s="8">
        <v>707</v>
      </c>
      <c r="I52" s="8">
        <v>708</v>
      </c>
      <c r="J52" s="8">
        <v>709</v>
      </c>
      <c r="K52" s="8">
        <v>710</v>
      </c>
      <c r="L52" s="8">
        <v>711</v>
      </c>
      <c r="M52" s="8">
        <v>712</v>
      </c>
      <c r="N52" s="8">
        <v>713</v>
      </c>
      <c r="O52" s="8">
        <v>714</v>
      </c>
      <c r="P52" s="8">
        <v>715</v>
      </c>
      <c r="Q52" s="8">
        <v>716</v>
      </c>
      <c r="R52" s="8">
        <v>717</v>
      </c>
      <c r="S52" s="8">
        <v>718</v>
      </c>
      <c r="T52" s="8">
        <v>719</v>
      </c>
      <c r="U52" s="8">
        <v>720</v>
      </c>
      <c r="V52" s="8">
        <v>721</v>
      </c>
      <c r="W52" s="8">
        <v>722</v>
      </c>
      <c r="X52" s="8">
        <v>723</v>
      </c>
      <c r="Y52" s="8">
        <v>724</v>
      </c>
      <c r="AB52" t="s">
        <v>54</v>
      </c>
      <c r="AC52">
        <v>75000</v>
      </c>
      <c r="AD52" t="s">
        <v>62</v>
      </c>
      <c r="AE52">
        <v>47</v>
      </c>
      <c r="AF52">
        <v>303</v>
      </c>
      <c r="AG52">
        <v>3003</v>
      </c>
    </row>
    <row r="53" spans="2:33" x14ac:dyDescent="0.25">
      <c r="B53" s="7" t="s">
        <v>54</v>
      </c>
      <c r="C53" s="7" t="s">
        <v>54</v>
      </c>
      <c r="D53" s="7" t="s">
        <v>54</v>
      </c>
      <c r="E53" s="7" t="s">
        <v>61</v>
      </c>
      <c r="F53" s="7" t="s">
        <v>61</v>
      </c>
      <c r="G53" s="7" t="s">
        <v>61</v>
      </c>
      <c r="H53" s="7" t="s">
        <v>61</v>
      </c>
      <c r="I53" s="7" t="s">
        <v>61</v>
      </c>
      <c r="J53" s="7" t="s">
        <v>61</v>
      </c>
      <c r="K53" s="7" t="s">
        <v>54</v>
      </c>
      <c r="L53" s="7" t="s">
        <v>54</v>
      </c>
      <c r="M53" s="7" t="s">
        <v>54</v>
      </c>
      <c r="N53" s="7" t="s">
        <v>61</v>
      </c>
      <c r="O53" s="7" t="s">
        <v>61</v>
      </c>
      <c r="P53" s="7" t="s">
        <v>61</v>
      </c>
      <c r="Q53" s="7" t="s">
        <v>54</v>
      </c>
      <c r="R53" s="7" t="s">
        <v>54</v>
      </c>
      <c r="S53" s="7" t="s">
        <v>54</v>
      </c>
      <c r="T53" s="7" t="s">
        <v>61</v>
      </c>
      <c r="U53" s="7" t="s">
        <v>61</v>
      </c>
      <c r="V53" s="7" t="s">
        <v>61</v>
      </c>
      <c r="W53" s="7" t="s">
        <v>54</v>
      </c>
      <c r="X53" s="7" t="s">
        <v>54</v>
      </c>
      <c r="Y53" s="7" t="s">
        <v>54</v>
      </c>
      <c r="AB53" t="s">
        <v>61</v>
      </c>
      <c r="AC53">
        <v>150000</v>
      </c>
      <c r="AD53" t="s">
        <v>80</v>
      </c>
      <c r="AE53">
        <v>31</v>
      </c>
      <c r="AF53">
        <v>304</v>
      </c>
      <c r="AG53">
        <v>3004</v>
      </c>
    </row>
    <row r="54" spans="2:33" x14ac:dyDescent="0.25">
      <c r="B54" s="7">
        <v>100000</v>
      </c>
      <c r="C54" s="7">
        <v>150000</v>
      </c>
      <c r="D54" s="7">
        <v>75000</v>
      </c>
      <c r="E54" s="7">
        <v>150000</v>
      </c>
      <c r="F54" s="7">
        <v>75000</v>
      </c>
      <c r="G54" s="7">
        <v>100000</v>
      </c>
      <c r="H54" s="7">
        <v>75000</v>
      </c>
      <c r="I54" s="7">
        <v>150000</v>
      </c>
      <c r="J54" s="7">
        <v>100000</v>
      </c>
      <c r="K54" s="7">
        <v>100000</v>
      </c>
      <c r="L54" s="7">
        <v>75000</v>
      </c>
      <c r="M54" s="7">
        <v>150000</v>
      </c>
      <c r="N54" s="7">
        <v>150000</v>
      </c>
      <c r="O54" s="7">
        <v>75000</v>
      </c>
      <c r="P54" s="7">
        <v>100000</v>
      </c>
      <c r="Q54" s="7">
        <v>100000</v>
      </c>
      <c r="R54" s="7">
        <v>150000</v>
      </c>
      <c r="S54" s="7">
        <v>75000</v>
      </c>
      <c r="T54" s="7">
        <v>75000</v>
      </c>
      <c r="U54" s="7">
        <v>100000</v>
      </c>
      <c r="V54" s="7">
        <v>150000</v>
      </c>
      <c r="W54" s="7">
        <v>150000</v>
      </c>
      <c r="X54" s="7">
        <v>100000</v>
      </c>
      <c r="Y54" s="7">
        <v>75000</v>
      </c>
      <c r="AB54" t="s">
        <v>61</v>
      </c>
      <c r="AC54">
        <v>75000</v>
      </c>
      <c r="AD54" t="s">
        <v>80</v>
      </c>
      <c r="AE54">
        <v>1</v>
      </c>
      <c r="AF54">
        <v>305</v>
      </c>
      <c r="AG54">
        <v>3005</v>
      </c>
    </row>
    <row r="55" spans="2:33" x14ac:dyDescent="0.25">
      <c r="B55" s="7" t="s">
        <v>71</v>
      </c>
      <c r="C55" s="7" t="s">
        <v>85</v>
      </c>
      <c r="D55" s="7" t="s">
        <v>110</v>
      </c>
      <c r="E55" s="7" t="s">
        <v>110</v>
      </c>
      <c r="F55" s="7" t="s">
        <v>85</v>
      </c>
      <c r="G55" s="7" t="s">
        <v>62</v>
      </c>
      <c r="H55" s="7" t="s">
        <v>97</v>
      </c>
      <c r="I55" s="7" t="s">
        <v>82</v>
      </c>
      <c r="J55" s="7" t="s">
        <v>65</v>
      </c>
      <c r="K55" s="7" t="s">
        <v>97</v>
      </c>
      <c r="L55" s="7" t="s">
        <v>82</v>
      </c>
      <c r="M55" s="7" t="s">
        <v>62</v>
      </c>
      <c r="N55" s="7" t="s">
        <v>77</v>
      </c>
      <c r="O55" s="7" t="s">
        <v>85</v>
      </c>
      <c r="P55" s="7" t="s">
        <v>85</v>
      </c>
      <c r="Q55" s="7" t="s">
        <v>77</v>
      </c>
      <c r="R55" s="7" t="s">
        <v>95</v>
      </c>
      <c r="S55" s="7" t="s">
        <v>59</v>
      </c>
      <c r="T55" s="7" t="s">
        <v>71</v>
      </c>
      <c r="U55" s="7" t="s">
        <v>55</v>
      </c>
      <c r="V55" s="7" t="s">
        <v>65</v>
      </c>
      <c r="W55" s="7" t="s">
        <v>77</v>
      </c>
      <c r="X55" s="7" t="s">
        <v>57</v>
      </c>
      <c r="Y55" s="7" t="s">
        <v>65</v>
      </c>
      <c r="AB55" t="s">
        <v>61</v>
      </c>
      <c r="AC55">
        <v>100000</v>
      </c>
      <c r="AD55" t="s">
        <v>99</v>
      </c>
      <c r="AE55">
        <v>30</v>
      </c>
      <c r="AF55">
        <v>306</v>
      </c>
      <c r="AG55">
        <v>3006</v>
      </c>
    </row>
    <row r="56" spans="2:33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AB56" t="s">
        <v>61</v>
      </c>
      <c r="AC56">
        <v>75000</v>
      </c>
      <c r="AD56" t="s">
        <v>57</v>
      </c>
      <c r="AE56">
        <v>6</v>
      </c>
      <c r="AF56">
        <v>307</v>
      </c>
      <c r="AG56">
        <v>3007</v>
      </c>
    </row>
    <row r="57" spans="2:33" x14ac:dyDescent="0.25">
      <c r="AB57" t="s">
        <v>61</v>
      </c>
      <c r="AC57">
        <v>150000</v>
      </c>
      <c r="AD57" t="s">
        <v>73</v>
      </c>
      <c r="AE57">
        <v>42</v>
      </c>
      <c r="AF57">
        <v>308</v>
      </c>
      <c r="AG57">
        <v>3008</v>
      </c>
    </row>
    <row r="58" spans="2:33" x14ac:dyDescent="0.25">
      <c r="B58" s="8">
        <v>601</v>
      </c>
      <c r="C58" s="8">
        <v>602</v>
      </c>
      <c r="D58" s="8">
        <v>603</v>
      </c>
      <c r="E58" s="8">
        <v>604</v>
      </c>
      <c r="F58" s="8">
        <v>605</v>
      </c>
      <c r="G58" s="8">
        <v>606</v>
      </c>
      <c r="H58" s="8">
        <v>607</v>
      </c>
      <c r="I58" s="8">
        <v>608</v>
      </c>
      <c r="J58" s="8">
        <v>609</v>
      </c>
      <c r="K58" s="8">
        <v>610</v>
      </c>
      <c r="L58" s="8">
        <v>611</v>
      </c>
      <c r="M58" s="8">
        <v>612</v>
      </c>
      <c r="N58" s="8">
        <v>613</v>
      </c>
      <c r="O58" s="8">
        <v>614</v>
      </c>
      <c r="P58" s="8">
        <v>615</v>
      </c>
      <c r="Q58" s="8">
        <v>616</v>
      </c>
      <c r="R58" s="8">
        <v>617</v>
      </c>
      <c r="S58" s="8">
        <v>618</v>
      </c>
      <c r="T58" s="8">
        <v>619</v>
      </c>
      <c r="U58" s="8">
        <v>620</v>
      </c>
      <c r="V58" s="8">
        <v>621</v>
      </c>
      <c r="W58" s="8">
        <v>622</v>
      </c>
      <c r="X58" s="8">
        <v>623</v>
      </c>
      <c r="Y58" s="8">
        <v>624</v>
      </c>
      <c r="AB58" t="s">
        <v>61</v>
      </c>
      <c r="AC58">
        <v>100000</v>
      </c>
      <c r="AD58" t="s">
        <v>77</v>
      </c>
      <c r="AE58">
        <v>19</v>
      </c>
      <c r="AF58">
        <v>309</v>
      </c>
      <c r="AG58">
        <v>3009</v>
      </c>
    </row>
    <row r="59" spans="2:33" x14ac:dyDescent="0.25">
      <c r="B59" s="7" t="s">
        <v>54</v>
      </c>
      <c r="C59" s="7" t="s">
        <v>54</v>
      </c>
      <c r="D59" s="7" t="s">
        <v>54</v>
      </c>
      <c r="E59" s="7" t="s">
        <v>61</v>
      </c>
      <c r="F59" s="7" t="s">
        <v>61</v>
      </c>
      <c r="G59" s="7" t="s">
        <v>61</v>
      </c>
      <c r="H59" s="7" t="s">
        <v>61</v>
      </c>
      <c r="I59" s="7" t="s">
        <v>61</v>
      </c>
      <c r="J59" s="7" t="s">
        <v>61</v>
      </c>
      <c r="K59" s="7" t="s">
        <v>54</v>
      </c>
      <c r="L59" s="7" t="s">
        <v>54</v>
      </c>
      <c r="M59" s="7" t="s">
        <v>54</v>
      </c>
      <c r="N59" s="7" t="s">
        <v>61</v>
      </c>
      <c r="O59" s="7" t="s">
        <v>61</v>
      </c>
      <c r="P59" s="7" t="s">
        <v>61</v>
      </c>
      <c r="Q59" s="7" t="s">
        <v>54</v>
      </c>
      <c r="R59" s="7" t="s">
        <v>54</v>
      </c>
      <c r="S59" s="7" t="s">
        <v>54</v>
      </c>
      <c r="T59" s="7" t="s">
        <v>61</v>
      </c>
      <c r="U59" s="7" t="s">
        <v>61</v>
      </c>
      <c r="V59" s="7" t="s">
        <v>61</v>
      </c>
      <c r="W59" s="7" t="s">
        <v>54</v>
      </c>
      <c r="X59" s="7" t="s">
        <v>54</v>
      </c>
      <c r="Y59" s="7" t="s">
        <v>54</v>
      </c>
      <c r="AB59" t="s">
        <v>54</v>
      </c>
      <c r="AC59">
        <v>100000</v>
      </c>
      <c r="AD59" t="s">
        <v>85</v>
      </c>
      <c r="AE59">
        <v>73</v>
      </c>
      <c r="AF59">
        <v>310</v>
      </c>
      <c r="AG59">
        <v>3010</v>
      </c>
    </row>
    <row r="60" spans="2:33" x14ac:dyDescent="0.25">
      <c r="B60" s="7">
        <v>100000</v>
      </c>
      <c r="C60" s="7">
        <v>150000</v>
      </c>
      <c r="D60" s="7">
        <v>75000</v>
      </c>
      <c r="E60" s="7">
        <v>150000</v>
      </c>
      <c r="F60" s="7">
        <v>75000</v>
      </c>
      <c r="G60" s="7">
        <v>100000</v>
      </c>
      <c r="H60" s="7">
        <v>75000</v>
      </c>
      <c r="I60" s="7">
        <v>150000</v>
      </c>
      <c r="J60" s="7">
        <v>100000</v>
      </c>
      <c r="K60" s="7">
        <v>100000</v>
      </c>
      <c r="L60" s="7">
        <v>75000</v>
      </c>
      <c r="M60" s="7">
        <v>150000</v>
      </c>
      <c r="N60" s="7">
        <v>150000</v>
      </c>
      <c r="O60" s="7">
        <v>75000</v>
      </c>
      <c r="P60" s="7">
        <v>100000</v>
      </c>
      <c r="Q60" s="7">
        <v>100000</v>
      </c>
      <c r="R60" s="7">
        <v>150000</v>
      </c>
      <c r="S60" s="7">
        <v>75000</v>
      </c>
      <c r="T60" s="7">
        <v>75000</v>
      </c>
      <c r="U60" s="7">
        <v>100000</v>
      </c>
      <c r="V60" s="7">
        <v>150000</v>
      </c>
      <c r="W60" s="7">
        <v>150000</v>
      </c>
      <c r="X60" s="7">
        <v>100000</v>
      </c>
      <c r="Y60" s="7">
        <v>75000</v>
      </c>
      <c r="AB60" t="s">
        <v>54</v>
      </c>
      <c r="AC60">
        <v>75000</v>
      </c>
      <c r="AD60" t="s">
        <v>55</v>
      </c>
      <c r="AE60">
        <v>53</v>
      </c>
      <c r="AF60">
        <v>311</v>
      </c>
      <c r="AG60">
        <v>3011</v>
      </c>
    </row>
    <row r="61" spans="2:33" x14ac:dyDescent="0.25">
      <c r="B61" s="7" t="s">
        <v>80</v>
      </c>
      <c r="C61" s="7" t="s">
        <v>82</v>
      </c>
      <c r="D61" s="7" t="s">
        <v>57</v>
      </c>
      <c r="E61" s="7" t="s">
        <v>85</v>
      </c>
      <c r="F61" s="7" t="s">
        <v>99</v>
      </c>
      <c r="G61" s="7" t="s">
        <v>59</v>
      </c>
      <c r="H61" s="7" t="s">
        <v>85</v>
      </c>
      <c r="I61" s="7" t="s">
        <v>85</v>
      </c>
      <c r="J61" s="7" t="s">
        <v>57</v>
      </c>
      <c r="K61" s="7" t="s">
        <v>65</v>
      </c>
      <c r="L61" s="7" t="s">
        <v>95</v>
      </c>
      <c r="M61" s="7" t="s">
        <v>110</v>
      </c>
      <c r="N61" s="7" t="s">
        <v>71</v>
      </c>
      <c r="O61" s="7" t="s">
        <v>99</v>
      </c>
      <c r="P61" s="7" t="s">
        <v>80</v>
      </c>
      <c r="Q61" s="7" t="s">
        <v>57</v>
      </c>
      <c r="R61" s="7" t="s">
        <v>62</v>
      </c>
      <c r="S61" s="7" t="s">
        <v>65</v>
      </c>
      <c r="T61" s="7" t="s">
        <v>95</v>
      </c>
      <c r="U61" s="7" t="s">
        <v>110</v>
      </c>
      <c r="V61" s="7" t="s">
        <v>71</v>
      </c>
      <c r="W61" s="7" t="s">
        <v>80</v>
      </c>
      <c r="X61" s="7" t="s">
        <v>77</v>
      </c>
      <c r="Y61" s="7" t="s">
        <v>71</v>
      </c>
      <c r="AB61" t="s">
        <v>54</v>
      </c>
      <c r="AC61">
        <v>150000</v>
      </c>
      <c r="AD61" t="s">
        <v>97</v>
      </c>
      <c r="AE61">
        <v>89</v>
      </c>
      <c r="AF61">
        <v>312</v>
      </c>
      <c r="AG61">
        <v>3012</v>
      </c>
    </row>
    <row r="62" spans="2:33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B62" t="s">
        <v>61</v>
      </c>
      <c r="AC62">
        <v>150000</v>
      </c>
      <c r="AD62" t="s">
        <v>80</v>
      </c>
      <c r="AE62">
        <v>31</v>
      </c>
      <c r="AF62">
        <v>313</v>
      </c>
      <c r="AG62">
        <v>3013</v>
      </c>
    </row>
    <row r="63" spans="2:33" x14ac:dyDescent="0.25">
      <c r="AB63" t="s">
        <v>61</v>
      </c>
      <c r="AC63">
        <v>75000</v>
      </c>
      <c r="AD63" t="s">
        <v>97</v>
      </c>
      <c r="AE63">
        <v>14</v>
      </c>
      <c r="AF63">
        <v>314</v>
      </c>
      <c r="AG63">
        <v>3014</v>
      </c>
    </row>
    <row r="64" spans="2:33" x14ac:dyDescent="0.25">
      <c r="B64" s="8">
        <v>501</v>
      </c>
      <c r="C64" s="8">
        <v>502</v>
      </c>
      <c r="D64" s="8">
        <v>503</v>
      </c>
      <c r="E64" s="8">
        <v>504</v>
      </c>
      <c r="F64" s="8">
        <v>505</v>
      </c>
      <c r="G64" s="8">
        <v>506</v>
      </c>
      <c r="H64" s="8">
        <v>507</v>
      </c>
      <c r="I64" s="8">
        <v>508</v>
      </c>
      <c r="J64" s="8">
        <v>509</v>
      </c>
      <c r="K64" s="8">
        <v>510</v>
      </c>
      <c r="L64" s="8">
        <v>511</v>
      </c>
      <c r="M64" s="8">
        <v>512</v>
      </c>
      <c r="N64" s="8">
        <v>513</v>
      </c>
      <c r="O64" s="8">
        <v>514</v>
      </c>
      <c r="P64" s="8">
        <v>515</v>
      </c>
      <c r="Q64" s="8">
        <v>516</v>
      </c>
      <c r="R64" s="8">
        <v>517</v>
      </c>
      <c r="S64" s="8">
        <v>518</v>
      </c>
      <c r="T64" s="8">
        <v>519</v>
      </c>
      <c r="U64" s="8">
        <v>520</v>
      </c>
      <c r="V64" s="8">
        <v>521</v>
      </c>
      <c r="W64" s="8">
        <v>522</v>
      </c>
      <c r="X64" s="8">
        <v>523</v>
      </c>
      <c r="Y64" s="8">
        <v>524</v>
      </c>
      <c r="AB64" t="s">
        <v>61</v>
      </c>
      <c r="AC64">
        <v>100000</v>
      </c>
      <c r="AD64" t="s">
        <v>59</v>
      </c>
      <c r="AE64">
        <v>25</v>
      </c>
      <c r="AF64">
        <v>315</v>
      </c>
      <c r="AG64">
        <v>3015</v>
      </c>
    </row>
    <row r="65" spans="2:33" x14ac:dyDescent="0.25">
      <c r="B65" s="7" t="s">
        <v>54</v>
      </c>
      <c r="C65" s="7" t="s">
        <v>54</v>
      </c>
      <c r="D65" s="7" t="s">
        <v>54</v>
      </c>
      <c r="E65" s="7" t="s">
        <v>61</v>
      </c>
      <c r="F65" s="7" t="s">
        <v>61</v>
      </c>
      <c r="G65" s="7" t="s">
        <v>61</v>
      </c>
      <c r="H65" s="7" t="s">
        <v>61</v>
      </c>
      <c r="I65" s="7" t="s">
        <v>61</v>
      </c>
      <c r="J65" s="7" t="s">
        <v>61</v>
      </c>
      <c r="K65" s="7" t="s">
        <v>54</v>
      </c>
      <c r="L65" s="7" t="s">
        <v>54</v>
      </c>
      <c r="M65" s="7" t="s">
        <v>54</v>
      </c>
      <c r="N65" s="7" t="s">
        <v>61</v>
      </c>
      <c r="O65" s="7" t="s">
        <v>61</v>
      </c>
      <c r="P65" s="7" t="s">
        <v>61</v>
      </c>
      <c r="Q65" s="7" t="s">
        <v>54</v>
      </c>
      <c r="R65" s="7" t="s">
        <v>54</v>
      </c>
      <c r="S65" s="7" t="s">
        <v>54</v>
      </c>
      <c r="T65" s="7" t="s">
        <v>61</v>
      </c>
      <c r="U65" s="7" t="s">
        <v>61</v>
      </c>
      <c r="V65" s="7" t="s">
        <v>61</v>
      </c>
      <c r="W65" s="7" t="s">
        <v>54</v>
      </c>
      <c r="X65" s="7" t="s">
        <v>54</v>
      </c>
      <c r="Y65" s="7" t="s">
        <v>54</v>
      </c>
      <c r="AB65" t="s">
        <v>54</v>
      </c>
      <c r="AC65">
        <v>100000</v>
      </c>
      <c r="AD65" t="s">
        <v>65</v>
      </c>
      <c r="AE65">
        <v>63</v>
      </c>
      <c r="AF65">
        <v>316</v>
      </c>
      <c r="AG65">
        <v>3016</v>
      </c>
    </row>
    <row r="66" spans="2:33" x14ac:dyDescent="0.25">
      <c r="B66" s="7">
        <v>100000</v>
      </c>
      <c r="C66" s="7">
        <v>150000</v>
      </c>
      <c r="D66" s="7">
        <v>75000</v>
      </c>
      <c r="E66" s="7">
        <v>150000</v>
      </c>
      <c r="F66" s="7">
        <v>75000</v>
      </c>
      <c r="G66" s="7">
        <v>100000</v>
      </c>
      <c r="H66" s="7">
        <v>75000</v>
      </c>
      <c r="I66" s="7">
        <v>150000</v>
      </c>
      <c r="J66" s="7">
        <v>100000</v>
      </c>
      <c r="K66" s="7">
        <v>100000</v>
      </c>
      <c r="L66" s="7">
        <v>75000</v>
      </c>
      <c r="M66" s="7">
        <v>150000</v>
      </c>
      <c r="N66" s="7">
        <v>150000</v>
      </c>
      <c r="O66" s="7">
        <v>75000</v>
      </c>
      <c r="P66" s="7">
        <v>100000</v>
      </c>
      <c r="Q66" s="7">
        <v>100000</v>
      </c>
      <c r="R66" s="7">
        <v>150000</v>
      </c>
      <c r="S66" s="7">
        <v>75000</v>
      </c>
      <c r="T66" s="7">
        <v>75000</v>
      </c>
      <c r="U66" s="7">
        <v>100000</v>
      </c>
      <c r="V66" s="7">
        <v>150000</v>
      </c>
      <c r="W66" s="7">
        <v>150000</v>
      </c>
      <c r="X66" s="7">
        <v>100000</v>
      </c>
      <c r="Y66" s="7">
        <v>75000</v>
      </c>
      <c r="AB66" t="s">
        <v>54</v>
      </c>
      <c r="AC66">
        <v>150000</v>
      </c>
      <c r="AD66" t="s">
        <v>55</v>
      </c>
      <c r="AE66">
        <v>83</v>
      </c>
      <c r="AF66">
        <v>317</v>
      </c>
      <c r="AG66">
        <v>3017</v>
      </c>
    </row>
    <row r="67" spans="2:33" x14ac:dyDescent="0.25">
      <c r="B67" s="7" t="s">
        <v>82</v>
      </c>
      <c r="C67" s="7" t="s">
        <v>55</v>
      </c>
      <c r="D67" s="7" t="s">
        <v>73</v>
      </c>
      <c r="E67" s="7" t="s">
        <v>73</v>
      </c>
      <c r="F67" s="7" t="s">
        <v>57</v>
      </c>
      <c r="G67" s="7" t="s">
        <v>95</v>
      </c>
      <c r="H67" s="7" t="s">
        <v>110</v>
      </c>
      <c r="I67" s="7" t="s">
        <v>77</v>
      </c>
      <c r="J67" s="7" t="s">
        <v>71</v>
      </c>
      <c r="K67" s="7" t="s">
        <v>110</v>
      </c>
      <c r="L67" s="7" t="s">
        <v>62</v>
      </c>
      <c r="M67" s="7" t="s">
        <v>71</v>
      </c>
      <c r="N67" s="7" t="s">
        <v>110</v>
      </c>
      <c r="O67" s="7" t="s">
        <v>71</v>
      </c>
      <c r="P67" s="7" t="s">
        <v>99</v>
      </c>
      <c r="Q67" s="7" t="s">
        <v>55</v>
      </c>
      <c r="R67" s="7" t="s">
        <v>82</v>
      </c>
      <c r="S67" s="7" t="s">
        <v>99</v>
      </c>
      <c r="T67" s="7" t="s">
        <v>57</v>
      </c>
      <c r="U67" s="7" t="s">
        <v>62</v>
      </c>
      <c r="V67" s="7" t="s">
        <v>95</v>
      </c>
      <c r="W67" s="7" t="s">
        <v>99</v>
      </c>
      <c r="X67" s="7" t="s">
        <v>80</v>
      </c>
      <c r="Y67" s="7" t="s">
        <v>110</v>
      </c>
      <c r="AB67" t="s">
        <v>54</v>
      </c>
      <c r="AC67">
        <v>75000</v>
      </c>
      <c r="AD67" t="s">
        <v>80</v>
      </c>
      <c r="AE67">
        <v>46</v>
      </c>
      <c r="AF67">
        <v>318</v>
      </c>
      <c r="AG67">
        <v>3018</v>
      </c>
    </row>
    <row r="68" spans="2:33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AB68" t="s">
        <v>61</v>
      </c>
      <c r="AC68">
        <v>75000</v>
      </c>
      <c r="AD68" t="s">
        <v>62</v>
      </c>
      <c r="AE68">
        <v>2</v>
      </c>
      <c r="AF68">
        <v>319</v>
      </c>
      <c r="AG68">
        <v>3019</v>
      </c>
    </row>
    <row r="69" spans="2:33" x14ac:dyDescent="0.25">
      <c r="AB69" t="s">
        <v>61</v>
      </c>
      <c r="AC69">
        <v>100000</v>
      </c>
      <c r="AD69" t="s">
        <v>57</v>
      </c>
      <c r="AE69">
        <v>21</v>
      </c>
      <c r="AF69">
        <v>320</v>
      </c>
      <c r="AG69">
        <v>3020</v>
      </c>
    </row>
    <row r="70" spans="2:33" x14ac:dyDescent="0.25">
      <c r="B70" s="8">
        <v>401</v>
      </c>
      <c r="C70" s="8">
        <v>402</v>
      </c>
      <c r="D70" s="8">
        <v>403</v>
      </c>
      <c r="E70" s="8">
        <v>404</v>
      </c>
      <c r="F70" s="8">
        <v>405</v>
      </c>
      <c r="G70" s="8">
        <v>406</v>
      </c>
      <c r="H70" s="8">
        <v>407</v>
      </c>
      <c r="I70" s="8">
        <v>408</v>
      </c>
      <c r="J70" s="8">
        <v>409</v>
      </c>
      <c r="K70" s="8">
        <v>410</v>
      </c>
      <c r="L70" s="8">
        <v>411</v>
      </c>
      <c r="M70" s="8">
        <v>412</v>
      </c>
      <c r="N70" s="8">
        <v>413</v>
      </c>
      <c r="O70" s="8">
        <v>414</v>
      </c>
      <c r="P70" s="8">
        <v>415</v>
      </c>
      <c r="Q70" s="8">
        <v>416</v>
      </c>
      <c r="R70" s="8">
        <v>417</v>
      </c>
      <c r="S70" s="8">
        <v>418</v>
      </c>
      <c r="T70" s="8">
        <v>419</v>
      </c>
      <c r="U70" s="8">
        <v>420</v>
      </c>
      <c r="V70" s="8">
        <v>421</v>
      </c>
      <c r="W70" s="8">
        <v>422</v>
      </c>
      <c r="X70" s="8">
        <v>423</v>
      </c>
      <c r="Y70" s="8">
        <v>424</v>
      </c>
      <c r="AB70" t="s">
        <v>61</v>
      </c>
      <c r="AC70">
        <v>150000</v>
      </c>
      <c r="AD70" t="s">
        <v>82</v>
      </c>
      <c r="AE70">
        <v>35</v>
      </c>
      <c r="AF70">
        <v>321</v>
      </c>
      <c r="AG70">
        <v>3021</v>
      </c>
    </row>
    <row r="71" spans="2:33" x14ac:dyDescent="0.25">
      <c r="B71" s="7" t="s">
        <v>54</v>
      </c>
      <c r="C71" s="7" t="s">
        <v>54</v>
      </c>
      <c r="D71" s="7" t="s">
        <v>54</v>
      </c>
      <c r="E71" s="7" t="s">
        <v>61</v>
      </c>
      <c r="F71" s="7" t="s">
        <v>61</v>
      </c>
      <c r="G71" s="7" t="s">
        <v>61</v>
      </c>
      <c r="H71" s="7" t="s">
        <v>61</v>
      </c>
      <c r="I71" s="7" t="s">
        <v>61</v>
      </c>
      <c r="J71" s="7" t="s">
        <v>61</v>
      </c>
      <c r="K71" s="7" t="s">
        <v>54</v>
      </c>
      <c r="L71" s="7" t="s">
        <v>54</v>
      </c>
      <c r="M71" s="7" t="s">
        <v>54</v>
      </c>
      <c r="N71" s="7" t="s">
        <v>61</v>
      </c>
      <c r="O71" s="7" t="s">
        <v>61</v>
      </c>
      <c r="P71" s="7" t="s">
        <v>61</v>
      </c>
      <c r="Q71" s="7" t="s">
        <v>54</v>
      </c>
      <c r="R71" s="7" t="s">
        <v>54</v>
      </c>
      <c r="S71" s="7" t="s">
        <v>54</v>
      </c>
      <c r="T71" s="7" t="s">
        <v>61</v>
      </c>
      <c r="U71" s="7" t="s">
        <v>61</v>
      </c>
      <c r="V71" s="7" t="s">
        <v>61</v>
      </c>
      <c r="W71" s="7" t="s">
        <v>54</v>
      </c>
      <c r="X71" s="7" t="s">
        <v>54</v>
      </c>
      <c r="Y71" s="7" t="s">
        <v>54</v>
      </c>
      <c r="AB71" t="s">
        <v>54</v>
      </c>
      <c r="AC71">
        <v>150000</v>
      </c>
      <c r="AD71" t="s">
        <v>59</v>
      </c>
      <c r="AE71">
        <v>85</v>
      </c>
      <c r="AF71">
        <v>322</v>
      </c>
      <c r="AG71">
        <v>3022</v>
      </c>
    </row>
    <row r="72" spans="2:33" x14ac:dyDescent="0.25">
      <c r="B72" s="7">
        <v>100000</v>
      </c>
      <c r="C72" s="7">
        <v>150000</v>
      </c>
      <c r="D72" s="7">
        <v>75000</v>
      </c>
      <c r="E72" s="7">
        <v>150000</v>
      </c>
      <c r="F72" s="7">
        <v>75000</v>
      </c>
      <c r="G72" s="7">
        <v>100000</v>
      </c>
      <c r="H72" s="7">
        <v>75000</v>
      </c>
      <c r="I72" s="7">
        <v>150000</v>
      </c>
      <c r="J72" s="7">
        <v>100000</v>
      </c>
      <c r="K72" s="7">
        <v>100000</v>
      </c>
      <c r="L72" s="7">
        <v>75000</v>
      </c>
      <c r="M72" s="7">
        <v>150000</v>
      </c>
      <c r="N72" s="7">
        <v>150000</v>
      </c>
      <c r="O72" s="7">
        <v>75000</v>
      </c>
      <c r="P72" s="7">
        <v>100000</v>
      </c>
      <c r="Q72" s="7">
        <v>100000</v>
      </c>
      <c r="R72" s="7">
        <v>150000</v>
      </c>
      <c r="S72" s="7">
        <v>75000</v>
      </c>
      <c r="T72" s="7">
        <v>75000</v>
      </c>
      <c r="U72" s="7">
        <v>100000</v>
      </c>
      <c r="V72" s="7">
        <v>150000</v>
      </c>
      <c r="W72" s="7">
        <v>150000</v>
      </c>
      <c r="X72" s="7">
        <v>100000</v>
      </c>
      <c r="Y72" s="7">
        <v>75000</v>
      </c>
      <c r="AB72" t="s">
        <v>54</v>
      </c>
      <c r="AC72">
        <v>100000</v>
      </c>
      <c r="AD72" t="s">
        <v>95</v>
      </c>
      <c r="AE72">
        <v>67</v>
      </c>
      <c r="AF72">
        <v>323</v>
      </c>
      <c r="AG72">
        <v>3023</v>
      </c>
    </row>
    <row r="73" spans="2:33" x14ac:dyDescent="0.25">
      <c r="B73" s="7" t="s">
        <v>99</v>
      </c>
      <c r="C73" s="7" t="s">
        <v>95</v>
      </c>
      <c r="D73" s="7" t="s">
        <v>99</v>
      </c>
      <c r="E73" s="7" t="s">
        <v>95</v>
      </c>
      <c r="F73" s="7" t="s">
        <v>62</v>
      </c>
      <c r="G73" s="7" t="s">
        <v>82</v>
      </c>
      <c r="H73" s="7" t="s">
        <v>80</v>
      </c>
      <c r="I73" s="7" t="s">
        <v>110</v>
      </c>
      <c r="J73" s="7" t="s">
        <v>73</v>
      </c>
      <c r="K73" s="7" t="s">
        <v>80</v>
      </c>
      <c r="L73" s="7" t="s">
        <v>59</v>
      </c>
      <c r="M73" s="7" t="s">
        <v>77</v>
      </c>
      <c r="N73" s="7" t="s">
        <v>95</v>
      </c>
      <c r="O73" s="7" t="s">
        <v>59</v>
      </c>
      <c r="P73" s="7" t="s">
        <v>110</v>
      </c>
      <c r="Q73" s="7" t="s">
        <v>80</v>
      </c>
      <c r="R73" s="7" t="s">
        <v>97</v>
      </c>
      <c r="S73" s="7" t="s">
        <v>110</v>
      </c>
      <c r="T73" s="7" t="s">
        <v>55</v>
      </c>
      <c r="U73" s="7" t="s">
        <v>71</v>
      </c>
      <c r="V73" s="7" t="s">
        <v>62</v>
      </c>
      <c r="W73" s="7" t="s">
        <v>95</v>
      </c>
      <c r="X73" s="7" t="s">
        <v>82</v>
      </c>
      <c r="Y73" s="7" t="s">
        <v>77</v>
      </c>
      <c r="AB73" t="s">
        <v>54</v>
      </c>
      <c r="AC73">
        <v>75000</v>
      </c>
      <c r="AD73" t="s">
        <v>59</v>
      </c>
      <c r="AE73">
        <v>55</v>
      </c>
      <c r="AF73">
        <v>324</v>
      </c>
      <c r="AG73">
        <v>3024</v>
      </c>
    </row>
    <row r="74" spans="2:33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AB74" t="s">
        <v>54</v>
      </c>
      <c r="AC74">
        <v>100000</v>
      </c>
      <c r="AD74" t="s">
        <v>99</v>
      </c>
      <c r="AE74">
        <v>75</v>
      </c>
      <c r="AF74">
        <v>401</v>
      </c>
      <c r="AG74">
        <v>4001</v>
      </c>
    </row>
    <row r="75" spans="2:33" x14ac:dyDescent="0.25">
      <c r="AB75" t="s">
        <v>54</v>
      </c>
      <c r="AC75">
        <v>150000</v>
      </c>
      <c r="AD75" t="s">
        <v>95</v>
      </c>
      <c r="AE75">
        <v>82</v>
      </c>
      <c r="AF75">
        <v>402</v>
      </c>
      <c r="AG75">
        <v>4002</v>
      </c>
    </row>
    <row r="76" spans="2:33" x14ac:dyDescent="0.25">
      <c r="B76" s="8">
        <v>301</v>
      </c>
      <c r="C76" s="8">
        <v>302</v>
      </c>
      <c r="D76" s="8">
        <v>303</v>
      </c>
      <c r="E76" s="8">
        <v>304</v>
      </c>
      <c r="F76" s="8">
        <v>305</v>
      </c>
      <c r="G76" s="8">
        <v>306</v>
      </c>
      <c r="H76" s="8">
        <v>307</v>
      </c>
      <c r="I76" s="8">
        <v>308</v>
      </c>
      <c r="J76" s="8">
        <v>309</v>
      </c>
      <c r="K76" s="8">
        <v>310</v>
      </c>
      <c r="L76" s="8">
        <v>311</v>
      </c>
      <c r="M76" s="8">
        <v>312</v>
      </c>
      <c r="N76" s="8">
        <v>313</v>
      </c>
      <c r="O76" s="8">
        <v>314</v>
      </c>
      <c r="P76" s="8">
        <v>315</v>
      </c>
      <c r="Q76" s="8">
        <v>316</v>
      </c>
      <c r="R76" s="8">
        <v>317</v>
      </c>
      <c r="S76" s="8">
        <v>318</v>
      </c>
      <c r="T76" s="8">
        <v>319</v>
      </c>
      <c r="U76" s="8">
        <v>320</v>
      </c>
      <c r="V76" s="8">
        <v>321</v>
      </c>
      <c r="W76" s="8">
        <v>322</v>
      </c>
      <c r="X76" s="8">
        <v>323</v>
      </c>
      <c r="Y76" s="8">
        <v>324</v>
      </c>
      <c r="AB76" t="s">
        <v>54</v>
      </c>
      <c r="AC76">
        <v>75000</v>
      </c>
      <c r="AD76" t="s">
        <v>99</v>
      </c>
      <c r="AE76">
        <v>60</v>
      </c>
      <c r="AF76">
        <v>403</v>
      </c>
      <c r="AG76">
        <v>4003</v>
      </c>
    </row>
    <row r="77" spans="2:33" x14ac:dyDescent="0.25">
      <c r="B77" s="7" t="s">
        <v>54</v>
      </c>
      <c r="C77" s="7" t="s">
        <v>54</v>
      </c>
      <c r="D77" s="7" t="s">
        <v>54</v>
      </c>
      <c r="E77" s="7" t="s">
        <v>61</v>
      </c>
      <c r="F77" s="7" t="s">
        <v>61</v>
      </c>
      <c r="G77" s="7" t="s">
        <v>61</v>
      </c>
      <c r="H77" s="7" t="s">
        <v>61</v>
      </c>
      <c r="I77" s="7" t="s">
        <v>61</v>
      </c>
      <c r="J77" s="7" t="s">
        <v>61</v>
      </c>
      <c r="K77" s="7" t="s">
        <v>54</v>
      </c>
      <c r="L77" s="7" t="s">
        <v>54</v>
      </c>
      <c r="M77" s="7" t="s">
        <v>54</v>
      </c>
      <c r="N77" s="7" t="s">
        <v>61</v>
      </c>
      <c r="O77" s="7" t="s">
        <v>61</v>
      </c>
      <c r="P77" s="7" t="s">
        <v>61</v>
      </c>
      <c r="Q77" s="7" t="s">
        <v>54</v>
      </c>
      <c r="R77" s="7" t="s">
        <v>54</v>
      </c>
      <c r="S77" s="7" t="s">
        <v>54</v>
      </c>
      <c r="T77" s="7" t="s">
        <v>61</v>
      </c>
      <c r="U77" s="7" t="s">
        <v>61</v>
      </c>
      <c r="V77" s="7" t="s">
        <v>61</v>
      </c>
      <c r="W77" s="7" t="s">
        <v>54</v>
      </c>
      <c r="X77" s="7" t="s">
        <v>54</v>
      </c>
      <c r="Y77" s="7" t="s">
        <v>54</v>
      </c>
      <c r="AB77" t="s">
        <v>61</v>
      </c>
      <c r="AC77">
        <v>150000</v>
      </c>
      <c r="AD77" t="s">
        <v>95</v>
      </c>
      <c r="AE77">
        <v>37</v>
      </c>
      <c r="AF77">
        <v>404</v>
      </c>
      <c r="AG77">
        <v>4004</v>
      </c>
    </row>
    <row r="78" spans="2:33" x14ac:dyDescent="0.25">
      <c r="B78" s="7">
        <v>100000</v>
      </c>
      <c r="C78" s="7">
        <v>150000</v>
      </c>
      <c r="D78" s="7">
        <v>75000</v>
      </c>
      <c r="E78" s="7">
        <v>150000</v>
      </c>
      <c r="F78" s="7">
        <v>75000</v>
      </c>
      <c r="G78" s="7">
        <v>100000</v>
      </c>
      <c r="H78" s="7">
        <v>75000</v>
      </c>
      <c r="I78" s="7">
        <v>150000</v>
      </c>
      <c r="J78" s="7">
        <v>100000</v>
      </c>
      <c r="K78" s="7">
        <v>100000</v>
      </c>
      <c r="L78" s="7">
        <v>75000</v>
      </c>
      <c r="M78" s="7">
        <v>150000</v>
      </c>
      <c r="N78" s="7">
        <v>150000</v>
      </c>
      <c r="O78" s="7">
        <v>75000</v>
      </c>
      <c r="P78" s="7">
        <v>100000</v>
      </c>
      <c r="Q78" s="7">
        <v>100000</v>
      </c>
      <c r="R78" s="7">
        <v>150000</v>
      </c>
      <c r="S78" s="7">
        <v>75000</v>
      </c>
      <c r="T78" s="7">
        <v>75000</v>
      </c>
      <c r="U78" s="7">
        <v>100000</v>
      </c>
      <c r="V78" s="7">
        <v>150000</v>
      </c>
      <c r="W78" s="7">
        <v>150000</v>
      </c>
      <c r="X78" s="7">
        <v>100000</v>
      </c>
      <c r="Y78" s="7">
        <v>75000</v>
      </c>
      <c r="AB78" t="s">
        <v>61</v>
      </c>
      <c r="AC78">
        <v>75000</v>
      </c>
      <c r="AD78" t="s">
        <v>62</v>
      </c>
      <c r="AE78">
        <v>2</v>
      </c>
      <c r="AF78">
        <v>405</v>
      </c>
      <c r="AG78">
        <v>4005</v>
      </c>
    </row>
    <row r="79" spans="2:33" x14ac:dyDescent="0.25">
      <c r="B79" s="7" t="s">
        <v>97</v>
      </c>
      <c r="C79" s="7" t="s">
        <v>99</v>
      </c>
      <c r="D79" s="7" t="s">
        <v>62</v>
      </c>
      <c r="E79" s="7" t="s">
        <v>80</v>
      </c>
      <c r="F79" s="7" t="s">
        <v>80</v>
      </c>
      <c r="G79" s="7" t="s">
        <v>99</v>
      </c>
      <c r="H79" s="7" t="s">
        <v>57</v>
      </c>
      <c r="I79" s="7" t="s">
        <v>73</v>
      </c>
      <c r="J79" s="7" t="s">
        <v>77</v>
      </c>
      <c r="K79" s="7" t="s">
        <v>85</v>
      </c>
      <c r="L79" s="7" t="s">
        <v>55</v>
      </c>
      <c r="M79" s="7" t="s">
        <v>97</v>
      </c>
      <c r="N79" s="7" t="s">
        <v>80</v>
      </c>
      <c r="O79" s="7" t="s">
        <v>97</v>
      </c>
      <c r="P79" s="7" t="s">
        <v>59</v>
      </c>
      <c r="Q79" s="7" t="s">
        <v>65</v>
      </c>
      <c r="R79" s="7" t="s">
        <v>55</v>
      </c>
      <c r="S79" s="7" t="s">
        <v>80</v>
      </c>
      <c r="T79" s="7" t="s">
        <v>62</v>
      </c>
      <c r="U79" s="7" t="s">
        <v>57</v>
      </c>
      <c r="V79" s="7" t="s">
        <v>82</v>
      </c>
      <c r="W79" s="7" t="s">
        <v>59</v>
      </c>
      <c r="X79" s="7" t="s">
        <v>95</v>
      </c>
      <c r="Y79" s="7" t="s">
        <v>59</v>
      </c>
      <c r="AB79" t="s">
        <v>61</v>
      </c>
      <c r="AC79">
        <v>100000</v>
      </c>
      <c r="AD79" t="s">
        <v>82</v>
      </c>
      <c r="AE79">
        <v>20</v>
      </c>
      <c r="AF79">
        <v>406</v>
      </c>
      <c r="AG79">
        <v>4006</v>
      </c>
    </row>
    <row r="80" spans="2:33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AB80" t="s">
        <v>61</v>
      </c>
      <c r="AC80">
        <v>75000</v>
      </c>
      <c r="AD80" t="s">
        <v>80</v>
      </c>
      <c r="AE80">
        <v>1</v>
      </c>
      <c r="AF80">
        <v>407</v>
      </c>
      <c r="AG80">
        <v>4007</v>
      </c>
    </row>
    <row r="81" spans="2:33" x14ac:dyDescent="0.25">
      <c r="AB81" t="s">
        <v>61</v>
      </c>
      <c r="AC81">
        <v>150000</v>
      </c>
      <c r="AD81" t="s">
        <v>110</v>
      </c>
      <c r="AE81">
        <v>39</v>
      </c>
      <c r="AF81">
        <v>408</v>
      </c>
      <c r="AG81">
        <v>4008</v>
      </c>
    </row>
    <row r="82" spans="2:33" x14ac:dyDescent="0.25">
      <c r="B82" s="8">
        <v>201</v>
      </c>
      <c r="C82" s="8">
        <v>202</v>
      </c>
      <c r="D82" s="8">
        <v>203</v>
      </c>
      <c r="E82" s="8">
        <v>204</v>
      </c>
      <c r="F82" s="8">
        <v>205</v>
      </c>
      <c r="G82" s="8">
        <v>206</v>
      </c>
      <c r="H82" s="8">
        <v>207</v>
      </c>
      <c r="I82" s="8">
        <v>208</v>
      </c>
      <c r="J82" s="8">
        <v>209</v>
      </c>
      <c r="K82" s="8">
        <v>210</v>
      </c>
      <c r="L82" s="8">
        <v>211</v>
      </c>
      <c r="M82" s="8">
        <v>212</v>
      </c>
      <c r="N82" s="8">
        <v>213</v>
      </c>
      <c r="O82" s="8">
        <v>214</v>
      </c>
      <c r="P82" s="8">
        <v>215</v>
      </c>
      <c r="Q82" s="8">
        <v>216</v>
      </c>
      <c r="R82" s="8">
        <v>217</v>
      </c>
      <c r="S82" s="8">
        <v>218</v>
      </c>
      <c r="T82" s="8">
        <v>219</v>
      </c>
      <c r="U82" s="8">
        <v>220</v>
      </c>
      <c r="V82" s="8">
        <v>221</v>
      </c>
      <c r="W82" s="8">
        <v>222</v>
      </c>
      <c r="X82" s="8">
        <v>223</v>
      </c>
      <c r="Y82" s="8">
        <v>224</v>
      </c>
      <c r="AB82" t="s">
        <v>61</v>
      </c>
      <c r="AC82">
        <v>100000</v>
      </c>
      <c r="AD82" t="s">
        <v>73</v>
      </c>
      <c r="AE82">
        <v>27</v>
      </c>
      <c r="AF82">
        <v>409</v>
      </c>
      <c r="AG82">
        <v>4009</v>
      </c>
    </row>
    <row r="83" spans="2:33" x14ac:dyDescent="0.25">
      <c r="B83" s="7" t="s">
        <v>54</v>
      </c>
      <c r="C83" s="7" t="s">
        <v>54</v>
      </c>
      <c r="D83" s="7" t="s">
        <v>54</v>
      </c>
      <c r="E83" s="7" t="s">
        <v>61</v>
      </c>
      <c r="F83" s="7" t="s">
        <v>61</v>
      </c>
      <c r="G83" s="7" t="s">
        <v>61</v>
      </c>
      <c r="H83" s="7" t="s">
        <v>61</v>
      </c>
      <c r="I83" s="7" t="s">
        <v>61</v>
      </c>
      <c r="J83" s="7" t="s">
        <v>61</v>
      </c>
      <c r="K83" s="7" t="s">
        <v>54</v>
      </c>
      <c r="L83" s="7" t="s">
        <v>54</v>
      </c>
      <c r="M83" s="7" t="s">
        <v>54</v>
      </c>
      <c r="N83" s="7" t="s">
        <v>61</v>
      </c>
      <c r="O83" s="7" t="s">
        <v>61</v>
      </c>
      <c r="P83" s="7" t="s">
        <v>61</v>
      </c>
      <c r="Q83" s="7" t="s">
        <v>54</v>
      </c>
      <c r="R83" s="7" t="s">
        <v>54</v>
      </c>
      <c r="S83" s="7" t="s">
        <v>54</v>
      </c>
      <c r="T83" s="7" t="s">
        <v>61</v>
      </c>
      <c r="U83" s="7" t="s">
        <v>61</v>
      </c>
      <c r="V83" s="7" t="s">
        <v>61</v>
      </c>
      <c r="W83" s="7" t="s">
        <v>54</v>
      </c>
      <c r="X83" s="7" t="s">
        <v>54</v>
      </c>
      <c r="Y83" s="7" t="s">
        <v>54</v>
      </c>
      <c r="AB83" t="s">
        <v>54</v>
      </c>
      <c r="AC83">
        <v>100000</v>
      </c>
      <c r="AD83" t="s">
        <v>80</v>
      </c>
      <c r="AE83">
        <v>61</v>
      </c>
      <c r="AF83">
        <v>410</v>
      </c>
      <c r="AG83">
        <v>4010</v>
      </c>
    </row>
    <row r="84" spans="2:33" x14ac:dyDescent="0.25">
      <c r="B84" s="7">
        <v>100000</v>
      </c>
      <c r="C84" s="7">
        <v>150000</v>
      </c>
      <c r="D84" s="7">
        <v>75000</v>
      </c>
      <c r="E84" s="7">
        <v>150000</v>
      </c>
      <c r="F84" s="7">
        <v>75000</v>
      </c>
      <c r="G84" s="7">
        <v>100000</v>
      </c>
      <c r="H84" s="7">
        <v>75000</v>
      </c>
      <c r="I84" s="7">
        <v>150000</v>
      </c>
      <c r="J84" s="7">
        <v>100000</v>
      </c>
      <c r="K84" s="7">
        <v>100000</v>
      </c>
      <c r="L84" s="7">
        <v>75000</v>
      </c>
      <c r="M84" s="7">
        <v>150000</v>
      </c>
      <c r="N84" s="7">
        <v>150000</v>
      </c>
      <c r="O84" s="7">
        <v>75000</v>
      </c>
      <c r="P84" s="7">
        <v>100000</v>
      </c>
      <c r="Q84" s="7">
        <v>100000</v>
      </c>
      <c r="R84" s="7">
        <v>150000</v>
      </c>
      <c r="S84" s="7">
        <v>75000</v>
      </c>
      <c r="T84" s="7">
        <v>75000</v>
      </c>
      <c r="U84" s="7">
        <v>100000</v>
      </c>
      <c r="V84" s="7">
        <v>150000</v>
      </c>
      <c r="W84" s="7">
        <v>150000</v>
      </c>
      <c r="X84" s="7">
        <v>100000</v>
      </c>
      <c r="Y84" s="7">
        <v>75000</v>
      </c>
      <c r="AB84" t="s">
        <v>54</v>
      </c>
      <c r="AC84">
        <v>75000</v>
      </c>
      <c r="AD84" t="s">
        <v>59</v>
      </c>
      <c r="AE84">
        <v>55</v>
      </c>
      <c r="AF84">
        <v>411</v>
      </c>
      <c r="AG84">
        <v>4011</v>
      </c>
    </row>
    <row r="85" spans="2:33" x14ac:dyDescent="0.25">
      <c r="B85" s="7" t="s">
        <v>77</v>
      </c>
      <c r="C85" s="7" t="s">
        <v>65</v>
      </c>
      <c r="D85" s="7" t="s">
        <v>85</v>
      </c>
      <c r="E85" s="7" t="s">
        <v>57</v>
      </c>
      <c r="F85" s="7" t="s">
        <v>95</v>
      </c>
      <c r="G85" s="7" t="s">
        <v>97</v>
      </c>
      <c r="H85" s="7" t="s">
        <v>99</v>
      </c>
      <c r="I85" s="7" t="s">
        <v>95</v>
      </c>
      <c r="J85" s="7" t="s">
        <v>95</v>
      </c>
      <c r="K85" s="7" t="s">
        <v>59</v>
      </c>
      <c r="L85" s="7" t="s">
        <v>57</v>
      </c>
      <c r="M85" s="7" t="s">
        <v>82</v>
      </c>
      <c r="N85" s="7" t="s">
        <v>99</v>
      </c>
      <c r="O85" s="7" t="s">
        <v>73</v>
      </c>
      <c r="P85" s="7" t="s">
        <v>55</v>
      </c>
      <c r="Q85" s="7" t="s">
        <v>71</v>
      </c>
      <c r="R85" s="7" t="s">
        <v>110</v>
      </c>
      <c r="S85" s="7" t="s">
        <v>77</v>
      </c>
      <c r="T85" s="7" t="s">
        <v>77</v>
      </c>
      <c r="U85" s="7" t="s">
        <v>95</v>
      </c>
      <c r="V85" s="7" t="s">
        <v>73</v>
      </c>
      <c r="W85" s="7" t="s">
        <v>85</v>
      </c>
      <c r="X85" s="7" t="s">
        <v>73</v>
      </c>
      <c r="Y85" s="7" t="s">
        <v>82</v>
      </c>
      <c r="AB85" t="s">
        <v>54</v>
      </c>
      <c r="AC85">
        <v>150000</v>
      </c>
      <c r="AD85" t="s">
        <v>77</v>
      </c>
      <c r="AE85">
        <v>79</v>
      </c>
      <c r="AF85">
        <v>412</v>
      </c>
      <c r="AG85">
        <v>4012</v>
      </c>
    </row>
    <row r="86" spans="2:33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AB86" t="s">
        <v>61</v>
      </c>
      <c r="AC86">
        <v>150000</v>
      </c>
      <c r="AD86" t="s">
        <v>95</v>
      </c>
      <c r="AE86">
        <v>37</v>
      </c>
      <c r="AF86">
        <v>413</v>
      </c>
      <c r="AG86">
        <v>4013</v>
      </c>
    </row>
    <row r="87" spans="2:33" x14ac:dyDescent="0.25">
      <c r="AB87" t="s">
        <v>61</v>
      </c>
      <c r="AC87">
        <v>75000</v>
      </c>
      <c r="AD87" t="s">
        <v>59</v>
      </c>
      <c r="AE87">
        <v>10</v>
      </c>
      <c r="AF87">
        <v>414</v>
      </c>
      <c r="AG87">
        <v>4014</v>
      </c>
    </row>
    <row r="88" spans="2:33" x14ac:dyDescent="0.25">
      <c r="B88" s="8">
        <v>101</v>
      </c>
      <c r="C88" s="8">
        <v>102</v>
      </c>
      <c r="D88" s="8">
        <v>103</v>
      </c>
      <c r="E88" s="8">
        <v>104</v>
      </c>
      <c r="F88" s="8">
        <v>105</v>
      </c>
      <c r="G88" s="8">
        <v>106</v>
      </c>
      <c r="H88" s="8">
        <v>107</v>
      </c>
      <c r="I88" s="8">
        <v>108</v>
      </c>
      <c r="J88" s="8">
        <v>109</v>
      </c>
      <c r="K88" s="8">
        <v>110</v>
      </c>
      <c r="L88" s="8">
        <v>111</v>
      </c>
      <c r="M88" s="8">
        <v>112</v>
      </c>
      <c r="N88" s="8">
        <v>113</v>
      </c>
      <c r="O88" s="8">
        <v>114</v>
      </c>
      <c r="P88" s="8">
        <v>115</v>
      </c>
      <c r="Q88" s="8">
        <v>116</v>
      </c>
      <c r="R88" s="8">
        <v>117</v>
      </c>
      <c r="S88" s="8">
        <v>118</v>
      </c>
      <c r="T88" s="8">
        <v>119</v>
      </c>
      <c r="U88" s="8">
        <v>120</v>
      </c>
      <c r="V88" s="8">
        <v>121</v>
      </c>
      <c r="W88" s="8">
        <v>122</v>
      </c>
      <c r="X88" s="8">
        <v>123</v>
      </c>
      <c r="Y88" s="8">
        <v>124</v>
      </c>
      <c r="AB88" t="s">
        <v>61</v>
      </c>
      <c r="AC88">
        <v>100000</v>
      </c>
      <c r="AD88" t="s">
        <v>110</v>
      </c>
      <c r="AE88">
        <v>24</v>
      </c>
      <c r="AF88">
        <v>415</v>
      </c>
      <c r="AG88">
        <v>4015</v>
      </c>
    </row>
    <row r="89" spans="2:33" x14ac:dyDescent="0.25">
      <c r="B89" s="7" t="s">
        <v>54</v>
      </c>
      <c r="C89" s="7" t="s">
        <v>54</v>
      </c>
      <c r="D89" s="7" t="s">
        <v>54</v>
      </c>
      <c r="E89" s="7" t="s">
        <v>61</v>
      </c>
      <c r="F89" s="7" t="s">
        <v>61</v>
      </c>
      <c r="G89" s="7" t="s">
        <v>61</v>
      </c>
      <c r="H89" s="7" t="s">
        <v>61</v>
      </c>
      <c r="I89" s="7" t="s">
        <v>61</v>
      </c>
      <c r="J89" s="7" t="s">
        <v>61</v>
      </c>
      <c r="K89" s="7" t="s">
        <v>54</v>
      </c>
      <c r="L89" s="7" t="s">
        <v>54</v>
      </c>
      <c r="M89" s="7" t="s">
        <v>54</v>
      </c>
      <c r="N89" s="7" t="s">
        <v>61</v>
      </c>
      <c r="O89" s="7" t="s">
        <v>61</v>
      </c>
      <c r="P89" s="7" t="s">
        <v>61</v>
      </c>
      <c r="Q89" s="7" t="s">
        <v>54</v>
      </c>
      <c r="R89" s="7" t="s">
        <v>54</v>
      </c>
      <c r="S89" s="7" t="s">
        <v>54</v>
      </c>
      <c r="T89" s="7" t="s">
        <v>61</v>
      </c>
      <c r="U89" s="7" t="s">
        <v>61</v>
      </c>
      <c r="V89" s="7" t="s">
        <v>61</v>
      </c>
      <c r="W89" s="7" t="s">
        <v>54</v>
      </c>
      <c r="X89" s="7" t="s">
        <v>54</v>
      </c>
      <c r="Y89" s="7" t="s">
        <v>54</v>
      </c>
      <c r="AB89" t="s">
        <v>54</v>
      </c>
      <c r="AC89">
        <v>100000</v>
      </c>
      <c r="AD89" t="s">
        <v>80</v>
      </c>
      <c r="AE89">
        <v>61</v>
      </c>
      <c r="AF89">
        <v>416</v>
      </c>
      <c r="AG89">
        <v>4016</v>
      </c>
    </row>
    <row r="90" spans="2:33" x14ac:dyDescent="0.25">
      <c r="B90" s="7">
        <v>100000</v>
      </c>
      <c r="C90" s="7">
        <v>150000</v>
      </c>
      <c r="D90" s="7">
        <v>75000</v>
      </c>
      <c r="E90" s="7">
        <v>150000</v>
      </c>
      <c r="F90" s="7">
        <v>75000</v>
      </c>
      <c r="G90" s="7">
        <v>100000</v>
      </c>
      <c r="H90" s="7">
        <v>75000</v>
      </c>
      <c r="I90" s="7">
        <v>150000</v>
      </c>
      <c r="J90" s="7">
        <v>100000</v>
      </c>
      <c r="K90" s="7">
        <v>100000</v>
      </c>
      <c r="L90" s="7">
        <v>75000</v>
      </c>
      <c r="M90" s="7">
        <v>150000</v>
      </c>
      <c r="N90" s="7">
        <v>150000</v>
      </c>
      <c r="O90" s="7">
        <v>75000</v>
      </c>
      <c r="P90" s="7">
        <v>100000</v>
      </c>
      <c r="Q90" s="7">
        <v>100000</v>
      </c>
      <c r="R90" s="7">
        <v>150000</v>
      </c>
      <c r="S90" s="7">
        <v>75000</v>
      </c>
      <c r="T90" s="7">
        <v>75000</v>
      </c>
      <c r="U90" s="7">
        <v>100000</v>
      </c>
      <c r="V90" s="7">
        <v>150000</v>
      </c>
      <c r="W90" s="7">
        <v>150000</v>
      </c>
      <c r="X90" s="7">
        <v>100000</v>
      </c>
      <c r="Y90" s="7">
        <v>75000</v>
      </c>
      <c r="AB90" t="s">
        <v>54</v>
      </c>
      <c r="AC90">
        <v>150000</v>
      </c>
      <c r="AD90" t="s">
        <v>97</v>
      </c>
      <c r="AE90">
        <v>89</v>
      </c>
      <c r="AF90">
        <v>417</v>
      </c>
      <c r="AG90">
        <v>4017</v>
      </c>
    </row>
    <row r="91" spans="2:33" x14ac:dyDescent="0.25">
      <c r="B91" s="7" t="s">
        <v>55</v>
      </c>
      <c r="C91" s="7" t="s">
        <v>57</v>
      </c>
      <c r="D91" s="7" t="s">
        <v>59</v>
      </c>
      <c r="E91" s="7" t="s">
        <v>62</v>
      </c>
      <c r="F91" s="7" t="s">
        <v>55</v>
      </c>
      <c r="G91" s="7" t="s">
        <v>65</v>
      </c>
      <c r="H91" s="7" t="s">
        <v>59</v>
      </c>
      <c r="I91" s="7" t="s">
        <v>55</v>
      </c>
      <c r="J91" s="7" t="s">
        <v>62</v>
      </c>
      <c r="K91" s="7" t="s">
        <v>62</v>
      </c>
      <c r="L91" s="7" t="s">
        <v>71</v>
      </c>
      <c r="M91" s="7" t="s">
        <v>73</v>
      </c>
      <c r="N91" s="7" t="s">
        <v>59</v>
      </c>
      <c r="O91" s="7" t="s">
        <v>55</v>
      </c>
      <c r="P91" s="7" t="s">
        <v>77</v>
      </c>
      <c r="Q91" s="7" t="s">
        <v>62</v>
      </c>
      <c r="R91" s="7" t="s">
        <v>80</v>
      </c>
      <c r="S91" s="7" t="s">
        <v>82</v>
      </c>
      <c r="T91" s="7" t="s">
        <v>73</v>
      </c>
      <c r="U91" s="7" t="s">
        <v>85</v>
      </c>
      <c r="V91" s="7" t="s">
        <v>55</v>
      </c>
      <c r="W91" s="7" t="s">
        <v>62</v>
      </c>
      <c r="X91" s="7" t="s">
        <v>71</v>
      </c>
      <c r="Y91" s="7" t="s">
        <v>73</v>
      </c>
      <c r="AB91" t="s">
        <v>54</v>
      </c>
      <c r="AC91">
        <v>75000</v>
      </c>
      <c r="AD91" t="s">
        <v>110</v>
      </c>
      <c r="AE91">
        <v>54</v>
      </c>
      <c r="AF91">
        <v>418</v>
      </c>
      <c r="AG91">
        <v>4018</v>
      </c>
    </row>
    <row r="92" spans="2:33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AB92" t="s">
        <v>61</v>
      </c>
      <c r="AC92">
        <v>75000</v>
      </c>
      <c r="AD92" t="s">
        <v>55</v>
      </c>
      <c r="AE92">
        <v>8</v>
      </c>
      <c r="AF92">
        <v>419</v>
      </c>
      <c r="AG92">
        <v>4019</v>
      </c>
    </row>
    <row r="93" spans="2:33" x14ac:dyDescent="0.25">
      <c r="AB93" t="s">
        <v>61</v>
      </c>
      <c r="AC93">
        <v>100000</v>
      </c>
      <c r="AD93" t="s">
        <v>71</v>
      </c>
      <c r="AE93">
        <v>26</v>
      </c>
      <c r="AF93">
        <v>420</v>
      </c>
      <c r="AG93">
        <v>4020</v>
      </c>
    </row>
    <row r="94" spans="2:33" x14ac:dyDescent="0.25">
      <c r="AB94" t="s">
        <v>61</v>
      </c>
      <c r="AC94">
        <v>150000</v>
      </c>
      <c r="AD94" t="s">
        <v>62</v>
      </c>
      <c r="AE94">
        <v>32</v>
      </c>
      <c r="AF94">
        <v>421</v>
      </c>
      <c r="AG94">
        <v>4021</v>
      </c>
    </row>
    <row r="95" spans="2:33" x14ac:dyDescent="0.25">
      <c r="AB95" t="s">
        <v>54</v>
      </c>
      <c r="AC95">
        <v>150000</v>
      </c>
      <c r="AD95" t="s">
        <v>95</v>
      </c>
      <c r="AE95">
        <v>82</v>
      </c>
      <c r="AF95">
        <v>422</v>
      </c>
      <c r="AG95">
        <v>4022</v>
      </c>
    </row>
    <row r="96" spans="2:33" x14ac:dyDescent="0.25">
      <c r="AB96" t="s">
        <v>54</v>
      </c>
      <c r="AC96">
        <v>100000</v>
      </c>
      <c r="AD96" t="s">
        <v>82</v>
      </c>
      <c r="AE96">
        <v>65</v>
      </c>
      <c r="AF96">
        <v>423</v>
      </c>
      <c r="AG96">
        <v>4023</v>
      </c>
    </row>
    <row r="97" spans="28:33" x14ac:dyDescent="0.25">
      <c r="AB97" t="s">
        <v>54</v>
      </c>
      <c r="AC97">
        <v>75000</v>
      </c>
      <c r="AD97" t="s">
        <v>77</v>
      </c>
      <c r="AE97">
        <v>49</v>
      </c>
      <c r="AF97">
        <v>424</v>
      </c>
      <c r="AG97">
        <v>4024</v>
      </c>
    </row>
    <row r="98" spans="28:33" x14ac:dyDescent="0.25">
      <c r="AB98" t="s">
        <v>54</v>
      </c>
      <c r="AC98">
        <v>100000</v>
      </c>
      <c r="AD98" t="s">
        <v>82</v>
      </c>
      <c r="AE98">
        <v>65</v>
      </c>
      <c r="AF98">
        <v>501</v>
      </c>
      <c r="AG98">
        <v>5001</v>
      </c>
    </row>
    <row r="99" spans="28:33" x14ac:dyDescent="0.25">
      <c r="AB99" t="s">
        <v>54</v>
      </c>
      <c r="AC99">
        <v>150000</v>
      </c>
      <c r="AD99" t="s">
        <v>55</v>
      </c>
      <c r="AE99">
        <v>83</v>
      </c>
      <c r="AF99">
        <v>502</v>
      </c>
      <c r="AG99">
        <v>5002</v>
      </c>
    </row>
    <row r="100" spans="28:33" x14ac:dyDescent="0.25">
      <c r="AB100" t="s">
        <v>54</v>
      </c>
      <c r="AC100">
        <v>75000</v>
      </c>
      <c r="AD100" t="s">
        <v>73</v>
      </c>
      <c r="AE100">
        <v>57</v>
      </c>
      <c r="AF100">
        <v>503</v>
      </c>
      <c r="AG100">
        <v>5003</v>
      </c>
    </row>
    <row r="101" spans="28:33" x14ac:dyDescent="0.25">
      <c r="AB101" t="s">
        <v>61</v>
      </c>
      <c r="AC101">
        <v>150000</v>
      </c>
      <c r="AD101" t="s">
        <v>73</v>
      </c>
      <c r="AE101">
        <v>42</v>
      </c>
      <c r="AF101">
        <v>504</v>
      </c>
      <c r="AG101">
        <v>5004</v>
      </c>
    </row>
    <row r="102" spans="28:33" x14ac:dyDescent="0.25">
      <c r="AB102" t="s">
        <v>61</v>
      </c>
      <c r="AC102">
        <v>75000</v>
      </c>
      <c r="AD102" t="s">
        <v>57</v>
      </c>
      <c r="AE102">
        <v>6</v>
      </c>
      <c r="AF102">
        <v>505</v>
      </c>
      <c r="AG102">
        <v>5005</v>
      </c>
    </row>
    <row r="103" spans="28:33" x14ac:dyDescent="0.25">
      <c r="AB103" t="s">
        <v>61</v>
      </c>
      <c r="AC103">
        <v>100000</v>
      </c>
      <c r="AD103" t="s">
        <v>95</v>
      </c>
      <c r="AE103">
        <v>22</v>
      </c>
      <c r="AF103">
        <v>506</v>
      </c>
      <c r="AG103">
        <v>5006</v>
      </c>
    </row>
    <row r="104" spans="28:33" x14ac:dyDescent="0.25">
      <c r="AB104" t="s">
        <v>61</v>
      </c>
      <c r="AC104">
        <v>75000</v>
      </c>
      <c r="AD104" t="s">
        <v>110</v>
      </c>
      <c r="AE104">
        <v>9</v>
      </c>
      <c r="AF104">
        <v>507</v>
      </c>
      <c r="AG104">
        <v>5007</v>
      </c>
    </row>
    <row r="105" spans="28:33" x14ac:dyDescent="0.25">
      <c r="AB105" t="s">
        <v>61</v>
      </c>
      <c r="AC105">
        <v>150000</v>
      </c>
      <c r="AD105" t="s">
        <v>77</v>
      </c>
      <c r="AE105">
        <v>34</v>
      </c>
      <c r="AF105">
        <v>508</v>
      </c>
      <c r="AG105">
        <v>5008</v>
      </c>
    </row>
    <row r="106" spans="28:33" x14ac:dyDescent="0.25">
      <c r="AB106" t="s">
        <v>61</v>
      </c>
      <c r="AC106">
        <v>100000</v>
      </c>
      <c r="AD106" t="s">
        <v>71</v>
      </c>
      <c r="AE106">
        <v>26</v>
      </c>
      <c r="AF106">
        <v>509</v>
      </c>
      <c r="AG106">
        <v>5009</v>
      </c>
    </row>
    <row r="107" spans="28:33" x14ac:dyDescent="0.25">
      <c r="AB107" t="s">
        <v>54</v>
      </c>
      <c r="AC107">
        <v>100000</v>
      </c>
      <c r="AD107" t="s">
        <v>110</v>
      </c>
      <c r="AE107">
        <v>69</v>
      </c>
      <c r="AF107">
        <v>510</v>
      </c>
      <c r="AG107">
        <v>5010</v>
      </c>
    </row>
    <row r="108" spans="28:33" x14ac:dyDescent="0.25">
      <c r="AB108" t="s">
        <v>54</v>
      </c>
      <c r="AC108">
        <v>75000</v>
      </c>
      <c r="AD108" t="s">
        <v>62</v>
      </c>
      <c r="AE108">
        <v>47</v>
      </c>
      <c r="AF108">
        <v>511</v>
      </c>
      <c r="AG108">
        <v>5011</v>
      </c>
    </row>
    <row r="109" spans="28:33" x14ac:dyDescent="0.25">
      <c r="AB109" t="s">
        <v>54</v>
      </c>
      <c r="AC109">
        <v>150000</v>
      </c>
      <c r="AD109" t="s">
        <v>71</v>
      </c>
      <c r="AE109">
        <v>86</v>
      </c>
      <c r="AF109">
        <v>512</v>
      </c>
      <c r="AG109">
        <v>5012</v>
      </c>
    </row>
    <row r="110" spans="28:33" x14ac:dyDescent="0.25">
      <c r="AB110" t="s">
        <v>61</v>
      </c>
      <c r="AC110">
        <v>150000</v>
      </c>
      <c r="AD110" t="s">
        <v>110</v>
      </c>
      <c r="AE110">
        <v>39</v>
      </c>
      <c r="AF110">
        <v>513</v>
      </c>
      <c r="AG110">
        <v>5013</v>
      </c>
    </row>
    <row r="111" spans="28:33" x14ac:dyDescent="0.25">
      <c r="AB111" t="s">
        <v>61</v>
      </c>
      <c r="AC111">
        <v>75000</v>
      </c>
      <c r="AD111" t="s">
        <v>71</v>
      </c>
      <c r="AE111">
        <v>11</v>
      </c>
      <c r="AF111">
        <v>514</v>
      </c>
      <c r="AG111">
        <v>5014</v>
      </c>
    </row>
    <row r="112" spans="28:33" x14ac:dyDescent="0.25">
      <c r="AB112" t="s">
        <v>61</v>
      </c>
      <c r="AC112">
        <v>100000</v>
      </c>
      <c r="AD112" t="s">
        <v>99</v>
      </c>
      <c r="AE112">
        <v>30</v>
      </c>
      <c r="AF112">
        <v>515</v>
      </c>
      <c r="AG112">
        <v>5015</v>
      </c>
    </row>
    <row r="113" spans="28:33" x14ac:dyDescent="0.25">
      <c r="AB113" t="s">
        <v>54</v>
      </c>
      <c r="AC113">
        <v>100000</v>
      </c>
      <c r="AD113" t="s">
        <v>55</v>
      </c>
      <c r="AE113">
        <v>68</v>
      </c>
      <c r="AF113">
        <v>516</v>
      </c>
      <c r="AG113">
        <v>5016</v>
      </c>
    </row>
    <row r="114" spans="28:33" x14ac:dyDescent="0.25">
      <c r="AB114" t="s">
        <v>54</v>
      </c>
      <c r="AC114">
        <v>150000</v>
      </c>
      <c r="AD114" t="s">
        <v>82</v>
      </c>
      <c r="AE114">
        <v>80</v>
      </c>
      <c r="AF114">
        <v>517</v>
      </c>
      <c r="AG114">
        <v>5017</v>
      </c>
    </row>
    <row r="115" spans="28:33" x14ac:dyDescent="0.25">
      <c r="AB115" t="s">
        <v>54</v>
      </c>
      <c r="AC115">
        <v>75000</v>
      </c>
      <c r="AD115" t="s">
        <v>99</v>
      </c>
      <c r="AE115">
        <v>60</v>
      </c>
      <c r="AF115">
        <v>518</v>
      </c>
      <c r="AG115">
        <v>5018</v>
      </c>
    </row>
    <row r="116" spans="28:33" x14ac:dyDescent="0.25">
      <c r="AB116" t="s">
        <v>61</v>
      </c>
      <c r="AC116">
        <v>75000</v>
      </c>
      <c r="AD116" t="s">
        <v>57</v>
      </c>
      <c r="AE116">
        <v>6</v>
      </c>
      <c r="AF116">
        <v>519</v>
      </c>
      <c r="AG116">
        <v>5019</v>
      </c>
    </row>
    <row r="117" spans="28:33" x14ac:dyDescent="0.25">
      <c r="AB117" t="s">
        <v>61</v>
      </c>
      <c r="AC117">
        <v>100000</v>
      </c>
      <c r="AD117" t="s">
        <v>62</v>
      </c>
      <c r="AE117">
        <v>17</v>
      </c>
      <c r="AF117">
        <v>520</v>
      </c>
      <c r="AG117">
        <v>5020</v>
      </c>
    </row>
    <row r="118" spans="28:33" x14ac:dyDescent="0.25">
      <c r="AB118" t="s">
        <v>61</v>
      </c>
      <c r="AC118">
        <v>150000</v>
      </c>
      <c r="AD118" t="s">
        <v>95</v>
      </c>
      <c r="AE118">
        <v>37</v>
      </c>
      <c r="AF118">
        <v>521</v>
      </c>
      <c r="AG118">
        <v>5021</v>
      </c>
    </row>
    <row r="119" spans="28:33" x14ac:dyDescent="0.25">
      <c r="AB119" t="s">
        <v>54</v>
      </c>
      <c r="AC119">
        <v>150000</v>
      </c>
      <c r="AD119" t="s">
        <v>99</v>
      </c>
      <c r="AE119">
        <v>90</v>
      </c>
      <c r="AF119">
        <v>522</v>
      </c>
      <c r="AG119">
        <v>5022</v>
      </c>
    </row>
    <row r="120" spans="28:33" x14ac:dyDescent="0.25">
      <c r="AB120" t="s">
        <v>54</v>
      </c>
      <c r="AC120">
        <v>100000</v>
      </c>
      <c r="AD120" t="s">
        <v>80</v>
      </c>
      <c r="AE120">
        <v>61</v>
      </c>
      <c r="AF120">
        <v>523</v>
      </c>
      <c r="AG120">
        <v>5023</v>
      </c>
    </row>
    <row r="121" spans="28:33" x14ac:dyDescent="0.25">
      <c r="AB121" t="s">
        <v>54</v>
      </c>
      <c r="AC121">
        <v>75000</v>
      </c>
      <c r="AD121" t="s">
        <v>110</v>
      </c>
      <c r="AE121">
        <v>54</v>
      </c>
      <c r="AF121">
        <v>524</v>
      </c>
      <c r="AG121">
        <v>5024</v>
      </c>
    </row>
    <row r="122" spans="28:33" x14ac:dyDescent="0.25">
      <c r="AB122" t="s">
        <v>54</v>
      </c>
      <c r="AC122">
        <v>100000</v>
      </c>
      <c r="AD122" t="s">
        <v>80</v>
      </c>
      <c r="AE122">
        <v>61</v>
      </c>
      <c r="AF122">
        <v>601</v>
      </c>
      <c r="AG122">
        <v>6001</v>
      </c>
    </row>
    <row r="123" spans="28:33" x14ac:dyDescent="0.25">
      <c r="AB123" t="s">
        <v>54</v>
      </c>
      <c r="AC123">
        <v>150000</v>
      </c>
      <c r="AD123" t="s">
        <v>82</v>
      </c>
      <c r="AE123">
        <v>80</v>
      </c>
      <c r="AF123">
        <v>602</v>
      </c>
      <c r="AG123">
        <v>6002</v>
      </c>
    </row>
    <row r="124" spans="28:33" x14ac:dyDescent="0.25">
      <c r="AB124" t="s">
        <v>54</v>
      </c>
      <c r="AC124">
        <v>75000</v>
      </c>
      <c r="AD124" t="s">
        <v>57</v>
      </c>
      <c r="AE124">
        <v>51</v>
      </c>
      <c r="AF124">
        <v>603</v>
      </c>
      <c r="AG124">
        <v>6003</v>
      </c>
    </row>
    <row r="125" spans="28:33" x14ac:dyDescent="0.25">
      <c r="AB125" t="s">
        <v>61</v>
      </c>
      <c r="AC125">
        <v>150000</v>
      </c>
      <c r="AD125" t="s">
        <v>85</v>
      </c>
      <c r="AE125">
        <v>43</v>
      </c>
      <c r="AF125">
        <v>604</v>
      </c>
      <c r="AG125">
        <v>6004</v>
      </c>
    </row>
    <row r="126" spans="28:33" x14ac:dyDescent="0.25">
      <c r="AB126" t="s">
        <v>61</v>
      </c>
      <c r="AC126">
        <v>75000</v>
      </c>
      <c r="AD126" t="s">
        <v>99</v>
      </c>
      <c r="AE126">
        <v>15</v>
      </c>
      <c r="AF126">
        <v>207</v>
      </c>
      <c r="AG126">
        <v>2007</v>
      </c>
    </row>
    <row r="127" spans="28:33" x14ac:dyDescent="0.25">
      <c r="AB127" t="s">
        <v>61</v>
      </c>
      <c r="AC127">
        <v>100000</v>
      </c>
      <c r="AD127" t="s">
        <v>59</v>
      </c>
      <c r="AE127">
        <v>25</v>
      </c>
      <c r="AF127">
        <v>606</v>
      </c>
      <c r="AG127">
        <v>6006</v>
      </c>
    </row>
    <row r="128" spans="28:33" x14ac:dyDescent="0.25">
      <c r="AB128" t="s">
        <v>61</v>
      </c>
      <c r="AC128">
        <v>75000</v>
      </c>
      <c r="AD128" t="s">
        <v>85</v>
      </c>
      <c r="AE128">
        <v>13</v>
      </c>
      <c r="AF128">
        <v>607</v>
      </c>
      <c r="AG128">
        <v>6007</v>
      </c>
    </row>
    <row r="129" spans="28:33" x14ac:dyDescent="0.25">
      <c r="AB129" t="s">
        <v>61</v>
      </c>
      <c r="AC129">
        <v>150000</v>
      </c>
      <c r="AD129" t="s">
        <v>85</v>
      </c>
      <c r="AE129">
        <v>43</v>
      </c>
      <c r="AF129">
        <v>608</v>
      </c>
      <c r="AG129">
        <v>6008</v>
      </c>
    </row>
    <row r="130" spans="28:33" x14ac:dyDescent="0.25">
      <c r="AB130" t="s">
        <v>61</v>
      </c>
      <c r="AC130">
        <v>100000</v>
      </c>
      <c r="AD130" t="s">
        <v>57</v>
      </c>
      <c r="AE130">
        <v>21</v>
      </c>
      <c r="AF130">
        <v>609</v>
      </c>
      <c r="AG130">
        <v>6009</v>
      </c>
    </row>
    <row r="131" spans="28:33" x14ac:dyDescent="0.25">
      <c r="AB131" t="s">
        <v>54</v>
      </c>
      <c r="AC131">
        <v>100000</v>
      </c>
      <c r="AD131" t="s">
        <v>65</v>
      </c>
      <c r="AE131">
        <v>63</v>
      </c>
      <c r="AF131">
        <v>610</v>
      </c>
      <c r="AG131">
        <v>6010</v>
      </c>
    </row>
    <row r="132" spans="28:33" x14ac:dyDescent="0.25">
      <c r="AB132" t="s">
        <v>54</v>
      </c>
      <c r="AC132">
        <v>75000</v>
      </c>
      <c r="AD132" t="s">
        <v>95</v>
      </c>
      <c r="AE132">
        <v>52</v>
      </c>
      <c r="AF132">
        <v>611</v>
      </c>
      <c r="AG132">
        <v>6011</v>
      </c>
    </row>
    <row r="133" spans="28:33" x14ac:dyDescent="0.25">
      <c r="AB133" t="s">
        <v>54</v>
      </c>
      <c r="AC133">
        <v>150000</v>
      </c>
      <c r="AD133" t="s">
        <v>110</v>
      </c>
      <c r="AE133">
        <v>84</v>
      </c>
      <c r="AF133">
        <v>612</v>
      </c>
      <c r="AG133">
        <v>6012</v>
      </c>
    </row>
    <row r="134" spans="28:33" x14ac:dyDescent="0.25">
      <c r="AB134" t="s">
        <v>61</v>
      </c>
      <c r="AC134">
        <v>150000</v>
      </c>
      <c r="AD134" t="s">
        <v>71</v>
      </c>
      <c r="AE134">
        <v>41</v>
      </c>
      <c r="AF134">
        <v>613</v>
      </c>
      <c r="AG134">
        <v>6013</v>
      </c>
    </row>
    <row r="135" spans="28:33" x14ac:dyDescent="0.25">
      <c r="AB135" t="s">
        <v>61</v>
      </c>
      <c r="AC135">
        <v>75000</v>
      </c>
      <c r="AD135" t="s">
        <v>99</v>
      </c>
      <c r="AE135">
        <v>15</v>
      </c>
      <c r="AF135">
        <v>614</v>
      </c>
      <c r="AG135">
        <v>6014</v>
      </c>
    </row>
    <row r="136" spans="28:33" x14ac:dyDescent="0.25">
      <c r="AB136" t="s">
        <v>61</v>
      </c>
      <c r="AC136">
        <v>100000</v>
      </c>
      <c r="AD136" t="s">
        <v>80</v>
      </c>
      <c r="AE136">
        <v>16</v>
      </c>
      <c r="AF136">
        <v>615</v>
      </c>
      <c r="AG136">
        <v>6015</v>
      </c>
    </row>
    <row r="137" spans="28:33" x14ac:dyDescent="0.25">
      <c r="AB137" t="s">
        <v>54</v>
      </c>
      <c r="AC137">
        <v>100000</v>
      </c>
      <c r="AD137" t="s">
        <v>57</v>
      </c>
      <c r="AE137">
        <v>66</v>
      </c>
      <c r="AF137">
        <v>616</v>
      </c>
      <c r="AG137">
        <v>6016</v>
      </c>
    </row>
    <row r="138" spans="28:33" x14ac:dyDescent="0.25">
      <c r="AB138" t="s">
        <v>54</v>
      </c>
      <c r="AC138">
        <v>150000</v>
      </c>
      <c r="AD138" t="s">
        <v>62</v>
      </c>
      <c r="AE138">
        <v>77</v>
      </c>
      <c r="AF138">
        <v>617</v>
      </c>
      <c r="AG138">
        <v>6017</v>
      </c>
    </row>
    <row r="139" spans="28:33" x14ac:dyDescent="0.25">
      <c r="AB139" t="s">
        <v>54</v>
      </c>
      <c r="AC139">
        <v>75000</v>
      </c>
      <c r="AD139" t="s">
        <v>65</v>
      </c>
      <c r="AE139">
        <v>48</v>
      </c>
      <c r="AF139">
        <v>618</v>
      </c>
      <c r="AG139">
        <v>6018</v>
      </c>
    </row>
    <row r="140" spans="28:33" x14ac:dyDescent="0.25">
      <c r="AB140" t="s">
        <v>61</v>
      </c>
      <c r="AC140">
        <v>75000</v>
      </c>
      <c r="AD140" t="s">
        <v>95</v>
      </c>
      <c r="AE140">
        <v>7</v>
      </c>
      <c r="AF140">
        <v>619</v>
      </c>
      <c r="AG140">
        <v>6019</v>
      </c>
    </row>
    <row r="141" spans="28:33" x14ac:dyDescent="0.25">
      <c r="AB141" t="s">
        <v>61</v>
      </c>
      <c r="AC141">
        <v>100000</v>
      </c>
      <c r="AD141" t="s">
        <v>110</v>
      </c>
      <c r="AE141">
        <v>24</v>
      </c>
      <c r="AF141">
        <v>620</v>
      </c>
      <c r="AG141">
        <v>6020</v>
      </c>
    </row>
    <row r="142" spans="28:33" x14ac:dyDescent="0.25">
      <c r="AB142" t="s">
        <v>61</v>
      </c>
      <c r="AC142">
        <v>150000</v>
      </c>
      <c r="AD142" t="s">
        <v>71</v>
      </c>
      <c r="AE142">
        <v>41</v>
      </c>
      <c r="AF142">
        <v>621</v>
      </c>
      <c r="AG142">
        <v>6021</v>
      </c>
    </row>
    <row r="143" spans="28:33" x14ac:dyDescent="0.25">
      <c r="AB143" t="s">
        <v>54</v>
      </c>
      <c r="AC143">
        <v>150000</v>
      </c>
      <c r="AD143" t="s">
        <v>80</v>
      </c>
      <c r="AE143">
        <v>76</v>
      </c>
      <c r="AF143">
        <v>622</v>
      </c>
      <c r="AG143">
        <v>6022</v>
      </c>
    </row>
    <row r="144" spans="28:33" x14ac:dyDescent="0.25">
      <c r="AB144" t="s">
        <v>54</v>
      </c>
      <c r="AC144">
        <v>100000</v>
      </c>
      <c r="AD144" t="s">
        <v>77</v>
      </c>
      <c r="AE144">
        <v>64</v>
      </c>
      <c r="AF144">
        <v>623</v>
      </c>
      <c r="AG144">
        <v>6023</v>
      </c>
    </row>
    <row r="145" spans="28:33" x14ac:dyDescent="0.25">
      <c r="AB145" t="s">
        <v>54</v>
      </c>
      <c r="AC145">
        <v>75000</v>
      </c>
      <c r="AD145" t="s">
        <v>71</v>
      </c>
      <c r="AE145">
        <v>56</v>
      </c>
      <c r="AF145">
        <v>624</v>
      </c>
      <c r="AG145">
        <v>6024</v>
      </c>
    </row>
    <row r="146" spans="28:33" x14ac:dyDescent="0.25">
      <c r="AB146" t="s">
        <v>54</v>
      </c>
      <c r="AC146">
        <v>100000</v>
      </c>
      <c r="AD146" t="s">
        <v>71</v>
      </c>
      <c r="AE146">
        <v>71</v>
      </c>
      <c r="AF146">
        <v>701</v>
      </c>
      <c r="AG146">
        <v>7001</v>
      </c>
    </row>
    <row r="147" spans="28:33" x14ac:dyDescent="0.25">
      <c r="AB147" t="s">
        <v>54</v>
      </c>
      <c r="AC147">
        <v>150000</v>
      </c>
      <c r="AD147" t="s">
        <v>85</v>
      </c>
      <c r="AE147">
        <v>88</v>
      </c>
      <c r="AF147">
        <v>702</v>
      </c>
      <c r="AG147">
        <v>7002</v>
      </c>
    </row>
    <row r="148" spans="28:33" x14ac:dyDescent="0.25">
      <c r="AB148" t="s">
        <v>54</v>
      </c>
      <c r="AC148">
        <v>75000</v>
      </c>
      <c r="AD148" t="s">
        <v>110</v>
      </c>
      <c r="AE148">
        <v>54</v>
      </c>
      <c r="AF148">
        <v>703</v>
      </c>
      <c r="AG148">
        <v>7003</v>
      </c>
    </row>
    <row r="149" spans="28:33" x14ac:dyDescent="0.25">
      <c r="AB149" t="s">
        <v>61</v>
      </c>
      <c r="AC149">
        <v>150000</v>
      </c>
      <c r="AD149" t="s">
        <v>110</v>
      </c>
      <c r="AE149">
        <v>39</v>
      </c>
      <c r="AF149">
        <v>704</v>
      </c>
      <c r="AG149">
        <v>7004</v>
      </c>
    </row>
    <row r="150" spans="28:33" x14ac:dyDescent="0.25">
      <c r="AB150" t="s">
        <v>61</v>
      </c>
      <c r="AC150">
        <v>75000</v>
      </c>
      <c r="AD150" t="s">
        <v>85</v>
      </c>
      <c r="AE150">
        <v>13</v>
      </c>
      <c r="AF150">
        <v>705</v>
      </c>
      <c r="AG150">
        <v>7005</v>
      </c>
    </row>
    <row r="151" spans="28:33" x14ac:dyDescent="0.25">
      <c r="AB151" t="s">
        <v>61</v>
      </c>
      <c r="AC151">
        <v>100000</v>
      </c>
      <c r="AD151" t="s">
        <v>62</v>
      </c>
      <c r="AE151">
        <v>17</v>
      </c>
      <c r="AF151">
        <v>706</v>
      </c>
      <c r="AG151">
        <v>7006</v>
      </c>
    </row>
    <row r="152" spans="28:33" x14ac:dyDescent="0.25">
      <c r="AB152" t="s">
        <v>61</v>
      </c>
      <c r="AC152">
        <v>75000</v>
      </c>
      <c r="AD152" t="s">
        <v>97</v>
      </c>
      <c r="AE152">
        <v>14</v>
      </c>
      <c r="AF152">
        <v>707</v>
      </c>
      <c r="AG152">
        <v>7007</v>
      </c>
    </row>
    <row r="153" spans="28:33" x14ac:dyDescent="0.25">
      <c r="AB153" t="s">
        <v>61</v>
      </c>
      <c r="AC153">
        <v>150000</v>
      </c>
      <c r="AD153" t="s">
        <v>82</v>
      </c>
      <c r="AE153">
        <v>35</v>
      </c>
      <c r="AF153">
        <v>708</v>
      </c>
      <c r="AG153">
        <v>7008</v>
      </c>
    </row>
    <row r="154" spans="28:33" x14ac:dyDescent="0.25">
      <c r="AB154" t="s">
        <v>61</v>
      </c>
      <c r="AC154">
        <v>100000</v>
      </c>
      <c r="AD154" t="s">
        <v>65</v>
      </c>
      <c r="AE154">
        <v>18</v>
      </c>
      <c r="AF154">
        <v>709</v>
      </c>
      <c r="AG154">
        <v>7009</v>
      </c>
    </row>
    <row r="155" spans="28:33" x14ac:dyDescent="0.25">
      <c r="AB155" t="s">
        <v>54</v>
      </c>
      <c r="AC155">
        <v>100000</v>
      </c>
      <c r="AD155" t="s">
        <v>97</v>
      </c>
      <c r="AE155">
        <v>74</v>
      </c>
      <c r="AF155">
        <v>710</v>
      </c>
      <c r="AG155">
        <v>7010</v>
      </c>
    </row>
    <row r="156" spans="28:33" x14ac:dyDescent="0.25">
      <c r="AB156" t="s">
        <v>54</v>
      </c>
      <c r="AC156">
        <v>75000</v>
      </c>
      <c r="AD156" t="s">
        <v>82</v>
      </c>
      <c r="AE156">
        <v>50</v>
      </c>
      <c r="AF156">
        <v>711</v>
      </c>
      <c r="AG156">
        <v>7011</v>
      </c>
    </row>
    <row r="157" spans="28:33" x14ac:dyDescent="0.25">
      <c r="AB157" t="s">
        <v>54</v>
      </c>
      <c r="AC157">
        <v>150000</v>
      </c>
      <c r="AD157" t="s">
        <v>62</v>
      </c>
      <c r="AE157">
        <v>77</v>
      </c>
      <c r="AF157">
        <v>712</v>
      </c>
      <c r="AG157">
        <v>7012</v>
      </c>
    </row>
    <row r="158" spans="28:33" x14ac:dyDescent="0.25">
      <c r="AB158" t="s">
        <v>61</v>
      </c>
      <c r="AC158">
        <v>150000</v>
      </c>
      <c r="AD158" t="s">
        <v>77</v>
      </c>
      <c r="AE158">
        <v>34</v>
      </c>
      <c r="AF158">
        <v>713</v>
      </c>
      <c r="AG158">
        <v>7013</v>
      </c>
    </row>
    <row r="159" spans="28:33" x14ac:dyDescent="0.25">
      <c r="AB159" t="s">
        <v>61</v>
      </c>
      <c r="AC159">
        <v>75000</v>
      </c>
      <c r="AD159" t="s">
        <v>85</v>
      </c>
      <c r="AE159">
        <v>13</v>
      </c>
      <c r="AF159">
        <v>714</v>
      </c>
      <c r="AG159">
        <v>7014</v>
      </c>
    </row>
    <row r="160" spans="28:33" x14ac:dyDescent="0.25">
      <c r="AB160" t="s">
        <v>61</v>
      </c>
      <c r="AC160">
        <v>100000</v>
      </c>
      <c r="AD160" t="s">
        <v>85</v>
      </c>
      <c r="AE160">
        <v>28</v>
      </c>
      <c r="AF160">
        <v>715</v>
      </c>
      <c r="AG160">
        <v>7015</v>
      </c>
    </row>
    <row r="161" spans="28:33" x14ac:dyDescent="0.25">
      <c r="AB161" t="s">
        <v>54</v>
      </c>
      <c r="AC161">
        <v>100000</v>
      </c>
      <c r="AD161" t="s">
        <v>77</v>
      </c>
      <c r="AE161">
        <v>64</v>
      </c>
      <c r="AF161">
        <v>716</v>
      </c>
      <c r="AG161">
        <v>7016</v>
      </c>
    </row>
    <row r="162" spans="28:33" x14ac:dyDescent="0.25">
      <c r="AB162" t="s">
        <v>54</v>
      </c>
      <c r="AC162">
        <v>150000</v>
      </c>
      <c r="AD162" t="s">
        <v>95</v>
      </c>
      <c r="AE162">
        <v>82</v>
      </c>
      <c r="AF162">
        <v>717</v>
      </c>
      <c r="AG162">
        <v>7017</v>
      </c>
    </row>
    <row r="163" spans="28:33" x14ac:dyDescent="0.25">
      <c r="AB163" t="s">
        <v>54</v>
      </c>
      <c r="AC163">
        <v>75000</v>
      </c>
      <c r="AD163" t="s">
        <v>59</v>
      </c>
      <c r="AE163">
        <v>55</v>
      </c>
      <c r="AF163">
        <v>718</v>
      </c>
      <c r="AG163">
        <v>7018</v>
      </c>
    </row>
    <row r="164" spans="28:33" x14ac:dyDescent="0.25">
      <c r="AB164" t="s">
        <v>61</v>
      </c>
      <c r="AC164">
        <v>75000</v>
      </c>
      <c r="AD164" t="s">
        <v>71</v>
      </c>
      <c r="AE164">
        <v>11</v>
      </c>
      <c r="AF164">
        <v>719</v>
      </c>
      <c r="AG164">
        <v>7019</v>
      </c>
    </row>
    <row r="165" spans="28:33" x14ac:dyDescent="0.25">
      <c r="AB165" t="s">
        <v>61</v>
      </c>
      <c r="AC165">
        <v>100000</v>
      </c>
      <c r="AD165" t="s">
        <v>55</v>
      </c>
      <c r="AE165">
        <v>23</v>
      </c>
      <c r="AF165">
        <v>720</v>
      </c>
      <c r="AG165">
        <v>7020</v>
      </c>
    </row>
    <row r="166" spans="28:33" x14ac:dyDescent="0.25">
      <c r="AB166" t="s">
        <v>61</v>
      </c>
      <c r="AC166">
        <v>150000</v>
      </c>
      <c r="AD166" t="s">
        <v>65</v>
      </c>
      <c r="AE166">
        <v>33</v>
      </c>
      <c r="AF166">
        <v>721</v>
      </c>
      <c r="AG166">
        <v>7021</v>
      </c>
    </row>
    <row r="167" spans="28:33" x14ac:dyDescent="0.25">
      <c r="AB167" t="s">
        <v>54</v>
      </c>
      <c r="AC167">
        <v>150000</v>
      </c>
      <c r="AD167" t="s">
        <v>77</v>
      </c>
      <c r="AE167">
        <v>79</v>
      </c>
      <c r="AF167">
        <v>722</v>
      </c>
      <c r="AG167">
        <v>7022</v>
      </c>
    </row>
    <row r="168" spans="28:33" x14ac:dyDescent="0.25">
      <c r="AB168" t="s">
        <v>54</v>
      </c>
      <c r="AC168">
        <v>100000</v>
      </c>
      <c r="AD168" t="s">
        <v>57</v>
      </c>
      <c r="AE168">
        <v>66</v>
      </c>
      <c r="AF168">
        <v>723</v>
      </c>
      <c r="AG168">
        <v>7023</v>
      </c>
    </row>
    <row r="169" spans="28:33" x14ac:dyDescent="0.25">
      <c r="AB169" t="s">
        <v>54</v>
      </c>
      <c r="AC169">
        <v>75000</v>
      </c>
      <c r="AD169" t="s">
        <v>65</v>
      </c>
      <c r="AE169">
        <v>48</v>
      </c>
      <c r="AF169">
        <v>724</v>
      </c>
      <c r="AG169">
        <v>7024</v>
      </c>
    </row>
    <row r="170" spans="28:33" x14ac:dyDescent="0.25">
      <c r="AB170" t="s">
        <v>54</v>
      </c>
      <c r="AC170">
        <v>100000</v>
      </c>
      <c r="AD170" t="s">
        <v>57</v>
      </c>
      <c r="AE170">
        <v>66</v>
      </c>
      <c r="AF170">
        <v>801</v>
      </c>
      <c r="AG170">
        <v>8001</v>
      </c>
    </row>
    <row r="171" spans="28:33" x14ac:dyDescent="0.25">
      <c r="AB171" t="s">
        <v>54</v>
      </c>
      <c r="AC171">
        <v>150000</v>
      </c>
      <c r="AD171" t="s">
        <v>62</v>
      </c>
      <c r="AE171">
        <v>77</v>
      </c>
      <c r="AF171">
        <v>802</v>
      </c>
      <c r="AG171">
        <v>8002</v>
      </c>
    </row>
    <row r="172" spans="28:33" x14ac:dyDescent="0.25">
      <c r="AB172" t="s">
        <v>54</v>
      </c>
      <c r="AC172">
        <v>75000</v>
      </c>
      <c r="AD172" t="s">
        <v>77</v>
      </c>
      <c r="AE172">
        <v>49</v>
      </c>
      <c r="AF172">
        <v>803</v>
      </c>
      <c r="AG172">
        <v>8003</v>
      </c>
    </row>
    <row r="173" spans="28:33" x14ac:dyDescent="0.25">
      <c r="AB173" t="s">
        <v>61</v>
      </c>
      <c r="AC173">
        <v>150000</v>
      </c>
      <c r="AD173" t="s">
        <v>59</v>
      </c>
      <c r="AE173">
        <v>40</v>
      </c>
      <c r="AF173">
        <v>804</v>
      </c>
      <c r="AG173">
        <v>8004</v>
      </c>
    </row>
    <row r="174" spans="28:33" x14ac:dyDescent="0.25">
      <c r="AB174" t="s">
        <v>61</v>
      </c>
      <c r="AC174">
        <v>75000</v>
      </c>
      <c r="AD174" t="s">
        <v>65</v>
      </c>
      <c r="AE174">
        <v>3</v>
      </c>
      <c r="AF174">
        <v>805</v>
      </c>
      <c r="AG174">
        <v>8005</v>
      </c>
    </row>
    <row r="175" spans="28:33" x14ac:dyDescent="0.25">
      <c r="AB175" t="s">
        <v>61</v>
      </c>
      <c r="AC175">
        <v>100000</v>
      </c>
      <c r="AD175" t="s">
        <v>80</v>
      </c>
      <c r="AE175">
        <v>16</v>
      </c>
      <c r="AF175">
        <v>806</v>
      </c>
      <c r="AG175">
        <v>8006</v>
      </c>
    </row>
    <row r="176" spans="28:33" x14ac:dyDescent="0.25">
      <c r="AB176" t="s">
        <v>61</v>
      </c>
      <c r="AC176">
        <v>75000</v>
      </c>
      <c r="AD176" t="s">
        <v>55</v>
      </c>
      <c r="AE176">
        <v>8</v>
      </c>
      <c r="AF176">
        <v>807</v>
      </c>
      <c r="AG176">
        <v>8007</v>
      </c>
    </row>
    <row r="177" spans="28:33" x14ac:dyDescent="0.25">
      <c r="AB177" t="s">
        <v>61</v>
      </c>
      <c r="AC177">
        <v>150000</v>
      </c>
      <c r="AD177" t="s">
        <v>62</v>
      </c>
      <c r="AE177">
        <v>32</v>
      </c>
      <c r="AF177">
        <v>808</v>
      </c>
      <c r="AG177">
        <v>8008</v>
      </c>
    </row>
    <row r="178" spans="28:33" x14ac:dyDescent="0.25">
      <c r="AB178" t="s">
        <v>61</v>
      </c>
      <c r="AC178">
        <v>100000</v>
      </c>
      <c r="AD178" t="s">
        <v>59</v>
      </c>
      <c r="AE178">
        <v>25</v>
      </c>
      <c r="AF178">
        <v>809</v>
      </c>
      <c r="AG178">
        <v>8009</v>
      </c>
    </row>
    <row r="179" spans="28:33" x14ac:dyDescent="0.25">
      <c r="AB179" t="s">
        <v>54</v>
      </c>
      <c r="AC179">
        <v>100000</v>
      </c>
      <c r="AD179" t="s">
        <v>77</v>
      </c>
      <c r="AE179">
        <v>64</v>
      </c>
      <c r="AF179">
        <v>810</v>
      </c>
      <c r="AG179">
        <v>8010</v>
      </c>
    </row>
    <row r="180" spans="28:33" x14ac:dyDescent="0.25">
      <c r="AB180" t="s">
        <v>54</v>
      </c>
      <c r="AC180">
        <v>75000</v>
      </c>
      <c r="AD180" t="s">
        <v>73</v>
      </c>
      <c r="AE180">
        <v>57</v>
      </c>
      <c r="AF180">
        <v>811</v>
      </c>
      <c r="AG180">
        <v>8011</v>
      </c>
    </row>
    <row r="181" spans="28:33" x14ac:dyDescent="0.25">
      <c r="AB181" t="s">
        <v>54</v>
      </c>
      <c r="AC181">
        <v>150000</v>
      </c>
      <c r="AD181" t="s">
        <v>55</v>
      </c>
      <c r="AE181">
        <v>83</v>
      </c>
      <c r="AF181">
        <v>812</v>
      </c>
      <c r="AG181">
        <v>8012</v>
      </c>
    </row>
    <row r="182" spans="28:33" x14ac:dyDescent="0.25">
      <c r="AB182" t="s">
        <v>61</v>
      </c>
      <c r="AC182">
        <v>150000</v>
      </c>
      <c r="AD182" t="s">
        <v>73</v>
      </c>
      <c r="AE182">
        <v>42</v>
      </c>
      <c r="AF182">
        <v>813</v>
      </c>
      <c r="AG182">
        <v>8013</v>
      </c>
    </row>
    <row r="183" spans="28:33" x14ac:dyDescent="0.25">
      <c r="AB183" t="s">
        <v>61</v>
      </c>
      <c r="AC183">
        <v>75000</v>
      </c>
      <c r="AD183" t="s">
        <v>110</v>
      </c>
      <c r="AE183">
        <v>9</v>
      </c>
      <c r="AF183">
        <v>814</v>
      </c>
      <c r="AG183">
        <v>8014</v>
      </c>
    </row>
    <row r="184" spans="28:33" x14ac:dyDescent="0.25">
      <c r="AB184" t="s">
        <v>61</v>
      </c>
      <c r="AC184">
        <v>100000</v>
      </c>
      <c r="AD184" t="s">
        <v>73</v>
      </c>
      <c r="AE184">
        <v>27</v>
      </c>
      <c r="AF184">
        <v>815</v>
      </c>
      <c r="AG184">
        <v>8015</v>
      </c>
    </row>
    <row r="185" spans="28:33" x14ac:dyDescent="0.25">
      <c r="AB185" t="s">
        <v>54</v>
      </c>
      <c r="AC185">
        <v>100000</v>
      </c>
      <c r="AD185" t="s">
        <v>59</v>
      </c>
      <c r="AE185">
        <v>70</v>
      </c>
      <c r="AF185">
        <v>816</v>
      </c>
      <c r="AG185">
        <v>8016</v>
      </c>
    </row>
    <row r="186" spans="28:33" x14ac:dyDescent="0.25">
      <c r="AB186" t="s">
        <v>54</v>
      </c>
      <c r="AC186">
        <v>150000</v>
      </c>
      <c r="AD186" t="s">
        <v>77</v>
      </c>
      <c r="AE186">
        <v>79</v>
      </c>
      <c r="AF186">
        <v>817</v>
      </c>
      <c r="AG186">
        <v>8017</v>
      </c>
    </row>
    <row r="187" spans="28:33" x14ac:dyDescent="0.25">
      <c r="AB187" t="s">
        <v>54</v>
      </c>
      <c r="AC187">
        <v>75000</v>
      </c>
      <c r="AD187" t="s">
        <v>85</v>
      </c>
      <c r="AE187">
        <v>58</v>
      </c>
      <c r="AF187">
        <v>818</v>
      </c>
      <c r="AG187">
        <v>8018</v>
      </c>
    </row>
    <row r="188" spans="28:33" x14ac:dyDescent="0.25">
      <c r="AB188" t="s">
        <v>61</v>
      </c>
      <c r="AC188">
        <v>75000</v>
      </c>
      <c r="AD188" t="s">
        <v>80</v>
      </c>
      <c r="AE188">
        <v>1</v>
      </c>
      <c r="AF188">
        <v>819</v>
      </c>
      <c r="AG188">
        <v>8019</v>
      </c>
    </row>
    <row r="189" spans="28:33" x14ac:dyDescent="0.25">
      <c r="AB189" t="s">
        <v>61</v>
      </c>
      <c r="AC189">
        <v>100000</v>
      </c>
      <c r="AD189" t="s">
        <v>99</v>
      </c>
      <c r="AE189">
        <v>30</v>
      </c>
      <c r="AF189">
        <v>820</v>
      </c>
      <c r="AG189">
        <v>8020</v>
      </c>
    </row>
    <row r="190" spans="28:33" x14ac:dyDescent="0.25">
      <c r="AB190" t="s">
        <v>61</v>
      </c>
      <c r="AC190">
        <v>150000</v>
      </c>
      <c r="AD190" t="s">
        <v>59</v>
      </c>
      <c r="AE190">
        <v>40</v>
      </c>
      <c r="AF190">
        <v>821</v>
      </c>
      <c r="AG190">
        <v>8021</v>
      </c>
    </row>
    <row r="191" spans="28:33" x14ac:dyDescent="0.25">
      <c r="AB191" t="s">
        <v>54</v>
      </c>
      <c r="AC191">
        <v>150000</v>
      </c>
      <c r="AD191" t="s">
        <v>57</v>
      </c>
      <c r="AE191">
        <v>81</v>
      </c>
      <c r="AF191">
        <v>822</v>
      </c>
      <c r="AG191">
        <v>8022</v>
      </c>
    </row>
    <row r="192" spans="28:33" x14ac:dyDescent="0.25">
      <c r="AB192" t="s">
        <v>54</v>
      </c>
      <c r="AC192">
        <v>100000</v>
      </c>
      <c r="AD192" t="s">
        <v>65</v>
      </c>
      <c r="AE192">
        <v>63</v>
      </c>
      <c r="AF192">
        <v>823</v>
      </c>
      <c r="AG192">
        <v>8023</v>
      </c>
    </row>
    <row r="193" spans="28:33" x14ac:dyDescent="0.25">
      <c r="AB193" t="s">
        <v>54</v>
      </c>
      <c r="AC193">
        <v>75000</v>
      </c>
      <c r="AD193" t="s">
        <v>80</v>
      </c>
      <c r="AE193">
        <v>46</v>
      </c>
      <c r="AF193">
        <v>824</v>
      </c>
      <c r="AG193">
        <v>8024</v>
      </c>
    </row>
    <row r="194" spans="28:33" x14ac:dyDescent="0.25">
      <c r="AB194" t="s">
        <v>54</v>
      </c>
      <c r="AC194">
        <v>100000</v>
      </c>
      <c r="AD194" t="s">
        <v>62</v>
      </c>
      <c r="AE194">
        <v>62</v>
      </c>
      <c r="AF194">
        <v>901</v>
      </c>
      <c r="AG194">
        <v>9001</v>
      </c>
    </row>
    <row r="195" spans="28:33" x14ac:dyDescent="0.25">
      <c r="AB195" t="s">
        <v>54</v>
      </c>
      <c r="AC195">
        <v>150000</v>
      </c>
      <c r="AD195" t="s">
        <v>80</v>
      </c>
      <c r="AE195">
        <v>76</v>
      </c>
      <c r="AF195">
        <v>902</v>
      </c>
      <c r="AG195">
        <v>9002</v>
      </c>
    </row>
    <row r="196" spans="28:33" x14ac:dyDescent="0.25">
      <c r="AB196" t="s">
        <v>54</v>
      </c>
      <c r="AC196">
        <v>75000</v>
      </c>
      <c r="AD196" t="s">
        <v>97</v>
      </c>
      <c r="AE196">
        <v>59</v>
      </c>
      <c r="AF196">
        <v>903</v>
      </c>
      <c r="AG196">
        <v>9003</v>
      </c>
    </row>
    <row r="197" spans="28:33" x14ac:dyDescent="0.25">
      <c r="AB197" t="s">
        <v>61</v>
      </c>
      <c r="AC197">
        <v>150000</v>
      </c>
      <c r="AD197" t="s">
        <v>77</v>
      </c>
      <c r="AE197">
        <v>34</v>
      </c>
      <c r="AF197">
        <v>904</v>
      </c>
      <c r="AG197">
        <v>9004</v>
      </c>
    </row>
    <row r="198" spans="28:33" x14ac:dyDescent="0.25">
      <c r="AB198" t="s">
        <v>61</v>
      </c>
      <c r="AC198">
        <v>75000</v>
      </c>
      <c r="AD198" t="s">
        <v>110</v>
      </c>
      <c r="AE198">
        <v>9</v>
      </c>
      <c r="AF198">
        <v>905</v>
      </c>
      <c r="AG198">
        <v>9005</v>
      </c>
    </row>
    <row r="199" spans="28:33" x14ac:dyDescent="0.25">
      <c r="AB199" t="s">
        <v>61</v>
      </c>
      <c r="AC199">
        <v>100000</v>
      </c>
      <c r="AD199" t="s">
        <v>77</v>
      </c>
      <c r="AE199">
        <v>19</v>
      </c>
      <c r="AF199">
        <v>906</v>
      </c>
      <c r="AG199">
        <v>9006</v>
      </c>
    </row>
    <row r="200" spans="28:33" x14ac:dyDescent="0.25">
      <c r="AB200" t="s">
        <v>61</v>
      </c>
      <c r="AC200">
        <v>75000</v>
      </c>
      <c r="AD200" t="s">
        <v>95</v>
      </c>
      <c r="AE200">
        <v>7</v>
      </c>
      <c r="AF200">
        <v>907</v>
      </c>
      <c r="AG200">
        <v>9007</v>
      </c>
    </row>
    <row r="201" spans="28:33" x14ac:dyDescent="0.25">
      <c r="AB201" t="s">
        <v>61</v>
      </c>
      <c r="AC201">
        <v>150000</v>
      </c>
      <c r="AD201" t="s">
        <v>99</v>
      </c>
      <c r="AE201">
        <v>45</v>
      </c>
      <c r="AF201">
        <v>908</v>
      </c>
      <c r="AG201">
        <v>9008</v>
      </c>
    </row>
    <row r="202" spans="28:33" x14ac:dyDescent="0.25">
      <c r="AB202" t="s">
        <v>61</v>
      </c>
      <c r="AC202">
        <v>100000</v>
      </c>
      <c r="AD202" t="s">
        <v>80</v>
      </c>
      <c r="AE202">
        <v>16</v>
      </c>
      <c r="AF202">
        <v>909</v>
      </c>
      <c r="AG202">
        <v>9009</v>
      </c>
    </row>
    <row r="203" spans="28:33" x14ac:dyDescent="0.25">
      <c r="AB203" t="s">
        <v>54</v>
      </c>
      <c r="AC203">
        <v>100000</v>
      </c>
      <c r="AD203" t="s">
        <v>95</v>
      </c>
      <c r="AE203">
        <v>67</v>
      </c>
      <c r="AF203">
        <v>910</v>
      </c>
      <c r="AG203">
        <v>9010</v>
      </c>
    </row>
    <row r="204" spans="28:33" x14ac:dyDescent="0.25">
      <c r="AB204" t="s">
        <v>54</v>
      </c>
      <c r="AC204">
        <v>75000</v>
      </c>
      <c r="AD204" t="s">
        <v>99</v>
      </c>
      <c r="AE204">
        <v>60</v>
      </c>
      <c r="AF204">
        <v>911</v>
      </c>
      <c r="AG204">
        <v>9011</v>
      </c>
    </row>
    <row r="205" spans="28:33" x14ac:dyDescent="0.25">
      <c r="AB205" t="s">
        <v>54</v>
      </c>
      <c r="AC205">
        <v>150000</v>
      </c>
      <c r="AD205" t="s">
        <v>85</v>
      </c>
      <c r="AE205">
        <v>88</v>
      </c>
      <c r="AF205">
        <v>912</v>
      </c>
      <c r="AG205">
        <v>9012</v>
      </c>
    </row>
    <row r="206" spans="28:33" x14ac:dyDescent="0.25">
      <c r="AB206" t="s">
        <v>61</v>
      </c>
      <c r="AC206">
        <v>150000</v>
      </c>
      <c r="AD206" t="s">
        <v>65</v>
      </c>
      <c r="AE206">
        <v>33</v>
      </c>
      <c r="AF206">
        <v>913</v>
      </c>
      <c r="AG206">
        <v>9013</v>
      </c>
    </row>
    <row r="207" spans="28:33" x14ac:dyDescent="0.25">
      <c r="AB207" t="s">
        <v>61</v>
      </c>
      <c r="AC207">
        <v>75000</v>
      </c>
      <c r="AD207" t="s">
        <v>62</v>
      </c>
      <c r="AE207">
        <v>2</v>
      </c>
      <c r="AF207">
        <v>914</v>
      </c>
      <c r="AG207">
        <v>9014</v>
      </c>
    </row>
    <row r="208" spans="28:33" x14ac:dyDescent="0.25">
      <c r="AB208" t="s">
        <v>61</v>
      </c>
      <c r="AC208">
        <v>100000</v>
      </c>
      <c r="AD208" t="s">
        <v>82</v>
      </c>
      <c r="AE208">
        <v>20</v>
      </c>
      <c r="AF208">
        <v>915</v>
      </c>
      <c r="AG208">
        <v>9015</v>
      </c>
    </row>
    <row r="209" spans="28:33" x14ac:dyDescent="0.25">
      <c r="AB209" t="s">
        <v>54</v>
      </c>
      <c r="AC209">
        <v>100000</v>
      </c>
      <c r="AD209" t="s">
        <v>73</v>
      </c>
      <c r="AE209">
        <v>72</v>
      </c>
      <c r="AF209">
        <v>916</v>
      </c>
      <c r="AG209">
        <v>9016</v>
      </c>
    </row>
    <row r="210" spans="28:33" x14ac:dyDescent="0.25">
      <c r="AB210" t="s">
        <v>54</v>
      </c>
      <c r="AC210">
        <v>150000</v>
      </c>
      <c r="AD210" t="s">
        <v>73</v>
      </c>
      <c r="AE210">
        <v>87</v>
      </c>
      <c r="AF210">
        <v>917</v>
      </c>
      <c r="AG210">
        <v>9017</v>
      </c>
    </row>
    <row r="211" spans="28:33" x14ac:dyDescent="0.25">
      <c r="AB211" t="s">
        <v>54</v>
      </c>
      <c r="AC211">
        <v>75000</v>
      </c>
      <c r="AD211" t="s">
        <v>97</v>
      </c>
      <c r="AE211">
        <v>59</v>
      </c>
      <c r="AF211">
        <v>918</v>
      </c>
      <c r="AG211">
        <v>9018</v>
      </c>
    </row>
    <row r="212" spans="28:33" x14ac:dyDescent="0.25">
      <c r="AB212" t="s">
        <v>61</v>
      </c>
      <c r="AC212">
        <v>75000</v>
      </c>
      <c r="AD212" t="s">
        <v>59</v>
      </c>
      <c r="AE212">
        <v>10</v>
      </c>
      <c r="AF212">
        <v>919</v>
      </c>
      <c r="AG212">
        <v>9019</v>
      </c>
    </row>
    <row r="213" spans="28:33" x14ac:dyDescent="0.25">
      <c r="AB213" t="s">
        <v>61</v>
      </c>
      <c r="AC213">
        <v>100000</v>
      </c>
      <c r="AD213" t="s">
        <v>80</v>
      </c>
      <c r="AE213">
        <v>16</v>
      </c>
      <c r="AF213">
        <v>920</v>
      </c>
      <c r="AG213">
        <v>9020</v>
      </c>
    </row>
    <row r="214" spans="28:33" x14ac:dyDescent="0.25">
      <c r="AB214" t="s">
        <v>61</v>
      </c>
      <c r="AC214">
        <v>150000</v>
      </c>
      <c r="AD214" t="s">
        <v>99</v>
      </c>
      <c r="AE214">
        <v>45</v>
      </c>
      <c r="AF214">
        <v>921</v>
      </c>
      <c r="AG214">
        <v>9021</v>
      </c>
    </row>
    <row r="215" spans="28:33" x14ac:dyDescent="0.25">
      <c r="AB215" t="s">
        <v>54</v>
      </c>
      <c r="AC215">
        <v>150000</v>
      </c>
      <c r="AD215" t="s">
        <v>82</v>
      </c>
      <c r="AE215">
        <v>80</v>
      </c>
      <c r="AF215">
        <v>922</v>
      </c>
      <c r="AG215">
        <v>9022</v>
      </c>
    </row>
    <row r="216" spans="28:33" x14ac:dyDescent="0.25">
      <c r="AB216" t="s">
        <v>54</v>
      </c>
      <c r="AC216">
        <v>100000</v>
      </c>
      <c r="AD216" t="s">
        <v>99</v>
      </c>
      <c r="AE216">
        <v>75</v>
      </c>
      <c r="AF216">
        <v>923</v>
      </c>
      <c r="AG216">
        <v>9023</v>
      </c>
    </row>
    <row r="217" spans="28:33" x14ac:dyDescent="0.25">
      <c r="AB217" t="s">
        <v>54</v>
      </c>
      <c r="AC217">
        <v>75000</v>
      </c>
      <c r="AD217" t="s">
        <v>85</v>
      </c>
      <c r="AE217">
        <v>58</v>
      </c>
      <c r="AF217">
        <v>924</v>
      </c>
      <c r="AG217">
        <v>9024</v>
      </c>
    </row>
    <row r="218" spans="28:33" x14ac:dyDescent="0.25">
      <c r="AB218" t="s">
        <v>54</v>
      </c>
      <c r="AC218">
        <v>100000</v>
      </c>
      <c r="AD218" t="s">
        <v>73</v>
      </c>
      <c r="AE218">
        <v>72</v>
      </c>
      <c r="AF218">
        <v>1001</v>
      </c>
      <c r="AG218">
        <v>10001</v>
      </c>
    </row>
    <row r="219" spans="28:33" x14ac:dyDescent="0.25">
      <c r="AB219" t="s">
        <v>54</v>
      </c>
      <c r="AC219">
        <v>150000</v>
      </c>
      <c r="AD219" t="s">
        <v>97</v>
      </c>
      <c r="AE219">
        <v>89</v>
      </c>
      <c r="AF219">
        <v>1002</v>
      </c>
      <c r="AG219">
        <v>10002</v>
      </c>
    </row>
    <row r="220" spans="28:33" x14ac:dyDescent="0.25">
      <c r="AB220" t="s">
        <v>54</v>
      </c>
      <c r="AC220">
        <v>75000</v>
      </c>
      <c r="AD220" t="s">
        <v>71</v>
      </c>
      <c r="AE220">
        <v>56</v>
      </c>
      <c r="AF220">
        <v>1003</v>
      </c>
      <c r="AG220">
        <v>10003</v>
      </c>
    </row>
    <row r="221" spans="28:33" x14ac:dyDescent="0.25">
      <c r="AB221" t="s">
        <v>61</v>
      </c>
      <c r="AC221">
        <v>150000</v>
      </c>
      <c r="AD221" t="s">
        <v>82</v>
      </c>
      <c r="AE221">
        <v>35</v>
      </c>
      <c r="AF221">
        <v>1004</v>
      </c>
      <c r="AG221">
        <v>10004</v>
      </c>
    </row>
    <row r="222" spans="28:33" x14ac:dyDescent="0.25">
      <c r="AB222" t="s">
        <v>61</v>
      </c>
      <c r="AC222">
        <v>75000</v>
      </c>
      <c r="AD222" t="s">
        <v>71</v>
      </c>
      <c r="AE222">
        <v>11</v>
      </c>
      <c r="AF222">
        <v>1005</v>
      </c>
      <c r="AG222">
        <v>10005</v>
      </c>
    </row>
    <row r="223" spans="28:33" x14ac:dyDescent="0.25">
      <c r="AB223" t="s">
        <v>61</v>
      </c>
      <c r="AC223">
        <v>100000</v>
      </c>
      <c r="AD223" t="s">
        <v>57</v>
      </c>
      <c r="AE223">
        <v>21</v>
      </c>
      <c r="AF223">
        <v>1006</v>
      </c>
      <c r="AG223">
        <v>10006</v>
      </c>
    </row>
    <row r="224" spans="28:33" x14ac:dyDescent="0.25">
      <c r="AB224" t="s">
        <v>61</v>
      </c>
      <c r="AC224">
        <v>75000</v>
      </c>
      <c r="AD224" t="s">
        <v>62</v>
      </c>
      <c r="AE224">
        <v>2</v>
      </c>
      <c r="AF224">
        <v>1007</v>
      </c>
      <c r="AG224">
        <v>10007</v>
      </c>
    </row>
    <row r="225" spans="28:33" x14ac:dyDescent="0.25">
      <c r="AB225" t="s">
        <v>61</v>
      </c>
      <c r="AC225">
        <v>150000</v>
      </c>
      <c r="AD225" t="s">
        <v>59</v>
      </c>
      <c r="AE225">
        <v>40</v>
      </c>
      <c r="AF225">
        <v>1008</v>
      </c>
      <c r="AG225">
        <v>10008</v>
      </c>
    </row>
    <row r="226" spans="28:33" x14ac:dyDescent="0.25">
      <c r="AB226" t="s">
        <v>61</v>
      </c>
      <c r="AC226">
        <v>100000</v>
      </c>
      <c r="AD226" t="s">
        <v>97</v>
      </c>
      <c r="AE226">
        <v>29</v>
      </c>
      <c r="AF226">
        <v>1009</v>
      </c>
      <c r="AG226">
        <v>10009</v>
      </c>
    </row>
    <row r="227" spans="28:33" x14ac:dyDescent="0.25">
      <c r="AB227" t="s">
        <v>54</v>
      </c>
      <c r="AC227">
        <v>100000</v>
      </c>
      <c r="AD227" t="s">
        <v>73</v>
      </c>
      <c r="AE227">
        <v>72</v>
      </c>
      <c r="AF227">
        <v>1010</v>
      </c>
      <c r="AG227">
        <v>10010</v>
      </c>
    </row>
    <row r="228" spans="28:33" x14ac:dyDescent="0.25">
      <c r="AB228" t="s">
        <v>54</v>
      </c>
      <c r="AC228">
        <v>75000</v>
      </c>
      <c r="AD228" t="s">
        <v>77</v>
      </c>
      <c r="AE228">
        <v>49</v>
      </c>
      <c r="AF228">
        <v>1011</v>
      </c>
      <c r="AG228">
        <v>10011</v>
      </c>
    </row>
    <row r="229" spans="28:33" x14ac:dyDescent="0.25">
      <c r="AB229" t="s">
        <v>54</v>
      </c>
      <c r="AC229">
        <v>150000</v>
      </c>
      <c r="AD229" t="s">
        <v>99</v>
      </c>
      <c r="AE229">
        <v>90</v>
      </c>
      <c r="AF229">
        <v>1012</v>
      </c>
      <c r="AG229">
        <v>10012</v>
      </c>
    </row>
    <row r="230" spans="28:33" x14ac:dyDescent="0.25">
      <c r="AB230" t="s">
        <v>61</v>
      </c>
      <c r="AC230">
        <v>150000</v>
      </c>
      <c r="AD230" t="s">
        <v>62</v>
      </c>
      <c r="AE230">
        <v>32</v>
      </c>
      <c r="AF230">
        <v>1013</v>
      </c>
      <c r="AG230">
        <v>10013</v>
      </c>
    </row>
    <row r="231" spans="28:33" x14ac:dyDescent="0.25">
      <c r="AB231" t="s">
        <v>61</v>
      </c>
      <c r="AC231">
        <v>75000</v>
      </c>
      <c r="AD231" t="s">
        <v>95</v>
      </c>
      <c r="AE231">
        <v>7</v>
      </c>
      <c r="AF231">
        <v>1014</v>
      </c>
      <c r="AG231">
        <v>10014</v>
      </c>
    </row>
    <row r="232" spans="28:33" x14ac:dyDescent="0.25">
      <c r="AB232" t="s">
        <v>61</v>
      </c>
      <c r="AC232">
        <v>100000</v>
      </c>
      <c r="AD232" t="s">
        <v>65</v>
      </c>
      <c r="AE232">
        <v>18</v>
      </c>
      <c r="AF232">
        <v>1015</v>
      </c>
      <c r="AG232">
        <v>10015</v>
      </c>
    </row>
    <row r="233" spans="28:33" x14ac:dyDescent="0.25">
      <c r="AB233" t="s">
        <v>54</v>
      </c>
      <c r="AC233">
        <v>100000</v>
      </c>
      <c r="AD233" t="s">
        <v>110</v>
      </c>
      <c r="AE233">
        <v>69</v>
      </c>
      <c r="AF233">
        <v>1016</v>
      </c>
      <c r="AG233">
        <v>10016</v>
      </c>
    </row>
    <row r="234" spans="28:33" x14ac:dyDescent="0.25">
      <c r="AB234" t="s">
        <v>54</v>
      </c>
      <c r="AC234">
        <v>150000</v>
      </c>
      <c r="AD234" t="s">
        <v>71</v>
      </c>
      <c r="AE234">
        <v>86</v>
      </c>
      <c r="AF234">
        <v>1017</v>
      </c>
      <c r="AG234">
        <v>10017</v>
      </c>
    </row>
    <row r="235" spans="28:33" x14ac:dyDescent="0.25">
      <c r="AB235" t="s">
        <v>54</v>
      </c>
      <c r="AC235">
        <v>75000</v>
      </c>
      <c r="AD235" t="s">
        <v>71</v>
      </c>
      <c r="AE235">
        <v>56</v>
      </c>
      <c r="AF235">
        <v>1018</v>
      </c>
      <c r="AG235">
        <v>10018</v>
      </c>
    </row>
    <row r="236" spans="28:33" x14ac:dyDescent="0.25">
      <c r="AB236" t="s">
        <v>61</v>
      </c>
      <c r="AC236">
        <v>75000</v>
      </c>
      <c r="AD236" t="s">
        <v>85</v>
      </c>
      <c r="AE236">
        <v>13</v>
      </c>
      <c r="AF236">
        <v>1019</v>
      </c>
      <c r="AG236">
        <v>10019</v>
      </c>
    </row>
    <row r="237" spans="28:33" x14ac:dyDescent="0.25">
      <c r="AB237" t="s">
        <v>61</v>
      </c>
      <c r="AC237">
        <v>100000</v>
      </c>
      <c r="AD237" t="s">
        <v>65</v>
      </c>
      <c r="AE237">
        <v>18</v>
      </c>
      <c r="AF237">
        <v>1020</v>
      </c>
      <c r="AG237">
        <v>10020</v>
      </c>
    </row>
    <row r="238" spans="28:33" x14ac:dyDescent="0.25">
      <c r="AB238" t="s">
        <v>61</v>
      </c>
      <c r="AC238">
        <v>150000</v>
      </c>
      <c r="AD238" t="s">
        <v>85</v>
      </c>
      <c r="AE238">
        <v>43</v>
      </c>
      <c r="AF238">
        <v>1021</v>
      </c>
      <c r="AG238">
        <v>10021</v>
      </c>
    </row>
    <row r="239" spans="28:33" x14ac:dyDescent="0.25">
      <c r="AB239" t="s">
        <v>54</v>
      </c>
      <c r="AC239">
        <v>150000</v>
      </c>
      <c r="AD239" t="s">
        <v>55</v>
      </c>
      <c r="AE239">
        <v>83</v>
      </c>
      <c r="AF239">
        <v>1022</v>
      </c>
      <c r="AG239">
        <v>10022</v>
      </c>
    </row>
    <row r="240" spans="28:33" x14ac:dyDescent="0.25">
      <c r="AB240" t="s">
        <v>54</v>
      </c>
      <c r="AC240">
        <v>100000</v>
      </c>
      <c r="AD240" t="s">
        <v>59</v>
      </c>
      <c r="AE240">
        <v>70</v>
      </c>
      <c r="AF240">
        <v>1023</v>
      </c>
      <c r="AG240">
        <v>10023</v>
      </c>
    </row>
    <row r="241" spans="28:33" x14ac:dyDescent="0.25">
      <c r="AB241" t="s">
        <v>54</v>
      </c>
      <c r="AC241">
        <v>75000</v>
      </c>
      <c r="AD241" t="s">
        <v>95</v>
      </c>
      <c r="AE241">
        <v>52</v>
      </c>
      <c r="AF241">
        <v>1024</v>
      </c>
      <c r="AG241">
        <v>10024</v>
      </c>
    </row>
    <row r="242" spans="28:33" x14ac:dyDescent="0.25">
      <c r="AB242" t="s">
        <v>54</v>
      </c>
      <c r="AC242">
        <v>100000</v>
      </c>
      <c r="AD242" t="s">
        <v>85</v>
      </c>
      <c r="AE242">
        <v>73</v>
      </c>
      <c r="AF242">
        <v>1101</v>
      </c>
      <c r="AG242">
        <v>11001</v>
      </c>
    </row>
    <row r="243" spans="28:33" x14ac:dyDescent="0.25">
      <c r="AB243" t="s">
        <v>54</v>
      </c>
      <c r="AC243">
        <v>150000</v>
      </c>
      <c r="AD243" t="s">
        <v>77</v>
      </c>
      <c r="AE243">
        <v>79</v>
      </c>
      <c r="AF243">
        <v>1102</v>
      </c>
      <c r="AG243">
        <v>11002</v>
      </c>
    </row>
    <row r="244" spans="28:33" x14ac:dyDescent="0.25">
      <c r="AB244" t="s">
        <v>54</v>
      </c>
      <c r="AC244">
        <v>75000</v>
      </c>
      <c r="AD244" t="s">
        <v>82</v>
      </c>
      <c r="AE244">
        <v>50</v>
      </c>
      <c r="AF244">
        <v>1103</v>
      </c>
      <c r="AG244">
        <v>11003</v>
      </c>
    </row>
    <row r="245" spans="28:33" x14ac:dyDescent="0.25">
      <c r="AB245" t="s">
        <v>61</v>
      </c>
      <c r="AC245">
        <v>150000</v>
      </c>
      <c r="AD245" t="s">
        <v>97</v>
      </c>
      <c r="AE245">
        <v>44</v>
      </c>
      <c r="AF245">
        <v>1104</v>
      </c>
      <c r="AG245">
        <v>11004</v>
      </c>
    </row>
    <row r="246" spans="28:33" x14ac:dyDescent="0.25">
      <c r="AB246" t="s">
        <v>61</v>
      </c>
      <c r="AC246">
        <v>75000</v>
      </c>
      <c r="AD246" t="s">
        <v>73</v>
      </c>
      <c r="AE246">
        <v>12</v>
      </c>
      <c r="AF246">
        <v>1105</v>
      </c>
      <c r="AG246">
        <v>11005</v>
      </c>
    </row>
    <row r="247" spans="28:33" x14ac:dyDescent="0.25">
      <c r="AB247" t="s">
        <v>61</v>
      </c>
      <c r="AC247">
        <v>100000</v>
      </c>
      <c r="AD247" t="s">
        <v>71</v>
      </c>
      <c r="AE247">
        <v>26</v>
      </c>
      <c r="AF247">
        <v>1106</v>
      </c>
      <c r="AG247">
        <v>11006</v>
      </c>
    </row>
    <row r="248" spans="28:33" x14ac:dyDescent="0.25">
      <c r="AB248" t="s">
        <v>61</v>
      </c>
      <c r="AC248">
        <v>75000</v>
      </c>
      <c r="AD248" t="s">
        <v>82</v>
      </c>
      <c r="AE248">
        <v>5</v>
      </c>
      <c r="AF248">
        <v>1107</v>
      </c>
      <c r="AG248">
        <v>11007</v>
      </c>
    </row>
    <row r="249" spans="28:33" x14ac:dyDescent="0.25">
      <c r="AB249" t="s">
        <v>61</v>
      </c>
      <c r="AC249">
        <v>150000</v>
      </c>
      <c r="AD249" t="s">
        <v>80</v>
      </c>
      <c r="AE249">
        <v>31</v>
      </c>
      <c r="AF249">
        <v>1108</v>
      </c>
      <c r="AG249">
        <v>11008</v>
      </c>
    </row>
    <row r="250" spans="28:33" x14ac:dyDescent="0.25">
      <c r="AB250" t="s">
        <v>61</v>
      </c>
      <c r="AC250">
        <v>100000</v>
      </c>
      <c r="AD250" t="s">
        <v>85</v>
      </c>
      <c r="AE250">
        <v>28</v>
      </c>
      <c r="AF250">
        <v>1109</v>
      </c>
      <c r="AG250">
        <v>11009</v>
      </c>
    </row>
    <row r="251" spans="28:33" x14ac:dyDescent="0.25">
      <c r="AB251" t="s">
        <v>54</v>
      </c>
      <c r="AC251">
        <v>100000</v>
      </c>
      <c r="AD251" t="s">
        <v>99</v>
      </c>
      <c r="AE251">
        <v>75</v>
      </c>
      <c r="AF251">
        <v>1110</v>
      </c>
      <c r="AG251">
        <v>11010</v>
      </c>
    </row>
    <row r="252" spans="28:33" x14ac:dyDescent="0.25">
      <c r="AB252" t="s">
        <v>54</v>
      </c>
      <c r="AC252">
        <v>75000</v>
      </c>
      <c r="AD252" t="s">
        <v>110</v>
      </c>
      <c r="AE252">
        <v>54</v>
      </c>
      <c r="AF252">
        <v>1111</v>
      </c>
      <c r="AG252">
        <v>11011</v>
      </c>
    </row>
    <row r="253" spans="28:33" x14ac:dyDescent="0.25">
      <c r="AB253" t="s">
        <v>54</v>
      </c>
      <c r="AC253">
        <v>150000</v>
      </c>
      <c r="AD253" t="s">
        <v>57</v>
      </c>
      <c r="AE253">
        <v>81</v>
      </c>
      <c r="AF253">
        <v>1112</v>
      </c>
      <c r="AG253">
        <v>11012</v>
      </c>
    </row>
    <row r="254" spans="28:33" x14ac:dyDescent="0.25">
      <c r="AB254" t="s">
        <v>61</v>
      </c>
      <c r="AC254">
        <v>150000</v>
      </c>
      <c r="AD254" t="s">
        <v>85</v>
      </c>
      <c r="AE254">
        <v>43</v>
      </c>
      <c r="AF254">
        <v>1113</v>
      </c>
      <c r="AG254">
        <v>11013</v>
      </c>
    </row>
    <row r="255" spans="28:33" x14ac:dyDescent="0.25">
      <c r="AB255" t="s">
        <v>61</v>
      </c>
      <c r="AC255">
        <v>75000</v>
      </c>
      <c r="AD255" t="s">
        <v>82</v>
      </c>
      <c r="AE255">
        <v>5</v>
      </c>
      <c r="AF255">
        <v>1114</v>
      </c>
      <c r="AG255">
        <v>11014</v>
      </c>
    </row>
    <row r="256" spans="28:33" x14ac:dyDescent="0.25">
      <c r="AB256" t="s">
        <v>61</v>
      </c>
      <c r="AC256">
        <v>100000</v>
      </c>
      <c r="AD256" t="s">
        <v>62</v>
      </c>
      <c r="AE256">
        <v>17</v>
      </c>
      <c r="AF256">
        <v>1115</v>
      </c>
      <c r="AG256">
        <v>11015</v>
      </c>
    </row>
    <row r="257" spans="28:33" x14ac:dyDescent="0.25">
      <c r="AB257" t="s">
        <v>54</v>
      </c>
      <c r="AC257">
        <v>100000</v>
      </c>
      <c r="AD257" t="s">
        <v>99</v>
      </c>
      <c r="AE257">
        <v>75</v>
      </c>
      <c r="AF257">
        <v>1116</v>
      </c>
      <c r="AG257">
        <v>11016</v>
      </c>
    </row>
    <row r="258" spans="28:33" x14ac:dyDescent="0.25">
      <c r="AB258" t="s">
        <v>54</v>
      </c>
      <c r="AC258">
        <v>150000</v>
      </c>
      <c r="AD258" t="s">
        <v>65</v>
      </c>
      <c r="AE258">
        <v>78</v>
      </c>
      <c r="AF258">
        <v>1117</v>
      </c>
      <c r="AG258">
        <v>11017</v>
      </c>
    </row>
    <row r="259" spans="28:33" x14ac:dyDescent="0.25">
      <c r="AB259" t="s">
        <v>54</v>
      </c>
      <c r="AC259">
        <v>75000</v>
      </c>
      <c r="AD259" t="s">
        <v>95</v>
      </c>
      <c r="AE259">
        <v>52</v>
      </c>
      <c r="AF259">
        <v>1118</v>
      </c>
      <c r="AG259">
        <v>11018</v>
      </c>
    </row>
    <row r="260" spans="28:33" x14ac:dyDescent="0.25">
      <c r="AB260" t="s">
        <v>61</v>
      </c>
      <c r="AC260">
        <v>75000</v>
      </c>
      <c r="AD260" t="s">
        <v>65</v>
      </c>
      <c r="AE260">
        <v>3</v>
      </c>
      <c r="AF260">
        <v>1119</v>
      </c>
      <c r="AG260">
        <v>11019</v>
      </c>
    </row>
    <row r="261" spans="28:33" x14ac:dyDescent="0.25">
      <c r="AB261" t="s">
        <v>61</v>
      </c>
      <c r="AC261">
        <v>100000</v>
      </c>
      <c r="AD261" t="s">
        <v>97</v>
      </c>
      <c r="AE261">
        <v>29</v>
      </c>
      <c r="AF261">
        <v>1120</v>
      </c>
      <c r="AG261">
        <v>11020</v>
      </c>
    </row>
    <row r="262" spans="28:33" x14ac:dyDescent="0.25">
      <c r="AB262" t="s">
        <v>61</v>
      </c>
      <c r="AC262">
        <v>150000</v>
      </c>
      <c r="AD262" t="s">
        <v>77</v>
      </c>
      <c r="AE262">
        <v>34</v>
      </c>
      <c r="AF262">
        <v>1121</v>
      </c>
      <c r="AG262">
        <v>11021</v>
      </c>
    </row>
    <row r="263" spans="28:33" x14ac:dyDescent="0.25">
      <c r="AB263" t="s">
        <v>54</v>
      </c>
      <c r="AC263">
        <v>150000</v>
      </c>
      <c r="AD263" t="s">
        <v>97</v>
      </c>
      <c r="AE263">
        <v>89</v>
      </c>
      <c r="AF263">
        <v>1122</v>
      </c>
      <c r="AG263">
        <v>11022</v>
      </c>
    </row>
    <row r="264" spans="28:33" x14ac:dyDescent="0.25">
      <c r="AB264" t="s">
        <v>54</v>
      </c>
      <c r="AC264">
        <v>100000</v>
      </c>
      <c r="AD264" t="s">
        <v>55</v>
      </c>
      <c r="AE264">
        <v>68</v>
      </c>
      <c r="AF264">
        <v>1123</v>
      </c>
      <c r="AG264">
        <v>11023</v>
      </c>
    </row>
    <row r="265" spans="28:33" x14ac:dyDescent="0.25">
      <c r="AB265" t="s">
        <v>54</v>
      </c>
      <c r="AC265">
        <v>75000</v>
      </c>
      <c r="AD265" t="s">
        <v>99</v>
      </c>
      <c r="AE265">
        <v>60</v>
      </c>
      <c r="AF265">
        <v>1124</v>
      </c>
      <c r="AG265">
        <v>11024</v>
      </c>
    </row>
    <row r="266" spans="28:33" x14ac:dyDescent="0.25">
      <c r="AB266" t="s">
        <v>54</v>
      </c>
      <c r="AC266">
        <v>100000</v>
      </c>
      <c r="AD266" t="s">
        <v>59</v>
      </c>
      <c r="AE266">
        <v>70</v>
      </c>
      <c r="AF266">
        <v>1201</v>
      </c>
      <c r="AG266">
        <v>12001</v>
      </c>
    </row>
    <row r="267" spans="28:33" x14ac:dyDescent="0.25">
      <c r="AB267" t="s">
        <v>54</v>
      </c>
      <c r="AC267">
        <v>150000</v>
      </c>
      <c r="AD267" t="s">
        <v>59</v>
      </c>
      <c r="AE267">
        <v>85</v>
      </c>
      <c r="AF267">
        <v>1202</v>
      </c>
      <c r="AG267">
        <v>12002</v>
      </c>
    </row>
    <row r="268" spans="28:33" x14ac:dyDescent="0.25">
      <c r="AB268" t="s">
        <v>54</v>
      </c>
      <c r="AC268">
        <v>75000</v>
      </c>
      <c r="AD268" t="s">
        <v>80</v>
      </c>
      <c r="AE268">
        <v>46</v>
      </c>
      <c r="AF268">
        <v>1203</v>
      </c>
      <c r="AG268">
        <v>12003</v>
      </c>
    </row>
    <row r="269" spans="28:33" x14ac:dyDescent="0.25">
      <c r="AB269" t="s">
        <v>61</v>
      </c>
      <c r="AC269">
        <v>150000</v>
      </c>
      <c r="AD269" t="s">
        <v>65</v>
      </c>
      <c r="AE269">
        <v>33</v>
      </c>
      <c r="AF269">
        <v>1204</v>
      </c>
      <c r="AG269">
        <v>12004</v>
      </c>
    </row>
    <row r="270" spans="28:33" x14ac:dyDescent="0.25">
      <c r="AB270" t="s">
        <v>61</v>
      </c>
      <c r="AC270">
        <v>75000</v>
      </c>
      <c r="AD270" t="s">
        <v>82</v>
      </c>
      <c r="AE270">
        <v>5</v>
      </c>
      <c r="AF270">
        <v>1205</v>
      </c>
      <c r="AG270">
        <v>12005</v>
      </c>
    </row>
    <row r="271" spans="28:33" x14ac:dyDescent="0.25">
      <c r="AB271" t="s">
        <v>61</v>
      </c>
      <c r="AC271">
        <v>100000</v>
      </c>
      <c r="AD271" t="s">
        <v>73</v>
      </c>
      <c r="AE271">
        <v>27</v>
      </c>
      <c r="AF271">
        <v>1206</v>
      </c>
      <c r="AG271">
        <v>12006</v>
      </c>
    </row>
    <row r="272" spans="28:33" x14ac:dyDescent="0.25">
      <c r="AB272" t="s">
        <v>61</v>
      </c>
      <c r="AC272">
        <v>75000</v>
      </c>
      <c r="AD272" t="s">
        <v>77</v>
      </c>
      <c r="AE272">
        <v>4</v>
      </c>
      <c r="AF272">
        <v>1207</v>
      </c>
      <c r="AG272">
        <v>12007</v>
      </c>
    </row>
    <row r="273" spans="28:33" x14ac:dyDescent="0.25">
      <c r="AB273" t="s">
        <v>61</v>
      </c>
      <c r="AC273">
        <v>150000</v>
      </c>
      <c r="AD273" t="s">
        <v>57</v>
      </c>
      <c r="AE273">
        <v>36</v>
      </c>
      <c r="AF273">
        <v>1208</v>
      </c>
      <c r="AG273">
        <v>12008</v>
      </c>
    </row>
    <row r="274" spans="28:33" x14ac:dyDescent="0.25">
      <c r="AB274" t="s">
        <v>61</v>
      </c>
      <c r="AC274">
        <v>100000</v>
      </c>
      <c r="AD274" t="s">
        <v>55</v>
      </c>
      <c r="AE274">
        <v>23</v>
      </c>
      <c r="AF274">
        <v>1209</v>
      </c>
      <c r="AG274">
        <v>12009</v>
      </c>
    </row>
    <row r="275" spans="28:33" x14ac:dyDescent="0.25">
      <c r="AB275" t="s">
        <v>54</v>
      </c>
      <c r="AC275">
        <v>100000</v>
      </c>
      <c r="AD275" t="s">
        <v>71</v>
      </c>
      <c r="AE275">
        <v>71</v>
      </c>
      <c r="AF275">
        <v>1210</v>
      </c>
      <c r="AG275">
        <v>12010</v>
      </c>
    </row>
    <row r="276" spans="28:33" x14ac:dyDescent="0.25">
      <c r="AB276" t="s">
        <v>54</v>
      </c>
      <c r="AC276">
        <v>75000</v>
      </c>
      <c r="AD276" t="s">
        <v>85</v>
      </c>
      <c r="AE276">
        <v>58</v>
      </c>
      <c r="AF276">
        <v>1211</v>
      </c>
      <c r="AG276">
        <v>12011</v>
      </c>
    </row>
    <row r="277" spans="28:33" x14ac:dyDescent="0.25">
      <c r="AB277" t="s">
        <v>54</v>
      </c>
      <c r="AC277">
        <v>150000</v>
      </c>
      <c r="AD277" t="s">
        <v>59</v>
      </c>
      <c r="AE277">
        <v>85</v>
      </c>
      <c r="AF277">
        <v>1212</v>
      </c>
      <c r="AG277">
        <v>12012</v>
      </c>
    </row>
    <row r="278" spans="28:33" x14ac:dyDescent="0.25">
      <c r="AB278" t="s">
        <v>61</v>
      </c>
      <c r="AC278">
        <v>150000</v>
      </c>
      <c r="AD278" t="s">
        <v>55</v>
      </c>
      <c r="AE278">
        <v>38</v>
      </c>
      <c r="AF278">
        <v>1213</v>
      </c>
      <c r="AG278">
        <v>12013</v>
      </c>
    </row>
    <row r="279" spans="28:33" x14ac:dyDescent="0.25">
      <c r="AB279" t="s">
        <v>61</v>
      </c>
      <c r="AC279">
        <v>75000</v>
      </c>
      <c r="AD279" t="s">
        <v>77</v>
      </c>
      <c r="AE279">
        <v>4</v>
      </c>
      <c r="AF279">
        <v>1214</v>
      </c>
      <c r="AG279">
        <v>12014</v>
      </c>
    </row>
    <row r="280" spans="28:33" x14ac:dyDescent="0.25">
      <c r="AB280" t="s">
        <v>61</v>
      </c>
      <c r="AC280">
        <v>100000</v>
      </c>
      <c r="AD280" t="s">
        <v>57</v>
      </c>
      <c r="AE280">
        <v>21</v>
      </c>
      <c r="AF280">
        <v>1215</v>
      </c>
      <c r="AG280">
        <v>12015</v>
      </c>
    </row>
    <row r="281" spans="28:33" x14ac:dyDescent="0.25">
      <c r="AB281" t="s">
        <v>54</v>
      </c>
      <c r="AC281">
        <v>100000</v>
      </c>
      <c r="AD281" t="s">
        <v>97</v>
      </c>
      <c r="AE281">
        <v>74</v>
      </c>
      <c r="AF281">
        <v>1216</v>
      </c>
      <c r="AG281">
        <v>12016</v>
      </c>
    </row>
    <row r="282" spans="28:33" x14ac:dyDescent="0.25">
      <c r="AB282" t="s">
        <v>54</v>
      </c>
      <c r="AC282">
        <v>150000</v>
      </c>
      <c r="AD282" t="s">
        <v>57</v>
      </c>
      <c r="AE282">
        <v>81</v>
      </c>
      <c r="AF282">
        <v>1217</v>
      </c>
      <c r="AG282">
        <v>12017</v>
      </c>
    </row>
    <row r="283" spans="28:33" x14ac:dyDescent="0.25">
      <c r="AB283" t="s">
        <v>54</v>
      </c>
      <c r="AC283">
        <v>75000</v>
      </c>
      <c r="AD283" t="s">
        <v>73</v>
      </c>
      <c r="AE283">
        <v>57</v>
      </c>
      <c r="AF283">
        <v>1218</v>
      </c>
      <c r="AG283">
        <v>12018</v>
      </c>
    </row>
    <row r="284" spans="28:33" x14ac:dyDescent="0.25">
      <c r="AB284" t="s">
        <v>61</v>
      </c>
      <c r="AC284">
        <v>75000</v>
      </c>
      <c r="AD284" t="s">
        <v>99</v>
      </c>
      <c r="AE284">
        <v>15</v>
      </c>
      <c r="AF284">
        <v>1219</v>
      </c>
      <c r="AG284">
        <v>12019</v>
      </c>
    </row>
    <row r="285" spans="28:33" x14ac:dyDescent="0.25">
      <c r="AB285" t="s">
        <v>61</v>
      </c>
      <c r="AC285">
        <v>100000</v>
      </c>
      <c r="AD285" t="s">
        <v>73</v>
      </c>
      <c r="AE285">
        <v>27</v>
      </c>
      <c r="AF285">
        <v>1220</v>
      </c>
      <c r="AG285">
        <v>12020</v>
      </c>
    </row>
    <row r="286" spans="28:33" x14ac:dyDescent="0.25">
      <c r="AB286" t="s">
        <v>61</v>
      </c>
      <c r="AC286">
        <v>150000</v>
      </c>
      <c r="AD286" t="s">
        <v>110</v>
      </c>
      <c r="AE286">
        <v>39</v>
      </c>
      <c r="AF286">
        <v>1221</v>
      </c>
      <c r="AG286">
        <v>12021</v>
      </c>
    </row>
    <row r="287" spans="28:33" x14ac:dyDescent="0.25">
      <c r="AB287" t="s">
        <v>54</v>
      </c>
      <c r="AC287">
        <v>150000</v>
      </c>
      <c r="AD287" t="s">
        <v>110</v>
      </c>
      <c r="AE287">
        <v>84</v>
      </c>
      <c r="AF287">
        <v>1222</v>
      </c>
      <c r="AG287">
        <v>12022</v>
      </c>
    </row>
    <row r="288" spans="28:33" x14ac:dyDescent="0.25">
      <c r="AB288" t="s">
        <v>54</v>
      </c>
      <c r="AC288">
        <v>100000</v>
      </c>
      <c r="AD288" t="s">
        <v>62</v>
      </c>
      <c r="AE288">
        <v>62</v>
      </c>
      <c r="AF288">
        <v>1223</v>
      </c>
      <c r="AG288">
        <v>12023</v>
      </c>
    </row>
    <row r="289" spans="28:33" x14ac:dyDescent="0.25">
      <c r="AB289" t="s">
        <v>54</v>
      </c>
      <c r="AC289">
        <v>75000</v>
      </c>
      <c r="AD289" t="s">
        <v>57</v>
      </c>
      <c r="AE289">
        <v>51</v>
      </c>
      <c r="AF289">
        <v>1224</v>
      </c>
      <c r="AG289">
        <v>12024</v>
      </c>
    </row>
    <row r="290" spans="28:33" x14ac:dyDescent="0.25">
      <c r="AB290" t="s">
        <v>54</v>
      </c>
      <c r="AC290">
        <v>100000</v>
      </c>
      <c r="AD290" t="s">
        <v>95</v>
      </c>
      <c r="AE290">
        <v>67</v>
      </c>
      <c r="AF290">
        <v>1301</v>
      </c>
      <c r="AG290">
        <v>13001</v>
      </c>
    </row>
    <row r="291" spans="28:33" x14ac:dyDescent="0.25">
      <c r="AB291" t="s">
        <v>54</v>
      </c>
      <c r="AC291">
        <v>150000</v>
      </c>
      <c r="AD291" t="s">
        <v>71</v>
      </c>
      <c r="AE291">
        <v>86</v>
      </c>
      <c r="AF291">
        <v>1302</v>
      </c>
      <c r="AG291">
        <v>13002</v>
      </c>
    </row>
    <row r="292" spans="28:33" x14ac:dyDescent="0.25">
      <c r="AB292" t="s">
        <v>54</v>
      </c>
      <c r="AC292">
        <v>75000</v>
      </c>
      <c r="AD292" t="s">
        <v>65</v>
      </c>
      <c r="AE292">
        <v>48</v>
      </c>
      <c r="AF292">
        <v>1303</v>
      </c>
      <c r="AG292">
        <v>13003</v>
      </c>
    </row>
    <row r="293" spans="28:33" x14ac:dyDescent="0.25">
      <c r="AB293" t="s">
        <v>61</v>
      </c>
      <c r="AC293">
        <v>150000</v>
      </c>
      <c r="AD293" t="s">
        <v>71</v>
      </c>
      <c r="AE293">
        <v>41</v>
      </c>
      <c r="AF293">
        <v>1304</v>
      </c>
      <c r="AG293">
        <v>13004</v>
      </c>
    </row>
    <row r="294" spans="28:33" x14ac:dyDescent="0.25">
      <c r="AB294" t="s">
        <v>61</v>
      </c>
      <c r="AC294">
        <v>75000</v>
      </c>
      <c r="AD294" t="s">
        <v>77</v>
      </c>
      <c r="AE294">
        <v>4</v>
      </c>
      <c r="AF294">
        <v>1305</v>
      </c>
      <c r="AG294">
        <v>13005</v>
      </c>
    </row>
    <row r="295" spans="28:33" x14ac:dyDescent="0.25">
      <c r="AB295" t="s">
        <v>61</v>
      </c>
      <c r="AC295">
        <v>100000</v>
      </c>
      <c r="AD295" t="s">
        <v>85</v>
      </c>
      <c r="AE295">
        <v>28</v>
      </c>
      <c r="AF295">
        <v>1306</v>
      </c>
      <c r="AG295">
        <v>13006</v>
      </c>
    </row>
    <row r="296" spans="28:33" x14ac:dyDescent="0.25">
      <c r="AB296" t="s">
        <v>61</v>
      </c>
      <c r="AC296">
        <v>75000</v>
      </c>
      <c r="AD296" t="s">
        <v>73</v>
      </c>
      <c r="AE296">
        <v>12</v>
      </c>
      <c r="AF296">
        <v>1307</v>
      </c>
      <c r="AG296">
        <v>13007</v>
      </c>
    </row>
    <row r="297" spans="28:33" x14ac:dyDescent="0.25">
      <c r="AB297" t="s">
        <v>61</v>
      </c>
      <c r="AC297">
        <v>150000</v>
      </c>
      <c r="AD297" t="s">
        <v>65</v>
      </c>
      <c r="AE297">
        <v>33</v>
      </c>
      <c r="AF297">
        <v>1308</v>
      </c>
      <c r="AG297">
        <v>13008</v>
      </c>
    </row>
    <row r="298" spans="28:33" x14ac:dyDescent="0.25">
      <c r="AB298" t="s">
        <v>61</v>
      </c>
      <c r="AC298">
        <v>100000</v>
      </c>
      <c r="AD298" t="s">
        <v>99</v>
      </c>
      <c r="AE298">
        <v>30</v>
      </c>
      <c r="AF298">
        <v>1309</v>
      </c>
      <c r="AG298">
        <v>13009</v>
      </c>
    </row>
    <row r="299" spans="28:33" x14ac:dyDescent="0.25">
      <c r="AB299" t="s">
        <v>54</v>
      </c>
      <c r="AC299">
        <v>100000</v>
      </c>
      <c r="AD299" t="s">
        <v>82</v>
      </c>
      <c r="AE299">
        <v>65</v>
      </c>
      <c r="AF299">
        <v>1310</v>
      </c>
      <c r="AG299">
        <v>13010</v>
      </c>
    </row>
    <row r="300" spans="28:33" x14ac:dyDescent="0.25">
      <c r="AB300" t="s">
        <v>54</v>
      </c>
      <c r="AC300">
        <v>75000</v>
      </c>
      <c r="AD300" t="s">
        <v>65</v>
      </c>
      <c r="AE300">
        <v>48</v>
      </c>
      <c r="AF300">
        <v>1311</v>
      </c>
      <c r="AG300">
        <v>13011</v>
      </c>
    </row>
    <row r="301" spans="28:33" x14ac:dyDescent="0.25">
      <c r="AB301" t="s">
        <v>54</v>
      </c>
      <c r="AC301">
        <v>150000</v>
      </c>
      <c r="AD301" t="s">
        <v>80</v>
      </c>
      <c r="AE301">
        <v>76</v>
      </c>
      <c r="AF301">
        <v>1312</v>
      </c>
      <c r="AG301">
        <v>13012</v>
      </c>
    </row>
    <row r="302" spans="28:33" x14ac:dyDescent="0.25">
      <c r="AB302" t="s">
        <v>61</v>
      </c>
      <c r="AC302">
        <v>150000</v>
      </c>
      <c r="AD302" t="s">
        <v>57</v>
      </c>
      <c r="AE302">
        <v>36</v>
      </c>
      <c r="AF302">
        <v>1313</v>
      </c>
      <c r="AG302">
        <v>13013</v>
      </c>
    </row>
    <row r="303" spans="28:33" x14ac:dyDescent="0.25">
      <c r="AB303" t="s">
        <v>61</v>
      </c>
      <c r="AC303">
        <v>75000</v>
      </c>
      <c r="AD303" t="s">
        <v>57</v>
      </c>
      <c r="AE303">
        <v>6</v>
      </c>
      <c r="AF303">
        <v>1314</v>
      </c>
      <c r="AG303">
        <v>13014</v>
      </c>
    </row>
    <row r="304" spans="28:33" x14ac:dyDescent="0.25">
      <c r="AB304" t="s">
        <v>61</v>
      </c>
      <c r="AC304">
        <v>100000</v>
      </c>
      <c r="AD304" t="s">
        <v>71</v>
      </c>
      <c r="AE304">
        <v>26</v>
      </c>
      <c r="AF304">
        <v>1315</v>
      </c>
      <c r="AG304">
        <v>13015</v>
      </c>
    </row>
    <row r="305" spans="28:33" x14ac:dyDescent="0.25">
      <c r="AB305" t="s">
        <v>54</v>
      </c>
      <c r="AC305">
        <v>100000</v>
      </c>
      <c r="AD305" t="s">
        <v>95</v>
      </c>
      <c r="AE305">
        <v>67</v>
      </c>
      <c r="AF305">
        <v>1316</v>
      </c>
      <c r="AG305">
        <v>13016</v>
      </c>
    </row>
    <row r="306" spans="28:33" x14ac:dyDescent="0.25">
      <c r="AB306" t="s">
        <v>54</v>
      </c>
      <c r="AC306">
        <v>150000</v>
      </c>
      <c r="AD306" t="s">
        <v>59</v>
      </c>
      <c r="AE306">
        <v>85</v>
      </c>
      <c r="AF306">
        <v>1317</v>
      </c>
      <c r="AG306">
        <v>13017</v>
      </c>
    </row>
    <row r="307" spans="28:33" x14ac:dyDescent="0.25">
      <c r="AB307" t="s">
        <v>54</v>
      </c>
      <c r="AC307">
        <v>75000</v>
      </c>
      <c r="AD307" t="s">
        <v>57</v>
      </c>
      <c r="AE307">
        <v>51</v>
      </c>
      <c r="AF307">
        <v>1318</v>
      </c>
      <c r="AG307">
        <v>13018</v>
      </c>
    </row>
    <row r="308" spans="28:33" x14ac:dyDescent="0.25">
      <c r="AB308" t="s">
        <v>61</v>
      </c>
      <c r="AC308">
        <v>75000</v>
      </c>
      <c r="AD308" t="s">
        <v>97</v>
      </c>
      <c r="AE308">
        <v>14</v>
      </c>
      <c r="AF308">
        <v>1319</v>
      </c>
      <c r="AG308">
        <v>13019</v>
      </c>
    </row>
    <row r="309" spans="28:33" x14ac:dyDescent="0.25">
      <c r="AB309" t="s">
        <v>61</v>
      </c>
      <c r="AC309">
        <v>100000</v>
      </c>
      <c r="AD309" t="s">
        <v>82</v>
      </c>
      <c r="AE309">
        <v>20</v>
      </c>
      <c r="AF309">
        <v>1320</v>
      </c>
      <c r="AG309">
        <v>13020</v>
      </c>
    </row>
    <row r="310" spans="28:33" x14ac:dyDescent="0.25">
      <c r="AB310" t="s">
        <v>61</v>
      </c>
      <c r="AC310">
        <v>150000</v>
      </c>
      <c r="AD310" t="s">
        <v>80</v>
      </c>
      <c r="AE310">
        <v>31</v>
      </c>
      <c r="AF310">
        <v>1321</v>
      </c>
      <c r="AG310">
        <v>13021</v>
      </c>
    </row>
    <row r="311" spans="28:33" x14ac:dyDescent="0.25">
      <c r="AB311" t="s">
        <v>54</v>
      </c>
      <c r="AC311">
        <v>150000</v>
      </c>
      <c r="AD311" t="s">
        <v>65</v>
      </c>
      <c r="AE311">
        <v>78</v>
      </c>
      <c r="AF311">
        <v>1322</v>
      </c>
      <c r="AG311">
        <v>13022</v>
      </c>
    </row>
    <row r="312" spans="28:33" x14ac:dyDescent="0.25">
      <c r="AB312" t="s">
        <v>54</v>
      </c>
      <c r="AC312">
        <v>100000</v>
      </c>
      <c r="AD312" t="s">
        <v>110</v>
      </c>
      <c r="AE312">
        <v>69</v>
      </c>
      <c r="AF312">
        <v>1323</v>
      </c>
      <c r="AG312">
        <v>13023</v>
      </c>
    </row>
    <row r="313" spans="28:33" x14ac:dyDescent="0.25">
      <c r="AB313" t="s">
        <v>54</v>
      </c>
      <c r="AC313">
        <v>75000</v>
      </c>
      <c r="AD313" t="s">
        <v>97</v>
      </c>
      <c r="AE313">
        <v>59</v>
      </c>
      <c r="AF313">
        <v>1324</v>
      </c>
      <c r="AG313">
        <v>13024</v>
      </c>
    </row>
    <row r="314" spans="28:33" x14ac:dyDescent="0.25">
      <c r="AB314" t="s">
        <v>54</v>
      </c>
      <c r="AC314">
        <v>100000</v>
      </c>
      <c r="AD314" t="s">
        <v>110</v>
      </c>
      <c r="AE314">
        <v>69</v>
      </c>
      <c r="AF314">
        <v>1401</v>
      </c>
      <c r="AG314">
        <v>14001</v>
      </c>
    </row>
    <row r="315" spans="28:33" x14ac:dyDescent="0.25">
      <c r="AB315" t="s">
        <v>54</v>
      </c>
      <c r="AC315">
        <v>150000</v>
      </c>
      <c r="AD315" t="s">
        <v>110</v>
      </c>
      <c r="AE315">
        <v>84</v>
      </c>
      <c r="AF315">
        <v>1402</v>
      </c>
      <c r="AG315">
        <v>14002</v>
      </c>
    </row>
    <row r="316" spans="28:33" x14ac:dyDescent="0.25">
      <c r="AB316" t="s">
        <v>54</v>
      </c>
      <c r="AC316">
        <v>75000</v>
      </c>
      <c r="AD316" t="s">
        <v>95</v>
      </c>
      <c r="AE316">
        <v>52</v>
      </c>
      <c r="AF316">
        <v>1403</v>
      </c>
      <c r="AG316">
        <v>14003</v>
      </c>
    </row>
    <row r="317" spans="28:33" x14ac:dyDescent="0.25">
      <c r="AB317" t="s">
        <v>61</v>
      </c>
      <c r="AC317">
        <v>150000</v>
      </c>
      <c r="AD317" t="s">
        <v>99</v>
      </c>
      <c r="AE317">
        <v>45</v>
      </c>
      <c r="AF317">
        <v>1404</v>
      </c>
      <c r="AG317">
        <v>14004</v>
      </c>
    </row>
    <row r="318" spans="28:33" x14ac:dyDescent="0.25">
      <c r="AB318" t="s">
        <v>61</v>
      </c>
      <c r="AC318">
        <v>75000</v>
      </c>
      <c r="AD318" t="s">
        <v>97</v>
      </c>
      <c r="AE318">
        <v>14</v>
      </c>
      <c r="AF318">
        <v>1405</v>
      </c>
      <c r="AG318">
        <v>14005</v>
      </c>
    </row>
    <row r="319" spans="28:33" x14ac:dyDescent="0.25">
      <c r="AB319" t="s">
        <v>61</v>
      </c>
      <c r="AC319">
        <v>100000</v>
      </c>
      <c r="AD319" t="s">
        <v>110</v>
      </c>
      <c r="AE319">
        <v>24</v>
      </c>
      <c r="AF319">
        <v>1406</v>
      </c>
      <c r="AG319">
        <v>14006</v>
      </c>
    </row>
    <row r="320" spans="28:33" x14ac:dyDescent="0.25">
      <c r="AB320" t="s">
        <v>61</v>
      </c>
      <c r="AC320">
        <v>75000</v>
      </c>
      <c r="AD320" t="s">
        <v>71</v>
      </c>
      <c r="AE320">
        <v>11</v>
      </c>
      <c r="AF320">
        <v>1407</v>
      </c>
      <c r="AG320">
        <v>14007</v>
      </c>
    </row>
    <row r="321" spans="28:33" x14ac:dyDescent="0.25">
      <c r="AB321" t="s">
        <v>61</v>
      </c>
      <c r="AC321">
        <v>150000</v>
      </c>
      <c r="AD321" t="s">
        <v>71</v>
      </c>
      <c r="AE321">
        <v>41</v>
      </c>
      <c r="AF321">
        <v>1408</v>
      </c>
      <c r="AG321">
        <v>14008</v>
      </c>
    </row>
    <row r="322" spans="28:33" x14ac:dyDescent="0.25">
      <c r="AB322" t="s">
        <v>61</v>
      </c>
      <c r="AC322">
        <v>100000</v>
      </c>
      <c r="AD322" t="s">
        <v>82</v>
      </c>
      <c r="AE322">
        <v>20</v>
      </c>
      <c r="AF322">
        <v>1409</v>
      </c>
      <c r="AG322">
        <v>14009</v>
      </c>
    </row>
    <row r="323" spans="28:33" x14ac:dyDescent="0.25">
      <c r="AB323" t="s">
        <v>54</v>
      </c>
      <c r="AC323">
        <v>100000</v>
      </c>
      <c r="AD323" t="s">
        <v>55</v>
      </c>
      <c r="AE323">
        <v>68</v>
      </c>
      <c r="AF323">
        <v>1410</v>
      </c>
      <c r="AG323">
        <v>14010</v>
      </c>
    </row>
    <row r="324" spans="28:33" x14ac:dyDescent="0.25">
      <c r="AB324" t="s">
        <v>54</v>
      </c>
      <c r="AC324">
        <v>75000</v>
      </c>
      <c r="AD324" t="s">
        <v>80</v>
      </c>
      <c r="AE324">
        <v>46</v>
      </c>
      <c r="AF324">
        <v>1411</v>
      </c>
      <c r="AG324">
        <v>14011</v>
      </c>
    </row>
    <row r="325" spans="28:33" x14ac:dyDescent="0.25">
      <c r="AB325" t="s">
        <v>54</v>
      </c>
      <c r="AC325">
        <v>150000</v>
      </c>
      <c r="AD325" t="s">
        <v>65</v>
      </c>
      <c r="AE325">
        <v>78</v>
      </c>
      <c r="AF325">
        <v>1412</v>
      </c>
      <c r="AG325">
        <v>14012</v>
      </c>
    </row>
    <row r="326" spans="28:33" x14ac:dyDescent="0.25">
      <c r="AB326" t="s">
        <v>61</v>
      </c>
      <c r="AC326">
        <v>150000</v>
      </c>
      <c r="AD326" t="s">
        <v>82</v>
      </c>
      <c r="AE326">
        <v>35</v>
      </c>
      <c r="AF326">
        <v>1413</v>
      </c>
      <c r="AG326">
        <v>14013</v>
      </c>
    </row>
    <row r="327" spans="28:33" x14ac:dyDescent="0.25">
      <c r="AB327" t="s">
        <v>61</v>
      </c>
      <c r="AC327">
        <v>75000</v>
      </c>
      <c r="AD327" t="s">
        <v>65</v>
      </c>
      <c r="AE327">
        <v>3</v>
      </c>
      <c r="AF327">
        <v>1414</v>
      </c>
      <c r="AG327">
        <v>14014</v>
      </c>
    </row>
    <row r="328" spans="28:33" x14ac:dyDescent="0.25">
      <c r="AB328" t="s">
        <v>61</v>
      </c>
      <c r="AC328">
        <v>100000</v>
      </c>
      <c r="AD328" t="s">
        <v>97</v>
      </c>
      <c r="AE328">
        <v>29</v>
      </c>
      <c r="AF328">
        <v>1415</v>
      </c>
      <c r="AG328">
        <v>14015</v>
      </c>
    </row>
    <row r="329" spans="28:33" x14ac:dyDescent="0.25">
      <c r="AB329" t="s">
        <v>54</v>
      </c>
      <c r="AC329">
        <v>100000</v>
      </c>
      <c r="AD329" t="s">
        <v>85</v>
      </c>
      <c r="AE329">
        <v>73</v>
      </c>
      <c r="AF329">
        <v>1416</v>
      </c>
      <c r="AG329">
        <v>14016</v>
      </c>
    </row>
    <row r="330" spans="28:33" x14ac:dyDescent="0.25">
      <c r="AB330" t="s">
        <v>54</v>
      </c>
      <c r="AC330">
        <v>150000</v>
      </c>
      <c r="AD330" t="s">
        <v>85</v>
      </c>
      <c r="AE330">
        <v>88</v>
      </c>
      <c r="AF330">
        <v>1417</v>
      </c>
      <c r="AG330">
        <v>14017</v>
      </c>
    </row>
    <row r="331" spans="28:33" x14ac:dyDescent="0.25">
      <c r="AB331" t="s">
        <v>54</v>
      </c>
      <c r="AC331">
        <v>75000</v>
      </c>
      <c r="AD331" t="s">
        <v>62</v>
      </c>
      <c r="AE331">
        <v>47</v>
      </c>
      <c r="AF331">
        <v>1418</v>
      </c>
      <c r="AG331">
        <v>14018</v>
      </c>
    </row>
    <row r="332" spans="28:33" x14ac:dyDescent="0.25">
      <c r="AB332" t="s">
        <v>61</v>
      </c>
      <c r="AC332">
        <v>75000</v>
      </c>
      <c r="AD332" t="s">
        <v>110</v>
      </c>
      <c r="AE332">
        <v>9</v>
      </c>
      <c r="AF332">
        <v>1419</v>
      </c>
      <c r="AG332">
        <v>14019</v>
      </c>
    </row>
    <row r="333" spans="28:33" x14ac:dyDescent="0.25">
      <c r="AB333" t="s">
        <v>61</v>
      </c>
      <c r="AC333">
        <v>100000</v>
      </c>
      <c r="AD333" t="s">
        <v>59</v>
      </c>
      <c r="AE333">
        <v>25</v>
      </c>
      <c r="AF333">
        <v>1420</v>
      </c>
      <c r="AG333">
        <v>14020</v>
      </c>
    </row>
    <row r="334" spans="28:33" x14ac:dyDescent="0.25">
      <c r="AB334" t="s">
        <v>61</v>
      </c>
      <c r="AC334">
        <v>150000</v>
      </c>
      <c r="AD334" t="s">
        <v>57</v>
      </c>
      <c r="AE334">
        <v>36</v>
      </c>
      <c r="AF334">
        <v>1421</v>
      </c>
      <c r="AG334">
        <v>14021</v>
      </c>
    </row>
    <row r="335" spans="28:33" x14ac:dyDescent="0.25">
      <c r="AB335" t="s">
        <v>54</v>
      </c>
      <c r="AC335">
        <v>150000</v>
      </c>
      <c r="AD335" t="s">
        <v>71</v>
      </c>
      <c r="AE335">
        <v>86</v>
      </c>
      <c r="AF335">
        <v>1422</v>
      </c>
      <c r="AG335">
        <v>14022</v>
      </c>
    </row>
    <row r="336" spans="28:33" x14ac:dyDescent="0.25">
      <c r="AB336" t="s">
        <v>54</v>
      </c>
      <c r="AC336">
        <v>100000</v>
      </c>
      <c r="AD336" t="s">
        <v>85</v>
      </c>
      <c r="AE336">
        <v>73</v>
      </c>
      <c r="AF336">
        <v>1423</v>
      </c>
      <c r="AG336">
        <v>14023</v>
      </c>
    </row>
    <row r="337" spans="28:33" x14ac:dyDescent="0.25">
      <c r="AB337" t="s">
        <v>54</v>
      </c>
      <c r="AC337">
        <v>75000</v>
      </c>
      <c r="AD337" t="s">
        <v>55</v>
      </c>
      <c r="AE337">
        <v>53</v>
      </c>
      <c r="AF337">
        <v>1424</v>
      </c>
      <c r="AG337">
        <v>14024</v>
      </c>
    </row>
    <row r="338" spans="28:33" x14ac:dyDescent="0.25">
      <c r="AB338" t="s">
        <v>54</v>
      </c>
      <c r="AC338">
        <v>100000</v>
      </c>
      <c r="AD338" t="s">
        <v>65</v>
      </c>
      <c r="AE338">
        <v>63</v>
      </c>
      <c r="AF338">
        <v>1501</v>
      </c>
      <c r="AG338">
        <v>15001</v>
      </c>
    </row>
    <row r="339" spans="28:33" x14ac:dyDescent="0.25">
      <c r="AB339" t="s">
        <v>54</v>
      </c>
      <c r="AC339">
        <v>150000</v>
      </c>
      <c r="AD339" t="s">
        <v>73</v>
      </c>
      <c r="AE339">
        <v>87</v>
      </c>
      <c r="AF339">
        <v>1502</v>
      </c>
      <c r="AG339">
        <v>15002</v>
      </c>
    </row>
    <row r="340" spans="28:33" x14ac:dyDescent="0.25">
      <c r="AB340" t="s">
        <v>54</v>
      </c>
      <c r="AC340">
        <v>75000</v>
      </c>
      <c r="AD340" t="s">
        <v>55</v>
      </c>
      <c r="AE340">
        <v>53</v>
      </c>
      <c r="AF340">
        <v>1503</v>
      </c>
      <c r="AG340">
        <v>15003</v>
      </c>
    </row>
    <row r="341" spans="28:33" x14ac:dyDescent="0.25">
      <c r="AB341" t="s">
        <v>61</v>
      </c>
      <c r="AC341">
        <v>150000</v>
      </c>
      <c r="AD341" t="s">
        <v>55</v>
      </c>
      <c r="AE341">
        <v>38</v>
      </c>
      <c r="AF341">
        <v>1504</v>
      </c>
      <c r="AG341">
        <v>15004</v>
      </c>
    </row>
    <row r="342" spans="28:33" x14ac:dyDescent="0.25">
      <c r="AB342" t="s">
        <v>61</v>
      </c>
      <c r="AC342">
        <v>75000</v>
      </c>
      <c r="AD342" t="s">
        <v>59</v>
      </c>
      <c r="AE342">
        <v>10</v>
      </c>
      <c r="AF342">
        <v>1505</v>
      </c>
      <c r="AG342">
        <v>15005</v>
      </c>
    </row>
    <row r="343" spans="28:33" x14ac:dyDescent="0.25">
      <c r="AB343" t="s">
        <v>61</v>
      </c>
      <c r="AC343">
        <v>100000</v>
      </c>
      <c r="AD343" t="s">
        <v>55</v>
      </c>
      <c r="AE343">
        <v>23</v>
      </c>
      <c r="AF343">
        <v>1506</v>
      </c>
      <c r="AG343">
        <v>15006</v>
      </c>
    </row>
    <row r="344" spans="28:33" x14ac:dyDescent="0.25">
      <c r="AB344" t="s">
        <v>61</v>
      </c>
      <c r="AC344">
        <v>75000</v>
      </c>
      <c r="AD344" t="s">
        <v>65</v>
      </c>
      <c r="AE344">
        <v>3</v>
      </c>
      <c r="AF344">
        <v>1507</v>
      </c>
      <c r="AG344">
        <v>15007</v>
      </c>
    </row>
    <row r="345" spans="28:33" x14ac:dyDescent="0.25">
      <c r="AB345" t="s">
        <v>61</v>
      </c>
      <c r="AC345">
        <v>150000</v>
      </c>
      <c r="AD345" t="s">
        <v>97</v>
      </c>
      <c r="AE345">
        <v>44</v>
      </c>
      <c r="AF345">
        <v>1508</v>
      </c>
      <c r="AG345">
        <v>15008</v>
      </c>
    </row>
    <row r="346" spans="28:33" x14ac:dyDescent="0.25">
      <c r="AB346" t="s">
        <v>61</v>
      </c>
      <c r="AC346">
        <v>100000</v>
      </c>
      <c r="AD346" t="s">
        <v>110</v>
      </c>
      <c r="AE346">
        <v>24</v>
      </c>
      <c r="AF346">
        <v>1509</v>
      </c>
      <c r="AG346">
        <v>15009</v>
      </c>
    </row>
    <row r="347" spans="28:33" x14ac:dyDescent="0.25">
      <c r="AB347" t="s">
        <v>54</v>
      </c>
      <c r="AC347">
        <v>100000</v>
      </c>
      <c r="AD347" t="s">
        <v>57</v>
      </c>
      <c r="AE347">
        <v>66</v>
      </c>
      <c r="AF347">
        <v>1510</v>
      </c>
      <c r="AG347">
        <v>15010</v>
      </c>
    </row>
    <row r="348" spans="28:33" x14ac:dyDescent="0.25">
      <c r="AB348" t="s">
        <v>54</v>
      </c>
      <c r="AC348">
        <v>75000</v>
      </c>
      <c r="AD348" t="s">
        <v>97</v>
      </c>
      <c r="AE348">
        <v>59</v>
      </c>
      <c r="AF348">
        <v>1511</v>
      </c>
      <c r="AG348">
        <v>15011</v>
      </c>
    </row>
    <row r="349" spans="28:33" x14ac:dyDescent="0.25">
      <c r="AB349" t="s">
        <v>54</v>
      </c>
      <c r="AC349">
        <v>150000</v>
      </c>
      <c r="AD349" t="s">
        <v>95</v>
      </c>
      <c r="AE349">
        <v>82</v>
      </c>
      <c r="AF349">
        <v>1512</v>
      </c>
      <c r="AG349">
        <v>15012</v>
      </c>
    </row>
    <row r="350" spans="28:33" x14ac:dyDescent="0.25">
      <c r="AB350" t="s">
        <v>61</v>
      </c>
      <c r="AC350">
        <v>150000</v>
      </c>
      <c r="AD350" t="s">
        <v>97</v>
      </c>
      <c r="AE350">
        <v>44</v>
      </c>
      <c r="AF350">
        <v>1513</v>
      </c>
      <c r="AG350">
        <v>15013</v>
      </c>
    </row>
    <row r="351" spans="28:33" x14ac:dyDescent="0.25">
      <c r="AB351" t="s">
        <v>61</v>
      </c>
      <c r="AC351">
        <v>75000</v>
      </c>
      <c r="AD351" t="s">
        <v>80</v>
      </c>
      <c r="AE351">
        <v>1</v>
      </c>
      <c r="AF351">
        <v>1514</v>
      </c>
      <c r="AG351">
        <v>15014</v>
      </c>
    </row>
    <row r="352" spans="28:33" x14ac:dyDescent="0.25">
      <c r="AB352" t="s">
        <v>61</v>
      </c>
      <c r="AC352">
        <v>100000</v>
      </c>
      <c r="AD352" t="s">
        <v>95</v>
      </c>
      <c r="AE352">
        <v>22</v>
      </c>
      <c r="AF352">
        <v>1515</v>
      </c>
      <c r="AG352">
        <v>15015</v>
      </c>
    </row>
    <row r="353" spans="28:33" x14ac:dyDescent="0.25">
      <c r="AB353" t="s">
        <v>54</v>
      </c>
      <c r="AC353">
        <v>100000</v>
      </c>
      <c r="AD353" t="s">
        <v>82</v>
      </c>
      <c r="AE353">
        <v>65</v>
      </c>
      <c r="AF353">
        <v>1516</v>
      </c>
      <c r="AG353">
        <v>15016</v>
      </c>
    </row>
    <row r="354" spans="28:33" x14ac:dyDescent="0.25">
      <c r="AB354" t="s">
        <v>54</v>
      </c>
      <c r="AC354">
        <v>150000</v>
      </c>
      <c r="AD354" t="s">
        <v>99</v>
      </c>
      <c r="AE354">
        <v>90</v>
      </c>
      <c r="AF354">
        <v>1517</v>
      </c>
      <c r="AG354">
        <v>15017</v>
      </c>
    </row>
    <row r="355" spans="28:33" x14ac:dyDescent="0.25">
      <c r="AB355" t="s">
        <v>54</v>
      </c>
      <c r="AC355">
        <v>75000</v>
      </c>
      <c r="AD355" t="s">
        <v>55</v>
      </c>
      <c r="AE355">
        <v>53</v>
      </c>
      <c r="AF355">
        <v>1518</v>
      </c>
      <c r="AG355">
        <v>15018</v>
      </c>
    </row>
    <row r="356" spans="28:33" x14ac:dyDescent="0.25">
      <c r="AB356" t="s">
        <v>61</v>
      </c>
      <c r="AC356">
        <v>75000</v>
      </c>
      <c r="AD356" t="s">
        <v>82</v>
      </c>
      <c r="AE356">
        <v>5</v>
      </c>
      <c r="AF356">
        <v>1519</v>
      </c>
      <c r="AG356">
        <v>15019</v>
      </c>
    </row>
    <row r="357" spans="28:33" x14ac:dyDescent="0.25">
      <c r="AB357" t="s">
        <v>61</v>
      </c>
      <c r="AC357">
        <v>100000</v>
      </c>
      <c r="AD357" t="s">
        <v>77</v>
      </c>
      <c r="AE357">
        <v>19</v>
      </c>
      <c r="AF357">
        <v>1520</v>
      </c>
      <c r="AG357">
        <v>15020</v>
      </c>
    </row>
    <row r="358" spans="28:33" x14ac:dyDescent="0.25">
      <c r="AB358" t="s">
        <v>61</v>
      </c>
      <c r="AC358">
        <v>150000</v>
      </c>
      <c r="AD358" t="s">
        <v>97</v>
      </c>
      <c r="AE358">
        <v>44</v>
      </c>
      <c r="AF358">
        <v>1521</v>
      </c>
      <c r="AG358">
        <v>15021</v>
      </c>
    </row>
    <row r="359" spans="28:33" x14ac:dyDescent="0.25">
      <c r="AB359" t="s">
        <v>54</v>
      </c>
      <c r="AC359">
        <v>150000</v>
      </c>
      <c r="AD359" t="s">
        <v>73</v>
      </c>
      <c r="AE359">
        <v>87</v>
      </c>
      <c r="AF359">
        <v>1522</v>
      </c>
      <c r="AG359">
        <v>15022</v>
      </c>
    </row>
    <row r="360" spans="28:33" x14ac:dyDescent="0.25">
      <c r="AB360" t="s">
        <v>54</v>
      </c>
      <c r="AC360">
        <v>100000</v>
      </c>
      <c r="AD360" t="s">
        <v>97</v>
      </c>
      <c r="AE360">
        <v>74</v>
      </c>
      <c r="AF360">
        <v>1523</v>
      </c>
      <c r="AG360">
        <v>15023</v>
      </c>
    </row>
    <row r="361" spans="28:33" x14ac:dyDescent="0.25">
      <c r="AB361" t="s">
        <v>54</v>
      </c>
      <c r="AC361">
        <v>75000</v>
      </c>
      <c r="AD361" t="s">
        <v>62</v>
      </c>
      <c r="AE361">
        <v>47</v>
      </c>
      <c r="AF361">
        <v>1524</v>
      </c>
      <c r="AG361">
        <v>15024</v>
      </c>
    </row>
  </sheetData>
  <conditionalFormatting sqref="B5:Y5"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Y11 B17:Y17 B23:Y23 B29:Y29 B35:Y35 B41:Y41 B47:Y47 B53:Y53 B59:Y59 B65:Y65 B71:Y71 B77:Y77 B83:Y83 B89:Y89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Agronomy Trial Corrected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2024-11-15T19:13:03Z</dcterms:created>
  <dcterms:modified xsi:type="dcterms:W3CDTF">2025-03-18T20:03:52Z</dcterms:modified>
</cp:coreProperties>
</file>