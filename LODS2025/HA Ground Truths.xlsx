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2025 HA data analysis/LODS2025/"/>
    </mc:Choice>
  </mc:AlternateContent>
  <xr:revisionPtr revIDLastSave="12" documentId="8_{DA6B799C-840A-49F2-9154-F1D203C4B4E0}" xr6:coauthVersionLast="47" xr6:coauthVersionMax="47" xr10:uidLastSave="{FB31EAED-EBFF-4B8B-B93A-F50EEB784025}"/>
  <bookViews>
    <workbookView xWindow="-120" yWindow="-120" windowWidth="38640" windowHeight="21120" xr2:uid="{9F93BBB1-2F44-4B36-9E43-D12110F56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2" i="1"/>
  <c r="AF2" i="1" s="1"/>
</calcChain>
</file>

<file path=xl/sharedStrings.xml><?xml version="1.0" encoding="utf-8"?>
<sst xmlns="http://schemas.openxmlformats.org/spreadsheetml/2006/main" count="200" uniqueCount="35">
  <si>
    <t>Registration</t>
  </si>
  <si>
    <t>Registration Plots</t>
  </si>
  <si>
    <t>D:/Drone Imagery/2025 summer/20250704/shapefiles/7-04 reg plot files.gpkg|layername=registrationtrialdatarows</t>
  </si>
  <si>
    <t>fid</t>
  </si>
  <si>
    <t>id</t>
  </si>
  <si>
    <t>Trial Name</t>
  </si>
  <si>
    <t>TrialCode</t>
  </si>
  <si>
    <t>ComboCode</t>
  </si>
  <si>
    <t>DAS</t>
  </si>
  <si>
    <t>layer</t>
  </si>
  <si>
    <t>path</t>
  </si>
  <si>
    <t>704ExG_mean</t>
  </si>
  <si>
    <t>704ExG_variance</t>
  </si>
  <si>
    <t>704ExR_mean</t>
  </si>
  <si>
    <t>704ExR_variance</t>
  </si>
  <si>
    <t>704gNDVI_mean</t>
  </si>
  <si>
    <t>704gNDVI_variance</t>
  </si>
  <si>
    <t>704gNDRE_mean</t>
  </si>
  <si>
    <t>704gNDRE_variance</t>
  </si>
  <si>
    <t>704NDVI_mean</t>
  </si>
  <si>
    <t>704NDVI_variance</t>
  </si>
  <si>
    <t>704THRESH_mean</t>
  </si>
  <si>
    <t>704THRESH_variance</t>
  </si>
  <si>
    <t>704HA_mean</t>
  </si>
  <si>
    <t>704HA_variance</t>
  </si>
  <si>
    <t>704PLT_</t>
  </si>
  <si>
    <t>PlotYield</t>
  </si>
  <si>
    <t>PeakStand</t>
  </si>
  <si>
    <t>GroundStand</t>
  </si>
  <si>
    <t>GroundEmerge1</t>
  </si>
  <si>
    <t>GroundEmerge2</t>
  </si>
  <si>
    <t>GroundEmergeTotal</t>
  </si>
  <si>
    <t>GroundEmergeM</t>
  </si>
  <si>
    <t>ENTRY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</si>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</sst>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9921-F655-4E5A-A74B-81A9F66941D7}">
  <dimension ref="A1:AF57"/>
  <sheetViews>
    <sheetView tabSelected="1" workbookViewId="0">
      <selection activeCell="AA11" sqref="AA11"/>
    </sheetView>
  </sheetViews>
  <sheetFormatPr defaultRowHeight="15" x14ac:dyDescent="0.25"/>
  <sheetData>
    <row r="1" spans="1:3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33</v>
      </c>
      <c r="G1" t="s">
        <v>34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32</v>
      </c>
      <c r="AF1" t="s">
        <v>31</v>
      </c>
    </row>
    <row r="2" spans="1:32" x14ac:dyDescent="0.25">
      <c r="A2">
        <v>230</v>
      </c>
      <c r="B2">
        <v>101</v>
      </c>
      <c r="C2" t="s">
        <v>0</v>
      </c>
      <c r="D2">
        <v>25104</v>
      </c>
      <c r="E2">
        <v>25104101</v>
      </c>
      <c r="F2">
        <v>1</v>
      </c>
      <c r="G2">
        <v>1</v>
      </c>
      <c r="H2">
        <v>10</v>
      </c>
      <c r="I2" t="s">
        <v>1</v>
      </c>
      <c r="J2" t="s">
        <v>2</v>
      </c>
      <c r="K2">
        <v>3727.6227800000001</v>
      </c>
      <c r="L2">
        <v>10385934.23</v>
      </c>
      <c r="M2">
        <v>3727.6227800000001</v>
      </c>
      <c r="N2">
        <v>10385934.23</v>
      </c>
      <c r="O2">
        <v>8.7768868999999999E-2</v>
      </c>
      <c r="P2">
        <v>2.5517993999999999E-2</v>
      </c>
      <c r="Q2">
        <v>-3.5806273E-2</v>
      </c>
      <c r="R2">
        <v>1.37791E-3</v>
      </c>
      <c r="S2">
        <v>0.285881151</v>
      </c>
      <c r="T2">
        <v>3.9320507999999997E-2</v>
      </c>
      <c r="U2">
        <v>0.18005907900000001</v>
      </c>
      <c r="V2">
        <v>0.14763780700000001</v>
      </c>
      <c r="W2">
        <v>0.99944984000000003</v>
      </c>
      <c r="X2">
        <v>5.4985799999999997E-4</v>
      </c>
      <c r="Y2">
        <v>184</v>
      </c>
      <c r="Z2">
        <v>534</v>
      </c>
      <c r="AA2">
        <v>0.27361559600000002</v>
      </c>
      <c r="AB2">
        <v>100</v>
      </c>
      <c r="AC2">
        <v>11</v>
      </c>
      <c r="AD2">
        <v>13</v>
      </c>
      <c r="AE2">
        <f>AVERAGE(AC2:AD2)</f>
        <v>12</v>
      </c>
      <c r="AF2">
        <f>AE2*5</f>
        <v>60</v>
      </c>
    </row>
    <row r="3" spans="1:32" x14ac:dyDescent="0.25">
      <c r="A3">
        <v>231</v>
      </c>
      <c r="B3">
        <v>102</v>
      </c>
      <c r="C3" t="s">
        <v>0</v>
      </c>
      <c r="D3">
        <v>25104</v>
      </c>
      <c r="E3">
        <v>25104102</v>
      </c>
      <c r="F3">
        <v>2</v>
      </c>
      <c r="G3">
        <v>1</v>
      </c>
      <c r="H3">
        <v>10</v>
      </c>
      <c r="I3" t="s">
        <v>1</v>
      </c>
      <c r="J3" t="s">
        <v>2</v>
      </c>
      <c r="K3">
        <v>2641.8665449999999</v>
      </c>
      <c r="L3">
        <v>4326537.466</v>
      </c>
      <c r="M3">
        <v>2641.8665449999999</v>
      </c>
      <c r="N3">
        <v>4326537.466</v>
      </c>
      <c r="O3">
        <v>2.3898840000000001E-2</v>
      </c>
      <c r="P3">
        <v>1.0942162E-2</v>
      </c>
      <c r="Q3">
        <v>-4.9200399999999998E-2</v>
      </c>
      <c r="R3">
        <v>7.0105500000000002E-4</v>
      </c>
      <c r="S3">
        <v>0.21309766099999999</v>
      </c>
      <c r="T3">
        <v>1.7865999E-2</v>
      </c>
      <c r="U3">
        <v>7.4392206000000002E-2</v>
      </c>
      <c r="V3">
        <v>6.8858005999999999E-2</v>
      </c>
      <c r="W3">
        <v>0.99003027700000001</v>
      </c>
      <c r="X3">
        <v>9.8703279999999994E-3</v>
      </c>
      <c r="Y3">
        <v>213</v>
      </c>
      <c r="Z3">
        <v>1547</v>
      </c>
      <c r="AA3">
        <v>0.402379233</v>
      </c>
      <c r="AB3">
        <v>95</v>
      </c>
      <c r="AC3">
        <v>9</v>
      </c>
      <c r="AD3">
        <v>14</v>
      </c>
      <c r="AE3">
        <f t="shared" ref="AE3:AE50" si="0">AVERAGE(AC3:AD3)</f>
        <v>11.5</v>
      </c>
      <c r="AF3">
        <f t="shared" ref="AF3:AF50" si="1">AE3*5</f>
        <v>57.5</v>
      </c>
    </row>
    <row r="4" spans="1:32" x14ac:dyDescent="0.25">
      <c r="A4">
        <v>232</v>
      </c>
      <c r="B4">
        <v>103</v>
      </c>
      <c r="C4" t="s">
        <v>0</v>
      </c>
      <c r="D4">
        <v>25104</v>
      </c>
      <c r="E4">
        <v>25104103</v>
      </c>
      <c r="F4">
        <v>3</v>
      </c>
      <c r="G4">
        <v>1</v>
      </c>
      <c r="H4">
        <v>10</v>
      </c>
      <c r="I4" t="s">
        <v>1</v>
      </c>
      <c r="J4" t="s">
        <v>2</v>
      </c>
      <c r="K4">
        <v>3144.0243270000001</v>
      </c>
      <c r="L4">
        <v>8069572.2230000002</v>
      </c>
      <c r="M4">
        <v>3144.0243270000001</v>
      </c>
      <c r="N4">
        <v>8069572.2230000002</v>
      </c>
      <c r="O4">
        <v>4.8404229999999999E-2</v>
      </c>
      <c r="P4">
        <v>2.038471E-2</v>
      </c>
      <c r="Q4">
        <v>-4.4278827999999999E-2</v>
      </c>
      <c r="R4">
        <v>1.0672240000000001E-3</v>
      </c>
      <c r="S4">
        <v>0.246705169</v>
      </c>
      <c r="T4">
        <v>3.0693246E-2</v>
      </c>
      <c r="U4">
        <v>0.13097402299999999</v>
      </c>
      <c r="V4">
        <v>0.113819828</v>
      </c>
      <c r="W4">
        <v>0.97311519300000004</v>
      </c>
      <c r="X4">
        <v>2.6162014000000001E-2</v>
      </c>
      <c r="Y4">
        <v>202</v>
      </c>
      <c r="Z4">
        <v>1172</v>
      </c>
      <c r="AA4">
        <v>0.32019468800000001</v>
      </c>
      <c r="AB4">
        <v>65</v>
      </c>
      <c r="AC4">
        <v>8</v>
      </c>
      <c r="AD4">
        <v>18</v>
      </c>
      <c r="AE4">
        <f t="shared" si="0"/>
        <v>13</v>
      </c>
      <c r="AF4">
        <f t="shared" si="1"/>
        <v>65</v>
      </c>
    </row>
    <row r="5" spans="1:32" x14ac:dyDescent="0.25">
      <c r="A5">
        <v>233</v>
      </c>
      <c r="B5">
        <v>104</v>
      </c>
      <c r="C5" t="s">
        <v>0</v>
      </c>
      <c r="D5">
        <v>25104</v>
      </c>
      <c r="E5">
        <v>25104104</v>
      </c>
      <c r="F5">
        <v>4</v>
      </c>
      <c r="G5">
        <v>1</v>
      </c>
      <c r="H5">
        <v>10</v>
      </c>
      <c r="I5" t="s">
        <v>1</v>
      </c>
      <c r="J5" t="s">
        <v>2</v>
      </c>
      <c r="K5">
        <v>3628.7134059999998</v>
      </c>
      <c r="L5">
        <v>9354415.3169999998</v>
      </c>
      <c r="M5">
        <v>3628.7134059999998</v>
      </c>
      <c r="N5">
        <v>9354415.3169999998</v>
      </c>
      <c r="O5">
        <v>8.3061486000000004E-2</v>
      </c>
      <c r="P5">
        <v>2.623441E-2</v>
      </c>
      <c r="Q5">
        <v>-3.5799358000000003E-2</v>
      </c>
      <c r="R5">
        <v>1.5394199999999999E-3</v>
      </c>
      <c r="S5">
        <v>0.28833520699999998</v>
      </c>
      <c r="T5">
        <v>3.8255439000000002E-2</v>
      </c>
      <c r="U5">
        <v>0.19007965199999999</v>
      </c>
      <c r="V5">
        <v>0.153949378</v>
      </c>
      <c r="W5">
        <v>0.95297692199999995</v>
      </c>
      <c r="X5">
        <v>4.4811908999999997E-2</v>
      </c>
      <c r="Y5">
        <v>176</v>
      </c>
      <c r="Z5">
        <v>1125</v>
      </c>
      <c r="AA5">
        <v>0.41335523000000002</v>
      </c>
      <c r="AB5">
        <v>90</v>
      </c>
      <c r="AC5">
        <v>15</v>
      </c>
      <c r="AD5">
        <v>19</v>
      </c>
      <c r="AE5">
        <f t="shared" si="0"/>
        <v>17</v>
      </c>
      <c r="AF5">
        <f t="shared" si="1"/>
        <v>85</v>
      </c>
    </row>
    <row r="6" spans="1:32" x14ac:dyDescent="0.25">
      <c r="A6">
        <v>234</v>
      </c>
      <c r="B6">
        <v>105</v>
      </c>
      <c r="C6" t="s">
        <v>0</v>
      </c>
      <c r="D6">
        <v>25104</v>
      </c>
      <c r="E6">
        <v>25104105</v>
      </c>
      <c r="F6">
        <v>5</v>
      </c>
      <c r="G6">
        <v>1</v>
      </c>
      <c r="H6">
        <v>10</v>
      </c>
      <c r="I6" t="s">
        <v>1</v>
      </c>
      <c r="J6" t="s">
        <v>2</v>
      </c>
      <c r="K6">
        <v>3125.9431209999998</v>
      </c>
      <c r="L6">
        <v>5939901.5199999996</v>
      </c>
      <c r="M6">
        <v>3125.9431209999998</v>
      </c>
      <c r="N6">
        <v>5939901.5199999996</v>
      </c>
      <c r="O6">
        <v>3.1946240000000001E-2</v>
      </c>
      <c r="P6">
        <v>1.4471128999999999E-2</v>
      </c>
      <c r="Q6">
        <v>-4.6169010000000003E-2</v>
      </c>
      <c r="R6">
        <v>8.9727000000000003E-4</v>
      </c>
      <c r="S6">
        <v>0.23067755400000001</v>
      </c>
      <c r="T6">
        <v>2.4078163E-2</v>
      </c>
      <c r="U6">
        <v>0.10198392000000001</v>
      </c>
      <c r="V6">
        <v>9.1583200000000003E-2</v>
      </c>
      <c r="W6">
        <v>0.89240057299999997</v>
      </c>
      <c r="X6">
        <v>9.6021790999999995E-2</v>
      </c>
      <c r="Y6">
        <v>191</v>
      </c>
      <c r="Z6">
        <v>2382</v>
      </c>
      <c r="AA6">
        <v>0.52409286099999997</v>
      </c>
      <c r="AB6">
        <v>95</v>
      </c>
      <c r="AC6">
        <v>10</v>
      </c>
      <c r="AD6">
        <v>15</v>
      </c>
      <c r="AE6">
        <f t="shared" si="0"/>
        <v>12.5</v>
      </c>
      <c r="AF6">
        <f t="shared" si="1"/>
        <v>62.5</v>
      </c>
    </row>
    <row r="7" spans="1:32" x14ac:dyDescent="0.25">
      <c r="A7">
        <v>235</v>
      </c>
      <c r="B7">
        <v>106</v>
      </c>
      <c r="C7" t="s">
        <v>0</v>
      </c>
      <c r="D7">
        <v>25104</v>
      </c>
      <c r="E7">
        <v>25104106</v>
      </c>
      <c r="F7">
        <v>4</v>
      </c>
      <c r="G7">
        <v>2</v>
      </c>
      <c r="H7">
        <v>10</v>
      </c>
      <c r="I7" t="s">
        <v>1</v>
      </c>
      <c r="J7" t="s">
        <v>2</v>
      </c>
      <c r="K7">
        <v>3160.0736780000002</v>
      </c>
      <c r="L7">
        <v>7036398.5470000003</v>
      </c>
      <c r="M7">
        <v>3160.0736780000002</v>
      </c>
      <c r="N7">
        <v>7036398.5470000003</v>
      </c>
      <c r="O7">
        <v>7.6543955999999996E-2</v>
      </c>
      <c r="P7">
        <v>2.5220182000000001E-2</v>
      </c>
      <c r="Q7">
        <v>-3.2938209000000003E-2</v>
      </c>
      <c r="R7">
        <v>1.5176810000000001E-3</v>
      </c>
      <c r="S7">
        <v>0.28365462699999999</v>
      </c>
      <c r="T7">
        <v>3.8531177999999999E-2</v>
      </c>
      <c r="U7">
        <v>0.17571495200000001</v>
      </c>
      <c r="V7">
        <v>0.144839208</v>
      </c>
      <c r="W7">
        <v>0.85578969999999999</v>
      </c>
      <c r="X7">
        <v>0.12341368899999999</v>
      </c>
      <c r="Y7">
        <v>207</v>
      </c>
      <c r="Z7">
        <v>1226</v>
      </c>
      <c r="AA7">
        <v>0.369912817</v>
      </c>
      <c r="AB7">
        <v>95</v>
      </c>
      <c r="AC7">
        <v>12</v>
      </c>
      <c r="AD7">
        <v>13</v>
      </c>
      <c r="AE7">
        <f t="shared" si="0"/>
        <v>12.5</v>
      </c>
      <c r="AF7">
        <f t="shared" si="1"/>
        <v>62.5</v>
      </c>
    </row>
    <row r="8" spans="1:32" x14ac:dyDescent="0.25">
      <c r="A8">
        <v>236</v>
      </c>
      <c r="B8">
        <v>107</v>
      </c>
      <c r="C8" t="s">
        <v>0</v>
      </c>
      <c r="D8">
        <v>25104</v>
      </c>
      <c r="E8">
        <v>25104107</v>
      </c>
      <c r="F8">
        <v>1</v>
      </c>
      <c r="G8">
        <v>2</v>
      </c>
      <c r="H8">
        <v>10</v>
      </c>
      <c r="I8" t="s">
        <v>1</v>
      </c>
      <c r="J8" t="s">
        <v>2</v>
      </c>
      <c r="K8">
        <v>2284.6990730000002</v>
      </c>
      <c r="L8">
        <v>4771408.767</v>
      </c>
      <c r="M8">
        <v>2284.6990730000002</v>
      </c>
      <c r="N8">
        <v>4771408.767</v>
      </c>
      <c r="O8">
        <v>2.8619499999999999E-2</v>
      </c>
      <c r="P8">
        <v>7.2432410000000001E-3</v>
      </c>
      <c r="Q8">
        <v>-4.3182712999999998E-2</v>
      </c>
      <c r="R8">
        <v>6.2420599999999998E-4</v>
      </c>
      <c r="S8">
        <v>0.218035012</v>
      </c>
      <c r="T8">
        <v>1.2438286E-2</v>
      </c>
      <c r="U8">
        <v>5.5492435999999999E-2</v>
      </c>
      <c r="V8">
        <v>5.2413025000000002E-2</v>
      </c>
      <c r="W8">
        <v>0.931599909</v>
      </c>
      <c r="X8">
        <v>6.3721518000000005E-2</v>
      </c>
      <c r="Y8">
        <v>222</v>
      </c>
      <c r="Z8">
        <v>2154</v>
      </c>
      <c r="AA8">
        <v>0.46171693699999999</v>
      </c>
      <c r="AB8">
        <v>100</v>
      </c>
      <c r="AC8">
        <v>11</v>
      </c>
      <c r="AD8">
        <v>13</v>
      </c>
      <c r="AE8">
        <f t="shared" si="0"/>
        <v>12</v>
      </c>
      <c r="AF8">
        <f t="shared" si="1"/>
        <v>60</v>
      </c>
    </row>
    <row r="9" spans="1:32" x14ac:dyDescent="0.25">
      <c r="A9">
        <v>237</v>
      </c>
      <c r="B9">
        <v>108</v>
      </c>
      <c r="C9" t="s">
        <v>0</v>
      </c>
      <c r="D9">
        <v>25104</v>
      </c>
      <c r="E9">
        <v>25104108</v>
      </c>
      <c r="F9">
        <v>5</v>
      </c>
      <c r="G9">
        <v>2</v>
      </c>
      <c r="H9">
        <v>10</v>
      </c>
      <c r="I9" t="s">
        <v>1</v>
      </c>
      <c r="J9" t="s">
        <v>2</v>
      </c>
      <c r="K9">
        <v>2274.0510199999999</v>
      </c>
      <c r="L9">
        <v>10771256.08</v>
      </c>
      <c r="M9">
        <v>2274.0510199999999</v>
      </c>
      <c r="N9">
        <v>10771256.08</v>
      </c>
      <c r="O9">
        <v>4.3844678999999998E-2</v>
      </c>
      <c r="P9">
        <v>6.7840940000000001E-3</v>
      </c>
      <c r="Q9">
        <v>-3.4838686000000001E-2</v>
      </c>
      <c r="R9">
        <v>7.9344400000000003E-4</v>
      </c>
      <c r="S9">
        <v>0.23568904299999999</v>
      </c>
      <c r="T9">
        <v>1.4103414E-2</v>
      </c>
      <c r="U9">
        <v>6.7632214999999996E-2</v>
      </c>
      <c r="V9">
        <v>6.3058098000000007E-2</v>
      </c>
      <c r="W9">
        <v>0.86397560100000004</v>
      </c>
      <c r="X9">
        <v>0.117521762</v>
      </c>
      <c r="Y9">
        <v>145</v>
      </c>
      <c r="Z9">
        <v>2192</v>
      </c>
      <c r="AA9">
        <v>0.52551636700000004</v>
      </c>
      <c r="AB9">
        <v>100</v>
      </c>
      <c r="AC9">
        <v>13</v>
      </c>
      <c r="AD9">
        <v>15</v>
      </c>
      <c r="AE9">
        <f t="shared" si="0"/>
        <v>14</v>
      </c>
      <c r="AF9">
        <f t="shared" si="1"/>
        <v>70</v>
      </c>
    </row>
    <row r="10" spans="1:32" x14ac:dyDescent="0.25">
      <c r="A10">
        <v>238</v>
      </c>
      <c r="B10">
        <v>109</v>
      </c>
      <c r="C10" t="s">
        <v>0</v>
      </c>
      <c r="D10">
        <v>25104</v>
      </c>
      <c r="E10">
        <v>25104109</v>
      </c>
      <c r="F10">
        <v>2</v>
      </c>
      <c r="G10">
        <v>2</v>
      </c>
      <c r="H10">
        <v>10</v>
      </c>
      <c r="I10" t="s">
        <v>1</v>
      </c>
      <c r="J10" t="s">
        <v>2</v>
      </c>
      <c r="K10">
        <v>1947.8290469999999</v>
      </c>
      <c r="L10">
        <v>5539608.716</v>
      </c>
      <c r="M10">
        <v>1947.8290469999999</v>
      </c>
      <c r="N10">
        <v>5539608.716</v>
      </c>
      <c r="O10">
        <v>6.1532360000000001E-2</v>
      </c>
      <c r="P10">
        <v>7.3722079999999999E-3</v>
      </c>
      <c r="Q10">
        <v>-3.1754335000000002E-2</v>
      </c>
      <c r="R10">
        <v>7.1277600000000003E-4</v>
      </c>
      <c r="S10">
        <v>0.249758967</v>
      </c>
      <c r="T10">
        <v>1.2772522999999999E-2</v>
      </c>
      <c r="U10">
        <v>6.4253643999999999E-2</v>
      </c>
      <c r="V10">
        <v>6.0125113000000001E-2</v>
      </c>
      <c r="W10">
        <v>0.94942520100000005</v>
      </c>
      <c r="X10">
        <v>4.8016989000000003E-2</v>
      </c>
      <c r="Y10">
        <v>177</v>
      </c>
      <c r="Z10">
        <v>1678</v>
      </c>
      <c r="AA10">
        <v>0.4217166</v>
      </c>
      <c r="AB10">
        <v>95</v>
      </c>
      <c r="AC10">
        <v>11</v>
      </c>
      <c r="AD10">
        <v>18</v>
      </c>
      <c r="AE10">
        <f t="shared" si="0"/>
        <v>14.5</v>
      </c>
      <c r="AF10">
        <f t="shared" si="1"/>
        <v>72.5</v>
      </c>
    </row>
    <row r="11" spans="1:32" x14ac:dyDescent="0.25">
      <c r="A11">
        <v>221</v>
      </c>
      <c r="B11">
        <v>201</v>
      </c>
      <c r="C11" t="s">
        <v>0</v>
      </c>
      <c r="D11">
        <v>25104</v>
      </c>
      <c r="E11">
        <v>25104201</v>
      </c>
      <c r="F11">
        <v>5</v>
      </c>
      <c r="G11">
        <v>4</v>
      </c>
      <c r="H11">
        <v>10</v>
      </c>
      <c r="I11" t="s">
        <v>1</v>
      </c>
      <c r="J11" t="s">
        <v>2</v>
      </c>
      <c r="K11">
        <v>3014.5024429999999</v>
      </c>
      <c r="L11">
        <v>6563235.477</v>
      </c>
      <c r="M11">
        <v>3014.5024429999999</v>
      </c>
      <c r="N11">
        <v>6563235.477</v>
      </c>
      <c r="O11">
        <v>4.2069371000000001E-2</v>
      </c>
      <c r="P11">
        <v>1.2647054E-2</v>
      </c>
      <c r="Q11">
        <v>-4.6369276000000001E-2</v>
      </c>
      <c r="R11">
        <v>7.3787400000000002E-4</v>
      </c>
      <c r="S11">
        <v>0.22959104899999999</v>
      </c>
      <c r="T11">
        <v>2.1083332E-2</v>
      </c>
      <c r="U11">
        <v>9.4572700999999995E-2</v>
      </c>
      <c r="V11">
        <v>8.5628705999999999E-2</v>
      </c>
      <c r="W11">
        <v>0.99212708100000002</v>
      </c>
      <c r="X11">
        <v>7.8109369999999996E-3</v>
      </c>
      <c r="Y11">
        <v>219</v>
      </c>
      <c r="Z11">
        <v>1492</v>
      </c>
      <c r="AA11">
        <v>0.37392096800000002</v>
      </c>
      <c r="AB11">
        <v>90</v>
      </c>
      <c r="AC11">
        <v>14</v>
      </c>
      <c r="AD11">
        <v>10</v>
      </c>
      <c r="AE11">
        <f t="shared" si="0"/>
        <v>12</v>
      </c>
      <c r="AF11">
        <f t="shared" si="1"/>
        <v>60</v>
      </c>
    </row>
    <row r="12" spans="1:32" x14ac:dyDescent="0.25">
      <c r="A12">
        <v>222</v>
      </c>
      <c r="B12">
        <v>202</v>
      </c>
      <c r="C12" t="s">
        <v>0</v>
      </c>
      <c r="D12">
        <v>25104</v>
      </c>
      <c r="E12">
        <v>25104202</v>
      </c>
      <c r="F12">
        <v>1</v>
      </c>
      <c r="G12">
        <v>4</v>
      </c>
      <c r="H12">
        <v>10</v>
      </c>
      <c r="I12" t="s">
        <v>1</v>
      </c>
      <c r="J12" t="s">
        <v>2</v>
      </c>
      <c r="K12">
        <v>2786.5975840000001</v>
      </c>
      <c r="L12">
        <v>5122721.7510000002</v>
      </c>
      <c r="M12">
        <v>2786.5975840000001</v>
      </c>
      <c r="N12">
        <v>5122721.7510000002</v>
      </c>
      <c r="O12">
        <v>3.7678580000000003E-2</v>
      </c>
      <c r="P12">
        <v>1.2389796999999999E-2</v>
      </c>
      <c r="Q12">
        <v>-4.6457433999999999E-2</v>
      </c>
      <c r="R12">
        <v>7.3771999999999998E-4</v>
      </c>
      <c r="S12">
        <v>0.23045719000000001</v>
      </c>
      <c r="T12">
        <v>1.9731948999999999E-2</v>
      </c>
      <c r="U12">
        <v>9.1562922000000005E-2</v>
      </c>
      <c r="V12">
        <v>8.3179153000000006E-2</v>
      </c>
      <c r="W12">
        <v>0.99091129</v>
      </c>
      <c r="X12">
        <v>9.0061059999999998E-3</v>
      </c>
      <c r="Y12">
        <v>228</v>
      </c>
      <c r="Z12">
        <v>3107</v>
      </c>
      <c r="AA12">
        <v>0.58287292800000001</v>
      </c>
      <c r="AB12">
        <v>95</v>
      </c>
      <c r="AC12">
        <v>19</v>
      </c>
      <c r="AD12">
        <v>17</v>
      </c>
      <c r="AE12">
        <f t="shared" si="0"/>
        <v>18</v>
      </c>
      <c r="AF12">
        <f t="shared" si="1"/>
        <v>90</v>
      </c>
    </row>
    <row r="13" spans="1:32" x14ac:dyDescent="0.25">
      <c r="A13">
        <v>223</v>
      </c>
      <c r="B13">
        <v>203</v>
      </c>
      <c r="C13" t="s">
        <v>0</v>
      </c>
      <c r="D13">
        <v>25104</v>
      </c>
      <c r="E13">
        <v>25104203</v>
      </c>
      <c r="F13">
        <v>3</v>
      </c>
      <c r="G13">
        <v>4</v>
      </c>
      <c r="H13">
        <v>10</v>
      </c>
      <c r="I13" t="s">
        <v>1</v>
      </c>
      <c r="J13" t="s">
        <v>2</v>
      </c>
      <c r="K13">
        <v>3010.6474979999998</v>
      </c>
      <c r="L13">
        <v>8673453.9710000008</v>
      </c>
      <c r="M13">
        <v>3010.6474979999998</v>
      </c>
      <c r="N13">
        <v>8673453.9710000008</v>
      </c>
      <c r="O13">
        <v>6.0754009999999997E-2</v>
      </c>
      <c r="P13">
        <v>1.9307314999999999E-2</v>
      </c>
      <c r="Q13">
        <v>-4.1144745000000003E-2</v>
      </c>
      <c r="R13">
        <v>1.05887E-3</v>
      </c>
      <c r="S13">
        <v>0.26016958200000001</v>
      </c>
      <c r="T13">
        <v>2.9804744000000001E-2</v>
      </c>
      <c r="U13">
        <v>0.146002775</v>
      </c>
      <c r="V13">
        <v>0.124685965</v>
      </c>
      <c r="W13">
        <v>0.99655576599999995</v>
      </c>
      <c r="X13">
        <v>3.4323719999999999E-3</v>
      </c>
      <c r="Y13">
        <v>202</v>
      </c>
      <c r="Z13">
        <v>1849</v>
      </c>
      <c r="AA13">
        <v>0.52339947099999995</v>
      </c>
      <c r="AB13">
        <v>100</v>
      </c>
      <c r="AC13">
        <v>11</v>
      </c>
      <c r="AD13">
        <v>17</v>
      </c>
      <c r="AE13">
        <f t="shared" si="0"/>
        <v>14</v>
      </c>
      <c r="AF13">
        <f t="shared" si="1"/>
        <v>70</v>
      </c>
    </row>
    <row r="14" spans="1:32" x14ac:dyDescent="0.25">
      <c r="A14">
        <v>224</v>
      </c>
      <c r="B14">
        <v>204</v>
      </c>
      <c r="C14" t="s">
        <v>0</v>
      </c>
      <c r="D14">
        <v>25104</v>
      </c>
      <c r="E14">
        <v>25104204</v>
      </c>
      <c r="F14">
        <v>4</v>
      </c>
      <c r="G14">
        <v>3</v>
      </c>
      <c r="H14">
        <v>10</v>
      </c>
      <c r="I14" t="s">
        <v>1</v>
      </c>
      <c r="J14" t="s">
        <v>2</v>
      </c>
      <c r="K14">
        <v>3300.706635</v>
      </c>
      <c r="L14">
        <v>9465383.8770000003</v>
      </c>
      <c r="M14">
        <v>3300.706635</v>
      </c>
      <c r="N14">
        <v>9465383.8770000003</v>
      </c>
      <c r="O14">
        <v>8.9326219999999998E-2</v>
      </c>
      <c r="P14">
        <v>2.8802878000000001E-2</v>
      </c>
      <c r="Q14">
        <v>-3.5577194999999999E-2</v>
      </c>
      <c r="R14">
        <v>1.674289E-3</v>
      </c>
      <c r="S14">
        <v>0.29918671800000002</v>
      </c>
      <c r="T14">
        <v>4.1306436000000002E-2</v>
      </c>
      <c r="U14">
        <v>0.21381250299999999</v>
      </c>
      <c r="V14">
        <v>0.16809671700000001</v>
      </c>
      <c r="W14">
        <v>0.99564977399999999</v>
      </c>
      <c r="X14">
        <v>4.3313020000000004E-3</v>
      </c>
      <c r="Y14">
        <v>193</v>
      </c>
      <c r="Z14">
        <v>2033</v>
      </c>
      <c r="AA14">
        <v>0.56408874600000003</v>
      </c>
      <c r="AB14">
        <v>100</v>
      </c>
      <c r="AC14">
        <v>18</v>
      </c>
      <c r="AD14">
        <v>15</v>
      </c>
      <c r="AE14">
        <f t="shared" si="0"/>
        <v>16.5</v>
      </c>
      <c r="AF14">
        <f t="shared" si="1"/>
        <v>82.5</v>
      </c>
    </row>
    <row r="15" spans="1:32" x14ac:dyDescent="0.25">
      <c r="A15">
        <v>225</v>
      </c>
      <c r="B15">
        <v>205</v>
      </c>
      <c r="C15" t="s">
        <v>0</v>
      </c>
      <c r="D15">
        <v>25104</v>
      </c>
      <c r="E15">
        <v>25104205</v>
      </c>
      <c r="F15">
        <v>2</v>
      </c>
      <c r="G15">
        <v>3</v>
      </c>
      <c r="H15">
        <v>10</v>
      </c>
      <c r="I15" t="s">
        <v>1</v>
      </c>
      <c r="J15" t="s">
        <v>2</v>
      </c>
      <c r="K15">
        <v>2921.6881520000002</v>
      </c>
      <c r="L15">
        <v>6551767.7529999996</v>
      </c>
      <c r="M15">
        <v>2921.6881520000002</v>
      </c>
      <c r="N15">
        <v>6551767.7529999996</v>
      </c>
      <c r="O15">
        <v>5.1740982999999997E-2</v>
      </c>
      <c r="P15">
        <v>2.0332817E-2</v>
      </c>
      <c r="Q15">
        <v>-4.1098023999999997E-2</v>
      </c>
      <c r="R15">
        <v>1.2645309999999999E-3</v>
      </c>
      <c r="S15">
        <v>0.25120015800000001</v>
      </c>
      <c r="T15">
        <v>3.0726285999999998E-2</v>
      </c>
      <c r="U15">
        <v>0.13326991899999999</v>
      </c>
      <c r="V15">
        <v>0.115509048</v>
      </c>
      <c r="W15">
        <v>0.95656962599999995</v>
      </c>
      <c r="X15">
        <v>4.1544176000000002E-2</v>
      </c>
      <c r="Y15">
        <v>210</v>
      </c>
      <c r="Z15">
        <v>2592</v>
      </c>
      <c r="AA15">
        <v>0.49701490700000001</v>
      </c>
      <c r="AB15">
        <v>100</v>
      </c>
      <c r="AC15">
        <v>18</v>
      </c>
      <c r="AD15">
        <v>18</v>
      </c>
      <c r="AE15">
        <f t="shared" si="0"/>
        <v>18</v>
      </c>
      <c r="AF15">
        <f t="shared" si="1"/>
        <v>90</v>
      </c>
    </row>
    <row r="16" spans="1:32" x14ac:dyDescent="0.25">
      <c r="A16">
        <v>226</v>
      </c>
      <c r="B16">
        <v>206</v>
      </c>
      <c r="C16" t="s">
        <v>0</v>
      </c>
      <c r="D16">
        <v>25104</v>
      </c>
      <c r="E16">
        <v>25104206</v>
      </c>
      <c r="F16">
        <v>3</v>
      </c>
      <c r="G16">
        <v>3</v>
      </c>
      <c r="H16">
        <v>10</v>
      </c>
      <c r="I16" t="s">
        <v>1</v>
      </c>
      <c r="J16" t="s">
        <v>2</v>
      </c>
      <c r="K16">
        <v>3934.5640669999998</v>
      </c>
      <c r="L16">
        <v>13473403.859999999</v>
      </c>
      <c r="M16">
        <v>3934.5640669999998</v>
      </c>
      <c r="N16">
        <v>13473403.859999999</v>
      </c>
      <c r="O16">
        <v>8.3713135999999994E-2</v>
      </c>
      <c r="P16">
        <v>2.4309706E-2</v>
      </c>
      <c r="Q16">
        <v>-3.6695828999999999E-2</v>
      </c>
      <c r="R16">
        <v>1.4030480000000001E-3</v>
      </c>
      <c r="S16">
        <v>0.29754725300000001</v>
      </c>
      <c r="T16">
        <v>4.1348805000000002E-2</v>
      </c>
      <c r="U16">
        <v>0.20490097600000001</v>
      </c>
      <c r="V16">
        <v>0.16291656600000001</v>
      </c>
      <c r="W16">
        <v>0.99094573399999997</v>
      </c>
      <c r="X16">
        <v>8.9722859999999995E-3</v>
      </c>
      <c r="Y16">
        <v>264</v>
      </c>
      <c r="Z16">
        <v>1865</v>
      </c>
      <c r="AA16">
        <v>0.49840916699999999</v>
      </c>
      <c r="AB16">
        <v>100</v>
      </c>
      <c r="AC16">
        <v>15</v>
      </c>
      <c r="AD16">
        <v>13</v>
      </c>
      <c r="AE16">
        <f t="shared" si="0"/>
        <v>14</v>
      </c>
      <c r="AF16">
        <f t="shared" si="1"/>
        <v>70</v>
      </c>
    </row>
    <row r="17" spans="1:32" x14ac:dyDescent="0.25">
      <c r="A17">
        <v>227</v>
      </c>
      <c r="B17">
        <v>207</v>
      </c>
      <c r="C17" t="s">
        <v>0</v>
      </c>
      <c r="D17">
        <v>25104</v>
      </c>
      <c r="E17">
        <v>25104207</v>
      </c>
      <c r="F17">
        <v>1</v>
      </c>
      <c r="G17">
        <v>3</v>
      </c>
      <c r="H17">
        <v>10</v>
      </c>
      <c r="I17" t="s">
        <v>1</v>
      </c>
      <c r="J17" t="s">
        <v>2</v>
      </c>
      <c r="K17">
        <v>2631.6167850000002</v>
      </c>
      <c r="L17">
        <v>9786670.1349999998</v>
      </c>
      <c r="M17">
        <v>2631.6167850000002</v>
      </c>
      <c r="N17">
        <v>9786670.1349999998</v>
      </c>
      <c r="O17">
        <v>5.4304861000000003E-2</v>
      </c>
      <c r="P17">
        <v>1.5140867000000001E-2</v>
      </c>
      <c r="Q17">
        <v>-4.146412E-2</v>
      </c>
      <c r="R17">
        <v>9.9190900000000002E-4</v>
      </c>
      <c r="S17">
        <v>0.24419159500000001</v>
      </c>
      <c r="T17">
        <v>2.5843781E-2</v>
      </c>
      <c r="U17">
        <v>0.112651088</v>
      </c>
      <c r="V17">
        <v>9.9960820000000006E-2</v>
      </c>
      <c r="W17">
        <v>0.93638358300000002</v>
      </c>
      <c r="X17">
        <v>5.9569368999999997E-2</v>
      </c>
      <c r="Y17">
        <v>236</v>
      </c>
      <c r="Z17">
        <v>2723</v>
      </c>
      <c r="AA17">
        <v>0.59957853000000005</v>
      </c>
      <c r="AB17">
        <v>100</v>
      </c>
      <c r="AC17">
        <v>14</v>
      </c>
      <c r="AD17">
        <v>13</v>
      </c>
      <c r="AE17">
        <f t="shared" si="0"/>
        <v>13.5</v>
      </c>
      <c r="AF17">
        <f t="shared" si="1"/>
        <v>67.5</v>
      </c>
    </row>
    <row r="18" spans="1:32" x14ac:dyDescent="0.25">
      <c r="A18">
        <v>228</v>
      </c>
      <c r="B18">
        <v>208</v>
      </c>
      <c r="C18" t="s">
        <v>0</v>
      </c>
      <c r="D18">
        <v>25104</v>
      </c>
      <c r="E18">
        <v>25104208</v>
      </c>
      <c r="F18">
        <v>5</v>
      </c>
      <c r="G18">
        <v>3</v>
      </c>
      <c r="H18">
        <v>10</v>
      </c>
      <c r="I18" t="s">
        <v>1</v>
      </c>
      <c r="J18" t="s">
        <v>2</v>
      </c>
      <c r="K18">
        <v>2417.5045449999998</v>
      </c>
      <c r="L18">
        <v>18519711.120000001</v>
      </c>
      <c r="M18">
        <v>2417.5045449999998</v>
      </c>
      <c r="N18">
        <v>18519711.120000001</v>
      </c>
      <c r="O18">
        <v>5.0824112999999997E-2</v>
      </c>
      <c r="P18">
        <v>7.9263719999999992E-3</v>
      </c>
      <c r="Q18">
        <v>-3.6735531000000002E-2</v>
      </c>
      <c r="R18">
        <v>8.4882000000000002E-4</v>
      </c>
      <c r="S18">
        <v>0.24101784600000001</v>
      </c>
      <c r="T18">
        <v>1.9166663E-2</v>
      </c>
      <c r="U18">
        <v>9.0630756000000007E-2</v>
      </c>
      <c r="V18">
        <v>8.2416822000000001E-2</v>
      </c>
      <c r="W18">
        <v>0.84765891299999996</v>
      </c>
      <c r="X18">
        <v>0.12913327999999999</v>
      </c>
      <c r="Y18">
        <v>128</v>
      </c>
      <c r="Z18">
        <v>2342</v>
      </c>
      <c r="AA18">
        <v>0.597065085</v>
      </c>
      <c r="AB18">
        <v>100</v>
      </c>
      <c r="AC18">
        <v>16</v>
      </c>
      <c r="AD18">
        <v>14</v>
      </c>
      <c r="AE18">
        <f t="shared" si="0"/>
        <v>15</v>
      </c>
      <c r="AF18">
        <f t="shared" si="1"/>
        <v>75</v>
      </c>
    </row>
    <row r="19" spans="1:32" x14ac:dyDescent="0.25">
      <c r="A19">
        <v>229</v>
      </c>
      <c r="B19">
        <v>209</v>
      </c>
      <c r="C19" t="s">
        <v>0</v>
      </c>
      <c r="D19">
        <v>25104</v>
      </c>
      <c r="E19">
        <v>25104209</v>
      </c>
      <c r="F19">
        <v>3</v>
      </c>
      <c r="G19">
        <v>2</v>
      </c>
      <c r="H19">
        <v>10</v>
      </c>
      <c r="I19" t="s">
        <v>1</v>
      </c>
      <c r="J19" t="s">
        <v>2</v>
      </c>
      <c r="K19">
        <v>2687.433927</v>
      </c>
      <c r="L19">
        <v>21233806.93</v>
      </c>
      <c r="M19">
        <v>2687.433927</v>
      </c>
      <c r="N19">
        <v>21233806.93</v>
      </c>
      <c r="O19">
        <v>7.4497450000000007E-2</v>
      </c>
      <c r="P19">
        <v>8.8286249999999997E-3</v>
      </c>
      <c r="Q19">
        <v>-3.2983435999999998E-2</v>
      </c>
      <c r="R19">
        <v>8.0583200000000003E-4</v>
      </c>
      <c r="S19">
        <v>0.27176593399999999</v>
      </c>
      <c r="T19">
        <v>2.1247222999999999E-2</v>
      </c>
      <c r="U19">
        <v>0.118489049</v>
      </c>
      <c r="V19">
        <v>0.104449394</v>
      </c>
      <c r="W19">
        <v>0.98610959200000003</v>
      </c>
      <c r="X19">
        <v>1.3697465000000001E-2</v>
      </c>
      <c r="Y19">
        <v>160</v>
      </c>
      <c r="Z19">
        <v>2259</v>
      </c>
      <c r="AA19">
        <v>0.65496356499999997</v>
      </c>
      <c r="AB19">
        <v>100</v>
      </c>
      <c r="AC19">
        <v>13</v>
      </c>
      <c r="AD19">
        <v>9</v>
      </c>
      <c r="AE19">
        <f t="shared" si="0"/>
        <v>11</v>
      </c>
      <c r="AF19">
        <f t="shared" si="1"/>
        <v>55</v>
      </c>
    </row>
    <row r="20" spans="1:32" x14ac:dyDescent="0.25">
      <c r="A20">
        <v>212</v>
      </c>
      <c r="B20">
        <v>301</v>
      </c>
      <c r="C20" t="s">
        <v>0</v>
      </c>
      <c r="D20">
        <v>25104</v>
      </c>
      <c r="E20">
        <v>25104301</v>
      </c>
      <c r="F20">
        <v>2</v>
      </c>
      <c r="G20">
        <v>4</v>
      </c>
      <c r="H20">
        <v>10</v>
      </c>
      <c r="I20" t="s">
        <v>1</v>
      </c>
      <c r="J20" t="s">
        <v>2</v>
      </c>
      <c r="K20">
        <v>2745.7792490000002</v>
      </c>
      <c r="L20">
        <v>3806835.3480000002</v>
      </c>
      <c r="M20">
        <v>2745.7792490000002</v>
      </c>
      <c r="N20">
        <v>3806835.3480000002</v>
      </c>
      <c r="O20">
        <v>3.9104510000000002E-2</v>
      </c>
      <c r="P20">
        <v>9.0150379999999995E-3</v>
      </c>
      <c r="Q20">
        <v>-4.4861009E-2</v>
      </c>
      <c r="R20">
        <v>7.0587099999999995E-4</v>
      </c>
      <c r="S20">
        <v>0.223146909</v>
      </c>
      <c r="T20">
        <v>1.4867559000000001E-2</v>
      </c>
      <c r="U20">
        <v>6.8260190999999998E-2</v>
      </c>
      <c r="V20">
        <v>6.3600737000000004E-2</v>
      </c>
      <c r="W20">
        <v>0.93773931300000002</v>
      </c>
      <c r="X20">
        <v>5.8384294000000003E-2</v>
      </c>
      <c r="Y20">
        <v>202</v>
      </c>
      <c r="Z20">
        <v>2760</v>
      </c>
      <c r="AA20">
        <v>0.613402738</v>
      </c>
      <c r="AB20">
        <v>100</v>
      </c>
      <c r="AC20">
        <v>15</v>
      </c>
      <c r="AD20">
        <v>15</v>
      </c>
      <c r="AE20">
        <f t="shared" si="0"/>
        <v>15</v>
      </c>
      <c r="AF20">
        <f t="shared" si="1"/>
        <v>75</v>
      </c>
    </row>
    <row r="21" spans="1:32" x14ac:dyDescent="0.25">
      <c r="A21">
        <v>213</v>
      </c>
      <c r="B21">
        <v>302</v>
      </c>
      <c r="C21" t="s">
        <v>0</v>
      </c>
      <c r="D21">
        <v>25104</v>
      </c>
      <c r="E21">
        <v>25104302</v>
      </c>
      <c r="F21">
        <v>4</v>
      </c>
      <c r="G21">
        <v>4</v>
      </c>
      <c r="H21">
        <v>10</v>
      </c>
      <c r="I21" t="s">
        <v>1</v>
      </c>
      <c r="J21" t="s">
        <v>2</v>
      </c>
      <c r="K21">
        <v>3002.3108929999999</v>
      </c>
      <c r="L21">
        <v>6802706.4139999999</v>
      </c>
      <c r="M21">
        <v>3002.3108929999999</v>
      </c>
      <c r="N21">
        <v>6802706.4139999999</v>
      </c>
      <c r="O21">
        <v>6.6467296999999995E-2</v>
      </c>
      <c r="P21">
        <v>1.6567005999999999E-2</v>
      </c>
      <c r="Q21">
        <v>-3.8472770000000003E-2</v>
      </c>
      <c r="R21">
        <v>9.4032100000000004E-4</v>
      </c>
      <c r="S21">
        <v>0.25768573</v>
      </c>
      <c r="T21">
        <v>2.7229010000000001E-2</v>
      </c>
      <c r="U21">
        <v>0.12727676299999999</v>
      </c>
      <c r="V21">
        <v>0.111077389</v>
      </c>
      <c r="W21">
        <v>0.99022142099999999</v>
      </c>
      <c r="X21">
        <v>9.6829580000000002E-3</v>
      </c>
      <c r="Y21">
        <v>170</v>
      </c>
      <c r="Z21">
        <v>2118</v>
      </c>
      <c r="AA21">
        <v>0.63668411899999999</v>
      </c>
      <c r="AB21">
        <v>100</v>
      </c>
      <c r="AC21">
        <v>11</v>
      </c>
      <c r="AD21">
        <v>16</v>
      </c>
      <c r="AE21">
        <f t="shared" si="0"/>
        <v>13.5</v>
      </c>
      <c r="AF21">
        <f t="shared" si="1"/>
        <v>67.5</v>
      </c>
    </row>
    <row r="22" spans="1:32" x14ac:dyDescent="0.25">
      <c r="A22">
        <v>203</v>
      </c>
      <c r="B22">
        <v>401</v>
      </c>
      <c r="C22" t="s">
        <v>0</v>
      </c>
      <c r="D22">
        <v>25105</v>
      </c>
      <c r="E22">
        <v>25105401</v>
      </c>
      <c r="F22">
        <v>1</v>
      </c>
      <c r="G22">
        <v>1</v>
      </c>
      <c r="H22">
        <v>10</v>
      </c>
      <c r="I22" t="s">
        <v>1</v>
      </c>
      <c r="J22" t="s">
        <v>2</v>
      </c>
      <c r="K22">
        <v>3942.0270479999999</v>
      </c>
      <c r="L22">
        <v>31320314.440000001</v>
      </c>
      <c r="M22">
        <v>3942.0270479999999</v>
      </c>
      <c r="N22">
        <v>31320314.440000001</v>
      </c>
      <c r="O22">
        <v>8.9461197000000006E-2</v>
      </c>
      <c r="P22">
        <v>1.5926600999999999E-2</v>
      </c>
      <c r="Q22">
        <v>-2.8303835999999999E-2</v>
      </c>
      <c r="R22">
        <v>1.127079E-3</v>
      </c>
      <c r="S22">
        <v>0.29239042999999998</v>
      </c>
      <c r="T22">
        <v>3.2627746999999999E-2</v>
      </c>
      <c r="U22">
        <v>0.16968636600000001</v>
      </c>
      <c r="V22">
        <v>0.14089290300000001</v>
      </c>
      <c r="W22">
        <v>0.99304043500000005</v>
      </c>
      <c r="X22">
        <v>6.9111290000000002E-3</v>
      </c>
      <c r="Y22">
        <v>156</v>
      </c>
      <c r="Z22">
        <v>622</v>
      </c>
      <c r="AA22">
        <v>0.49484830000000002</v>
      </c>
      <c r="AB22">
        <v>90</v>
      </c>
      <c r="AC22">
        <v>13</v>
      </c>
      <c r="AD22">
        <v>11</v>
      </c>
      <c r="AE22">
        <f t="shared" si="0"/>
        <v>12</v>
      </c>
      <c r="AF22">
        <f t="shared" si="1"/>
        <v>60</v>
      </c>
    </row>
    <row r="23" spans="1:32" x14ac:dyDescent="0.25">
      <c r="A23">
        <v>204</v>
      </c>
      <c r="B23">
        <v>402</v>
      </c>
      <c r="C23" t="s">
        <v>0</v>
      </c>
      <c r="D23">
        <v>25105</v>
      </c>
      <c r="E23">
        <v>25105402</v>
      </c>
      <c r="F23">
        <v>2</v>
      </c>
      <c r="G23">
        <v>1</v>
      </c>
      <c r="H23">
        <v>10</v>
      </c>
      <c r="I23" t="s">
        <v>1</v>
      </c>
      <c r="J23" t="s">
        <v>2</v>
      </c>
      <c r="K23">
        <v>4678.8132169999999</v>
      </c>
      <c r="L23">
        <v>48040171.25</v>
      </c>
      <c r="M23">
        <v>4678.8132169999999</v>
      </c>
      <c r="N23">
        <v>48040171.25</v>
      </c>
      <c r="O23">
        <v>8.3747631000000003E-2</v>
      </c>
      <c r="P23">
        <v>1.5907311E-2</v>
      </c>
      <c r="Q23">
        <v>-3.4420622999999997E-2</v>
      </c>
      <c r="R23">
        <v>9.4234400000000002E-4</v>
      </c>
      <c r="S23">
        <v>0.297255198</v>
      </c>
      <c r="T23">
        <v>3.9948968000000001E-2</v>
      </c>
      <c r="U23">
        <v>0.192220838</v>
      </c>
      <c r="V23">
        <v>0.155271987</v>
      </c>
      <c r="W23">
        <v>0.82475698500000005</v>
      </c>
      <c r="X23">
        <v>0.14453289999999999</v>
      </c>
      <c r="Y23">
        <v>65</v>
      </c>
      <c r="Z23">
        <v>0</v>
      </c>
      <c r="AA23">
        <v>0.71958832500000003</v>
      </c>
      <c r="AB23">
        <v>100</v>
      </c>
      <c r="AC23">
        <v>15</v>
      </c>
      <c r="AD23">
        <v>12</v>
      </c>
      <c r="AE23">
        <f t="shared" si="0"/>
        <v>13.5</v>
      </c>
      <c r="AF23">
        <f t="shared" si="1"/>
        <v>67.5</v>
      </c>
    </row>
    <row r="24" spans="1:32" x14ac:dyDescent="0.25">
      <c r="A24">
        <v>205</v>
      </c>
      <c r="B24">
        <v>403</v>
      </c>
      <c r="C24" t="s">
        <v>0</v>
      </c>
      <c r="D24">
        <v>25105</v>
      </c>
      <c r="E24">
        <v>25105403</v>
      </c>
      <c r="F24">
        <v>3</v>
      </c>
      <c r="G24">
        <v>1</v>
      </c>
      <c r="H24">
        <v>10</v>
      </c>
      <c r="I24" t="s">
        <v>1</v>
      </c>
      <c r="J24" t="s">
        <v>2</v>
      </c>
      <c r="K24">
        <v>4350.5296099999996</v>
      </c>
      <c r="L24">
        <v>41643290.149999999</v>
      </c>
      <c r="M24">
        <v>4350.5296099999996</v>
      </c>
      <c r="N24">
        <v>41643290.149999999</v>
      </c>
      <c r="O24">
        <v>6.8891462000000001E-2</v>
      </c>
      <c r="P24">
        <v>1.5181422E-2</v>
      </c>
      <c r="Q24">
        <v>-3.9364794000000002E-2</v>
      </c>
      <c r="R24">
        <v>1.026498E-3</v>
      </c>
      <c r="S24">
        <v>0.27064185299999999</v>
      </c>
      <c r="T24">
        <v>3.6858529000000001E-2</v>
      </c>
      <c r="U24">
        <v>0.16083472900000001</v>
      </c>
      <c r="V24">
        <v>0.13496691899999999</v>
      </c>
      <c r="W24">
        <v>0.86057887799999999</v>
      </c>
      <c r="X24">
        <v>0.119982873</v>
      </c>
      <c r="Y24">
        <v>44</v>
      </c>
      <c r="Z24">
        <v>361</v>
      </c>
      <c r="AA24">
        <v>0.58725109099999995</v>
      </c>
      <c r="AB24">
        <v>100</v>
      </c>
      <c r="AC24">
        <v>9</v>
      </c>
      <c r="AD24">
        <v>11</v>
      </c>
      <c r="AE24">
        <f t="shared" si="0"/>
        <v>10</v>
      </c>
      <c r="AF24">
        <f t="shared" si="1"/>
        <v>50</v>
      </c>
    </row>
    <row r="25" spans="1:32" x14ac:dyDescent="0.25">
      <c r="A25">
        <v>206</v>
      </c>
      <c r="B25">
        <v>404</v>
      </c>
      <c r="C25" t="s">
        <v>0</v>
      </c>
      <c r="D25">
        <v>25105</v>
      </c>
      <c r="E25">
        <v>25105404</v>
      </c>
      <c r="F25">
        <v>4</v>
      </c>
      <c r="G25">
        <v>1</v>
      </c>
      <c r="H25">
        <v>10</v>
      </c>
      <c r="I25" t="s">
        <v>1</v>
      </c>
      <c r="J25" t="s">
        <v>2</v>
      </c>
      <c r="K25">
        <v>4282.980423</v>
      </c>
      <c r="L25">
        <v>32770850.239999998</v>
      </c>
      <c r="M25">
        <v>4282.980423</v>
      </c>
      <c r="N25">
        <v>32770850.239999998</v>
      </c>
      <c r="O25">
        <v>6.7099559000000003E-2</v>
      </c>
      <c r="P25">
        <v>1.2420649000000001E-2</v>
      </c>
      <c r="Q25">
        <v>-3.8912351999999997E-2</v>
      </c>
      <c r="R25">
        <v>1.2608859999999999E-3</v>
      </c>
      <c r="S25">
        <v>0.26866883899999999</v>
      </c>
      <c r="T25">
        <v>2.9626527999999999E-2</v>
      </c>
      <c r="U25">
        <v>0.14854561199999999</v>
      </c>
      <c r="V25">
        <v>0.126479813</v>
      </c>
      <c r="W25">
        <v>0.95605454199999995</v>
      </c>
      <c r="X25">
        <v>4.2014255E-2</v>
      </c>
      <c r="Y25">
        <v>124</v>
      </c>
      <c r="Z25">
        <v>0</v>
      </c>
      <c r="AA25">
        <v>0.65126375299999995</v>
      </c>
      <c r="AB25">
        <v>100</v>
      </c>
      <c r="AC25">
        <v>12</v>
      </c>
      <c r="AD25">
        <v>12</v>
      </c>
      <c r="AE25">
        <f t="shared" si="0"/>
        <v>12</v>
      </c>
      <c r="AF25">
        <f t="shared" si="1"/>
        <v>60</v>
      </c>
    </row>
    <row r="26" spans="1:32" x14ac:dyDescent="0.25">
      <c r="A26">
        <v>207</v>
      </c>
      <c r="B26">
        <v>405</v>
      </c>
      <c r="C26" t="s">
        <v>0</v>
      </c>
      <c r="D26">
        <v>25105</v>
      </c>
      <c r="E26">
        <v>25105405</v>
      </c>
      <c r="F26">
        <v>5</v>
      </c>
      <c r="G26">
        <v>1</v>
      </c>
      <c r="H26">
        <v>10</v>
      </c>
      <c r="I26" t="s">
        <v>1</v>
      </c>
      <c r="J26" t="s">
        <v>2</v>
      </c>
      <c r="K26">
        <v>4941.2946449999999</v>
      </c>
      <c r="L26">
        <v>43375719.490000002</v>
      </c>
      <c r="M26">
        <v>4941.2946449999999</v>
      </c>
      <c r="N26">
        <v>43375719.490000002</v>
      </c>
      <c r="O26">
        <v>6.0601824999999998E-2</v>
      </c>
      <c r="P26">
        <v>1.5154155000000001E-2</v>
      </c>
      <c r="Q26">
        <v>-3.7438274000000001E-2</v>
      </c>
      <c r="R26">
        <v>1.107011E-3</v>
      </c>
      <c r="S26">
        <v>0.27269539399999998</v>
      </c>
      <c r="T26">
        <v>3.8131229000000003E-2</v>
      </c>
      <c r="U26">
        <v>0.17065148499999999</v>
      </c>
      <c r="V26">
        <v>0.141529556</v>
      </c>
      <c r="W26">
        <v>0.761320416</v>
      </c>
      <c r="X26">
        <v>0.18171164000000001</v>
      </c>
      <c r="Y26">
        <v>53</v>
      </c>
      <c r="Z26">
        <v>0</v>
      </c>
      <c r="AA26">
        <v>0.65411339800000001</v>
      </c>
      <c r="AB26">
        <v>100</v>
      </c>
      <c r="AC26">
        <v>15</v>
      </c>
      <c r="AD26">
        <v>15</v>
      </c>
      <c r="AE26">
        <f t="shared" si="0"/>
        <v>15</v>
      </c>
      <c r="AF26">
        <f t="shared" si="1"/>
        <v>75</v>
      </c>
    </row>
    <row r="27" spans="1:32" x14ac:dyDescent="0.25">
      <c r="A27">
        <v>208</v>
      </c>
      <c r="B27">
        <v>406</v>
      </c>
      <c r="C27" t="s">
        <v>0</v>
      </c>
      <c r="D27">
        <v>25105</v>
      </c>
      <c r="E27">
        <v>25105406</v>
      </c>
      <c r="F27">
        <v>3</v>
      </c>
      <c r="G27">
        <v>2</v>
      </c>
      <c r="H27">
        <v>10</v>
      </c>
      <c r="I27" t="s">
        <v>1</v>
      </c>
      <c r="J27" t="s">
        <v>2</v>
      </c>
      <c r="K27">
        <v>5162.9635330000001</v>
      </c>
      <c r="L27">
        <v>48581699.700000003</v>
      </c>
      <c r="M27">
        <v>5162.9635330000001</v>
      </c>
      <c r="N27">
        <v>48581699.700000003</v>
      </c>
      <c r="O27">
        <v>7.9335705000000006E-2</v>
      </c>
      <c r="P27">
        <v>1.3924479E-2</v>
      </c>
      <c r="Q27">
        <v>-3.4471183000000002E-2</v>
      </c>
      <c r="R27">
        <v>1.117488E-3</v>
      </c>
      <c r="S27">
        <v>0.29277065699999999</v>
      </c>
      <c r="T27">
        <v>3.7065753999999999E-2</v>
      </c>
      <c r="U27">
        <v>0.17493122799999999</v>
      </c>
      <c r="V27">
        <v>0.144330294</v>
      </c>
      <c r="W27">
        <v>0.85950917299999996</v>
      </c>
      <c r="X27">
        <v>0.120753154</v>
      </c>
      <c r="Y27">
        <v>88</v>
      </c>
      <c r="Z27">
        <v>604</v>
      </c>
      <c r="AA27">
        <v>0.63115597099999998</v>
      </c>
      <c r="AB27">
        <v>100</v>
      </c>
      <c r="AC27">
        <v>16</v>
      </c>
      <c r="AD27">
        <v>17</v>
      </c>
      <c r="AE27">
        <f t="shared" si="0"/>
        <v>16.5</v>
      </c>
      <c r="AF27">
        <f t="shared" si="1"/>
        <v>82.5</v>
      </c>
    </row>
    <row r="28" spans="1:32" x14ac:dyDescent="0.25">
      <c r="A28">
        <v>209</v>
      </c>
      <c r="B28">
        <v>407</v>
      </c>
      <c r="C28" t="s">
        <v>0</v>
      </c>
      <c r="D28">
        <v>25105</v>
      </c>
      <c r="E28">
        <v>25105407</v>
      </c>
      <c r="F28">
        <v>2</v>
      </c>
      <c r="G28">
        <v>2</v>
      </c>
      <c r="H28">
        <v>10</v>
      </c>
      <c r="I28" t="s">
        <v>1</v>
      </c>
      <c r="J28" t="s">
        <v>2</v>
      </c>
      <c r="K28">
        <v>5196.4487829999998</v>
      </c>
      <c r="L28">
        <v>74301399.069999993</v>
      </c>
      <c r="M28">
        <v>5196.4487829999998</v>
      </c>
      <c r="N28">
        <v>74301399.069999993</v>
      </c>
      <c r="O28">
        <v>6.2894977000000005E-2</v>
      </c>
      <c r="P28">
        <v>1.2216677E-2</v>
      </c>
      <c r="Q28">
        <v>-3.8897976000000001E-2</v>
      </c>
      <c r="R28">
        <v>8.2736699999999997E-4</v>
      </c>
      <c r="S28">
        <v>0.27490436699999998</v>
      </c>
      <c r="T28">
        <v>3.6801188999999998E-2</v>
      </c>
      <c r="U28">
        <v>0.17199608299999999</v>
      </c>
      <c r="V28">
        <v>0.14241343000000001</v>
      </c>
      <c r="W28">
        <v>0.50527181300000001</v>
      </c>
      <c r="X28">
        <v>0.249972208</v>
      </c>
      <c r="Y28">
        <v>28</v>
      </c>
      <c r="Z28">
        <v>1430</v>
      </c>
      <c r="AA28">
        <v>0.63048314599999999</v>
      </c>
      <c r="AB28">
        <v>100</v>
      </c>
      <c r="AC28">
        <v>14</v>
      </c>
      <c r="AD28">
        <v>12</v>
      </c>
      <c r="AE28">
        <f t="shared" si="0"/>
        <v>13</v>
      </c>
      <c r="AF28">
        <f t="shared" si="1"/>
        <v>65</v>
      </c>
    </row>
    <row r="29" spans="1:32" x14ac:dyDescent="0.25">
      <c r="A29">
        <v>210</v>
      </c>
      <c r="B29">
        <v>408</v>
      </c>
      <c r="C29" t="s">
        <v>0</v>
      </c>
      <c r="D29">
        <v>25105</v>
      </c>
      <c r="E29">
        <v>25105408</v>
      </c>
      <c r="F29">
        <v>4</v>
      </c>
      <c r="G29">
        <v>2</v>
      </c>
      <c r="H29">
        <v>10</v>
      </c>
      <c r="I29" t="s">
        <v>1</v>
      </c>
      <c r="J29" t="s">
        <v>2</v>
      </c>
      <c r="K29">
        <v>4250.396479</v>
      </c>
      <c r="L29">
        <v>60033195.420000002</v>
      </c>
      <c r="M29">
        <v>4250.396479</v>
      </c>
      <c r="N29">
        <v>60033195.420000002</v>
      </c>
      <c r="O29">
        <v>6.2357559E-2</v>
      </c>
      <c r="P29">
        <v>8.7619510000000005E-3</v>
      </c>
      <c r="Q29">
        <v>-3.9097587000000003E-2</v>
      </c>
      <c r="R29">
        <v>8.5926999999999998E-4</v>
      </c>
      <c r="S29">
        <v>0.26656383700000003</v>
      </c>
      <c r="T29">
        <v>2.8038897E-2</v>
      </c>
      <c r="U29">
        <v>0.14199088600000001</v>
      </c>
      <c r="V29">
        <v>0.12182947500000001</v>
      </c>
      <c r="W29">
        <v>0.83251213899999998</v>
      </c>
      <c r="X29">
        <v>0.13943567800000001</v>
      </c>
      <c r="Y29">
        <v>73</v>
      </c>
      <c r="Z29">
        <v>1144</v>
      </c>
      <c r="AA29">
        <v>0.56772434199999999</v>
      </c>
      <c r="AB29">
        <v>100</v>
      </c>
      <c r="AC29">
        <v>14</v>
      </c>
      <c r="AD29">
        <v>13</v>
      </c>
      <c r="AE29">
        <f t="shared" si="0"/>
        <v>13.5</v>
      </c>
      <c r="AF29">
        <f t="shared" si="1"/>
        <v>67.5</v>
      </c>
    </row>
    <row r="30" spans="1:32" x14ac:dyDescent="0.25">
      <c r="A30">
        <v>211</v>
      </c>
      <c r="B30">
        <v>409</v>
      </c>
      <c r="C30" t="s">
        <v>0</v>
      </c>
      <c r="D30">
        <v>25105</v>
      </c>
      <c r="E30">
        <v>25105409</v>
      </c>
      <c r="F30">
        <v>1</v>
      </c>
      <c r="G30">
        <v>2</v>
      </c>
      <c r="H30">
        <v>10</v>
      </c>
      <c r="I30" t="s">
        <v>1</v>
      </c>
      <c r="J30" t="s">
        <v>2</v>
      </c>
      <c r="K30">
        <v>4422.4376060000004</v>
      </c>
      <c r="L30">
        <v>56534315.590000004</v>
      </c>
      <c r="M30">
        <v>4422.4376060000004</v>
      </c>
      <c r="N30">
        <v>56534315.590000004</v>
      </c>
      <c r="O30">
        <v>8.6079277999999995E-2</v>
      </c>
      <c r="P30">
        <v>9.6994290000000007E-3</v>
      </c>
      <c r="Q30">
        <v>-3.4081260000000002E-2</v>
      </c>
      <c r="R30">
        <v>1.2738529999999999E-3</v>
      </c>
      <c r="S30">
        <v>0.29572651</v>
      </c>
      <c r="T30">
        <v>2.9294371E-2</v>
      </c>
      <c r="U30">
        <v>0.17072873299999999</v>
      </c>
      <c r="V30">
        <v>0.14158043300000001</v>
      </c>
      <c r="W30">
        <v>0.96045197699999996</v>
      </c>
      <c r="X30">
        <v>3.7983977000000002E-2</v>
      </c>
      <c r="Y30">
        <v>132</v>
      </c>
      <c r="Z30">
        <v>840</v>
      </c>
      <c r="AA30">
        <v>0.69071424699999995</v>
      </c>
      <c r="AB30">
        <v>100</v>
      </c>
      <c r="AC30">
        <v>10</v>
      </c>
      <c r="AD30">
        <v>14</v>
      </c>
      <c r="AE30">
        <f t="shared" si="0"/>
        <v>12</v>
      </c>
      <c r="AF30">
        <f t="shared" si="1"/>
        <v>60</v>
      </c>
    </row>
    <row r="31" spans="1:32" x14ac:dyDescent="0.25">
      <c r="A31">
        <v>194</v>
      </c>
      <c r="B31">
        <v>501</v>
      </c>
      <c r="C31" t="s">
        <v>0</v>
      </c>
      <c r="D31">
        <v>25105</v>
      </c>
      <c r="E31">
        <v>25105501</v>
      </c>
      <c r="F31">
        <v>4</v>
      </c>
      <c r="G31">
        <v>4</v>
      </c>
      <c r="H31">
        <v>10</v>
      </c>
      <c r="I31" t="s">
        <v>1</v>
      </c>
      <c r="J31" t="s">
        <v>2</v>
      </c>
      <c r="K31">
        <v>4473.803242</v>
      </c>
      <c r="L31">
        <v>37992306.700000003</v>
      </c>
      <c r="M31">
        <v>4473.803242</v>
      </c>
      <c r="N31">
        <v>37992306.700000003</v>
      </c>
      <c r="O31">
        <v>9.7607850999999995E-2</v>
      </c>
      <c r="P31">
        <v>1.1750942E-2</v>
      </c>
      <c r="Q31">
        <v>-3.0400244E-2</v>
      </c>
      <c r="R31">
        <v>1.0887749999999999E-3</v>
      </c>
      <c r="S31">
        <v>0.29253575799999998</v>
      </c>
      <c r="T31">
        <v>2.9676702999999999E-2</v>
      </c>
      <c r="U31">
        <v>0.15822993299999999</v>
      </c>
      <c r="V31">
        <v>0.133193221</v>
      </c>
      <c r="W31">
        <v>0.96070977700000004</v>
      </c>
      <c r="X31">
        <v>3.7746502000000001E-2</v>
      </c>
      <c r="Y31">
        <v>139</v>
      </c>
      <c r="Z31">
        <v>0</v>
      </c>
      <c r="AA31">
        <v>0.64228367500000005</v>
      </c>
      <c r="AB31">
        <v>100</v>
      </c>
      <c r="AC31">
        <v>10</v>
      </c>
      <c r="AD31">
        <v>12</v>
      </c>
      <c r="AE31">
        <f t="shared" si="0"/>
        <v>11</v>
      </c>
      <c r="AF31">
        <f t="shared" si="1"/>
        <v>55</v>
      </c>
    </row>
    <row r="32" spans="1:32" x14ac:dyDescent="0.25">
      <c r="A32">
        <v>195</v>
      </c>
      <c r="B32">
        <v>502</v>
      </c>
      <c r="C32" t="s">
        <v>0</v>
      </c>
      <c r="D32">
        <v>25105</v>
      </c>
      <c r="E32">
        <v>25105502</v>
      </c>
      <c r="F32">
        <v>2</v>
      </c>
      <c r="G32">
        <v>4</v>
      </c>
      <c r="H32">
        <v>10</v>
      </c>
      <c r="I32" t="s">
        <v>1</v>
      </c>
      <c r="J32" t="s">
        <v>2</v>
      </c>
      <c r="K32">
        <v>4286.2088240000003</v>
      </c>
      <c r="L32">
        <v>50505043.490000002</v>
      </c>
      <c r="M32">
        <v>4286.2088240000003</v>
      </c>
      <c r="N32">
        <v>50505043.490000002</v>
      </c>
      <c r="O32">
        <v>9.7434206999999995E-2</v>
      </c>
      <c r="P32">
        <v>1.3511108000000001E-2</v>
      </c>
      <c r="Q32">
        <v>-2.816683E-2</v>
      </c>
      <c r="R32">
        <v>9.72586E-4</v>
      </c>
      <c r="S32">
        <v>0.29956638400000002</v>
      </c>
      <c r="T32">
        <v>3.3760475999999998E-2</v>
      </c>
      <c r="U32">
        <v>0.16901833799999999</v>
      </c>
      <c r="V32">
        <v>0.14045114</v>
      </c>
      <c r="W32">
        <v>0.91550384799999995</v>
      </c>
      <c r="X32">
        <v>7.7356551999999995E-2</v>
      </c>
      <c r="Y32">
        <v>102</v>
      </c>
      <c r="Z32">
        <v>1109</v>
      </c>
      <c r="AA32">
        <v>0.682668728</v>
      </c>
      <c r="AB32">
        <v>90</v>
      </c>
      <c r="AC32">
        <v>9</v>
      </c>
      <c r="AD32">
        <v>12</v>
      </c>
      <c r="AE32">
        <f t="shared" si="0"/>
        <v>10.5</v>
      </c>
      <c r="AF32">
        <f t="shared" si="1"/>
        <v>52.5</v>
      </c>
    </row>
    <row r="33" spans="1:32" x14ac:dyDescent="0.25">
      <c r="A33">
        <v>196</v>
      </c>
      <c r="B33">
        <v>503</v>
      </c>
      <c r="C33" t="s">
        <v>0</v>
      </c>
      <c r="D33">
        <v>25105</v>
      </c>
      <c r="E33">
        <v>25105503</v>
      </c>
      <c r="F33">
        <v>5</v>
      </c>
      <c r="G33">
        <v>4</v>
      </c>
      <c r="H33">
        <v>10</v>
      </c>
      <c r="I33" t="s">
        <v>1</v>
      </c>
      <c r="J33" t="s">
        <v>2</v>
      </c>
      <c r="K33">
        <v>4856.210967</v>
      </c>
      <c r="L33">
        <v>50759490.380000003</v>
      </c>
      <c r="M33">
        <v>4856.210967</v>
      </c>
      <c r="N33">
        <v>50759490.380000003</v>
      </c>
      <c r="O33">
        <v>9.4177726000000003E-2</v>
      </c>
      <c r="P33">
        <v>1.3651978E-2</v>
      </c>
      <c r="Q33">
        <v>-3.1124354E-2</v>
      </c>
      <c r="R33">
        <v>1.0810539999999999E-3</v>
      </c>
      <c r="S33">
        <v>0.299462803</v>
      </c>
      <c r="T33">
        <v>3.5205089000000002E-2</v>
      </c>
      <c r="U33">
        <v>0.186167993</v>
      </c>
      <c r="V33">
        <v>0.15150947100000001</v>
      </c>
      <c r="W33">
        <v>0.98639043699999995</v>
      </c>
      <c r="X33">
        <v>1.3424343E-2</v>
      </c>
      <c r="Y33">
        <v>87</v>
      </c>
      <c r="Z33">
        <v>0</v>
      </c>
      <c r="AA33">
        <v>0.66826877799999995</v>
      </c>
      <c r="AB33">
        <v>100</v>
      </c>
      <c r="AC33">
        <v>11</v>
      </c>
      <c r="AD33">
        <v>13</v>
      </c>
      <c r="AE33">
        <f t="shared" si="0"/>
        <v>12</v>
      </c>
      <c r="AF33">
        <f t="shared" si="1"/>
        <v>60</v>
      </c>
    </row>
    <row r="34" spans="1:32" x14ac:dyDescent="0.25">
      <c r="A34">
        <v>197</v>
      </c>
      <c r="B34">
        <v>504</v>
      </c>
      <c r="C34" t="s">
        <v>0</v>
      </c>
      <c r="D34">
        <v>25105</v>
      </c>
      <c r="E34">
        <v>25105504</v>
      </c>
      <c r="F34">
        <v>5</v>
      </c>
      <c r="G34">
        <v>3</v>
      </c>
      <c r="H34">
        <v>10</v>
      </c>
      <c r="I34" t="s">
        <v>1</v>
      </c>
      <c r="J34" t="s">
        <v>2</v>
      </c>
      <c r="K34">
        <v>4311.791491</v>
      </c>
      <c r="L34">
        <v>42550452.780000001</v>
      </c>
      <c r="M34">
        <v>4311.791491</v>
      </c>
      <c r="N34">
        <v>42550452.780000001</v>
      </c>
      <c r="O34">
        <v>9.1325030000000001E-2</v>
      </c>
      <c r="P34">
        <v>1.3353744000000001E-2</v>
      </c>
      <c r="Q34">
        <v>-3.0840307000000001E-2</v>
      </c>
      <c r="R34">
        <v>1.3381179999999999E-3</v>
      </c>
      <c r="S34">
        <v>0.29759479100000003</v>
      </c>
      <c r="T34">
        <v>3.4447450999999997E-2</v>
      </c>
      <c r="U34">
        <v>0.179038369</v>
      </c>
      <c r="V34">
        <v>0.146983632</v>
      </c>
      <c r="W34">
        <v>0.96308796500000005</v>
      </c>
      <c r="X34">
        <v>3.5549536999999999E-2</v>
      </c>
      <c r="Y34">
        <v>115</v>
      </c>
      <c r="Z34">
        <v>1282</v>
      </c>
      <c r="AA34">
        <v>0.77873237399999995</v>
      </c>
      <c r="AB34">
        <v>100</v>
      </c>
      <c r="AC34">
        <v>13</v>
      </c>
      <c r="AD34">
        <v>12</v>
      </c>
      <c r="AE34">
        <f t="shared" si="0"/>
        <v>12.5</v>
      </c>
      <c r="AF34">
        <f t="shared" si="1"/>
        <v>62.5</v>
      </c>
    </row>
    <row r="35" spans="1:32" x14ac:dyDescent="0.25">
      <c r="A35">
        <v>198</v>
      </c>
      <c r="B35">
        <v>505</v>
      </c>
      <c r="C35" t="s">
        <v>0</v>
      </c>
      <c r="D35">
        <v>25105</v>
      </c>
      <c r="E35">
        <v>25105505</v>
      </c>
      <c r="F35">
        <v>3</v>
      </c>
      <c r="G35">
        <v>3</v>
      </c>
      <c r="H35">
        <v>10</v>
      </c>
      <c r="I35" t="s">
        <v>1</v>
      </c>
      <c r="J35" t="s">
        <v>2</v>
      </c>
      <c r="K35">
        <v>4091.9620639999998</v>
      </c>
      <c r="L35">
        <v>42684971.880000003</v>
      </c>
      <c r="M35">
        <v>4091.9620639999998</v>
      </c>
      <c r="N35">
        <v>42684971.880000003</v>
      </c>
      <c r="O35">
        <v>6.0283919999999998E-2</v>
      </c>
      <c r="P35">
        <v>1.2388283E-2</v>
      </c>
      <c r="Q35">
        <v>-3.5580342000000001E-2</v>
      </c>
      <c r="R35">
        <v>8.74317E-4</v>
      </c>
      <c r="S35">
        <v>0.26255451899999999</v>
      </c>
      <c r="T35">
        <v>3.3957521999999997E-2</v>
      </c>
      <c r="U35">
        <v>0.14061042400000001</v>
      </c>
      <c r="V35">
        <v>0.120839133</v>
      </c>
      <c r="W35">
        <v>0.91767027400000001</v>
      </c>
      <c r="X35">
        <v>7.5551541999999999E-2</v>
      </c>
      <c r="Y35">
        <v>94</v>
      </c>
      <c r="Z35">
        <v>1252</v>
      </c>
      <c r="AA35">
        <v>0.81420300899999998</v>
      </c>
      <c r="AB35">
        <v>85</v>
      </c>
      <c r="AC35">
        <v>16</v>
      </c>
      <c r="AD35">
        <v>15</v>
      </c>
      <c r="AE35">
        <f t="shared" si="0"/>
        <v>15.5</v>
      </c>
      <c r="AF35">
        <f t="shared" si="1"/>
        <v>77.5</v>
      </c>
    </row>
    <row r="36" spans="1:32" x14ac:dyDescent="0.25">
      <c r="A36">
        <v>199</v>
      </c>
      <c r="B36">
        <v>506</v>
      </c>
      <c r="C36" t="s">
        <v>0</v>
      </c>
      <c r="D36">
        <v>25105</v>
      </c>
      <c r="E36">
        <v>25105506</v>
      </c>
      <c r="F36">
        <v>1</v>
      </c>
      <c r="G36">
        <v>3</v>
      </c>
      <c r="H36">
        <v>10</v>
      </c>
      <c r="I36" t="s">
        <v>1</v>
      </c>
      <c r="J36" t="s">
        <v>2</v>
      </c>
      <c r="K36">
        <v>4936.6766129999996</v>
      </c>
      <c r="L36">
        <v>46302915.68</v>
      </c>
      <c r="M36">
        <v>4936.6766129999996</v>
      </c>
      <c r="N36">
        <v>46302915.68</v>
      </c>
      <c r="O36">
        <v>8.7046396999999998E-2</v>
      </c>
      <c r="P36">
        <v>1.1492198E-2</v>
      </c>
      <c r="Q36">
        <v>-3.0045459E-2</v>
      </c>
      <c r="R36">
        <v>1.31723E-3</v>
      </c>
      <c r="S36">
        <v>0.29759772800000001</v>
      </c>
      <c r="T36">
        <v>3.1895360999999997E-2</v>
      </c>
      <c r="U36">
        <v>0.17034025</v>
      </c>
      <c r="V36">
        <v>0.14132444899999999</v>
      </c>
      <c r="W36">
        <v>0.942314133</v>
      </c>
      <c r="X36">
        <v>5.4358207999999998E-2</v>
      </c>
      <c r="Y36">
        <v>134</v>
      </c>
      <c r="Z36">
        <v>1552</v>
      </c>
      <c r="AA36">
        <v>0.757818573</v>
      </c>
      <c r="AB36">
        <v>100</v>
      </c>
      <c r="AC36">
        <v>10</v>
      </c>
      <c r="AD36">
        <v>15</v>
      </c>
      <c r="AE36">
        <f t="shared" si="0"/>
        <v>12.5</v>
      </c>
      <c r="AF36">
        <f t="shared" si="1"/>
        <v>62.5</v>
      </c>
    </row>
    <row r="37" spans="1:32" x14ac:dyDescent="0.25">
      <c r="A37">
        <v>200</v>
      </c>
      <c r="B37">
        <v>507</v>
      </c>
      <c r="C37" t="s">
        <v>0</v>
      </c>
      <c r="D37">
        <v>25105</v>
      </c>
      <c r="E37">
        <v>25105507</v>
      </c>
      <c r="F37">
        <v>2</v>
      </c>
      <c r="G37">
        <v>3</v>
      </c>
      <c r="H37">
        <v>10</v>
      </c>
      <c r="I37" t="s">
        <v>1</v>
      </c>
      <c r="J37" t="s">
        <v>2</v>
      </c>
      <c r="K37">
        <v>5620.012839</v>
      </c>
      <c r="L37">
        <v>78249360.340000004</v>
      </c>
      <c r="M37">
        <v>5620.012839</v>
      </c>
      <c r="N37">
        <v>78249360.340000004</v>
      </c>
      <c r="O37">
        <v>7.8598623000000006E-2</v>
      </c>
      <c r="P37">
        <v>1.1181482E-2</v>
      </c>
      <c r="Q37">
        <v>-3.3868450000000001E-2</v>
      </c>
      <c r="R37">
        <v>8.7739199999999995E-4</v>
      </c>
      <c r="S37">
        <v>0.29447358400000001</v>
      </c>
      <c r="T37">
        <v>3.6071647999999998E-2</v>
      </c>
      <c r="U37">
        <v>0.18869240300000001</v>
      </c>
      <c r="V37">
        <v>0.15308758</v>
      </c>
      <c r="W37">
        <v>0.89286425899999999</v>
      </c>
      <c r="X37">
        <v>9.5657673999999998E-2</v>
      </c>
      <c r="Y37">
        <v>120</v>
      </c>
      <c r="Z37">
        <v>1595</v>
      </c>
      <c r="AA37">
        <v>0.77628760699999999</v>
      </c>
      <c r="AB37">
        <v>100</v>
      </c>
      <c r="AC37">
        <v>14</v>
      </c>
      <c r="AD37">
        <v>13</v>
      </c>
      <c r="AE37">
        <f t="shared" si="0"/>
        <v>13.5</v>
      </c>
      <c r="AF37">
        <f t="shared" si="1"/>
        <v>67.5</v>
      </c>
    </row>
    <row r="38" spans="1:32" x14ac:dyDescent="0.25">
      <c r="A38">
        <v>201</v>
      </c>
      <c r="B38">
        <v>508</v>
      </c>
      <c r="C38" t="s">
        <v>0</v>
      </c>
      <c r="D38">
        <v>25105</v>
      </c>
      <c r="E38">
        <v>25105508</v>
      </c>
      <c r="F38">
        <v>4</v>
      </c>
      <c r="G38">
        <v>3</v>
      </c>
      <c r="H38">
        <v>10</v>
      </c>
      <c r="I38" t="s">
        <v>1</v>
      </c>
      <c r="J38" t="s">
        <v>2</v>
      </c>
      <c r="K38">
        <v>4426.7421059999997</v>
      </c>
      <c r="L38">
        <v>61703113.490000002</v>
      </c>
      <c r="M38">
        <v>4426.7421059999997</v>
      </c>
      <c r="N38">
        <v>61703113.490000002</v>
      </c>
      <c r="O38">
        <v>7.3106636000000003E-2</v>
      </c>
      <c r="P38">
        <v>8.5303960000000009E-3</v>
      </c>
      <c r="Q38">
        <v>-3.2030614999999998E-2</v>
      </c>
      <c r="R38">
        <v>9.29322E-4</v>
      </c>
      <c r="S38">
        <v>0.278309641</v>
      </c>
      <c r="T38">
        <v>2.7371650000000001E-2</v>
      </c>
      <c r="U38">
        <v>0.142617931</v>
      </c>
      <c r="V38">
        <v>0.122278057</v>
      </c>
      <c r="W38">
        <v>0.89241974800000001</v>
      </c>
      <c r="X38">
        <v>9.6006741000000007E-2</v>
      </c>
      <c r="Y38">
        <v>67</v>
      </c>
      <c r="Z38">
        <v>0</v>
      </c>
      <c r="AA38">
        <v>0.68555196699999998</v>
      </c>
      <c r="AB38">
        <v>100</v>
      </c>
      <c r="AC38">
        <v>9</v>
      </c>
      <c r="AD38">
        <v>14</v>
      </c>
      <c r="AE38">
        <f t="shared" si="0"/>
        <v>11.5</v>
      </c>
      <c r="AF38">
        <f t="shared" si="1"/>
        <v>57.5</v>
      </c>
    </row>
    <row r="39" spans="1:32" x14ac:dyDescent="0.25">
      <c r="A39">
        <v>202</v>
      </c>
      <c r="B39">
        <v>509</v>
      </c>
      <c r="C39" t="s">
        <v>0</v>
      </c>
      <c r="D39">
        <v>25105</v>
      </c>
      <c r="E39">
        <v>25105509</v>
      </c>
      <c r="F39">
        <v>5</v>
      </c>
      <c r="G39">
        <v>2</v>
      </c>
      <c r="H39">
        <v>10</v>
      </c>
      <c r="I39" t="s">
        <v>1</v>
      </c>
      <c r="J39" t="s">
        <v>2</v>
      </c>
      <c r="K39">
        <v>5450.4280250000002</v>
      </c>
      <c r="L39">
        <v>79632886.730000004</v>
      </c>
      <c r="M39">
        <v>5450.4280250000002</v>
      </c>
      <c r="N39">
        <v>79632886.730000004</v>
      </c>
      <c r="O39">
        <v>0.11407442199999999</v>
      </c>
      <c r="P39">
        <v>1.0644867000000001E-2</v>
      </c>
      <c r="Q39">
        <v>-2.3419694000000001E-2</v>
      </c>
      <c r="R39">
        <v>1.3056420000000001E-3</v>
      </c>
      <c r="S39">
        <v>0.32945167800000003</v>
      </c>
      <c r="T39">
        <v>3.3707028999999999E-2</v>
      </c>
      <c r="U39">
        <v>0.20753948899999999</v>
      </c>
      <c r="V39">
        <v>0.164466849</v>
      </c>
      <c r="W39">
        <v>0.98427109599999996</v>
      </c>
      <c r="X39">
        <v>1.5481505E-2</v>
      </c>
      <c r="Y39">
        <v>132</v>
      </c>
      <c r="Z39">
        <v>0</v>
      </c>
      <c r="AA39">
        <v>0.85520816399999999</v>
      </c>
      <c r="AB39">
        <v>100</v>
      </c>
      <c r="AC39">
        <v>14</v>
      </c>
      <c r="AD39">
        <v>14</v>
      </c>
      <c r="AE39">
        <f t="shared" si="0"/>
        <v>14</v>
      </c>
      <c r="AF39">
        <f t="shared" si="1"/>
        <v>70</v>
      </c>
    </row>
    <row r="40" spans="1:32" x14ac:dyDescent="0.25">
      <c r="A40">
        <v>185</v>
      </c>
      <c r="B40">
        <v>601</v>
      </c>
      <c r="C40" t="s">
        <v>0</v>
      </c>
      <c r="D40">
        <v>25105</v>
      </c>
      <c r="E40">
        <v>25105601</v>
      </c>
      <c r="F40">
        <v>1</v>
      </c>
      <c r="G40">
        <v>4</v>
      </c>
      <c r="H40">
        <v>10</v>
      </c>
      <c r="I40" t="s">
        <v>1</v>
      </c>
      <c r="J40" t="s">
        <v>2</v>
      </c>
      <c r="K40">
        <v>5730.4404519999998</v>
      </c>
      <c r="L40">
        <v>49596953.829999998</v>
      </c>
      <c r="M40">
        <v>5730.4404519999998</v>
      </c>
      <c r="N40">
        <v>49596953.829999998</v>
      </c>
      <c r="O40">
        <v>0.12810602099999999</v>
      </c>
      <c r="P40">
        <v>1.4371135E-2</v>
      </c>
      <c r="Q40">
        <v>-1.7896377000000002E-2</v>
      </c>
      <c r="R40">
        <v>1.3243650000000001E-3</v>
      </c>
      <c r="S40">
        <v>0.34037263099999998</v>
      </c>
      <c r="T40">
        <v>3.5852569000000001E-2</v>
      </c>
      <c r="U40">
        <v>0.239044649</v>
      </c>
      <c r="V40">
        <v>0.18190230499999999</v>
      </c>
      <c r="W40">
        <v>0.97504140399999994</v>
      </c>
      <c r="X40">
        <v>2.4335664999999999E-2</v>
      </c>
      <c r="Y40">
        <v>140</v>
      </c>
      <c r="Z40">
        <v>1237</v>
      </c>
      <c r="AA40">
        <v>0.72786906500000004</v>
      </c>
      <c r="AB40">
        <v>95</v>
      </c>
      <c r="AC40">
        <v>13</v>
      </c>
      <c r="AD40">
        <v>12</v>
      </c>
      <c r="AE40">
        <f t="shared" si="0"/>
        <v>12.5</v>
      </c>
      <c r="AF40">
        <f t="shared" si="1"/>
        <v>62.5</v>
      </c>
    </row>
    <row r="41" spans="1:32" x14ac:dyDescent="0.25">
      <c r="A41">
        <v>186</v>
      </c>
      <c r="B41">
        <v>602</v>
      </c>
      <c r="C41" t="s">
        <v>0</v>
      </c>
      <c r="D41">
        <v>25105</v>
      </c>
      <c r="E41">
        <v>25105602</v>
      </c>
      <c r="F41">
        <v>3</v>
      </c>
      <c r="G41">
        <v>4</v>
      </c>
      <c r="H41">
        <v>10</v>
      </c>
      <c r="I41" t="s">
        <v>1</v>
      </c>
      <c r="J41" t="s">
        <v>2</v>
      </c>
      <c r="K41">
        <v>5292.1262889999998</v>
      </c>
      <c r="L41">
        <v>54926839.759999998</v>
      </c>
      <c r="M41">
        <v>5292.1262889999998</v>
      </c>
      <c r="N41">
        <v>54926839.759999998</v>
      </c>
      <c r="O41">
        <v>9.8336567999999999E-2</v>
      </c>
      <c r="P41">
        <v>1.4453802999999999E-2</v>
      </c>
      <c r="Q41">
        <v>-2.6424356999999999E-2</v>
      </c>
      <c r="R41">
        <v>9.0793000000000004E-4</v>
      </c>
      <c r="S41">
        <v>0.31172395899999999</v>
      </c>
      <c r="T41">
        <v>3.8550257999999997E-2</v>
      </c>
      <c r="U41">
        <v>0.191636629</v>
      </c>
      <c r="V41">
        <v>0.15491203200000001</v>
      </c>
      <c r="W41">
        <v>0.96396838699999998</v>
      </c>
      <c r="X41">
        <v>3.4733335999999997E-2</v>
      </c>
      <c r="Y41">
        <v>116</v>
      </c>
      <c r="Z41">
        <v>691</v>
      </c>
      <c r="AA41">
        <v>0.72686449200000003</v>
      </c>
      <c r="AB41">
        <v>95</v>
      </c>
      <c r="AC41">
        <v>13</v>
      </c>
      <c r="AD41">
        <v>15</v>
      </c>
      <c r="AE41">
        <f t="shared" si="0"/>
        <v>14</v>
      </c>
      <c r="AF41">
        <f t="shared" si="1"/>
        <v>70</v>
      </c>
    </row>
    <row r="42" spans="1:32" x14ac:dyDescent="0.25">
      <c r="A42">
        <v>176</v>
      </c>
      <c r="B42">
        <v>701</v>
      </c>
      <c r="C42" t="s">
        <v>0</v>
      </c>
      <c r="D42">
        <v>25106</v>
      </c>
      <c r="E42">
        <v>25106701</v>
      </c>
      <c r="F42">
        <v>1</v>
      </c>
      <c r="G42">
        <v>1</v>
      </c>
      <c r="H42">
        <v>10</v>
      </c>
      <c r="I42" t="s">
        <v>1</v>
      </c>
      <c r="J42" t="s">
        <v>2</v>
      </c>
      <c r="K42">
        <v>3840.9585569999999</v>
      </c>
      <c r="L42">
        <v>36938638.390000001</v>
      </c>
      <c r="M42">
        <v>3840.9585569999999</v>
      </c>
      <c r="N42">
        <v>36938638.390000001</v>
      </c>
      <c r="O42">
        <v>7.5398200999999998E-2</v>
      </c>
      <c r="P42">
        <v>6.8575629999999997E-3</v>
      </c>
      <c r="Q42">
        <v>-3.1351003000000002E-2</v>
      </c>
      <c r="R42">
        <v>6.4137299999999999E-4</v>
      </c>
      <c r="S42">
        <v>0.28161452799999998</v>
      </c>
      <c r="T42">
        <v>2.0839948E-2</v>
      </c>
      <c r="U42">
        <v>0.117871507</v>
      </c>
      <c r="V42">
        <v>0.103977815</v>
      </c>
      <c r="W42">
        <v>0.92385629800000002</v>
      </c>
      <c r="X42">
        <v>7.0345838999999993E-2</v>
      </c>
      <c r="Y42">
        <v>98</v>
      </c>
      <c r="Z42">
        <v>1542</v>
      </c>
      <c r="AA42">
        <v>0.76417356299999994</v>
      </c>
      <c r="AB42">
        <v>95</v>
      </c>
      <c r="AC42">
        <v>14</v>
      </c>
      <c r="AD42">
        <v>12</v>
      </c>
      <c r="AE42">
        <f t="shared" si="0"/>
        <v>13</v>
      </c>
      <c r="AF42">
        <f t="shared" si="1"/>
        <v>65</v>
      </c>
    </row>
    <row r="43" spans="1:32" x14ac:dyDescent="0.25">
      <c r="A43">
        <v>177</v>
      </c>
      <c r="B43">
        <v>702</v>
      </c>
      <c r="C43" t="s">
        <v>0</v>
      </c>
      <c r="D43">
        <v>25106</v>
      </c>
      <c r="E43">
        <v>25106702</v>
      </c>
      <c r="F43">
        <v>2</v>
      </c>
      <c r="G43">
        <v>1</v>
      </c>
      <c r="H43">
        <v>10</v>
      </c>
      <c r="I43" t="s">
        <v>1</v>
      </c>
      <c r="J43" t="s">
        <v>2</v>
      </c>
      <c r="K43">
        <v>3720.992401</v>
      </c>
      <c r="L43">
        <v>37315761.640000001</v>
      </c>
      <c r="M43">
        <v>3720.992401</v>
      </c>
      <c r="N43">
        <v>37315761.640000001</v>
      </c>
      <c r="O43">
        <v>6.4948790000000006E-2</v>
      </c>
      <c r="P43">
        <v>7.6113689999999998E-3</v>
      </c>
      <c r="Q43">
        <v>-3.2745560999999999E-2</v>
      </c>
      <c r="R43">
        <v>6.71135E-4</v>
      </c>
      <c r="S43">
        <v>0.27061297499999998</v>
      </c>
      <c r="T43">
        <v>2.2727529E-2</v>
      </c>
      <c r="U43">
        <v>0.11534778699999999</v>
      </c>
      <c r="V43">
        <v>0.102042675</v>
      </c>
      <c r="W43">
        <v>0.95709392699999996</v>
      </c>
      <c r="X43">
        <v>4.1065141999999999E-2</v>
      </c>
      <c r="Y43">
        <v>120</v>
      </c>
      <c r="Z43">
        <v>1239</v>
      </c>
      <c r="AA43">
        <v>0.65016756899999995</v>
      </c>
      <c r="AB43">
        <v>100</v>
      </c>
      <c r="AC43">
        <v>12</v>
      </c>
      <c r="AD43">
        <v>14</v>
      </c>
      <c r="AE43">
        <f t="shared" si="0"/>
        <v>13</v>
      </c>
      <c r="AF43">
        <f t="shared" si="1"/>
        <v>65</v>
      </c>
    </row>
    <row r="44" spans="1:32" x14ac:dyDescent="0.25">
      <c r="A44">
        <v>178</v>
      </c>
      <c r="B44">
        <v>703</v>
      </c>
      <c r="C44" t="s">
        <v>0</v>
      </c>
      <c r="D44">
        <v>25106</v>
      </c>
      <c r="E44">
        <v>25106703</v>
      </c>
      <c r="F44">
        <v>3</v>
      </c>
      <c r="G44">
        <v>1</v>
      </c>
      <c r="H44">
        <v>10</v>
      </c>
      <c r="I44" t="s">
        <v>1</v>
      </c>
      <c r="J44" t="s">
        <v>2</v>
      </c>
      <c r="K44">
        <v>4188.3013689999998</v>
      </c>
      <c r="L44">
        <v>36362179.310000002</v>
      </c>
      <c r="M44">
        <v>4188.3013689999998</v>
      </c>
      <c r="N44">
        <v>36362179.310000002</v>
      </c>
      <c r="O44">
        <v>8.1973767000000003E-2</v>
      </c>
      <c r="P44">
        <v>9.0497419999999995E-3</v>
      </c>
      <c r="Q44">
        <v>-2.7821861E-2</v>
      </c>
      <c r="R44">
        <v>8.15911E-4</v>
      </c>
      <c r="S44">
        <v>0.28588971899999999</v>
      </c>
      <c r="T44">
        <v>2.5084217999999998E-2</v>
      </c>
      <c r="U44">
        <v>0.13943196199999999</v>
      </c>
      <c r="V44">
        <v>0.11999069</v>
      </c>
      <c r="W44">
        <v>0.93182094500000001</v>
      </c>
      <c r="X44">
        <v>6.3530671999999996E-2</v>
      </c>
      <c r="Y44">
        <v>149</v>
      </c>
      <c r="Z44">
        <v>975</v>
      </c>
      <c r="AA44">
        <v>0.879715519</v>
      </c>
      <c r="AB44">
        <v>100</v>
      </c>
      <c r="AC44">
        <v>12</v>
      </c>
      <c r="AD44">
        <v>10</v>
      </c>
      <c r="AE44">
        <f t="shared" si="0"/>
        <v>11</v>
      </c>
      <c r="AF44">
        <f t="shared" si="1"/>
        <v>55</v>
      </c>
    </row>
    <row r="45" spans="1:32" x14ac:dyDescent="0.25">
      <c r="A45">
        <v>179</v>
      </c>
      <c r="B45">
        <v>704</v>
      </c>
      <c r="C45" t="s">
        <v>0</v>
      </c>
      <c r="D45">
        <v>25106</v>
      </c>
      <c r="E45">
        <v>25106704</v>
      </c>
      <c r="F45">
        <v>4</v>
      </c>
      <c r="G45">
        <v>1</v>
      </c>
      <c r="H45">
        <v>10</v>
      </c>
      <c r="I45" t="s">
        <v>1</v>
      </c>
      <c r="J45" t="s">
        <v>2</v>
      </c>
      <c r="K45">
        <v>5235.0317370000002</v>
      </c>
      <c r="L45">
        <v>56322413.960000001</v>
      </c>
      <c r="M45">
        <v>5235.0317370000002</v>
      </c>
      <c r="N45">
        <v>56322413.960000001</v>
      </c>
      <c r="O45">
        <v>7.629975E-2</v>
      </c>
      <c r="P45">
        <v>8.3801770000000008E-3</v>
      </c>
      <c r="Q45">
        <v>-2.9593290000000001E-2</v>
      </c>
      <c r="R45">
        <v>1.0124400000000001E-3</v>
      </c>
      <c r="S45">
        <v>0.28572177999999998</v>
      </c>
      <c r="T45">
        <v>2.8983179000000001E-2</v>
      </c>
      <c r="U45">
        <v>0.15111311599999999</v>
      </c>
      <c r="V45">
        <v>0.12827794200000001</v>
      </c>
      <c r="W45">
        <v>0.93488221299999996</v>
      </c>
      <c r="X45">
        <v>6.0877461000000001E-2</v>
      </c>
      <c r="Y45">
        <v>121</v>
      </c>
      <c r="Z45">
        <v>819</v>
      </c>
      <c r="AA45">
        <v>0.63442831</v>
      </c>
      <c r="AB45">
        <v>95</v>
      </c>
      <c r="AC45">
        <v>12</v>
      </c>
      <c r="AD45">
        <v>11</v>
      </c>
      <c r="AE45">
        <f t="shared" si="0"/>
        <v>11.5</v>
      </c>
      <c r="AF45">
        <f t="shared" si="1"/>
        <v>57.5</v>
      </c>
    </row>
    <row r="46" spans="1:32" x14ac:dyDescent="0.25">
      <c r="A46">
        <v>180</v>
      </c>
      <c r="B46">
        <v>705</v>
      </c>
      <c r="C46" t="s">
        <v>0</v>
      </c>
      <c r="D46">
        <v>25106</v>
      </c>
      <c r="E46">
        <v>25106705</v>
      </c>
      <c r="F46">
        <v>3</v>
      </c>
      <c r="G46">
        <v>2</v>
      </c>
      <c r="H46">
        <v>10</v>
      </c>
      <c r="I46" t="s">
        <v>1</v>
      </c>
      <c r="J46" t="s">
        <v>2</v>
      </c>
      <c r="K46">
        <v>3843.9006479999998</v>
      </c>
      <c r="L46">
        <v>33911566.539999999</v>
      </c>
      <c r="M46">
        <v>3843.9006479999998</v>
      </c>
      <c r="N46">
        <v>33911566.539999999</v>
      </c>
      <c r="O46">
        <v>6.8064241999999997E-2</v>
      </c>
      <c r="P46">
        <v>7.8613759999999998E-3</v>
      </c>
      <c r="Q46">
        <v>-2.9374108999999999E-2</v>
      </c>
      <c r="R46">
        <v>8.87194E-4</v>
      </c>
      <c r="S46">
        <v>0.26618340000000001</v>
      </c>
      <c r="T46">
        <v>2.3030129E-2</v>
      </c>
      <c r="U46">
        <v>0.11922762100000001</v>
      </c>
      <c r="V46">
        <v>0.10501239499999999</v>
      </c>
      <c r="W46">
        <v>0.94997351799999996</v>
      </c>
      <c r="X46">
        <v>4.7523833000000001E-2</v>
      </c>
      <c r="Y46">
        <v>101</v>
      </c>
      <c r="Z46">
        <v>1642</v>
      </c>
      <c r="AA46">
        <v>0.88359215099999999</v>
      </c>
      <c r="AB46">
        <v>100</v>
      </c>
      <c r="AC46">
        <v>12</v>
      </c>
      <c r="AD46">
        <v>12</v>
      </c>
      <c r="AE46">
        <f t="shared" si="0"/>
        <v>12</v>
      </c>
      <c r="AF46">
        <f t="shared" si="1"/>
        <v>60</v>
      </c>
    </row>
    <row r="47" spans="1:32" x14ac:dyDescent="0.25">
      <c r="A47">
        <v>181</v>
      </c>
      <c r="B47">
        <v>706</v>
      </c>
      <c r="C47" t="s">
        <v>0</v>
      </c>
      <c r="D47">
        <v>25106</v>
      </c>
      <c r="E47">
        <v>25106706</v>
      </c>
      <c r="F47">
        <v>2</v>
      </c>
      <c r="G47">
        <v>2</v>
      </c>
      <c r="H47">
        <v>10</v>
      </c>
      <c r="I47" t="s">
        <v>1</v>
      </c>
      <c r="J47" t="s">
        <v>2</v>
      </c>
      <c r="K47">
        <v>4036.3207790000001</v>
      </c>
      <c r="L47">
        <v>58190145.990000002</v>
      </c>
      <c r="M47">
        <v>4036.3207790000001</v>
      </c>
      <c r="N47">
        <v>58190145.990000002</v>
      </c>
      <c r="O47">
        <v>7.4036190000000002E-2</v>
      </c>
      <c r="P47">
        <v>6.1815569999999999E-3</v>
      </c>
      <c r="Q47">
        <v>-2.8987334999999999E-2</v>
      </c>
      <c r="R47">
        <v>8.0418099999999995E-4</v>
      </c>
      <c r="S47">
        <v>0.27772664899999999</v>
      </c>
      <c r="T47">
        <v>2.2966916E-2</v>
      </c>
      <c r="U47">
        <v>0.12713372100000001</v>
      </c>
      <c r="V47">
        <v>0.110970738</v>
      </c>
      <c r="W47">
        <v>0.87927490399999997</v>
      </c>
      <c r="X47">
        <v>0.106150547</v>
      </c>
      <c r="Y47">
        <v>60</v>
      </c>
      <c r="Z47">
        <v>1263</v>
      </c>
      <c r="AA47">
        <v>0.73635303600000002</v>
      </c>
      <c r="AB47">
        <v>90</v>
      </c>
      <c r="AC47">
        <v>11</v>
      </c>
      <c r="AD47">
        <v>11</v>
      </c>
      <c r="AE47">
        <f t="shared" si="0"/>
        <v>11</v>
      </c>
      <c r="AF47">
        <f t="shared" si="1"/>
        <v>55</v>
      </c>
    </row>
    <row r="48" spans="1:32" x14ac:dyDescent="0.25">
      <c r="A48">
        <v>182</v>
      </c>
      <c r="B48">
        <v>707</v>
      </c>
      <c r="C48" t="s">
        <v>0</v>
      </c>
      <c r="D48">
        <v>25106</v>
      </c>
      <c r="E48">
        <v>25106707</v>
      </c>
      <c r="F48">
        <v>1</v>
      </c>
      <c r="G48">
        <v>2</v>
      </c>
      <c r="H48">
        <v>10</v>
      </c>
      <c r="I48" t="s">
        <v>1</v>
      </c>
      <c r="J48" t="s">
        <v>2</v>
      </c>
      <c r="K48">
        <v>4038.1467710000002</v>
      </c>
      <c r="L48">
        <v>64785677.399999999</v>
      </c>
      <c r="M48">
        <v>4038.1467710000002</v>
      </c>
      <c r="N48">
        <v>64785677.399999999</v>
      </c>
      <c r="O48">
        <v>6.8446181999999994E-2</v>
      </c>
      <c r="P48">
        <v>5.8586549999999999E-3</v>
      </c>
      <c r="Q48">
        <v>-3.152845E-2</v>
      </c>
      <c r="R48">
        <v>7.7446700000000004E-4</v>
      </c>
      <c r="S48">
        <v>0.27817631799999998</v>
      </c>
      <c r="T48">
        <v>2.2782608999999999E-2</v>
      </c>
      <c r="U48">
        <v>0.130710356</v>
      </c>
      <c r="V48">
        <v>0.113625159</v>
      </c>
      <c r="W48">
        <v>0.95488415999999998</v>
      </c>
      <c r="X48">
        <v>4.3080400999999997E-2</v>
      </c>
      <c r="Y48">
        <v>115</v>
      </c>
      <c r="Z48">
        <v>2142</v>
      </c>
      <c r="AA48">
        <v>0.77565543999999997</v>
      </c>
      <c r="AB48">
        <v>90</v>
      </c>
      <c r="AC48">
        <v>13</v>
      </c>
      <c r="AD48">
        <v>13</v>
      </c>
      <c r="AE48">
        <f t="shared" si="0"/>
        <v>13</v>
      </c>
      <c r="AF48">
        <f t="shared" si="1"/>
        <v>65</v>
      </c>
    </row>
    <row r="49" spans="1:32" x14ac:dyDescent="0.25">
      <c r="A49">
        <v>183</v>
      </c>
      <c r="B49">
        <v>708</v>
      </c>
      <c r="C49" t="s">
        <v>0</v>
      </c>
      <c r="D49">
        <v>25106</v>
      </c>
      <c r="E49">
        <v>25106708</v>
      </c>
      <c r="F49">
        <v>4</v>
      </c>
      <c r="G49">
        <v>2</v>
      </c>
      <c r="H49">
        <v>10</v>
      </c>
      <c r="I49" t="s">
        <v>1</v>
      </c>
      <c r="J49" t="s">
        <v>2</v>
      </c>
      <c r="K49">
        <v>3671.1855860000001</v>
      </c>
      <c r="L49">
        <v>65146087.780000001</v>
      </c>
      <c r="M49">
        <v>3671.1855860000001</v>
      </c>
      <c r="N49">
        <v>65146087.780000001</v>
      </c>
      <c r="O49">
        <v>7.0773548000000006E-2</v>
      </c>
      <c r="P49">
        <v>5.1860860000000003E-3</v>
      </c>
      <c r="Q49">
        <v>-3.2114652E-2</v>
      </c>
      <c r="R49">
        <v>7.1510699999999998E-4</v>
      </c>
      <c r="S49">
        <v>0.279260905</v>
      </c>
      <c r="T49">
        <v>2.1000845000000001E-2</v>
      </c>
      <c r="U49">
        <v>0.12319374900000001</v>
      </c>
      <c r="V49">
        <v>0.108017049</v>
      </c>
      <c r="W49">
        <v>0.96592452699999998</v>
      </c>
      <c r="X49">
        <v>3.2914335000000003E-2</v>
      </c>
      <c r="Y49">
        <v>106</v>
      </c>
      <c r="Z49">
        <v>1574</v>
      </c>
      <c r="AA49">
        <v>0.61726430700000001</v>
      </c>
      <c r="AB49">
        <v>100</v>
      </c>
      <c r="AC49">
        <v>13</v>
      </c>
      <c r="AD49">
        <v>12</v>
      </c>
      <c r="AE49">
        <f t="shared" si="0"/>
        <v>12.5</v>
      </c>
      <c r="AF49">
        <f t="shared" si="1"/>
        <v>62.5</v>
      </c>
    </row>
    <row r="50" spans="1:32" x14ac:dyDescent="0.25">
      <c r="A50">
        <v>184</v>
      </c>
      <c r="B50">
        <v>709</v>
      </c>
      <c r="C50" t="s">
        <v>0</v>
      </c>
      <c r="D50">
        <v>25106</v>
      </c>
      <c r="E50">
        <v>25106709</v>
      </c>
      <c r="F50">
        <v>4</v>
      </c>
      <c r="G50">
        <v>3</v>
      </c>
      <c r="H50">
        <v>10</v>
      </c>
      <c r="I50" t="s">
        <v>1</v>
      </c>
      <c r="J50" t="s">
        <v>2</v>
      </c>
      <c r="K50">
        <v>1947.1812709999999</v>
      </c>
      <c r="L50">
        <v>27685833.280000001</v>
      </c>
      <c r="M50">
        <v>1947.1812709999999</v>
      </c>
      <c r="N50">
        <v>27685833.280000001</v>
      </c>
      <c r="O50">
        <v>6.2008757999999997E-2</v>
      </c>
      <c r="P50">
        <v>3.554504E-3</v>
      </c>
      <c r="Q50">
        <v>-3.1047452E-2</v>
      </c>
      <c r="R50">
        <v>9.3362199999999995E-4</v>
      </c>
      <c r="S50">
        <v>0.24454511000000001</v>
      </c>
      <c r="T50">
        <v>1.0810306E-2</v>
      </c>
      <c r="U50">
        <v>5.5002093000000002E-2</v>
      </c>
      <c r="V50">
        <v>5.1976862999999998E-2</v>
      </c>
      <c r="W50">
        <v>0.94437600899999996</v>
      </c>
      <c r="X50">
        <v>5.2529962999999999E-2</v>
      </c>
      <c r="Y50">
        <v>102</v>
      </c>
      <c r="Z50">
        <v>1301</v>
      </c>
      <c r="AA50">
        <v>0.44834597100000001</v>
      </c>
      <c r="AB50">
        <v>85</v>
      </c>
      <c r="AC50">
        <v>12</v>
      </c>
      <c r="AD50">
        <v>9</v>
      </c>
      <c r="AE50">
        <f t="shared" si="0"/>
        <v>10.5</v>
      </c>
      <c r="AF50">
        <f t="shared" si="1"/>
        <v>52.5</v>
      </c>
    </row>
    <row r="51" spans="1:32" x14ac:dyDescent="0.25">
      <c r="A51">
        <v>169</v>
      </c>
      <c r="B51">
        <v>803</v>
      </c>
      <c r="C51" t="s">
        <v>0</v>
      </c>
      <c r="D51">
        <v>25106</v>
      </c>
      <c r="E51">
        <v>25106803</v>
      </c>
      <c r="F51">
        <v>1</v>
      </c>
      <c r="G51">
        <v>4</v>
      </c>
      <c r="H51">
        <v>10</v>
      </c>
      <c r="I51" t="s">
        <v>1</v>
      </c>
      <c r="J51" t="s">
        <v>2</v>
      </c>
      <c r="K51">
        <v>3868.0895679999999</v>
      </c>
      <c r="L51">
        <v>36044716.399999999</v>
      </c>
      <c r="M51">
        <v>3868.0895679999999</v>
      </c>
      <c r="N51">
        <v>36044716.399999999</v>
      </c>
      <c r="O51">
        <v>7.2998387999999997E-2</v>
      </c>
      <c r="P51">
        <v>6.9182920000000004E-3</v>
      </c>
      <c r="Q51">
        <v>-2.8931945000000001E-2</v>
      </c>
      <c r="R51">
        <v>8.2716099999999998E-4</v>
      </c>
      <c r="S51">
        <v>0.281347191</v>
      </c>
      <c r="T51">
        <v>1.9645797999999999E-2</v>
      </c>
      <c r="U51">
        <v>0.115294833</v>
      </c>
      <c r="V51">
        <v>0.102001934</v>
      </c>
      <c r="W51">
        <v>0.86788575899999998</v>
      </c>
      <c r="X51">
        <v>0.114660069</v>
      </c>
      <c r="Y51">
        <v>71</v>
      </c>
      <c r="Z51">
        <v>1371</v>
      </c>
      <c r="AA51">
        <v>0.87296955499999995</v>
      </c>
      <c r="AB51">
        <v>100</v>
      </c>
      <c r="AC51">
        <v>12</v>
      </c>
      <c r="AD51">
        <v>11</v>
      </c>
      <c r="AE51">
        <f t="shared" ref="AE51:AE57" si="2">AVERAGE(AC51:AD51)</f>
        <v>11.5</v>
      </c>
      <c r="AF51">
        <f t="shared" ref="AF51:AF57" si="3">AE51*5</f>
        <v>57.5</v>
      </c>
    </row>
    <row r="52" spans="1:32" x14ac:dyDescent="0.25">
      <c r="A52">
        <v>170</v>
      </c>
      <c r="B52">
        <v>804</v>
      </c>
      <c r="C52" t="s">
        <v>0</v>
      </c>
      <c r="D52">
        <v>25106</v>
      </c>
      <c r="E52">
        <v>25106804</v>
      </c>
      <c r="F52">
        <v>3</v>
      </c>
      <c r="G52">
        <v>4</v>
      </c>
      <c r="H52">
        <v>10</v>
      </c>
      <c r="I52" t="s">
        <v>1</v>
      </c>
      <c r="J52" t="s">
        <v>2</v>
      </c>
      <c r="K52">
        <v>4464.7418740000003</v>
      </c>
      <c r="L52">
        <v>39331353.109999999</v>
      </c>
      <c r="M52">
        <v>4464.7418740000003</v>
      </c>
      <c r="N52">
        <v>39331353.109999999</v>
      </c>
      <c r="O52">
        <v>8.4514658000000006E-2</v>
      </c>
      <c r="P52">
        <v>9.1881350000000001E-3</v>
      </c>
      <c r="Q52">
        <v>-2.4470961999999999E-2</v>
      </c>
      <c r="R52">
        <v>1.074085E-3</v>
      </c>
      <c r="S52">
        <v>0.29944812500000001</v>
      </c>
      <c r="T52">
        <v>2.6731795999999999E-2</v>
      </c>
      <c r="U52">
        <v>0.155788644</v>
      </c>
      <c r="V52">
        <v>0.13151854299999999</v>
      </c>
      <c r="W52">
        <v>0.91299781199999996</v>
      </c>
      <c r="X52">
        <v>7.9432806999999994E-2</v>
      </c>
      <c r="Y52">
        <v>78</v>
      </c>
      <c r="Z52">
        <v>646</v>
      </c>
      <c r="AA52">
        <v>0.89469691399999995</v>
      </c>
      <c r="AB52">
        <v>100</v>
      </c>
      <c r="AC52">
        <v>15</v>
      </c>
      <c r="AD52">
        <v>9</v>
      </c>
      <c r="AE52">
        <f t="shared" si="2"/>
        <v>12</v>
      </c>
      <c r="AF52">
        <f t="shared" si="3"/>
        <v>60</v>
      </c>
    </row>
    <row r="53" spans="1:32" x14ac:dyDescent="0.25">
      <c r="A53">
        <v>171</v>
      </c>
      <c r="B53">
        <v>805</v>
      </c>
      <c r="C53" t="s">
        <v>0</v>
      </c>
      <c r="D53">
        <v>25106</v>
      </c>
      <c r="E53">
        <v>25106805</v>
      </c>
      <c r="F53">
        <v>2</v>
      </c>
      <c r="G53">
        <v>4</v>
      </c>
      <c r="H53">
        <v>10</v>
      </c>
      <c r="I53" t="s">
        <v>1</v>
      </c>
      <c r="J53" t="s">
        <v>2</v>
      </c>
      <c r="K53">
        <v>3750.2560960000001</v>
      </c>
      <c r="L53">
        <v>39252673.950000003</v>
      </c>
      <c r="M53">
        <v>3750.2560960000001</v>
      </c>
      <c r="N53">
        <v>39252673.950000003</v>
      </c>
      <c r="O53">
        <v>7.9395428000000004E-2</v>
      </c>
      <c r="P53">
        <v>7.5038040000000002E-3</v>
      </c>
      <c r="Q53">
        <v>-2.0915212999999998E-2</v>
      </c>
      <c r="R53">
        <v>8.7326899999999998E-4</v>
      </c>
      <c r="S53">
        <v>0.28429707300000001</v>
      </c>
      <c r="T53">
        <v>2.257632E-2</v>
      </c>
      <c r="U53">
        <v>0.120893819</v>
      </c>
      <c r="V53">
        <v>0.106278504</v>
      </c>
      <c r="W53">
        <v>0.89260254500000002</v>
      </c>
      <c r="X53">
        <v>9.5863242000000001E-2</v>
      </c>
      <c r="Y53">
        <v>93</v>
      </c>
      <c r="Z53">
        <v>1918</v>
      </c>
      <c r="AA53">
        <v>0.80746057999999998</v>
      </c>
      <c r="AB53">
        <v>100</v>
      </c>
      <c r="AC53">
        <v>7</v>
      </c>
      <c r="AD53">
        <v>17</v>
      </c>
      <c r="AE53">
        <f t="shared" si="2"/>
        <v>12</v>
      </c>
      <c r="AF53">
        <f t="shared" si="3"/>
        <v>60</v>
      </c>
    </row>
    <row r="54" spans="1:32" x14ac:dyDescent="0.25">
      <c r="A54">
        <v>172</v>
      </c>
      <c r="B54">
        <v>806</v>
      </c>
      <c r="C54" t="s">
        <v>0</v>
      </c>
      <c r="D54">
        <v>25106</v>
      </c>
      <c r="E54">
        <v>25106806</v>
      </c>
      <c r="F54">
        <v>4</v>
      </c>
      <c r="G54">
        <v>4</v>
      </c>
      <c r="H54">
        <v>10</v>
      </c>
      <c r="I54" t="s">
        <v>1</v>
      </c>
      <c r="J54" t="s">
        <v>2</v>
      </c>
      <c r="K54">
        <v>3693.754179</v>
      </c>
      <c r="L54">
        <v>61294953.409999996</v>
      </c>
      <c r="M54">
        <v>3693.754179</v>
      </c>
      <c r="N54">
        <v>61294953.409999996</v>
      </c>
      <c r="O54">
        <v>8.2331304999999994E-2</v>
      </c>
      <c r="P54">
        <v>5.7375380000000004E-3</v>
      </c>
      <c r="Q54">
        <v>-2.2710917000000001E-2</v>
      </c>
      <c r="R54">
        <v>7.9588599999999999E-4</v>
      </c>
      <c r="S54">
        <v>0.28732417100000002</v>
      </c>
      <c r="T54">
        <v>2.1795454999999998E-2</v>
      </c>
      <c r="U54">
        <v>0.124334611</v>
      </c>
      <c r="V54">
        <v>0.10887551500000001</v>
      </c>
      <c r="W54">
        <v>0.96063348400000004</v>
      </c>
      <c r="X54">
        <v>3.7816793000000001E-2</v>
      </c>
      <c r="Y54">
        <v>105</v>
      </c>
      <c r="Z54">
        <v>1642</v>
      </c>
      <c r="AA54">
        <v>0.65630406399999996</v>
      </c>
      <c r="AB54">
        <v>100</v>
      </c>
      <c r="AC54">
        <v>10</v>
      </c>
      <c r="AD54">
        <v>12</v>
      </c>
      <c r="AE54">
        <f t="shared" si="2"/>
        <v>11</v>
      </c>
      <c r="AF54">
        <f t="shared" si="3"/>
        <v>55</v>
      </c>
    </row>
    <row r="55" spans="1:32" x14ac:dyDescent="0.25">
      <c r="A55">
        <v>173</v>
      </c>
      <c r="B55">
        <v>807</v>
      </c>
      <c r="C55" t="s">
        <v>0</v>
      </c>
      <c r="D55">
        <v>25106</v>
      </c>
      <c r="E55">
        <v>25106807</v>
      </c>
      <c r="F55">
        <v>2</v>
      </c>
      <c r="G55">
        <v>3</v>
      </c>
      <c r="H55">
        <v>10</v>
      </c>
      <c r="I55" t="s">
        <v>1</v>
      </c>
      <c r="J55" t="s">
        <v>2</v>
      </c>
      <c r="K55">
        <v>3993.6109839999999</v>
      </c>
      <c r="L55">
        <v>62678483.310000002</v>
      </c>
      <c r="M55">
        <v>3993.6109839999999</v>
      </c>
      <c r="N55">
        <v>62678483.310000002</v>
      </c>
      <c r="O55">
        <v>8.3888805999999996E-2</v>
      </c>
      <c r="P55">
        <v>6.9209199999999997E-3</v>
      </c>
      <c r="Q55">
        <v>-2.8549624999999999E-2</v>
      </c>
      <c r="R55">
        <v>8.4967099999999998E-4</v>
      </c>
      <c r="S55">
        <v>0.29659379800000002</v>
      </c>
      <c r="T55">
        <v>2.4210219000000002E-2</v>
      </c>
      <c r="U55">
        <v>0.14462061800000001</v>
      </c>
      <c r="V55">
        <v>0.123705495</v>
      </c>
      <c r="W55">
        <v>0.97125326499999998</v>
      </c>
      <c r="X55">
        <v>2.7920360000000002E-2</v>
      </c>
      <c r="Y55">
        <v>128</v>
      </c>
      <c r="Z55">
        <v>1837</v>
      </c>
      <c r="AA55">
        <v>0.88711774200000004</v>
      </c>
      <c r="AB55">
        <v>100</v>
      </c>
      <c r="AC55">
        <v>12</v>
      </c>
      <c r="AD55">
        <v>14</v>
      </c>
      <c r="AE55">
        <f t="shared" si="2"/>
        <v>13</v>
      </c>
      <c r="AF55">
        <f t="shared" si="3"/>
        <v>65</v>
      </c>
    </row>
    <row r="56" spans="1:32" x14ac:dyDescent="0.25">
      <c r="A56">
        <v>174</v>
      </c>
      <c r="B56">
        <v>808</v>
      </c>
      <c r="C56" t="s">
        <v>0</v>
      </c>
      <c r="D56">
        <v>25106</v>
      </c>
      <c r="E56">
        <v>25106808</v>
      </c>
      <c r="F56">
        <v>3</v>
      </c>
      <c r="G56">
        <v>3</v>
      </c>
      <c r="H56">
        <v>10</v>
      </c>
      <c r="I56" t="s">
        <v>1</v>
      </c>
      <c r="J56" t="s">
        <v>2</v>
      </c>
      <c r="K56">
        <v>3373.3972960000001</v>
      </c>
      <c r="L56">
        <v>48952723.840000004</v>
      </c>
      <c r="M56">
        <v>3373.3972960000001</v>
      </c>
      <c r="N56">
        <v>48952723.840000004</v>
      </c>
      <c r="O56">
        <v>7.8327881000000002E-2</v>
      </c>
      <c r="P56">
        <v>5.9330420000000004E-3</v>
      </c>
      <c r="Q56">
        <v>-3.1721948E-2</v>
      </c>
      <c r="R56">
        <v>6.3711099999999999E-4</v>
      </c>
      <c r="S56">
        <v>0.28375594399999998</v>
      </c>
      <c r="T56">
        <v>1.9942499999999998E-2</v>
      </c>
      <c r="U56">
        <v>0.11622363500000001</v>
      </c>
      <c r="V56">
        <v>0.10271570200000001</v>
      </c>
      <c r="W56">
        <v>0.97405646199999996</v>
      </c>
      <c r="X56">
        <v>2.5270470999999999E-2</v>
      </c>
      <c r="Y56">
        <v>136</v>
      </c>
      <c r="Z56">
        <v>963</v>
      </c>
      <c r="AA56">
        <v>0.87328453800000005</v>
      </c>
      <c r="AB56">
        <v>100</v>
      </c>
      <c r="AC56">
        <v>14</v>
      </c>
      <c r="AD56">
        <v>10</v>
      </c>
      <c r="AE56">
        <f t="shared" si="2"/>
        <v>12</v>
      </c>
      <c r="AF56">
        <f t="shared" si="3"/>
        <v>60</v>
      </c>
    </row>
    <row r="57" spans="1:32" x14ac:dyDescent="0.25">
      <c r="A57">
        <v>175</v>
      </c>
      <c r="B57">
        <v>809</v>
      </c>
      <c r="C57" t="s">
        <v>0</v>
      </c>
      <c r="D57">
        <v>25106</v>
      </c>
      <c r="E57">
        <v>25106809</v>
      </c>
      <c r="F57">
        <v>1</v>
      </c>
      <c r="G57">
        <v>3</v>
      </c>
      <c r="H57">
        <v>10</v>
      </c>
      <c r="I57" t="s">
        <v>1</v>
      </c>
      <c r="J57" t="s">
        <v>2</v>
      </c>
      <c r="K57">
        <v>2647.9833159999998</v>
      </c>
      <c r="L57">
        <v>40421430.859999999</v>
      </c>
      <c r="M57">
        <v>2647.9833159999998</v>
      </c>
      <c r="N57">
        <v>40421430.859999999</v>
      </c>
      <c r="O57">
        <v>7.5741601000000006E-2</v>
      </c>
      <c r="P57">
        <v>4.7782880000000003E-3</v>
      </c>
      <c r="Q57">
        <v>-3.0390977999999999E-2</v>
      </c>
      <c r="R57">
        <v>9.9150400000000004E-4</v>
      </c>
      <c r="S57">
        <v>0.26941717599999998</v>
      </c>
      <c r="T57">
        <v>1.5465341000000001E-2</v>
      </c>
      <c r="U57">
        <v>8.3752914999999997E-2</v>
      </c>
      <c r="V57">
        <v>7.6738364000000003E-2</v>
      </c>
      <c r="W57">
        <v>0.94253217199999995</v>
      </c>
      <c r="X57">
        <v>5.4165275999999998E-2</v>
      </c>
      <c r="Y57">
        <v>111</v>
      </c>
      <c r="Z57">
        <v>1538</v>
      </c>
      <c r="AA57">
        <v>0.673149145</v>
      </c>
      <c r="AB57">
        <v>100</v>
      </c>
      <c r="AC57">
        <v>9</v>
      </c>
      <c r="AD57">
        <v>11</v>
      </c>
      <c r="AE57">
        <f t="shared" si="2"/>
        <v>10</v>
      </c>
      <c r="AF57">
        <f t="shared" si="3"/>
        <v>50</v>
      </c>
    </row>
  </sheetData>
  <pageMargins left="0.7" right="0.7" top="0.75" bottom="0.75" header="0.3" footer="0.3"/>
  <ignoredErrors>
    <ignoredError sqref="AE2:AE5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2026-01-17T18:27:24Z</dcterms:created>
  <dcterms:modified xsi:type="dcterms:W3CDTF">2026-01-17T18:46:13Z</dcterms:modified>
</cp:coreProperties>
</file>