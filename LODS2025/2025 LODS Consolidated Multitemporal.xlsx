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2025 HA data analysis/LODS2025/"/>
    </mc:Choice>
  </mc:AlternateContent>
  <xr:revisionPtr revIDLastSave="27" documentId="13_ncr:1_{3413B120-9F76-4614-96F2-DE1582E1EC21}" xr6:coauthVersionLast="47" xr6:coauthVersionMax="47" xr10:uidLastSave="{7F18D7D7-0B37-450C-B300-1B69539F39C0}"/>
  <bookViews>
    <workbookView xWindow="38280" yWindow="1965" windowWidth="29040" windowHeight="15720" activeTab="6" xr2:uid="{00000000-000D-0000-FFFF-FFFF00000000}"/>
  </bookViews>
  <sheets>
    <sheet name="704 " sheetId="1" r:id="rId1"/>
    <sheet name="710" sheetId="2" r:id="rId2"/>
    <sheet name="717" sheetId="3" r:id="rId3"/>
    <sheet name="724" sheetId="4" r:id="rId4"/>
    <sheet name="731" sheetId="5" r:id="rId5"/>
    <sheet name="805" sheetId="6" r:id="rId6"/>
    <sheet name="ConsolidatedAllTimings" sheetId="7" r:id="rId7"/>
    <sheet name="YieldData" sheetId="8" r:id="rId8"/>
  </sheets>
  <definedNames>
    <definedName name="_xlnm._FilterDatabase" localSheetId="6" hidden="1">ConsolidatedAllTimings!$A$1:$AA$1405</definedName>
    <definedName name="_xlnm._FilterDatabase" localSheetId="7" hidden="1">YieldData!$A$1:$Y$195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7" i="7" l="1"/>
  <c r="G1142" i="7"/>
  <c r="G955" i="7"/>
  <c r="G758" i="7"/>
  <c r="G625" i="7"/>
  <c r="G613" i="7"/>
  <c r="G610" i="7"/>
  <c r="G486" i="7"/>
  <c r="G478" i="7"/>
  <c r="G475" i="7"/>
  <c r="G347" i="7"/>
  <c r="G335" i="7"/>
  <c r="G310" i="7"/>
  <c r="G203" i="7"/>
  <c r="G158" i="7"/>
  <c r="G157" i="7"/>
  <c r="G107" i="7"/>
  <c r="G61" i="7"/>
  <c r="G60" i="7"/>
  <c r="G35" i="7"/>
  <c r="G21" i="7"/>
  <c r="G19" i="7"/>
  <c r="G18" i="7"/>
  <c r="F1325" i="7"/>
  <c r="F1321" i="7"/>
  <c r="F1222" i="7"/>
  <c r="F1206" i="7"/>
  <c r="F1115" i="7"/>
  <c r="F1099" i="7"/>
  <c r="F1094" i="7"/>
  <c r="F1047" i="7"/>
  <c r="F1046" i="7"/>
  <c r="F989" i="7"/>
  <c r="F988" i="7"/>
  <c r="F979" i="7"/>
  <c r="F936" i="7"/>
  <c r="F932" i="7"/>
  <c r="F876" i="7"/>
  <c r="F875" i="7"/>
  <c r="F873" i="7"/>
  <c r="F828" i="7"/>
  <c r="F823" i="7"/>
  <c r="F822" i="7"/>
  <c r="F783" i="7"/>
  <c r="F775" i="7"/>
  <c r="F763" i="7"/>
  <c r="F721" i="7"/>
  <c r="F719" i="7"/>
  <c r="F718" i="7"/>
  <c r="F651" i="7"/>
  <c r="F649" i="7"/>
  <c r="F612" i="7"/>
  <c r="F611" i="7"/>
  <c r="F598" i="7"/>
  <c r="F561" i="7"/>
  <c r="F560" i="7"/>
  <c r="F557" i="7"/>
  <c r="F501" i="7"/>
  <c r="F495" i="7"/>
  <c r="F494" i="7"/>
  <c r="F459" i="7"/>
  <c r="F443" i="7"/>
  <c r="F437" i="7"/>
  <c r="F390" i="7"/>
  <c r="F389" i="7"/>
  <c r="F385" i="7"/>
  <c r="F356" i="7"/>
  <c r="F337" i="7"/>
  <c r="F336" i="7"/>
  <c r="F335" i="7"/>
  <c r="F315" i="7"/>
  <c r="F293" i="7"/>
  <c r="F292" i="7"/>
  <c r="F291" i="7"/>
  <c r="F275" i="7"/>
  <c r="F271" i="7"/>
  <c r="F252" i="7"/>
  <c r="F237" i="7"/>
  <c r="F236" i="7"/>
  <c r="F235" i="7"/>
  <c r="F179" i="7"/>
  <c r="F171" i="7"/>
  <c r="F167" i="7"/>
  <c r="F166" i="7"/>
  <c r="F165" i="7"/>
  <c r="F143" i="7"/>
  <c r="F128" i="7"/>
  <c r="F127" i="7"/>
  <c r="F126" i="7"/>
  <c r="F118" i="7"/>
  <c r="F114" i="7"/>
  <c r="F93" i="7"/>
  <c r="F77" i="7"/>
  <c r="F76" i="7"/>
  <c r="F75" i="7"/>
  <c r="F73" i="7"/>
  <c r="F30" i="7"/>
  <c r="F29" i="7"/>
  <c r="F28" i="7"/>
  <c r="F27" i="7"/>
  <c r="F17" i="7"/>
  <c r="F16" i="7"/>
  <c r="F15" i="7"/>
  <c r="F14" i="7"/>
  <c r="F11" i="7"/>
  <c r="U195" i="8"/>
  <c r="C195" i="8"/>
  <c r="T195" i="8" s="1"/>
  <c r="U194" i="8"/>
  <c r="C194" i="8"/>
  <c r="T194" i="8" s="1"/>
  <c r="U193" i="8"/>
  <c r="C193" i="8"/>
  <c r="T193" i="8" s="1"/>
  <c r="U192" i="8"/>
  <c r="C192" i="8"/>
  <c r="T192" i="8" s="1"/>
  <c r="U191" i="8"/>
  <c r="C191" i="8"/>
  <c r="T191" i="8" s="1"/>
  <c r="U190" i="8"/>
  <c r="C190" i="8"/>
  <c r="T190" i="8" s="1"/>
  <c r="U189" i="8"/>
  <c r="C189" i="8"/>
  <c r="T189" i="8" s="1"/>
  <c r="U188" i="8"/>
  <c r="C188" i="8"/>
  <c r="T188" i="8" s="1"/>
  <c r="U187" i="8"/>
  <c r="C187" i="8"/>
  <c r="T187" i="8" s="1"/>
  <c r="U186" i="8"/>
  <c r="C186" i="8"/>
  <c r="T186" i="8" s="1"/>
  <c r="U185" i="8"/>
  <c r="C185" i="8"/>
  <c r="T185" i="8" s="1"/>
  <c r="U184" i="8"/>
  <c r="C184" i="8"/>
  <c r="T184" i="8" s="1"/>
  <c r="U183" i="8"/>
  <c r="C183" i="8"/>
  <c r="T183" i="8" s="1"/>
  <c r="U182" i="8"/>
  <c r="C182" i="8"/>
  <c r="T182" i="8" s="1"/>
  <c r="U181" i="8"/>
  <c r="C181" i="8"/>
  <c r="T181" i="8" s="1"/>
  <c r="U180" i="8"/>
  <c r="C180" i="8"/>
  <c r="T180" i="8" s="1"/>
  <c r="U179" i="8"/>
  <c r="C179" i="8"/>
  <c r="T179" i="8" s="1"/>
  <c r="U178" i="8"/>
  <c r="C178" i="8"/>
  <c r="T178" i="8" s="1"/>
  <c r="U177" i="8"/>
  <c r="C177" i="8"/>
  <c r="T177" i="8" s="1"/>
  <c r="U176" i="8"/>
  <c r="C176" i="8"/>
  <c r="T176" i="8" s="1"/>
  <c r="U175" i="8"/>
  <c r="C175" i="8"/>
  <c r="T175" i="8" s="1"/>
  <c r="U174" i="8"/>
  <c r="C174" i="8"/>
  <c r="T174" i="8" s="1"/>
  <c r="U173" i="8"/>
  <c r="C173" i="8"/>
  <c r="T173" i="8" s="1"/>
  <c r="U172" i="8"/>
  <c r="C172" i="8"/>
  <c r="T172" i="8" s="1"/>
  <c r="U171" i="8"/>
  <c r="C171" i="8"/>
  <c r="T171" i="8" s="1"/>
  <c r="U170" i="8"/>
  <c r="C170" i="8"/>
  <c r="T170" i="8" s="1"/>
  <c r="U169" i="8"/>
  <c r="C169" i="8"/>
  <c r="T169" i="8" s="1"/>
  <c r="U168" i="8"/>
  <c r="C168" i="8"/>
  <c r="T168" i="8" s="1"/>
  <c r="U167" i="8"/>
  <c r="C167" i="8"/>
  <c r="T167" i="8" s="1"/>
  <c r="U166" i="8"/>
  <c r="C166" i="8"/>
  <c r="T166" i="8" s="1"/>
  <c r="C165" i="8"/>
  <c r="T165" i="8" s="1"/>
  <c r="C164" i="8"/>
  <c r="T164" i="8" s="1"/>
  <c r="C163" i="8"/>
  <c r="T163" i="8" s="1"/>
  <c r="C162" i="8"/>
  <c r="T162" i="8" s="1"/>
  <c r="C161" i="8"/>
  <c r="T161" i="8" s="1"/>
  <c r="C160" i="8"/>
  <c r="T160" i="8" s="1"/>
  <c r="C159" i="8"/>
  <c r="T159" i="8" s="1"/>
  <c r="C158" i="8"/>
  <c r="T158" i="8" s="1"/>
  <c r="C157" i="8"/>
  <c r="T157" i="8" s="1"/>
  <c r="C156" i="8"/>
  <c r="T156" i="8" s="1"/>
  <c r="C155" i="8"/>
  <c r="T155" i="8" s="1"/>
  <c r="C154" i="8"/>
  <c r="T154" i="8" s="1"/>
  <c r="C153" i="8"/>
  <c r="T153" i="8" s="1"/>
  <c r="C152" i="8"/>
  <c r="T152" i="8" s="1"/>
  <c r="C151" i="8"/>
  <c r="T151" i="8" s="1"/>
  <c r="C150" i="8"/>
  <c r="T150" i="8" s="1"/>
  <c r="C149" i="8"/>
  <c r="T149" i="8" s="1"/>
  <c r="C148" i="8"/>
  <c r="T148" i="8" s="1"/>
  <c r="C147" i="8"/>
  <c r="T147" i="8" s="1"/>
  <c r="C146" i="8"/>
  <c r="T146" i="8" s="1"/>
  <c r="C145" i="8"/>
  <c r="T145" i="8" s="1"/>
  <c r="C144" i="8"/>
  <c r="T144" i="8" s="1"/>
  <c r="C143" i="8"/>
  <c r="T143" i="8" s="1"/>
  <c r="C142" i="8"/>
  <c r="T142" i="8" s="1"/>
  <c r="C141" i="8"/>
  <c r="T141" i="8" s="1"/>
  <c r="C140" i="8"/>
  <c r="T140" i="8" s="1"/>
  <c r="C139" i="8"/>
  <c r="T139" i="8" s="1"/>
  <c r="C138" i="8"/>
  <c r="T138" i="8" s="1"/>
  <c r="C137" i="8"/>
  <c r="T137" i="8" s="1"/>
  <c r="C136" i="8"/>
  <c r="T136" i="8" s="1"/>
  <c r="C135" i="8"/>
  <c r="T135" i="8" s="1"/>
  <c r="C134" i="8"/>
  <c r="T134" i="8" s="1"/>
  <c r="C133" i="8"/>
  <c r="T133" i="8" s="1"/>
  <c r="C132" i="8"/>
  <c r="T132" i="8" s="1"/>
  <c r="C131" i="8"/>
  <c r="T131" i="8" s="1"/>
  <c r="C130" i="8"/>
  <c r="T130" i="8" s="1"/>
  <c r="C129" i="8"/>
  <c r="T129" i="8" s="1"/>
  <c r="C128" i="8"/>
  <c r="T128" i="8" s="1"/>
  <c r="C127" i="8"/>
  <c r="T127" i="8" s="1"/>
  <c r="C126" i="8"/>
  <c r="T126" i="8" s="1"/>
  <c r="C125" i="8"/>
  <c r="T125" i="8" s="1"/>
  <c r="C124" i="8"/>
  <c r="T124" i="8" s="1"/>
  <c r="C123" i="8"/>
  <c r="T123" i="8" s="1"/>
  <c r="C122" i="8"/>
  <c r="T122" i="8" s="1"/>
  <c r="C121" i="8"/>
  <c r="T121" i="8" s="1"/>
  <c r="C120" i="8"/>
  <c r="T120" i="8" s="1"/>
  <c r="C119" i="8"/>
  <c r="T119" i="8" s="1"/>
  <c r="C118" i="8"/>
  <c r="T118" i="8" s="1"/>
  <c r="C117" i="8"/>
  <c r="T117" i="8" s="1"/>
  <c r="C116" i="8"/>
  <c r="T116" i="8" s="1"/>
  <c r="C115" i="8"/>
  <c r="T115" i="8" s="1"/>
  <c r="C114" i="8"/>
  <c r="T114" i="8" s="1"/>
  <c r="C113" i="8"/>
  <c r="T113" i="8" s="1"/>
  <c r="C112" i="8"/>
  <c r="T112" i="8" s="1"/>
  <c r="C111" i="8"/>
  <c r="T111" i="8" s="1"/>
  <c r="C110" i="8"/>
  <c r="T110" i="8" s="1"/>
  <c r="C109" i="8"/>
  <c r="T109" i="8" s="1"/>
  <c r="C108" i="8"/>
  <c r="T108" i="8" s="1"/>
  <c r="C107" i="8"/>
  <c r="T107" i="8" s="1"/>
  <c r="C106" i="8"/>
  <c r="T106" i="8" s="1"/>
  <c r="C105" i="8"/>
  <c r="T105" i="8" s="1"/>
  <c r="C104" i="8"/>
  <c r="T104" i="8" s="1"/>
  <c r="C103" i="8"/>
  <c r="T103" i="8" s="1"/>
  <c r="C102" i="8"/>
  <c r="T102" i="8" s="1"/>
  <c r="C101" i="8"/>
  <c r="T101" i="8" s="1"/>
  <c r="C100" i="8"/>
  <c r="T100" i="8" s="1"/>
  <c r="C99" i="8"/>
  <c r="T99" i="8" s="1"/>
  <c r="C98" i="8"/>
  <c r="T98" i="8" s="1"/>
  <c r="C97" i="8"/>
  <c r="T97" i="8" s="1"/>
  <c r="C96" i="8"/>
  <c r="T96" i="8" s="1"/>
  <c r="C95" i="8"/>
  <c r="T95" i="8" s="1"/>
  <c r="C94" i="8"/>
  <c r="T94" i="8" s="1"/>
  <c r="C93" i="8"/>
  <c r="T93" i="8" s="1"/>
  <c r="C92" i="8"/>
  <c r="T92" i="8" s="1"/>
  <c r="C91" i="8"/>
  <c r="T91" i="8" s="1"/>
  <c r="C90" i="8"/>
  <c r="T90" i="8" s="1"/>
  <c r="C89" i="8"/>
  <c r="T89" i="8" s="1"/>
  <c r="C88" i="8"/>
  <c r="T88" i="8" s="1"/>
  <c r="C87" i="8"/>
  <c r="T87" i="8" s="1"/>
  <c r="C86" i="8"/>
  <c r="T86" i="8" s="1"/>
  <c r="C85" i="8"/>
  <c r="T85" i="8" s="1"/>
  <c r="C84" i="8"/>
  <c r="T84" i="8" s="1"/>
  <c r="C83" i="8"/>
  <c r="T83" i="8" s="1"/>
  <c r="C82" i="8"/>
  <c r="T82" i="8" s="1"/>
  <c r="C81" i="8"/>
  <c r="T81" i="8" s="1"/>
  <c r="C80" i="8"/>
  <c r="T80" i="8" s="1"/>
  <c r="C79" i="8"/>
  <c r="T79" i="8" s="1"/>
  <c r="C78" i="8"/>
  <c r="T78" i="8" s="1"/>
  <c r="C77" i="8"/>
  <c r="T77" i="8" s="1"/>
  <c r="C76" i="8"/>
  <c r="T76" i="8" s="1"/>
  <c r="C75" i="8"/>
  <c r="T75" i="8" s="1"/>
  <c r="C74" i="8"/>
  <c r="T74" i="8" s="1"/>
  <c r="C73" i="8"/>
  <c r="T73" i="8" s="1"/>
  <c r="C72" i="8"/>
  <c r="T72" i="8" s="1"/>
  <c r="C71" i="8"/>
  <c r="T71" i="8" s="1"/>
  <c r="C70" i="8"/>
  <c r="T70" i="8" s="1"/>
  <c r="C69" i="8"/>
  <c r="T69" i="8" s="1"/>
  <c r="C68" i="8"/>
  <c r="T68" i="8" s="1"/>
  <c r="C67" i="8"/>
  <c r="T67" i="8" s="1"/>
  <c r="C66" i="8"/>
  <c r="T66" i="8" s="1"/>
  <c r="C65" i="8"/>
  <c r="T65" i="8" s="1"/>
  <c r="C64" i="8"/>
  <c r="T64" i="8" s="1"/>
  <c r="C63" i="8"/>
  <c r="T63" i="8" s="1"/>
  <c r="C62" i="8"/>
  <c r="T62" i="8" s="1"/>
  <c r="C61" i="8"/>
  <c r="T61" i="8" s="1"/>
  <c r="C60" i="8"/>
  <c r="T60" i="8" s="1"/>
  <c r="C59" i="8"/>
  <c r="T59" i="8" s="1"/>
  <c r="C58" i="8"/>
  <c r="T58" i="8" s="1"/>
  <c r="C57" i="8"/>
  <c r="T57" i="8" s="1"/>
  <c r="C56" i="8"/>
  <c r="T56" i="8" s="1"/>
  <c r="C55" i="8"/>
  <c r="T55" i="8" s="1"/>
  <c r="C54" i="8"/>
  <c r="T54" i="8" s="1"/>
  <c r="C53" i="8"/>
  <c r="T53" i="8" s="1"/>
  <c r="C52" i="8"/>
  <c r="T52" i="8" s="1"/>
  <c r="C51" i="8"/>
  <c r="T51" i="8" s="1"/>
  <c r="C50" i="8"/>
  <c r="T50" i="8" s="1"/>
  <c r="C49" i="8"/>
  <c r="T49" i="8" s="1"/>
  <c r="C48" i="8"/>
  <c r="T48" i="8" s="1"/>
  <c r="C47" i="8"/>
  <c r="T47" i="8" s="1"/>
  <c r="C46" i="8"/>
  <c r="T46" i="8" s="1"/>
  <c r="C45" i="8"/>
  <c r="T45" i="8" s="1"/>
  <c r="C44" i="8"/>
  <c r="T44" i="8" s="1"/>
  <c r="C43" i="8"/>
  <c r="T43" i="8" s="1"/>
  <c r="C42" i="8"/>
  <c r="T42" i="8" s="1"/>
  <c r="C41" i="8"/>
  <c r="T41" i="8" s="1"/>
  <c r="C40" i="8"/>
  <c r="T40" i="8" s="1"/>
  <c r="C39" i="8"/>
  <c r="T39" i="8" s="1"/>
  <c r="C38" i="8"/>
  <c r="T38" i="8" s="1"/>
  <c r="C37" i="8"/>
  <c r="T37" i="8" s="1"/>
  <c r="C36" i="8"/>
  <c r="T36" i="8" s="1"/>
  <c r="C35" i="8"/>
  <c r="T35" i="8" s="1"/>
  <c r="C34" i="8"/>
  <c r="T34" i="8" s="1"/>
  <c r="C33" i="8"/>
  <c r="T33" i="8" s="1"/>
  <c r="C32" i="8"/>
  <c r="T32" i="8" s="1"/>
  <c r="C31" i="8"/>
  <c r="T31" i="8" s="1"/>
  <c r="C30" i="8"/>
  <c r="T30" i="8" s="1"/>
  <c r="C29" i="8"/>
  <c r="T29" i="8" s="1"/>
  <c r="C28" i="8"/>
  <c r="T28" i="8" s="1"/>
  <c r="C27" i="8"/>
  <c r="T27" i="8" s="1"/>
  <c r="C26" i="8"/>
  <c r="T26" i="8" s="1"/>
  <c r="C25" i="8"/>
  <c r="T25" i="8" s="1"/>
  <c r="C24" i="8"/>
  <c r="T24" i="8" s="1"/>
  <c r="C23" i="8"/>
  <c r="T23" i="8" s="1"/>
  <c r="C22" i="8"/>
  <c r="T22" i="8" s="1"/>
  <c r="C21" i="8"/>
  <c r="T21" i="8" s="1"/>
  <c r="C20" i="8"/>
  <c r="T20" i="8" s="1"/>
  <c r="C19" i="8"/>
  <c r="T19" i="8" s="1"/>
  <c r="C18" i="8"/>
  <c r="T18" i="8" s="1"/>
  <c r="C17" i="8"/>
  <c r="T17" i="8" s="1"/>
  <c r="C16" i="8"/>
  <c r="T16" i="8" s="1"/>
  <c r="C15" i="8"/>
  <c r="T15" i="8" s="1"/>
  <c r="C14" i="8"/>
  <c r="T14" i="8" s="1"/>
  <c r="C13" i="8"/>
  <c r="T13" i="8" s="1"/>
  <c r="C12" i="8"/>
  <c r="T12" i="8" s="1"/>
  <c r="C11" i="8"/>
  <c r="T11" i="8" s="1"/>
  <c r="C10" i="8"/>
  <c r="T10" i="8" s="1"/>
  <c r="C9" i="8"/>
  <c r="T9" i="8" s="1"/>
  <c r="C8" i="8"/>
  <c r="T8" i="8" s="1"/>
  <c r="C7" i="8"/>
  <c r="T7" i="8" s="1"/>
  <c r="C6" i="8"/>
  <c r="T6" i="8" s="1"/>
  <c r="C5" i="8"/>
  <c r="T5" i="8" s="1"/>
  <c r="C4" i="8"/>
  <c r="T4" i="8" s="1"/>
  <c r="C3" i="8"/>
  <c r="T3" i="8" s="1"/>
  <c r="C2" i="8"/>
  <c r="T2" i="8" s="1"/>
  <c r="E3" i="7"/>
  <c r="G3" i="7" s="1"/>
  <c r="E4" i="7"/>
  <c r="E5" i="7"/>
  <c r="E6" i="7"/>
  <c r="E7" i="7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E18" i="7"/>
  <c r="F18" i="7" s="1"/>
  <c r="E19" i="7"/>
  <c r="F19" i="7" s="1"/>
  <c r="E20" i="7"/>
  <c r="F20" i="7" s="1"/>
  <c r="E21" i="7"/>
  <c r="F21" i="7" s="1"/>
  <c r="E22" i="7"/>
  <c r="E23" i="7"/>
  <c r="E24" i="7"/>
  <c r="G24" i="7" s="1"/>
  <c r="E25" i="7"/>
  <c r="G25" i="7" s="1"/>
  <c r="E26" i="7"/>
  <c r="G26" i="7" s="1"/>
  <c r="E27" i="7"/>
  <c r="G27" i="7" s="1"/>
  <c r="E28" i="7"/>
  <c r="G28" i="7" s="1"/>
  <c r="E29" i="7"/>
  <c r="G29" i="7" s="1"/>
  <c r="E30" i="7"/>
  <c r="G30" i="7" s="1"/>
  <c r="E31" i="7"/>
  <c r="E32" i="7"/>
  <c r="E33" i="7"/>
  <c r="G33" i="7" s="1"/>
  <c r="E34" i="7"/>
  <c r="G34" i="7" s="1"/>
  <c r="E35" i="7"/>
  <c r="F35" i="7" s="1"/>
  <c r="E36" i="7"/>
  <c r="E37" i="7"/>
  <c r="E38" i="7"/>
  <c r="E39" i="7"/>
  <c r="E40" i="7"/>
  <c r="E41" i="7"/>
  <c r="G41" i="7" s="1"/>
  <c r="E42" i="7"/>
  <c r="G42" i="7" s="1"/>
  <c r="E43" i="7"/>
  <c r="G43" i="7" s="1"/>
  <c r="E44" i="7"/>
  <c r="Z44" i="7" s="1"/>
  <c r="E45" i="7"/>
  <c r="E46" i="7"/>
  <c r="E47" i="7"/>
  <c r="Z47" i="7" s="1"/>
  <c r="E48" i="7"/>
  <c r="E49" i="7"/>
  <c r="E50" i="7"/>
  <c r="Z50" i="7" s="1"/>
  <c r="E51" i="7"/>
  <c r="E52" i="7"/>
  <c r="G52" i="7" s="1"/>
  <c r="E53" i="7"/>
  <c r="G53" i="7" s="1"/>
  <c r="E54" i="7"/>
  <c r="E55" i="7"/>
  <c r="E56" i="7"/>
  <c r="E57" i="7"/>
  <c r="G57" i="7" s="1"/>
  <c r="E58" i="7"/>
  <c r="E59" i="7"/>
  <c r="E60" i="7"/>
  <c r="F60" i="7" s="1"/>
  <c r="E61" i="7"/>
  <c r="F61" i="7" s="1"/>
  <c r="E62" i="7"/>
  <c r="Z62" i="7" s="1"/>
  <c r="E63" i="7"/>
  <c r="Z63" i="7" s="1"/>
  <c r="E64" i="7"/>
  <c r="E65" i="7"/>
  <c r="E66" i="7"/>
  <c r="E67" i="7"/>
  <c r="E68" i="7"/>
  <c r="E69" i="7"/>
  <c r="E70" i="7"/>
  <c r="F70" i="7" s="1"/>
  <c r="E71" i="7"/>
  <c r="F71" i="7" s="1"/>
  <c r="E72" i="7"/>
  <c r="F72" i="7" s="1"/>
  <c r="E73" i="7"/>
  <c r="G73" i="7" s="1"/>
  <c r="E74" i="7"/>
  <c r="G74" i="7" s="1"/>
  <c r="E75" i="7"/>
  <c r="G75" i="7" s="1"/>
  <c r="E76" i="7"/>
  <c r="G76" i="7" s="1"/>
  <c r="E77" i="7"/>
  <c r="G77" i="7" s="1"/>
  <c r="E78" i="7"/>
  <c r="E79" i="7"/>
  <c r="E80" i="7"/>
  <c r="E81" i="7"/>
  <c r="G81" i="7" s="1"/>
  <c r="E82" i="7"/>
  <c r="E83" i="7"/>
  <c r="E84" i="7"/>
  <c r="E85" i="7"/>
  <c r="F85" i="7" s="1"/>
  <c r="E86" i="7"/>
  <c r="E87" i="7"/>
  <c r="E88" i="7"/>
  <c r="E89" i="7"/>
  <c r="G89" i="7" s="1"/>
  <c r="E90" i="7"/>
  <c r="Z90" i="7" s="1"/>
  <c r="E91" i="7"/>
  <c r="E92" i="7"/>
  <c r="G92" i="7" s="1"/>
  <c r="E93" i="7"/>
  <c r="G93" i="7" s="1"/>
  <c r="E94" i="7"/>
  <c r="G94" i="7" s="1"/>
  <c r="E95" i="7"/>
  <c r="G95" i="7" s="1"/>
  <c r="E96" i="7"/>
  <c r="E97" i="7"/>
  <c r="E98" i="7"/>
  <c r="E99" i="7"/>
  <c r="G99" i="7" s="1"/>
  <c r="E100" i="7"/>
  <c r="E101" i="7"/>
  <c r="E102" i="7"/>
  <c r="E103" i="7"/>
  <c r="E104" i="7"/>
  <c r="E105" i="7"/>
  <c r="E106" i="7"/>
  <c r="Z106" i="7" s="1"/>
  <c r="E107" i="7"/>
  <c r="F107" i="7" s="1"/>
  <c r="E108" i="7"/>
  <c r="F108" i="7" s="1"/>
  <c r="E109" i="7"/>
  <c r="F109" i="7" s="1"/>
  <c r="E110" i="7"/>
  <c r="G110" i="7" s="1"/>
  <c r="E111" i="7"/>
  <c r="G111" i="7" s="1"/>
  <c r="E112" i="7"/>
  <c r="F112" i="7" s="1"/>
  <c r="E113" i="7"/>
  <c r="G113" i="7" s="1"/>
  <c r="E114" i="7"/>
  <c r="G114" i="7" s="1"/>
  <c r="E115" i="7"/>
  <c r="E116" i="7"/>
  <c r="E117" i="7"/>
  <c r="E118" i="7"/>
  <c r="G118" i="7" s="1"/>
  <c r="E119" i="7"/>
  <c r="E120" i="7"/>
  <c r="F120" i="7" s="1"/>
  <c r="E121" i="7"/>
  <c r="E122" i="7"/>
  <c r="E123" i="7"/>
  <c r="E124" i="7"/>
  <c r="E125" i="7"/>
  <c r="E126" i="7"/>
  <c r="G126" i="7" s="1"/>
  <c r="E127" i="7"/>
  <c r="G127" i="7" s="1"/>
  <c r="E128" i="7"/>
  <c r="G128" i="7" s="1"/>
  <c r="E129" i="7"/>
  <c r="G129" i="7" s="1"/>
  <c r="E130" i="7"/>
  <c r="G130" i="7" s="1"/>
  <c r="E131" i="7"/>
  <c r="E132" i="7"/>
  <c r="E133" i="7"/>
  <c r="E134" i="7"/>
  <c r="G134" i="7" s="1"/>
  <c r="E135" i="7"/>
  <c r="E136" i="7"/>
  <c r="E137" i="7"/>
  <c r="E138" i="7"/>
  <c r="E139" i="7"/>
  <c r="E140" i="7"/>
  <c r="E141" i="7"/>
  <c r="E142" i="7"/>
  <c r="F142" i="7" s="1"/>
  <c r="E143" i="7"/>
  <c r="G143" i="7" s="1"/>
  <c r="E144" i="7"/>
  <c r="G144" i="7" s="1"/>
  <c r="E145" i="7"/>
  <c r="G145" i="7" s="1"/>
  <c r="E146" i="7"/>
  <c r="G146" i="7" s="1"/>
  <c r="E147" i="7"/>
  <c r="G147" i="7" s="1"/>
  <c r="E148" i="7"/>
  <c r="E149" i="7"/>
  <c r="E150" i="7"/>
  <c r="E151" i="7"/>
  <c r="G151" i="7" s="1"/>
  <c r="E152" i="7"/>
  <c r="E153" i="7"/>
  <c r="E154" i="7"/>
  <c r="Z154" i="7" s="1"/>
  <c r="E155" i="7"/>
  <c r="E156" i="7"/>
  <c r="F156" i="7" s="1"/>
  <c r="E157" i="7"/>
  <c r="F157" i="7" s="1"/>
  <c r="E158" i="7"/>
  <c r="F158" i="7" s="1"/>
  <c r="E159" i="7"/>
  <c r="E160" i="7"/>
  <c r="E161" i="7"/>
  <c r="E162" i="7"/>
  <c r="E163" i="7"/>
  <c r="G163" i="7" s="1"/>
  <c r="E164" i="7"/>
  <c r="G164" i="7" s="1"/>
  <c r="E165" i="7"/>
  <c r="G165" i="7" s="1"/>
  <c r="E166" i="7"/>
  <c r="G166" i="7" s="1"/>
  <c r="E167" i="7"/>
  <c r="G167" i="7" s="1"/>
  <c r="E168" i="7"/>
  <c r="E169" i="7"/>
  <c r="E170" i="7"/>
  <c r="E171" i="7"/>
  <c r="G171" i="7" s="1"/>
  <c r="E172" i="7"/>
  <c r="E173" i="7"/>
  <c r="E174" i="7"/>
  <c r="E175" i="7"/>
  <c r="E176" i="7"/>
  <c r="E177" i="7"/>
  <c r="E178" i="7"/>
  <c r="E179" i="7"/>
  <c r="G179" i="7" s="1"/>
  <c r="E180" i="7"/>
  <c r="G180" i="7" s="1"/>
  <c r="E181" i="7"/>
  <c r="G181" i="7" s="1"/>
  <c r="E182" i="7"/>
  <c r="G182" i="7" s="1"/>
  <c r="E183" i="7"/>
  <c r="G183" i="7" s="1"/>
  <c r="E184" i="7"/>
  <c r="E185" i="7"/>
  <c r="E186" i="7"/>
  <c r="Z186" i="7" s="1"/>
  <c r="E187" i="7"/>
  <c r="E188" i="7"/>
  <c r="E189" i="7"/>
  <c r="Z189" i="7" s="1"/>
  <c r="E190" i="7"/>
  <c r="Z190" i="7" s="1"/>
  <c r="E191" i="7"/>
  <c r="E192" i="7"/>
  <c r="E193" i="7"/>
  <c r="E194" i="7"/>
  <c r="E195" i="7"/>
  <c r="E196" i="7"/>
  <c r="E197" i="7"/>
  <c r="G197" i="7" s="1"/>
  <c r="E198" i="7"/>
  <c r="E199" i="7"/>
  <c r="F199" i="7" s="1"/>
  <c r="E200" i="7"/>
  <c r="E201" i="7"/>
  <c r="F201" i="7" s="1"/>
  <c r="E202" i="7"/>
  <c r="E203" i="7"/>
  <c r="F203" i="7" s="1"/>
  <c r="E204" i="7"/>
  <c r="F204" i="7" s="1"/>
  <c r="E205" i="7"/>
  <c r="F205" i="7" s="1"/>
  <c r="E206" i="7"/>
  <c r="E207" i="7"/>
  <c r="E208" i="7"/>
  <c r="E209" i="7"/>
  <c r="G209" i="7" s="1"/>
  <c r="E210" i="7"/>
  <c r="G210" i="7" s="1"/>
  <c r="E211" i="7"/>
  <c r="E212" i="7"/>
  <c r="E213" i="7"/>
  <c r="E214" i="7"/>
  <c r="E215" i="7"/>
  <c r="E216" i="7"/>
  <c r="Z216" i="7" s="1"/>
  <c r="E217" i="7"/>
  <c r="E218" i="7"/>
  <c r="G218" i="7" s="1"/>
  <c r="E219" i="7"/>
  <c r="G219" i="7" s="1"/>
  <c r="E220" i="7"/>
  <c r="G220" i="7" s="1"/>
  <c r="E221" i="7"/>
  <c r="E222" i="7"/>
  <c r="E223" i="7"/>
  <c r="E224" i="7"/>
  <c r="G224" i="7" s="1"/>
  <c r="E225" i="7"/>
  <c r="E226" i="7"/>
  <c r="E227" i="7"/>
  <c r="E228" i="7"/>
  <c r="E229" i="7"/>
  <c r="E230" i="7"/>
  <c r="E231" i="7"/>
  <c r="E232" i="7"/>
  <c r="E233" i="7"/>
  <c r="E234" i="7"/>
  <c r="G234" i="7" s="1"/>
  <c r="E235" i="7"/>
  <c r="G235" i="7" s="1"/>
  <c r="E236" i="7"/>
  <c r="G236" i="7" s="1"/>
  <c r="E237" i="7"/>
  <c r="G237" i="7" s="1"/>
  <c r="E238" i="7"/>
  <c r="G238" i="7" s="1"/>
  <c r="E239" i="7"/>
  <c r="E240" i="7"/>
  <c r="E241" i="7"/>
  <c r="E242" i="7"/>
  <c r="G242" i="7" s="1"/>
  <c r="E243" i="7"/>
  <c r="E244" i="7"/>
  <c r="E245" i="7"/>
  <c r="E246" i="7"/>
  <c r="F246" i="7" s="1"/>
  <c r="E247" i="7"/>
  <c r="F247" i="7" s="1"/>
  <c r="E248" i="7"/>
  <c r="F248" i="7" s="1"/>
  <c r="E249" i="7"/>
  <c r="F249" i="7" s="1"/>
  <c r="E250" i="7"/>
  <c r="G250" i="7" s="1"/>
  <c r="E251" i="7"/>
  <c r="G251" i="7" s="1"/>
  <c r="E252" i="7"/>
  <c r="G252" i="7" s="1"/>
  <c r="E253" i="7"/>
  <c r="G253" i="7" s="1"/>
  <c r="E254" i="7"/>
  <c r="G254" i="7" s="1"/>
  <c r="E255" i="7"/>
  <c r="E256" i="7"/>
  <c r="E257" i="7"/>
  <c r="E258" i="7"/>
  <c r="G258" i="7" s="1"/>
  <c r="E259" i="7"/>
  <c r="E260" i="7"/>
  <c r="E261" i="7"/>
  <c r="E262" i="7"/>
  <c r="E263" i="7"/>
  <c r="E264" i="7"/>
  <c r="E265" i="7"/>
  <c r="E266" i="7"/>
  <c r="E267" i="7"/>
  <c r="G267" i="7" s="1"/>
  <c r="E268" i="7"/>
  <c r="G268" i="7" s="1"/>
  <c r="E269" i="7"/>
  <c r="G269" i="7" s="1"/>
  <c r="E270" i="7"/>
  <c r="G270" i="7" s="1"/>
  <c r="E271" i="7"/>
  <c r="G271" i="7" s="1"/>
  <c r="E272" i="7"/>
  <c r="E273" i="7"/>
  <c r="E274" i="7"/>
  <c r="E275" i="7"/>
  <c r="G275" i="7" s="1"/>
  <c r="E276" i="7"/>
  <c r="E277" i="7"/>
  <c r="E278" i="7"/>
  <c r="Z278" i="7" s="1"/>
  <c r="E279" i="7"/>
  <c r="E280" i="7"/>
  <c r="Z280" i="7" s="1"/>
  <c r="E281" i="7"/>
  <c r="E282" i="7"/>
  <c r="E283" i="7"/>
  <c r="E284" i="7"/>
  <c r="E285" i="7"/>
  <c r="Z285" i="7" s="1"/>
  <c r="E286" i="7"/>
  <c r="E287" i="7"/>
  <c r="E288" i="7"/>
  <c r="E289" i="7"/>
  <c r="F289" i="7" s="1"/>
  <c r="E290" i="7"/>
  <c r="F290" i="7" s="1"/>
  <c r="E291" i="7"/>
  <c r="G291" i="7" s="1"/>
  <c r="E292" i="7"/>
  <c r="G292" i="7" s="1"/>
  <c r="E293" i="7"/>
  <c r="G293" i="7" s="1"/>
  <c r="E294" i="7"/>
  <c r="G294" i="7" s="1"/>
  <c r="E295" i="7"/>
  <c r="G295" i="7" s="1"/>
  <c r="E296" i="7"/>
  <c r="E297" i="7"/>
  <c r="E298" i="7"/>
  <c r="E299" i="7"/>
  <c r="E300" i="7"/>
  <c r="E301" i="7"/>
  <c r="E302" i="7"/>
  <c r="E303" i="7"/>
  <c r="E304" i="7"/>
  <c r="E305" i="7"/>
  <c r="E306" i="7"/>
  <c r="E307" i="7"/>
  <c r="G307" i="7" s="1"/>
  <c r="E308" i="7"/>
  <c r="E309" i="7"/>
  <c r="F309" i="7" s="1"/>
  <c r="E310" i="7"/>
  <c r="F310" i="7" s="1"/>
  <c r="E311" i="7"/>
  <c r="E312" i="7"/>
  <c r="E313" i="7"/>
  <c r="E314" i="7"/>
  <c r="E315" i="7"/>
  <c r="G315" i="7" s="1"/>
  <c r="E316" i="7"/>
  <c r="G316" i="7" s="1"/>
  <c r="E317" i="7"/>
  <c r="G317" i="7" s="1"/>
  <c r="E318" i="7"/>
  <c r="G318" i="7" s="1"/>
  <c r="E319" i="7"/>
  <c r="G319" i="7" s="1"/>
  <c r="E320" i="7"/>
  <c r="E321" i="7"/>
  <c r="E322" i="7"/>
  <c r="E323" i="7"/>
  <c r="G323" i="7" s="1"/>
  <c r="E324" i="7"/>
  <c r="E325" i="7"/>
  <c r="E326" i="7"/>
  <c r="E327" i="7"/>
  <c r="E328" i="7"/>
  <c r="E329" i="7"/>
  <c r="E330" i="7"/>
  <c r="E331" i="7"/>
  <c r="E332" i="7"/>
  <c r="E333" i="7"/>
  <c r="G333" i="7" s="1"/>
  <c r="E334" i="7"/>
  <c r="G334" i="7" s="1"/>
  <c r="E335" i="7"/>
  <c r="E336" i="7"/>
  <c r="G336" i="7" s="1"/>
  <c r="E337" i="7"/>
  <c r="G337" i="7" s="1"/>
  <c r="E338" i="7"/>
  <c r="E339" i="7"/>
  <c r="E340" i="7"/>
  <c r="E341" i="7"/>
  <c r="E342" i="7"/>
  <c r="E343" i="7"/>
  <c r="E344" i="7"/>
  <c r="G344" i="7" s="1"/>
  <c r="E345" i="7"/>
  <c r="E346" i="7"/>
  <c r="F346" i="7" s="1"/>
  <c r="E347" i="7"/>
  <c r="F347" i="7" s="1"/>
  <c r="E348" i="7"/>
  <c r="F348" i="7" s="1"/>
  <c r="E349" i="7"/>
  <c r="F349" i="7" s="1"/>
  <c r="E350" i="7"/>
  <c r="E351" i="7"/>
  <c r="E352" i="7"/>
  <c r="G352" i="7" s="1"/>
  <c r="E353" i="7"/>
  <c r="G353" i="7" s="1"/>
  <c r="E354" i="7"/>
  <c r="G354" i="7" s="1"/>
  <c r="E355" i="7"/>
  <c r="G355" i="7" s="1"/>
  <c r="E356" i="7"/>
  <c r="G356" i="7" s="1"/>
  <c r="E357" i="7"/>
  <c r="E358" i="7"/>
  <c r="E359" i="7"/>
  <c r="E360" i="7"/>
  <c r="G360" i="7" s="1"/>
  <c r="E361" i="7"/>
  <c r="E362" i="7"/>
  <c r="E363" i="7"/>
  <c r="E364" i="7"/>
  <c r="E365" i="7"/>
  <c r="E366" i="7"/>
  <c r="E367" i="7"/>
  <c r="E368" i="7"/>
  <c r="G368" i="7" s="1"/>
  <c r="E369" i="7"/>
  <c r="E370" i="7"/>
  <c r="G370" i="7" s="1"/>
  <c r="E371" i="7"/>
  <c r="G371" i="7" s="1"/>
  <c r="E372" i="7"/>
  <c r="G372" i="7" s="1"/>
  <c r="E373" i="7"/>
  <c r="G373" i="7" s="1"/>
  <c r="E374" i="7"/>
  <c r="E375" i="7"/>
  <c r="E376" i="7"/>
  <c r="E377" i="7"/>
  <c r="G377" i="7" s="1"/>
  <c r="E378" i="7"/>
  <c r="E379" i="7"/>
  <c r="E380" i="7"/>
  <c r="F380" i="7" s="1"/>
  <c r="E381" i="7"/>
  <c r="F381" i="7" s="1"/>
  <c r="E382" i="7"/>
  <c r="F382" i="7" s="1"/>
  <c r="E383" i="7"/>
  <c r="F383" i="7" s="1"/>
  <c r="E384" i="7"/>
  <c r="F384" i="7" s="1"/>
  <c r="E385" i="7"/>
  <c r="G385" i="7" s="1"/>
  <c r="E386" i="7"/>
  <c r="E387" i="7"/>
  <c r="E388" i="7"/>
  <c r="E389" i="7"/>
  <c r="G389" i="7" s="1"/>
  <c r="E390" i="7"/>
  <c r="G390" i="7" s="1"/>
  <c r="E391" i="7"/>
  <c r="G391" i="7" s="1"/>
  <c r="E392" i="7"/>
  <c r="G392" i="7" s="1"/>
  <c r="E393" i="7"/>
  <c r="E394" i="7"/>
  <c r="E395" i="7"/>
  <c r="E396" i="7"/>
  <c r="E397" i="7"/>
  <c r="G397" i="7" s="1"/>
  <c r="E398" i="7"/>
  <c r="E399" i="7"/>
  <c r="E400" i="7"/>
  <c r="E401" i="7"/>
  <c r="E402" i="7"/>
  <c r="E403" i="7"/>
  <c r="E404" i="7"/>
  <c r="E405" i="7"/>
  <c r="G405" i="7" s="1"/>
  <c r="E406" i="7"/>
  <c r="G406" i="7" s="1"/>
  <c r="E407" i="7"/>
  <c r="G407" i="7" s="1"/>
  <c r="E408" i="7"/>
  <c r="G408" i="7" s="1"/>
  <c r="E409" i="7"/>
  <c r="G409" i="7" s="1"/>
  <c r="E410" i="7"/>
  <c r="E411" i="7"/>
  <c r="E412" i="7"/>
  <c r="E413" i="7"/>
  <c r="G413" i="7" s="1"/>
  <c r="E414" i="7"/>
  <c r="E415" i="7"/>
  <c r="E416" i="7"/>
  <c r="E417" i="7"/>
  <c r="E418" i="7"/>
  <c r="E419" i="7"/>
  <c r="E420" i="7"/>
  <c r="Z420" i="7" s="1"/>
  <c r="E421" i="7"/>
  <c r="E422" i="7"/>
  <c r="E423" i="7"/>
  <c r="E424" i="7"/>
  <c r="E425" i="7"/>
  <c r="F425" i="7" s="1"/>
  <c r="E426" i="7"/>
  <c r="E427" i="7"/>
  <c r="F427" i="7" s="1"/>
  <c r="E428" i="7"/>
  <c r="E429" i="7"/>
  <c r="E430" i="7"/>
  <c r="F430" i="7" s="1"/>
  <c r="E431" i="7"/>
  <c r="G431" i="7" s="1"/>
  <c r="E432" i="7"/>
  <c r="G432" i="7" s="1"/>
  <c r="E433" i="7"/>
  <c r="G433" i="7" s="1"/>
  <c r="E434" i="7"/>
  <c r="E435" i="7"/>
  <c r="G435" i="7" s="1"/>
  <c r="E436" i="7"/>
  <c r="E437" i="7"/>
  <c r="G437" i="7" s="1"/>
  <c r="E438" i="7"/>
  <c r="E439" i="7"/>
  <c r="E440" i="7"/>
  <c r="E441" i="7"/>
  <c r="E442" i="7"/>
  <c r="E443" i="7"/>
  <c r="G443" i="7" s="1"/>
  <c r="E444" i="7"/>
  <c r="E445" i="7"/>
  <c r="Z445" i="7" s="1"/>
  <c r="E446" i="7"/>
  <c r="E447" i="7"/>
  <c r="E448" i="7"/>
  <c r="Z448" i="7" s="1"/>
  <c r="E449" i="7"/>
  <c r="E450" i="7"/>
  <c r="E451" i="7"/>
  <c r="E452" i="7"/>
  <c r="F452" i="7" s="1"/>
  <c r="E453" i="7"/>
  <c r="E454" i="7"/>
  <c r="E455" i="7"/>
  <c r="E456" i="7"/>
  <c r="E457" i="7"/>
  <c r="E458" i="7"/>
  <c r="G458" i="7" s="1"/>
  <c r="E459" i="7"/>
  <c r="G459" i="7" s="1"/>
  <c r="E460" i="7"/>
  <c r="G460" i="7" s="1"/>
  <c r="E461" i="7"/>
  <c r="E462" i="7"/>
  <c r="Z462" i="7" s="1"/>
  <c r="E463" i="7"/>
  <c r="G463" i="7" s="1"/>
  <c r="E464" i="7"/>
  <c r="G464" i="7" s="1"/>
  <c r="E465" i="7"/>
  <c r="E466" i="7"/>
  <c r="E467" i="7"/>
  <c r="E468" i="7"/>
  <c r="G468" i="7" s="1"/>
  <c r="E469" i="7"/>
  <c r="E470" i="7"/>
  <c r="E471" i="7"/>
  <c r="E472" i="7"/>
  <c r="E473" i="7"/>
  <c r="E474" i="7"/>
  <c r="E475" i="7"/>
  <c r="F475" i="7" s="1"/>
  <c r="E476" i="7"/>
  <c r="G476" i="7" s="1"/>
  <c r="E477" i="7"/>
  <c r="G477" i="7" s="1"/>
  <c r="E478" i="7"/>
  <c r="F478" i="7" s="1"/>
  <c r="E479" i="7"/>
  <c r="G479" i="7" s="1"/>
  <c r="E480" i="7"/>
  <c r="G480" i="7" s="1"/>
  <c r="E481" i="7"/>
  <c r="E482" i="7"/>
  <c r="E483" i="7"/>
  <c r="E484" i="7"/>
  <c r="G484" i="7" s="1"/>
  <c r="E485" i="7"/>
  <c r="E486" i="7"/>
  <c r="F486" i="7" s="1"/>
  <c r="E487" i="7"/>
  <c r="F487" i="7" s="1"/>
  <c r="E488" i="7"/>
  <c r="F488" i="7" s="1"/>
  <c r="E489" i="7"/>
  <c r="E490" i="7"/>
  <c r="E491" i="7"/>
  <c r="E492" i="7"/>
  <c r="G492" i="7" s="1"/>
  <c r="E493" i="7"/>
  <c r="G493" i="7" s="1"/>
  <c r="E494" i="7"/>
  <c r="G494" i="7" s="1"/>
  <c r="E495" i="7"/>
  <c r="G495" i="7" s="1"/>
  <c r="E496" i="7"/>
  <c r="G496" i="7" s="1"/>
  <c r="E497" i="7"/>
  <c r="E498" i="7"/>
  <c r="E499" i="7"/>
  <c r="E500" i="7"/>
  <c r="E501" i="7"/>
  <c r="G501" i="7" s="1"/>
  <c r="E502" i="7"/>
  <c r="E503" i="7"/>
  <c r="E504" i="7"/>
  <c r="E505" i="7"/>
  <c r="E506" i="7"/>
  <c r="E507" i="7"/>
  <c r="E508" i="7"/>
  <c r="E509" i="7"/>
  <c r="G509" i="7" s="1"/>
  <c r="E510" i="7"/>
  <c r="G510" i="7" s="1"/>
  <c r="E511" i="7"/>
  <c r="G511" i="7" s="1"/>
  <c r="E512" i="7"/>
  <c r="Z512" i="7" s="1"/>
  <c r="E513" i="7"/>
  <c r="E514" i="7"/>
  <c r="E515" i="7"/>
  <c r="E516" i="7"/>
  <c r="E517" i="7"/>
  <c r="E518" i="7"/>
  <c r="E519" i="7"/>
  <c r="E520" i="7"/>
  <c r="G520" i="7" s="1"/>
  <c r="E521" i="7"/>
  <c r="G521" i="7" s="1"/>
  <c r="E522" i="7"/>
  <c r="E523" i="7"/>
  <c r="E524" i="7"/>
  <c r="E525" i="7"/>
  <c r="G525" i="7" s="1"/>
  <c r="E526" i="7"/>
  <c r="E527" i="7"/>
  <c r="F527" i="7" s="1"/>
  <c r="E528" i="7"/>
  <c r="F528" i="7" s="1"/>
  <c r="E529" i="7"/>
  <c r="F529" i="7" s="1"/>
  <c r="E530" i="7"/>
  <c r="E531" i="7"/>
  <c r="E532" i="7"/>
  <c r="E533" i="7"/>
  <c r="E534" i="7"/>
  <c r="E535" i="7"/>
  <c r="E536" i="7"/>
  <c r="E537" i="7"/>
  <c r="E538" i="7"/>
  <c r="F538" i="7" s="1"/>
  <c r="E539" i="7"/>
  <c r="F539" i="7" s="1"/>
  <c r="E540" i="7"/>
  <c r="E541" i="7"/>
  <c r="G541" i="7" s="1"/>
  <c r="E542" i="7"/>
  <c r="G542" i="7" s="1"/>
  <c r="E543" i="7"/>
  <c r="G543" i="7" s="1"/>
  <c r="E544" i="7"/>
  <c r="G544" i="7" s="1"/>
  <c r="E545" i="7"/>
  <c r="G545" i="7" s="1"/>
  <c r="E546" i="7"/>
  <c r="E547" i="7"/>
  <c r="E548" i="7"/>
  <c r="E549" i="7"/>
  <c r="G549" i="7" s="1"/>
  <c r="E550" i="7"/>
  <c r="E551" i="7"/>
  <c r="E552" i="7"/>
  <c r="E553" i="7"/>
  <c r="E554" i="7"/>
  <c r="E555" i="7"/>
  <c r="E556" i="7"/>
  <c r="E557" i="7"/>
  <c r="G557" i="7" s="1"/>
  <c r="E558" i="7"/>
  <c r="E559" i="7"/>
  <c r="E560" i="7"/>
  <c r="G560" i="7" s="1"/>
  <c r="E561" i="7"/>
  <c r="G561" i="7" s="1"/>
  <c r="E562" i="7"/>
  <c r="G562" i="7" s="1"/>
  <c r="E563" i="7"/>
  <c r="G563" i="7" s="1"/>
  <c r="E564" i="7"/>
  <c r="E565" i="7"/>
  <c r="E566" i="7"/>
  <c r="E567" i="7"/>
  <c r="G567" i="7" s="1"/>
  <c r="E568" i="7"/>
  <c r="E569" i="7"/>
  <c r="E570" i="7"/>
  <c r="E571" i="7"/>
  <c r="F571" i="7" s="1"/>
  <c r="E572" i="7"/>
  <c r="Z572" i="7" s="1"/>
  <c r="E573" i="7"/>
  <c r="E574" i="7"/>
  <c r="E575" i="7"/>
  <c r="F575" i="7" s="1"/>
  <c r="E576" i="7"/>
  <c r="F576" i="7" s="1"/>
  <c r="E577" i="7"/>
  <c r="F577" i="7" s="1"/>
  <c r="E578" i="7"/>
  <c r="G578" i="7" s="1"/>
  <c r="E579" i="7"/>
  <c r="G579" i="7" s="1"/>
  <c r="E580" i="7"/>
  <c r="G580" i="7" s="1"/>
  <c r="E581" i="7"/>
  <c r="G581" i="7" s="1"/>
  <c r="E582" i="7"/>
  <c r="G582" i="7" s="1"/>
  <c r="E583" i="7"/>
  <c r="E584" i="7"/>
  <c r="E585" i="7"/>
  <c r="E586" i="7"/>
  <c r="G586" i="7" s="1"/>
  <c r="E587" i="7"/>
  <c r="E588" i="7"/>
  <c r="E589" i="7"/>
  <c r="E590" i="7"/>
  <c r="E591" i="7"/>
  <c r="E592" i="7"/>
  <c r="E593" i="7"/>
  <c r="E594" i="7"/>
  <c r="G594" i="7" s="1"/>
  <c r="E595" i="7"/>
  <c r="G595" i="7" s="1"/>
  <c r="E596" i="7"/>
  <c r="G596" i="7" s="1"/>
  <c r="E597" i="7"/>
  <c r="G597" i="7" s="1"/>
  <c r="E598" i="7"/>
  <c r="G598" i="7" s="1"/>
  <c r="E599" i="7"/>
  <c r="E600" i="7"/>
  <c r="E601" i="7"/>
  <c r="E602" i="7"/>
  <c r="G602" i="7" s="1"/>
  <c r="E603" i="7"/>
  <c r="E604" i="7"/>
  <c r="E605" i="7"/>
  <c r="E606" i="7"/>
  <c r="E607" i="7"/>
  <c r="E608" i="7"/>
  <c r="E609" i="7"/>
  <c r="F609" i="7" s="1"/>
  <c r="E610" i="7"/>
  <c r="F610" i="7" s="1"/>
  <c r="E611" i="7"/>
  <c r="G611" i="7" s="1"/>
  <c r="E612" i="7"/>
  <c r="G612" i="7" s="1"/>
  <c r="E613" i="7"/>
  <c r="F613" i="7" s="1"/>
  <c r="E614" i="7"/>
  <c r="G614" i="7" s="1"/>
  <c r="E615" i="7"/>
  <c r="G615" i="7" s="1"/>
  <c r="E616" i="7"/>
  <c r="E617" i="7"/>
  <c r="E618" i="7"/>
  <c r="E619" i="7"/>
  <c r="G619" i="7" s="1"/>
  <c r="E620" i="7"/>
  <c r="E621" i="7"/>
  <c r="E622" i="7"/>
  <c r="E623" i="7"/>
  <c r="E624" i="7"/>
  <c r="F624" i="7" s="1"/>
  <c r="E625" i="7"/>
  <c r="F625" i="7" s="1"/>
  <c r="E626" i="7"/>
  <c r="E627" i="7"/>
  <c r="E628" i="7"/>
  <c r="E629" i="7"/>
  <c r="E630" i="7"/>
  <c r="E631" i="7"/>
  <c r="G631" i="7" s="1"/>
  <c r="E632" i="7"/>
  <c r="G632" i="7" s="1"/>
  <c r="E633" i="7"/>
  <c r="G633" i="7" s="1"/>
  <c r="E634" i="7"/>
  <c r="G634" i="7" s="1"/>
  <c r="E635" i="7"/>
  <c r="G635" i="7" s="1"/>
  <c r="E636" i="7"/>
  <c r="E637" i="7"/>
  <c r="E638" i="7"/>
  <c r="E639" i="7"/>
  <c r="G639" i="7" s="1"/>
  <c r="E640" i="7"/>
  <c r="E641" i="7"/>
  <c r="E642" i="7"/>
  <c r="E643" i="7"/>
  <c r="E644" i="7"/>
  <c r="E645" i="7"/>
  <c r="E646" i="7"/>
  <c r="E647" i="7"/>
  <c r="G647" i="7" s="1"/>
  <c r="E648" i="7"/>
  <c r="G648" i="7" s="1"/>
  <c r="E649" i="7"/>
  <c r="G649" i="7" s="1"/>
  <c r="E650" i="7"/>
  <c r="G650" i="7" s="1"/>
  <c r="E651" i="7"/>
  <c r="G651" i="7" s="1"/>
  <c r="E652" i="7"/>
  <c r="E653" i="7"/>
  <c r="E654" i="7"/>
  <c r="E655" i="7"/>
  <c r="Z655" i="7" s="1"/>
  <c r="E656" i="7"/>
  <c r="E657" i="7"/>
  <c r="E658" i="7"/>
  <c r="Z658" i="7" s="1"/>
  <c r="E659" i="7"/>
  <c r="E660" i="7"/>
  <c r="E661" i="7"/>
  <c r="E662" i="7"/>
  <c r="E663" i="7"/>
  <c r="E664" i="7"/>
  <c r="E665" i="7"/>
  <c r="G665" i="7" s="1"/>
  <c r="E666" i="7"/>
  <c r="E667" i="7"/>
  <c r="F667" i="7" s="1"/>
  <c r="E668" i="7"/>
  <c r="E669" i="7"/>
  <c r="F669" i="7" s="1"/>
  <c r="E670" i="7"/>
  <c r="E671" i="7"/>
  <c r="F671" i="7" s="1"/>
  <c r="E672" i="7"/>
  <c r="F672" i="7" s="1"/>
  <c r="E673" i="7"/>
  <c r="E674" i="7"/>
  <c r="E675" i="7"/>
  <c r="E676" i="7"/>
  <c r="E677" i="7"/>
  <c r="G677" i="7" s="1"/>
  <c r="E678" i="7"/>
  <c r="G678" i="7" s="1"/>
  <c r="E679" i="7"/>
  <c r="E680" i="7"/>
  <c r="E681" i="7"/>
  <c r="E682" i="7"/>
  <c r="E683" i="7"/>
  <c r="E684" i="7"/>
  <c r="E685" i="7"/>
  <c r="E686" i="7"/>
  <c r="G686" i="7" s="1"/>
  <c r="E687" i="7"/>
  <c r="G687" i="7" s="1"/>
  <c r="E688" i="7"/>
  <c r="G688" i="7" s="1"/>
  <c r="E689" i="7"/>
  <c r="E690" i="7"/>
  <c r="E691" i="7"/>
  <c r="E692" i="7"/>
  <c r="G692" i="7" s="1"/>
  <c r="E693" i="7"/>
  <c r="E694" i="7"/>
  <c r="E695" i="7"/>
  <c r="E696" i="7"/>
  <c r="E697" i="7"/>
  <c r="E698" i="7"/>
  <c r="E699" i="7"/>
  <c r="E700" i="7"/>
  <c r="E701" i="7"/>
  <c r="E702" i="7"/>
  <c r="G702" i="7" s="1"/>
  <c r="E703" i="7"/>
  <c r="G703" i="7" s="1"/>
  <c r="E704" i="7"/>
  <c r="G704" i="7" s="1"/>
  <c r="E705" i="7"/>
  <c r="G705" i="7" s="1"/>
  <c r="E706" i="7"/>
  <c r="G706" i="7" s="1"/>
  <c r="E707" i="7"/>
  <c r="E708" i="7"/>
  <c r="E709" i="7"/>
  <c r="E710" i="7"/>
  <c r="G710" i="7" s="1"/>
  <c r="E711" i="7"/>
  <c r="E712" i="7"/>
  <c r="E713" i="7"/>
  <c r="F713" i="7" s="1"/>
  <c r="E714" i="7"/>
  <c r="F714" i="7" s="1"/>
  <c r="E715" i="7"/>
  <c r="F715" i="7" s="1"/>
  <c r="E716" i="7"/>
  <c r="F716" i="7" s="1"/>
  <c r="E717" i="7"/>
  <c r="F717" i="7" s="1"/>
  <c r="E718" i="7"/>
  <c r="G718" i="7" s="1"/>
  <c r="E719" i="7"/>
  <c r="G719" i="7" s="1"/>
  <c r="E720" i="7"/>
  <c r="G720" i="7" s="1"/>
  <c r="E721" i="7"/>
  <c r="G721" i="7" s="1"/>
  <c r="E722" i="7"/>
  <c r="G722" i="7" s="1"/>
  <c r="E723" i="7"/>
  <c r="E724" i="7"/>
  <c r="E725" i="7"/>
  <c r="E726" i="7"/>
  <c r="G726" i="7" s="1"/>
  <c r="E727" i="7"/>
  <c r="E728" i="7"/>
  <c r="E729" i="7"/>
  <c r="E730" i="7"/>
  <c r="E731" i="7"/>
  <c r="E732" i="7"/>
  <c r="E733" i="7"/>
  <c r="E734" i="7"/>
  <c r="E735" i="7"/>
  <c r="G735" i="7" s="1"/>
  <c r="E736" i="7"/>
  <c r="G736" i="7" s="1"/>
  <c r="E737" i="7"/>
  <c r="G737" i="7" s="1"/>
  <c r="E738" i="7"/>
  <c r="G738" i="7" s="1"/>
  <c r="E739" i="7"/>
  <c r="G739" i="7" s="1"/>
  <c r="E740" i="7"/>
  <c r="E741" i="7"/>
  <c r="E742" i="7"/>
  <c r="E743" i="7"/>
  <c r="G743" i="7" s="1"/>
  <c r="E744" i="7"/>
  <c r="E745" i="7"/>
  <c r="E746" i="7"/>
  <c r="E747" i="7"/>
  <c r="E748" i="7"/>
  <c r="E749" i="7"/>
  <c r="E750" i="7"/>
  <c r="E751" i="7"/>
  <c r="E752" i="7"/>
  <c r="Z752" i="7" s="1"/>
  <c r="E753" i="7"/>
  <c r="E754" i="7"/>
  <c r="E755" i="7"/>
  <c r="E756" i="7"/>
  <c r="F756" i="7" s="1"/>
  <c r="E757" i="7"/>
  <c r="F757" i="7" s="1"/>
  <c r="E758" i="7"/>
  <c r="F758" i="7" s="1"/>
  <c r="E759" i="7"/>
  <c r="G759" i="7" s="1"/>
  <c r="E760" i="7"/>
  <c r="G760" i="7" s="1"/>
  <c r="E761" i="7"/>
  <c r="G761" i="7" s="1"/>
  <c r="E762" i="7"/>
  <c r="G762" i="7" s="1"/>
  <c r="E763" i="7"/>
  <c r="G763" i="7" s="1"/>
  <c r="E764" i="7"/>
  <c r="Z764" i="7" s="1"/>
  <c r="E765" i="7"/>
  <c r="Z765" i="7" s="1"/>
  <c r="E766" i="7"/>
  <c r="E767" i="7"/>
  <c r="E768" i="7"/>
  <c r="Z768" i="7" s="1"/>
  <c r="E769" i="7"/>
  <c r="E770" i="7"/>
  <c r="E771" i="7"/>
  <c r="E772" i="7"/>
  <c r="E773" i="7"/>
  <c r="E774" i="7"/>
  <c r="E775" i="7"/>
  <c r="G775" i="7" s="1"/>
  <c r="E776" i="7"/>
  <c r="E777" i="7"/>
  <c r="F777" i="7" s="1"/>
  <c r="E778" i="7"/>
  <c r="F778" i="7" s="1"/>
  <c r="E779" i="7"/>
  <c r="E780" i="7"/>
  <c r="E781" i="7"/>
  <c r="E782" i="7"/>
  <c r="E783" i="7"/>
  <c r="G783" i="7" s="1"/>
  <c r="E784" i="7"/>
  <c r="G784" i="7" s="1"/>
  <c r="E785" i="7"/>
  <c r="G785" i="7" s="1"/>
  <c r="E786" i="7"/>
  <c r="G786" i="7" s="1"/>
  <c r="E787" i="7"/>
  <c r="G787" i="7" s="1"/>
  <c r="E788" i="7"/>
  <c r="E789" i="7"/>
  <c r="E790" i="7"/>
  <c r="E791" i="7"/>
  <c r="G791" i="7" s="1"/>
  <c r="E792" i="7"/>
  <c r="E793" i="7"/>
  <c r="E794" i="7"/>
  <c r="E795" i="7"/>
  <c r="E796" i="7"/>
  <c r="E797" i="7"/>
  <c r="E798" i="7"/>
  <c r="E799" i="7"/>
  <c r="E800" i="7"/>
  <c r="E801" i="7"/>
  <c r="G801" i="7" s="1"/>
  <c r="E802" i="7"/>
  <c r="G802" i="7" s="1"/>
  <c r="E803" i="7"/>
  <c r="G803" i="7" s="1"/>
  <c r="E804" i="7"/>
  <c r="G804" i="7" s="1"/>
  <c r="E805" i="7"/>
  <c r="G805" i="7" s="1"/>
  <c r="E806" i="7"/>
  <c r="E807" i="7"/>
  <c r="E808" i="7"/>
  <c r="E809" i="7"/>
  <c r="E810" i="7"/>
  <c r="E811" i="7"/>
  <c r="E812" i="7"/>
  <c r="G812" i="7" s="1"/>
  <c r="E813" i="7"/>
  <c r="E814" i="7"/>
  <c r="E815" i="7"/>
  <c r="F815" i="7" s="1"/>
  <c r="E816" i="7"/>
  <c r="F816" i="7" s="1"/>
  <c r="E817" i="7"/>
  <c r="F817" i="7" s="1"/>
  <c r="E818" i="7"/>
  <c r="F818" i="7" s="1"/>
  <c r="E819" i="7"/>
  <c r="F819" i="7" s="1"/>
  <c r="E820" i="7"/>
  <c r="G820" i="7" s="1"/>
  <c r="E821" i="7"/>
  <c r="G821" i="7" s="1"/>
  <c r="E822" i="7"/>
  <c r="G822" i="7" s="1"/>
  <c r="E823" i="7"/>
  <c r="G823" i="7" s="1"/>
  <c r="E824" i="7"/>
  <c r="G824" i="7" s="1"/>
  <c r="E825" i="7"/>
  <c r="E826" i="7"/>
  <c r="E827" i="7"/>
  <c r="E828" i="7"/>
  <c r="G828" i="7" s="1"/>
  <c r="E829" i="7"/>
  <c r="E830" i="7"/>
  <c r="E831" i="7"/>
  <c r="E832" i="7"/>
  <c r="E833" i="7"/>
  <c r="E834" i="7"/>
  <c r="E835" i="7"/>
  <c r="E836" i="7"/>
  <c r="G836" i="7" s="1"/>
  <c r="E837" i="7"/>
  <c r="E838" i="7"/>
  <c r="G838" i="7" s="1"/>
  <c r="E839" i="7"/>
  <c r="G839" i="7" s="1"/>
  <c r="E840" i="7"/>
  <c r="G840" i="7" s="1"/>
  <c r="E841" i="7"/>
  <c r="G841" i="7" s="1"/>
  <c r="E842" i="7"/>
  <c r="E843" i="7"/>
  <c r="E844" i="7"/>
  <c r="E845" i="7"/>
  <c r="G845" i="7" s="1"/>
  <c r="E846" i="7"/>
  <c r="E847" i="7"/>
  <c r="E848" i="7"/>
  <c r="E849" i="7"/>
  <c r="E850" i="7"/>
  <c r="E851" i="7"/>
  <c r="E852" i="7"/>
  <c r="E853" i="7"/>
  <c r="G853" i="7" s="1"/>
  <c r="E854" i="7"/>
  <c r="E855" i="7"/>
  <c r="E856" i="7"/>
  <c r="E857" i="7"/>
  <c r="G857" i="7" s="1"/>
  <c r="E858" i="7"/>
  <c r="G858" i="7" s="1"/>
  <c r="E859" i="7"/>
  <c r="G859" i="7" s="1"/>
  <c r="E860" i="7"/>
  <c r="G860" i="7" s="1"/>
  <c r="E861" i="7"/>
  <c r="E862" i="7"/>
  <c r="E863" i="7"/>
  <c r="E864" i="7"/>
  <c r="E865" i="7"/>
  <c r="G865" i="7" s="1"/>
  <c r="E866" i="7"/>
  <c r="E867" i="7"/>
  <c r="E868" i="7"/>
  <c r="F868" i="7" s="1"/>
  <c r="E869" i="7"/>
  <c r="F869" i="7" s="1"/>
  <c r="E870" i="7"/>
  <c r="F870" i="7" s="1"/>
  <c r="E871" i="7"/>
  <c r="E872" i="7"/>
  <c r="F872" i="7" s="1"/>
  <c r="E873" i="7"/>
  <c r="G873" i="7" s="1"/>
  <c r="E874" i="7"/>
  <c r="G874" i="7" s="1"/>
  <c r="E875" i="7"/>
  <c r="G875" i="7" s="1"/>
  <c r="E876" i="7"/>
  <c r="G876" i="7" s="1"/>
  <c r="E877" i="7"/>
  <c r="G877" i="7" s="1"/>
  <c r="E878" i="7"/>
  <c r="E879" i="7"/>
  <c r="E880" i="7"/>
  <c r="E881" i="7"/>
  <c r="G881" i="7" s="1"/>
  <c r="E882" i="7"/>
  <c r="E883" i="7"/>
  <c r="F883" i="7" s="1"/>
  <c r="E884" i="7"/>
  <c r="E885" i="7"/>
  <c r="E886" i="7"/>
  <c r="E887" i="7"/>
  <c r="E888" i="7"/>
  <c r="E889" i="7"/>
  <c r="E890" i="7"/>
  <c r="E891" i="7"/>
  <c r="E892" i="7"/>
  <c r="Z892" i="7" s="1"/>
  <c r="E893" i="7"/>
  <c r="E894" i="7"/>
  <c r="E895" i="7"/>
  <c r="E896" i="7"/>
  <c r="E897" i="7"/>
  <c r="E898" i="7"/>
  <c r="E899" i="7"/>
  <c r="G899" i="7" s="1"/>
  <c r="E900" i="7"/>
  <c r="G900" i="7" s="1"/>
  <c r="E901" i="7"/>
  <c r="G901" i="7" s="1"/>
  <c r="E902" i="7"/>
  <c r="E903" i="7"/>
  <c r="G903" i="7" s="1"/>
  <c r="E904" i="7"/>
  <c r="E905" i="7"/>
  <c r="G905" i="7" s="1"/>
  <c r="E906" i="7"/>
  <c r="E907" i="7"/>
  <c r="E908" i="7"/>
  <c r="E909" i="7"/>
  <c r="E910" i="7"/>
  <c r="E911" i="7"/>
  <c r="G911" i="7" s="1"/>
  <c r="E912" i="7"/>
  <c r="E913" i="7"/>
  <c r="E914" i="7"/>
  <c r="Z914" i="7" s="1"/>
  <c r="E915" i="7"/>
  <c r="E916" i="7"/>
  <c r="E917" i="7"/>
  <c r="E918" i="7"/>
  <c r="E919" i="7"/>
  <c r="Z919" i="7" s="1"/>
  <c r="E920" i="7"/>
  <c r="E921" i="7"/>
  <c r="E922" i="7"/>
  <c r="E923" i="7"/>
  <c r="E924" i="7"/>
  <c r="E925" i="7"/>
  <c r="E926" i="7"/>
  <c r="G926" i="7" s="1"/>
  <c r="E927" i="7"/>
  <c r="G927" i="7" s="1"/>
  <c r="E928" i="7"/>
  <c r="G928" i="7" s="1"/>
  <c r="E929" i="7"/>
  <c r="E930" i="7"/>
  <c r="E931" i="7"/>
  <c r="G931" i="7" s="1"/>
  <c r="E932" i="7"/>
  <c r="G932" i="7" s="1"/>
  <c r="E933" i="7"/>
  <c r="E934" i="7"/>
  <c r="E935" i="7"/>
  <c r="E936" i="7"/>
  <c r="G936" i="7" s="1"/>
  <c r="E937" i="7"/>
  <c r="E938" i="7"/>
  <c r="E939" i="7"/>
  <c r="E940" i="7"/>
  <c r="F940" i="7" s="1"/>
  <c r="E941" i="7"/>
  <c r="F941" i="7" s="1"/>
  <c r="E942" i="7"/>
  <c r="E943" i="7"/>
  <c r="F943" i="7" s="1"/>
  <c r="E944" i="7"/>
  <c r="G944" i="7" s="1"/>
  <c r="E945" i="7"/>
  <c r="G945" i="7" s="1"/>
  <c r="E946" i="7"/>
  <c r="G946" i="7" s="1"/>
  <c r="E947" i="7"/>
  <c r="G947" i="7" s="1"/>
  <c r="E948" i="7"/>
  <c r="G948" i="7" s="1"/>
  <c r="E949" i="7"/>
  <c r="E950" i="7"/>
  <c r="E951" i="7"/>
  <c r="E952" i="7"/>
  <c r="G952" i="7" s="1"/>
  <c r="E953" i="7"/>
  <c r="E954" i="7"/>
  <c r="F954" i="7" s="1"/>
  <c r="E955" i="7"/>
  <c r="F955" i="7" s="1"/>
  <c r="E956" i="7"/>
  <c r="E957" i="7"/>
  <c r="E958" i="7"/>
  <c r="E959" i="7"/>
  <c r="E960" i="7"/>
  <c r="G960" i="7" s="1"/>
  <c r="E961" i="7"/>
  <c r="G961" i="7" s="1"/>
  <c r="E962" i="7"/>
  <c r="G962" i="7" s="1"/>
  <c r="E963" i="7"/>
  <c r="G963" i="7" s="1"/>
  <c r="E964" i="7"/>
  <c r="G964" i="7" s="1"/>
  <c r="E965" i="7"/>
  <c r="E966" i="7"/>
  <c r="E967" i="7"/>
  <c r="E968" i="7"/>
  <c r="E969" i="7"/>
  <c r="G969" i="7" s="1"/>
  <c r="E970" i="7"/>
  <c r="E971" i="7"/>
  <c r="E972" i="7"/>
  <c r="E973" i="7"/>
  <c r="E974" i="7"/>
  <c r="E975" i="7"/>
  <c r="E976" i="7"/>
  <c r="E977" i="7"/>
  <c r="G977" i="7" s="1"/>
  <c r="E978" i="7"/>
  <c r="G978" i="7" s="1"/>
  <c r="E979" i="7"/>
  <c r="G979" i="7" s="1"/>
  <c r="E980" i="7"/>
  <c r="E981" i="7"/>
  <c r="E982" i="7"/>
  <c r="E983" i="7"/>
  <c r="E984" i="7"/>
  <c r="E985" i="7"/>
  <c r="E986" i="7"/>
  <c r="E987" i="7"/>
  <c r="E988" i="7"/>
  <c r="G988" i="7" s="1"/>
  <c r="E989" i="7"/>
  <c r="G989" i="7" s="1"/>
  <c r="E990" i="7"/>
  <c r="E991" i="7"/>
  <c r="E992" i="7"/>
  <c r="E993" i="7"/>
  <c r="G993" i="7" s="1"/>
  <c r="E994" i="7"/>
  <c r="E995" i="7"/>
  <c r="E996" i="7"/>
  <c r="E997" i="7"/>
  <c r="E998" i="7"/>
  <c r="E999" i="7"/>
  <c r="E1000" i="7"/>
  <c r="Z1000" i="7" s="1"/>
  <c r="E1001" i="7"/>
  <c r="E1002" i="7"/>
  <c r="E1003" i="7"/>
  <c r="Z1003" i="7" s="1"/>
  <c r="E1004" i="7"/>
  <c r="Z1004" i="7" s="1"/>
  <c r="E1005" i="7"/>
  <c r="Z1005" i="7" s="1"/>
  <c r="E1006" i="7"/>
  <c r="F1006" i="7" s="1"/>
  <c r="E1007" i="7"/>
  <c r="E1008" i="7"/>
  <c r="F1008" i="7" s="1"/>
  <c r="E1009" i="7"/>
  <c r="G1009" i="7" s="1"/>
  <c r="E1010" i="7"/>
  <c r="G1010" i="7" s="1"/>
  <c r="E1011" i="7"/>
  <c r="G1011" i="7" s="1"/>
  <c r="E1012" i="7"/>
  <c r="G1012" i="7" s="1"/>
  <c r="E1013" i="7"/>
  <c r="G1013" i="7" s="1"/>
  <c r="E1014" i="7"/>
  <c r="E1015" i="7"/>
  <c r="E1016" i="7"/>
  <c r="E1017" i="7"/>
  <c r="G1017" i="7" s="1"/>
  <c r="E1018" i="7"/>
  <c r="E1019" i="7"/>
  <c r="F1019" i="7" s="1"/>
  <c r="E1020" i="7"/>
  <c r="F1020" i="7" s="1"/>
  <c r="E1021" i="7"/>
  <c r="F1021" i="7" s="1"/>
  <c r="E1022" i="7"/>
  <c r="E1023" i="7"/>
  <c r="E1024" i="7"/>
  <c r="E1025" i="7"/>
  <c r="G1025" i="7" s="1"/>
  <c r="E1026" i="7"/>
  <c r="Z1026" i="7" s="1"/>
  <c r="E1027" i="7"/>
  <c r="E1028" i="7"/>
  <c r="G1028" i="7" s="1"/>
  <c r="E1029" i="7"/>
  <c r="G1029" i="7" s="1"/>
  <c r="E1030" i="7"/>
  <c r="G1030" i="7" s="1"/>
  <c r="E1031" i="7"/>
  <c r="G1031" i="7" s="1"/>
  <c r="E1032" i="7"/>
  <c r="E1033" i="7"/>
  <c r="E1034" i="7"/>
  <c r="E1035" i="7"/>
  <c r="G1035" i="7" s="1"/>
  <c r="E1036" i="7"/>
  <c r="E1037" i="7"/>
  <c r="E1038" i="7"/>
  <c r="E1039" i="7"/>
  <c r="E1040" i="7"/>
  <c r="Z1040" i="7" s="1"/>
  <c r="E1041" i="7"/>
  <c r="Z1041" i="7" s="1"/>
  <c r="E1042" i="7"/>
  <c r="Z1042" i="7" s="1"/>
  <c r="E1043" i="7"/>
  <c r="E1044" i="7"/>
  <c r="E1045" i="7"/>
  <c r="E1046" i="7"/>
  <c r="G1046" i="7" s="1"/>
  <c r="E1047" i="7"/>
  <c r="G1047" i="7" s="1"/>
  <c r="E1048" i="7"/>
  <c r="G1048" i="7" s="1"/>
  <c r="E1049" i="7"/>
  <c r="G1049" i="7" s="1"/>
  <c r="E1050" i="7"/>
  <c r="G1050" i="7" s="1"/>
  <c r="E1051" i="7"/>
  <c r="E1052" i="7"/>
  <c r="E1053" i="7"/>
  <c r="E1054" i="7"/>
  <c r="G1054" i="7" s="1"/>
  <c r="E1055" i="7"/>
  <c r="E1056" i="7"/>
  <c r="E1057" i="7"/>
  <c r="E1058" i="7"/>
  <c r="E1059" i="7"/>
  <c r="E1060" i="7"/>
  <c r="E1061" i="7"/>
  <c r="F1061" i="7" s="1"/>
  <c r="E1062" i="7"/>
  <c r="G1062" i="7" s="1"/>
  <c r="E1063" i="7"/>
  <c r="G1063" i="7" s="1"/>
  <c r="E1064" i="7"/>
  <c r="G1064" i="7" s="1"/>
  <c r="E1065" i="7"/>
  <c r="G1065" i="7" s="1"/>
  <c r="E1066" i="7"/>
  <c r="G1066" i="7" s="1"/>
  <c r="E1067" i="7"/>
  <c r="E1068" i="7"/>
  <c r="E1069" i="7"/>
  <c r="E1070" i="7"/>
  <c r="G1070" i="7" s="1"/>
  <c r="E1071" i="7"/>
  <c r="E1072" i="7"/>
  <c r="E1073" i="7"/>
  <c r="F1073" i="7" s="1"/>
  <c r="E1074" i="7"/>
  <c r="F1074" i="7" s="1"/>
  <c r="E1075" i="7"/>
  <c r="F1075" i="7" s="1"/>
  <c r="E1076" i="7"/>
  <c r="F1076" i="7" s="1"/>
  <c r="E1077" i="7"/>
  <c r="E1078" i="7"/>
  <c r="E1079" i="7"/>
  <c r="G1079" i="7" s="1"/>
  <c r="E1080" i="7"/>
  <c r="G1080" i="7" s="1"/>
  <c r="E1081" i="7"/>
  <c r="E1082" i="7"/>
  <c r="G1082" i="7" s="1"/>
  <c r="E1083" i="7"/>
  <c r="E1084" i="7"/>
  <c r="E1085" i="7"/>
  <c r="E1086" i="7"/>
  <c r="E1087" i="7"/>
  <c r="E1088" i="7"/>
  <c r="E1089" i="7"/>
  <c r="E1090" i="7"/>
  <c r="E1091" i="7"/>
  <c r="E1092" i="7"/>
  <c r="E1093" i="7"/>
  <c r="G1093" i="7" s="1"/>
  <c r="E1094" i="7"/>
  <c r="G1094" i="7" s="1"/>
  <c r="E1095" i="7"/>
  <c r="E1096" i="7"/>
  <c r="E1097" i="7"/>
  <c r="E1098" i="7"/>
  <c r="E1099" i="7"/>
  <c r="G1099" i="7" s="1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G1115" i="7" s="1"/>
  <c r="E1116" i="7"/>
  <c r="G1116" i="7" s="1"/>
  <c r="E1117" i="7"/>
  <c r="E1118" i="7"/>
  <c r="G1118" i="7" s="1"/>
  <c r="E1119" i="7"/>
  <c r="E1120" i="7"/>
  <c r="E1121" i="7"/>
  <c r="E1122" i="7"/>
  <c r="Z1122" i="7" s="1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F1135" i="7" s="1"/>
  <c r="E1136" i="7"/>
  <c r="E1137" i="7"/>
  <c r="G1137" i="7" s="1"/>
  <c r="E1138" i="7"/>
  <c r="E1139" i="7"/>
  <c r="G1139" i="7" s="1"/>
  <c r="E1140" i="7"/>
  <c r="F1140" i="7" s="1"/>
  <c r="E1141" i="7"/>
  <c r="E1142" i="7"/>
  <c r="F1142" i="7" s="1"/>
  <c r="E1143" i="7"/>
  <c r="E1144" i="7"/>
  <c r="E1145" i="7"/>
  <c r="G1145" i="7" s="1"/>
  <c r="E1146" i="7"/>
  <c r="E1147" i="7"/>
  <c r="Z1147" i="7" s="1"/>
  <c r="E1148" i="7"/>
  <c r="Z1148" i="7" s="1"/>
  <c r="E1149" i="7"/>
  <c r="E1150" i="7"/>
  <c r="E1151" i="7"/>
  <c r="E1152" i="7"/>
  <c r="Z1152" i="7" s="1"/>
  <c r="E1153" i="7"/>
  <c r="E1154" i="7"/>
  <c r="E1155" i="7"/>
  <c r="E1156" i="7"/>
  <c r="E1157" i="7"/>
  <c r="E1158" i="7"/>
  <c r="E1159" i="7"/>
  <c r="E1160" i="7"/>
  <c r="E1161" i="7"/>
  <c r="E1162" i="7"/>
  <c r="E1163" i="7"/>
  <c r="Z1163" i="7" s="1"/>
  <c r="E1164" i="7"/>
  <c r="Z1164" i="7" s="1"/>
  <c r="E1165" i="7"/>
  <c r="E1166" i="7"/>
  <c r="E1167" i="7"/>
  <c r="E1168" i="7"/>
  <c r="E1169" i="7"/>
  <c r="E1170" i="7"/>
  <c r="G1170" i="7" s="1"/>
  <c r="E1171" i="7"/>
  <c r="G1171" i="7" s="1"/>
  <c r="E1172" i="7"/>
  <c r="E1173" i="7"/>
  <c r="G1173" i="7" s="1"/>
  <c r="E1174" i="7"/>
  <c r="E1175" i="7"/>
  <c r="E1176" i="7"/>
  <c r="E1177" i="7"/>
  <c r="E1178" i="7"/>
  <c r="E1179" i="7"/>
  <c r="E1180" i="7"/>
  <c r="E1181" i="7"/>
  <c r="G1181" i="7" s="1"/>
  <c r="E1182" i="7"/>
  <c r="G1182" i="7" s="1"/>
  <c r="E1183" i="7"/>
  <c r="E1184" i="7"/>
  <c r="E1185" i="7"/>
  <c r="E1186" i="7"/>
  <c r="G1186" i="7" s="1"/>
  <c r="E1187" i="7"/>
  <c r="E1188" i="7"/>
  <c r="E1189" i="7"/>
  <c r="E1190" i="7"/>
  <c r="E1191" i="7"/>
  <c r="E1192" i="7"/>
  <c r="E1193" i="7"/>
  <c r="E1194" i="7"/>
  <c r="E1195" i="7"/>
  <c r="E1196" i="7"/>
  <c r="E1197" i="7"/>
  <c r="F1197" i="7" s="1"/>
  <c r="E1198" i="7"/>
  <c r="F1198" i="7" s="1"/>
  <c r="E1199" i="7"/>
  <c r="F1199" i="7" s="1"/>
  <c r="E1200" i="7"/>
  <c r="E1201" i="7"/>
  <c r="E1202" i="7"/>
  <c r="F1202" i="7" s="1"/>
  <c r="E1203" i="7"/>
  <c r="G1203" i="7" s="1"/>
  <c r="E1204" i="7"/>
  <c r="G1204" i="7" s="1"/>
  <c r="E1205" i="7"/>
  <c r="E1206" i="7"/>
  <c r="G1206" i="7" s="1"/>
  <c r="E1207" i="7"/>
  <c r="E1208" i="7"/>
  <c r="E1209" i="7"/>
  <c r="E1210" i="7"/>
  <c r="E1211" i="7"/>
  <c r="E1212" i="7"/>
  <c r="E1213" i="7"/>
  <c r="F1213" i="7" s="1"/>
  <c r="E1214" i="7"/>
  <c r="E1215" i="7"/>
  <c r="E1216" i="7"/>
  <c r="Z1216" i="7" s="1"/>
  <c r="E1217" i="7"/>
  <c r="E1218" i="7"/>
  <c r="E1219" i="7"/>
  <c r="E1220" i="7"/>
  <c r="E1221" i="7"/>
  <c r="E1222" i="7"/>
  <c r="G1222" i="7" s="1"/>
  <c r="E1223" i="7"/>
  <c r="G1223" i="7" s="1"/>
  <c r="E1224" i="7"/>
  <c r="E1225" i="7"/>
  <c r="E1226" i="7"/>
  <c r="E1227" i="7"/>
  <c r="G1227" i="7" s="1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G1251" i="7" s="1"/>
  <c r="E1252" i="7"/>
  <c r="G1252" i="7" s="1"/>
  <c r="E1253" i="7"/>
  <c r="E1254" i="7"/>
  <c r="G1254" i="7" s="1"/>
  <c r="E1255" i="7"/>
  <c r="E1256" i="7"/>
  <c r="E1257" i="7"/>
  <c r="E1258" i="7"/>
  <c r="E1259" i="7"/>
  <c r="E1260" i="7"/>
  <c r="E1261" i="7"/>
  <c r="Z1261" i="7" s="1"/>
  <c r="E1262" i="7"/>
  <c r="E1263" i="7"/>
  <c r="E1264" i="7"/>
  <c r="G1264" i="7" s="1"/>
  <c r="E1265" i="7"/>
  <c r="F1265" i="7" s="1"/>
  <c r="E1266" i="7"/>
  <c r="F1266" i="7" s="1"/>
  <c r="E1267" i="7"/>
  <c r="E1268" i="7"/>
  <c r="F1268" i="7" s="1"/>
  <c r="E1269" i="7"/>
  <c r="G1269" i="7" s="1"/>
  <c r="E1270" i="7"/>
  <c r="E1271" i="7"/>
  <c r="E1272" i="7"/>
  <c r="E1273" i="7"/>
  <c r="E1274" i="7"/>
  <c r="E1275" i="7"/>
  <c r="E1276" i="7"/>
  <c r="Z1276" i="7" s="1"/>
  <c r="E1277" i="7"/>
  <c r="E1278" i="7"/>
  <c r="E1279" i="7"/>
  <c r="E1280" i="7"/>
  <c r="E1281" i="7"/>
  <c r="E1282" i="7"/>
  <c r="F1282" i="7" s="1"/>
  <c r="E1283" i="7"/>
  <c r="F1283" i="7" s="1"/>
  <c r="E1284" i="7"/>
  <c r="E1285" i="7"/>
  <c r="E1286" i="7"/>
  <c r="E1287" i="7"/>
  <c r="E1288" i="7"/>
  <c r="G1288" i="7" s="1"/>
  <c r="E1289" i="7"/>
  <c r="G1289" i="7" s="1"/>
  <c r="E1290" i="7"/>
  <c r="E1291" i="7"/>
  <c r="G1291" i="7" s="1"/>
  <c r="E1292" i="7"/>
  <c r="E1293" i="7"/>
  <c r="E1294" i="7"/>
  <c r="E1295" i="7"/>
  <c r="E1296" i="7"/>
  <c r="E1297" i="7"/>
  <c r="E1298" i="7"/>
  <c r="E1299" i="7"/>
  <c r="G1299" i="7" s="1"/>
  <c r="E1300" i="7"/>
  <c r="G1300" i="7" s="1"/>
  <c r="E1301" i="7"/>
  <c r="E1302" i="7"/>
  <c r="E1303" i="7"/>
  <c r="E1304" i="7"/>
  <c r="G1304" i="7" s="1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F1318" i="7" s="1"/>
  <c r="E1319" i="7"/>
  <c r="E1320" i="7"/>
  <c r="F1320" i="7" s="1"/>
  <c r="E1321" i="7"/>
  <c r="G1321" i="7" s="1"/>
  <c r="E1322" i="7"/>
  <c r="E1323" i="7"/>
  <c r="E1324" i="7"/>
  <c r="E1325" i="7"/>
  <c r="G1325" i="7" s="1"/>
  <c r="E1326" i="7"/>
  <c r="E1327" i="7"/>
  <c r="G1327" i="7" s="1"/>
  <c r="E1328" i="7"/>
  <c r="E1329" i="7"/>
  <c r="E1330" i="7"/>
  <c r="E1331" i="7"/>
  <c r="E1332" i="7"/>
  <c r="E1333" i="7"/>
  <c r="E1334" i="7"/>
  <c r="E1335" i="7"/>
  <c r="F1335" i="7" s="1"/>
  <c r="E1336" i="7"/>
  <c r="G1336" i="7" s="1"/>
  <c r="E1337" i="7"/>
  <c r="G1337" i="7" s="1"/>
  <c r="E1338" i="7"/>
  <c r="E1339" i="7"/>
  <c r="E1340" i="7"/>
  <c r="E1341" i="7"/>
  <c r="G1341" i="7" s="1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Z1355" i="7" s="1"/>
  <c r="E1356" i="7"/>
  <c r="Z1356" i="7" s="1"/>
  <c r="E1357" i="7"/>
  <c r="E1358" i="7"/>
  <c r="E1359" i="7"/>
  <c r="E1360" i="7"/>
  <c r="E1361" i="7"/>
  <c r="E1362" i="7"/>
  <c r="E1363" i="7"/>
  <c r="E1364" i="7"/>
  <c r="E1365" i="7"/>
  <c r="E1366" i="7"/>
  <c r="E1367" i="7"/>
  <c r="G1367" i="7" s="1"/>
  <c r="E1368" i="7"/>
  <c r="G1368" i="7" s="1"/>
  <c r="E1369" i="7"/>
  <c r="E1370" i="7"/>
  <c r="E1371" i="7"/>
  <c r="G1371" i="7" s="1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Z1387" i="7" s="1"/>
  <c r="E1388" i="7"/>
  <c r="E1389" i="7"/>
  <c r="G1389" i="7" s="1"/>
  <c r="E1390" i="7"/>
  <c r="G1390" i="7" s="1"/>
  <c r="E1391" i="7"/>
  <c r="E1392" i="7"/>
  <c r="E1393" i="7"/>
  <c r="E1394" i="7"/>
  <c r="G1394" i="7" s="1"/>
  <c r="E1395" i="7"/>
  <c r="E1396" i="7"/>
  <c r="E1397" i="7"/>
  <c r="E1398" i="7"/>
  <c r="Z1398" i="7" s="1"/>
  <c r="E1399" i="7"/>
  <c r="E1400" i="7"/>
  <c r="E1401" i="7"/>
  <c r="E1402" i="7"/>
  <c r="E1403" i="7"/>
  <c r="E1404" i="7"/>
  <c r="E1405" i="7"/>
  <c r="E2" i="7"/>
  <c r="F554" i="7" l="1"/>
  <c r="G554" i="7"/>
  <c r="G474" i="7"/>
  <c r="F474" i="7"/>
  <c r="G394" i="7"/>
  <c r="F394" i="7"/>
  <c r="G170" i="7"/>
  <c r="F170" i="7"/>
  <c r="G1257" i="7"/>
  <c r="F1257" i="7"/>
  <c r="F729" i="7"/>
  <c r="G729" i="7"/>
  <c r="G1400" i="7"/>
  <c r="F1400" i="7"/>
  <c r="F1352" i="7"/>
  <c r="G1352" i="7"/>
  <c r="G1208" i="7"/>
  <c r="F1208" i="7"/>
  <c r="G1032" i="7"/>
  <c r="F1032" i="7"/>
  <c r="G1016" i="7"/>
  <c r="F1016" i="7"/>
  <c r="G968" i="7"/>
  <c r="F968" i="7"/>
  <c r="G744" i="7"/>
  <c r="F744" i="7"/>
  <c r="G600" i="7"/>
  <c r="F600" i="7"/>
  <c r="G472" i="7"/>
  <c r="F472" i="7"/>
  <c r="G376" i="7"/>
  <c r="F376" i="7"/>
  <c r="G56" i="7"/>
  <c r="F56" i="7"/>
  <c r="F40" i="7"/>
  <c r="G40" i="7"/>
  <c r="F24" i="7"/>
  <c r="F458" i="7"/>
  <c r="F496" i="7"/>
  <c r="F720" i="7"/>
  <c r="F824" i="7"/>
  <c r="F944" i="7"/>
  <c r="F1048" i="7"/>
  <c r="F1223" i="7"/>
  <c r="F1327" i="7"/>
  <c r="G199" i="7"/>
  <c r="G346" i="7"/>
  <c r="G624" i="7"/>
  <c r="G778" i="7"/>
  <c r="G1006" i="7"/>
  <c r="G1198" i="7"/>
  <c r="G1226" i="7"/>
  <c r="F1226" i="7"/>
  <c r="G970" i="7"/>
  <c r="F970" i="7"/>
  <c r="G842" i="7"/>
  <c r="F842" i="7"/>
  <c r="G522" i="7"/>
  <c r="F522" i="7"/>
  <c r="F362" i="7"/>
  <c r="G362" i="7"/>
  <c r="G1369" i="7"/>
  <c r="F1369" i="7"/>
  <c r="G1161" i="7"/>
  <c r="F1161" i="7"/>
  <c r="G953" i="7"/>
  <c r="F953" i="7"/>
  <c r="G137" i="7"/>
  <c r="F137" i="7"/>
  <c r="G1272" i="7"/>
  <c r="F1272" i="7"/>
  <c r="G1224" i="7"/>
  <c r="F1224" i="7"/>
  <c r="G1192" i="7"/>
  <c r="F1192" i="7"/>
  <c r="G1160" i="7"/>
  <c r="F1160" i="7"/>
  <c r="G1096" i="7"/>
  <c r="F1096" i="7"/>
  <c r="F920" i="7"/>
  <c r="G920" i="7"/>
  <c r="G168" i="7"/>
  <c r="F168" i="7"/>
  <c r="G1111" i="7"/>
  <c r="F1111" i="7"/>
  <c r="F311" i="7"/>
  <c r="G311" i="7"/>
  <c r="G55" i="7"/>
  <c r="F55" i="7"/>
  <c r="F39" i="7"/>
  <c r="G39" i="7"/>
  <c r="F23" i="7"/>
  <c r="G23" i="7"/>
  <c r="G7" i="7"/>
  <c r="F7" i="7"/>
  <c r="F25" i="7"/>
  <c r="F344" i="7"/>
  <c r="F391" i="7"/>
  <c r="F562" i="7"/>
  <c r="F665" i="7"/>
  <c r="F784" i="7"/>
  <c r="F945" i="7"/>
  <c r="F993" i="7"/>
  <c r="F1049" i="7"/>
  <c r="F1116" i="7"/>
  <c r="F1227" i="7"/>
  <c r="F1336" i="7"/>
  <c r="G201" i="7"/>
  <c r="G487" i="7"/>
  <c r="G815" i="7"/>
  <c r="G1008" i="7"/>
  <c r="G1199" i="7"/>
  <c r="G1338" i="7"/>
  <c r="F1338" i="7"/>
  <c r="G1194" i="7"/>
  <c r="F1194" i="7"/>
  <c r="G1114" i="7"/>
  <c r="F1114" i="7"/>
  <c r="G906" i="7"/>
  <c r="F906" i="7"/>
  <c r="G826" i="7"/>
  <c r="F826" i="7"/>
  <c r="F506" i="7"/>
  <c r="G506" i="7"/>
  <c r="G138" i="7"/>
  <c r="F138" i="7"/>
  <c r="G58" i="7"/>
  <c r="F58" i="7"/>
  <c r="G1209" i="7"/>
  <c r="F1209" i="7"/>
  <c r="G809" i="7"/>
  <c r="F809" i="7"/>
  <c r="F697" i="7"/>
  <c r="G697" i="7"/>
  <c r="G585" i="7"/>
  <c r="F585" i="7"/>
  <c r="G473" i="7"/>
  <c r="F473" i="7"/>
  <c r="G361" i="7"/>
  <c r="F361" i="7"/>
  <c r="F74" i="7"/>
  <c r="G777" i="7"/>
  <c r="G712" i="7"/>
  <c r="F712" i="7"/>
  <c r="G440" i="7"/>
  <c r="F440" i="7"/>
  <c r="G136" i="7"/>
  <c r="F136" i="7"/>
  <c r="G1271" i="7"/>
  <c r="F1271" i="7"/>
  <c r="G1175" i="7"/>
  <c r="F1175" i="7"/>
  <c r="G1127" i="7"/>
  <c r="F1127" i="7"/>
  <c r="G471" i="7"/>
  <c r="F471" i="7"/>
  <c r="G343" i="7"/>
  <c r="F343" i="7"/>
  <c r="F87" i="7"/>
  <c r="G87" i="7"/>
  <c r="G1350" i="7"/>
  <c r="F1350" i="7"/>
  <c r="G1014" i="7"/>
  <c r="F1014" i="7"/>
  <c r="G646" i="7"/>
  <c r="F646" i="7"/>
  <c r="G566" i="7"/>
  <c r="F566" i="7"/>
  <c r="G550" i="7"/>
  <c r="F550" i="7"/>
  <c r="G502" i="7"/>
  <c r="F502" i="7"/>
  <c r="G470" i="7"/>
  <c r="F470" i="7"/>
  <c r="F454" i="7"/>
  <c r="G454" i="7"/>
  <c r="G438" i="7"/>
  <c r="F438" i="7"/>
  <c r="G374" i="7"/>
  <c r="F374" i="7"/>
  <c r="G358" i="7"/>
  <c r="F358" i="7"/>
  <c r="G342" i="7"/>
  <c r="F342" i="7"/>
  <c r="G326" i="7"/>
  <c r="F326" i="7"/>
  <c r="F262" i="7"/>
  <c r="G262" i="7"/>
  <c r="F230" i="7"/>
  <c r="G230" i="7"/>
  <c r="G198" i="7"/>
  <c r="F198" i="7"/>
  <c r="G150" i="7"/>
  <c r="F150" i="7"/>
  <c r="G102" i="7"/>
  <c r="F102" i="7"/>
  <c r="F86" i="7"/>
  <c r="G86" i="7"/>
  <c r="G54" i="7"/>
  <c r="F54" i="7"/>
  <c r="F38" i="7"/>
  <c r="G38" i="7"/>
  <c r="F22" i="7"/>
  <c r="G22" i="7"/>
  <c r="G6" i="7"/>
  <c r="F6" i="7"/>
  <c r="F26" i="7"/>
  <c r="F238" i="7"/>
  <c r="F352" i="7"/>
  <c r="F392" i="7"/>
  <c r="F460" i="7"/>
  <c r="F509" i="7"/>
  <c r="F563" i="7"/>
  <c r="F677" i="7"/>
  <c r="F722" i="7"/>
  <c r="F785" i="7"/>
  <c r="F836" i="7"/>
  <c r="F877" i="7"/>
  <c r="F946" i="7"/>
  <c r="F1009" i="7"/>
  <c r="F1050" i="7"/>
  <c r="F1118" i="7"/>
  <c r="F1251" i="7"/>
  <c r="F1337" i="7"/>
  <c r="G70" i="7"/>
  <c r="G348" i="7"/>
  <c r="G488" i="7"/>
  <c r="G816" i="7"/>
  <c r="G1019" i="7"/>
  <c r="G1202" i="7"/>
  <c r="F922" i="7"/>
  <c r="G922" i="7"/>
  <c r="G794" i="7"/>
  <c r="F794" i="7"/>
  <c r="G825" i="7"/>
  <c r="F825" i="7"/>
  <c r="G569" i="7"/>
  <c r="F569" i="7"/>
  <c r="F505" i="7"/>
  <c r="G505" i="7"/>
  <c r="F457" i="7"/>
  <c r="G457" i="7"/>
  <c r="G393" i="7"/>
  <c r="F393" i="7"/>
  <c r="G345" i="7"/>
  <c r="F345" i="7"/>
  <c r="G1256" i="7"/>
  <c r="F1256" i="7"/>
  <c r="G1176" i="7"/>
  <c r="F1176" i="7"/>
  <c r="G1112" i="7"/>
  <c r="F1112" i="7"/>
  <c r="F728" i="7"/>
  <c r="G728" i="7"/>
  <c r="G664" i="7"/>
  <c r="F664" i="7"/>
  <c r="G616" i="7"/>
  <c r="F616" i="7"/>
  <c r="G568" i="7"/>
  <c r="F568" i="7"/>
  <c r="F552" i="7"/>
  <c r="G552" i="7"/>
  <c r="F456" i="7"/>
  <c r="G456" i="7"/>
  <c r="F232" i="7"/>
  <c r="G232" i="7"/>
  <c r="F88" i="7"/>
  <c r="G88" i="7"/>
  <c r="G1399" i="7"/>
  <c r="F1399" i="7"/>
  <c r="F1351" i="7"/>
  <c r="G1351" i="7"/>
  <c r="G1159" i="7"/>
  <c r="F1159" i="7"/>
  <c r="G935" i="7"/>
  <c r="F935" i="7"/>
  <c r="F455" i="7"/>
  <c r="G455" i="7"/>
  <c r="G375" i="7"/>
  <c r="F375" i="7"/>
  <c r="G359" i="7"/>
  <c r="F359" i="7"/>
  <c r="G327" i="7"/>
  <c r="F327" i="7"/>
  <c r="F231" i="7"/>
  <c r="G231" i="7"/>
  <c r="G119" i="7"/>
  <c r="F119" i="7"/>
  <c r="F1366" i="7"/>
  <c r="G1366" i="7"/>
  <c r="G1334" i="7"/>
  <c r="F1334" i="7"/>
  <c r="G1190" i="7"/>
  <c r="F1190" i="7"/>
  <c r="G1174" i="7"/>
  <c r="F1174" i="7"/>
  <c r="G1158" i="7"/>
  <c r="F1158" i="7"/>
  <c r="G1110" i="7"/>
  <c r="F1110" i="7"/>
  <c r="F1078" i="7"/>
  <c r="G1078" i="7"/>
  <c r="G966" i="7"/>
  <c r="F966" i="7"/>
  <c r="G950" i="7"/>
  <c r="F950" i="7"/>
  <c r="G934" i="7"/>
  <c r="F934" i="7"/>
  <c r="G790" i="7"/>
  <c r="F790" i="7"/>
  <c r="G774" i="7"/>
  <c r="F774" i="7"/>
  <c r="G742" i="7"/>
  <c r="F742" i="7"/>
  <c r="F694" i="7"/>
  <c r="G694" i="7"/>
  <c r="G1349" i="7"/>
  <c r="F1349" i="7"/>
  <c r="G1333" i="7"/>
  <c r="F1333" i="7"/>
  <c r="G1317" i="7"/>
  <c r="F1317" i="7"/>
  <c r="G1301" i="7"/>
  <c r="F1301" i="7"/>
  <c r="F1285" i="7"/>
  <c r="G1285" i="7"/>
  <c r="G1253" i="7"/>
  <c r="F1253" i="7"/>
  <c r="G1205" i="7"/>
  <c r="F1205" i="7"/>
  <c r="G1189" i="7"/>
  <c r="F1189" i="7"/>
  <c r="G1157" i="7"/>
  <c r="F1157" i="7"/>
  <c r="G1141" i="7"/>
  <c r="F1141" i="7"/>
  <c r="F1109" i="7"/>
  <c r="G1109" i="7"/>
  <c r="G1077" i="7"/>
  <c r="F1077" i="7"/>
  <c r="F1045" i="7"/>
  <c r="G1045" i="7"/>
  <c r="G997" i="7"/>
  <c r="F997" i="7"/>
  <c r="G965" i="7"/>
  <c r="F965" i="7"/>
  <c r="G949" i="7"/>
  <c r="F949" i="7"/>
  <c r="G933" i="7"/>
  <c r="F933" i="7"/>
  <c r="F885" i="7"/>
  <c r="G885" i="7"/>
  <c r="G789" i="7"/>
  <c r="F789" i="7"/>
  <c r="G773" i="7"/>
  <c r="F773" i="7"/>
  <c r="G741" i="7"/>
  <c r="F741" i="7"/>
  <c r="G725" i="7"/>
  <c r="F725" i="7"/>
  <c r="G709" i="7"/>
  <c r="F709" i="7"/>
  <c r="G693" i="7"/>
  <c r="F693" i="7"/>
  <c r="G661" i="7"/>
  <c r="F661" i="7"/>
  <c r="G645" i="7"/>
  <c r="F645" i="7"/>
  <c r="F629" i="7"/>
  <c r="G629" i="7"/>
  <c r="G565" i="7"/>
  <c r="F565" i="7"/>
  <c r="G485" i="7"/>
  <c r="F485" i="7"/>
  <c r="G469" i="7"/>
  <c r="F469" i="7"/>
  <c r="F453" i="7"/>
  <c r="G453" i="7"/>
  <c r="G357" i="7"/>
  <c r="F357" i="7"/>
  <c r="G341" i="7"/>
  <c r="F341" i="7"/>
  <c r="G277" i="7"/>
  <c r="F277" i="7"/>
  <c r="F261" i="7"/>
  <c r="G261" i="7"/>
  <c r="G245" i="7"/>
  <c r="F245" i="7"/>
  <c r="F229" i="7"/>
  <c r="G229" i="7"/>
  <c r="G149" i="7"/>
  <c r="F149" i="7"/>
  <c r="G133" i="7"/>
  <c r="F133" i="7"/>
  <c r="G117" i="7"/>
  <c r="F117" i="7"/>
  <c r="G101" i="7"/>
  <c r="F101" i="7"/>
  <c r="F37" i="7"/>
  <c r="G37" i="7"/>
  <c r="G5" i="7"/>
  <c r="F5" i="7"/>
  <c r="F81" i="7"/>
  <c r="F129" i="7"/>
  <c r="F180" i="7"/>
  <c r="F242" i="7"/>
  <c r="F294" i="7"/>
  <c r="F353" i="7"/>
  <c r="F397" i="7"/>
  <c r="F463" i="7"/>
  <c r="F510" i="7"/>
  <c r="F567" i="7"/>
  <c r="F614" i="7"/>
  <c r="F678" i="7"/>
  <c r="F726" i="7"/>
  <c r="F786" i="7"/>
  <c r="F838" i="7"/>
  <c r="F881" i="7"/>
  <c r="F947" i="7"/>
  <c r="F1010" i="7"/>
  <c r="F1054" i="7"/>
  <c r="F1137" i="7"/>
  <c r="F1252" i="7"/>
  <c r="F1341" i="7"/>
  <c r="G71" i="7"/>
  <c r="G204" i="7"/>
  <c r="G349" i="7"/>
  <c r="G527" i="7"/>
  <c r="G667" i="7"/>
  <c r="G817" i="7"/>
  <c r="G1020" i="7"/>
  <c r="G1213" i="7"/>
  <c r="G1290" i="7"/>
  <c r="F1290" i="7"/>
  <c r="G1210" i="7"/>
  <c r="F1210" i="7"/>
  <c r="G618" i="7"/>
  <c r="F618" i="7"/>
  <c r="G954" i="7"/>
  <c r="F1353" i="7"/>
  <c r="G1353" i="7"/>
  <c r="G1225" i="7"/>
  <c r="F1225" i="7"/>
  <c r="G1081" i="7"/>
  <c r="F1081" i="7"/>
  <c r="G169" i="7"/>
  <c r="F169" i="7"/>
  <c r="F874" i="7"/>
  <c r="G328" i="7"/>
  <c r="F328" i="7"/>
  <c r="F264" i="7"/>
  <c r="G264" i="7"/>
  <c r="G1303" i="7"/>
  <c r="F1303" i="7"/>
  <c r="G1207" i="7"/>
  <c r="F1207" i="7"/>
  <c r="G711" i="7"/>
  <c r="F711" i="7"/>
  <c r="G599" i="7"/>
  <c r="F599" i="7"/>
  <c r="F551" i="7"/>
  <c r="G551" i="7"/>
  <c r="G439" i="7"/>
  <c r="F439" i="7"/>
  <c r="G103" i="7"/>
  <c r="F103" i="7"/>
  <c r="G1302" i="7"/>
  <c r="F1302" i="7"/>
  <c r="G1286" i="7"/>
  <c r="F1286" i="7"/>
  <c r="G1270" i="7"/>
  <c r="F1270" i="7"/>
  <c r="G1396" i="7"/>
  <c r="F1396" i="7"/>
  <c r="G1380" i="7"/>
  <c r="F1380" i="7"/>
  <c r="G1348" i="7"/>
  <c r="F1348" i="7"/>
  <c r="G1316" i="7"/>
  <c r="F1316" i="7"/>
  <c r="F1284" i="7"/>
  <c r="G1284" i="7"/>
  <c r="G1188" i="7"/>
  <c r="F1188" i="7"/>
  <c r="G1172" i="7"/>
  <c r="F1172" i="7"/>
  <c r="G1156" i="7"/>
  <c r="F1156" i="7"/>
  <c r="G1108" i="7"/>
  <c r="F1108" i="7"/>
  <c r="F1092" i="7"/>
  <c r="G1092" i="7"/>
  <c r="G1060" i="7"/>
  <c r="F1060" i="7"/>
  <c r="G1044" i="7"/>
  <c r="F1044" i="7"/>
  <c r="G996" i="7"/>
  <c r="F996" i="7"/>
  <c r="F884" i="7"/>
  <c r="G884" i="7"/>
  <c r="F852" i="7"/>
  <c r="G852" i="7"/>
  <c r="G788" i="7"/>
  <c r="F788" i="7"/>
  <c r="G772" i="7"/>
  <c r="F772" i="7"/>
  <c r="G740" i="7"/>
  <c r="F740" i="7"/>
  <c r="G724" i="7"/>
  <c r="F724" i="7"/>
  <c r="G708" i="7"/>
  <c r="F708" i="7"/>
  <c r="G644" i="7"/>
  <c r="F644" i="7"/>
  <c r="F628" i="7"/>
  <c r="G628" i="7"/>
  <c r="G564" i="7"/>
  <c r="F564" i="7"/>
  <c r="G548" i="7"/>
  <c r="F548" i="7"/>
  <c r="G500" i="7"/>
  <c r="F500" i="7"/>
  <c r="F404" i="7"/>
  <c r="G404" i="7"/>
  <c r="G308" i="7"/>
  <c r="F308" i="7"/>
  <c r="G276" i="7"/>
  <c r="F276" i="7"/>
  <c r="F260" i="7"/>
  <c r="G260" i="7"/>
  <c r="G244" i="7"/>
  <c r="F244" i="7"/>
  <c r="G196" i="7"/>
  <c r="F196" i="7"/>
  <c r="G148" i="7"/>
  <c r="F148" i="7"/>
  <c r="G132" i="7"/>
  <c r="F132" i="7"/>
  <c r="G116" i="7"/>
  <c r="F116" i="7"/>
  <c r="G100" i="7"/>
  <c r="F100" i="7"/>
  <c r="F84" i="7"/>
  <c r="G84" i="7"/>
  <c r="F36" i="7"/>
  <c r="G36" i="7"/>
  <c r="G4" i="7"/>
  <c r="F4" i="7"/>
  <c r="F89" i="7"/>
  <c r="F130" i="7"/>
  <c r="F181" i="7"/>
  <c r="F250" i="7"/>
  <c r="F295" i="7"/>
  <c r="F354" i="7"/>
  <c r="F405" i="7"/>
  <c r="F464" i="7"/>
  <c r="F511" i="7"/>
  <c r="F578" i="7"/>
  <c r="F615" i="7"/>
  <c r="F686" i="7"/>
  <c r="F735" i="7"/>
  <c r="F787" i="7"/>
  <c r="F839" i="7"/>
  <c r="F899" i="7"/>
  <c r="F948" i="7"/>
  <c r="F1011" i="7"/>
  <c r="F1062" i="7"/>
  <c r="F1139" i="7"/>
  <c r="F1254" i="7"/>
  <c r="F1367" i="7"/>
  <c r="G72" i="7"/>
  <c r="G205" i="7"/>
  <c r="G380" i="7"/>
  <c r="G528" i="7"/>
  <c r="G669" i="7"/>
  <c r="G818" i="7"/>
  <c r="G1021" i="7"/>
  <c r="G1265" i="7"/>
  <c r="G1402" i="7"/>
  <c r="F1402" i="7"/>
  <c r="G1306" i="7"/>
  <c r="F1306" i="7"/>
  <c r="G1242" i="7"/>
  <c r="F1242" i="7"/>
  <c r="G1178" i="7"/>
  <c r="F1178" i="7"/>
  <c r="G1034" i="7"/>
  <c r="F1034" i="7"/>
  <c r="G810" i="7"/>
  <c r="F810" i="7"/>
  <c r="F698" i="7"/>
  <c r="G698" i="7"/>
  <c r="G330" i="7"/>
  <c r="F330" i="7"/>
  <c r="G1241" i="7"/>
  <c r="F1241" i="7"/>
  <c r="G1177" i="7"/>
  <c r="F1177" i="7"/>
  <c r="G1113" i="7"/>
  <c r="F1113" i="7"/>
  <c r="G1033" i="7"/>
  <c r="F1033" i="7"/>
  <c r="G745" i="7"/>
  <c r="F745" i="7"/>
  <c r="G601" i="7"/>
  <c r="F601" i="7"/>
  <c r="F313" i="7"/>
  <c r="G313" i="7"/>
  <c r="G1240" i="7"/>
  <c r="F1240" i="7"/>
  <c r="G776" i="7"/>
  <c r="F776" i="7"/>
  <c r="G584" i="7"/>
  <c r="F584" i="7"/>
  <c r="F504" i="7"/>
  <c r="G504" i="7"/>
  <c r="F312" i="7"/>
  <c r="G312" i="7"/>
  <c r="G1319" i="7"/>
  <c r="F1319" i="7"/>
  <c r="F1287" i="7"/>
  <c r="G1287" i="7"/>
  <c r="G1255" i="7"/>
  <c r="F1255" i="7"/>
  <c r="G1191" i="7"/>
  <c r="F1191" i="7"/>
  <c r="G1095" i="7"/>
  <c r="F1095" i="7"/>
  <c r="G1015" i="7"/>
  <c r="F1015" i="7"/>
  <c r="G951" i="7"/>
  <c r="F951" i="7"/>
  <c r="G871" i="7"/>
  <c r="F871" i="7"/>
  <c r="G727" i="7"/>
  <c r="F727" i="7"/>
  <c r="G583" i="7"/>
  <c r="F583" i="7"/>
  <c r="F503" i="7"/>
  <c r="G503" i="7"/>
  <c r="F263" i="7"/>
  <c r="G263" i="7"/>
  <c r="G1395" i="7"/>
  <c r="F1395" i="7"/>
  <c r="G1379" i="7"/>
  <c r="F1379" i="7"/>
  <c r="G1363" i="7"/>
  <c r="F1363" i="7"/>
  <c r="G1347" i="7"/>
  <c r="F1347" i="7"/>
  <c r="G1331" i="7"/>
  <c r="F1331" i="7"/>
  <c r="F1315" i="7"/>
  <c r="G1315" i="7"/>
  <c r="G1267" i="7"/>
  <c r="F1267" i="7"/>
  <c r="G1187" i="7"/>
  <c r="F1187" i="7"/>
  <c r="G1155" i="7"/>
  <c r="F1155" i="7"/>
  <c r="G1107" i="7"/>
  <c r="F1107" i="7"/>
  <c r="G1091" i="7"/>
  <c r="F1091" i="7"/>
  <c r="G1059" i="7"/>
  <c r="F1059" i="7"/>
  <c r="F1043" i="7"/>
  <c r="G1043" i="7"/>
  <c r="G995" i="7"/>
  <c r="F995" i="7"/>
  <c r="G867" i="7"/>
  <c r="F867" i="7"/>
  <c r="G851" i="7"/>
  <c r="F851" i="7"/>
  <c r="F835" i="7"/>
  <c r="G835" i="7"/>
  <c r="G755" i="7"/>
  <c r="F755" i="7"/>
  <c r="G723" i="7"/>
  <c r="F723" i="7"/>
  <c r="G707" i="7"/>
  <c r="F707" i="7"/>
  <c r="G691" i="7"/>
  <c r="F691" i="7"/>
  <c r="G659" i="7"/>
  <c r="F659" i="7"/>
  <c r="G643" i="7"/>
  <c r="F643" i="7"/>
  <c r="F627" i="7"/>
  <c r="G627" i="7"/>
  <c r="G547" i="7"/>
  <c r="F547" i="7"/>
  <c r="G483" i="7"/>
  <c r="F483" i="7"/>
  <c r="G467" i="7"/>
  <c r="F467" i="7"/>
  <c r="F403" i="7"/>
  <c r="G403" i="7"/>
  <c r="G259" i="7"/>
  <c r="F259" i="7"/>
  <c r="G243" i="7"/>
  <c r="F243" i="7"/>
  <c r="G131" i="7"/>
  <c r="F131" i="7"/>
  <c r="G115" i="7"/>
  <c r="F115" i="7"/>
  <c r="F83" i="7"/>
  <c r="G83" i="7"/>
  <c r="F92" i="7"/>
  <c r="F134" i="7"/>
  <c r="F182" i="7"/>
  <c r="F251" i="7"/>
  <c r="F307" i="7"/>
  <c r="F355" i="7"/>
  <c r="F406" i="7"/>
  <c r="F468" i="7"/>
  <c r="F520" i="7"/>
  <c r="F579" i="7"/>
  <c r="F619" i="7"/>
  <c r="F687" i="7"/>
  <c r="F736" i="7"/>
  <c r="F791" i="7"/>
  <c r="F840" i="7"/>
  <c r="F900" i="7"/>
  <c r="F952" i="7"/>
  <c r="F1012" i="7"/>
  <c r="F1063" i="7"/>
  <c r="F1145" i="7"/>
  <c r="F1264" i="7"/>
  <c r="F1368" i="7"/>
  <c r="G85" i="7"/>
  <c r="G246" i="7"/>
  <c r="G381" i="7"/>
  <c r="G529" i="7"/>
  <c r="G671" i="7"/>
  <c r="G819" i="7"/>
  <c r="G1061" i="7"/>
  <c r="G1266" i="7"/>
  <c r="F226" i="7"/>
  <c r="G226" i="7"/>
  <c r="F178" i="7"/>
  <c r="G178" i="7"/>
  <c r="G98" i="7"/>
  <c r="F98" i="7"/>
  <c r="G82" i="7"/>
  <c r="F82" i="7"/>
  <c r="F8" i="7"/>
  <c r="F183" i="7"/>
  <c r="F407" i="7"/>
  <c r="F476" i="7"/>
  <c r="F521" i="7"/>
  <c r="F580" i="7"/>
  <c r="F631" i="7"/>
  <c r="F688" i="7"/>
  <c r="F737" i="7"/>
  <c r="F801" i="7"/>
  <c r="F841" i="7"/>
  <c r="F901" i="7"/>
  <c r="F960" i="7"/>
  <c r="F1013" i="7"/>
  <c r="F1064" i="7"/>
  <c r="F1170" i="7"/>
  <c r="F1371" i="7"/>
  <c r="G247" i="7"/>
  <c r="G382" i="7"/>
  <c r="G538" i="7"/>
  <c r="G672" i="7"/>
  <c r="G868" i="7"/>
  <c r="G1073" i="7"/>
  <c r="G1268" i="7"/>
  <c r="G1129" i="7"/>
  <c r="F1129" i="7"/>
  <c r="G994" i="7"/>
  <c r="F994" i="7"/>
  <c r="F898" i="7"/>
  <c r="G898" i="7"/>
  <c r="G882" i="7"/>
  <c r="F882" i="7"/>
  <c r="Z866" i="7"/>
  <c r="G866" i="7"/>
  <c r="F866" i="7"/>
  <c r="G850" i="7"/>
  <c r="F850" i="7"/>
  <c r="G834" i="7"/>
  <c r="F834" i="7"/>
  <c r="G754" i="7"/>
  <c r="F754" i="7"/>
  <c r="G690" i="7"/>
  <c r="F690" i="7"/>
  <c r="F674" i="7"/>
  <c r="G674" i="7"/>
  <c r="G642" i="7"/>
  <c r="F642" i="7"/>
  <c r="F626" i="7"/>
  <c r="G626" i="7"/>
  <c r="G546" i="7"/>
  <c r="F546" i="7"/>
  <c r="G498" i="7"/>
  <c r="F498" i="7"/>
  <c r="G482" i="7"/>
  <c r="F482" i="7"/>
  <c r="G466" i="7"/>
  <c r="F466" i="7"/>
  <c r="F402" i="7"/>
  <c r="G402" i="7"/>
  <c r="G322" i="7"/>
  <c r="F322" i="7"/>
  <c r="G306" i="7"/>
  <c r="F306" i="7"/>
  <c r="G274" i="7"/>
  <c r="F274" i="7"/>
  <c r="G1393" i="7"/>
  <c r="F1393" i="7"/>
  <c r="F1361" i="7"/>
  <c r="G1361" i="7"/>
  <c r="G1345" i="7"/>
  <c r="F1345" i="7"/>
  <c r="G1329" i="7"/>
  <c r="F1329" i="7"/>
  <c r="G1313" i="7"/>
  <c r="F1313" i="7"/>
  <c r="G1297" i="7"/>
  <c r="F1297" i="7"/>
  <c r="G1281" i="7"/>
  <c r="F1281" i="7"/>
  <c r="G1249" i="7"/>
  <c r="F1249" i="7"/>
  <c r="G1185" i="7"/>
  <c r="F1185" i="7"/>
  <c r="F1169" i="7"/>
  <c r="G1169" i="7"/>
  <c r="G1105" i="7"/>
  <c r="F1105" i="7"/>
  <c r="G1057" i="7"/>
  <c r="F1057" i="7"/>
  <c r="G849" i="7"/>
  <c r="F849" i="7"/>
  <c r="F833" i="7"/>
  <c r="G833" i="7"/>
  <c r="G689" i="7"/>
  <c r="F689" i="7"/>
  <c r="F673" i="7"/>
  <c r="G673" i="7"/>
  <c r="G641" i="7"/>
  <c r="F641" i="7"/>
  <c r="F593" i="7"/>
  <c r="G593" i="7"/>
  <c r="G497" i="7"/>
  <c r="F497" i="7"/>
  <c r="G481" i="7"/>
  <c r="F481" i="7"/>
  <c r="G465" i="7"/>
  <c r="F465" i="7"/>
  <c r="G417" i="7"/>
  <c r="F417" i="7"/>
  <c r="F401" i="7"/>
  <c r="G401" i="7"/>
  <c r="G321" i="7"/>
  <c r="F321" i="7"/>
  <c r="G305" i="7"/>
  <c r="F305" i="7"/>
  <c r="G273" i="7"/>
  <c r="F273" i="7"/>
  <c r="G257" i="7"/>
  <c r="F257" i="7"/>
  <c r="G241" i="7"/>
  <c r="F241" i="7"/>
  <c r="G225" i="7"/>
  <c r="F225" i="7"/>
  <c r="G193" i="7"/>
  <c r="F193" i="7"/>
  <c r="F177" i="7"/>
  <c r="G177" i="7"/>
  <c r="F161" i="7"/>
  <c r="G161" i="7"/>
  <c r="G97" i="7"/>
  <c r="F97" i="7"/>
  <c r="F9" i="7"/>
  <c r="F33" i="7"/>
  <c r="F94" i="7"/>
  <c r="F144" i="7"/>
  <c r="F197" i="7"/>
  <c r="F253" i="7"/>
  <c r="F316" i="7"/>
  <c r="F360" i="7"/>
  <c r="F408" i="7"/>
  <c r="F477" i="7"/>
  <c r="F525" i="7"/>
  <c r="F581" i="7"/>
  <c r="F632" i="7"/>
  <c r="F692" i="7"/>
  <c r="F738" i="7"/>
  <c r="F802" i="7"/>
  <c r="F845" i="7"/>
  <c r="F903" i="7"/>
  <c r="F961" i="7"/>
  <c r="F1017" i="7"/>
  <c r="F1065" i="7"/>
  <c r="F1171" i="7"/>
  <c r="F1269" i="7"/>
  <c r="F1389" i="7"/>
  <c r="G108" i="7"/>
  <c r="G248" i="7"/>
  <c r="G383" i="7"/>
  <c r="G539" i="7"/>
  <c r="G713" i="7"/>
  <c r="G869" i="7"/>
  <c r="G1074" i="7"/>
  <c r="G1282" i="7"/>
  <c r="G1154" i="7"/>
  <c r="F1154" i="7"/>
  <c r="G1344" i="7"/>
  <c r="F1344" i="7"/>
  <c r="G416" i="7"/>
  <c r="F416" i="7"/>
  <c r="F400" i="7"/>
  <c r="G400" i="7"/>
  <c r="G320" i="7"/>
  <c r="F320" i="7"/>
  <c r="G304" i="7"/>
  <c r="F304" i="7"/>
  <c r="G288" i="7"/>
  <c r="F288" i="7"/>
  <c r="G272" i="7"/>
  <c r="F272" i="7"/>
  <c r="G256" i="7"/>
  <c r="F256" i="7"/>
  <c r="G240" i="7"/>
  <c r="F240" i="7"/>
  <c r="F176" i="7"/>
  <c r="G176" i="7"/>
  <c r="F160" i="7"/>
  <c r="G160" i="7"/>
  <c r="G96" i="7"/>
  <c r="F96" i="7"/>
  <c r="G80" i="7"/>
  <c r="F80" i="7"/>
  <c r="G32" i="7"/>
  <c r="F32" i="7"/>
  <c r="F10" i="7"/>
  <c r="F41" i="7"/>
  <c r="F95" i="7"/>
  <c r="F145" i="7"/>
  <c r="F209" i="7"/>
  <c r="F254" i="7"/>
  <c r="F317" i="7"/>
  <c r="F368" i="7"/>
  <c r="F409" i="7"/>
  <c r="F541" i="7"/>
  <c r="F582" i="7"/>
  <c r="F633" i="7"/>
  <c r="F702" i="7"/>
  <c r="F739" i="7"/>
  <c r="F803" i="7"/>
  <c r="F853" i="7"/>
  <c r="F905" i="7"/>
  <c r="F962" i="7"/>
  <c r="F1025" i="7"/>
  <c r="F1066" i="7"/>
  <c r="F1173" i="7"/>
  <c r="F1288" i="7"/>
  <c r="F1390" i="7"/>
  <c r="G109" i="7"/>
  <c r="G249" i="7"/>
  <c r="G384" i="7"/>
  <c r="G571" i="7"/>
  <c r="G714" i="7"/>
  <c r="G870" i="7"/>
  <c r="G1075" i="7"/>
  <c r="G1283" i="7"/>
  <c r="G938" i="7"/>
  <c r="F938" i="7"/>
  <c r="F650" i="7"/>
  <c r="G1314" i="7"/>
  <c r="F1314" i="7"/>
  <c r="G1106" i="7"/>
  <c r="F1106" i="7"/>
  <c r="G1392" i="7"/>
  <c r="F1392" i="7"/>
  <c r="G880" i="7"/>
  <c r="F880" i="7"/>
  <c r="F832" i="7"/>
  <c r="G832" i="7"/>
  <c r="G608" i="7"/>
  <c r="F608" i="7"/>
  <c r="F592" i="7"/>
  <c r="G592" i="7"/>
  <c r="G1391" i="7"/>
  <c r="F1391" i="7"/>
  <c r="G1375" i="7"/>
  <c r="F1375" i="7"/>
  <c r="G1343" i="7"/>
  <c r="F1343" i="7"/>
  <c r="G1311" i="7"/>
  <c r="F1311" i="7"/>
  <c r="G1295" i="7"/>
  <c r="F1295" i="7"/>
  <c r="G1279" i="7"/>
  <c r="F1279" i="7"/>
  <c r="F1263" i="7"/>
  <c r="G1263" i="7"/>
  <c r="F1247" i="7"/>
  <c r="G1247" i="7"/>
  <c r="G1231" i="7"/>
  <c r="F1231" i="7"/>
  <c r="G1183" i="7"/>
  <c r="F1183" i="7"/>
  <c r="F1167" i="7"/>
  <c r="G1167" i="7"/>
  <c r="G1119" i="7"/>
  <c r="F1119" i="7"/>
  <c r="G1103" i="7"/>
  <c r="F1103" i="7"/>
  <c r="G1087" i="7"/>
  <c r="F1087" i="7"/>
  <c r="G1055" i="7"/>
  <c r="F1055" i="7"/>
  <c r="F1039" i="7"/>
  <c r="G1039" i="7"/>
  <c r="G1023" i="7"/>
  <c r="F1023" i="7"/>
  <c r="G1007" i="7"/>
  <c r="F1007" i="7"/>
  <c r="G991" i="7"/>
  <c r="F991" i="7"/>
  <c r="G975" i="7"/>
  <c r="F975" i="7"/>
  <c r="F959" i="7"/>
  <c r="G959" i="7"/>
  <c r="G895" i="7"/>
  <c r="F895" i="7"/>
  <c r="G879" i="7"/>
  <c r="F879" i="7"/>
  <c r="G863" i="7"/>
  <c r="F863" i="7"/>
  <c r="G847" i="7"/>
  <c r="F847" i="7"/>
  <c r="F831" i="7"/>
  <c r="G831" i="7"/>
  <c r="F799" i="7"/>
  <c r="G799" i="7"/>
  <c r="G623" i="7"/>
  <c r="F623" i="7"/>
  <c r="G607" i="7"/>
  <c r="F607" i="7"/>
  <c r="F591" i="7"/>
  <c r="G591" i="7"/>
  <c r="G415" i="7"/>
  <c r="F415" i="7"/>
  <c r="F399" i="7"/>
  <c r="G399" i="7"/>
  <c r="F367" i="7"/>
  <c r="G367" i="7"/>
  <c r="F351" i="7"/>
  <c r="G351" i="7"/>
  <c r="G287" i="7"/>
  <c r="F287" i="7"/>
  <c r="G255" i="7"/>
  <c r="F255" i="7"/>
  <c r="G239" i="7"/>
  <c r="F239" i="7"/>
  <c r="G223" i="7"/>
  <c r="F223" i="7"/>
  <c r="G191" i="7"/>
  <c r="F191" i="7"/>
  <c r="F175" i="7"/>
  <c r="G175" i="7"/>
  <c r="F159" i="7"/>
  <c r="G159" i="7"/>
  <c r="G79" i="7"/>
  <c r="F79" i="7"/>
  <c r="F42" i="7"/>
  <c r="F99" i="7"/>
  <c r="F146" i="7"/>
  <c r="F210" i="7"/>
  <c r="F258" i="7"/>
  <c r="F318" i="7"/>
  <c r="F370" i="7"/>
  <c r="F413" i="7"/>
  <c r="F479" i="7"/>
  <c r="F542" i="7"/>
  <c r="F586" i="7"/>
  <c r="F634" i="7"/>
  <c r="F703" i="7"/>
  <c r="F743" i="7"/>
  <c r="F804" i="7"/>
  <c r="F857" i="7"/>
  <c r="F911" i="7"/>
  <c r="F963" i="7"/>
  <c r="F1028" i="7"/>
  <c r="F1070" i="7"/>
  <c r="F1181" i="7"/>
  <c r="F1289" i="7"/>
  <c r="F1394" i="7"/>
  <c r="G112" i="7"/>
  <c r="G425" i="7"/>
  <c r="G575" i="7"/>
  <c r="G715" i="7"/>
  <c r="G872" i="7"/>
  <c r="G1076" i="7"/>
  <c r="G1318" i="7"/>
  <c r="G78" i="7"/>
  <c r="F78" i="7"/>
  <c r="F12" i="7"/>
  <c r="F43" i="7"/>
  <c r="F110" i="7"/>
  <c r="F147" i="7"/>
  <c r="F218" i="7"/>
  <c r="F267" i="7"/>
  <c r="F319" i="7"/>
  <c r="F371" i="7"/>
  <c r="F431" i="7"/>
  <c r="F480" i="7"/>
  <c r="F543" i="7"/>
  <c r="F594" i="7"/>
  <c r="F635" i="7"/>
  <c r="F704" i="7"/>
  <c r="F759" i="7"/>
  <c r="F805" i="7"/>
  <c r="F858" i="7"/>
  <c r="F926" i="7"/>
  <c r="F964" i="7"/>
  <c r="F1029" i="7"/>
  <c r="F1079" i="7"/>
  <c r="F1182" i="7"/>
  <c r="F1291" i="7"/>
  <c r="G120" i="7"/>
  <c r="G289" i="7"/>
  <c r="G427" i="7"/>
  <c r="G576" i="7"/>
  <c r="G716" i="7"/>
  <c r="G883" i="7"/>
  <c r="G1135" i="7"/>
  <c r="G1320" i="7"/>
  <c r="F1162" i="7"/>
  <c r="G1162" i="7"/>
  <c r="G410" i="7"/>
  <c r="F410" i="7"/>
  <c r="F266" i="7"/>
  <c r="G266" i="7"/>
  <c r="F234" i="7"/>
  <c r="F921" i="7"/>
  <c r="G921" i="7"/>
  <c r="G617" i="7"/>
  <c r="F617" i="7"/>
  <c r="F553" i="7"/>
  <c r="G553" i="7"/>
  <c r="G329" i="7"/>
  <c r="F329" i="7"/>
  <c r="F121" i="7"/>
  <c r="G121" i="7"/>
  <c r="G1376" i="7"/>
  <c r="F1376" i="7"/>
  <c r="G1328" i="7"/>
  <c r="F1328" i="7"/>
  <c r="G1296" i="7"/>
  <c r="F1296" i="7"/>
  <c r="G912" i="7"/>
  <c r="F912" i="7"/>
  <c r="F800" i="7"/>
  <c r="G800" i="7"/>
  <c r="G640" i="7"/>
  <c r="F640" i="7"/>
  <c r="G1342" i="7"/>
  <c r="F1342" i="7"/>
  <c r="G1326" i="7"/>
  <c r="F1326" i="7"/>
  <c r="G1310" i="7"/>
  <c r="F1310" i="7"/>
  <c r="G1294" i="7"/>
  <c r="F1294" i="7"/>
  <c r="G1262" i="7"/>
  <c r="F1262" i="7"/>
  <c r="F1246" i="7"/>
  <c r="G1246" i="7"/>
  <c r="G1230" i="7"/>
  <c r="F1230" i="7"/>
  <c r="G1102" i="7"/>
  <c r="F1102" i="7"/>
  <c r="G846" i="7"/>
  <c r="F846" i="7"/>
  <c r="F782" i="7"/>
  <c r="G782" i="7"/>
  <c r="F590" i="7"/>
  <c r="G590" i="7"/>
  <c r="G414" i="7"/>
  <c r="F414" i="7"/>
  <c r="G398" i="7"/>
  <c r="F398" i="7"/>
  <c r="G286" i="7"/>
  <c r="F286" i="7"/>
  <c r="G222" i="7"/>
  <c r="F222" i="7"/>
  <c r="F206" i="7"/>
  <c r="G206" i="7"/>
  <c r="F174" i="7"/>
  <c r="G174" i="7"/>
  <c r="G1405" i="7"/>
  <c r="F1405" i="7"/>
  <c r="G1373" i="7"/>
  <c r="F1373" i="7"/>
  <c r="G1293" i="7"/>
  <c r="F1293" i="7"/>
  <c r="G1277" i="7"/>
  <c r="F1277" i="7"/>
  <c r="F1245" i="7"/>
  <c r="G1245" i="7"/>
  <c r="F1165" i="7"/>
  <c r="G1165" i="7"/>
  <c r="G1117" i="7"/>
  <c r="F1117" i="7"/>
  <c r="G1085" i="7"/>
  <c r="F1085" i="7"/>
  <c r="G1053" i="7"/>
  <c r="F1053" i="7"/>
  <c r="F973" i="7"/>
  <c r="G973" i="7"/>
  <c r="F957" i="7"/>
  <c r="G957" i="7"/>
  <c r="F925" i="7"/>
  <c r="G925" i="7"/>
  <c r="F893" i="7"/>
  <c r="G893" i="7"/>
  <c r="G861" i="7"/>
  <c r="F861" i="7"/>
  <c r="G829" i="7"/>
  <c r="F829" i="7"/>
  <c r="G813" i="7"/>
  <c r="F813" i="7"/>
  <c r="F797" i="7"/>
  <c r="G797" i="7"/>
  <c r="F781" i="7"/>
  <c r="G781" i="7"/>
  <c r="F701" i="7"/>
  <c r="G701" i="7"/>
  <c r="G637" i="7"/>
  <c r="F637" i="7"/>
  <c r="G605" i="7"/>
  <c r="F605" i="7"/>
  <c r="F589" i="7"/>
  <c r="G589" i="7"/>
  <c r="F365" i="7"/>
  <c r="G365" i="7"/>
  <c r="G221" i="7"/>
  <c r="F221" i="7"/>
  <c r="F173" i="7"/>
  <c r="G173" i="7"/>
  <c r="G141" i="7"/>
  <c r="F141" i="7"/>
  <c r="F125" i="7"/>
  <c r="G125" i="7"/>
  <c r="F13" i="7"/>
  <c r="F52" i="7"/>
  <c r="F111" i="7"/>
  <c r="F151" i="7"/>
  <c r="F219" i="7"/>
  <c r="F268" i="7"/>
  <c r="F323" i="7"/>
  <c r="F372" i="7"/>
  <c r="F432" i="7"/>
  <c r="F484" i="7"/>
  <c r="F544" i="7"/>
  <c r="F595" i="7"/>
  <c r="F639" i="7"/>
  <c r="F705" i="7"/>
  <c r="F760" i="7"/>
  <c r="F812" i="7"/>
  <c r="F859" i="7"/>
  <c r="F927" i="7"/>
  <c r="F969" i="7"/>
  <c r="F1030" i="7"/>
  <c r="F1080" i="7"/>
  <c r="F1186" i="7"/>
  <c r="F1299" i="7"/>
  <c r="G142" i="7"/>
  <c r="G290" i="7"/>
  <c r="G430" i="7"/>
  <c r="G577" i="7"/>
  <c r="G717" i="7"/>
  <c r="G940" i="7"/>
  <c r="G1335" i="7"/>
  <c r="G1258" i="7"/>
  <c r="F1258" i="7"/>
  <c r="G1146" i="7"/>
  <c r="F1146" i="7"/>
  <c r="G1018" i="7"/>
  <c r="F1018" i="7"/>
  <c r="F730" i="7"/>
  <c r="G730" i="7"/>
  <c r="G666" i="7"/>
  <c r="F666" i="7"/>
  <c r="G570" i="7"/>
  <c r="F570" i="7"/>
  <c r="F314" i="7"/>
  <c r="G314" i="7"/>
  <c r="G1401" i="7"/>
  <c r="F1401" i="7"/>
  <c r="F233" i="7"/>
  <c r="G233" i="7"/>
  <c r="G1346" i="7"/>
  <c r="F1346" i="7"/>
  <c r="G1058" i="7"/>
  <c r="F1058" i="7"/>
  <c r="F1248" i="7"/>
  <c r="G1248" i="7"/>
  <c r="G1184" i="7"/>
  <c r="F1184" i="7"/>
  <c r="G1104" i="7"/>
  <c r="F1104" i="7"/>
  <c r="G992" i="7"/>
  <c r="F992" i="7"/>
  <c r="G848" i="7"/>
  <c r="F848" i="7"/>
  <c r="F1038" i="7"/>
  <c r="G1038" i="7"/>
  <c r="F1022" i="7"/>
  <c r="G1022" i="7"/>
  <c r="G990" i="7"/>
  <c r="F990" i="7"/>
  <c r="G942" i="7"/>
  <c r="F942" i="7"/>
  <c r="G878" i="7"/>
  <c r="F878" i="7"/>
  <c r="G814" i="7"/>
  <c r="F814" i="7"/>
  <c r="G606" i="7"/>
  <c r="F606" i="7"/>
  <c r="G526" i="7"/>
  <c r="F526" i="7"/>
  <c r="F366" i="7"/>
  <c r="G366" i="7"/>
  <c r="F350" i="7"/>
  <c r="G350" i="7"/>
  <c r="G1229" i="7"/>
  <c r="F1229" i="7"/>
  <c r="G1133" i="7"/>
  <c r="F1133" i="7"/>
  <c r="G1101" i="7"/>
  <c r="F1101" i="7"/>
  <c r="G1069" i="7"/>
  <c r="F1069" i="7"/>
  <c r="F1037" i="7"/>
  <c r="G1037" i="7"/>
  <c r="G1404" i="7"/>
  <c r="F1404" i="7"/>
  <c r="F1388" i="7"/>
  <c r="G1388" i="7"/>
  <c r="F1340" i="7"/>
  <c r="G1340" i="7"/>
  <c r="G1308" i="7"/>
  <c r="F1308" i="7"/>
  <c r="G1292" i="7"/>
  <c r="F1292" i="7"/>
  <c r="G1244" i="7"/>
  <c r="F1244" i="7"/>
  <c r="G1228" i="7"/>
  <c r="F1228" i="7"/>
  <c r="G1212" i="7"/>
  <c r="F1212" i="7"/>
  <c r="F1196" i="7"/>
  <c r="G1196" i="7"/>
  <c r="F1180" i="7"/>
  <c r="G1180" i="7"/>
  <c r="G1132" i="7"/>
  <c r="F1132" i="7"/>
  <c r="G1100" i="7"/>
  <c r="F1100" i="7"/>
  <c r="G1084" i="7"/>
  <c r="F1084" i="7"/>
  <c r="G1068" i="7"/>
  <c r="F1068" i="7"/>
  <c r="G1052" i="7"/>
  <c r="F1052" i="7"/>
  <c r="G1036" i="7"/>
  <c r="F1036" i="7"/>
  <c r="F972" i="7"/>
  <c r="G972" i="7"/>
  <c r="F956" i="7"/>
  <c r="G956" i="7"/>
  <c r="G924" i="7"/>
  <c r="F924" i="7"/>
  <c r="G908" i="7"/>
  <c r="F908" i="7"/>
  <c r="G844" i="7"/>
  <c r="F844" i="7"/>
  <c r="F796" i="7"/>
  <c r="G796" i="7"/>
  <c r="F780" i="7"/>
  <c r="G780" i="7"/>
  <c r="F732" i="7"/>
  <c r="G732" i="7"/>
  <c r="F700" i="7"/>
  <c r="G700" i="7"/>
  <c r="G636" i="7"/>
  <c r="F636" i="7"/>
  <c r="G604" i="7"/>
  <c r="F604" i="7"/>
  <c r="F588" i="7"/>
  <c r="G588" i="7"/>
  <c r="F556" i="7"/>
  <c r="G556" i="7"/>
  <c r="F540" i="7"/>
  <c r="G540" i="7"/>
  <c r="G524" i="7"/>
  <c r="F524" i="7"/>
  <c r="F508" i="7"/>
  <c r="G508" i="7"/>
  <c r="G444" i="7"/>
  <c r="F444" i="7"/>
  <c r="G412" i="7"/>
  <c r="F412" i="7"/>
  <c r="F364" i="7"/>
  <c r="G364" i="7"/>
  <c r="G332" i="7"/>
  <c r="F332" i="7"/>
  <c r="G172" i="7"/>
  <c r="F172" i="7"/>
  <c r="G140" i="7"/>
  <c r="F140" i="7"/>
  <c r="F124" i="7"/>
  <c r="G124" i="7"/>
  <c r="F53" i="7"/>
  <c r="F163" i="7"/>
  <c r="F220" i="7"/>
  <c r="F269" i="7"/>
  <c r="F333" i="7"/>
  <c r="F373" i="7"/>
  <c r="F433" i="7"/>
  <c r="F492" i="7"/>
  <c r="F545" i="7"/>
  <c r="F596" i="7"/>
  <c r="F647" i="7"/>
  <c r="F706" i="7"/>
  <c r="F761" i="7"/>
  <c r="F820" i="7"/>
  <c r="F860" i="7"/>
  <c r="F928" i="7"/>
  <c r="F977" i="7"/>
  <c r="F1031" i="7"/>
  <c r="F1082" i="7"/>
  <c r="F1203" i="7"/>
  <c r="F1300" i="7"/>
  <c r="G756" i="7"/>
  <c r="G941" i="7"/>
  <c r="F490" i="7"/>
  <c r="G490" i="7"/>
  <c r="G378" i="7"/>
  <c r="F378" i="7"/>
  <c r="F122" i="7"/>
  <c r="G122" i="7"/>
  <c r="G1273" i="7"/>
  <c r="F1273" i="7"/>
  <c r="G1193" i="7"/>
  <c r="F1193" i="7"/>
  <c r="G1097" i="7"/>
  <c r="F1097" i="7"/>
  <c r="G937" i="7"/>
  <c r="F937" i="7"/>
  <c r="F489" i="7"/>
  <c r="G489" i="7"/>
  <c r="F602" i="7"/>
  <c r="G1330" i="7"/>
  <c r="F1330" i="7"/>
  <c r="F1298" i="7"/>
  <c r="G1298" i="7"/>
  <c r="F1250" i="7"/>
  <c r="G1250" i="7"/>
  <c r="G1312" i="7"/>
  <c r="F1312" i="7"/>
  <c r="G1280" i="7"/>
  <c r="F1280" i="7"/>
  <c r="G1200" i="7"/>
  <c r="F1200" i="7"/>
  <c r="G1168" i="7"/>
  <c r="F1168" i="7"/>
  <c r="G1072" i="7"/>
  <c r="F1072" i="7"/>
  <c r="G1056" i="7"/>
  <c r="F1056" i="7"/>
  <c r="F1024" i="7"/>
  <c r="G1024" i="7"/>
  <c r="F976" i="7"/>
  <c r="G976" i="7"/>
  <c r="F2" i="7"/>
  <c r="G2" i="7"/>
  <c r="G1374" i="7"/>
  <c r="F1374" i="7"/>
  <c r="G1278" i="7"/>
  <c r="F1278" i="7"/>
  <c r="F1166" i="7"/>
  <c r="G1166" i="7"/>
  <c r="G1134" i="7"/>
  <c r="F1134" i="7"/>
  <c r="G1086" i="7"/>
  <c r="F1086" i="7"/>
  <c r="F974" i="7"/>
  <c r="G974" i="7"/>
  <c r="G958" i="7"/>
  <c r="F958" i="7"/>
  <c r="G862" i="7"/>
  <c r="F862" i="7"/>
  <c r="F830" i="7"/>
  <c r="G830" i="7"/>
  <c r="F798" i="7"/>
  <c r="G798" i="7"/>
  <c r="F734" i="7"/>
  <c r="G734" i="7"/>
  <c r="G638" i="7"/>
  <c r="F638" i="7"/>
  <c r="G1309" i="7"/>
  <c r="F1309" i="7"/>
  <c r="G1403" i="7"/>
  <c r="F1403" i="7"/>
  <c r="G1339" i="7"/>
  <c r="F1339" i="7"/>
  <c r="G1307" i="7"/>
  <c r="F1307" i="7"/>
  <c r="G1259" i="7"/>
  <c r="F1259" i="7"/>
  <c r="G1243" i="7"/>
  <c r="F1243" i="7"/>
  <c r="G1211" i="7"/>
  <c r="F1211" i="7"/>
  <c r="G1195" i="7"/>
  <c r="F1195" i="7"/>
  <c r="G1179" i="7"/>
  <c r="F1179" i="7"/>
  <c r="G1083" i="7"/>
  <c r="F1083" i="7"/>
  <c r="G1067" i="7"/>
  <c r="F1067" i="7"/>
  <c r="G1051" i="7"/>
  <c r="F1051" i="7"/>
  <c r="F971" i="7"/>
  <c r="G971" i="7"/>
  <c r="G939" i="7"/>
  <c r="F939" i="7"/>
  <c r="F923" i="7"/>
  <c r="G923" i="7"/>
  <c r="G907" i="7"/>
  <c r="F907" i="7"/>
  <c r="G843" i="7"/>
  <c r="F843" i="7"/>
  <c r="G827" i="7"/>
  <c r="F827" i="7"/>
  <c r="G811" i="7"/>
  <c r="F811" i="7"/>
  <c r="F795" i="7"/>
  <c r="G795" i="7"/>
  <c r="F779" i="7"/>
  <c r="G779" i="7"/>
  <c r="F731" i="7"/>
  <c r="G731" i="7"/>
  <c r="F699" i="7"/>
  <c r="G699" i="7"/>
  <c r="G587" i="7"/>
  <c r="F587" i="7"/>
  <c r="F555" i="7"/>
  <c r="G555" i="7"/>
  <c r="G523" i="7"/>
  <c r="F523" i="7"/>
  <c r="F507" i="7"/>
  <c r="G507" i="7"/>
  <c r="F491" i="7"/>
  <c r="G491" i="7"/>
  <c r="G411" i="7"/>
  <c r="F411" i="7"/>
  <c r="G395" i="7"/>
  <c r="F395" i="7"/>
  <c r="G379" i="7"/>
  <c r="F379" i="7"/>
  <c r="F363" i="7"/>
  <c r="G363" i="7"/>
  <c r="G331" i="7"/>
  <c r="F331" i="7"/>
  <c r="G155" i="7"/>
  <c r="F155" i="7"/>
  <c r="G139" i="7"/>
  <c r="F139" i="7"/>
  <c r="F123" i="7"/>
  <c r="G123" i="7"/>
  <c r="G59" i="7"/>
  <c r="F59" i="7"/>
  <c r="F57" i="7"/>
  <c r="F113" i="7"/>
  <c r="F164" i="7"/>
  <c r="F224" i="7"/>
  <c r="F270" i="7"/>
  <c r="F334" i="7"/>
  <c r="F377" i="7"/>
  <c r="F435" i="7"/>
  <c r="F493" i="7"/>
  <c r="F549" i="7"/>
  <c r="F597" i="7"/>
  <c r="F648" i="7"/>
  <c r="F710" i="7"/>
  <c r="F762" i="7"/>
  <c r="F821" i="7"/>
  <c r="F865" i="7"/>
  <c r="F931" i="7"/>
  <c r="F978" i="7"/>
  <c r="F1035" i="7"/>
  <c r="F1093" i="7"/>
  <c r="F1204" i="7"/>
  <c r="F1304" i="7"/>
  <c r="G20" i="7"/>
  <c r="G156" i="7"/>
  <c r="G309" i="7"/>
  <c r="G452" i="7"/>
  <c r="G609" i="7"/>
  <c r="G757" i="7"/>
  <c r="G943" i="7"/>
  <c r="G1140" i="7"/>
  <c r="F34" i="7"/>
  <c r="F3" i="7"/>
  <c r="Z1334" i="7"/>
  <c r="Z633" i="7"/>
  <c r="Z402" i="7"/>
  <c r="Z637" i="7"/>
  <c r="Z429" i="7"/>
  <c r="Z413" i="7"/>
  <c r="Z634" i="7"/>
  <c r="Z588" i="7"/>
  <c r="Z538" i="7"/>
  <c r="Z42" i="7"/>
  <c r="Z381" i="7"/>
  <c r="Z141" i="7"/>
  <c r="Z1212" i="7"/>
  <c r="Z956" i="7"/>
  <c r="Z732" i="7"/>
  <c r="Z428" i="7"/>
  <c r="Z268" i="7"/>
  <c r="Z1131" i="7"/>
  <c r="Z843" i="7"/>
  <c r="Z587" i="7"/>
  <c r="Z139" i="7"/>
  <c r="Z362" i="7"/>
  <c r="Z266" i="7"/>
  <c r="Z234" i="7"/>
  <c r="Z122" i="7"/>
  <c r="Z10" i="7"/>
  <c r="Z1273" i="7"/>
  <c r="Z1241" i="7"/>
  <c r="Z1177" i="7"/>
  <c r="Z585" i="7"/>
  <c r="Z1352" i="7"/>
  <c r="Z1320" i="7"/>
  <c r="Z920" i="7"/>
  <c r="Z776" i="7"/>
  <c r="Z760" i="7"/>
  <c r="Z264" i="7"/>
  <c r="Z72" i="7"/>
  <c r="Z1165" i="7"/>
  <c r="Z1180" i="7"/>
  <c r="Z1020" i="7"/>
  <c r="Z924" i="7"/>
  <c r="Z716" i="7"/>
  <c r="Z540" i="7"/>
  <c r="Z364" i="7"/>
  <c r="Z140" i="7"/>
  <c r="Z1307" i="7"/>
  <c r="Z107" i="7"/>
  <c r="Z311" i="7"/>
  <c r="Z1366" i="7"/>
  <c r="Z742" i="7"/>
  <c r="Z70" i="7"/>
  <c r="Z1029" i="7"/>
  <c r="Z668" i="7"/>
  <c r="Z955" i="7"/>
  <c r="Z586" i="7"/>
  <c r="Z1228" i="7"/>
  <c r="Z570" i="7"/>
  <c r="Z147" i="7"/>
  <c r="Z43" i="7"/>
  <c r="Z114" i="7"/>
  <c r="Z1069" i="7"/>
  <c r="Z781" i="7"/>
  <c r="Z477" i="7"/>
  <c r="Z269" i="7"/>
  <c r="Z205" i="7"/>
  <c r="Z61" i="7"/>
  <c r="Z1132" i="7"/>
  <c r="Z860" i="7"/>
  <c r="Z604" i="7"/>
  <c r="Z460" i="7"/>
  <c r="Z220" i="7"/>
  <c r="Z907" i="7"/>
  <c r="Z779" i="7"/>
  <c r="Z539" i="7"/>
  <c r="Z235" i="7"/>
  <c r="Z11" i="7"/>
  <c r="Z1210" i="7"/>
  <c r="Z1396" i="7"/>
  <c r="Z996" i="7"/>
  <c r="Z740" i="7"/>
  <c r="Z1139" i="7"/>
  <c r="Z1202" i="7"/>
  <c r="Z1106" i="7"/>
  <c r="Z146" i="7"/>
  <c r="Z98" i="7"/>
  <c r="Z34" i="7"/>
  <c r="Z1393" i="7"/>
  <c r="Z1345" i="7"/>
  <c r="Z1313" i="7"/>
  <c r="Z1265" i="7"/>
  <c r="Z1169" i="7"/>
  <c r="Z1105" i="7"/>
  <c r="Z961" i="7"/>
  <c r="Z945" i="7"/>
  <c r="Z881" i="7"/>
  <c r="Z865" i="7"/>
  <c r="Z785" i="7"/>
  <c r="Z625" i="7"/>
  <c r="Z529" i="7"/>
  <c r="Z401" i="7"/>
  <c r="Z273" i="7"/>
  <c r="Z241" i="7"/>
  <c r="Z177" i="7"/>
  <c r="Z145" i="7"/>
  <c r="Z97" i="7"/>
  <c r="Z33" i="7"/>
  <c r="Z1037" i="7"/>
  <c r="Z157" i="7"/>
  <c r="Z204" i="7"/>
  <c r="Z411" i="7"/>
  <c r="Z314" i="7"/>
  <c r="Z884" i="7"/>
  <c r="Z1251" i="7"/>
  <c r="Z1170" i="7"/>
  <c r="Z946" i="7"/>
  <c r="Z434" i="7"/>
  <c r="Z162" i="7"/>
  <c r="Z1264" i="7"/>
  <c r="Z1024" i="7"/>
  <c r="Z992" i="7"/>
  <c r="Z912" i="7"/>
  <c r="Z896" i="7"/>
  <c r="Z864" i="7"/>
  <c r="Z832" i="7"/>
  <c r="Z784" i="7"/>
  <c r="Z736" i="7"/>
  <c r="Z720" i="7"/>
  <c r="Z704" i="7"/>
  <c r="Z688" i="7"/>
  <c r="Z672" i="7"/>
  <c r="Z640" i="7"/>
  <c r="Z624" i="7"/>
  <c r="Z592" i="7"/>
  <c r="Z576" i="7"/>
  <c r="Z528" i="7"/>
  <c r="Z480" i="7"/>
  <c r="Z432" i="7"/>
  <c r="Z400" i="7"/>
  <c r="Z352" i="7"/>
  <c r="Z272" i="7"/>
  <c r="Z240" i="7"/>
  <c r="Z224" i="7"/>
  <c r="Z208" i="7"/>
  <c r="Z128" i="7"/>
  <c r="Z80" i="7"/>
  <c r="Z16" i="7"/>
  <c r="Z957" i="7"/>
  <c r="Z717" i="7"/>
  <c r="Z237" i="7"/>
  <c r="Z1244" i="7"/>
  <c r="Z940" i="7"/>
  <c r="Z828" i="7"/>
  <c r="Z556" i="7"/>
  <c r="Z476" i="7"/>
  <c r="Z332" i="7"/>
  <c r="Z252" i="7"/>
  <c r="Z12" i="7"/>
  <c r="Z1179" i="7"/>
  <c r="Z427" i="7"/>
  <c r="Z522" i="7"/>
  <c r="Z1367" i="7"/>
  <c r="Z1271" i="7"/>
  <c r="Z1143" i="7"/>
  <c r="Z631" i="7"/>
  <c r="Z1044" i="7"/>
  <c r="Z676" i="7"/>
  <c r="Z1155" i="7"/>
  <c r="Z1330" i="7"/>
  <c r="Z994" i="7"/>
  <c r="Z274" i="7"/>
  <c r="Z1312" i="7"/>
  <c r="Z1056" i="7"/>
  <c r="Z1119" i="7"/>
  <c r="Z1071" i="7"/>
  <c r="Z1023" i="7"/>
  <c r="Z1007" i="7"/>
  <c r="Z991" i="7"/>
  <c r="Z943" i="7"/>
  <c r="Z911" i="7"/>
  <c r="Z879" i="7"/>
  <c r="Z863" i="7"/>
  <c r="Z847" i="7"/>
  <c r="Z831" i="7"/>
  <c r="Z783" i="7"/>
  <c r="Z735" i="7"/>
  <c r="Z719" i="7"/>
  <c r="Z703" i="7"/>
  <c r="Z671" i="7"/>
  <c r="Z575" i="7"/>
  <c r="Z543" i="7"/>
  <c r="Z527" i="7"/>
  <c r="Z495" i="7"/>
  <c r="Z479" i="7"/>
  <c r="Z463" i="7"/>
  <c r="Z399" i="7"/>
  <c r="Z383" i="7"/>
  <c r="Z351" i="7"/>
  <c r="Z335" i="7"/>
  <c r="Z239" i="7"/>
  <c r="Z207" i="7"/>
  <c r="Z143" i="7"/>
  <c r="Z127" i="7"/>
  <c r="Z79" i="7"/>
  <c r="Z31" i="7"/>
  <c r="Z989" i="7"/>
  <c r="Z365" i="7"/>
  <c r="Z125" i="7"/>
  <c r="Z1308" i="7"/>
  <c r="Z1196" i="7"/>
  <c r="Z1068" i="7"/>
  <c r="Z780" i="7"/>
  <c r="Z380" i="7"/>
  <c r="Z92" i="7"/>
  <c r="Z1115" i="7"/>
  <c r="Z939" i="7"/>
  <c r="Z715" i="7"/>
  <c r="Z475" i="7"/>
  <c r="Z331" i="7"/>
  <c r="Z458" i="7"/>
  <c r="Z1175" i="7"/>
  <c r="Z1076" i="7"/>
  <c r="Z788" i="7"/>
  <c r="Z1363" i="7"/>
  <c r="Z1107" i="7"/>
  <c r="Z1362" i="7"/>
  <c r="Z1250" i="7"/>
  <c r="Z1074" i="7"/>
  <c r="Z962" i="7"/>
  <c r="Z882" i="7"/>
  <c r="Z786" i="7"/>
  <c r="Z258" i="7"/>
  <c r="Z130" i="7"/>
  <c r="Z1310" i="7"/>
  <c r="Z1278" i="7"/>
  <c r="Z1246" i="7"/>
  <c r="Z1166" i="7"/>
  <c r="Z1038" i="7"/>
  <c r="Z1006" i="7"/>
  <c r="Z990" i="7"/>
  <c r="Z958" i="7"/>
  <c r="Z942" i="7"/>
  <c r="Z926" i="7"/>
  <c r="Z878" i="7"/>
  <c r="Z846" i="7"/>
  <c r="Z830" i="7"/>
  <c r="Z782" i="7"/>
  <c r="Z718" i="7"/>
  <c r="Z702" i="7"/>
  <c r="Z590" i="7"/>
  <c r="Z526" i="7"/>
  <c r="Z430" i="7"/>
  <c r="Z382" i="7"/>
  <c r="Z334" i="7"/>
  <c r="Z318" i="7"/>
  <c r="Z286" i="7"/>
  <c r="Z254" i="7"/>
  <c r="Z206" i="7"/>
  <c r="Z158" i="7"/>
  <c r="Z142" i="7"/>
  <c r="Z126" i="7"/>
  <c r="Z94" i="7"/>
  <c r="Z78" i="7"/>
  <c r="Z30" i="7"/>
  <c r="AA1368" i="7"/>
  <c r="AA471" i="7"/>
  <c r="AA412" i="7"/>
  <c r="AA1388" i="7"/>
  <c r="AA1338" i="7"/>
  <c r="AA1242" i="7"/>
  <c r="AA1178" i="7"/>
  <c r="AA1146" i="7"/>
  <c r="AA922" i="7"/>
  <c r="AA826" i="7"/>
  <c r="AA704" i="7"/>
  <c r="AA1274" i="7"/>
  <c r="AA476" i="7"/>
  <c r="Z471" i="7"/>
  <c r="AA575" i="7"/>
  <c r="Z1368" i="7"/>
  <c r="AA1246" i="7"/>
  <c r="AA455" i="7"/>
  <c r="Z455" i="7"/>
  <c r="AA439" i="7"/>
  <c r="Z439" i="7"/>
  <c r="AA1023" i="7"/>
  <c r="AA590" i="7"/>
  <c r="AA1354" i="7"/>
  <c r="Z1354" i="7"/>
  <c r="AA586" i="7"/>
  <c r="AA1107" i="7"/>
  <c r="AA1369" i="7"/>
  <c r="Z1369" i="7"/>
  <c r="AA1145" i="7"/>
  <c r="AA1129" i="7"/>
  <c r="Z1129" i="7"/>
  <c r="AA1097" i="7"/>
  <c r="Z1097" i="7"/>
  <c r="AA1049" i="7"/>
  <c r="Z1049" i="7"/>
  <c r="AA1017" i="7"/>
  <c r="Z1017" i="7"/>
  <c r="AA953" i="7"/>
  <c r="Z953" i="7"/>
  <c r="AA857" i="7"/>
  <c r="Z857" i="7"/>
  <c r="AA809" i="7"/>
  <c r="Z809" i="7"/>
  <c r="AA729" i="7"/>
  <c r="Z729" i="7"/>
  <c r="AA537" i="7"/>
  <c r="Z537" i="7"/>
  <c r="AA393" i="7"/>
  <c r="Z393" i="7"/>
  <c r="AA265" i="7"/>
  <c r="Z265" i="7"/>
  <c r="AA73" i="7"/>
  <c r="Z73" i="7"/>
  <c r="AA1080" i="7"/>
  <c r="AA1016" i="7"/>
  <c r="Z1016" i="7"/>
  <c r="AA936" i="7"/>
  <c r="Z936" i="7"/>
  <c r="AA712" i="7"/>
  <c r="Z712" i="7"/>
  <c r="AA632" i="7"/>
  <c r="Z632" i="7"/>
  <c r="AA600" i="7"/>
  <c r="Z600" i="7"/>
  <c r="AA568" i="7"/>
  <c r="Z568" i="7"/>
  <c r="Z472" i="7"/>
  <c r="AA472" i="7"/>
  <c r="Z248" i="7"/>
  <c r="AA248" i="7"/>
  <c r="AA168" i="7"/>
  <c r="Z168" i="7"/>
  <c r="AA136" i="7"/>
  <c r="Z136" i="7"/>
  <c r="AA1207" i="7"/>
  <c r="AA983" i="7"/>
  <c r="Z983" i="7"/>
  <c r="AA695" i="7"/>
  <c r="AA615" i="7"/>
  <c r="Z615" i="7"/>
  <c r="AA503" i="7"/>
  <c r="Z503" i="7"/>
  <c r="AA1286" i="7"/>
  <c r="Z1286" i="7"/>
  <c r="AA1126" i="7"/>
  <c r="Z1126" i="7"/>
  <c r="AA1046" i="7"/>
  <c r="Z1046" i="7"/>
  <c r="AA966" i="7"/>
  <c r="Z966" i="7"/>
  <c r="AA854" i="7"/>
  <c r="Z854" i="7"/>
  <c r="AA758" i="7"/>
  <c r="Z758" i="7"/>
  <c r="AA662" i="7"/>
  <c r="Z662" i="7"/>
  <c r="AA614" i="7"/>
  <c r="Z614" i="7"/>
  <c r="AA534" i="7"/>
  <c r="Z534" i="7"/>
  <c r="AA518" i="7"/>
  <c r="Z518" i="7"/>
  <c r="AA502" i="7"/>
  <c r="Z502" i="7"/>
  <c r="AA486" i="7"/>
  <c r="Z486" i="7"/>
  <c r="AA470" i="7"/>
  <c r="Z470" i="7"/>
  <c r="AA422" i="7"/>
  <c r="Z422" i="7"/>
  <c r="AA390" i="7"/>
  <c r="Z390" i="7"/>
  <c r="AA374" i="7"/>
  <c r="Z374" i="7"/>
  <c r="AA358" i="7"/>
  <c r="Z358" i="7"/>
  <c r="AA326" i="7"/>
  <c r="Z326" i="7"/>
  <c r="AA310" i="7"/>
  <c r="Z310" i="7"/>
  <c r="AA294" i="7"/>
  <c r="Z294" i="7"/>
  <c r="AA278" i="7"/>
  <c r="AA262" i="7"/>
  <c r="Z262" i="7"/>
  <c r="AA246" i="7"/>
  <c r="Z246" i="7"/>
  <c r="AA230" i="7"/>
  <c r="Z230" i="7"/>
  <c r="AA214" i="7"/>
  <c r="AA198" i="7"/>
  <c r="Z198" i="7"/>
  <c r="AA182" i="7"/>
  <c r="Z182" i="7"/>
  <c r="AA166" i="7"/>
  <c r="Z166" i="7"/>
  <c r="AA150" i="7"/>
  <c r="Z150" i="7"/>
  <c r="AA134" i="7"/>
  <c r="Z134" i="7"/>
  <c r="AA118" i="7"/>
  <c r="Z118" i="7"/>
  <c r="AA102" i="7"/>
  <c r="Z102" i="7"/>
  <c r="AA86" i="7"/>
  <c r="Z86" i="7"/>
  <c r="AA70" i="7"/>
  <c r="AA54" i="7"/>
  <c r="Z54" i="7"/>
  <c r="AA38" i="7"/>
  <c r="Z38" i="7"/>
  <c r="AA22" i="7"/>
  <c r="Z22" i="7"/>
  <c r="AA1366" i="7"/>
  <c r="AA1004" i="7"/>
  <c r="AA588" i="7"/>
  <c r="AA1258" i="7"/>
  <c r="Z1258" i="7"/>
  <c r="AA1066" i="7"/>
  <c r="Z1066" i="7"/>
  <c r="AA1401" i="7"/>
  <c r="Z1401" i="7"/>
  <c r="AA1353" i="7"/>
  <c r="Z1353" i="7"/>
  <c r="AA1081" i="7"/>
  <c r="AA1001" i="7"/>
  <c r="Z1001" i="7"/>
  <c r="AA889" i="7"/>
  <c r="Z889" i="7"/>
  <c r="AA825" i="7"/>
  <c r="Z825" i="7"/>
  <c r="AA761" i="7"/>
  <c r="Z761" i="7"/>
  <c r="AA713" i="7"/>
  <c r="Z713" i="7"/>
  <c r="AA649" i="7"/>
  <c r="Z649" i="7"/>
  <c r="AA505" i="7"/>
  <c r="Z505" i="7"/>
  <c r="AA345" i="7"/>
  <c r="Z345" i="7"/>
  <c r="AA249" i="7"/>
  <c r="Z249" i="7"/>
  <c r="AA137" i="7"/>
  <c r="Z137" i="7"/>
  <c r="AA1400" i="7"/>
  <c r="Z1400" i="7"/>
  <c r="AA1272" i="7"/>
  <c r="Z1272" i="7"/>
  <c r="AA920" i="7"/>
  <c r="AA680" i="7"/>
  <c r="Z536" i="7"/>
  <c r="AA536" i="7"/>
  <c r="AA344" i="7"/>
  <c r="Z344" i="7"/>
  <c r="AA24" i="7"/>
  <c r="AA1383" i="7"/>
  <c r="Z1383" i="7"/>
  <c r="AA535" i="7"/>
  <c r="AA1110" i="7"/>
  <c r="AA1062" i="7"/>
  <c r="Z1062" i="7"/>
  <c r="AA1014" i="7"/>
  <c r="Z1014" i="7"/>
  <c r="AA918" i="7"/>
  <c r="Z918" i="7"/>
  <c r="AA870" i="7"/>
  <c r="Z870" i="7"/>
  <c r="AA822" i="7"/>
  <c r="Z822" i="7"/>
  <c r="AA790" i="7"/>
  <c r="Z790" i="7"/>
  <c r="AA694" i="7"/>
  <c r="Z694" i="7"/>
  <c r="AA566" i="7"/>
  <c r="Z566" i="7"/>
  <c r="AA342" i="7"/>
  <c r="Z342" i="7"/>
  <c r="AA1381" i="7"/>
  <c r="Z1381" i="7"/>
  <c r="AA1365" i="7"/>
  <c r="Z1365" i="7"/>
  <c r="AA1349" i="7"/>
  <c r="Z1349" i="7"/>
  <c r="AA1333" i="7"/>
  <c r="Z1333" i="7"/>
  <c r="AA1317" i="7"/>
  <c r="Z1317" i="7"/>
  <c r="AA1301" i="7"/>
  <c r="Z1301" i="7"/>
  <c r="AA1285" i="7"/>
  <c r="Z1285" i="7"/>
  <c r="AA1269" i="7"/>
  <c r="Z1269" i="7"/>
  <c r="AA1253" i="7"/>
  <c r="Z1253" i="7"/>
  <c r="AA1237" i="7"/>
  <c r="Z1237" i="7"/>
  <c r="AA1221" i="7"/>
  <c r="Z1221" i="7"/>
  <c r="AA1205" i="7"/>
  <c r="Z1205" i="7"/>
  <c r="AA1189" i="7"/>
  <c r="Z1189" i="7"/>
  <c r="AA1173" i="7"/>
  <c r="Z1173" i="7"/>
  <c r="AA1157" i="7"/>
  <c r="Z1157" i="7"/>
  <c r="AA1141" i="7"/>
  <c r="Z1141" i="7"/>
  <c r="AA1125" i="7"/>
  <c r="Z1125" i="7"/>
  <c r="AA1109" i="7"/>
  <c r="Z1109" i="7"/>
  <c r="AA1093" i="7"/>
  <c r="Z1093" i="7"/>
  <c r="AA1077" i="7"/>
  <c r="AA1061" i="7"/>
  <c r="Z1061" i="7"/>
  <c r="AA1045" i="7"/>
  <c r="Z1045" i="7"/>
  <c r="AA1029" i="7"/>
  <c r="AA1013" i="7"/>
  <c r="Z1013" i="7"/>
  <c r="AA997" i="7"/>
  <c r="Z997" i="7"/>
  <c r="AA981" i="7"/>
  <c r="Z981" i="7"/>
  <c r="AA965" i="7"/>
  <c r="Z965" i="7"/>
  <c r="AA949" i="7"/>
  <c r="Z949" i="7"/>
  <c r="AA933" i="7"/>
  <c r="Z933" i="7"/>
  <c r="AA917" i="7"/>
  <c r="Z917" i="7"/>
  <c r="AA901" i="7"/>
  <c r="Z901" i="7"/>
  <c r="AA885" i="7"/>
  <c r="Z885" i="7"/>
  <c r="AA869" i="7"/>
  <c r="Z869" i="7"/>
  <c r="AA853" i="7"/>
  <c r="Z853" i="7"/>
  <c r="AA837" i="7"/>
  <c r="Z837" i="7"/>
  <c r="AA821" i="7"/>
  <c r="Z821" i="7"/>
  <c r="AA805" i="7"/>
  <c r="Z805" i="7"/>
  <c r="AA789" i="7"/>
  <c r="Z789" i="7"/>
  <c r="AA773" i="7"/>
  <c r="Z773" i="7"/>
  <c r="AA757" i="7"/>
  <c r="Z757" i="7"/>
  <c r="AA741" i="7"/>
  <c r="Z741" i="7"/>
  <c r="AA725" i="7"/>
  <c r="Z725" i="7"/>
  <c r="AA709" i="7"/>
  <c r="Z709" i="7"/>
  <c r="AA693" i="7"/>
  <c r="Z693" i="7"/>
  <c r="AA677" i="7"/>
  <c r="Z677" i="7"/>
  <c r="AA661" i="7"/>
  <c r="Z661" i="7"/>
  <c r="AA645" i="7"/>
  <c r="Z645" i="7"/>
  <c r="AA629" i="7"/>
  <c r="Z629" i="7"/>
  <c r="AA613" i="7"/>
  <c r="Z613" i="7"/>
  <c r="AA597" i="7"/>
  <c r="Z597" i="7"/>
  <c r="AA581" i="7"/>
  <c r="Z581" i="7"/>
  <c r="AA565" i="7"/>
  <c r="Z565" i="7"/>
  <c r="AA549" i="7"/>
  <c r="Z549" i="7"/>
  <c r="AA533" i="7"/>
  <c r="Z533" i="7"/>
  <c r="AA517" i="7"/>
  <c r="Z517" i="7"/>
  <c r="AA501" i="7"/>
  <c r="Z501" i="7"/>
  <c r="AA485" i="7"/>
  <c r="Z485" i="7"/>
  <c r="AA469" i="7"/>
  <c r="Z469" i="7"/>
  <c r="AA453" i="7"/>
  <c r="Z453" i="7"/>
  <c r="AA437" i="7"/>
  <c r="Z437" i="7"/>
  <c r="AA421" i="7"/>
  <c r="Z421" i="7"/>
  <c r="AA405" i="7"/>
  <c r="Z405" i="7"/>
  <c r="AA389" i="7"/>
  <c r="Z389" i="7"/>
  <c r="AA373" i="7"/>
  <c r="Z373" i="7"/>
  <c r="AA357" i="7"/>
  <c r="Z357" i="7"/>
  <c r="AA341" i="7"/>
  <c r="Z341" i="7"/>
  <c r="AA325" i="7"/>
  <c r="Z325" i="7"/>
  <c r="AA309" i="7"/>
  <c r="Z309" i="7"/>
  <c r="AA293" i="7"/>
  <c r="Z293" i="7"/>
  <c r="AA277" i="7"/>
  <c r="Z277" i="7"/>
  <c r="AA261" i="7"/>
  <c r="Z261" i="7"/>
  <c r="AA245" i="7"/>
  <c r="Z245" i="7"/>
  <c r="AA229" i="7"/>
  <c r="Z229" i="7"/>
  <c r="AA213" i="7"/>
  <c r="Z213" i="7"/>
  <c r="AA197" i="7"/>
  <c r="Z197" i="7"/>
  <c r="AA181" i="7"/>
  <c r="Z181" i="7"/>
  <c r="AA165" i="7"/>
  <c r="Z165" i="7"/>
  <c r="AA149" i="7"/>
  <c r="Z149" i="7"/>
  <c r="AA133" i="7"/>
  <c r="Z133" i="7"/>
  <c r="AA117" i="7"/>
  <c r="Z117" i="7"/>
  <c r="AA101" i="7"/>
  <c r="AA85" i="7"/>
  <c r="Z85" i="7"/>
  <c r="AA69" i="7"/>
  <c r="Z69" i="7"/>
  <c r="AA53" i="7"/>
  <c r="Z53" i="7"/>
  <c r="AA37" i="7"/>
  <c r="Z37" i="7"/>
  <c r="AA21" i="7"/>
  <c r="Z21" i="7"/>
  <c r="Z1338" i="7"/>
  <c r="Z1146" i="7"/>
  <c r="Z101" i="7"/>
  <c r="AA1356" i="7"/>
  <c r="AA1000" i="7"/>
  <c r="AA1337" i="7"/>
  <c r="AA1321" i="7"/>
  <c r="Z1321" i="7"/>
  <c r="AA969" i="7"/>
  <c r="AA905" i="7"/>
  <c r="Z905" i="7"/>
  <c r="AA793" i="7"/>
  <c r="Z793" i="7"/>
  <c r="AA745" i="7"/>
  <c r="Z745" i="7"/>
  <c r="AA665" i="7"/>
  <c r="Z665" i="7"/>
  <c r="AA569" i="7"/>
  <c r="Z569" i="7"/>
  <c r="AA441" i="7"/>
  <c r="Z441" i="7"/>
  <c r="AA281" i="7"/>
  <c r="Z281" i="7"/>
  <c r="AA201" i="7"/>
  <c r="Z201" i="7"/>
  <c r="AA121" i="7"/>
  <c r="Z121" i="7"/>
  <c r="AA9" i="7"/>
  <c r="Z9" i="7"/>
  <c r="Z1274" i="7"/>
  <c r="AA1112" i="7"/>
  <c r="Z1032" i="7"/>
  <c r="AA1032" i="7"/>
  <c r="AA968" i="7"/>
  <c r="Z968" i="7"/>
  <c r="AA904" i="7"/>
  <c r="Z904" i="7"/>
  <c r="AA696" i="7"/>
  <c r="AA584" i="7"/>
  <c r="Z584" i="7"/>
  <c r="AA424" i="7"/>
  <c r="Z424" i="7"/>
  <c r="Z200" i="7"/>
  <c r="AA200" i="7"/>
  <c r="AA1239" i="7"/>
  <c r="AA1191" i="7"/>
  <c r="Z1191" i="7"/>
  <c r="AA1127" i="7"/>
  <c r="Z1127" i="7"/>
  <c r="AA1095" i="7"/>
  <c r="Z1095" i="7"/>
  <c r="AA1063" i="7"/>
  <c r="Z1063" i="7"/>
  <c r="AA1015" i="7"/>
  <c r="Z1015" i="7"/>
  <c r="AA967" i="7"/>
  <c r="Z967" i="7"/>
  <c r="AA951" i="7"/>
  <c r="Z951" i="7"/>
  <c r="AA935" i="7"/>
  <c r="Z935" i="7"/>
  <c r="AA903" i="7"/>
  <c r="Z903" i="7"/>
  <c r="AA823" i="7"/>
  <c r="Z823" i="7"/>
  <c r="AA679" i="7"/>
  <c r="Z679" i="7"/>
  <c r="AA519" i="7"/>
  <c r="Z519" i="7"/>
  <c r="AA1382" i="7"/>
  <c r="Z1382" i="7"/>
  <c r="AA1238" i="7"/>
  <c r="Z1238" i="7"/>
  <c r="AA1174" i="7"/>
  <c r="Z1174" i="7"/>
  <c r="AA1094" i="7"/>
  <c r="Z1094" i="7"/>
  <c r="AA998" i="7"/>
  <c r="Z998" i="7"/>
  <c r="AA950" i="7"/>
  <c r="Z950" i="7"/>
  <c r="AA934" i="7"/>
  <c r="Z934" i="7"/>
  <c r="AA902" i="7"/>
  <c r="Z902" i="7"/>
  <c r="AA838" i="7"/>
  <c r="Z838" i="7"/>
  <c r="AA774" i="7"/>
  <c r="Z774" i="7"/>
  <c r="AA678" i="7"/>
  <c r="Z678" i="7"/>
  <c r="AA582" i="7"/>
  <c r="Z582" i="7"/>
  <c r="AA406" i="7"/>
  <c r="Z406" i="7"/>
  <c r="AA1397" i="7"/>
  <c r="Z1397" i="7"/>
  <c r="Z1337" i="7"/>
  <c r="Z1242" i="7"/>
  <c r="Z1145" i="7"/>
  <c r="AA1352" i="7"/>
  <c r="AA992" i="7"/>
  <c r="AA1002" i="7"/>
  <c r="Z1002" i="7"/>
  <c r="AA890" i="7"/>
  <c r="Z890" i="7"/>
  <c r="AA858" i="7"/>
  <c r="Z858" i="7"/>
  <c r="AA794" i="7"/>
  <c r="Z794" i="7"/>
  <c r="AA778" i="7"/>
  <c r="Z778" i="7"/>
  <c r="AA714" i="7"/>
  <c r="Z714" i="7"/>
  <c r="AA650" i="7"/>
  <c r="Z650" i="7"/>
  <c r="AA1305" i="7"/>
  <c r="AA1289" i="7"/>
  <c r="Z1289" i="7"/>
  <c r="AA1257" i="7"/>
  <c r="Z1257" i="7"/>
  <c r="AA377" i="7"/>
  <c r="AA217" i="7"/>
  <c r="Z217" i="7"/>
  <c r="AA57" i="7"/>
  <c r="Z57" i="7"/>
  <c r="AA1224" i="7"/>
  <c r="Z1224" i="7"/>
  <c r="AA1144" i="7"/>
  <c r="Z1144" i="7"/>
  <c r="AA1048" i="7"/>
  <c r="Z1048" i="7"/>
  <c r="AA824" i="7"/>
  <c r="AA792" i="7"/>
  <c r="Z792" i="7"/>
  <c r="AA520" i="7"/>
  <c r="Z504" i="7"/>
  <c r="AA504" i="7"/>
  <c r="AA456" i="7"/>
  <c r="Z456" i="7"/>
  <c r="AA392" i="7"/>
  <c r="Z392" i="7"/>
  <c r="AA360" i="7"/>
  <c r="Z360" i="7"/>
  <c r="AA328" i="7"/>
  <c r="Z328" i="7"/>
  <c r="AA312" i="7"/>
  <c r="Z312" i="7"/>
  <c r="AA232" i="7"/>
  <c r="Z232" i="7"/>
  <c r="Z152" i="7"/>
  <c r="AA152" i="7"/>
  <c r="AA120" i="7"/>
  <c r="Z120" i="7"/>
  <c r="Z40" i="7"/>
  <c r="AA40" i="7"/>
  <c r="AA1335" i="7"/>
  <c r="AA1303" i="7"/>
  <c r="Z1303" i="7"/>
  <c r="AA1255" i="7"/>
  <c r="Z1255" i="7"/>
  <c r="AA919" i="7"/>
  <c r="AA807" i="7"/>
  <c r="Z807" i="7"/>
  <c r="AA743" i="7"/>
  <c r="Z743" i="7"/>
  <c r="AA711" i="7"/>
  <c r="Z711" i="7"/>
  <c r="AA647" i="7"/>
  <c r="Z647" i="7"/>
  <c r="AA551" i="7"/>
  <c r="Z551" i="7"/>
  <c r="AA1270" i="7"/>
  <c r="Z1270" i="7"/>
  <c r="AA1190" i="7"/>
  <c r="Z1190" i="7"/>
  <c r="AA1142" i="7"/>
  <c r="Z1142" i="7"/>
  <c r="AA1030" i="7"/>
  <c r="Z1030" i="7"/>
  <c r="AA742" i="7"/>
  <c r="AA710" i="7"/>
  <c r="Z710" i="7"/>
  <c r="AA630" i="7"/>
  <c r="Z630" i="7"/>
  <c r="AA550" i="7"/>
  <c r="Z550" i="7"/>
  <c r="AA454" i="7"/>
  <c r="Z454" i="7"/>
  <c r="AA1395" i="7"/>
  <c r="AA1379" i="7"/>
  <c r="Z1379" i="7"/>
  <c r="AA1347" i="7"/>
  <c r="Z1347" i="7"/>
  <c r="AA1331" i="7"/>
  <c r="Z1331" i="7"/>
  <c r="Z1315" i="7"/>
  <c r="AA1315" i="7"/>
  <c r="AA1299" i="7"/>
  <c r="Z1299" i="7"/>
  <c r="AA1251" i="7"/>
  <c r="AA1235" i="7"/>
  <c r="Z1235" i="7"/>
  <c r="AA1187" i="7"/>
  <c r="AA1171" i="7"/>
  <c r="Z1171" i="7"/>
  <c r="Z1123" i="7"/>
  <c r="AA1123" i="7"/>
  <c r="Z1091" i="7"/>
  <c r="AA1091" i="7"/>
  <c r="Z1027" i="7"/>
  <c r="AA1027" i="7"/>
  <c r="Z995" i="7"/>
  <c r="AA995" i="7"/>
  <c r="Z979" i="7"/>
  <c r="AA979" i="7"/>
  <c r="Z947" i="7"/>
  <c r="AA947" i="7"/>
  <c r="AA931" i="7"/>
  <c r="Z931" i="7"/>
  <c r="Z915" i="7"/>
  <c r="AA915" i="7"/>
  <c r="AA899" i="7"/>
  <c r="Z899" i="7"/>
  <c r="AA867" i="7"/>
  <c r="Z867" i="7"/>
  <c r="AA851" i="7"/>
  <c r="Z851" i="7"/>
  <c r="AA835" i="7"/>
  <c r="Z835" i="7"/>
  <c r="AA819" i="7"/>
  <c r="Z819" i="7"/>
  <c r="AA803" i="7"/>
  <c r="Z803" i="7"/>
  <c r="AA787" i="7"/>
  <c r="Z787" i="7"/>
  <c r="AA771" i="7"/>
  <c r="Z771" i="7"/>
  <c r="AA755" i="7"/>
  <c r="Z755" i="7"/>
  <c r="AA739" i="7"/>
  <c r="Z739" i="7"/>
  <c r="AA723" i="7"/>
  <c r="Z723" i="7"/>
  <c r="AA707" i="7"/>
  <c r="Z707" i="7"/>
  <c r="AA691" i="7"/>
  <c r="Z691" i="7"/>
  <c r="AA675" i="7"/>
  <c r="Z675" i="7"/>
  <c r="AA659" i="7"/>
  <c r="Z659" i="7"/>
  <c r="AA643" i="7"/>
  <c r="Z643" i="7"/>
  <c r="AA627" i="7"/>
  <c r="Z627" i="7"/>
  <c r="AA611" i="7"/>
  <c r="Z611" i="7"/>
  <c r="AA595" i="7"/>
  <c r="Z595" i="7"/>
  <c r="AA579" i="7"/>
  <c r="Z579" i="7"/>
  <c r="AA563" i="7"/>
  <c r="Z563" i="7"/>
  <c r="AA547" i="7"/>
  <c r="Z547" i="7"/>
  <c r="AA531" i="7"/>
  <c r="Z531" i="7"/>
  <c r="AA515" i="7"/>
  <c r="Z515" i="7"/>
  <c r="AA499" i="7"/>
  <c r="Z499" i="7"/>
  <c r="AA483" i="7"/>
  <c r="Z483" i="7"/>
  <c r="AA467" i="7"/>
  <c r="Z467" i="7"/>
  <c r="AA451" i="7"/>
  <c r="Z451" i="7"/>
  <c r="AA435" i="7"/>
  <c r="Z435" i="7"/>
  <c r="AA419" i="7"/>
  <c r="Z419" i="7"/>
  <c r="AA403" i="7"/>
  <c r="Z403" i="7"/>
  <c r="AA387" i="7"/>
  <c r="Z387" i="7"/>
  <c r="AA371" i="7"/>
  <c r="Z371" i="7"/>
  <c r="AA355" i="7"/>
  <c r="Z355" i="7"/>
  <c r="AA339" i="7"/>
  <c r="Z339" i="7"/>
  <c r="AA323" i="7"/>
  <c r="Z323" i="7"/>
  <c r="AA307" i="7"/>
  <c r="Z307" i="7"/>
  <c r="AA291" i="7"/>
  <c r="Z291" i="7"/>
  <c r="AA275" i="7"/>
  <c r="Z275" i="7"/>
  <c r="AA259" i="7"/>
  <c r="Z259" i="7"/>
  <c r="AA243" i="7"/>
  <c r="Z243" i="7"/>
  <c r="AA227" i="7"/>
  <c r="Z227" i="7"/>
  <c r="AA211" i="7"/>
  <c r="Z211" i="7"/>
  <c r="AA195" i="7"/>
  <c r="Z195" i="7"/>
  <c r="AA179" i="7"/>
  <c r="Z179" i="7"/>
  <c r="AA163" i="7"/>
  <c r="Z163" i="7"/>
  <c r="AA147" i="7"/>
  <c r="AA131" i="7"/>
  <c r="Z131" i="7"/>
  <c r="AA115" i="7"/>
  <c r="Z115" i="7"/>
  <c r="AA99" i="7"/>
  <c r="Z99" i="7"/>
  <c r="AA83" i="7"/>
  <c r="Z83" i="7"/>
  <c r="AA67" i="7"/>
  <c r="Z67" i="7"/>
  <c r="AA51" i="7"/>
  <c r="Z51" i="7"/>
  <c r="AA35" i="7"/>
  <c r="Z35" i="7"/>
  <c r="AA19" i="7"/>
  <c r="Z19" i="7"/>
  <c r="AA3" i="7"/>
  <c r="Z3" i="7"/>
  <c r="AA286" i="7"/>
  <c r="AA463" i="7"/>
  <c r="Z1335" i="7"/>
  <c r="AA1320" i="7"/>
  <c r="AA896" i="7"/>
  <c r="AA460" i="7"/>
  <c r="AA1290" i="7"/>
  <c r="Z1290" i="7"/>
  <c r="AA634" i="7"/>
  <c r="AA1385" i="7"/>
  <c r="AA1113" i="7"/>
  <c r="AA1065" i="7"/>
  <c r="Z1065" i="7"/>
  <c r="AA1033" i="7"/>
  <c r="Z1033" i="7"/>
  <c r="AA985" i="7"/>
  <c r="Z985" i="7"/>
  <c r="AA937" i="7"/>
  <c r="Z937" i="7"/>
  <c r="AA921" i="7"/>
  <c r="Z921" i="7"/>
  <c r="AA873" i="7"/>
  <c r="Z873" i="7"/>
  <c r="AA841" i="7"/>
  <c r="Z841" i="7"/>
  <c r="AA777" i="7"/>
  <c r="Z777" i="7"/>
  <c r="AA697" i="7"/>
  <c r="Z697" i="7"/>
  <c r="AA617" i="7"/>
  <c r="Z617" i="7"/>
  <c r="AA473" i="7"/>
  <c r="Z473" i="7"/>
  <c r="AA329" i="7"/>
  <c r="Z329" i="7"/>
  <c r="AA105" i="7"/>
  <c r="Z105" i="7"/>
  <c r="AA1304" i="7"/>
  <c r="AA1240" i="7"/>
  <c r="Z1240" i="7"/>
  <c r="AA1160" i="7"/>
  <c r="Z1160" i="7"/>
  <c r="AA1064" i="7"/>
  <c r="Z1064" i="7"/>
  <c r="AA840" i="7"/>
  <c r="AA808" i="7"/>
  <c r="Z808" i="7"/>
  <c r="AA744" i="7"/>
  <c r="Z744" i="7"/>
  <c r="AA488" i="7"/>
  <c r="Z440" i="7"/>
  <c r="AA440" i="7"/>
  <c r="Z376" i="7"/>
  <c r="AA376" i="7"/>
  <c r="AA296" i="7"/>
  <c r="Z296" i="7"/>
  <c r="AA184" i="7"/>
  <c r="Z184" i="7"/>
  <c r="AA104" i="7"/>
  <c r="Z104" i="7"/>
  <c r="AA8" i="7"/>
  <c r="Z8" i="7"/>
  <c r="AA1271" i="7"/>
  <c r="AA1159" i="7"/>
  <c r="Z1159" i="7"/>
  <c r="AA871" i="7"/>
  <c r="AA839" i="7"/>
  <c r="Z839" i="7"/>
  <c r="AA791" i="7"/>
  <c r="Z791" i="7"/>
  <c r="AA759" i="7"/>
  <c r="Z759" i="7"/>
  <c r="AA727" i="7"/>
  <c r="Z727" i="7"/>
  <c r="AA663" i="7"/>
  <c r="Z663" i="7"/>
  <c r="AA567" i="7"/>
  <c r="Z567" i="7"/>
  <c r="AA1302" i="7"/>
  <c r="AA1222" i="7"/>
  <c r="Z1222" i="7"/>
  <c r="AA1158" i="7"/>
  <c r="Z1158" i="7"/>
  <c r="AA1078" i="7"/>
  <c r="Z1078" i="7"/>
  <c r="AA982" i="7"/>
  <c r="Z982" i="7"/>
  <c r="AA886" i="7"/>
  <c r="Z886" i="7"/>
  <c r="AA806" i="7"/>
  <c r="Z806" i="7"/>
  <c r="AA726" i="7"/>
  <c r="Z726" i="7"/>
  <c r="AA646" i="7"/>
  <c r="Z646" i="7"/>
  <c r="AA598" i="7"/>
  <c r="Z598" i="7"/>
  <c r="AA438" i="7"/>
  <c r="Z438" i="7"/>
  <c r="AA1363" i="7"/>
  <c r="AA1283" i="7"/>
  <c r="AA1267" i="7"/>
  <c r="Z1267" i="7"/>
  <c r="AA1219" i="7"/>
  <c r="AA1203" i="7"/>
  <c r="Z1203" i="7"/>
  <c r="AA1155" i="7"/>
  <c r="Z1075" i="7"/>
  <c r="AA1075" i="7"/>
  <c r="Z1059" i="7"/>
  <c r="AA1059" i="7"/>
  <c r="AA1043" i="7"/>
  <c r="Z1043" i="7"/>
  <c r="AA1011" i="7"/>
  <c r="Z1011" i="7"/>
  <c r="Z963" i="7"/>
  <c r="AA963" i="7"/>
  <c r="AA883" i="7"/>
  <c r="Z883" i="7"/>
  <c r="AA1394" i="7"/>
  <c r="Z1394" i="7"/>
  <c r="AA1378" i="7"/>
  <c r="Z1378" i="7"/>
  <c r="AA1362" i="7"/>
  <c r="AA1346" i="7"/>
  <c r="Z1346" i="7"/>
  <c r="AA1330" i="7"/>
  <c r="AA1314" i="7"/>
  <c r="Z1314" i="7"/>
  <c r="AA1298" i="7"/>
  <c r="Z1298" i="7"/>
  <c r="AA1282" i="7"/>
  <c r="Z1282" i="7"/>
  <c r="Z1266" i="7"/>
  <c r="AA1266" i="7"/>
  <c r="AA1122" i="7"/>
  <c r="AA1058" i="7"/>
  <c r="AA498" i="7"/>
  <c r="Z1239" i="7"/>
  <c r="AA1264" i="7"/>
  <c r="AA892" i="7"/>
  <c r="AA448" i="7"/>
  <c r="AA1209" i="7"/>
  <c r="AA1193" i="7"/>
  <c r="Z1193" i="7"/>
  <c r="AA1161" i="7"/>
  <c r="Z1161" i="7"/>
  <c r="AA1057" i="7"/>
  <c r="Z1219" i="7"/>
  <c r="Z871" i="7"/>
  <c r="AA1261" i="7"/>
  <c r="AA882" i="7"/>
  <c r="AA413" i="7"/>
  <c r="AA879" i="7"/>
  <c r="AA335" i="7"/>
  <c r="AA1082" i="7"/>
  <c r="Z1082" i="7"/>
  <c r="AA986" i="7"/>
  <c r="Z986" i="7"/>
  <c r="AA938" i="7"/>
  <c r="Z938" i="7"/>
  <c r="AA906" i="7"/>
  <c r="Z906" i="7"/>
  <c r="AA842" i="7"/>
  <c r="Z842" i="7"/>
  <c r="AA762" i="7"/>
  <c r="Z762" i="7"/>
  <c r="AA682" i="7"/>
  <c r="Z682" i="7"/>
  <c r="AA602" i="7"/>
  <c r="Z602" i="7"/>
  <c r="Z1178" i="7"/>
  <c r="AA1177" i="7"/>
  <c r="AA681" i="7"/>
  <c r="AA601" i="7"/>
  <c r="Z601" i="7"/>
  <c r="AA425" i="7"/>
  <c r="Z425" i="7"/>
  <c r="AA185" i="7"/>
  <c r="Z185" i="7"/>
  <c r="AA1105" i="7"/>
  <c r="AA1384" i="7"/>
  <c r="Z1384" i="7"/>
  <c r="AA1336" i="7"/>
  <c r="Z1336" i="7"/>
  <c r="AA1256" i="7"/>
  <c r="Z1256" i="7"/>
  <c r="AA1208" i="7"/>
  <c r="Z1208" i="7"/>
  <c r="AA1128" i="7"/>
  <c r="Z1128" i="7"/>
  <c r="AA952" i="7"/>
  <c r="Z952" i="7"/>
  <c r="AA872" i="7"/>
  <c r="Z872" i="7"/>
  <c r="AA776" i="7"/>
  <c r="AA728" i="7"/>
  <c r="Z728" i="7"/>
  <c r="Z664" i="7"/>
  <c r="AA664" i="7"/>
  <c r="AA616" i="7"/>
  <c r="Z616" i="7"/>
  <c r="AA552" i="7"/>
  <c r="Z552" i="7"/>
  <c r="Z408" i="7"/>
  <c r="AA408" i="7"/>
  <c r="AA72" i="7"/>
  <c r="Z922" i="7"/>
  <c r="AA1367" i="7"/>
  <c r="AA1351" i="7"/>
  <c r="Z1351" i="7"/>
  <c r="AA1319" i="7"/>
  <c r="Z1319" i="7"/>
  <c r="AA1287" i="7"/>
  <c r="Z1287" i="7"/>
  <c r="AA1223" i="7"/>
  <c r="Z1223" i="7"/>
  <c r="AA1031" i="7"/>
  <c r="Z1031" i="7"/>
  <c r="AA631" i="7"/>
  <c r="AA487" i="7"/>
  <c r="Z487" i="7"/>
  <c r="AA1318" i="7"/>
  <c r="Z1318" i="7"/>
  <c r="AA1206" i="7"/>
  <c r="Z1206" i="7"/>
  <c r="AA816" i="7"/>
  <c r="Z1375" i="7"/>
  <c r="AA1375" i="7"/>
  <c r="AA1327" i="7"/>
  <c r="Z1327" i="7"/>
  <c r="AA1279" i="7"/>
  <c r="Z1279" i="7"/>
  <c r="AA1215" i="7"/>
  <c r="Z1215" i="7"/>
  <c r="AA1183" i="7"/>
  <c r="Z1183" i="7"/>
  <c r="Z1167" i="7"/>
  <c r="AA1167" i="7"/>
  <c r="AA1135" i="7"/>
  <c r="Z1135" i="7"/>
  <c r="Z1103" i="7"/>
  <c r="AA1103" i="7"/>
  <c r="AA1071" i="7"/>
  <c r="AA1055" i="7"/>
  <c r="Z1055" i="7"/>
  <c r="AA1039" i="7"/>
  <c r="Z1039" i="7"/>
  <c r="AA1007" i="7"/>
  <c r="AA479" i="7"/>
  <c r="Z1112" i="7"/>
  <c r="Z695" i="7"/>
  <c r="Z535" i="7"/>
  <c r="Z377" i="7"/>
  <c r="AA1228" i="7"/>
  <c r="AA846" i="7"/>
  <c r="AA318" i="7"/>
  <c r="AA1404" i="7"/>
  <c r="Z1404" i="7"/>
  <c r="AA1402" i="7"/>
  <c r="Z1402" i="7"/>
  <c r="AA1386" i="7"/>
  <c r="Z1386" i="7"/>
  <c r="AA1370" i="7"/>
  <c r="Z1370" i="7"/>
  <c r="AA1322" i="7"/>
  <c r="Z1322" i="7"/>
  <c r="AA1306" i="7"/>
  <c r="Z1306" i="7"/>
  <c r="AA1210" i="7"/>
  <c r="AA1162" i="7"/>
  <c r="Z1162" i="7"/>
  <c r="AA1130" i="7"/>
  <c r="Z1130" i="7"/>
  <c r="AA1098" i="7"/>
  <c r="Z1098" i="7"/>
  <c r="AA1050" i="7"/>
  <c r="Z1050" i="7"/>
  <c r="AA1018" i="7"/>
  <c r="Z1018" i="7"/>
  <c r="AA954" i="7"/>
  <c r="Z954" i="7"/>
  <c r="AA874" i="7"/>
  <c r="Z874" i="7"/>
  <c r="AA746" i="7"/>
  <c r="Z746" i="7"/>
  <c r="AA730" i="7"/>
  <c r="Z730" i="7"/>
  <c r="AA698" i="7"/>
  <c r="Z698" i="7"/>
  <c r="AA666" i="7"/>
  <c r="Z666" i="7"/>
  <c r="AA618" i="7"/>
  <c r="Z618" i="7"/>
  <c r="AA1241" i="7"/>
  <c r="AA1225" i="7"/>
  <c r="Z1225" i="7"/>
  <c r="AA633" i="7"/>
  <c r="AA553" i="7"/>
  <c r="Z553" i="7"/>
  <c r="AA521" i="7"/>
  <c r="Z521" i="7"/>
  <c r="AA489" i="7"/>
  <c r="Z489" i="7"/>
  <c r="AA409" i="7"/>
  <c r="Z409" i="7"/>
  <c r="AA361" i="7"/>
  <c r="Z361" i="7"/>
  <c r="AA313" i="7"/>
  <c r="Z313" i="7"/>
  <c r="AA233" i="7"/>
  <c r="Z233" i="7"/>
  <c r="AA169" i="7"/>
  <c r="Z169" i="7"/>
  <c r="AA89" i="7"/>
  <c r="Z89" i="7"/>
  <c r="AA25" i="7"/>
  <c r="Z25" i="7"/>
  <c r="AA1192" i="7"/>
  <c r="Z1192" i="7"/>
  <c r="Z888" i="7"/>
  <c r="AA888" i="7"/>
  <c r="AA216" i="7"/>
  <c r="AA56" i="7"/>
  <c r="Z56" i="7"/>
  <c r="AA1024" i="7"/>
  <c r="AA1399" i="7"/>
  <c r="Z1399" i="7"/>
  <c r="AA1143" i="7"/>
  <c r="AA1047" i="7"/>
  <c r="Z1047" i="7"/>
  <c r="AA855" i="7"/>
  <c r="Z855" i="7"/>
  <c r="AA583" i="7"/>
  <c r="Z583" i="7"/>
  <c r="AA1398" i="7"/>
  <c r="AA1350" i="7"/>
  <c r="Z1350" i="7"/>
  <c r="AA960" i="7"/>
  <c r="AA336" i="7"/>
  <c r="Z696" i="7"/>
  <c r="AA1359" i="7"/>
  <c r="Z1359" i="7"/>
  <c r="Z1343" i="7"/>
  <c r="AA1343" i="7"/>
  <c r="Z1311" i="7"/>
  <c r="AA1311" i="7"/>
  <c r="AA1263" i="7"/>
  <c r="Z1263" i="7"/>
  <c r="AA1247" i="7"/>
  <c r="Z1247" i="7"/>
  <c r="AA1231" i="7"/>
  <c r="Z1231" i="7"/>
  <c r="Z1199" i="7"/>
  <c r="AA1199" i="7"/>
  <c r="AA1087" i="7"/>
  <c r="Z1087" i="7"/>
  <c r="AA114" i="7"/>
  <c r="Z1395" i="7"/>
  <c r="Z1305" i="7"/>
  <c r="Z1209" i="7"/>
  <c r="Z1110" i="7"/>
  <c r="Z969" i="7"/>
  <c r="Z840" i="7"/>
  <c r="Z681" i="7"/>
  <c r="AA1212" i="7"/>
  <c r="AA764" i="7"/>
  <c r="AA280" i="7"/>
  <c r="AA1226" i="7"/>
  <c r="Z1226" i="7"/>
  <c r="AA1194" i="7"/>
  <c r="Z1194" i="7"/>
  <c r="AA1114" i="7"/>
  <c r="Z1114" i="7"/>
  <c r="AA1034" i="7"/>
  <c r="Z1034" i="7"/>
  <c r="AA970" i="7"/>
  <c r="Z970" i="7"/>
  <c r="AA810" i="7"/>
  <c r="Z810" i="7"/>
  <c r="AA1273" i="7"/>
  <c r="AA585" i="7"/>
  <c r="AA457" i="7"/>
  <c r="Z457" i="7"/>
  <c r="AA297" i="7"/>
  <c r="Z297" i="7"/>
  <c r="AA153" i="7"/>
  <c r="Z153" i="7"/>
  <c r="AA41" i="7"/>
  <c r="Z41" i="7"/>
  <c r="AA625" i="7"/>
  <c r="AA1288" i="7"/>
  <c r="Z1288" i="7"/>
  <c r="AA1176" i="7"/>
  <c r="Z1176" i="7"/>
  <c r="AA1096" i="7"/>
  <c r="Z1096" i="7"/>
  <c r="AA984" i="7"/>
  <c r="Z984" i="7"/>
  <c r="AA856" i="7"/>
  <c r="Z856" i="7"/>
  <c r="AA648" i="7"/>
  <c r="AA264" i="7"/>
  <c r="AA88" i="7"/>
  <c r="Z88" i="7"/>
  <c r="AA604" i="7"/>
  <c r="AA1175" i="7"/>
  <c r="AA1111" i="7"/>
  <c r="Z1111" i="7"/>
  <c r="AA1079" i="7"/>
  <c r="Z1079" i="7"/>
  <c r="AA999" i="7"/>
  <c r="Z999" i="7"/>
  <c r="AA887" i="7"/>
  <c r="Z887" i="7"/>
  <c r="AA775" i="7"/>
  <c r="Z775" i="7"/>
  <c r="AA599" i="7"/>
  <c r="Z599" i="7"/>
  <c r="AA1334" i="7"/>
  <c r="AA1254" i="7"/>
  <c r="Z1254" i="7"/>
  <c r="AA656" i="7"/>
  <c r="Z1113" i="7"/>
  <c r="Z214" i="7"/>
  <c r="Z1391" i="7"/>
  <c r="AA1391" i="7"/>
  <c r="AA1295" i="7"/>
  <c r="Z1295" i="7"/>
  <c r="AA1151" i="7"/>
  <c r="Z1151" i="7"/>
  <c r="AA829" i="7"/>
  <c r="AA45" i="7"/>
  <c r="Z1388" i="7"/>
  <c r="Z1304" i="7"/>
  <c r="Z1207" i="7"/>
  <c r="Z1081" i="7"/>
  <c r="Z680" i="7"/>
  <c r="Z520" i="7"/>
  <c r="AA1152" i="7"/>
  <c r="AA760" i="7"/>
  <c r="AA205" i="7"/>
  <c r="AA332" i="7"/>
  <c r="AA236" i="7"/>
  <c r="Z1302" i="7"/>
  <c r="Z1187" i="7"/>
  <c r="Z1080" i="7"/>
  <c r="Z826" i="7"/>
  <c r="Z24" i="7"/>
  <c r="AA1139" i="7"/>
  <c r="AA720" i="7"/>
  <c r="AA146" i="7"/>
  <c r="AA1372" i="7"/>
  <c r="Z1372" i="7"/>
  <c r="AA1340" i="7"/>
  <c r="Z1340" i="7"/>
  <c r="AA1324" i="7"/>
  <c r="Z1324" i="7"/>
  <c r="AA1308" i="7"/>
  <c r="AA1292" i="7"/>
  <c r="Z1292" i="7"/>
  <c r="AA1276" i="7"/>
  <c r="AA1260" i="7"/>
  <c r="Z1260" i="7"/>
  <c r="AA636" i="7"/>
  <c r="AA1403" i="7"/>
  <c r="Z1403" i="7"/>
  <c r="AA1387" i="7"/>
  <c r="AA1371" i="7"/>
  <c r="Z1371" i="7"/>
  <c r="AA1355" i="7"/>
  <c r="AA1339" i="7"/>
  <c r="Z1339" i="7"/>
  <c r="AA1323" i="7"/>
  <c r="Z1323" i="7"/>
  <c r="AA1307" i="7"/>
  <c r="AA1291" i="7"/>
  <c r="Z1291" i="7"/>
  <c r="AA1275" i="7"/>
  <c r="Z1275" i="7"/>
  <c r="AA1259" i="7"/>
  <c r="Z1259" i="7"/>
  <c r="AA1243" i="7"/>
  <c r="Z1243" i="7"/>
  <c r="AA1227" i="7"/>
  <c r="Z1227" i="7"/>
  <c r="AA1211" i="7"/>
  <c r="Z1211" i="7"/>
  <c r="AA1195" i="7"/>
  <c r="Z1195" i="7"/>
  <c r="Z1385" i="7"/>
  <c r="Z1283" i="7"/>
  <c r="Z1077" i="7"/>
  <c r="Z824" i="7"/>
  <c r="Z648" i="7"/>
  <c r="Z488" i="7"/>
  <c r="AA1119" i="7"/>
  <c r="AA719" i="7"/>
  <c r="AA141" i="7"/>
  <c r="AA334" i="7"/>
  <c r="AA189" i="7"/>
  <c r="AA423" i="7"/>
  <c r="Z423" i="7"/>
  <c r="AA407" i="7"/>
  <c r="AA391" i="7"/>
  <c r="Z391" i="7"/>
  <c r="AA375" i="7"/>
  <c r="Z375" i="7"/>
  <c r="AA359" i="7"/>
  <c r="AA343" i="7"/>
  <c r="AA327" i="7"/>
  <c r="Z327" i="7"/>
  <c r="AA311" i="7"/>
  <c r="AA295" i="7"/>
  <c r="Z295" i="7"/>
  <c r="AA279" i="7"/>
  <c r="Z279" i="7"/>
  <c r="AA263" i="7"/>
  <c r="Z263" i="7"/>
  <c r="AA247" i="7"/>
  <c r="Z247" i="7"/>
  <c r="AA231" i="7"/>
  <c r="AA215" i="7"/>
  <c r="Z215" i="7"/>
  <c r="AA199" i="7"/>
  <c r="Z199" i="7"/>
  <c r="AA183" i="7"/>
  <c r="AA167" i="7"/>
  <c r="Z167" i="7"/>
  <c r="AA151" i="7"/>
  <c r="Z151" i="7"/>
  <c r="AA135" i="7"/>
  <c r="Z135" i="7"/>
  <c r="AA119" i="7"/>
  <c r="Z119" i="7"/>
  <c r="AA103" i="7"/>
  <c r="AA87" i="7"/>
  <c r="Z87" i="7"/>
  <c r="AA71" i="7"/>
  <c r="AA55" i="7"/>
  <c r="Z55" i="7"/>
  <c r="AA39" i="7"/>
  <c r="Z39" i="7"/>
  <c r="AA23" i="7"/>
  <c r="AA7" i="7"/>
  <c r="Z960" i="7"/>
  <c r="Z829" i="7"/>
  <c r="Z636" i="7"/>
  <c r="Z23" i="7"/>
  <c r="AA1250" i="7"/>
  <c r="AA1005" i="7"/>
  <c r="AA752" i="7"/>
  <c r="AA592" i="7"/>
  <c r="AA462" i="7"/>
  <c r="AA143" i="7"/>
  <c r="AA1380" i="7"/>
  <c r="Z1380" i="7"/>
  <c r="AA1364" i="7"/>
  <c r="Z1364" i="7"/>
  <c r="AA1348" i="7"/>
  <c r="Z1348" i="7"/>
  <c r="AA1332" i="7"/>
  <c r="Z1332" i="7"/>
  <c r="AA1316" i="7"/>
  <c r="Z1316" i="7"/>
  <c r="AA1300" i="7"/>
  <c r="Z1300" i="7"/>
  <c r="AA1284" i="7"/>
  <c r="Z1284" i="7"/>
  <c r="AA1268" i="7"/>
  <c r="Z1268" i="7"/>
  <c r="AA1252" i="7"/>
  <c r="Z1252" i="7"/>
  <c r="AA1236" i="7"/>
  <c r="Z1236" i="7"/>
  <c r="AA1220" i="7"/>
  <c r="Z1220" i="7"/>
  <c r="AA1204" i="7"/>
  <c r="Z1204" i="7"/>
  <c r="AA1188" i="7"/>
  <c r="Z1188" i="7"/>
  <c r="AA1172" i="7"/>
  <c r="Z1172" i="7"/>
  <c r="AA1156" i="7"/>
  <c r="Z1156" i="7"/>
  <c r="AA1140" i="7"/>
  <c r="Z1140" i="7"/>
  <c r="AA1124" i="7"/>
  <c r="Z1124" i="7"/>
  <c r="AA1108" i="7"/>
  <c r="Z1108" i="7"/>
  <c r="AA1092" i="7"/>
  <c r="AA1076" i="7"/>
  <c r="AA1060" i="7"/>
  <c r="AA1044" i="7"/>
  <c r="AA1028" i="7"/>
  <c r="Z1028" i="7"/>
  <c r="AA1012" i="7"/>
  <c r="AA996" i="7"/>
  <c r="AA980" i="7"/>
  <c r="Z980" i="7"/>
  <c r="AA964" i="7"/>
  <c r="Z964" i="7"/>
  <c r="AA948" i="7"/>
  <c r="Z948" i="7"/>
  <c r="AA932" i="7"/>
  <c r="Z932" i="7"/>
  <c r="AA916" i="7"/>
  <c r="Z916" i="7"/>
  <c r="AA900" i="7"/>
  <c r="AA884" i="7"/>
  <c r="AA868" i="7"/>
  <c r="Z868" i="7"/>
  <c r="AA852" i="7"/>
  <c r="AA836" i="7"/>
  <c r="Z836" i="7"/>
  <c r="AA820" i="7"/>
  <c r="Z820" i="7"/>
  <c r="AA804" i="7"/>
  <c r="AA788" i="7"/>
  <c r="AA772" i="7"/>
  <c r="Z772" i="7"/>
  <c r="AA756" i="7"/>
  <c r="Z756" i="7"/>
  <c r="AA740" i="7"/>
  <c r="AA724" i="7"/>
  <c r="AA708" i="7"/>
  <c r="Z708" i="7"/>
  <c r="AA692" i="7"/>
  <c r="Z692" i="7"/>
  <c r="AA676" i="7"/>
  <c r="AA660" i="7"/>
  <c r="AA644" i="7"/>
  <c r="Z644" i="7"/>
  <c r="AA628" i="7"/>
  <c r="Z628" i="7"/>
  <c r="AA612" i="7"/>
  <c r="AA596" i="7"/>
  <c r="Z596" i="7"/>
  <c r="AA580" i="7"/>
  <c r="Z580" i="7"/>
  <c r="AA564" i="7"/>
  <c r="AA548" i="7"/>
  <c r="AA532" i="7"/>
  <c r="Z532" i="7"/>
  <c r="AA516" i="7"/>
  <c r="Z516" i="7"/>
  <c r="AA500" i="7"/>
  <c r="Z500" i="7"/>
  <c r="AA484" i="7"/>
  <c r="Z484" i="7"/>
  <c r="AA468" i="7"/>
  <c r="Z468" i="7"/>
  <c r="AA452" i="7"/>
  <c r="AA436" i="7"/>
  <c r="Z436" i="7"/>
  <c r="AA420" i="7"/>
  <c r="AA404" i="7"/>
  <c r="Z404" i="7"/>
  <c r="AA388" i="7"/>
  <c r="Z388" i="7"/>
  <c r="AA372" i="7"/>
  <c r="Z372" i="7"/>
  <c r="AA356" i="7"/>
  <c r="Z356" i="7"/>
  <c r="AA340" i="7"/>
  <c r="Z340" i="7"/>
  <c r="AA324" i="7"/>
  <c r="Z324" i="7"/>
  <c r="AA308" i="7"/>
  <c r="Z308" i="7"/>
  <c r="AA292" i="7"/>
  <c r="Z292" i="7"/>
  <c r="AA276" i="7"/>
  <c r="Z276" i="7"/>
  <c r="AA260" i="7"/>
  <c r="Z260" i="7"/>
  <c r="AA244" i="7"/>
  <c r="Z244" i="7"/>
  <c r="AA228" i="7"/>
  <c r="Z228" i="7"/>
  <c r="AA212" i="7"/>
  <c r="Z212" i="7"/>
  <c r="AA196" i="7"/>
  <c r="Z196" i="7"/>
  <c r="AA180" i="7"/>
  <c r="Z180" i="7"/>
  <c r="AA164" i="7"/>
  <c r="Z164" i="7"/>
  <c r="AA148" i="7"/>
  <c r="Z148" i="7"/>
  <c r="AA132" i="7"/>
  <c r="Z132" i="7"/>
  <c r="AA116" i="7"/>
  <c r="Z116" i="7"/>
  <c r="AA100" i="7"/>
  <c r="Z100" i="7"/>
  <c r="AA84" i="7"/>
  <c r="Z84" i="7"/>
  <c r="AA68" i="7"/>
  <c r="Z68" i="7"/>
  <c r="AA52" i="7"/>
  <c r="Z52" i="7"/>
  <c r="AA36" i="7"/>
  <c r="Z36" i="7"/>
  <c r="AA20" i="7"/>
  <c r="Z20" i="7"/>
  <c r="AA4" i="7"/>
  <c r="Z4" i="7"/>
  <c r="Z724" i="7"/>
  <c r="Z71" i="7"/>
  <c r="AA1345" i="7"/>
  <c r="AA1216" i="7"/>
  <c r="AA1106" i="7"/>
  <c r="AA847" i="7"/>
  <c r="AA716" i="7"/>
  <c r="AA576" i="7"/>
  <c r="AA445" i="7"/>
  <c r="AA285" i="7"/>
  <c r="AA142" i="7"/>
  <c r="AA1218" i="7"/>
  <c r="Z1218" i="7"/>
  <c r="AA1186" i="7"/>
  <c r="Z1186" i="7"/>
  <c r="AA1042" i="7"/>
  <c r="AA978" i="7"/>
  <c r="AA930" i="7"/>
  <c r="Z930" i="7"/>
  <c r="AA914" i="7"/>
  <c r="AA898" i="7"/>
  <c r="Z898" i="7"/>
  <c r="AA866" i="7"/>
  <c r="AA850" i="7"/>
  <c r="Z850" i="7"/>
  <c r="AA834" i="7"/>
  <c r="Z834" i="7"/>
  <c r="Z818" i="7"/>
  <c r="AA818" i="7"/>
  <c r="AA802" i="7"/>
  <c r="Z802" i="7"/>
  <c r="AA770" i="7"/>
  <c r="Z770" i="7"/>
  <c r="Z754" i="7"/>
  <c r="AA754" i="7"/>
  <c r="AA738" i="7"/>
  <c r="Z738" i="7"/>
  <c r="AA722" i="7"/>
  <c r="Z722" i="7"/>
  <c r="AA706" i="7"/>
  <c r="Z706" i="7"/>
  <c r="Z690" i="7"/>
  <c r="AA690" i="7"/>
  <c r="AA674" i="7"/>
  <c r="Z674" i="7"/>
  <c r="AA642" i="7"/>
  <c r="Z642" i="7"/>
  <c r="Z626" i="7"/>
  <c r="AA626" i="7"/>
  <c r="AA610" i="7"/>
  <c r="Z610" i="7"/>
  <c r="AA594" i="7"/>
  <c r="Z594" i="7"/>
  <c r="AA578" i="7"/>
  <c r="Z578" i="7"/>
  <c r="Z562" i="7"/>
  <c r="AA562" i="7"/>
  <c r="AA546" i="7"/>
  <c r="Z530" i="7"/>
  <c r="AA530" i="7"/>
  <c r="AA514" i="7"/>
  <c r="AA482" i="7"/>
  <c r="Z482" i="7"/>
  <c r="AA466" i="7"/>
  <c r="Z466" i="7"/>
  <c r="AA450" i="7"/>
  <c r="AA434" i="7"/>
  <c r="AA418" i="7"/>
  <c r="Z418" i="7"/>
  <c r="AA386" i="7"/>
  <c r="Z370" i="7"/>
  <c r="AA370" i="7"/>
  <c r="AA354" i="7"/>
  <c r="Z354" i="7"/>
  <c r="AA338" i="7"/>
  <c r="Z338" i="7"/>
  <c r="AA322" i="7"/>
  <c r="Z322" i="7"/>
  <c r="AA306" i="7"/>
  <c r="Z306" i="7"/>
  <c r="AA290" i="7"/>
  <c r="Z290" i="7"/>
  <c r="AA258" i="7"/>
  <c r="Z242" i="7"/>
  <c r="AA242" i="7"/>
  <c r="AA226" i="7"/>
  <c r="Z226" i="7"/>
  <c r="AA210" i="7"/>
  <c r="Z210" i="7"/>
  <c r="AA194" i="7"/>
  <c r="Z194" i="7"/>
  <c r="AA178" i="7"/>
  <c r="Z178" i="7"/>
  <c r="Z412" i="7"/>
  <c r="Z7" i="7"/>
  <c r="AA962" i="7"/>
  <c r="AA832" i="7"/>
  <c r="AA703" i="7"/>
  <c r="AA572" i="7"/>
  <c r="AA274" i="7"/>
  <c r="AA140" i="7"/>
  <c r="AA1154" i="7"/>
  <c r="Z1154" i="7"/>
  <c r="AA1138" i="7"/>
  <c r="Z1138" i="7"/>
  <c r="AA1090" i="7"/>
  <c r="Z1090" i="7"/>
  <c r="AA1074" i="7"/>
  <c r="AA1026" i="7"/>
  <c r="AA1010" i="7"/>
  <c r="Z1010" i="7"/>
  <c r="AA994" i="7"/>
  <c r="AA1377" i="7"/>
  <c r="Z1377" i="7"/>
  <c r="AA1361" i="7"/>
  <c r="Z1361" i="7"/>
  <c r="AA1329" i="7"/>
  <c r="Z1329" i="7"/>
  <c r="AA1297" i="7"/>
  <c r="Z1297" i="7"/>
  <c r="AA1281" i="7"/>
  <c r="Z1281" i="7"/>
  <c r="Z1249" i="7"/>
  <c r="AA1249" i="7"/>
  <c r="AA1233" i="7"/>
  <c r="Z1233" i="7"/>
  <c r="AA1217" i="7"/>
  <c r="Z1217" i="7"/>
  <c r="Z1201" i="7"/>
  <c r="AA1201" i="7"/>
  <c r="AA1185" i="7"/>
  <c r="Z1185" i="7"/>
  <c r="AA1153" i="7"/>
  <c r="Z1153" i="7"/>
  <c r="AA1137" i="7"/>
  <c r="Z1137" i="7"/>
  <c r="AA1121" i="7"/>
  <c r="Z1121" i="7"/>
  <c r="AA1089" i="7"/>
  <c r="Z1089" i="7"/>
  <c r="AA1073" i="7"/>
  <c r="Z1073" i="7"/>
  <c r="AA1041" i="7"/>
  <c r="AA1025" i="7"/>
  <c r="AA1009" i="7"/>
  <c r="AA993" i="7"/>
  <c r="Z993" i="7"/>
  <c r="AA977" i="7"/>
  <c r="AA961" i="7"/>
  <c r="AA929" i="7"/>
  <c r="Z929" i="7"/>
  <c r="AA913" i="7"/>
  <c r="Z913" i="7"/>
  <c r="AA897" i="7"/>
  <c r="Z897" i="7"/>
  <c r="AA881" i="7"/>
  <c r="AA865" i="7"/>
  <c r="AA849" i="7"/>
  <c r="Z849" i="7"/>
  <c r="AA833" i="7"/>
  <c r="Z833" i="7"/>
  <c r="Z817" i="7"/>
  <c r="AA817" i="7"/>
  <c r="AA801" i="7"/>
  <c r="Z801" i="7"/>
  <c r="AA769" i="7"/>
  <c r="Z769" i="7"/>
  <c r="Z753" i="7"/>
  <c r="AA753" i="7"/>
  <c r="AA737" i="7"/>
  <c r="Z737" i="7"/>
  <c r="AA721" i="7"/>
  <c r="Z721" i="7"/>
  <c r="AA705" i="7"/>
  <c r="Z705" i="7"/>
  <c r="Z689" i="7"/>
  <c r="AA689" i="7"/>
  <c r="AA673" i="7"/>
  <c r="Z673" i="7"/>
  <c r="Z657" i="7"/>
  <c r="AA657" i="7"/>
  <c r="AA641" i="7"/>
  <c r="Z641" i="7"/>
  <c r="AA609" i="7"/>
  <c r="Z609" i="7"/>
  <c r="Z593" i="7"/>
  <c r="AA593" i="7"/>
  <c r="AA577" i="7"/>
  <c r="Z577" i="7"/>
  <c r="Z561" i="7"/>
  <c r="AA561" i="7"/>
  <c r="AA545" i="7"/>
  <c r="Z545" i="7"/>
  <c r="AA513" i="7"/>
  <c r="Z513" i="7"/>
  <c r="Z497" i="7"/>
  <c r="AA497" i="7"/>
  <c r="AA481" i="7"/>
  <c r="Z481" i="7"/>
  <c r="Z465" i="7"/>
  <c r="AA465" i="7"/>
  <c r="AA449" i="7"/>
  <c r="Z449" i="7"/>
  <c r="Z433" i="7"/>
  <c r="AA433" i="7"/>
  <c r="AA417" i="7"/>
  <c r="Z417" i="7"/>
  <c r="AA385" i="7"/>
  <c r="Z385" i="7"/>
  <c r="Z369" i="7"/>
  <c r="AA369" i="7"/>
  <c r="AA353" i="7"/>
  <c r="Z353" i="7"/>
  <c r="Z337" i="7"/>
  <c r="AA337" i="7"/>
  <c r="AA321" i="7"/>
  <c r="Z321" i="7"/>
  <c r="Z305" i="7"/>
  <c r="AA305" i="7"/>
  <c r="AA289" i="7"/>
  <c r="Z289" i="7"/>
  <c r="Z1025" i="7"/>
  <c r="Z816" i="7"/>
  <c r="AA1396" i="7"/>
  <c r="AA1313" i="7"/>
  <c r="AA831" i="7"/>
  <c r="AA702" i="7"/>
  <c r="AA540" i="7"/>
  <c r="AA402" i="7"/>
  <c r="AA273" i="7"/>
  <c r="AA1234" i="7"/>
  <c r="Z1234" i="7"/>
  <c r="AA1392" i="7"/>
  <c r="Z1392" i="7"/>
  <c r="AA1376" i="7"/>
  <c r="Z1376" i="7"/>
  <c r="AA1360" i="7"/>
  <c r="Z1360" i="7"/>
  <c r="Z1344" i="7"/>
  <c r="AA1344" i="7"/>
  <c r="AA1328" i="7"/>
  <c r="Z1328" i="7"/>
  <c r="AA1296" i="7"/>
  <c r="Z1296" i="7"/>
  <c r="AA1280" i="7"/>
  <c r="Z1280" i="7"/>
  <c r="Z1248" i="7"/>
  <c r="AA1248" i="7"/>
  <c r="AA1232" i="7"/>
  <c r="Z1232" i="7"/>
  <c r="Z1200" i="7"/>
  <c r="AA1200" i="7"/>
  <c r="AA1184" i="7"/>
  <c r="Z1184" i="7"/>
  <c r="Z1168" i="7"/>
  <c r="AA1168" i="7"/>
  <c r="AA1136" i="7"/>
  <c r="Z1136" i="7"/>
  <c r="AA1120" i="7"/>
  <c r="Z1120" i="7"/>
  <c r="AA1104" i="7"/>
  <c r="Z1104" i="7"/>
  <c r="AA1088" i="7"/>
  <c r="AA1072" i="7"/>
  <c r="Z1072" i="7"/>
  <c r="AA1040" i="7"/>
  <c r="AA1008" i="7"/>
  <c r="AA976" i="7"/>
  <c r="Z976" i="7"/>
  <c r="Z944" i="7"/>
  <c r="AA944" i="7"/>
  <c r="AA928" i="7"/>
  <c r="Z928" i="7"/>
  <c r="AA880" i="7"/>
  <c r="Z880" i="7"/>
  <c r="AA864" i="7"/>
  <c r="AA848" i="7"/>
  <c r="AA800" i="7"/>
  <c r="AA784" i="7"/>
  <c r="AA736" i="7"/>
  <c r="AA688" i="7"/>
  <c r="AA672" i="7"/>
  <c r="AA624" i="7"/>
  <c r="Z608" i="7"/>
  <c r="AA608" i="7"/>
  <c r="AA560" i="7"/>
  <c r="Z560" i="7"/>
  <c r="Z544" i="7"/>
  <c r="AA544" i="7"/>
  <c r="AA496" i="7"/>
  <c r="AA480" i="7"/>
  <c r="Z464" i="7"/>
  <c r="AA464" i="7"/>
  <c r="AA432" i="7"/>
  <c r="AA416" i="7"/>
  <c r="Z416" i="7"/>
  <c r="AA384" i="7"/>
  <c r="Z384" i="7"/>
  <c r="Z368" i="7"/>
  <c r="AA368" i="7"/>
  <c r="Z320" i="7"/>
  <c r="AA320" i="7"/>
  <c r="AA304" i="7"/>
  <c r="AA288" i="7"/>
  <c r="AA256" i="7"/>
  <c r="Z256" i="7"/>
  <c r="AA240" i="7"/>
  <c r="AA208" i="7"/>
  <c r="AA192" i="7"/>
  <c r="Z192" i="7"/>
  <c r="AA176" i="7"/>
  <c r="AA160" i="7"/>
  <c r="Z160" i="7"/>
  <c r="AA144" i="7"/>
  <c r="Z144" i="7"/>
  <c r="AA128" i="7"/>
  <c r="AA112" i="7"/>
  <c r="Z112" i="7"/>
  <c r="AA96" i="7"/>
  <c r="Z96" i="7"/>
  <c r="AA80" i="7"/>
  <c r="AA64" i="7"/>
  <c r="Z64" i="7"/>
  <c r="AA48" i="7"/>
  <c r="AA32" i="7"/>
  <c r="Z32" i="7"/>
  <c r="Z304" i="7"/>
  <c r="Z183" i="7"/>
  <c r="Z48" i="7"/>
  <c r="AA1312" i="7"/>
  <c r="AA1202" i="7"/>
  <c r="AA1069" i="7"/>
  <c r="AA830" i="7"/>
  <c r="AA401" i="7"/>
  <c r="AA272" i="7"/>
  <c r="AA94" i="7"/>
  <c r="AA943" i="7"/>
  <c r="AA895" i="7"/>
  <c r="Z895" i="7"/>
  <c r="AA863" i="7"/>
  <c r="AA815" i="7"/>
  <c r="Z815" i="7"/>
  <c r="AA799" i="7"/>
  <c r="AA767" i="7"/>
  <c r="Z767" i="7"/>
  <c r="AA751" i="7"/>
  <c r="Z751" i="7"/>
  <c r="AA735" i="7"/>
  <c r="AA687" i="7"/>
  <c r="Z687" i="7"/>
  <c r="AA671" i="7"/>
  <c r="AA639" i="7"/>
  <c r="Z639" i="7"/>
  <c r="AA623" i="7"/>
  <c r="Z623" i="7"/>
  <c r="AA607" i="7"/>
  <c r="Z591" i="7"/>
  <c r="AA591" i="7"/>
  <c r="AA559" i="7"/>
  <c r="Z559" i="7"/>
  <c r="AA543" i="7"/>
  <c r="AA511" i="7"/>
  <c r="Z511" i="7"/>
  <c r="AA495" i="7"/>
  <c r="AA447" i="7"/>
  <c r="Z447" i="7"/>
  <c r="AA431" i="7"/>
  <c r="Z431" i="7"/>
  <c r="AA415" i="7"/>
  <c r="Z415" i="7"/>
  <c r="AA383" i="7"/>
  <c r="Z367" i="7"/>
  <c r="AA367" i="7"/>
  <c r="Z319" i="7"/>
  <c r="AA319" i="7"/>
  <c r="AA303" i="7"/>
  <c r="Z303" i="7"/>
  <c r="AA287" i="7"/>
  <c r="Z271" i="7"/>
  <c r="AA271" i="7"/>
  <c r="AA255" i="7"/>
  <c r="Z255" i="7"/>
  <c r="AA239" i="7"/>
  <c r="Z223" i="7"/>
  <c r="AA223" i="7"/>
  <c r="AA191" i="7"/>
  <c r="Z191" i="7"/>
  <c r="AA175" i="7"/>
  <c r="Z175" i="7"/>
  <c r="AA159" i="7"/>
  <c r="AA127" i="7"/>
  <c r="Z111" i="7"/>
  <c r="AA111" i="7"/>
  <c r="AA95" i="7"/>
  <c r="Z95" i="7"/>
  <c r="AA79" i="7"/>
  <c r="AA63" i="7"/>
  <c r="AA31" i="7"/>
  <c r="Z1060" i="7"/>
  <c r="Z978" i="7"/>
  <c r="Z660" i="7"/>
  <c r="Z514" i="7"/>
  <c r="Z407" i="7"/>
  <c r="Z359" i="7"/>
  <c r="AA1393" i="7"/>
  <c r="AA1068" i="7"/>
  <c r="AA529" i="7"/>
  <c r="AA400" i="7"/>
  <c r="AA252" i="7"/>
  <c r="AA92" i="7"/>
  <c r="AA991" i="7"/>
  <c r="AA959" i="7"/>
  <c r="Z959" i="7"/>
  <c r="Z1294" i="7"/>
  <c r="AA1294" i="7"/>
  <c r="AA1230" i="7"/>
  <c r="Z1230" i="7"/>
  <c r="AA1214" i="7"/>
  <c r="Z1214" i="7"/>
  <c r="Z1198" i="7"/>
  <c r="AA1198" i="7"/>
  <c r="AA1182" i="7"/>
  <c r="Z1182" i="7"/>
  <c r="AA1150" i="7"/>
  <c r="Z1150" i="7"/>
  <c r="AA1134" i="7"/>
  <c r="Z1134" i="7"/>
  <c r="AA1118" i="7"/>
  <c r="Z1118" i="7"/>
  <c r="AA1102" i="7"/>
  <c r="Z1102" i="7"/>
  <c r="AA1086" i="7"/>
  <c r="Z1086" i="7"/>
  <c r="AA1070" i="7"/>
  <c r="Z1070" i="7"/>
  <c r="AA1054" i="7"/>
  <c r="AA1022" i="7"/>
  <c r="Z1022" i="7"/>
  <c r="AA1006" i="7"/>
  <c r="AA990" i="7"/>
  <c r="AA974" i="7"/>
  <c r="AA958" i="7"/>
  <c r="AA942" i="7"/>
  <c r="Z910" i="7"/>
  <c r="AA910" i="7"/>
  <c r="AA894" i="7"/>
  <c r="Z894" i="7"/>
  <c r="AA878" i="7"/>
  <c r="AA862" i="7"/>
  <c r="Z862" i="7"/>
  <c r="AA814" i="7"/>
  <c r="Z814" i="7"/>
  <c r="AA798" i="7"/>
  <c r="Z798" i="7"/>
  <c r="AA782" i="7"/>
  <c r="AA766" i="7"/>
  <c r="Z766" i="7"/>
  <c r="AA750" i="7"/>
  <c r="Z750" i="7"/>
  <c r="AA734" i="7"/>
  <c r="Z734" i="7"/>
  <c r="AA718" i="7"/>
  <c r="AA686" i="7"/>
  <c r="Z686" i="7"/>
  <c r="AA670" i="7"/>
  <c r="Z670" i="7"/>
  <c r="AA654" i="7"/>
  <c r="AA638" i="7"/>
  <c r="Z638" i="7"/>
  <c r="AA622" i="7"/>
  <c r="Z622" i="7"/>
  <c r="AA606" i="7"/>
  <c r="Z574" i="7"/>
  <c r="AA574" i="7"/>
  <c r="AA558" i="7"/>
  <c r="Z558" i="7"/>
  <c r="Z542" i="7"/>
  <c r="AA542" i="7"/>
  <c r="AA526" i="7"/>
  <c r="AA510" i="7"/>
  <c r="Z510" i="7"/>
  <c r="AA494" i="7"/>
  <c r="Z494" i="7"/>
  <c r="AA478" i="7"/>
  <c r="Z478" i="7"/>
  <c r="AA446" i="7"/>
  <c r="Z446" i="7"/>
  <c r="AA430" i="7"/>
  <c r="AA414" i="7"/>
  <c r="Z414" i="7"/>
  <c r="AA398" i="7"/>
  <c r="AA382" i="7"/>
  <c r="Z366" i="7"/>
  <c r="AA366" i="7"/>
  <c r="AA350" i="7"/>
  <c r="AA302" i="7"/>
  <c r="Z302" i="7"/>
  <c r="AA270" i="7"/>
  <c r="Z270" i="7"/>
  <c r="AA254" i="7"/>
  <c r="AA238" i="7"/>
  <c r="Z238" i="7"/>
  <c r="AA222" i="7"/>
  <c r="Z222" i="7"/>
  <c r="AA190" i="7"/>
  <c r="AA174" i="7"/>
  <c r="Z174" i="7"/>
  <c r="AA158" i="7"/>
  <c r="AA126" i="7"/>
  <c r="AA110" i="7"/>
  <c r="Z110" i="7"/>
  <c r="AA46" i="7"/>
  <c r="Z46" i="7"/>
  <c r="Z1058" i="7"/>
  <c r="Z977" i="7"/>
  <c r="Z900" i="7"/>
  <c r="Z852" i="7"/>
  <c r="Z656" i="7"/>
  <c r="Z612" i="7"/>
  <c r="Z564" i="7"/>
  <c r="Z452" i="7"/>
  <c r="Z350" i="7"/>
  <c r="Z236" i="7"/>
  <c r="Z45" i="7"/>
  <c r="AA1310" i="7"/>
  <c r="AA1170" i="7"/>
  <c r="AA946" i="7"/>
  <c r="AA658" i="7"/>
  <c r="AA528" i="7"/>
  <c r="AA399" i="7"/>
  <c r="AA78" i="7"/>
  <c r="AA975" i="7"/>
  <c r="AA927" i="7"/>
  <c r="Z927" i="7"/>
  <c r="AA2" i="7"/>
  <c r="Z2" i="7"/>
  <c r="AA1390" i="7"/>
  <c r="Z1390" i="7"/>
  <c r="AA1374" i="7"/>
  <c r="Z1374" i="7"/>
  <c r="AA1358" i="7"/>
  <c r="Z1358" i="7"/>
  <c r="Z1342" i="7"/>
  <c r="AA1342" i="7"/>
  <c r="AA1326" i="7"/>
  <c r="Z1326" i="7"/>
  <c r="AA1262" i="7"/>
  <c r="Z1262" i="7"/>
  <c r="AA1405" i="7"/>
  <c r="Z1405" i="7"/>
  <c r="AA1389" i="7"/>
  <c r="Z1389" i="7"/>
  <c r="AA1373" i="7"/>
  <c r="Z1373" i="7"/>
  <c r="AA1357" i="7"/>
  <c r="Z1357" i="7"/>
  <c r="Z1341" i="7"/>
  <c r="AA1341" i="7"/>
  <c r="AA1325" i="7"/>
  <c r="Z1325" i="7"/>
  <c r="Z1309" i="7"/>
  <c r="AA1309" i="7"/>
  <c r="AA1293" i="7"/>
  <c r="Z1293" i="7"/>
  <c r="AA1277" i="7"/>
  <c r="Z1277" i="7"/>
  <c r="AA1245" i="7"/>
  <c r="Z1245" i="7"/>
  <c r="AA1229" i="7"/>
  <c r="Z1229" i="7"/>
  <c r="Z1213" i="7"/>
  <c r="AA1213" i="7"/>
  <c r="AA1197" i="7"/>
  <c r="Z1197" i="7"/>
  <c r="Z1181" i="7"/>
  <c r="AA1181" i="7"/>
  <c r="AA1149" i="7"/>
  <c r="Z1149" i="7"/>
  <c r="Z1133" i="7"/>
  <c r="AA1133" i="7"/>
  <c r="AA1117" i="7"/>
  <c r="Z1117" i="7"/>
  <c r="AA1101" i="7"/>
  <c r="Z1101" i="7"/>
  <c r="AA1085" i="7"/>
  <c r="Z1085" i="7"/>
  <c r="Z1053" i="7"/>
  <c r="AA1053" i="7"/>
  <c r="AA1037" i="7"/>
  <c r="AA1021" i="7"/>
  <c r="Z1021" i="7"/>
  <c r="AA989" i="7"/>
  <c r="AA973" i="7"/>
  <c r="AA957" i="7"/>
  <c r="AA941" i="7"/>
  <c r="Z941" i="7"/>
  <c r="AA925" i="7"/>
  <c r="AA909" i="7"/>
  <c r="Z909" i="7"/>
  <c r="AA893" i="7"/>
  <c r="Z893" i="7"/>
  <c r="AA877" i="7"/>
  <c r="Z877" i="7"/>
  <c r="AA861" i="7"/>
  <c r="Z861" i="7"/>
  <c r="AA845" i="7"/>
  <c r="AA813" i="7"/>
  <c r="Z813" i="7"/>
  <c r="AA797" i="7"/>
  <c r="Z797" i="7"/>
  <c r="AA781" i="7"/>
  <c r="AA765" i="7"/>
  <c r="AA749" i="7"/>
  <c r="Z749" i="7"/>
  <c r="AA733" i="7"/>
  <c r="Z733" i="7"/>
  <c r="AA717" i="7"/>
  <c r="AA701" i="7"/>
  <c r="AA685" i="7"/>
  <c r="Z685" i="7"/>
  <c r="AA669" i="7"/>
  <c r="Z669" i="7"/>
  <c r="AA653" i="7"/>
  <c r="AA637" i="7"/>
  <c r="AA621" i="7"/>
  <c r="Z621" i="7"/>
  <c r="AA605" i="7"/>
  <c r="Z605" i="7"/>
  <c r="AA589" i="7"/>
  <c r="Z589" i="7"/>
  <c r="Z573" i="7"/>
  <c r="AA573" i="7"/>
  <c r="AA557" i="7"/>
  <c r="Z557" i="7"/>
  <c r="Z541" i="7"/>
  <c r="AA541" i="7"/>
  <c r="AA525" i="7"/>
  <c r="Z525" i="7"/>
  <c r="AA509" i="7"/>
  <c r="Z509" i="7"/>
  <c r="AA493" i="7"/>
  <c r="Z493" i="7"/>
  <c r="AA477" i="7"/>
  <c r="AA461" i="7"/>
  <c r="Z461" i="7"/>
  <c r="AA429" i="7"/>
  <c r="AA397" i="7"/>
  <c r="Z397" i="7"/>
  <c r="AA381" i="7"/>
  <c r="AA365" i="7"/>
  <c r="AA349" i="7"/>
  <c r="Z349" i="7"/>
  <c r="AA333" i="7"/>
  <c r="Z333" i="7"/>
  <c r="Z317" i="7"/>
  <c r="AA317" i="7"/>
  <c r="AA301" i="7"/>
  <c r="Z301" i="7"/>
  <c r="AA269" i="7"/>
  <c r="AA253" i="7"/>
  <c r="Z253" i="7"/>
  <c r="AA237" i="7"/>
  <c r="AA221" i="7"/>
  <c r="Z221" i="7"/>
  <c r="Z173" i="7"/>
  <c r="AA173" i="7"/>
  <c r="AA157" i="7"/>
  <c r="AA125" i="7"/>
  <c r="Z109" i="7"/>
  <c r="AA109" i="7"/>
  <c r="AA93" i="7"/>
  <c r="Z93" i="7"/>
  <c r="Z77" i="7"/>
  <c r="AA77" i="7"/>
  <c r="AA29" i="7"/>
  <c r="Z29" i="7"/>
  <c r="AA13" i="7"/>
  <c r="Z13" i="7"/>
  <c r="Z1057" i="7"/>
  <c r="Z975" i="7"/>
  <c r="Z848" i="7"/>
  <c r="Z804" i="7"/>
  <c r="Z701" i="7"/>
  <c r="Z654" i="7"/>
  <c r="Z607" i="7"/>
  <c r="Z343" i="7"/>
  <c r="Z288" i="7"/>
  <c r="Z176" i="7"/>
  <c r="AA1169" i="7"/>
  <c r="AA945" i="7"/>
  <c r="AA786" i="7"/>
  <c r="AA527" i="7"/>
  <c r="AA224" i="7"/>
  <c r="AA1244" i="7"/>
  <c r="AA1196" i="7"/>
  <c r="AA1180" i="7"/>
  <c r="AA1164" i="7"/>
  <c r="AA1148" i="7"/>
  <c r="AA1132" i="7"/>
  <c r="AA1116" i="7"/>
  <c r="Z1116" i="7"/>
  <c r="Z1100" i="7"/>
  <c r="AA1100" i="7"/>
  <c r="AA1084" i="7"/>
  <c r="Z1084" i="7"/>
  <c r="AA1052" i="7"/>
  <c r="Z1052" i="7"/>
  <c r="AA1036" i="7"/>
  <c r="Z1036" i="7"/>
  <c r="AA1020" i="7"/>
  <c r="AA988" i="7"/>
  <c r="Z988" i="7"/>
  <c r="AA972" i="7"/>
  <c r="AA956" i="7"/>
  <c r="AA940" i="7"/>
  <c r="AA924" i="7"/>
  <c r="AA908" i="7"/>
  <c r="Z908" i="7"/>
  <c r="AA876" i="7"/>
  <c r="Z876" i="7"/>
  <c r="AA860" i="7"/>
  <c r="AA844" i="7"/>
  <c r="AA828" i="7"/>
  <c r="AA812" i="7"/>
  <c r="Z812" i="7"/>
  <c r="AA796" i="7"/>
  <c r="AA780" i="7"/>
  <c r="Z748" i="7"/>
  <c r="AA748" i="7"/>
  <c r="AA732" i="7"/>
  <c r="AA700" i="7"/>
  <c r="AA684" i="7"/>
  <c r="Z684" i="7"/>
  <c r="AA668" i="7"/>
  <c r="AA652" i="7"/>
  <c r="AA620" i="7"/>
  <c r="Z620" i="7"/>
  <c r="AA556" i="7"/>
  <c r="Z524" i="7"/>
  <c r="AA524" i="7"/>
  <c r="Z508" i="7"/>
  <c r="AA508" i="7"/>
  <c r="AA492" i="7"/>
  <c r="Z492" i="7"/>
  <c r="AA444" i="7"/>
  <c r="Z444" i="7"/>
  <c r="AA428" i="7"/>
  <c r="AA396" i="7"/>
  <c r="Z396" i="7"/>
  <c r="AA380" i="7"/>
  <c r="AA364" i="7"/>
  <c r="Z348" i="7"/>
  <c r="AA348" i="7"/>
  <c r="Z316" i="7"/>
  <c r="AA316" i="7"/>
  <c r="AA300" i="7"/>
  <c r="Z300" i="7"/>
  <c r="Z284" i="7"/>
  <c r="AA284" i="7"/>
  <c r="AA268" i="7"/>
  <c r="AA204" i="7"/>
  <c r="Z188" i="7"/>
  <c r="AA188" i="7"/>
  <c r="AA172" i="7"/>
  <c r="Z172" i="7"/>
  <c r="Z156" i="7"/>
  <c r="AA156" i="7"/>
  <c r="AA124" i="7"/>
  <c r="Z124" i="7"/>
  <c r="Z108" i="7"/>
  <c r="AA108" i="7"/>
  <c r="AA76" i="7"/>
  <c r="Z76" i="7"/>
  <c r="Z60" i="7"/>
  <c r="AA60" i="7"/>
  <c r="AA44" i="7"/>
  <c r="AA28" i="7"/>
  <c r="Z28" i="7"/>
  <c r="AA12" i="7"/>
  <c r="Z1054" i="7"/>
  <c r="Z1012" i="7"/>
  <c r="Z974" i="7"/>
  <c r="Z800" i="7"/>
  <c r="Z700" i="7"/>
  <c r="Z653" i="7"/>
  <c r="Z606" i="7"/>
  <c r="Z450" i="7"/>
  <c r="Z398" i="7"/>
  <c r="Z287" i="7"/>
  <c r="AA1278" i="7"/>
  <c r="AA926" i="7"/>
  <c r="AA785" i="7"/>
  <c r="AA655" i="7"/>
  <c r="AA512" i="7"/>
  <c r="AA352" i="7"/>
  <c r="AA220" i="7"/>
  <c r="AA62" i="7"/>
  <c r="AA1179" i="7"/>
  <c r="AA1163" i="7"/>
  <c r="AA1147" i="7"/>
  <c r="AA1131" i="7"/>
  <c r="AA1115" i="7"/>
  <c r="AA1099" i="7"/>
  <c r="Z1099" i="7"/>
  <c r="AA1083" i="7"/>
  <c r="Z1083" i="7"/>
  <c r="AA1067" i="7"/>
  <c r="Z1067" i="7"/>
  <c r="AA1051" i="7"/>
  <c r="Z1051" i="7"/>
  <c r="AA1035" i="7"/>
  <c r="Z1035" i="7"/>
  <c r="AA1019" i="7"/>
  <c r="Z1019" i="7"/>
  <c r="AA1003" i="7"/>
  <c r="AA987" i="7"/>
  <c r="Z987" i="7"/>
  <c r="AA971" i="7"/>
  <c r="Z971" i="7"/>
  <c r="AA955" i="7"/>
  <c r="AA939" i="7"/>
  <c r="AA923" i="7"/>
  <c r="Z923" i="7"/>
  <c r="AA907" i="7"/>
  <c r="AA891" i="7"/>
  <c r="Z891" i="7"/>
  <c r="AA875" i="7"/>
  <c r="Z875" i="7"/>
  <c r="AA859" i="7"/>
  <c r="Z859" i="7"/>
  <c r="AA843" i="7"/>
  <c r="AA827" i="7"/>
  <c r="Z827" i="7"/>
  <c r="AA811" i="7"/>
  <c r="Z811" i="7"/>
  <c r="AA795" i="7"/>
  <c r="Z795" i="7"/>
  <c r="AA779" i="7"/>
  <c r="AA763" i="7"/>
  <c r="Z763" i="7"/>
  <c r="AA747" i="7"/>
  <c r="Z747" i="7"/>
  <c r="AA731" i="7"/>
  <c r="Z731" i="7"/>
  <c r="AA715" i="7"/>
  <c r="AA699" i="7"/>
  <c r="Z699" i="7"/>
  <c r="AA683" i="7"/>
  <c r="Z683" i="7"/>
  <c r="AA667" i="7"/>
  <c r="Z667" i="7"/>
  <c r="AA651" i="7"/>
  <c r="AA635" i="7"/>
  <c r="Z635" i="7"/>
  <c r="AA619" i="7"/>
  <c r="Z619" i="7"/>
  <c r="AA603" i="7"/>
  <c r="AA587" i="7"/>
  <c r="AA571" i="7"/>
  <c r="Z571" i="7"/>
  <c r="AA555" i="7"/>
  <c r="Z555" i="7"/>
  <c r="AA539" i="7"/>
  <c r="AA523" i="7"/>
  <c r="Z523" i="7"/>
  <c r="AA507" i="7"/>
  <c r="Z507" i="7"/>
  <c r="AA491" i="7"/>
  <c r="Z491" i="7"/>
  <c r="AA475" i="7"/>
  <c r="AA459" i="7"/>
  <c r="Z459" i="7"/>
  <c r="AA443" i="7"/>
  <c r="Z443" i="7"/>
  <c r="AA427" i="7"/>
  <c r="AA411" i="7"/>
  <c r="AA395" i="7"/>
  <c r="Z395" i="7"/>
  <c r="AA379" i="7"/>
  <c r="Z379" i="7"/>
  <c r="AA363" i="7"/>
  <c r="Z363" i="7"/>
  <c r="AA347" i="7"/>
  <c r="Z347" i="7"/>
  <c r="AA331" i="7"/>
  <c r="AA315" i="7"/>
  <c r="Z315" i="7"/>
  <c r="AA299" i="7"/>
  <c r="Z299" i="7"/>
  <c r="AA283" i="7"/>
  <c r="Z283" i="7"/>
  <c r="AA267" i="7"/>
  <c r="Z267" i="7"/>
  <c r="AA251" i="7"/>
  <c r="Z251" i="7"/>
  <c r="AA235" i="7"/>
  <c r="AA219" i="7"/>
  <c r="Z219" i="7"/>
  <c r="AA203" i="7"/>
  <c r="Z203" i="7"/>
  <c r="AA187" i="7"/>
  <c r="Z187" i="7"/>
  <c r="AA171" i="7"/>
  <c r="Z171" i="7"/>
  <c r="AA155" i="7"/>
  <c r="Z155" i="7"/>
  <c r="AA139" i="7"/>
  <c r="AA123" i="7"/>
  <c r="Z123" i="7"/>
  <c r="AA107" i="7"/>
  <c r="AA91" i="7"/>
  <c r="Z91" i="7"/>
  <c r="AA75" i="7"/>
  <c r="Z75" i="7"/>
  <c r="AA59" i="7"/>
  <c r="Z59" i="7"/>
  <c r="AA43" i="7"/>
  <c r="AA27" i="7"/>
  <c r="Z27" i="7"/>
  <c r="AA11" i="7"/>
  <c r="Z1092" i="7"/>
  <c r="Z1009" i="7"/>
  <c r="Z973" i="7"/>
  <c r="Z845" i="7"/>
  <c r="Z799" i="7"/>
  <c r="Z652" i="7"/>
  <c r="Z603" i="7"/>
  <c r="Z548" i="7"/>
  <c r="Z498" i="7"/>
  <c r="Z231" i="7"/>
  <c r="Z103" i="7"/>
  <c r="AA1166" i="7"/>
  <c r="AA1056" i="7"/>
  <c r="AA912" i="7"/>
  <c r="AA783" i="7"/>
  <c r="AA640" i="7"/>
  <c r="AA351" i="7"/>
  <c r="AA207" i="7"/>
  <c r="AA61" i="7"/>
  <c r="AA570" i="7"/>
  <c r="AA554" i="7"/>
  <c r="Z554" i="7"/>
  <c r="AA538" i="7"/>
  <c r="AA522" i="7"/>
  <c r="AA506" i="7"/>
  <c r="Z506" i="7"/>
  <c r="AA490" i="7"/>
  <c r="Z490" i="7"/>
  <c r="AA474" i="7"/>
  <c r="Z474" i="7"/>
  <c r="AA458" i="7"/>
  <c r="AA442" i="7"/>
  <c r="Z442" i="7"/>
  <c r="AA426" i="7"/>
  <c r="Z426" i="7"/>
  <c r="AA410" i="7"/>
  <c r="Z410" i="7"/>
  <c r="AA394" i="7"/>
  <c r="Z394" i="7"/>
  <c r="AA378" i="7"/>
  <c r="Z378" i="7"/>
  <c r="AA362" i="7"/>
  <c r="AA346" i="7"/>
  <c r="Z346" i="7"/>
  <c r="AA330" i="7"/>
  <c r="Z330" i="7"/>
  <c r="AA314" i="7"/>
  <c r="AA298" i="7"/>
  <c r="Z298" i="7"/>
  <c r="AA282" i="7"/>
  <c r="Z282" i="7"/>
  <c r="AA266" i="7"/>
  <c r="AA250" i="7"/>
  <c r="Z250" i="7"/>
  <c r="AA234" i="7"/>
  <c r="AA218" i="7"/>
  <c r="Z218" i="7"/>
  <c r="AA202" i="7"/>
  <c r="Z202" i="7"/>
  <c r="AA186" i="7"/>
  <c r="AA170" i="7"/>
  <c r="Z170" i="7"/>
  <c r="AA154" i="7"/>
  <c r="AA138" i="7"/>
  <c r="Z138" i="7"/>
  <c r="AA122" i="7"/>
  <c r="AA106" i="7"/>
  <c r="AA90" i="7"/>
  <c r="AA74" i="7"/>
  <c r="Z74" i="7"/>
  <c r="AA58" i="7"/>
  <c r="Z58" i="7"/>
  <c r="AA42" i="7"/>
  <c r="AA26" i="7"/>
  <c r="Z26" i="7"/>
  <c r="AA10" i="7"/>
  <c r="Z1088" i="7"/>
  <c r="Z1008" i="7"/>
  <c r="Z972" i="7"/>
  <c r="Z925" i="7"/>
  <c r="Z844" i="7"/>
  <c r="Z796" i="7"/>
  <c r="Z651" i="7"/>
  <c r="Z546" i="7"/>
  <c r="Z496" i="7"/>
  <c r="Z386" i="7"/>
  <c r="Z336" i="7"/>
  <c r="Z159" i="7"/>
  <c r="AA1265" i="7"/>
  <c r="AA1165" i="7"/>
  <c r="AA1038" i="7"/>
  <c r="AA911" i="7"/>
  <c r="AA768" i="7"/>
  <c r="AA206" i="7"/>
  <c r="AA145" i="7"/>
  <c r="AA6" i="7"/>
  <c r="AA5" i="7"/>
  <c r="AA130" i="7"/>
  <c r="AA50" i="7"/>
  <c r="Z6" i="7"/>
  <c r="AA162" i="7"/>
  <c r="AA82" i="7"/>
  <c r="Z82" i="7"/>
  <c r="Z66" i="7"/>
  <c r="AA66" i="7"/>
  <c r="Z18" i="7"/>
  <c r="AA18" i="7"/>
  <c r="Z5" i="7"/>
  <c r="AA257" i="7"/>
  <c r="Z257" i="7"/>
  <c r="AA225" i="7"/>
  <c r="Z225" i="7"/>
  <c r="Z209" i="7"/>
  <c r="AA209" i="7"/>
  <c r="AA193" i="7"/>
  <c r="Z193" i="7"/>
  <c r="Z161" i="7"/>
  <c r="AA161" i="7"/>
  <c r="Z129" i="7"/>
  <c r="AA129" i="7"/>
  <c r="Z113" i="7"/>
  <c r="AA113" i="7"/>
  <c r="AA81" i="7"/>
  <c r="Z81" i="7"/>
  <c r="Z65" i="7"/>
  <c r="AA65" i="7"/>
  <c r="Z49" i="7"/>
  <c r="AA49" i="7"/>
  <c r="Z17" i="7"/>
  <c r="AA17" i="7"/>
  <c r="AA241" i="7"/>
  <c r="AA34" i="7"/>
  <c r="AA16" i="7"/>
  <c r="AA177" i="7"/>
  <c r="AA98" i="7"/>
  <c r="AA33" i="7"/>
  <c r="AA47" i="7"/>
  <c r="AA15" i="7"/>
  <c r="Z15" i="7"/>
  <c r="AA97" i="7"/>
  <c r="AA30" i="7"/>
  <c r="AA14" i="7"/>
  <c r="Z14" i="7"/>
</calcChain>
</file>

<file path=xl/sharedStrings.xml><?xml version="1.0" encoding="utf-8"?>
<sst xmlns="http://schemas.openxmlformats.org/spreadsheetml/2006/main" count="9925" uniqueCount="398">
  <si>
    <t>fid</t>
  </si>
  <si>
    <t>id</t>
  </si>
  <si>
    <t>Trial Name</t>
  </si>
  <si>
    <t>layer</t>
  </si>
  <si>
    <t>path</t>
  </si>
  <si>
    <t>704ExG_mean</t>
  </si>
  <si>
    <t>704ExG_variance</t>
  </si>
  <si>
    <t>704ExR_mean</t>
  </si>
  <si>
    <t>704ExR_variance</t>
  </si>
  <si>
    <t>704gNDVI_mean</t>
  </si>
  <si>
    <t>704gNDVI_variance</t>
  </si>
  <si>
    <t>704gNDRE_mean</t>
  </si>
  <si>
    <t>704gNDRE_variance</t>
  </si>
  <si>
    <t>704NDVI_mean</t>
  </si>
  <si>
    <t>704NDVI_variance</t>
  </si>
  <si>
    <t>704THRESH_mean</t>
  </si>
  <si>
    <t>704THRESH_variance</t>
  </si>
  <si>
    <t>704HA_mean</t>
  </si>
  <si>
    <t>704HA_variance</t>
  </si>
  <si>
    <t>704PLT_</t>
  </si>
  <si>
    <t>AYT Trial</t>
  </si>
  <si>
    <t>7-04 ayt plot files â€” ayttrialdata_rows_polygons__ayt_plots_dissolved</t>
  </si>
  <si>
    <t>D:/Drone Imagery/2025 summer/20250704/shapefiles/7-04 ayt plot files.gpkg|layername=ayttrialdata_rows_polygons__ayt_plots_dissolved</t>
  </si>
  <si>
    <t>PYT Trial</t>
  </si>
  <si>
    <t>PYT plots</t>
  </si>
  <si>
    <t>D:/Drone Imagery/2025 summer/20250704/shapefiles/7-04 reg plot polygons.gpkg|layername=pyt_trial_data_rows_polygons__pyt_trial_data_row_polygons</t>
  </si>
  <si>
    <t>Registration</t>
  </si>
  <si>
    <t>Registration Plots</t>
  </si>
  <si>
    <t>D:/Drone Imagery/2025 summer/20250704/shapefiles/7-04 reg plot files.gpkg|layername=registrationtrialdatarows</t>
  </si>
  <si>
    <t>710ExG_mean</t>
  </si>
  <si>
    <t>710ExG_variance</t>
  </si>
  <si>
    <t>710ExR_mean</t>
  </si>
  <si>
    <t>710ExR_variance</t>
  </si>
  <si>
    <t>710gNDVI_mean</t>
  </si>
  <si>
    <t>710gNDVI_variance</t>
  </si>
  <si>
    <t>710NDRE_mean</t>
  </si>
  <si>
    <t>710NDRE_variance</t>
  </si>
  <si>
    <t>710NDVI_mean</t>
  </si>
  <si>
    <t>710NDVI_variance</t>
  </si>
  <si>
    <t>710THRESH_mean</t>
  </si>
  <si>
    <t>710THRESH_variance</t>
  </si>
  <si>
    <t>710HA_mean</t>
  </si>
  <si>
    <t>710HA_variance</t>
  </si>
  <si>
    <t>710PLTCOUNT_</t>
  </si>
  <si>
    <t>717ExG_mean</t>
  </si>
  <si>
    <t>717ExG_variance</t>
  </si>
  <si>
    <t>717ExR_mean</t>
  </si>
  <si>
    <t>717ExR_variance</t>
  </si>
  <si>
    <t>717gNDVI_mean</t>
  </si>
  <si>
    <t>717gNDVI_variance</t>
  </si>
  <si>
    <t>717gNDRE_mean</t>
  </si>
  <si>
    <t>717gNDRE_variance</t>
  </si>
  <si>
    <t>717THRESH_mean</t>
  </si>
  <si>
    <t>717THRESH_variance</t>
  </si>
  <si>
    <t>717HA_mean</t>
  </si>
  <si>
    <t>717HA_variance</t>
  </si>
  <si>
    <t>NUMPOINTS</t>
  </si>
  <si>
    <t>724ExG_mean</t>
  </si>
  <si>
    <t>724ExG_variance</t>
  </si>
  <si>
    <t>724ExR_mean</t>
  </si>
  <si>
    <t>724ExR_variance</t>
  </si>
  <si>
    <t>724gNDVI_mean</t>
  </si>
  <si>
    <t>724gNDVI_variance</t>
  </si>
  <si>
    <t>724NDRE_mean</t>
  </si>
  <si>
    <t>724NDRE_variance</t>
  </si>
  <si>
    <t>724THRESH_mean</t>
  </si>
  <si>
    <t>724THRESH_variance</t>
  </si>
  <si>
    <t>724HA_mean</t>
  </si>
  <si>
    <t>724HA_variance</t>
  </si>
  <si>
    <t>731NDREmean</t>
  </si>
  <si>
    <t>731NDREvariance</t>
  </si>
  <si>
    <t>731NDVI_mean</t>
  </si>
  <si>
    <t>731NDVI_variance</t>
  </si>
  <si>
    <t>731THRESH_mean</t>
  </si>
  <si>
    <t>731THRESH_variance</t>
  </si>
  <si>
    <t>731HA_mean</t>
  </si>
  <si>
    <t>731HA_variance</t>
  </si>
  <si>
    <t>731PLT_</t>
  </si>
  <si>
    <t>805ExG_mean</t>
  </si>
  <si>
    <t>805ExG_variance</t>
  </si>
  <si>
    <t>805ExR_mean</t>
  </si>
  <si>
    <t>805ExR_variance</t>
  </si>
  <si>
    <t>805gNDVI_mean</t>
  </si>
  <si>
    <t>805gNDVI_variance</t>
  </si>
  <si>
    <t>805NDRE_mean</t>
  </si>
  <si>
    <t>805NDRE_variance</t>
  </si>
  <si>
    <t>805NDVI_mean</t>
  </si>
  <si>
    <t>805NDVI_variance</t>
  </si>
  <si>
    <t>805THRESH_mean</t>
  </si>
  <si>
    <t>805THRESH_variance</t>
  </si>
  <si>
    <t>805HA_mean</t>
  </si>
  <si>
    <t>805HA_variance</t>
  </si>
  <si>
    <t>805PLTCOUNT_</t>
  </si>
  <si>
    <t>NDVI_mean</t>
  </si>
  <si>
    <t>NDVI_variance</t>
  </si>
  <si>
    <t>724PLT_</t>
  </si>
  <si>
    <t>717NDV_mean</t>
  </si>
  <si>
    <t>717NDV_variance</t>
  </si>
  <si>
    <t>DAS</t>
  </si>
  <si>
    <t>TrialCode</t>
  </si>
  <si>
    <t>FILL</t>
  </si>
  <si>
    <t>ComboCode</t>
  </si>
  <si>
    <t>BARCODE_128</t>
  </si>
  <si>
    <t>TrialType</t>
  </si>
  <si>
    <t>PlotNumber</t>
  </si>
  <si>
    <t>ENTRY</t>
  </si>
  <si>
    <t>BLOCK</t>
  </si>
  <si>
    <t>Locn</t>
  </si>
  <si>
    <t>Check</t>
  </si>
  <si>
    <t>Experiment Name</t>
  </si>
  <si>
    <t>Year</t>
  </si>
  <si>
    <t>Plot</t>
  </si>
  <si>
    <t>Identity1</t>
  </si>
  <si>
    <t>Description1</t>
  </si>
  <si>
    <t>Name1</t>
  </si>
  <si>
    <t>Plot Range</t>
  </si>
  <si>
    <t>Plot Column</t>
  </si>
  <si>
    <t>100 Seed weight</t>
  </si>
  <si>
    <t>Moisture</t>
  </si>
  <si>
    <t>Plot Weight</t>
  </si>
  <si>
    <t>Yield</t>
  </si>
  <si>
    <t>Flowering Date</t>
  </si>
  <si>
    <t>Maturity Date</t>
  </si>
  <si>
    <t>100SW</t>
  </si>
  <si>
    <t>Planter</t>
  </si>
  <si>
    <t>1AAFF4CFF3</t>
  </si>
  <si>
    <t>REG</t>
  </si>
  <si>
    <t>LODS</t>
  </si>
  <si>
    <t>black</t>
  </si>
  <si>
    <t>PVBLPI19 1</t>
  </si>
  <si>
    <t>10EF106E84</t>
  </si>
  <si>
    <t>PVBLPI19 10</t>
  </si>
  <si>
    <t>129200248F</t>
  </si>
  <si>
    <t>BC088</t>
  </si>
  <si>
    <t>Phaseolus vulgaris</t>
  </si>
  <si>
    <t>Zorro</t>
  </si>
  <si>
    <t>13DCCD360B</t>
  </si>
  <si>
    <t>TV</t>
  </si>
  <si>
    <t>black bear</t>
  </si>
  <si>
    <t>1346D39201</t>
  </si>
  <si>
    <t>navy</t>
  </si>
  <si>
    <t>Blizzard</t>
  </si>
  <si>
    <t>18E3DC5A8E</t>
  </si>
  <si>
    <t>1F3234391E</t>
  </si>
  <si>
    <t>135FB2FF3E</t>
  </si>
  <si>
    <t>1B5771912F</t>
  </si>
  <si>
    <t>12B2AFE34C</t>
  </si>
  <si>
    <t>1785599F7B</t>
  </si>
  <si>
    <t>1649969ECA</t>
  </si>
  <si>
    <t>1FC56172AF</t>
  </si>
  <si>
    <t>16D48563C6</t>
  </si>
  <si>
    <t>18201F0EE4</t>
  </si>
  <si>
    <t>157A224D4B</t>
  </si>
  <si>
    <t>1B611628A4</t>
  </si>
  <si>
    <t>1E2A42C788</t>
  </si>
  <si>
    <t>177CD0AC48</t>
  </si>
  <si>
    <t>107E82C871</t>
  </si>
  <si>
    <t>10EDB7D180</t>
  </si>
  <si>
    <t>white kidney</t>
  </si>
  <si>
    <t>PVKIPI19 4</t>
  </si>
  <si>
    <t>1F33742763</t>
  </si>
  <si>
    <t>red kidney</t>
  </si>
  <si>
    <t>PVKIPI19 10</t>
  </si>
  <si>
    <t>10CADB6979</t>
  </si>
  <si>
    <t>dark red kidney</t>
  </si>
  <si>
    <t>Redhawk</t>
  </si>
  <si>
    <t>1C2BE7E1B5</t>
  </si>
  <si>
    <t>Snowdon</t>
  </si>
  <si>
    <t>Control-01</t>
  </si>
  <si>
    <t>16B67496BE</t>
  </si>
  <si>
    <t>Coho</t>
  </si>
  <si>
    <t>17542F0075</t>
  </si>
  <si>
    <t>10F210ED64</t>
  </si>
  <si>
    <t>161C4AA1F0</t>
  </si>
  <si>
    <t>1F9DCB83D0</t>
  </si>
  <si>
    <t>1E27EDEAE7</t>
  </si>
  <si>
    <t>1FC62DE4CA</t>
  </si>
  <si>
    <t>1E63DE7F04</t>
  </si>
  <si>
    <t>1A953A3EEC</t>
  </si>
  <si>
    <t>1AF1CDF148</t>
  </si>
  <si>
    <t>1E582CF171</t>
  </si>
  <si>
    <t>1871BE5911</t>
  </si>
  <si>
    <t>1E64EE7C1A</t>
  </si>
  <si>
    <t>1D9E7C3226</t>
  </si>
  <si>
    <t>1641C41348</t>
  </si>
  <si>
    <t>18A44C8612</t>
  </si>
  <si>
    <t>125F403BE0</t>
  </si>
  <si>
    <t>cran</t>
  </si>
  <si>
    <t>PVCRPI19 3</t>
  </si>
  <si>
    <t>1579F9AAA7</t>
  </si>
  <si>
    <t>ETNA</t>
  </si>
  <si>
    <t>134873E9EF</t>
  </si>
  <si>
    <t>Krimson</t>
  </si>
  <si>
    <t>1687A5C509</t>
  </si>
  <si>
    <t>Cran</t>
  </si>
  <si>
    <t>Navabi</t>
  </si>
  <si>
    <t>1DB881A5AE</t>
  </si>
  <si>
    <t>1596C3B0B1</t>
  </si>
  <si>
    <t>1EE7BA847D</t>
  </si>
  <si>
    <t>1209641F62</t>
  </si>
  <si>
    <t>142A415719</t>
  </si>
  <si>
    <t>16C478D40B</t>
  </si>
  <si>
    <t>1F09EB2091</t>
  </si>
  <si>
    <t>1C94F360A0</t>
  </si>
  <si>
    <t>14E88BDDF9</t>
  </si>
  <si>
    <t>1AB6B99611</t>
  </si>
  <si>
    <t>1A2089FC55</t>
  </si>
  <si>
    <t>1046AA4F47</t>
  </si>
  <si>
    <t>1A8C69A268</t>
  </si>
  <si>
    <t>PYT</t>
  </si>
  <si>
    <t>B</t>
  </si>
  <si>
    <t>A19042-002-001-0001</t>
  </si>
  <si>
    <t>104CB5640D</t>
  </si>
  <si>
    <t>A19042-002-001-0002</t>
  </si>
  <si>
    <t>1E7EFA9CE0</t>
  </si>
  <si>
    <t>N</t>
  </si>
  <si>
    <t>A19042-002-002-0001</t>
  </si>
  <si>
    <t>15DB02F182</t>
  </si>
  <si>
    <t>A19042-002-002-0002</t>
  </si>
  <si>
    <t>1B03231318</t>
  </si>
  <si>
    <t>PVBLPI19-1</t>
  </si>
  <si>
    <t>1225D926CA</t>
  </si>
  <si>
    <t>158F849074</t>
  </si>
  <si>
    <t>BC354</t>
  </si>
  <si>
    <t>T9905</t>
  </si>
  <si>
    <t>141C05140B</t>
  </si>
  <si>
    <t>128FD8A129</t>
  </si>
  <si>
    <t>11E909B137</t>
  </si>
  <si>
    <t>115C9DFEA2</t>
  </si>
  <si>
    <t>1E61F12FF6</t>
  </si>
  <si>
    <t>13F8719D13</t>
  </si>
  <si>
    <t>13A34F1A2F</t>
  </si>
  <si>
    <t>1A8CE2F5C5</t>
  </si>
  <si>
    <t>1D439360BB</t>
  </si>
  <si>
    <t>163A818A0E</t>
  </si>
  <si>
    <t>1A5E7FEB6B</t>
  </si>
  <si>
    <t>133C3A6663</t>
  </si>
  <si>
    <t>1880AE36C1</t>
  </si>
  <si>
    <t>1FA16969B8</t>
  </si>
  <si>
    <t>1AA824EAF3</t>
  </si>
  <si>
    <t>C</t>
  </si>
  <si>
    <t>A19056-003-001-0001</t>
  </si>
  <si>
    <t>1381ED908B</t>
  </si>
  <si>
    <t>A19050-003-001-0002</t>
  </si>
  <si>
    <t>1E82D7917E</t>
  </si>
  <si>
    <t>A19047-003-001-0001</t>
  </si>
  <si>
    <t>189CB216BF</t>
  </si>
  <si>
    <t>A19074-003-001-0002</t>
  </si>
  <si>
    <t>142BBFA1FA</t>
  </si>
  <si>
    <t>A19074-003-002-0001</t>
  </si>
  <si>
    <t>177084EC32</t>
  </si>
  <si>
    <t>A19074-003-002-0002</t>
  </si>
  <si>
    <t>1FF1F386CE</t>
  </si>
  <si>
    <t>A19074-003-002-0003</t>
  </si>
  <si>
    <t>1BD5E6AEC2</t>
  </si>
  <si>
    <t>A19106-005-001-0001</t>
  </si>
  <si>
    <t>16D1427F07</t>
  </si>
  <si>
    <t>A19106-005-001-0002</t>
  </si>
  <si>
    <t>19D681042B</t>
  </si>
  <si>
    <t>A19051-002-003-0001</t>
  </si>
  <si>
    <t>11F22CF42F</t>
  </si>
  <si>
    <t>A19051-002-003-0002</t>
  </si>
  <si>
    <t>111117DBA5</t>
  </si>
  <si>
    <t>A19083-006-002-0001</t>
  </si>
  <si>
    <t>140B64EF77</t>
  </si>
  <si>
    <t>1D52B5C113</t>
  </si>
  <si>
    <t>14070E39C2</t>
  </si>
  <si>
    <t>14B3E71372</t>
  </si>
  <si>
    <t>A19051-007-002-0001</t>
  </si>
  <si>
    <t>186D87A9FC</t>
  </si>
  <si>
    <t>15C0D0FC8F</t>
  </si>
  <si>
    <t>16800A41FC</t>
  </si>
  <si>
    <t>197F92CFE7</t>
  </si>
  <si>
    <t>11EA6810D4</t>
  </si>
  <si>
    <t>1A1BCD80D1</t>
  </si>
  <si>
    <t>1F9A1E4238</t>
  </si>
  <si>
    <t>A19083-006-002-0002</t>
  </si>
  <si>
    <t>136B166921</t>
  </si>
  <si>
    <t>18B22B83C5</t>
  </si>
  <si>
    <t>152354C96D</t>
  </si>
  <si>
    <t>1C71B89944</t>
  </si>
  <si>
    <t>1B8CFA1A39</t>
  </si>
  <si>
    <t>1616B54EA9</t>
  </si>
  <si>
    <t>17F0D9DF18</t>
  </si>
  <si>
    <t>17A5B0ADC1</t>
  </si>
  <si>
    <t>1732B01D64</t>
  </si>
  <si>
    <t>115ADA3AD3</t>
  </si>
  <si>
    <t>14DDDDDE89</t>
  </si>
  <si>
    <t>1B2657652E</t>
  </si>
  <si>
    <t>1B748CA0F8</t>
  </si>
  <si>
    <t>1E81728872</t>
  </si>
  <si>
    <t>1DC01025E5</t>
  </si>
  <si>
    <t>1ACCEFBAB1</t>
  </si>
  <si>
    <t>17D1739E05</t>
  </si>
  <si>
    <t>1BC3C87D6F</t>
  </si>
  <si>
    <t>1435296A68</t>
  </si>
  <si>
    <t>1EBD2E9A6D</t>
  </si>
  <si>
    <t>1157EC3717</t>
  </si>
  <si>
    <t>140277D9B2</t>
  </si>
  <si>
    <t>AYT</t>
  </si>
  <si>
    <t>16EBAEECF2</t>
  </si>
  <si>
    <t>12048CC27C</t>
  </si>
  <si>
    <t>PVBL19-10</t>
  </si>
  <si>
    <t>13145EAD6D</t>
  </si>
  <si>
    <t>116BC24EDB</t>
  </si>
  <si>
    <t>n</t>
  </si>
  <si>
    <t>PVNVLO24-049</t>
  </si>
  <si>
    <t>1F1A359B46</t>
  </si>
  <si>
    <t>PVNVLO24-039</t>
  </si>
  <si>
    <t>1601DBA043</t>
  </si>
  <si>
    <t>PVNVLO24-035</t>
  </si>
  <si>
    <t>1ACD1B4033</t>
  </si>
  <si>
    <t>PVNVLO24-020</t>
  </si>
  <si>
    <t>1C42C2F3E3</t>
  </si>
  <si>
    <t>PVNVLO24-009</t>
  </si>
  <si>
    <t>14AB4761CB</t>
  </si>
  <si>
    <t>b</t>
  </si>
  <si>
    <t>PVBLLO24-028</t>
  </si>
  <si>
    <t>PVBLLO24-001</t>
  </si>
  <si>
    <t>1B92968141</t>
  </si>
  <si>
    <t>1E0600C8B0</t>
  </si>
  <si>
    <t>18CD375500</t>
  </si>
  <si>
    <t>1B8E673CE8</t>
  </si>
  <si>
    <t>12A4F170DF</t>
  </si>
  <si>
    <t>PVBLLO24-033</t>
  </si>
  <si>
    <t>1937A422F8</t>
  </si>
  <si>
    <t>1B4CB815F4</t>
  </si>
  <si>
    <t>1CCABF5F32</t>
  </si>
  <si>
    <t>PVBLLO24-040</t>
  </si>
  <si>
    <t>196BD8CEC9</t>
  </si>
  <si>
    <t>PVBLLO24-026</t>
  </si>
  <si>
    <t>1F2C21DBD0</t>
  </si>
  <si>
    <t>19379B8C70</t>
  </si>
  <si>
    <t>1CED7FB660</t>
  </si>
  <si>
    <t>1292CCD5FF</t>
  </si>
  <si>
    <t>13C044D1CA</t>
  </si>
  <si>
    <t>1169103AE0</t>
  </si>
  <si>
    <t>1FEB395C90</t>
  </si>
  <si>
    <t>104BD91D4E</t>
  </si>
  <si>
    <t>1DAC8DDF66</t>
  </si>
  <si>
    <t>165C37B88A</t>
  </si>
  <si>
    <t>1B1EF5B952</t>
  </si>
  <si>
    <t>1444A017CC</t>
  </si>
  <si>
    <t>1CBBB240C3</t>
  </si>
  <si>
    <t>1B8FCA193B</t>
  </si>
  <si>
    <t>129DD2BF5C</t>
  </si>
  <si>
    <t>1EE6237E24</t>
  </si>
  <si>
    <t>13C0A4B7A0</t>
  </si>
  <si>
    <t>18C0AE93C0</t>
  </si>
  <si>
    <t>1C0BC75EEB</t>
  </si>
  <si>
    <t>1ED6ADD089</t>
  </si>
  <si>
    <t>16466288A4</t>
  </si>
  <si>
    <t>1B731CED69</t>
  </si>
  <si>
    <t>PVPTPI24-001</t>
  </si>
  <si>
    <t>1803EB5398</t>
  </si>
  <si>
    <t>PVPTPI24-005</t>
  </si>
  <si>
    <t>12AB9602AB</t>
  </si>
  <si>
    <t>PVPTPI24-008</t>
  </si>
  <si>
    <t>14A7C864D8</t>
  </si>
  <si>
    <t>BC388</t>
  </si>
  <si>
    <t>pinto</t>
  </si>
  <si>
    <t>Windbreaker</t>
  </si>
  <si>
    <t>10804C30B4</t>
  </si>
  <si>
    <t>1E281D0075</t>
  </si>
  <si>
    <t>1F097A5ABF</t>
  </si>
  <si>
    <t>1CEDBDE4B3</t>
  </si>
  <si>
    <t>12DAF00CF6</t>
  </si>
  <si>
    <t>181AC5990C</t>
  </si>
  <si>
    <t>1D4E2B3D7F</t>
  </si>
  <si>
    <t>1A51A16B94</t>
  </si>
  <si>
    <t>14CC1B06C5</t>
  </si>
  <si>
    <t>PVKILO24-2</t>
  </si>
  <si>
    <t>1BD59A373E</t>
  </si>
  <si>
    <t>BC093</t>
  </si>
  <si>
    <t>Merlot</t>
  </si>
  <si>
    <t>1A52E738ED</t>
  </si>
  <si>
    <t>PVKILO24-1</t>
  </si>
  <si>
    <t>1F76E0E316</t>
  </si>
  <si>
    <t>1BCFF7F2DC</t>
  </si>
  <si>
    <t>18316C5DB9</t>
  </si>
  <si>
    <t>13B1AA70B3</t>
  </si>
  <si>
    <t>1073B3363C</t>
  </si>
  <si>
    <t>1B107D006F</t>
  </si>
  <si>
    <t>1DB1906016</t>
  </si>
  <si>
    <t>PVCRPI24-001</t>
  </si>
  <si>
    <t>11F001DE79</t>
  </si>
  <si>
    <t>PVCRPI24-002</t>
  </si>
  <si>
    <t>1D165624ED</t>
  </si>
  <si>
    <t>12411C1EFE</t>
  </si>
  <si>
    <t>1D5D76FD3E</t>
  </si>
  <si>
    <t>1875CAA4CD</t>
  </si>
  <si>
    <t>1C7452317D</t>
  </si>
  <si>
    <t>1EC76C719A</t>
  </si>
  <si>
    <t>109D96B8A2</t>
  </si>
  <si>
    <t>PlotYield</t>
  </si>
  <si>
    <t>PeakStand</t>
  </si>
  <si>
    <t>Block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</si>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</sst>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topLeftCell="A189" workbookViewId="0">
      <selection activeCell="D232" sqref="D232:D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>
        <v>101</v>
      </c>
      <c r="C2" t="s">
        <v>20</v>
      </c>
      <c r="D2">
        <v>10</v>
      </c>
      <c r="E2" t="s">
        <v>21</v>
      </c>
      <c r="F2" t="s">
        <v>22</v>
      </c>
      <c r="G2">
        <v>2704.6762032341398</v>
      </c>
      <c r="H2">
        <v>10293556.1410653</v>
      </c>
      <c r="I2">
        <v>2704.6762032341398</v>
      </c>
      <c r="J2">
        <v>10293556.1410653</v>
      </c>
      <c r="K2">
        <v>6.3690007804405896E-2</v>
      </c>
      <c r="L2">
        <v>9.0996723449594807E-3</v>
      </c>
      <c r="M2">
        <v>-3.3861884254186299E-2</v>
      </c>
      <c r="N2">
        <v>7.3684243012591495E-4</v>
      </c>
      <c r="O2">
        <v>0.25585096502528598</v>
      </c>
      <c r="P2">
        <v>1.8101761863492698E-2</v>
      </c>
      <c r="Q2">
        <v>9.1019998086307494E-2</v>
      </c>
      <c r="R2">
        <v>8.2735358034764006E-2</v>
      </c>
      <c r="S2">
        <v>0.96994594336012296</v>
      </c>
      <c r="T2">
        <v>2.9150810319425399E-2</v>
      </c>
      <c r="U2">
        <v>72</v>
      </c>
    </row>
    <row r="3" spans="1:21" x14ac:dyDescent="0.25">
      <c r="A3">
        <v>2</v>
      </c>
      <c r="B3">
        <v>102</v>
      </c>
      <c r="C3" t="s">
        <v>20</v>
      </c>
      <c r="D3">
        <v>10</v>
      </c>
      <c r="E3" t="s">
        <v>21</v>
      </c>
      <c r="F3" t="s">
        <v>22</v>
      </c>
      <c r="G3">
        <v>3744.3685028822902</v>
      </c>
      <c r="H3">
        <v>40554902.012219198</v>
      </c>
      <c r="I3">
        <v>3744.3685028822902</v>
      </c>
      <c r="J3">
        <v>40554902.012219198</v>
      </c>
      <c r="K3">
        <v>7.2802683587624303E-2</v>
      </c>
      <c r="L3">
        <v>6.9335091021867903E-3</v>
      </c>
      <c r="M3">
        <v>-3.0261518714115698E-2</v>
      </c>
      <c r="N3">
        <v>7.74861771044348E-4</v>
      </c>
      <c r="O3">
        <v>0.27532693989034701</v>
      </c>
      <c r="P3">
        <v>2.07507758439089E-2</v>
      </c>
      <c r="Q3">
        <v>0.11319874662137901</v>
      </c>
      <c r="R3">
        <v>0.100384790384712</v>
      </c>
      <c r="S3">
        <v>0.90491395496238902</v>
      </c>
      <c r="T3">
        <v>8.60446890768337E-2</v>
      </c>
      <c r="U3">
        <v>57</v>
      </c>
    </row>
    <row r="4" spans="1:21" x14ac:dyDescent="0.25">
      <c r="A4">
        <v>3</v>
      </c>
      <c r="B4">
        <v>103</v>
      </c>
      <c r="C4" t="s">
        <v>20</v>
      </c>
      <c r="D4">
        <v>10</v>
      </c>
      <c r="E4" t="s">
        <v>21</v>
      </c>
      <c r="F4" t="s">
        <v>22</v>
      </c>
      <c r="G4">
        <v>3370.78047026279</v>
      </c>
      <c r="H4">
        <v>27904617.6592752</v>
      </c>
      <c r="I4">
        <v>3370.78047026279</v>
      </c>
      <c r="J4">
        <v>27904617.6592752</v>
      </c>
      <c r="K4">
        <v>7.8040029496067004E-2</v>
      </c>
      <c r="L4">
        <v>7.9329347137789396E-3</v>
      </c>
      <c r="M4">
        <v>-2.5044145804979899E-2</v>
      </c>
      <c r="N4">
        <v>7.0578081158071304E-4</v>
      </c>
      <c r="O4">
        <v>0.28121830752250798</v>
      </c>
      <c r="P4">
        <v>1.97667320974017E-2</v>
      </c>
      <c r="Q4">
        <v>0.103250345781466</v>
      </c>
      <c r="R4">
        <v>9.2589711877545097E-2</v>
      </c>
      <c r="S4">
        <v>0.940133344399259</v>
      </c>
      <c r="T4">
        <v>5.6282639147914697E-2</v>
      </c>
      <c r="U4">
        <v>84</v>
      </c>
    </row>
    <row r="5" spans="1:21" x14ac:dyDescent="0.25">
      <c r="A5">
        <v>4</v>
      </c>
      <c r="B5">
        <v>104</v>
      </c>
      <c r="C5" t="s">
        <v>20</v>
      </c>
      <c r="D5">
        <v>10</v>
      </c>
      <c r="E5" t="s">
        <v>21</v>
      </c>
      <c r="F5" t="s">
        <v>22</v>
      </c>
      <c r="G5">
        <v>3920.1301976494401</v>
      </c>
      <c r="H5">
        <v>39937946.981672198</v>
      </c>
      <c r="I5">
        <v>3920.1301976494401</v>
      </c>
      <c r="J5">
        <v>39937946.981672198</v>
      </c>
      <c r="K5">
        <v>6.8368519096623198E-2</v>
      </c>
      <c r="L5">
        <v>8.9967866172235306E-3</v>
      </c>
      <c r="M5">
        <v>-3.0878627041208698E-2</v>
      </c>
      <c r="N5">
        <v>8.42128163182088E-4</v>
      </c>
      <c r="O5">
        <v>0.27670967038627797</v>
      </c>
      <c r="P5">
        <v>2.35433818999407E-2</v>
      </c>
      <c r="Q5">
        <v>0.114462919612906</v>
      </c>
      <c r="R5">
        <v>0.101361159646531</v>
      </c>
      <c r="S5">
        <v>0.93327380665089998</v>
      </c>
      <c r="T5">
        <v>6.2273808470173497E-2</v>
      </c>
      <c r="U5">
        <v>59</v>
      </c>
    </row>
    <row r="6" spans="1:21" x14ac:dyDescent="0.25">
      <c r="A6">
        <v>5</v>
      </c>
      <c r="B6">
        <v>105</v>
      </c>
      <c r="C6" t="s">
        <v>20</v>
      </c>
      <c r="D6">
        <v>10</v>
      </c>
      <c r="E6" t="s">
        <v>21</v>
      </c>
      <c r="F6" t="s">
        <v>22</v>
      </c>
      <c r="G6">
        <v>4852.08497034229</v>
      </c>
      <c r="H6">
        <v>54276747.316135101</v>
      </c>
      <c r="I6">
        <v>4852.08497034229</v>
      </c>
      <c r="J6">
        <v>54276747.316135101</v>
      </c>
      <c r="K6">
        <v>9.0191457999872396E-2</v>
      </c>
      <c r="L6">
        <v>9.1880314382556793E-3</v>
      </c>
      <c r="M6">
        <v>-2.62840813333933E-2</v>
      </c>
      <c r="N6">
        <v>1.2883554405201899E-3</v>
      </c>
      <c r="O6">
        <v>0.30446813026648101</v>
      </c>
      <c r="P6">
        <v>2.6882290989475099E-2</v>
      </c>
      <c r="Q6">
        <v>0.146082407493031</v>
      </c>
      <c r="R6">
        <v>0.124742337714273</v>
      </c>
      <c r="S6">
        <v>0.94198073950778705</v>
      </c>
      <c r="T6">
        <v>5.4653025904230497E-2</v>
      </c>
      <c r="U6">
        <v>63</v>
      </c>
    </row>
    <row r="7" spans="1:21" x14ac:dyDescent="0.25">
      <c r="A7">
        <v>6</v>
      </c>
      <c r="B7">
        <v>106</v>
      </c>
      <c r="C7" t="s">
        <v>20</v>
      </c>
      <c r="D7">
        <v>10</v>
      </c>
      <c r="E7" t="s">
        <v>21</v>
      </c>
      <c r="F7" t="s">
        <v>22</v>
      </c>
      <c r="G7">
        <v>2843.6147029045501</v>
      </c>
      <c r="H7">
        <v>19437533.142211702</v>
      </c>
      <c r="I7">
        <v>2843.6147029045501</v>
      </c>
      <c r="J7">
        <v>19437533.142211702</v>
      </c>
      <c r="K7">
        <v>7.1526474608679502E-2</v>
      </c>
      <c r="L7">
        <v>5.4133347572983999E-3</v>
      </c>
      <c r="M7">
        <v>-2.6268314911819499E-2</v>
      </c>
      <c r="N7">
        <v>1.3123126036216101E-3</v>
      </c>
      <c r="O7">
        <v>0.26059313075308799</v>
      </c>
      <c r="P7">
        <v>1.2870042471807E-2</v>
      </c>
      <c r="Q7">
        <v>6.3626681393238904E-2</v>
      </c>
      <c r="R7">
        <v>5.9578326808110101E-2</v>
      </c>
      <c r="S7">
        <v>0.94314640720531195</v>
      </c>
      <c r="T7">
        <v>5.3621261781050901E-2</v>
      </c>
      <c r="U7">
        <v>48</v>
      </c>
    </row>
    <row r="8" spans="1:21" x14ac:dyDescent="0.25">
      <c r="A8">
        <v>7</v>
      </c>
      <c r="B8">
        <v>107</v>
      </c>
      <c r="C8" t="s">
        <v>20</v>
      </c>
      <c r="D8">
        <v>10</v>
      </c>
      <c r="E8" t="s">
        <v>21</v>
      </c>
      <c r="F8" t="s">
        <v>22</v>
      </c>
      <c r="G8">
        <v>3078.0814106308399</v>
      </c>
      <c r="H8">
        <v>33247212.7194474</v>
      </c>
      <c r="I8">
        <v>3078.0814106308399</v>
      </c>
      <c r="J8">
        <v>33247212.7194474</v>
      </c>
      <c r="K8">
        <v>8.3826088643181806E-2</v>
      </c>
      <c r="L8">
        <v>5.5260245101901801E-3</v>
      </c>
      <c r="M8">
        <v>-2.6677734939597401E-2</v>
      </c>
      <c r="N8">
        <v>1.60842003439517E-3</v>
      </c>
      <c r="O8">
        <v>0.28082221184888101</v>
      </c>
      <c r="P8">
        <v>1.5883088845115599E-2</v>
      </c>
      <c r="Q8">
        <v>9.2593944704049802E-2</v>
      </c>
      <c r="R8">
        <v>8.4020306108008494E-2</v>
      </c>
      <c r="S8">
        <v>0.94130172906805498</v>
      </c>
      <c r="T8">
        <v>5.5252783921664099E-2</v>
      </c>
      <c r="U8">
        <v>59</v>
      </c>
    </row>
    <row r="9" spans="1:21" x14ac:dyDescent="0.25">
      <c r="A9">
        <v>8</v>
      </c>
      <c r="B9">
        <v>108</v>
      </c>
      <c r="C9" t="s">
        <v>20</v>
      </c>
      <c r="D9">
        <v>10</v>
      </c>
      <c r="E9" t="s">
        <v>21</v>
      </c>
      <c r="F9" t="s">
        <v>22</v>
      </c>
      <c r="G9">
        <v>3965.4550521481201</v>
      </c>
      <c r="H9">
        <v>62353202.4069364</v>
      </c>
      <c r="I9">
        <v>3965.4550521481201</v>
      </c>
      <c r="J9">
        <v>62353202.4069364</v>
      </c>
      <c r="K9">
        <v>9.0750941188120798E-2</v>
      </c>
      <c r="L9">
        <v>5.2984800106808498E-3</v>
      </c>
      <c r="M9">
        <v>-2.69353469169018E-2</v>
      </c>
      <c r="N9">
        <v>7.6908509528849202E-4</v>
      </c>
      <c r="O9">
        <v>0.296917225763276</v>
      </c>
      <c r="P9">
        <v>2.1248438883275201E-2</v>
      </c>
      <c r="Q9">
        <v>0.12999952157688299</v>
      </c>
      <c r="R9">
        <v>0.11309964596663501</v>
      </c>
      <c r="S9">
        <v>0.89432138927426696</v>
      </c>
      <c r="T9">
        <v>9.4510641960886696E-2</v>
      </c>
      <c r="U9">
        <v>64</v>
      </c>
    </row>
    <row r="10" spans="1:21" x14ac:dyDescent="0.25">
      <c r="A10">
        <v>9</v>
      </c>
      <c r="B10">
        <v>109</v>
      </c>
      <c r="C10" t="s">
        <v>20</v>
      </c>
      <c r="D10">
        <v>10</v>
      </c>
      <c r="E10" t="s">
        <v>21</v>
      </c>
      <c r="F10" t="s">
        <v>22</v>
      </c>
      <c r="G10">
        <v>2630.6494845360799</v>
      </c>
      <c r="H10">
        <v>32894377.910600699</v>
      </c>
      <c r="I10">
        <v>2630.6494845360799</v>
      </c>
      <c r="J10">
        <v>32894377.910600699</v>
      </c>
      <c r="K10">
        <v>8.8685699106846802E-2</v>
      </c>
      <c r="L10">
        <v>6.0005275271937204E-3</v>
      </c>
      <c r="M10">
        <v>-2.7021156252464401E-2</v>
      </c>
      <c r="N10">
        <v>6.3429452938567102E-4</v>
      </c>
      <c r="O10">
        <v>0.285836637393513</v>
      </c>
      <c r="P10">
        <v>1.6629932858714301E-2</v>
      </c>
      <c r="Q10">
        <v>9.2424713564714003E-2</v>
      </c>
      <c r="R10">
        <v>8.3882385887255398E-2</v>
      </c>
      <c r="S10">
        <v>0.96895293906595703</v>
      </c>
      <c r="T10">
        <v>3.0083140941401399E-2</v>
      </c>
      <c r="U10">
        <v>92</v>
      </c>
    </row>
    <row r="11" spans="1:21" x14ac:dyDescent="0.25">
      <c r="A11">
        <v>10</v>
      </c>
      <c r="B11">
        <v>110</v>
      </c>
      <c r="C11" t="s">
        <v>20</v>
      </c>
      <c r="D11">
        <v>10</v>
      </c>
      <c r="E11" t="s">
        <v>21</v>
      </c>
      <c r="F11" t="s">
        <v>22</v>
      </c>
      <c r="G11">
        <v>3965.0875711620301</v>
      </c>
      <c r="H11">
        <v>72572676.001229495</v>
      </c>
      <c r="I11">
        <v>3965.0875711620301</v>
      </c>
      <c r="J11">
        <v>72572676.001229495</v>
      </c>
      <c r="K11">
        <v>9.1703268993718903E-2</v>
      </c>
      <c r="L11">
        <v>6.4920963300377403E-3</v>
      </c>
      <c r="M11">
        <v>-2.6150972162912099E-2</v>
      </c>
      <c r="N11">
        <v>6.6916756141206595E-4</v>
      </c>
      <c r="O11">
        <v>0.30760704477616202</v>
      </c>
      <c r="P11">
        <v>2.35228443727785E-2</v>
      </c>
      <c r="Q11">
        <v>0.13520786489977499</v>
      </c>
      <c r="R11">
        <v>0.116926698169173</v>
      </c>
      <c r="S11">
        <v>0.90340365480290896</v>
      </c>
      <c r="T11">
        <v>8.7265491291560193E-2</v>
      </c>
      <c r="U11">
        <v>67</v>
      </c>
    </row>
    <row r="12" spans="1:21" x14ac:dyDescent="0.25">
      <c r="A12">
        <v>11</v>
      </c>
      <c r="B12">
        <v>201</v>
      </c>
      <c r="C12" t="s">
        <v>20</v>
      </c>
      <c r="D12">
        <v>10</v>
      </c>
      <c r="E12" t="s">
        <v>21</v>
      </c>
      <c r="F12" t="s">
        <v>22</v>
      </c>
      <c r="G12">
        <v>2822.0600897079598</v>
      </c>
      <c r="H12">
        <v>9746082.1139602195</v>
      </c>
      <c r="I12">
        <v>2822.0600897079598</v>
      </c>
      <c r="J12">
        <v>9746082.1139602195</v>
      </c>
      <c r="K12">
        <v>3.5246087687053701E-2</v>
      </c>
      <c r="L12">
        <v>9.0884551894671994E-3</v>
      </c>
      <c r="M12">
        <v>-4.49730451512146E-2</v>
      </c>
      <c r="N12">
        <v>6.6445408752027605E-4</v>
      </c>
      <c r="O12">
        <v>0.22418679373143499</v>
      </c>
      <c r="P12">
        <v>1.7570649133741199E-2</v>
      </c>
      <c r="Q12">
        <v>7.9701135975817794E-2</v>
      </c>
      <c r="R12">
        <v>7.33488649000274E-2</v>
      </c>
      <c r="S12">
        <v>0.94611099598971204</v>
      </c>
      <c r="T12">
        <v>5.0984979257056202E-2</v>
      </c>
      <c r="U12">
        <v>83</v>
      </c>
    </row>
    <row r="13" spans="1:21" x14ac:dyDescent="0.25">
      <c r="A13">
        <v>12</v>
      </c>
      <c r="B13">
        <v>202</v>
      </c>
      <c r="C13" t="s">
        <v>20</v>
      </c>
      <c r="D13">
        <v>10</v>
      </c>
      <c r="E13" t="s">
        <v>21</v>
      </c>
      <c r="F13" t="s">
        <v>22</v>
      </c>
      <c r="G13">
        <v>2482.2424568578899</v>
      </c>
      <c r="H13">
        <v>7680483.22133068</v>
      </c>
      <c r="I13">
        <v>2482.2424568578899</v>
      </c>
      <c r="J13">
        <v>7680483.22133068</v>
      </c>
      <c r="K13">
        <v>2.7306100826564001E-2</v>
      </c>
      <c r="L13">
        <v>5.9068889381146397E-3</v>
      </c>
      <c r="M13">
        <v>-4.5049368475588401E-2</v>
      </c>
      <c r="N13">
        <v>5.6085006204022799E-4</v>
      </c>
      <c r="O13">
        <v>0.212030483626861</v>
      </c>
      <c r="P13">
        <v>1.17341989485954E-2</v>
      </c>
      <c r="Q13">
        <v>5.1638981571173997E-2</v>
      </c>
      <c r="R13">
        <v>4.8972397153358299E-2</v>
      </c>
      <c r="S13">
        <v>0.95119296776894102</v>
      </c>
      <c r="T13">
        <v>4.6424905835971801E-2</v>
      </c>
      <c r="U13">
        <v>76</v>
      </c>
    </row>
    <row r="14" spans="1:21" x14ac:dyDescent="0.25">
      <c r="A14">
        <v>13</v>
      </c>
      <c r="B14">
        <v>203</v>
      </c>
      <c r="C14" t="s">
        <v>20</v>
      </c>
      <c r="D14">
        <v>10</v>
      </c>
      <c r="E14" t="s">
        <v>21</v>
      </c>
      <c r="F14" t="s">
        <v>22</v>
      </c>
      <c r="G14">
        <v>2765.4051190048999</v>
      </c>
      <c r="H14">
        <v>9280919.2022698894</v>
      </c>
      <c r="I14">
        <v>2765.4051190048999</v>
      </c>
      <c r="J14">
        <v>9280919.2022698894</v>
      </c>
      <c r="K14">
        <v>5.5043038621183399E-2</v>
      </c>
      <c r="L14">
        <v>8.3746522450454403E-3</v>
      </c>
      <c r="M14">
        <v>-3.3521889084878499E-2</v>
      </c>
      <c r="N14">
        <v>7.0419009620815997E-4</v>
      </c>
      <c r="O14">
        <v>0.24524511511129299</v>
      </c>
      <c r="P14">
        <v>1.6850563313376098E-2</v>
      </c>
      <c r="Q14">
        <v>8.0002392058366206E-2</v>
      </c>
      <c r="R14">
        <v>7.3602009323233394E-2</v>
      </c>
      <c r="S14">
        <v>0.96153984142360005</v>
      </c>
      <c r="T14">
        <v>3.6980974778532398E-2</v>
      </c>
      <c r="U14">
        <v>82</v>
      </c>
    </row>
    <row r="15" spans="1:21" x14ac:dyDescent="0.25">
      <c r="A15">
        <v>14</v>
      </c>
      <c r="B15">
        <v>204</v>
      </c>
      <c r="C15" t="s">
        <v>20</v>
      </c>
      <c r="D15">
        <v>10</v>
      </c>
      <c r="E15" t="s">
        <v>21</v>
      </c>
      <c r="F15" t="s">
        <v>22</v>
      </c>
      <c r="G15">
        <v>2489.7273868896</v>
      </c>
      <c r="H15">
        <v>4192882.3487025402</v>
      </c>
      <c r="I15">
        <v>2489.7273868896</v>
      </c>
      <c r="J15">
        <v>4192882.3487025402</v>
      </c>
      <c r="K15">
        <v>2.7428118047854E-2</v>
      </c>
      <c r="L15">
        <v>4.4940421335963399E-3</v>
      </c>
      <c r="M15">
        <v>-4.1889922161838698E-2</v>
      </c>
      <c r="N15">
        <v>6.0445833329075295E-4</v>
      </c>
      <c r="O15">
        <v>0.21300669381208701</v>
      </c>
      <c r="P15">
        <v>7.80197310757327E-3</v>
      </c>
      <c r="Q15">
        <v>3.3176659131953203E-2</v>
      </c>
      <c r="R15">
        <v>3.2075968420793598E-2</v>
      </c>
      <c r="S15">
        <v>0.95494773602506799</v>
      </c>
      <c r="T15">
        <v>4.30225574857327E-2</v>
      </c>
      <c r="U15">
        <v>85</v>
      </c>
    </row>
    <row r="16" spans="1:21" x14ac:dyDescent="0.25">
      <c r="A16">
        <v>15</v>
      </c>
      <c r="B16">
        <v>205</v>
      </c>
      <c r="C16" t="s">
        <v>20</v>
      </c>
      <c r="D16">
        <v>10</v>
      </c>
      <c r="E16" t="s">
        <v>21</v>
      </c>
      <c r="F16" t="s">
        <v>22</v>
      </c>
      <c r="G16">
        <v>2785.8237587018498</v>
      </c>
      <c r="H16">
        <v>7368335.3204377498</v>
      </c>
      <c r="I16">
        <v>2785.8237587018498</v>
      </c>
      <c r="J16">
        <v>7368335.3204377498</v>
      </c>
      <c r="K16">
        <v>4.2515661901593699E-2</v>
      </c>
      <c r="L16">
        <v>5.95492083179942E-3</v>
      </c>
      <c r="M16">
        <v>-3.81838665893173E-2</v>
      </c>
      <c r="N16">
        <v>1.21965717516661E-3</v>
      </c>
      <c r="O16">
        <v>0.22987042653339701</v>
      </c>
      <c r="P16">
        <v>1.0876454394046499E-2</v>
      </c>
      <c r="Q16">
        <v>5.1706746036687901E-2</v>
      </c>
      <c r="R16">
        <v>4.90331584510302E-2</v>
      </c>
      <c r="S16">
        <v>0.90068864176929897</v>
      </c>
      <c r="T16">
        <v>8.9448612357189303E-2</v>
      </c>
      <c r="U16">
        <v>73</v>
      </c>
    </row>
    <row r="17" spans="1:21" x14ac:dyDescent="0.25">
      <c r="A17">
        <v>16</v>
      </c>
      <c r="B17">
        <v>206</v>
      </c>
      <c r="C17" t="s">
        <v>20</v>
      </c>
      <c r="D17">
        <v>10</v>
      </c>
      <c r="E17" t="s">
        <v>21</v>
      </c>
      <c r="F17" t="s">
        <v>22</v>
      </c>
      <c r="G17">
        <v>2513.29074426226</v>
      </c>
      <c r="H17">
        <v>6707405.3268034998</v>
      </c>
      <c r="I17">
        <v>2513.29074426226</v>
      </c>
      <c r="J17">
        <v>6707405.3268034998</v>
      </c>
      <c r="K17">
        <v>6.50689659499534E-2</v>
      </c>
      <c r="L17">
        <v>7.3620900917603501E-3</v>
      </c>
      <c r="M17">
        <v>-2.7775002915238399E-2</v>
      </c>
      <c r="N17">
        <v>1.49895488112324E-3</v>
      </c>
      <c r="O17">
        <v>0.250637806284915</v>
      </c>
      <c r="P17">
        <v>1.29299785005347E-2</v>
      </c>
      <c r="Q17">
        <v>6.3399232176814604E-2</v>
      </c>
      <c r="R17">
        <v>5.9379769536370003E-2</v>
      </c>
      <c r="S17">
        <v>0.94060661149117397</v>
      </c>
      <c r="T17">
        <v>5.5865813910295499E-2</v>
      </c>
      <c r="U17">
        <v>55</v>
      </c>
    </row>
    <row r="18" spans="1:21" x14ac:dyDescent="0.25">
      <c r="A18">
        <v>17</v>
      </c>
      <c r="B18">
        <v>207</v>
      </c>
      <c r="C18" t="s">
        <v>20</v>
      </c>
      <c r="D18">
        <v>10</v>
      </c>
      <c r="E18" t="s">
        <v>21</v>
      </c>
      <c r="F18" t="s">
        <v>22</v>
      </c>
      <c r="G18">
        <v>2352.47394054396</v>
      </c>
      <c r="H18">
        <v>5969953.9845265597</v>
      </c>
      <c r="I18">
        <v>2352.47394054396</v>
      </c>
      <c r="J18">
        <v>5969953.9845265597</v>
      </c>
      <c r="K18">
        <v>7.2032442096267302E-2</v>
      </c>
      <c r="L18">
        <v>6.4467558216948599E-3</v>
      </c>
      <c r="M18">
        <v>-2.8286126066186398E-2</v>
      </c>
      <c r="N18">
        <v>1.61102612690876E-3</v>
      </c>
      <c r="O18">
        <v>0.25864824215621701</v>
      </c>
      <c r="P18">
        <v>1.1585721084455E-2</v>
      </c>
      <c r="Q18">
        <v>6.5060088551549697E-2</v>
      </c>
      <c r="R18">
        <v>6.0827273429095899E-2</v>
      </c>
      <c r="S18">
        <v>0.95451842667914899</v>
      </c>
      <c r="T18">
        <v>4.3412999809066599E-2</v>
      </c>
      <c r="U18">
        <v>79</v>
      </c>
    </row>
    <row r="19" spans="1:21" x14ac:dyDescent="0.25">
      <c r="A19">
        <v>18</v>
      </c>
      <c r="B19">
        <v>208</v>
      </c>
      <c r="C19" t="s">
        <v>20</v>
      </c>
      <c r="D19">
        <v>10</v>
      </c>
      <c r="E19" t="s">
        <v>21</v>
      </c>
      <c r="F19" t="s">
        <v>22</v>
      </c>
      <c r="G19">
        <v>2086.3836843552999</v>
      </c>
      <c r="H19">
        <v>8113010.1773172803</v>
      </c>
      <c r="I19">
        <v>2086.3836843552999</v>
      </c>
      <c r="J19">
        <v>8113010.1773172803</v>
      </c>
      <c r="K19">
        <v>5.6119152957093299E-2</v>
      </c>
      <c r="L19">
        <v>4.1141923225422802E-3</v>
      </c>
      <c r="M19">
        <v>-3.6046826378731703E-2</v>
      </c>
      <c r="N19">
        <v>5.2899757770711101E-4</v>
      </c>
      <c r="O19">
        <v>0.23792273468869901</v>
      </c>
      <c r="P19">
        <v>9.0073416917981503E-3</v>
      </c>
      <c r="Q19">
        <v>4.5937832633681397E-2</v>
      </c>
      <c r="R19">
        <v>4.3827548166626602E-2</v>
      </c>
      <c r="S19">
        <v>0.85630575685824295</v>
      </c>
      <c r="T19">
        <v>0.12304620762957801</v>
      </c>
      <c r="U19">
        <v>41</v>
      </c>
    </row>
    <row r="20" spans="1:21" x14ac:dyDescent="0.25">
      <c r="A20">
        <v>19</v>
      </c>
      <c r="B20">
        <v>209</v>
      </c>
      <c r="C20" t="s">
        <v>20</v>
      </c>
      <c r="D20">
        <v>10</v>
      </c>
      <c r="E20" t="s">
        <v>21</v>
      </c>
      <c r="F20" t="s">
        <v>22</v>
      </c>
      <c r="G20">
        <v>2174.6054660990799</v>
      </c>
      <c r="H20">
        <v>12419645.0559291</v>
      </c>
      <c r="I20">
        <v>2174.6054660990799</v>
      </c>
      <c r="J20">
        <v>12419645.0559291</v>
      </c>
      <c r="K20">
        <v>7.8875334540348896E-2</v>
      </c>
      <c r="L20">
        <v>6.8111978415460401E-3</v>
      </c>
      <c r="M20">
        <v>-3.0897766147687401E-2</v>
      </c>
      <c r="N20">
        <v>6.1577411849284404E-4</v>
      </c>
      <c r="O20">
        <v>0.27046474413152799</v>
      </c>
      <c r="P20">
        <v>1.55143501281624E-2</v>
      </c>
      <c r="Q20">
        <v>8.5865876981923606E-2</v>
      </c>
      <c r="R20">
        <v>7.8492928151919106E-2</v>
      </c>
      <c r="S20">
        <v>0.96260333127698905</v>
      </c>
      <c r="T20">
        <v>3.59981578915127E-2</v>
      </c>
      <c r="U20">
        <v>63</v>
      </c>
    </row>
    <row r="21" spans="1:21" x14ac:dyDescent="0.25">
      <c r="A21">
        <v>20</v>
      </c>
      <c r="B21">
        <v>210</v>
      </c>
      <c r="C21" t="s">
        <v>20</v>
      </c>
      <c r="D21">
        <v>10</v>
      </c>
      <c r="E21" t="s">
        <v>21</v>
      </c>
      <c r="F21" t="s">
        <v>22</v>
      </c>
      <c r="G21">
        <v>2066.1528654315998</v>
      </c>
      <c r="H21">
        <v>11838700.254930399</v>
      </c>
      <c r="I21">
        <v>2066.1528654315998</v>
      </c>
      <c r="J21">
        <v>11838700.254930399</v>
      </c>
      <c r="K21">
        <v>7.3300229098788305E-2</v>
      </c>
      <c r="L21">
        <v>5.4518196969126197E-3</v>
      </c>
      <c r="M21">
        <v>-2.8822392052162301E-2</v>
      </c>
      <c r="N21">
        <v>5.9997331590866995E-4</v>
      </c>
      <c r="O21">
        <v>0.26686082414169598</v>
      </c>
      <c r="P21">
        <v>1.2456807713474001E-2</v>
      </c>
      <c r="Q21">
        <v>7.2730048859934907E-2</v>
      </c>
      <c r="R21">
        <v>6.7440388852816405E-2</v>
      </c>
      <c r="S21">
        <v>0.94189493505006405</v>
      </c>
      <c r="T21">
        <v>5.4728866377083102E-2</v>
      </c>
      <c r="U21">
        <v>76</v>
      </c>
    </row>
    <row r="22" spans="1:21" x14ac:dyDescent="0.25">
      <c r="A22">
        <v>21</v>
      </c>
      <c r="B22">
        <v>301</v>
      </c>
      <c r="C22" t="s">
        <v>20</v>
      </c>
      <c r="D22">
        <v>10</v>
      </c>
      <c r="E22" t="s">
        <v>21</v>
      </c>
      <c r="F22" t="s">
        <v>22</v>
      </c>
      <c r="G22">
        <v>2861.38134095844</v>
      </c>
      <c r="H22">
        <v>13653481.388750499</v>
      </c>
      <c r="I22">
        <v>2861.38134095844</v>
      </c>
      <c r="J22">
        <v>13653481.388750499</v>
      </c>
      <c r="K22">
        <v>2.1222208019725099E-2</v>
      </c>
      <c r="L22">
        <v>4.2747269271016597E-3</v>
      </c>
      <c r="M22">
        <v>-4.3776230290214602E-2</v>
      </c>
      <c r="N22">
        <v>5.4788328922453905E-4</v>
      </c>
      <c r="O22">
        <v>0.20826834147494899</v>
      </c>
      <c r="P22">
        <v>1.07997664499764E-2</v>
      </c>
      <c r="Q22">
        <v>4.9581203382743702E-2</v>
      </c>
      <c r="R22">
        <v>4.71229076539093E-2</v>
      </c>
      <c r="S22">
        <v>0.93884047805325499</v>
      </c>
      <c r="T22">
        <v>5.7419034821813097E-2</v>
      </c>
      <c r="U22">
        <v>60</v>
      </c>
    </row>
    <row r="23" spans="1:21" x14ac:dyDescent="0.25">
      <c r="A23">
        <v>22</v>
      </c>
      <c r="B23">
        <v>302</v>
      </c>
      <c r="C23" t="s">
        <v>20</v>
      </c>
      <c r="D23">
        <v>10</v>
      </c>
      <c r="E23" t="s">
        <v>21</v>
      </c>
      <c r="F23" t="s">
        <v>22</v>
      </c>
      <c r="G23">
        <v>3147.3239409668199</v>
      </c>
      <c r="H23">
        <v>26778191.255695701</v>
      </c>
      <c r="I23">
        <v>3147.3239409668199</v>
      </c>
      <c r="J23">
        <v>26778191.255695701</v>
      </c>
      <c r="K23">
        <v>2.7727938707080499E-2</v>
      </c>
      <c r="L23">
        <v>7.6829609606564198E-3</v>
      </c>
      <c r="M23">
        <v>-4.6854848307868298E-2</v>
      </c>
      <c r="N23">
        <v>6.2877888436389101E-4</v>
      </c>
      <c r="O23">
        <v>0.230029877719549</v>
      </c>
      <c r="P23">
        <v>2.0520213903019498E-2</v>
      </c>
      <c r="Q23">
        <v>9.9050398258664796E-2</v>
      </c>
      <c r="R23">
        <v>8.9239416863499996E-2</v>
      </c>
      <c r="S23">
        <v>0.83384361470567103</v>
      </c>
      <c r="T23">
        <v>0.13854844092006199</v>
      </c>
      <c r="U23">
        <v>57</v>
      </c>
    </row>
    <row r="24" spans="1:21" x14ac:dyDescent="0.25">
      <c r="A24">
        <v>23</v>
      </c>
      <c r="B24">
        <v>303</v>
      </c>
      <c r="C24" t="s">
        <v>20</v>
      </c>
      <c r="D24">
        <v>10</v>
      </c>
      <c r="E24" t="s">
        <v>21</v>
      </c>
      <c r="F24" t="s">
        <v>22</v>
      </c>
      <c r="G24">
        <v>2778.4817164595202</v>
      </c>
      <c r="H24">
        <v>14460441.3798625</v>
      </c>
      <c r="I24">
        <v>2778.4817164595202</v>
      </c>
      <c r="J24">
        <v>14460441.3798625</v>
      </c>
      <c r="K24">
        <v>7.1121303863954294E-2</v>
      </c>
      <c r="L24">
        <v>1.13018076894959E-2</v>
      </c>
      <c r="M24">
        <v>-3.10021416671055E-2</v>
      </c>
      <c r="N24">
        <v>9.2587251303570301E-4</v>
      </c>
      <c r="O24">
        <v>0.26726648988152801</v>
      </c>
      <c r="P24">
        <v>2.3557143200666601E-2</v>
      </c>
      <c r="Q24">
        <v>0.119453290541629</v>
      </c>
      <c r="R24">
        <v>0.10518420192049301</v>
      </c>
      <c r="S24">
        <v>0.90802290133095398</v>
      </c>
      <c r="T24">
        <v>8.3517311989623394E-2</v>
      </c>
      <c r="U24">
        <v>79</v>
      </c>
    </row>
    <row r="25" spans="1:21" x14ac:dyDescent="0.25">
      <c r="A25">
        <v>24</v>
      </c>
      <c r="B25">
        <v>304</v>
      </c>
      <c r="C25" t="s">
        <v>20</v>
      </c>
      <c r="D25">
        <v>10</v>
      </c>
      <c r="E25" t="s">
        <v>21</v>
      </c>
      <c r="F25" t="s">
        <v>22</v>
      </c>
      <c r="G25">
        <v>2882.7654586771901</v>
      </c>
      <c r="H25">
        <v>12938870.6402181</v>
      </c>
      <c r="I25">
        <v>2882.7654586771901</v>
      </c>
      <c r="J25">
        <v>12938870.6402181</v>
      </c>
      <c r="K25">
        <v>5.5233050077083401E-2</v>
      </c>
      <c r="L25">
        <v>1.1052165427365101E-2</v>
      </c>
      <c r="M25">
        <v>-3.6539158783540603E-2</v>
      </c>
      <c r="N25">
        <v>8.87634552684108E-4</v>
      </c>
      <c r="O25">
        <v>0.25434124446133699</v>
      </c>
      <c r="P25">
        <v>2.1804069470613599E-2</v>
      </c>
      <c r="Q25">
        <v>0.10606386795837799</v>
      </c>
      <c r="R25">
        <v>9.4814323872062206E-2</v>
      </c>
      <c r="S25">
        <v>0.89419166547055196</v>
      </c>
      <c r="T25">
        <v>9.4612930873404999E-2</v>
      </c>
      <c r="U25">
        <v>51</v>
      </c>
    </row>
    <row r="26" spans="1:21" x14ac:dyDescent="0.25">
      <c r="A26">
        <v>25</v>
      </c>
      <c r="B26">
        <v>305</v>
      </c>
      <c r="C26" t="s">
        <v>20</v>
      </c>
      <c r="D26">
        <v>10</v>
      </c>
      <c r="E26" t="s">
        <v>21</v>
      </c>
      <c r="F26" t="s">
        <v>22</v>
      </c>
      <c r="G26">
        <v>2580.1870036360201</v>
      </c>
      <c r="H26">
        <v>6372972.5061859898</v>
      </c>
      <c r="I26">
        <v>2580.1870036360201</v>
      </c>
      <c r="J26">
        <v>6372972.5061859898</v>
      </c>
      <c r="K26">
        <v>4.81814603626423E-2</v>
      </c>
      <c r="L26">
        <v>7.2997682134861401E-3</v>
      </c>
      <c r="M26">
        <v>-3.6014129402386998E-2</v>
      </c>
      <c r="N26">
        <v>1.50770639552903E-3</v>
      </c>
      <c r="O26">
        <v>0.238428357224895</v>
      </c>
      <c r="P26">
        <v>1.28017862457651E-2</v>
      </c>
      <c r="Q26">
        <v>6.1991675437757202E-2</v>
      </c>
      <c r="R26">
        <v>5.8148707614087802E-2</v>
      </c>
      <c r="S26">
        <v>0.92397311069113197</v>
      </c>
      <c r="T26">
        <v>7.0246801410897702E-2</v>
      </c>
      <c r="U26">
        <v>65</v>
      </c>
    </row>
    <row r="27" spans="1:21" x14ac:dyDescent="0.25">
      <c r="A27">
        <v>26</v>
      </c>
      <c r="B27">
        <v>306</v>
      </c>
      <c r="C27" t="s">
        <v>20</v>
      </c>
      <c r="D27">
        <v>10</v>
      </c>
      <c r="E27" t="s">
        <v>21</v>
      </c>
      <c r="F27" t="s">
        <v>22</v>
      </c>
      <c r="G27">
        <v>2278.9413951974402</v>
      </c>
      <c r="H27">
        <v>4219688.1698759701</v>
      </c>
      <c r="I27">
        <v>2278.9413951974402</v>
      </c>
      <c r="J27">
        <v>4219688.1698759701</v>
      </c>
      <c r="K27">
        <v>5.3165274019785103E-2</v>
      </c>
      <c r="L27">
        <v>5.5792366341569496E-3</v>
      </c>
      <c r="M27">
        <v>-2.9906405783157199E-2</v>
      </c>
      <c r="N27">
        <v>1.4211292747090599E-3</v>
      </c>
      <c r="O27">
        <v>0.23946321895960501</v>
      </c>
      <c r="P27">
        <v>8.9627107249273096E-3</v>
      </c>
      <c r="Q27">
        <v>4.3606179733079599E-2</v>
      </c>
      <c r="R27">
        <v>4.1704680822281702E-2</v>
      </c>
      <c r="S27">
        <v>0.95141401369571499</v>
      </c>
      <c r="T27">
        <v>4.6225388239173798E-2</v>
      </c>
      <c r="U27">
        <v>55</v>
      </c>
    </row>
    <row r="28" spans="1:21" x14ac:dyDescent="0.25">
      <c r="A28">
        <v>27</v>
      </c>
      <c r="B28">
        <v>307</v>
      </c>
      <c r="C28" t="s">
        <v>20</v>
      </c>
      <c r="D28">
        <v>10</v>
      </c>
      <c r="E28" t="s">
        <v>21</v>
      </c>
      <c r="F28" t="s">
        <v>22</v>
      </c>
      <c r="G28">
        <v>2705.31152667777</v>
      </c>
      <c r="H28">
        <v>12203674.5131262</v>
      </c>
      <c r="I28">
        <v>2705.31152667777</v>
      </c>
      <c r="J28">
        <v>12203674.5131262</v>
      </c>
      <c r="K28">
        <v>9.9350458074672104E-2</v>
      </c>
      <c r="L28">
        <v>1.21118000162058E-2</v>
      </c>
      <c r="M28">
        <v>-2.12728579229137E-2</v>
      </c>
      <c r="N28">
        <v>2.4191254658736902E-3</v>
      </c>
      <c r="O28">
        <v>0.297497990099101</v>
      </c>
      <c r="P28">
        <v>2.23593912940241E-2</v>
      </c>
      <c r="Q28">
        <v>0.122856307445875</v>
      </c>
      <c r="R28">
        <v>0.10776263516663701</v>
      </c>
      <c r="S28">
        <v>0.941596003000292</v>
      </c>
      <c r="T28">
        <v>5.49929701342756E-2</v>
      </c>
      <c r="U28">
        <v>69</v>
      </c>
    </row>
    <row r="29" spans="1:21" x14ac:dyDescent="0.25">
      <c r="A29">
        <v>28</v>
      </c>
      <c r="B29">
        <v>308</v>
      </c>
      <c r="C29" t="s">
        <v>20</v>
      </c>
      <c r="D29">
        <v>10</v>
      </c>
      <c r="E29" t="s">
        <v>21</v>
      </c>
      <c r="F29" t="s">
        <v>22</v>
      </c>
      <c r="G29">
        <v>2089.6551433070899</v>
      </c>
      <c r="H29">
        <v>12435935.0406454</v>
      </c>
      <c r="I29">
        <v>2089.6551433070899</v>
      </c>
      <c r="J29">
        <v>12435935.0406454</v>
      </c>
      <c r="K29">
        <v>7.3755410939519206E-2</v>
      </c>
      <c r="L29">
        <v>5.0424818016813096E-3</v>
      </c>
      <c r="M29">
        <v>-3.2325588594479301E-2</v>
      </c>
      <c r="N29">
        <v>5.7154413009385095E-4</v>
      </c>
      <c r="O29">
        <v>0.25906721215539102</v>
      </c>
      <c r="P29">
        <v>1.1903095290268499E-2</v>
      </c>
      <c r="Q29">
        <v>6.7313385826771696E-2</v>
      </c>
      <c r="R29">
        <v>6.27822939152234E-2</v>
      </c>
      <c r="S29">
        <v>0.90533662568030604</v>
      </c>
      <c r="T29">
        <v>8.5702219882115405E-2</v>
      </c>
      <c r="U29">
        <v>44</v>
      </c>
    </row>
    <row r="30" spans="1:21" x14ac:dyDescent="0.25">
      <c r="A30">
        <v>29</v>
      </c>
      <c r="B30">
        <v>309</v>
      </c>
      <c r="C30" t="s">
        <v>20</v>
      </c>
      <c r="D30">
        <v>10</v>
      </c>
      <c r="E30" t="s">
        <v>21</v>
      </c>
      <c r="F30" t="s">
        <v>22</v>
      </c>
      <c r="G30">
        <v>2349.5136508771702</v>
      </c>
      <c r="H30">
        <v>24730108.508385099</v>
      </c>
      <c r="I30">
        <v>2349.5136508771702</v>
      </c>
      <c r="J30">
        <v>24730108.508385099</v>
      </c>
      <c r="K30">
        <v>8.7194456100334494E-2</v>
      </c>
      <c r="L30">
        <v>6.9724137913656703E-3</v>
      </c>
      <c r="M30">
        <v>-3.08814155153876E-2</v>
      </c>
      <c r="N30">
        <v>5.8156480670917702E-4</v>
      </c>
      <c r="O30">
        <v>0.27939425824542302</v>
      </c>
      <c r="P30">
        <v>1.81220827171008E-2</v>
      </c>
      <c r="Q30">
        <v>9.6399229858528404E-2</v>
      </c>
      <c r="R30">
        <v>8.7106418341205999E-2</v>
      </c>
      <c r="S30">
        <v>0.83682158490205005</v>
      </c>
      <c r="T30">
        <v>0.13655121994411701</v>
      </c>
      <c r="U30">
        <v>34</v>
      </c>
    </row>
    <row r="31" spans="1:21" x14ac:dyDescent="0.25">
      <c r="A31">
        <v>30</v>
      </c>
      <c r="B31">
        <v>310</v>
      </c>
      <c r="C31" t="s">
        <v>20</v>
      </c>
      <c r="D31">
        <v>10</v>
      </c>
      <c r="E31" t="s">
        <v>21</v>
      </c>
      <c r="F31" t="s">
        <v>22</v>
      </c>
      <c r="G31">
        <v>2469.5377205298801</v>
      </c>
      <c r="H31">
        <v>25639366.794789601</v>
      </c>
      <c r="I31">
        <v>2469.5377205298801</v>
      </c>
      <c r="J31">
        <v>25639366.794789601</v>
      </c>
      <c r="K31">
        <v>8.1937778631575503E-2</v>
      </c>
      <c r="L31">
        <v>6.7730834685087501E-3</v>
      </c>
      <c r="M31">
        <v>-2.9970700374374999E-2</v>
      </c>
      <c r="N31">
        <v>6.02368877136047E-4</v>
      </c>
      <c r="O31">
        <v>0.27723929736726599</v>
      </c>
      <c r="P31">
        <v>1.8458837200535799E-2</v>
      </c>
      <c r="Q31">
        <v>9.6013674378853595E-2</v>
      </c>
      <c r="R31">
        <v>8.6795048711262604E-2</v>
      </c>
      <c r="S31">
        <v>0.86854861357004198</v>
      </c>
      <c r="T31">
        <v>0.114171919435548</v>
      </c>
      <c r="U31">
        <v>30</v>
      </c>
    </row>
    <row r="32" spans="1:21" x14ac:dyDescent="0.25">
      <c r="A32">
        <v>31</v>
      </c>
      <c r="B32">
        <v>401</v>
      </c>
      <c r="C32" t="s">
        <v>20</v>
      </c>
      <c r="D32">
        <v>10</v>
      </c>
      <c r="E32" t="s">
        <v>21</v>
      </c>
      <c r="F32" t="s">
        <v>22</v>
      </c>
      <c r="G32">
        <v>3137.5521072522001</v>
      </c>
      <c r="H32">
        <v>20411003.973150499</v>
      </c>
      <c r="I32">
        <v>3137.5521072522001</v>
      </c>
      <c r="J32">
        <v>20411003.973150499</v>
      </c>
      <c r="K32">
        <v>4.9640270037689997E-2</v>
      </c>
      <c r="L32">
        <v>5.4974965240185102E-3</v>
      </c>
      <c r="M32">
        <v>-3.35850928534214E-2</v>
      </c>
      <c r="N32">
        <v>7.0007325380566101E-4</v>
      </c>
      <c r="O32">
        <v>0.23862028116137499</v>
      </c>
      <c r="P32">
        <v>1.53338803339083E-2</v>
      </c>
      <c r="Q32">
        <v>7.7485170302334497E-2</v>
      </c>
      <c r="R32">
        <v>7.1481218685534503E-2</v>
      </c>
      <c r="S32">
        <v>0.94613213414342401</v>
      </c>
      <c r="T32">
        <v>5.0966118884644099E-2</v>
      </c>
      <c r="U32">
        <v>78</v>
      </c>
    </row>
    <row r="33" spans="1:21" x14ac:dyDescent="0.25">
      <c r="A33">
        <v>32</v>
      </c>
      <c r="B33">
        <v>402</v>
      </c>
      <c r="C33" t="s">
        <v>20</v>
      </c>
      <c r="D33">
        <v>10</v>
      </c>
      <c r="E33" t="s">
        <v>21</v>
      </c>
      <c r="F33" t="s">
        <v>22</v>
      </c>
      <c r="G33">
        <v>1970.8729651823401</v>
      </c>
      <c r="H33">
        <v>2424672.0984578002</v>
      </c>
      <c r="I33">
        <v>1970.8729651823401</v>
      </c>
      <c r="J33">
        <v>2424672.0984578002</v>
      </c>
      <c r="K33">
        <v>2.6880171320228402E-3</v>
      </c>
      <c r="L33">
        <v>1.58715393380615E-3</v>
      </c>
      <c r="M33">
        <v>-4.8958289624963597E-2</v>
      </c>
      <c r="N33">
        <v>2.84437494126215E-4</v>
      </c>
      <c r="O33">
        <v>0.18407473082176701</v>
      </c>
      <c r="P33">
        <v>2.9420860448472999E-3</v>
      </c>
      <c r="Q33">
        <v>1.01546521224299E-2</v>
      </c>
      <c r="R33">
        <v>1.0051535162708999E-2</v>
      </c>
      <c r="S33">
        <v>0.67304173095554198</v>
      </c>
      <c r="T33">
        <v>0.220056559347512</v>
      </c>
      <c r="U33">
        <v>35</v>
      </c>
    </row>
    <row r="34" spans="1:21" x14ac:dyDescent="0.25">
      <c r="A34">
        <v>33</v>
      </c>
      <c r="B34">
        <v>403</v>
      </c>
      <c r="C34" t="s">
        <v>20</v>
      </c>
      <c r="D34">
        <v>10</v>
      </c>
      <c r="E34" t="s">
        <v>21</v>
      </c>
      <c r="F34" t="s">
        <v>22</v>
      </c>
      <c r="G34">
        <v>3512.6786402023799</v>
      </c>
      <c r="H34">
        <v>27875223.332331602</v>
      </c>
      <c r="I34">
        <v>3512.6786402023799</v>
      </c>
      <c r="J34">
        <v>27875223.332331602</v>
      </c>
      <c r="K34">
        <v>6.4723178233372702E-2</v>
      </c>
      <c r="L34">
        <v>6.0372555721226401E-3</v>
      </c>
      <c r="M34">
        <v>-3.2246386282129502E-2</v>
      </c>
      <c r="N34">
        <v>8.3692828823148796E-4</v>
      </c>
      <c r="O34">
        <v>0.26271667153808098</v>
      </c>
      <c r="P34">
        <v>1.8393436746609499E-2</v>
      </c>
      <c r="Q34">
        <v>0.10212326784388299</v>
      </c>
      <c r="R34">
        <v>9.1694106008856302E-2</v>
      </c>
      <c r="S34">
        <v>0.87159023677949699</v>
      </c>
      <c r="T34">
        <v>0.11192069593022</v>
      </c>
      <c r="U34">
        <v>67</v>
      </c>
    </row>
    <row r="35" spans="1:21" x14ac:dyDescent="0.25">
      <c r="A35">
        <v>34</v>
      </c>
      <c r="B35">
        <v>404</v>
      </c>
      <c r="C35" t="s">
        <v>20</v>
      </c>
      <c r="D35">
        <v>10</v>
      </c>
      <c r="E35" t="s">
        <v>21</v>
      </c>
      <c r="F35" t="s">
        <v>22</v>
      </c>
      <c r="G35">
        <v>2598.1726385533502</v>
      </c>
      <c r="H35">
        <v>11236181.0701668</v>
      </c>
      <c r="I35">
        <v>2598.1726385533502</v>
      </c>
      <c r="J35">
        <v>11236181.0701668</v>
      </c>
      <c r="K35">
        <v>2.2609187172998198E-2</v>
      </c>
      <c r="L35">
        <v>4.1211623672643104E-3</v>
      </c>
      <c r="M35">
        <v>-4.4410023999737903E-2</v>
      </c>
      <c r="N35">
        <v>5.3882783365815496E-4</v>
      </c>
      <c r="O35">
        <v>0.21642255217831699</v>
      </c>
      <c r="P35">
        <v>1.0073949444094199E-2</v>
      </c>
      <c r="Q35">
        <v>4.5375176405864998E-2</v>
      </c>
      <c r="R35">
        <v>4.33162697720339E-2</v>
      </c>
      <c r="S35">
        <v>0.90371965075947902</v>
      </c>
      <c r="T35">
        <v>8.7010443590517905E-2</v>
      </c>
      <c r="U35">
        <v>47</v>
      </c>
    </row>
    <row r="36" spans="1:21" x14ac:dyDescent="0.25">
      <c r="A36">
        <v>35</v>
      </c>
      <c r="B36">
        <v>405</v>
      </c>
      <c r="C36" t="s">
        <v>20</v>
      </c>
      <c r="D36">
        <v>10</v>
      </c>
      <c r="E36" t="s">
        <v>21</v>
      </c>
      <c r="F36" t="s">
        <v>22</v>
      </c>
      <c r="G36">
        <v>2175.6694007554001</v>
      </c>
      <c r="H36">
        <v>4595921.4204409197</v>
      </c>
      <c r="I36">
        <v>2175.6694007554001</v>
      </c>
      <c r="J36">
        <v>4595921.4204409197</v>
      </c>
      <c r="K36">
        <v>1.5978016709943199E-2</v>
      </c>
      <c r="L36">
        <v>2.9738087373761901E-3</v>
      </c>
      <c r="M36">
        <v>-4.4152370667902299E-2</v>
      </c>
      <c r="N36">
        <v>8.4227535387786199E-4</v>
      </c>
      <c r="O36">
        <v>0.20611053248932201</v>
      </c>
      <c r="P36">
        <v>5.6283896424919799E-3</v>
      </c>
      <c r="Q36">
        <v>2.4465866170584601E-2</v>
      </c>
      <c r="R36">
        <v>2.3867287563067999E-2</v>
      </c>
      <c r="S36">
        <v>0.93297726920421098</v>
      </c>
      <c r="T36">
        <v>6.25306843525094E-2</v>
      </c>
      <c r="U36">
        <v>45</v>
      </c>
    </row>
    <row r="37" spans="1:21" x14ac:dyDescent="0.25">
      <c r="A37">
        <v>36</v>
      </c>
      <c r="B37">
        <v>406</v>
      </c>
      <c r="C37" t="s">
        <v>20</v>
      </c>
      <c r="D37">
        <v>10</v>
      </c>
      <c r="E37" t="s">
        <v>21</v>
      </c>
      <c r="F37" t="s">
        <v>22</v>
      </c>
      <c r="G37">
        <v>3156.50490098813</v>
      </c>
      <c r="H37">
        <v>19613846.946432602</v>
      </c>
      <c r="I37">
        <v>3156.50490098813</v>
      </c>
      <c r="J37">
        <v>19613846.946432602</v>
      </c>
      <c r="K37">
        <v>6.5833102875496305E-2</v>
      </c>
      <c r="L37">
        <v>9.9417240699468806E-3</v>
      </c>
      <c r="M37">
        <v>-2.90377824099309E-2</v>
      </c>
      <c r="N37">
        <v>2.1890187694427899E-3</v>
      </c>
      <c r="O37">
        <v>0.27069221274994698</v>
      </c>
      <c r="P37">
        <v>1.9821198952661202E-2</v>
      </c>
      <c r="Q37">
        <v>0.10333743402516</v>
      </c>
      <c r="R37">
        <v>9.2658808754251601E-2</v>
      </c>
      <c r="S37">
        <v>0.92156266123377695</v>
      </c>
      <c r="T37">
        <v>7.2284922653568007E-2</v>
      </c>
      <c r="U37">
        <v>75</v>
      </c>
    </row>
    <row r="38" spans="1:21" x14ac:dyDescent="0.25">
      <c r="A38">
        <v>37</v>
      </c>
      <c r="B38">
        <v>407</v>
      </c>
      <c r="C38" t="s">
        <v>20</v>
      </c>
      <c r="D38">
        <v>10</v>
      </c>
      <c r="E38" t="s">
        <v>21</v>
      </c>
      <c r="F38" t="s">
        <v>22</v>
      </c>
      <c r="G38">
        <v>1832.28816576646</v>
      </c>
      <c r="H38">
        <v>3797538.30457643</v>
      </c>
      <c r="I38">
        <v>1832.28816576646</v>
      </c>
      <c r="J38">
        <v>3797538.30457643</v>
      </c>
      <c r="K38">
        <v>3.4168639321545798E-2</v>
      </c>
      <c r="L38">
        <v>3.4807838655164002E-3</v>
      </c>
      <c r="M38">
        <v>-3.7828604252144397E-2</v>
      </c>
      <c r="N38">
        <v>9.3621480871333197E-4</v>
      </c>
      <c r="O38">
        <v>0.21934169030565501</v>
      </c>
      <c r="P38">
        <v>5.0325812214526396E-3</v>
      </c>
      <c r="Q38">
        <v>1.88679245283019E-2</v>
      </c>
      <c r="R38">
        <v>1.8511925952270501E-2</v>
      </c>
      <c r="S38">
        <v>0.74304260420955703</v>
      </c>
      <c r="T38">
        <v>0.19093029253935001</v>
      </c>
      <c r="U38">
        <v>36</v>
      </c>
    </row>
    <row r="39" spans="1:21" x14ac:dyDescent="0.25">
      <c r="A39">
        <v>38</v>
      </c>
      <c r="B39">
        <v>408</v>
      </c>
      <c r="C39" t="s">
        <v>20</v>
      </c>
      <c r="D39">
        <v>10</v>
      </c>
      <c r="E39" t="s">
        <v>21</v>
      </c>
      <c r="F39" t="s">
        <v>22</v>
      </c>
      <c r="G39">
        <v>2622.4977516264798</v>
      </c>
      <c r="H39">
        <v>26449595.190340798</v>
      </c>
      <c r="I39">
        <v>2622.4977516264798</v>
      </c>
      <c r="J39">
        <v>26449595.190340798</v>
      </c>
      <c r="K39">
        <v>6.2623060298028596E-2</v>
      </c>
      <c r="L39">
        <v>5.0707541491434097E-3</v>
      </c>
      <c r="M39">
        <v>-3.3925509614424101E-2</v>
      </c>
      <c r="N39">
        <v>6.5330535458390897E-4</v>
      </c>
      <c r="O39">
        <v>0.26172395419285599</v>
      </c>
      <c r="P39">
        <v>1.4715505368971199E-2</v>
      </c>
      <c r="Q39">
        <v>8.1742728664370504E-2</v>
      </c>
      <c r="R39">
        <v>7.5060854974920793E-2</v>
      </c>
      <c r="S39">
        <v>0.931231611931016</v>
      </c>
      <c r="T39">
        <v>6.4039296871332904E-2</v>
      </c>
      <c r="U39">
        <v>54</v>
      </c>
    </row>
    <row r="40" spans="1:21" x14ac:dyDescent="0.25">
      <c r="A40">
        <v>39</v>
      </c>
      <c r="B40">
        <v>410</v>
      </c>
      <c r="C40" t="s">
        <v>20</v>
      </c>
      <c r="D40">
        <v>10</v>
      </c>
      <c r="E40" t="s">
        <v>21</v>
      </c>
      <c r="F40" t="s">
        <v>22</v>
      </c>
      <c r="G40">
        <v>1785.1942991631799</v>
      </c>
      <c r="H40">
        <v>13058489.661123199</v>
      </c>
      <c r="I40">
        <v>1785.1942991631799</v>
      </c>
      <c r="J40">
        <v>13058489.661123199</v>
      </c>
      <c r="K40">
        <v>6.9124029646567206E-2</v>
      </c>
      <c r="L40">
        <v>3.2967304777634298E-3</v>
      </c>
      <c r="M40">
        <v>-2.96951971912899E-2</v>
      </c>
      <c r="N40">
        <v>5.8047163544082999E-4</v>
      </c>
      <c r="O40">
        <v>0.254815741996261</v>
      </c>
      <c r="P40">
        <v>7.8255344280458005E-3</v>
      </c>
      <c r="Q40">
        <v>4.16056485355649E-2</v>
      </c>
      <c r="R40">
        <v>3.9874618545432401E-2</v>
      </c>
      <c r="S40">
        <v>0.92323182133190396</v>
      </c>
      <c r="T40">
        <v>7.0874825412201303E-2</v>
      </c>
      <c r="U40">
        <v>52</v>
      </c>
    </row>
    <row r="41" spans="1:21" x14ac:dyDescent="0.25">
      <c r="A41">
        <v>40</v>
      </c>
      <c r="B41">
        <v>409</v>
      </c>
      <c r="C41" t="s">
        <v>20</v>
      </c>
      <c r="D41">
        <v>10</v>
      </c>
      <c r="E41" t="s">
        <v>21</v>
      </c>
      <c r="F41" t="s">
        <v>22</v>
      </c>
      <c r="G41">
        <v>2781.2175857821198</v>
      </c>
      <c r="H41">
        <v>36993190.933663599</v>
      </c>
      <c r="I41">
        <v>2781.2175857821198</v>
      </c>
      <c r="J41">
        <v>36993190.933663599</v>
      </c>
      <c r="K41">
        <v>9.0143802094779096E-2</v>
      </c>
      <c r="L41">
        <v>5.4369410298518803E-3</v>
      </c>
      <c r="M41">
        <v>-2.5923468902907601E-2</v>
      </c>
      <c r="N41">
        <v>7.2060230677069097E-4</v>
      </c>
      <c r="O41">
        <v>0.290291586736103</v>
      </c>
      <c r="P41">
        <v>1.7095734932772898E-2</v>
      </c>
      <c r="Q41">
        <v>0.107734443208592</v>
      </c>
      <c r="R41">
        <v>9.6127732955181996E-2</v>
      </c>
      <c r="S41">
        <v>0.95311565602200699</v>
      </c>
      <c r="T41">
        <v>4.4686202267770599E-2</v>
      </c>
      <c r="U41">
        <v>64</v>
      </c>
    </row>
    <row r="42" spans="1:21" x14ac:dyDescent="0.25">
      <c r="A42">
        <v>41</v>
      </c>
      <c r="B42">
        <v>501</v>
      </c>
      <c r="C42" t="s">
        <v>20</v>
      </c>
      <c r="D42">
        <v>10</v>
      </c>
      <c r="E42" t="s">
        <v>21</v>
      </c>
      <c r="F42" t="s">
        <v>22</v>
      </c>
      <c r="G42">
        <v>2760.2330534825901</v>
      </c>
      <c r="H42">
        <v>11212269.3977647</v>
      </c>
      <c r="I42">
        <v>2760.2330534825901</v>
      </c>
      <c r="J42">
        <v>11212269.3977647</v>
      </c>
      <c r="K42">
        <v>7.34330212933689E-2</v>
      </c>
      <c r="L42">
        <v>7.2102637270602E-3</v>
      </c>
      <c r="M42">
        <v>-2.7954789402955201E-2</v>
      </c>
      <c r="N42">
        <v>7.9403426912074196E-4</v>
      </c>
      <c r="O42">
        <v>0.261482611425569</v>
      </c>
      <c r="P42">
        <v>1.48825673576849E-2</v>
      </c>
      <c r="Q42">
        <v>8.1838404133180206E-2</v>
      </c>
      <c r="R42">
        <v>7.5140879742060504E-2</v>
      </c>
      <c r="S42">
        <v>0.94796263738892295</v>
      </c>
      <c r="T42">
        <v>4.9329475503625E-2</v>
      </c>
      <c r="U42">
        <v>90</v>
      </c>
    </row>
    <row r="43" spans="1:21" x14ac:dyDescent="0.25">
      <c r="A43">
        <v>42</v>
      </c>
      <c r="B43">
        <v>502</v>
      </c>
      <c r="C43" t="s">
        <v>20</v>
      </c>
      <c r="D43">
        <v>10</v>
      </c>
      <c r="E43" t="s">
        <v>21</v>
      </c>
      <c r="F43" t="s">
        <v>22</v>
      </c>
      <c r="G43">
        <v>2891.95219356999</v>
      </c>
      <c r="H43">
        <v>15299921.809203699</v>
      </c>
      <c r="I43">
        <v>2891.95219356999</v>
      </c>
      <c r="J43">
        <v>15299921.809203699</v>
      </c>
      <c r="K43">
        <v>7.3203299492779803E-2</v>
      </c>
      <c r="L43">
        <v>7.8909303970877507E-3</v>
      </c>
      <c r="M43">
        <v>-3.2049434101044702E-2</v>
      </c>
      <c r="N43">
        <v>6.10285121114664E-4</v>
      </c>
      <c r="O43">
        <v>0.26897630418503998</v>
      </c>
      <c r="P43">
        <v>1.9121257713523E-2</v>
      </c>
      <c r="Q43">
        <v>0.101234331642905</v>
      </c>
      <c r="R43">
        <v>9.0985941739930007E-2</v>
      </c>
      <c r="S43">
        <v>0.94254756807826201</v>
      </c>
      <c r="T43">
        <v>5.4151649988108799E-2</v>
      </c>
      <c r="U43">
        <v>88</v>
      </c>
    </row>
    <row r="44" spans="1:21" x14ac:dyDescent="0.25">
      <c r="A44">
        <v>43</v>
      </c>
      <c r="B44">
        <v>503</v>
      </c>
      <c r="C44" t="s">
        <v>20</v>
      </c>
      <c r="D44">
        <v>10</v>
      </c>
      <c r="E44" t="s">
        <v>21</v>
      </c>
      <c r="F44" t="s">
        <v>22</v>
      </c>
      <c r="G44">
        <v>2800.76022433751</v>
      </c>
      <c r="H44">
        <v>11371482.601588899</v>
      </c>
      <c r="I44">
        <v>2800.76022433751</v>
      </c>
      <c r="J44">
        <v>11371482.601588899</v>
      </c>
      <c r="K44">
        <v>7.8629356097215095E-2</v>
      </c>
      <c r="L44">
        <v>7.6055019946308601E-3</v>
      </c>
      <c r="M44">
        <v>-2.6689826489248201E-2</v>
      </c>
      <c r="N44">
        <v>8.2724132851277399E-4</v>
      </c>
      <c r="O44">
        <v>0.27178165003833199</v>
      </c>
      <c r="P44">
        <v>1.7227229369203401E-2</v>
      </c>
      <c r="Q44">
        <v>9.2162537070697395E-2</v>
      </c>
      <c r="R44">
        <v>8.3668603831288199E-2</v>
      </c>
      <c r="S44">
        <v>0.88101417209830801</v>
      </c>
      <c r="T44">
        <v>0.10482820066019399</v>
      </c>
      <c r="U44">
        <v>69</v>
      </c>
    </row>
    <row r="45" spans="1:21" x14ac:dyDescent="0.25">
      <c r="A45">
        <v>44</v>
      </c>
      <c r="B45">
        <v>504</v>
      </c>
      <c r="C45" t="s">
        <v>20</v>
      </c>
      <c r="D45">
        <v>10</v>
      </c>
      <c r="E45" t="s">
        <v>21</v>
      </c>
      <c r="F45" t="s">
        <v>22</v>
      </c>
      <c r="G45">
        <v>2769.5311466100402</v>
      </c>
      <c r="H45">
        <v>8537545.1338504106</v>
      </c>
      <c r="I45">
        <v>2769.5311466100402</v>
      </c>
      <c r="J45">
        <v>8537545.1338504106</v>
      </c>
      <c r="K45">
        <v>5.8926375164687898E-2</v>
      </c>
      <c r="L45">
        <v>8.4928441013185797E-3</v>
      </c>
      <c r="M45">
        <v>-3.7158993735789E-2</v>
      </c>
      <c r="N45">
        <v>8.4759787051469501E-4</v>
      </c>
      <c r="O45">
        <v>0.257444149177737</v>
      </c>
      <c r="P45">
        <v>1.6875061546953202E-2</v>
      </c>
      <c r="Q45">
        <v>8.8304281270060694E-2</v>
      </c>
      <c r="R45">
        <v>8.0506635179490693E-2</v>
      </c>
      <c r="S45">
        <v>0.96383608985435698</v>
      </c>
      <c r="T45">
        <v>3.4856081748663399E-2</v>
      </c>
      <c r="U45">
        <v>70</v>
      </c>
    </row>
    <row r="46" spans="1:21" x14ac:dyDescent="0.25">
      <c r="A46">
        <v>45</v>
      </c>
      <c r="B46">
        <v>505</v>
      </c>
      <c r="C46" t="s">
        <v>20</v>
      </c>
      <c r="D46">
        <v>10</v>
      </c>
      <c r="E46" t="s">
        <v>21</v>
      </c>
      <c r="F46" t="s">
        <v>22</v>
      </c>
      <c r="G46">
        <v>3095.6295575891299</v>
      </c>
      <c r="H46">
        <v>13598078.2877292</v>
      </c>
      <c r="I46">
        <v>3095.6295575891299</v>
      </c>
      <c r="J46">
        <v>13598078.2877292</v>
      </c>
      <c r="K46">
        <v>6.6624075321125006E-2</v>
      </c>
      <c r="L46">
        <v>1.0591798553037501E-2</v>
      </c>
      <c r="M46">
        <v>-3.2786560069035797E-2</v>
      </c>
      <c r="N46">
        <v>2.1894925991539499E-3</v>
      </c>
      <c r="O46">
        <v>0.27312913994941002</v>
      </c>
      <c r="P46">
        <v>2.0124620943539499E-2</v>
      </c>
      <c r="Q46">
        <v>0.107880892393248</v>
      </c>
      <c r="R46">
        <v>9.6242605449762902E-2</v>
      </c>
      <c r="S46">
        <v>0.97215804518933302</v>
      </c>
      <c r="T46">
        <v>2.70667803629632E-2</v>
      </c>
      <c r="U46">
        <v>61</v>
      </c>
    </row>
    <row r="47" spans="1:21" x14ac:dyDescent="0.25">
      <c r="A47">
        <v>46</v>
      </c>
      <c r="B47">
        <v>506</v>
      </c>
      <c r="C47" t="s">
        <v>20</v>
      </c>
      <c r="D47">
        <v>10</v>
      </c>
      <c r="E47" t="s">
        <v>21</v>
      </c>
      <c r="F47" t="s">
        <v>22</v>
      </c>
      <c r="G47">
        <v>2398.0426424236098</v>
      </c>
      <c r="H47">
        <v>5570090.8337855898</v>
      </c>
      <c r="I47">
        <v>2398.0426424236098</v>
      </c>
      <c r="J47">
        <v>5570090.8337855898</v>
      </c>
      <c r="K47">
        <v>4.9921858741795E-2</v>
      </c>
      <c r="L47">
        <v>7.4537193990336396E-3</v>
      </c>
      <c r="M47">
        <v>-3.3729074984117501E-2</v>
      </c>
      <c r="N47">
        <v>1.65942638579455E-3</v>
      </c>
      <c r="O47">
        <v>0.25117787429737598</v>
      </c>
      <c r="P47">
        <v>1.1930750063933401E-2</v>
      </c>
      <c r="Q47">
        <v>6.3937586287738699E-2</v>
      </c>
      <c r="R47">
        <v>5.9849571347422303E-2</v>
      </c>
      <c r="S47">
        <v>0.96768142561256798</v>
      </c>
      <c r="T47">
        <v>3.1274084137028202E-2</v>
      </c>
      <c r="U47">
        <v>59</v>
      </c>
    </row>
    <row r="48" spans="1:21" x14ac:dyDescent="0.25">
      <c r="A48">
        <v>47</v>
      </c>
      <c r="B48">
        <v>510</v>
      </c>
      <c r="C48" t="s">
        <v>20</v>
      </c>
      <c r="D48">
        <v>10</v>
      </c>
      <c r="E48" t="s">
        <v>21</v>
      </c>
      <c r="F48" t="s">
        <v>22</v>
      </c>
      <c r="G48">
        <v>2727.9929521998902</v>
      </c>
      <c r="H48">
        <v>26259732.166503601</v>
      </c>
      <c r="I48">
        <v>2727.9929521998902</v>
      </c>
      <c r="J48">
        <v>26259732.166503601</v>
      </c>
      <c r="K48">
        <v>7.1484048441953094E-2</v>
      </c>
      <c r="L48">
        <v>7.9178522713950605E-3</v>
      </c>
      <c r="M48">
        <v>-3.7935599962643701E-2</v>
      </c>
      <c r="N48">
        <v>7.8349186047455498E-4</v>
      </c>
      <c r="O48">
        <v>0.278275690591271</v>
      </c>
      <c r="P48">
        <v>2.0120412882218001E-2</v>
      </c>
      <c r="Q48">
        <v>0.112017925040739</v>
      </c>
      <c r="R48">
        <v>9.9469909510168403E-2</v>
      </c>
      <c r="S48">
        <v>0.865232624460197</v>
      </c>
      <c r="T48">
        <v>0.116605130030121</v>
      </c>
      <c r="U48">
        <v>35</v>
      </c>
    </row>
    <row r="49" spans="1:21" x14ac:dyDescent="0.25">
      <c r="A49">
        <v>48</v>
      </c>
      <c r="B49">
        <v>509</v>
      </c>
      <c r="C49" t="s">
        <v>20</v>
      </c>
      <c r="D49">
        <v>10</v>
      </c>
      <c r="E49" t="s">
        <v>21</v>
      </c>
      <c r="F49" t="s">
        <v>22</v>
      </c>
      <c r="G49">
        <v>2128.3159191290802</v>
      </c>
      <c r="H49">
        <v>14443194.625520701</v>
      </c>
      <c r="I49">
        <v>2128.3159191290802</v>
      </c>
      <c r="J49">
        <v>14443194.625520701</v>
      </c>
      <c r="K49">
        <v>7.2159643514450797E-2</v>
      </c>
      <c r="L49">
        <v>8.3748590224236794E-3</v>
      </c>
      <c r="M49">
        <v>-3.6547409955488899E-2</v>
      </c>
      <c r="N49">
        <v>6.6659580724145497E-4</v>
      </c>
      <c r="O49">
        <v>0.27105870684114602</v>
      </c>
      <c r="P49">
        <v>1.6924395851014701E-2</v>
      </c>
      <c r="Q49">
        <v>9.0861586314152407E-2</v>
      </c>
      <c r="R49">
        <v>8.2605758446543207E-2</v>
      </c>
      <c r="S49">
        <v>0.94971636146496796</v>
      </c>
      <c r="T49">
        <v>4.7755194230690301E-2</v>
      </c>
      <c r="U49">
        <v>63</v>
      </c>
    </row>
    <row r="50" spans="1:21" x14ac:dyDescent="0.25">
      <c r="A50">
        <v>49</v>
      </c>
      <c r="B50">
        <v>508</v>
      </c>
      <c r="C50" t="s">
        <v>20</v>
      </c>
      <c r="D50">
        <v>10</v>
      </c>
      <c r="E50" t="s">
        <v>21</v>
      </c>
      <c r="F50" t="s">
        <v>22</v>
      </c>
      <c r="G50">
        <v>2312.53321134711</v>
      </c>
      <c r="H50">
        <v>14390835.376480401</v>
      </c>
      <c r="I50">
        <v>2312.53321134711</v>
      </c>
      <c r="J50">
        <v>14390835.376480401</v>
      </c>
      <c r="K50">
        <v>4.8629419302061397E-2</v>
      </c>
      <c r="L50">
        <v>8.0579666713609995E-3</v>
      </c>
      <c r="M50">
        <v>-4.0068499405484299E-2</v>
      </c>
      <c r="N50">
        <v>6.4887105960706795E-4</v>
      </c>
      <c r="O50">
        <v>0.251733800837035</v>
      </c>
      <c r="P50">
        <v>1.6658892752460901E-2</v>
      </c>
      <c r="Q50">
        <v>7.9745503252965894E-2</v>
      </c>
      <c r="R50">
        <v>7.3386157963756402E-2</v>
      </c>
      <c r="S50">
        <v>0.93480756811060395</v>
      </c>
      <c r="T50">
        <v>6.0942378713802099E-2</v>
      </c>
      <c r="U50">
        <v>53</v>
      </c>
    </row>
    <row r="51" spans="1:21" x14ac:dyDescent="0.25">
      <c r="A51">
        <v>50</v>
      </c>
      <c r="B51">
        <v>507</v>
      </c>
      <c r="C51" t="s">
        <v>20</v>
      </c>
      <c r="D51">
        <v>10</v>
      </c>
      <c r="E51" t="s">
        <v>21</v>
      </c>
      <c r="F51" t="s">
        <v>22</v>
      </c>
      <c r="G51">
        <v>2693.4878460453001</v>
      </c>
      <c r="H51">
        <v>13962705.688736601</v>
      </c>
      <c r="I51">
        <v>2693.4878460453001</v>
      </c>
      <c r="J51">
        <v>13962705.688736601</v>
      </c>
      <c r="K51">
        <v>7.7503309462812406E-2</v>
      </c>
      <c r="L51">
        <v>1.1755415964395499E-2</v>
      </c>
      <c r="M51">
        <v>-3.0473148759381001E-2</v>
      </c>
      <c r="N51">
        <v>1.02556720146202E-3</v>
      </c>
      <c r="O51">
        <v>0.28294140291446601</v>
      </c>
      <c r="P51">
        <v>2.1921039603212698E-2</v>
      </c>
      <c r="Q51">
        <v>0.119242954580042</v>
      </c>
      <c r="R51">
        <v>0.10502407236323399</v>
      </c>
      <c r="S51">
        <v>0.88002379601831704</v>
      </c>
      <c r="T51">
        <v>0.105581914459889</v>
      </c>
      <c r="U51">
        <v>44</v>
      </c>
    </row>
    <row r="52" spans="1:21" x14ac:dyDescent="0.25">
      <c r="A52">
        <v>51</v>
      </c>
      <c r="B52">
        <v>601</v>
      </c>
      <c r="C52" t="s">
        <v>20</v>
      </c>
      <c r="D52">
        <v>10</v>
      </c>
      <c r="E52" t="s">
        <v>21</v>
      </c>
      <c r="F52" t="s">
        <v>22</v>
      </c>
      <c r="G52">
        <v>2487.1484333891399</v>
      </c>
      <c r="H52">
        <v>9611491.35024691</v>
      </c>
      <c r="I52">
        <v>2487.1484333891399</v>
      </c>
      <c r="J52">
        <v>9611491.35024691</v>
      </c>
      <c r="K52">
        <v>6.2299180585054799E-2</v>
      </c>
      <c r="L52">
        <v>3.10541078077931E-3</v>
      </c>
      <c r="M52">
        <v>-2.4099465167218299E-2</v>
      </c>
      <c r="N52">
        <v>5.6910782887938896E-4</v>
      </c>
      <c r="O52">
        <v>0.251238028099877</v>
      </c>
      <c r="P52">
        <v>7.21855540708124E-3</v>
      </c>
      <c r="Q52">
        <v>4.1042812724228703E-2</v>
      </c>
      <c r="R52">
        <v>3.9358300247964197E-2</v>
      </c>
      <c r="S52">
        <v>0.89218183775250304</v>
      </c>
      <c r="T52">
        <v>9.6193406136831597E-2</v>
      </c>
      <c r="U52">
        <v>63</v>
      </c>
    </row>
    <row r="53" spans="1:21" x14ac:dyDescent="0.25">
      <c r="A53">
        <v>52</v>
      </c>
      <c r="B53">
        <v>602</v>
      </c>
      <c r="C53" t="s">
        <v>20</v>
      </c>
      <c r="D53">
        <v>10</v>
      </c>
      <c r="E53" t="s">
        <v>21</v>
      </c>
      <c r="F53" t="s">
        <v>22</v>
      </c>
      <c r="G53">
        <v>2408.6671121620202</v>
      </c>
      <c r="H53">
        <v>6765228.5351197002</v>
      </c>
      <c r="I53">
        <v>2408.6671121620202</v>
      </c>
      <c r="J53">
        <v>6765228.5351197002</v>
      </c>
      <c r="K53">
        <v>4.62813158189158E-2</v>
      </c>
      <c r="L53">
        <v>2.3850020855852899E-3</v>
      </c>
      <c r="M53">
        <v>-3.3122624863936301E-2</v>
      </c>
      <c r="N53">
        <v>4.1818630906931102E-4</v>
      </c>
      <c r="O53">
        <v>0.23675779597575</v>
      </c>
      <c r="P53">
        <v>6.2091392402068499E-3</v>
      </c>
      <c r="Q53">
        <v>3.2692505397347603E-2</v>
      </c>
      <c r="R53">
        <v>3.1623705488256798E-2</v>
      </c>
      <c r="S53">
        <v>0.89635674355843997</v>
      </c>
      <c r="T53">
        <v>9.2901331835937406E-2</v>
      </c>
      <c r="U53">
        <v>64</v>
      </c>
    </row>
    <row r="54" spans="1:21" x14ac:dyDescent="0.25">
      <c r="A54">
        <v>53</v>
      </c>
      <c r="B54">
        <v>603</v>
      </c>
      <c r="C54" t="s">
        <v>20</v>
      </c>
      <c r="D54">
        <v>10</v>
      </c>
      <c r="E54" t="s">
        <v>21</v>
      </c>
      <c r="F54" t="s">
        <v>22</v>
      </c>
      <c r="G54">
        <v>3284.7927382560601</v>
      </c>
      <c r="H54">
        <v>14722317.9088562</v>
      </c>
      <c r="I54">
        <v>3284.7927382560601</v>
      </c>
      <c r="J54">
        <v>14722317.9088562</v>
      </c>
      <c r="K54">
        <v>7.3223030881541404E-2</v>
      </c>
      <c r="L54">
        <v>7.3838705356488003E-3</v>
      </c>
      <c r="M54">
        <v>-2.8458522826184499E-2</v>
      </c>
      <c r="N54">
        <v>8.7731232977042103E-4</v>
      </c>
      <c r="O54">
        <v>0.27132732832106699</v>
      </c>
      <c r="P54">
        <v>1.72798683462588E-2</v>
      </c>
      <c r="Q54">
        <v>9.7417989957433795E-2</v>
      </c>
      <c r="R54">
        <v>8.7927725189995601E-2</v>
      </c>
      <c r="S54">
        <v>0.93957969592312696</v>
      </c>
      <c r="T54">
        <v>5.6769690932122398E-2</v>
      </c>
      <c r="U54">
        <v>75</v>
      </c>
    </row>
    <row r="55" spans="1:21" x14ac:dyDescent="0.25">
      <c r="A55">
        <v>54</v>
      </c>
      <c r="B55">
        <v>604</v>
      </c>
      <c r="C55" t="s">
        <v>20</v>
      </c>
      <c r="D55">
        <v>10</v>
      </c>
      <c r="E55" t="s">
        <v>21</v>
      </c>
      <c r="F55" t="s">
        <v>22</v>
      </c>
      <c r="G55">
        <v>3328.5372546427898</v>
      </c>
      <c r="H55">
        <v>16213673.3529671</v>
      </c>
      <c r="I55">
        <v>3328.5372546427898</v>
      </c>
      <c r="J55">
        <v>16213673.3529671</v>
      </c>
      <c r="K55">
        <v>5.72844566091366E-2</v>
      </c>
      <c r="L55">
        <v>7.3331807064947697E-3</v>
      </c>
      <c r="M55">
        <v>-3.6880033164121001E-2</v>
      </c>
      <c r="N55">
        <v>8.1301151175905298E-4</v>
      </c>
      <c r="O55">
        <v>0.26077783222427597</v>
      </c>
      <c r="P55">
        <v>1.74701043235247E-2</v>
      </c>
      <c r="Q55">
        <v>9.4732668032515996E-2</v>
      </c>
      <c r="R55">
        <v>8.5758389640144705E-2</v>
      </c>
      <c r="S55">
        <v>0.92429388985078198</v>
      </c>
      <c r="T55">
        <v>6.99746950353929E-2</v>
      </c>
      <c r="U55">
        <v>64</v>
      </c>
    </row>
    <row r="56" spans="1:21" x14ac:dyDescent="0.25">
      <c r="A56">
        <v>55</v>
      </c>
      <c r="B56">
        <v>605</v>
      </c>
      <c r="C56" t="s">
        <v>20</v>
      </c>
      <c r="D56">
        <v>10</v>
      </c>
      <c r="E56" t="s">
        <v>21</v>
      </c>
      <c r="F56" t="s">
        <v>22</v>
      </c>
      <c r="G56">
        <v>2587.5010632748899</v>
      </c>
      <c r="H56">
        <v>9109392.3577975407</v>
      </c>
      <c r="I56">
        <v>2587.5010632748899</v>
      </c>
      <c r="J56">
        <v>9109392.3577975407</v>
      </c>
      <c r="K56">
        <v>5.38353797883303E-2</v>
      </c>
      <c r="L56">
        <v>6.9024815102022496E-3</v>
      </c>
      <c r="M56">
        <v>-3.2114881436465202E-2</v>
      </c>
      <c r="N56">
        <v>1.65628507040838E-3</v>
      </c>
      <c r="O56">
        <v>0.25425636718265499</v>
      </c>
      <c r="P56">
        <v>1.2564584909076301E-2</v>
      </c>
      <c r="Q56">
        <v>6.7915847476895497E-2</v>
      </c>
      <c r="R56">
        <v>6.3303285138374701E-2</v>
      </c>
      <c r="S56">
        <v>0.95640950189930996</v>
      </c>
      <c r="T56">
        <v>4.1690366576034699E-2</v>
      </c>
      <c r="U56">
        <v>77</v>
      </c>
    </row>
    <row r="57" spans="1:21" x14ac:dyDescent="0.25">
      <c r="A57">
        <v>56</v>
      </c>
      <c r="B57">
        <v>606</v>
      </c>
      <c r="C57" t="s">
        <v>20</v>
      </c>
      <c r="D57">
        <v>10</v>
      </c>
      <c r="E57" t="s">
        <v>21</v>
      </c>
      <c r="F57" t="s">
        <v>22</v>
      </c>
      <c r="G57">
        <v>2959.08798057998</v>
      </c>
      <c r="H57">
        <v>18423288.272603199</v>
      </c>
      <c r="I57">
        <v>2959.08798057998</v>
      </c>
      <c r="J57">
        <v>18423288.272603199</v>
      </c>
      <c r="K57">
        <v>9.54986623953267E-2</v>
      </c>
      <c r="L57">
        <v>1.2232118032422599E-2</v>
      </c>
      <c r="M57">
        <v>-2.2437653456966002E-2</v>
      </c>
      <c r="N57">
        <v>2.7432995827873798E-3</v>
      </c>
      <c r="O57">
        <v>0.30720126842836698</v>
      </c>
      <c r="P57">
        <v>2.2513025229220201E-2</v>
      </c>
      <c r="Q57">
        <v>0.13803962734549299</v>
      </c>
      <c r="R57">
        <v>0.1189846886278</v>
      </c>
      <c r="S57">
        <v>0.94201167902368599</v>
      </c>
      <c r="T57">
        <v>5.4625675606643199E-2</v>
      </c>
      <c r="U57">
        <v>116</v>
      </c>
    </row>
    <row r="58" spans="1:21" x14ac:dyDescent="0.25">
      <c r="A58">
        <v>57</v>
      </c>
      <c r="B58">
        <v>607</v>
      </c>
      <c r="C58" t="s">
        <v>20</v>
      </c>
      <c r="D58">
        <v>10</v>
      </c>
      <c r="E58" t="s">
        <v>21</v>
      </c>
      <c r="F58" t="s">
        <v>22</v>
      </c>
      <c r="G58">
        <v>2090.9008301886802</v>
      </c>
      <c r="H58">
        <v>13351150.5441682</v>
      </c>
      <c r="I58">
        <v>2090.9008301886802</v>
      </c>
      <c r="J58">
        <v>13351150.5441682</v>
      </c>
      <c r="K58">
        <v>4.9365844408133998E-2</v>
      </c>
      <c r="L58">
        <v>4.1006120715811004E-3</v>
      </c>
      <c r="M58">
        <v>-3.6279285363962403E-2</v>
      </c>
      <c r="N58">
        <v>5.8033828848191101E-4</v>
      </c>
      <c r="O58">
        <v>0.25049367381030702</v>
      </c>
      <c r="P58">
        <v>9.7150244151255807E-3</v>
      </c>
      <c r="Q58">
        <v>5.2404802744425397E-2</v>
      </c>
      <c r="R58">
        <v>4.9658539393738502E-2</v>
      </c>
      <c r="S58">
        <v>0.90854076899854497</v>
      </c>
      <c r="T58">
        <v>8.30944400659204E-2</v>
      </c>
      <c r="U58">
        <v>65</v>
      </c>
    </row>
    <row r="59" spans="1:21" x14ac:dyDescent="0.25">
      <c r="A59">
        <v>58</v>
      </c>
      <c r="B59">
        <v>608</v>
      </c>
      <c r="C59" t="s">
        <v>20</v>
      </c>
      <c r="D59">
        <v>10</v>
      </c>
      <c r="E59" t="s">
        <v>21</v>
      </c>
      <c r="F59" t="s">
        <v>22</v>
      </c>
      <c r="G59">
        <v>2288.5306240999098</v>
      </c>
      <c r="H59">
        <v>20014765.067931801</v>
      </c>
      <c r="I59">
        <v>2288.5306240999098</v>
      </c>
      <c r="J59">
        <v>20014765.067931801</v>
      </c>
      <c r="K59">
        <v>3.4198024789156199E-2</v>
      </c>
      <c r="L59">
        <v>5.67895181330431E-3</v>
      </c>
      <c r="M59">
        <v>-4.3063350717359797E-2</v>
      </c>
      <c r="N59">
        <v>5.7416115133970098E-4</v>
      </c>
      <c r="O59">
        <v>0.24870512667589001</v>
      </c>
      <c r="P59">
        <v>1.4359902304887999E-2</v>
      </c>
      <c r="Q59">
        <v>7.3459113407800994E-2</v>
      </c>
      <c r="R59">
        <v>6.8062872065305202E-2</v>
      </c>
      <c r="S59">
        <v>0.92246157569889897</v>
      </c>
      <c r="T59">
        <v>7.15262170580587E-2</v>
      </c>
      <c r="U59">
        <v>65</v>
      </c>
    </row>
    <row r="60" spans="1:21" x14ac:dyDescent="0.25">
      <c r="A60">
        <v>59</v>
      </c>
      <c r="B60">
        <v>609</v>
      </c>
      <c r="C60" t="s">
        <v>20</v>
      </c>
      <c r="D60">
        <v>10</v>
      </c>
      <c r="E60" t="s">
        <v>21</v>
      </c>
      <c r="F60" t="s">
        <v>22</v>
      </c>
      <c r="G60">
        <v>1938.3326874213999</v>
      </c>
      <c r="H60">
        <v>12691646.696173601</v>
      </c>
      <c r="I60">
        <v>1938.3326874213999</v>
      </c>
      <c r="J60">
        <v>12691646.696173601</v>
      </c>
      <c r="K60">
        <v>6.3021159224153495E-2</v>
      </c>
      <c r="L60">
        <v>7.6113210249991198E-3</v>
      </c>
      <c r="M60">
        <v>-3.7461138546109003E-2</v>
      </c>
      <c r="N60">
        <v>5.9785035654676404E-4</v>
      </c>
      <c r="O60">
        <v>0.271004276607478</v>
      </c>
      <c r="P60">
        <v>1.5838473430377999E-2</v>
      </c>
      <c r="Q60">
        <v>8.7313605215204204E-2</v>
      </c>
      <c r="R60">
        <v>7.9689939559610498E-2</v>
      </c>
      <c r="S60">
        <v>0.97791381124714505</v>
      </c>
      <c r="T60">
        <v>2.1598389019224701E-2</v>
      </c>
      <c r="U60">
        <v>83</v>
      </c>
    </row>
    <row r="61" spans="1:21" x14ac:dyDescent="0.25">
      <c r="A61">
        <v>60</v>
      </c>
      <c r="B61">
        <v>610</v>
      </c>
      <c r="C61" t="s">
        <v>20</v>
      </c>
      <c r="D61">
        <v>10</v>
      </c>
      <c r="E61" t="s">
        <v>21</v>
      </c>
      <c r="F61" t="s">
        <v>22</v>
      </c>
      <c r="G61">
        <v>1779.52376996215</v>
      </c>
      <c r="H61">
        <v>7596317.7983795498</v>
      </c>
      <c r="I61">
        <v>1779.52376996215</v>
      </c>
      <c r="J61">
        <v>7596317.7983795498</v>
      </c>
      <c r="K61">
        <v>4.6642680501560098E-2</v>
      </c>
      <c r="L61">
        <v>4.8916801639928799E-3</v>
      </c>
      <c r="M61">
        <v>-3.5801824470600298E-2</v>
      </c>
      <c r="N61">
        <v>6.6314776461204805E-4</v>
      </c>
      <c r="O61">
        <v>0.247712140026834</v>
      </c>
      <c r="P61">
        <v>9.4173984999022103E-3</v>
      </c>
      <c r="Q61">
        <v>4.71574949558888E-2</v>
      </c>
      <c r="R61">
        <v>4.4933665625321098E-2</v>
      </c>
      <c r="S61">
        <v>0.95598338498055002</v>
      </c>
      <c r="T61">
        <v>4.2079152621694198E-2</v>
      </c>
      <c r="U61">
        <v>85</v>
      </c>
    </row>
    <row r="62" spans="1:21" x14ac:dyDescent="0.25">
      <c r="A62">
        <v>61</v>
      </c>
      <c r="B62">
        <v>701</v>
      </c>
      <c r="C62" t="s">
        <v>20</v>
      </c>
      <c r="D62">
        <v>10</v>
      </c>
      <c r="E62" t="s">
        <v>21</v>
      </c>
      <c r="F62" t="s">
        <v>22</v>
      </c>
      <c r="G62">
        <v>2373.0790298275401</v>
      </c>
      <c r="H62">
        <v>8317936.7596068503</v>
      </c>
      <c r="I62">
        <v>2373.0790298275401</v>
      </c>
      <c r="J62">
        <v>8317936.7596068503</v>
      </c>
      <c r="K62">
        <v>7.7800024448009195E-2</v>
      </c>
      <c r="L62">
        <v>7.2929059597009599E-3</v>
      </c>
      <c r="M62">
        <v>-2.09604077164466E-2</v>
      </c>
      <c r="N62">
        <v>7.7091846432402605E-4</v>
      </c>
      <c r="O62">
        <v>0.27473605900509301</v>
      </c>
      <c r="P62">
        <v>1.42853602602276E-2</v>
      </c>
      <c r="Q62">
        <v>8.05487119381922E-2</v>
      </c>
      <c r="R62">
        <v>7.4060616943275495E-2</v>
      </c>
      <c r="S62">
        <v>0.94938949281861795</v>
      </c>
      <c r="T62">
        <v>4.8049083744322603E-2</v>
      </c>
      <c r="U62">
        <v>128</v>
      </c>
    </row>
    <row r="63" spans="1:21" x14ac:dyDescent="0.25">
      <c r="A63">
        <v>62</v>
      </c>
      <c r="B63">
        <v>702</v>
      </c>
      <c r="C63" t="s">
        <v>20</v>
      </c>
      <c r="D63">
        <v>10</v>
      </c>
      <c r="E63" t="s">
        <v>21</v>
      </c>
      <c r="F63" t="s">
        <v>22</v>
      </c>
      <c r="G63">
        <v>2840.9388594585398</v>
      </c>
      <c r="H63">
        <v>14831689.7813728</v>
      </c>
      <c r="I63">
        <v>2840.9388594585398</v>
      </c>
      <c r="J63">
        <v>14831689.7813728</v>
      </c>
      <c r="K63">
        <v>6.76747067008171E-2</v>
      </c>
      <c r="L63">
        <v>4.7049733350629898E-3</v>
      </c>
      <c r="M63">
        <v>-2.5628325984995801E-2</v>
      </c>
      <c r="N63">
        <v>6.1497415899981203E-4</v>
      </c>
      <c r="O63">
        <v>0.26462741078420998</v>
      </c>
      <c r="P63">
        <v>1.29864323092424E-2</v>
      </c>
      <c r="Q63">
        <v>7.52630422576471E-2</v>
      </c>
      <c r="R63">
        <v>6.9598516727826396E-2</v>
      </c>
      <c r="S63">
        <v>0.971047749243238</v>
      </c>
      <c r="T63">
        <v>2.8114017932900401E-2</v>
      </c>
      <c r="U63">
        <v>95</v>
      </c>
    </row>
    <row r="64" spans="1:21" x14ac:dyDescent="0.25">
      <c r="A64">
        <v>63</v>
      </c>
      <c r="B64">
        <v>703</v>
      </c>
      <c r="C64" t="s">
        <v>20</v>
      </c>
      <c r="D64">
        <v>10</v>
      </c>
      <c r="E64" t="s">
        <v>21</v>
      </c>
      <c r="F64" t="s">
        <v>22</v>
      </c>
      <c r="G64">
        <v>2766.0332001817901</v>
      </c>
      <c r="H64">
        <v>8794298.9247716907</v>
      </c>
      <c r="I64">
        <v>2766.0332001817901</v>
      </c>
      <c r="J64">
        <v>8794298.9247716907</v>
      </c>
      <c r="K64">
        <v>6.3368684462352706E-2</v>
      </c>
      <c r="L64">
        <v>5.6529045569598899E-3</v>
      </c>
      <c r="M64">
        <v>-2.71592558552478E-2</v>
      </c>
      <c r="N64">
        <v>6.6517367281463703E-4</v>
      </c>
      <c r="O64">
        <v>0.25641597167629099</v>
      </c>
      <c r="P64">
        <v>1.1862241809826601E-2</v>
      </c>
      <c r="Q64">
        <v>6.2633051881263904E-2</v>
      </c>
      <c r="R64">
        <v>5.8710152693428198E-2</v>
      </c>
      <c r="S64">
        <v>0.91935136686517904</v>
      </c>
      <c r="T64">
        <v>7.4144431108370101E-2</v>
      </c>
      <c r="U64">
        <v>42</v>
      </c>
    </row>
    <row r="65" spans="1:21" x14ac:dyDescent="0.25">
      <c r="A65">
        <v>64</v>
      </c>
      <c r="B65">
        <v>704</v>
      </c>
      <c r="C65" t="s">
        <v>20</v>
      </c>
      <c r="D65">
        <v>10</v>
      </c>
      <c r="E65" t="s">
        <v>21</v>
      </c>
      <c r="F65" t="s">
        <v>22</v>
      </c>
      <c r="G65">
        <v>2883.65688093569</v>
      </c>
      <c r="H65">
        <v>5643630.8707517497</v>
      </c>
      <c r="I65">
        <v>2883.65688093569</v>
      </c>
      <c r="J65">
        <v>5643630.8707517497</v>
      </c>
      <c r="K65">
        <v>3.8689764456996199E-2</v>
      </c>
      <c r="L65">
        <v>3.93609779512332E-3</v>
      </c>
      <c r="M65">
        <v>-3.8879682652091699E-2</v>
      </c>
      <c r="N65">
        <v>8.92215655578591E-4</v>
      </c>
      <c r="O65">
        <v>0.22936878835315699</v>
      </c>
      <c r="P65">
        <v>7.56984194646708E-3</v>
      </c>
      <c r="Q65">
        <v>3.6339147047100701E-2</v>
      </c>
      <c r="R65">
        <v>3.5018613439000798E-2</v>
      </c>
      <c r="S65">
        <v>0.947016863893127</v>
      </c>
      <c r="T65">
        <v>5.0175923395152297E-2</v>
      </c>
      <c r="U65">
        <v>78</v>
      </c>
    </row>
    <row r="66" spans="1:21" x14ac:dyDescent="0.25">
      <c r="A66">
        <v>65</v>
      </c>
      <c r="B66">
        <v>705</v>
      </c>
      <c r="C66" t="s">
        <v>20</v>
      </c>
      <c r="D66">
        <v>10</v>
      </c>
      <c r="E66" t="s">
        <v>21</v>
      </c>
      <c r="F66" t="s">
        <v>22</v>
      </c>
      <c r="G66">
        <v>3485.8436495229198</v>
      </c>
      <c r="H66">
        <v>19614703.337304801</v>
      </c>
      <c r="I66">
        <v>3485.8436495229198</v>
      </c>
      <c r="J66">
        <v>19614703.337304801</v>
      </c>
      <c r="K66">
        <v>7.4145340631977599E-2</v>
      </c>
      <c r="L66">
        <v>9.6868455053690794E-3</v>
      </c>
      <c r="M66">
        <v>-2.9554412051958801E-2</v>
      </c>
      <c r="N66">
        <v>2.2845915945201201E-3</v>
      </c>
      <c r="O66">
        <v>0.27774775666970503</v>
      </c>
      <c r="P66">
        <v>2.0428980173484299E-2</v>
      </c>
      <c r="Q66">
        <v>0.111649158433241</v>
      </c>
      <c r="R66">
        <v>9.9183623854449607E-2</v>
      </c>
      <c r="S66">
        <v>0.97052543873353103</v>
      </c>
      <c r="T66">
        <v>2.86058115046097E-2</v>
      </c>
      <c r="U66">
        <v>74</v>
      </c>
    </row>
    <row r="67" spans="1:21" x14ac:dyDescent="0.25">
      <c r="A67">
        <v>66</v>
      </c>
      <c r="B67">
        <v>706</v>
      </c>
      <c r="C67" t="s">
        <v>20</v>
      </c>
      <c r="D67">
        <v>10</v>
      </c>
      <c r="E67" t="s">
        <v>21</v>
      </c>
      <c r="F67" t="s">
        <v>22</v>
      </c>
      <c r="G67">
        <v>2777.9800803375701</v>
      </c>
      <c r="H67">
        <v>16732731.415343899</v>
      </c>
      <c r="I67">
        <v>2777.9800803375701</v>
      </c>
      <c r="J67">
        <v>16732731.415343899</v>
      </c>
      <c r="K67">
        <v>7.3804878988910499E-2</v>
      </c>
      <c r="L67">
        <v>7.8158735985876908E-3</v>
      </c>
      <c r="M67">
        <v>-2.89304024571998E-2</v>
      </c>
      <c r="N67">
        <v>2.0902093215967601E-3</v>
      </c>
      <c r="O67">
        <v>0.271840179947266</v>
      </c>
      <c r="P67">
        <v>1.6227610823668401E-2</v>
      </c>
      <c r="Q67">
        <v>8.8485370705931501E-2</v>
      </c>
      <c r="R67">
        <v>8.0655709876986198E-2</v>
      </c>
      <c r="S67">
        <v>0.93759424219769605</v>
      </c>
      <c r="T67">
        <v>5.8511279195494301E-2</v>
      </c>
      <c r="U67">
        <v>68</v>
      </c>
    </row>
    <row r="68" spans="1:21" x14ac:dyDescent="0.25">
      <c r="A68">
        <v>67</v>
      </c>
      <c r="B68">
        <v>707</v>
      </c>
      <c r="C68" t="s">
        <v>20</v>
      </c>
      <c r="D68">
        <v>10</v>
      </c>
      <c r="E68" t="s">
        <v>21</v>
      </c>
      <c r="F68" t="s">
        <v>22</v>
      </c>
      <c r="G68">
        <v>2113.49639688858</v>
      </c>
      <c r="H68">
        <v>8914507.8412615191</v>
      </c>
      <c r="I68">
        <v>2113.49639688858</v>
      </c>
      <c r="J68">
        <v>8914507.8412615191</v>
      </c>
      <c r="K68">
        <v>5.7192054464156497E-2</v>
      </c>
      <c r="L68">
        <v>2.9521407196312298E-3</v>
      </c>
      <c r="M68">
        <v>-3.2505776942070401E-2</v>
      </c>
      <c r="N68">
        <v>4.5312051039381299E-4</v>
      </c>
      <c r="O68">
        <v>0.24841561953670999</v>
      </c>
      <c r="P68">
        <v>7.3203697528720002E-3</v>
      </c>
      <c r="Q68">
        <v>3.9946408595436897E-2</v>
      </c>
      <c r="R68">
        <v>3.8350693035776103E-2</v>
      </c>
      <c r="S68">
        <v>0.95237599677389995</v>
      </c>
      <c r="T68">
        <v>4.5355957542808002E-2</v>
      </c>
      <c r="U68">
        <v>88</v>
      </c>
    </row>
    <row r="69" spans="1:21" x14ac:dyDescent="0.25">
      <c r="A69">
        <v>68</v>
      </c>
      <c r="B69">
        <v>708</v>
      </c>
      <c r="C69" t="s">
        <v>20</v>
      </c>
      <c r="D69">
        <v>10</v>
      </c>
      <c r="E69" t="s">
        <v>21</v>
      </c>
      <c r="F69" t="s">
        <v>22</v>
      </c>
      <c r="G69">
        <v>1917.7402198222801</v>
      </c>
      <c r="H69">
        <v>10882740.7465383</v>
      </c>
      <c r="I69">
        <v>1917.7402198222801</v>
      </c>
      <c r="J69">
        <v>10882740.7465383</v>
      </c>
      <c r="K69">
        <v>4.3879798275962598E-2</v>
      </c>
      <c r="L69">
        <v>3.3289322872468502E-3</v>
      </c>
      <c r="M69">
        <v>-3.4356484418971801E-2</v>
      </c>
      <c r="N69">
        <v>4.0939046515306801E-4</v>
      </c>
      <c r="O69">
        <v>0.244724093378624</v>
      </c>
      <c r="P69">
        <v>8.4437114018866E-3</v>
      </c>
      <c r="Q69">
        <v>4.5052802793823898E-2</v>
      </c>
      <c r="R69">
        <v>4.3023047754200801E-2</v>
      </c>
      <c r="S69">
        <v>0.91044133476856803</v>
      </c>
      <c r="T69">
        <v>8.1537910713338699E-2</v>
      </c>
      <c r="U69">
        <v>59</v>
      </c>
    </row>
    <row r="70" spans="1:21" x14ac:dyDescent="0.25">
      <c r="A70">
        <v>69</v>
      </c>
      <c r="B70">
        <v>709</v>
      </c>
      <c r="C70" t="s">
        <v>20</v>
      </c>
      <c r="D70">
        <v>10</v>
      </c>
      <c r="E70" t="s">
        <v>21</v>
      </c>
      <c r="F70" t="s">
        <v>22</v>
      </c>
      <c r="G70">
        <v>1754.9337436231699</v>
      </c>
      <c r="H70">
        <v>6193279.2357550599</v>
      </c>
      <c r="I70">
        <v>1754.9337436231699</v>
      </c>
      <c r="J70">
        <v>6193279.2357550599</v>
      </c>
      <c r="K70">
        <v>6.1878372777596599E-2</v>
      </c>
      <c r="L70">
        <v>5.6882377026249804E-3</v>
      </c>
      <c r="M70">
        <v>-2.7566532649725198E-2</v>
      </c>
      <c r="N70">
        <v>4.7835655538917002E-4</v>
      </c>
      <c r="O70">
        <v>0.26485751356916298</v>
      </c>
      <c r="P70">
        <v>1.0930629847444801E-2</v>
      </c>
      <c r="Q70">
        <v>6.4413832867474693E-2</v>
      </c>
      <c r="R70">
        <v>6.0264691002897698E-2</v>
      </c>
      <c r="S70">
        <v>0.96782441934796504</v>
      </c>
      <c r="T70">
        <v>3.1140312661773799E-2</v>
      </c>
      <c r="U70">
        <v>103</v>
      </c>
    </row>
    <row r="71" spans="1:21" x14ac:dyDescent="0.25">
      <c r="A71">
        <v>70</v>
      </c>
      <c r="B71">
        <v>710</v>
      </c>
      <c r="C71" t="s">
        <v>20</v>
      </c>
      <c r="D71">
        <v>10</v>
      </c>
      <c r="E71" t="s">
        <v>21</v>
      </c>
      <c r="F71" t="s">
        <v>22</v>
      </c>
      <c r="G71">
        <v>2316.20241614517</v>
      </c>
      <c r="H71">
        <v>13581781.230613399</v>
      </c>
      <c r="I71">
        <v>2316.20241614517</v>
      </c>
      <c r="J71">
        <v>13581781.230613399</v>
      </c>
      <c r="K71">
        <v>5.9900902096913899E-2</v>
      </c>
      <c r="L71">
        <v>6.7075584076791202E-3</v>
      </c>
      <c r="M71">
        <v>-2.62039728514478E-2</v>
      </c>
      <c r="N71">
        <v>6.5690442132716699E-4</v>
      </c>
      <c r="O71">
        <v>0.26799228691635701</v>
      </c>
      <c r="P71">
        <v>1.42482960111334E-2</v>
      </c>
      <c r="Q71">
        <v>8.0969017545206703E-2</v>
      </c>
      <c r="R71">
        <v>7.4413035742939102E-2</v>
      </c>
      <c r="S71">
        <v>0.96534602784602797</v>
      </c>
      <c r="T71">
        <v>3.3453074367904699E-2</v>
      </c>
      <c r="U71">
        <v>74</v>
      </c>
    </row>
    <row r="72" spans="1:21" x14ac:dyDescent="0.25">
      <c r="A72">
        <v>71</v>
      </c>
      <c r="B72">
        <v>801</v>
      </c>
      <c r="C72" t="s">
        <v>20</v>
      </c>
      <c r="D72">
        <v>10</v>
      </c>
      <c r="E72" t="s">
        <v>21</v>
      </c>
      <c r="F72" t="s">
        <v>22</v>
      </c>
      <c r="G72">
        <v>2681.8926826266202</v>
      </c>
      <c r="H72">
        <v>19051464.9170692</v>
      </c>
      <c r="I72">
        <v>2681.8926826266202</v>
      </c>
      <c r="J72">
        <v>19051464.9170692</v>
      </c>
      <c r="K72">
        <v>6.4608802255350206E-2</v>
      </c>
      <c r="L72">
        <v>5.5113968688221601E-3</v>
      </c>
      <c r="M72">
        <v>-2.3467574044682499E-2</v>
      </c>
      <c r="N72">
        <v>7.7101442143898699E-4</v>
      </c>
      <c r="O72">
        <v>0.26704232250062598</v>
      </c>
      <c r="P72">
        <v>1.42177593086018E-2</v>
      </c>
      <c r="Q72">
        <v>8.1321927503231001E-2</v>
      </c>
      <c r="R72">
        <v>7.4708671610531893E-2</v>
      </c>
      <c r="S72">
        <v>0.93922461538461499</v>
      </c>
      <c r="T72">
        <v>5.7081737240305297E-2</v>
      </c>
      <c r="U72">
        <v>100</v>
      </c>
    </row>
    <row r="73" spans="1:21" x14ac:dyDescent="0.25">
      <c r="A73">
        <v>72</v>
      </c>
      <c r="B73">
        <v>802</v>
      </c>
      <c r="C73" t="s">
        <v>20</v>
      </c>
      <c r="D73">
        <v>10</v>
      </c>
      <c r="E73" t="s">
        <v>21</v>
      </c>
      <c r="F73" t="s">
        <v>22</v>
      </c>
      <c r="G73">
        <v>2219.81328944917</v>
      </c>
      <c r="H73">
        <v>7797461.1734977895</v>
      </c>
      <c r="I73">
        <v>2219.81328944917</v>
      </c>
      <c r="J73">
        <v>7797461.1734977895</v>
      </c>
      <c r="K73">
        <v>5.0840807658154102E-2</v>
      </c>
      <c r="L73">
        <v>5.7893514488042896E-3</v>
      </c>
      <c r="M73">
        <v>-2.9410708230627799E-2</v>
      </c>
      <c r="N73">
        <v>5.8916164436575698E-4</v>
      </c>
      <c r="O73">
        <v>0.243523795341726</v>
      </c>
      <c r="P73">
        <v>1.2396264151503E-2</v>
      </c>
      <c r="Q73">
        <v>5.7616593181394803E-2</v>
      </c>
      <c r="R73">
        <v>5.42969213715798E-2</v>
      </c>
      <c r="S73">
        <v>0.91913207640907202</v>
      </c>
      <c r="T73">
        <v>7.4328302524982001E-2</v>
      </c>
      <c r="U73">
        <v>67</v>
      </c>
    </row>
    <row r="74" spans="1:21" x14ac:dyDescent="0.25">
      <c r="A74">
        <v>73</v>
      </c>
      <c r="B74">
        <v>803</v>
      </c>
      <c r="C74" t="s">
        <v>20</v>
      </c>
      <c r="D74">
        <v>10</v>
      </c>
      <c r="E74" t="s">
        <v>21</v>
      </c>
      <c r="F74" t="s">
        <v>22</v>
      </c>
      <c r="G74">
        <v>3158.4921630094</v>
      </c>
      <c r="H74">
        <v>17695590.330103502</v>
      </c>
      <c r="I74">
        <v>3158.4921630094</v>
      </c>
      <c r="J74">
        <v>17695590.330103502</v>
      </c>
      <c r="K74">
        <v>7.4770483695116005E-2</v>
      </c>
      <c r="L74">
        <v>5.7876494984543496E-3</v>
      </c>
      <c r="M74">
        <v>-2.2711492079109E-2</v>
      </c>
      <c r="N74">
        <v>8.6017464314410298E-4</v>
      </c>
      <c r="O74">
        <v>0.27153758267579198</v>
      </c>
      <c r="P74">
        <v>1.5017219607166E-2</v>
      </c>
      <c r="Q74">
        <v>8.6522904237031004E-2</v>
      </c>
      <c r="R74">
        <v>7.90366912795024E-2</v>
      </c>
      <c r="S74">
        <v>0.96840122856023403</v>
      </c>
      <c r="T74">
        <v>3.0600289083272302E-2</v>
      </c>
      <c r="U74">
        <v>95</v>
      </c>
    </row>
    <row r="75" spans="1:21" x14ac:dyDescent="0.25">
      <c r="A75">
        <v>74</v>
      </c>
      <c r="B75">
        <v>804</v>
      </c>
      <c r="C75" t="s">
        <v>20</v>
      </c>
      <c r="D75">
        <v>10</v>
      </c>
      <c r="E75" t="s">
        <v>21</v>
      </c>
      <c r="F75" t="s">
        <v>22</v>
      </c>
      <c r="G75">
        <v>2949.4429451894998</v>
      </c>
      <c r="H75">
        <v>10218550.5124378</v>
      </c>
      <c r="I75">
        <v>2949.4429451894998</v>
      </c>
      <c r="J75">
        <v>10218550.5124378</v>
      </c>
      <c r="K75">
        <v>6.5574350881807006E-2</v>
      </c>
      <c r="L75">
        <v>6.1972886940976002E-3</v>
      </c>
      <c r="M75">
        <v>-3.01413403300833E-2</v>
      </c>
      <c r="N75">
        <v>2.0547711076085102E-3</v>
      </c>
      <c r="O75">
        <v>0.25611915036565902</v>
      </c>
      <c r="P75">
        <v>1.2094300338159799E-2</v>
      </c>
      <c r="Q75">
        <v>6.4679963212584596E-2</v>
      </c>
      <c r="R75">
        <v>6.0496465571463202E-2</v>
      </c>
      <c r="S75">
        <v>0.96854922848827596</v>
      </c>
      <c r="T75">
        <v>3.0461620483051999E-2</v>
      </c>
      <c r="U75">
        <v>85</v>
      </c>
    </row>
    <row r="76" spans="1:21" x14ac:dyDescent="0.25">
      <c r="A76">
        <v>75</v>
      </c>
      <c r="B76">
        <v>805</v>
      </c>
      <c r="C76" t="s">
        <v>20</v>
      </c>
      <c r="D76">
        <v>10</v>
      </c>
      <c r="E76" t="s">
        <v>21</v>
      </c>
      <c r="F76" t="s">
        <v>22</v>
      </c>
      <c r="G76">
        <v>3301.47733021459</v>
      </c>
      <c r="H76">
        <v>18767077.396791901</v>
      </c>
      <c r="I76">
        <v>3301.47733021459</v>
      </c>
      <c r="J76">
        <v>18767077.396791901</v>
      </c>
      <c r="K76">
        <v>9.2948767938216201E-2</v>
      </c>
      <c r="L76">
        <v>7.7568314437291598E-3</v>
      </c>
      <c r="M76">
        <v>-2.0408470330782601E-2</v>
      </c>
      <c r="N76">
        <v>3.0049473063884298E-3</v>
      </c>
      <c r="O76">
        <v>0.28772333253990801</v>
      </c>
      <c r="P76">
        <v>1.6170996841330498E-2</v>
      </c>
      <c r="Q76">
        <v>0.100837707727038</v>
      </c>
      <c r="R76">
        <v>9.0669464427389795E-2</v>
      </c>
      <c r="S76">
        <v>0.91805597106257997</v>
      </c>
      <c r="T76">
        <v>7.5229205059030399E-2</v>
      </c>
      <c r="U76">
        <v>71</v>
      </c>
    </row>
    <row r="77" spans="1:21" x14ac:dyDescent="0.25">
      <c r="A77">
        <v>76</v>
      </c>
      <c r="B77">
        <v>806</v>
      </c>
      <c r="C77" t="s">
        <v>20</v>
      </c>
      <c r="D77">
        <v>10</v>
      </c>
      <c r="E77" t="s">
        <v>21</v>
      </c>
      <c r="F77" t="s">
        <v>22</v>
      </c>
      <c r="G77">
        <v>2494.44458011808</v>
      </c>
      <c r="H77">
        <v>9216668.4122383893</v>
      </c>
      <c r="I77">
        <v>2494.44458011808</v>
      </c>
      <c r="J77">
        <v>9216668.4122383893</v>
      </c>
      <c r="K77">
        <v>9.3576727952134703E-2</v>
      </c>
      <c r="L77">
        <v>8.4414460715117705E-3</v>
      </c>
      <c r="M77">
        <v>-2.2181133977687499E-2</v>
      </c>
      <c r="N77">
        <v>2.5105319956017099E-3</v>
      </c>
      <c r="O77">
        <v>0.28071501844678298</v>
      </c>
      <c r="P77">
        <v>1.49930523166608E-2</v>
      </c>
      <c r="Q77">
        <v>8.3284029255151798E-2</v>
      </c>
      <c r="R77">
        <v>7.6347799726164997E-2</v>
      </c>
      <c r="S77">
        <v>0.93197552931698602</v>
      </c>
      <c r="T77">
        <v>6.3397142071223406E-2</v>
      </c>
      <c r="U77">
        <v>86</v>
      </c>
    </row>
    <row r="78" spans="1:21" x14ac:dyDescent="0.25">
      <c r="A78">
        <v>77</v>
      </c>
      <c r="B78">
        <v>807</v>
      </c>
      <c r="C78" t="s">
        <v>20</v>
      </c>
      <c r="D78">
        <v>10</v>
      </c>
      <c r="E78" t="s">
        <v>21</v>
      </c>
      <c r="F78" t="s">
        <v>22</v>
      </c>
      <c r="G78">
        <v>2998.2389971385701</v>
      </c>
      <c r="H78">
        <v>22532987.649231199</v>
      </c>
      <c r="I78">
        <v>2998.2389971385701</v>
      </c>
      <c r="J78">
        <v>22532987.649231199</v>
      </c>
      <c r="K78">
        <v>7.2700448822801703E-2</v>
      </c>
      <c r="L78">
        <v>4.4579709667258698E-3</v>
      </c>
      <c r="M78">
        <v>-2.9333138782778899E-2</v>
      </c>
      <c r="N78">
        <v>5.5507904162607096E-4</v>
      </c>
      <c r="O78">
        <v>0.26843117121391802</v>
      </c>
      <c r="P78">
        <v>1.30544765532364E-2</v>
      </c>
      <c r="Q78">
        <v>7.6911642656294493E-2</v>
      </c>
      <c r="R78">
        <v>7.0996241880172006E-2</v>
      </c>
      <c r="S78">
        <v>0.94412854151955505</v>
      </c>
      <c r="T78">
        <v>5.2749838607662698E-2</v>
      </c>
      <c r="U78">
        <v>79</v>
      </c>
    </row>
    <row r="79" spans="1:21" x14ac:dyDescent="0.25">
      <c r="A79">
        <v>78</v>
      </c>
      <c r="B79">
        <v>808</v>
      </c>
      <c r="C79" t="s">
        <v>20</v>
      </c>
      <c r="D79">
        <v>10</v>
      </c>
      <c r="E79" t="s">
        <v>21</v>
      </c>
      <c r="F79" t="s">
        <v>22</v>
      </c>
      <c r="G79">
        <v>2257.9438657753399</v>
      </c>
      <c r="H79">
        <v>10565508.332697401</v>
      </c>
      <c r="I79">
        <v>2257.9438657753399</v>
      </c>
      <c r="J79">
        <v>10565508.332697401</v>
      </c>
      <c r="K79">
        <v>4.0791278209400102E-2</v>
      </c>
      <c r="L79">
        <v>2.9019320436812399E-3</v>
      </c>
      <c r="M79">
        <v>-3.7231830947645303E-2</v>
      </c>
      <c r="N79">
        <v>4.3890799773691098E-4</v>
      </c>
      <c r="O79">
        <v>0.238718657994134</v>
      </c>
      <c r="P79">
        <v>7.4115485946820697E-3</v>
      </c>
      <c r="Q79">
        <v>3.9535523373315298E-2</v>
      </c>
      <c r="R79">
        <v>3.7972465764982498E-2</v>
      </c>
      <c r="S79">
        <v>0.899123279151267</v>
      </c>
      <c r="T79">
        <v>9.0700608039585698E-2</v>
      </c>
      <c r="U79">
        <v>59</v>
      </c>
    </row>
    <row r="80" spans="1:21" x14ac:dyDescent="0.25">
      <c r="A80">
        <v>79</v>
      </c>
      <c r="B80">
        <v>809</v>
      </c>
      <c r="C80" t="s">
        <v>20</v>
      </c>
      <c r="D80">
        <v>10</v>
      </c>
      <c r="E80" t="s">
        <v>21</v>
      </c>
      <c r="F80" t="s">
        <v>22</v>
      </c>
      <c r="G80">
        <v>2337.5005160738101</v>
      </c>
      <c r="H80">
        <v>15125318.5357536</v>
      </c>
      <c r="I80">
        <v>2337.5005160738101</v>
      </c>
      <c r="J80">
        <v>15125318.5357536</v>
      </c>
      <c r="K80">
        <v>5.58145264774123E-2</v>
      </c>
      <c r="L80">
        <v>5.3414534727164002E-3</v>
      </c>
      <c r="M80">
        <v>-2.8098080663931099E-2</v>
      </c>
      <c r="N80">
        <v>5.7900577022559105E-4</v>
      </c>
      <c r="O80">
        <v>0.26519681141558799</v>
      </c>
      <c r="P80">
        <v>1.2596381097289701E-2</v>
      </c>
      <c r="Q80">
        <v>7.3634921833698394E-2</v>
      </c>
      <c r="R80">
        <v>6.8212820120301207E-2</v>
      </c>
      <c r="S80">
        <v>0.93959038783499704</v>
      </c>
      <c r="T80">
        <v>5.6760290923091303E-2</v>
      </c>
      <c r="U80">
        <v>70</v>
      </c>
    </row>
    <row r="81" spans="1:21" x14ac:dyDescent="0.25">
      <c r="A81">
        <v>80</v>
      </c>
      <c r="B81">
        <v>901</v>
      </c>
      <c r="C81" t="s">
        <v>20</v>
      </c>
      <c r="D81">
        <v>10</v>
      </c>
      <c r="E81" t="s">
        <v>21</v>
      </c>
      <c r="F81" t="s">
        <v>22</v>
      </c>
      <c r="G81">
        <v>2675.6927925557402</v>
      </c>
      <c r="H81">
        <v>17633810.1088694</v>
      </c>
      <c r="I81">
        <v>2675.6927925557402</v>
      </c>
      <c r="J81">
        <v>17633810.1088694</v>
      </c>
      <c r="K81">
        <v>4.2057301356214001E-2</v>
      </c>
      <c r="L81">
        <v>4.9153921217911503E-3</v>
      </c>
      <c r="M81">
        <v>-2.9031036357098802E-2</v>
      </c>
      <c r="N81">
        <v>7.5611637709309702E-4</v>
      </c>
      <c r="O81">
        <v>0.24232695574672</v>
      </c>
      <c r="P81">
        <v>1.26640807739731E-2</v>
      </c>
      <c r="Q81">
        <v>6.5244952636111395E-2</v>
      </c>
      <c r="R81">
        <v>6.09880487915632E-2</v>
      </c>
      <c r="S81">
        <v>0.95791374650178196</v>
      </c>
      <c r="T81">
        <v>4.03150007647054E-2</v>
      </c>
      <c r="U81">
        <v>87</v>
      </c>
    </row>
    <row r="82" spans="1:21" x14ac:dyDescent="0.25">
      <c r="A82">
        <v>81</v>
      </c>
      <c r="B82">
        <v>902</v>
      </c>
      <c r="C82" t="s">
        <v>20</v>
      </c>
      <c r="D82">
        <v>10</v>
      </c>
      <c r="E82" t="s">
        <v>21</v>
      </c>
      <c r="F82" t="s">
        <v>22</v>
      </c>
      <c r="G82">
        <v>2771.0453771411399</v>
      </c>
      <c r="H82">
        <v>18869788.658589099</v>
      </c>
      <c r="I82">
        <v>2771.0453771411399</v>
      </c>
      <c r="J82">
        <v>18869788.658589099</v>
      </c>
      <c r="K82">
        <v>3.7889455998748899E-2</v>
      </c>
      <c r="L82">
        <v>4.5597353413637104E-3</v>
      </c>
      <c r="M82">
        <v>-3.22432563601922E-2</v>
      </c>
      <c r="N82">
        <v>5.83327776448443E-4</v>
      </c>
      <c r="O82">
        <v>0.242476533058054</v>
      </c>
      <c r="P82">
        <v>1.3602802529744801E-2</v>
      </c>
      <c r="Q82">
        <v>7.0770309526194494E-2</v>
      </c>
      <c r="R82">
        <v>6.5761872815697203E-2</v>
      </c>
      <c r="S82">
        <v>0.93355203025029099</v>
      </c>
      <c r="T82">
        <v>6.2032637065897199E-2</v>
      </c>
      <c r="U82">
        <v>70</v>
      </c>
    </row>
    <row r="83" spans="1:21" x14ac:dyDescent="0.25">
      <c r="A83">
        <v>82</v>
      </c>
      <c r="B83">
        <v>903</v>
      </c>
      <c r="C83" t="s">
        <v>20</v>
      </c>
      <c r="D83">
        <v>10</v>
      </c>
      <c r="E83" t="s">
        <v>21</v>
      </c>
      <c r="F83" t="s">
        <v>22</v>
      </c>
      <c r="G83">
        <v>2479.3881587391202</v>
      </c>
      <c r="H83">
        <v>5799639.8954734001</v>
      </c>
      <c r="I83">
        <v>2479.3881587391202</v>
      </c>
      <c r="J83">
        <v>5799639.8954734001</v>
      </c>
      <c r="K83">
        <v>4.1220791343823802E-2</v>
      </c>
      <c r="L83">
        <v>2.5229779377410398E-3</v>
      </c>
      <c r="M83">
        <v>-2.94386882900959E-2</v>
      </c>
      <c r="N83">
        <v>5.6478009844391401E-4</v>
      </c>
      <c r="O83">
        <v>0.228698089400313</v>
      </c>
      <c r="P83">
        <v>4.8902600587852601E-3</v>
      </c>
      <c r="Q83">
        <v>2.2357984444387399E-2</v>
      </c>
      <c r="R83">
        <v>2.1858104975965301E-2</v>
      </c>
      <c r="S83">
        <v>0.82746008931779702</v>
      </c>
      <c r="T83">
        <v>0.14276988990402101</v>
      </c>
      <c r="U83">
        <v>65</v>
      </c>
    </row>
    <row r="84" spans="1:21" x14ac:dyDescent="0.25">
      <c r="A84">
        <v>83</v>
      </c>
      <c r="B84">
        <v>904</v>
      </c>
      <c r="C84" t="s">
        <v>20</v>
      </c>
      <c r="D84">
        <v>10</v>
      </c>
      <c r="E84" t="s">
        <v>21</v>
      </c>
      <c r="F84" t="s">
        <v>22</v>
      </c>
      <c r="G84">
        <v>2941.71038259038</v>
      </c>
      <c r="H84">
        <v>9821668.8639068697</v>
      </c>
      <c r="I84">
        <v>2941.71038259038</v>
      </c>
      <c r="J84">
        <v>9821668.8639068697</v>
      </c>
      <c r="K84">
        <v>7.0246056180819902E-2</v>
      </c>
      <c r="L84">
        <v>4.67331336468147E-3</v>
      </c>
      <c r="M84">
        <v>-2.1877353686947799E-2</v>
      </c>
      <c r="N84">
        <v>2.0179522378710201E-3</v>
      </c>
      <c r="O84">
        <v>0.25772984175796698</v>
      </c>
      <c r="P84">
        <v>6.55560327549132E-3</v>
      </c>
      <c r="Q84">
        <v>3.2249912249912201E-2</v>
      </c>
      <c r="R84">
        <v>3.12098554098236E-2</v>
      </c>
      <c r="S84">
        <v>0.88687458750508996</v>
      </c>
      <c r="T84">
        <v>0.100328053542836</v>
      </c>
      <c r="U84">
        <v>55</v>
      </c>
    </row>
    <row r="85" spans="1:21" x14ac:dyDescent="0.25">
      <c r="A85">
        <v>84</v>
      </c>
      <c r="B85">
        <v>905</v>
      </c>
      <c r="C85" t="s">
        <v>20</v>
      </c>
      <c r="D85">
        <v>10</v>
      </c>
      <c r="E85" t="s">
        <v>21</v>
      </c>
      <c r="F85" t="s">
        <v>22</v>
      </c>
      <c r="G85">
        <v>2871.5979835602402</v>
      </c>
      <c r="H85">
        <v>12866763.9738438</v>
      </c>
      <c r="I85">
        <v>2871.5979835602402</v>
      </c>
      <c r="J85">
        <v>12866763.9738438</v>
      </c>
      <c r="K85">
        <v>0.107348577802707</v>
      </c>
      <c r="L85">
        <v>5.8922132120261201E-3</v>
      </c>
      <c r="M85">
        <v>-7.36184548675881E-3</v>
      </c>
      <c r="N85">
        <v>2.79649021102226E-3</v>
      </c>
      <c r="O85">
        <v>0.29276288406543499</v>
      </c>
      <c r="P85">
        <v>8.4350762725208805E-3</v>
      </c>
      <c r="Q85">
        <v>5.0282558438222401E-2</v>
      </c>
      <c r="R85">
        <v>4.7754222755140602E-2</v>
      </c>
      <c r="S85">
        <v>0.90901501432075904</v>
      </c>
      <c r="T85">
        <v>8.2706718060195306E-2</v>
      </c>
      <c r="U85">
        <v>60</v>
      </c>
    </row>
    <row r="86" spans="1:21" x14ac:dyDescent="0.25">
      <c r="A86">
        <v>85</v>
      </c>
      <c r="B86">
        <v>906</v>
      </c>
      <c r="C86" t="s">
        <v>20</v>
      </c>
      <c r="D86">
        <v>10</v>
      </c>
      <c r="E86" t="s">
        <v>21</v>
      </c>
      <c r="F86" t="s">
        <v>22</v>
      </c>
      <c r="G86">
        <v>3408.00001301067</v>
      </c>
      <c r="H86">
        <v>19184434.316120099</v>
      </c>
      <c r="I86">
        <v>3408.00001301067</v>
      </c>
      <c r="J86">
        <v>19184434.316120099</v>
      </c>
      <c r="K86">
        <v>0.12595884062488</v>
      </c>
      <c r="L86">
        <v>6.5335118133481697E-3</v>
      </c>
      <c r="M86">
        <v>-1.1467042856475001E-2</v>
      </c>
      <c r="N86">
        <v>2.4230442900431901E-3</v>
      </c>
      <c r="O86">
        <v>0.31512155282802401</v>
      </c>
      <c r="P86">
        <v>1.2256663797820901E-2</v>
      </c>
      <c r="Q86">
        <v>8.8823835545147001E-2</v>
      </c>
      <c r="R86">
        <v>8.0934161784358999E-2</v>
      </c>
      <c r="S86">
        <v>0.95763891599339102</v>
      </c>
      <c r="T86">
        <v>4.0566622568400802E-2</v>
      </c>
      <c r="U86">
        <v>103</v>
      </c>
    </row>
    <row r="87" spans="1:21" x14ac:dyDescent="0.25">
      <c r="A87">
        <v>86</v>
      </c>
      <c r="B87">
        <v>907</v>
      </c>
      <c r="C87" t="s">
        <v>20</v>
      </c>
      <c r="D87">
        <v>10</v>
      </c>
      <c r="E87" t="s">
        <v>21</v>
      </c>
      <c r="F87" t="s">
        <v>22</v>
      </c>
      <c r="G87">
        <v>3366.7523136752998</v>
      </c>
      <c r="H87">
        <v>22370763.169477601</v>
      </c>
      <c r="I87">
        <v>3366.7523136752998</v>
      </c>
      <c r="J87">
        <v>22370763.169477601</v>
      </c>
      <c r="K87">
        <v>0.114416800634612</v>
      </c>
      <c r="L87">
        <v>6.0606481783389999E-3</v>
      </c>
      <c r="M87">
        <v>-1.4678986459957501E-2</v>
      </c>
      <c r="N87">
        <v>1.0136417765793299E-3</v>
      </c>
      <c r="O87">
        <v>0.30969265320266698</v>
      </c>
      <c r="P87">
        <v>1.51743495679407E-2</v>
      </c>
      <c r="Q87">
        <v>0.10081717042433801</v>
      </c>
      <c r="R87">
        <v>9.0653068572125101E-2</v>
      </c>
      <c r="S87">
        <v>0.93578083270771495</v>
      </c>
      <c r="T87">
        <v>6.00950658446011E-2</v>
      </c>
      <c r="U87">
        <v>89</v>
      </c>
    </row>
    <row r="88" spans="1:21" x14ac:dyDescent="0.25">
      <c r="A88">
        <v>87</v>
      </c>
      <c r="B88">
        <v>908</v>
      </c>
      <c r="C88" t="s">
        <v>20</v>
      </c>
      <c r="D88">
        <v>10</v>
      </c>
      <c r="E88" t="s">
        <v>21</v>
      </c>
      <c r="F88" t="s">
        <v>22</v>
      </c>
      <c r="G88">
        <v>2870.5922288849501</v>
      </c>
      <c r="H88">
        <v>10224106.666440999</v>
      </c>
      <c r="I88">
        <v>2870.5922288849501</v>
      </c>
      <c r="J88">
        <v>10224106.666440999</v>
      </c>
      <c r="K88">
        <v>9.0803953602508494E-2</v>
      </c>
      <c r="L88">
        <v>5.9987427294911303E-3</v>
      </c>
      <c r="M88">
        <v>-2.1217892721903199E-2</v>
      </c>
      <c r="N88">
        <v>6.4317668824768603E-4</v>
      </c>
      <c r="O88">
        <v>0.287616135088888</v>
      </c>
      <c r="P88">
        <v>1.2940865268709601E-2</v>
      </c>
      <c r="Q88">
        <v>7.5659731494744004E-2</v>
      </c>
      <c r="R88">
        <v>6.9935336524801897E-2</v>
      </c>
      <c r="S88">
        <v>0.92372315499386903</v>
      </c>
      <c r="T88">
        <v>7.04586879219012E-2</v>
      </c>
      <c r="U88">
        <v>70</v>
      </c>
    </row>
    <row r="89" spans="1:21" x14ac:dyDescent="0.25">
      <c r="A89">
        <v>88</v>
      </c>
      <c r="B89">
        <v>909</v>
      </c>
      <c r="C89" t="s">
        <v>20</v>
      </c>
      <c r="D89">
        <v>10</v>
      </c>
      <c r="E89" t="s">
        <v>21</v>
      </c>
      <c r="F89" t="s">
        <v>22</v>
      </c>
      <c r="G89">
        <v>2855.94117158173</v>
      </c>
      <c r="H89">
        <v>13866816.3088273</v>
      </c>
      <c r="I89">
        <v>2855.94117158173</v>
      </c>
      <c r="J89">
        <v>13866816.3088273</v>
      </c>
      <c r="K89">
        <v>0.12954857825177801</v>
      </c>
      <c r="L89">
        <v>7.3905957426921498E-3</v>
      </c>
      <c r="M89" s="1">
        <v>-1.0373438800316301E-5</v>
      </c>
      <c r="N89">
        <v>8.0272807953140897E-4</v>
      </c>
      <c r="O89">
        <v>0.328369181664599</v>
      </c>
      <c r="P89">
        <v>1.4933492699272599E-2</v>
      </c>
      <c r="Q89">
        <v>0.110980288947682</v>
      </c>
      <c r="R89">
        <v>9.8663664412709906E-2</v>
      </c>
      <c r="S89">
        <v>0.95915059840425498</v>
      </c>
      <c r="T89">
        <v>3.9180727985020397E-2</v>
      </c>
      <c r="U89">
        <v>85</v>
      </c>
    </row>
    <row r="90" spans="1:21" x14ac:dyDescent="0.25">
      <c r="A90">
        <v>89</v>
      </c>
      <c r="B90">
        <v>910</v>
      </c>
      <c r="C90" t="s">
        <v>20</v>
      </c>
      <c r="D90">
        <v>10</v>
      </c>
      <c r="E90" t="s">
        <v>21</v>
      </c>
      <c r="F90" t="s">
        <v>22</v>
      </c>
      <c r="G90">
        <v>2148.6864900760002</v>
      </c>
      <c r="H90">
        <v>8267781.2007597303</v>
      </c>
      <c r="I90">
        <v>2148.6864900760002</v>
      </c>
      <c r="J90">
        <v>8267781.2007597303</v>
      </c>
      <c r="K90">
        <v>6.6639553924805695E-2</v>
      </c>
      <c r="L90">
        <v>4.3968434826292301E-3</v>
      </c>
      <c r="M90">
        <v>-9.1918006927347393E-3</v>
      </c>
      <c r="N90">
        <v>6.3672289575916296E-4</v>
      </c>
      <c r="O90">
        <v>0.27352367563144703</v>
      </c>
      <c r="P90">
        <v>8.0663931281319597E-3</v>
      </c>
      <c r="Q90">
        <v>4.5561868221058101E-2</v>
      </c>
      <c r="R90">
        <v>4.3485984385306098E-2</v>
      </c>
      <c r="S90">
        <v>0.89722211974766697</v>
      </c>
      <c r="T90">
        <v>9.2214587583129906E-2</v>
      </c>
      <c r="U90">
        <v>56</v>
      </c>
    </row>
    <row r="91" spans="1:21" x14ac:dyDescent="0.25">
      <c r="A91">
        <v>90</v>
      </c>
      <c r="B91">
        <v>810</v>
      </c>
      <c r="C91" t="s">
        <v>20</v>
      </c>
      <c r="D91">
        <v>10</v>
      </c>
      <c r="E91" t="s">
        <v>21</v>
      </c>
      <c r="F91" t="s">
        <v>22</v>
      </c>
      <c r="G91">
        <v>2450.3988576748402</v>
      </c>
      <c r="H91">
        <v>12876565.807372401</v>
      </c>
      <c r="I91">
        <v>2450.3988576748402</v>
      </c>
      <c r="J91">
        <v>12876565.807372401</v>
      </c>
      <c r="K91">
        <v>5.2778580361861498E-2</v>
      </c>
      <c r="L91">
        <v>7.2825763212842403E-3</v>
      </c>
      <c r="M91">
        <v>-2.7076918806858401E-2</v>
      </c>
      <c r="N91">
        <v>6.4374022910158597E-4</v>
      </c>
      <c r="O91">
        <v>0.26718196982842501</v>
      </c>
      <c r="P91">
        <v>1.4511386376022299E-2</v>
      </c>
      <c r="Q91">
        <v>7.8956307320693905E-2</v>
      </c>
      <c r="R91">
        <v>7.2722208855135195E-2</v>
      </c>
      <c r="S91">
        <v>0.91797297637319797</v>
      </c>
      <c r="T91">
        <v>7.5298591021742897E-2</v>
      </c>
      <c r="U91">
        <v>95</v>
      </c>
    </row>
    <row r="92" spans="1:21" x14ac:dyDescent="0.25">
      <c r="A92">
        <v>91</v>
      </c>
      <c r="B92">
        <v>44444</v>
      </c>
      <c r="C92" t="s">
        <v>20</v>
      </c>
      <c r="D92">
        <v>10</v>
      </c>
      <c r="E92" t="s">
        <v>21</v>
      </c>
      <c r="F92" t="s">
        <v>22</v>
      </c>
      <c r="G92">
        <v>648.87266648091395</v>
      </c>
      <c r="H92">
        <v>2018685.9762631799</v>
      </c>
      <c r="I92">
        <v>648.87266648091395</v>
      </c>
      <c r="J92">
        <v>2018685.9762631799</v>
      </c>
      <c r="K92">
        <v>1.2283850707122901E-2</v>
      </c>
      <c r="L92">
        <v>1.4930489294078799E-2</v>
      </c>
      <c r="M92">
        <v>-3.17091047693265E-2</v>
      </c>
      <c r="N92">
        <v>3.2280557999610801E-3</v>
      </c>
      <c r="O92">
        <v>0.20273585205481201</v>
      </c>
      <c r="P92">
        <v>7.8148398369033405E-3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10</v>
      </c>
      <c r="E93" t="s">
        <v>21</v>
      </c>
      <c r="F93" t="s">
        <v>22</v>
      </c>
      <c r="G93">
        <v>1959.1744054360099</v>
      </c>
      <c r="H93">
        <v>19869229.655879501</v>
      </c>
      <c r="I93">
        <v>1959.1744054360099</v>
      </c>
      <c r="J93">
        <v>19869229.655879501</v>
      </c>
      <c r="K93">
        <v>1.65729869474169E-2</v>
      </c>
      <c r="L93">
        <v>4.7736832191938201E-2</v>
      </c>
      <c r="M93">
        <v>-1.23380169246615E-2</v>
      </c>
      <c r="N93">
        <v>9.9389472287025708E-3</v>
      </c>
      <c r="O93">
        <v>0.24805899736551701</v>
      </c>
      <c r="P93">
        <v>4.1309742340769E-2</v>
      </c>
      <c r="Q93">
        <v>0.101925254813137</v>
      </c>
      <c r="R93">
        <v>9.1536497244413595E-2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10</v>
      </c>
      <c r="E94" t="s">
        <v>24</v>
      </c>
      <c r="F94" t="s">
        <v>25</v>
      </c>
      <c r="G94">
        <v>1432.9967826045399</v>
      </c>
      <c r="H94">
        <v>4291568.3804436997</v>
      </c>
      <c r="I94">
        <v>1432.9967826045399</v>
      </c>
      <c r="J94">
        <v>4291568.3804436997</v>
      </c>
      <c r="K94">
        <v>3.4834252398874603E-2</v>
      </c>
      <c r="L94">
        <v>4.2383353946203999E-3</v>
      </c>
      <c r="M94">
        <v>-5.0826301942686301E-2</v>
      </c>
      <c r="N94">
        <v>8.3223878440414896E-4</v>
      </c>
      <c r="O94">
        <v>0.224856917922096</v>
      </c>
      <c r="P94">
        <v>6.4214230425866997E-3</v>
      </c>
      <c r="Q94">
        <v>2.3442732752846598E-2</v>
      </c>
      <c r="R94">
        <v>2.28931710339665E-2</v>
      </c>
      <c r="S94">
        <v>0.92681497428537296</v>
      </c>
      <c r="T94">
        <v>6.7828977725735207E-2</v>
      </c>
      <c r="U94">
        <v>71</v>
      </c>
    </row>
    <row r="95" spans="1:21" x14ac:dyDescent="0.25">
      <c r="A95">
        <v>94</v>
      </c>
      <c r="B95">
        <v>102</v>
      </c>
      <c r="C95" t="s">
        <v>23</v>
      </c>
      <c r="D95">
        <v>10</v>
      </c>
      <c r="E95" t="s">
        <v>24</v>
      </c>
      <c r="F95" t="s">
        <v>25</v>
      </c>
      <c r="G95">
        <v>1213.0005741008699</v>
      </c>
      <c r="H95">
        <v>2583685.7148151202</v>
      </c>
      <c r="I95">
        <v>1213.0005741008699</v>
      </c>
      <c r="J95">
        <v>2583685.7148151202</v>
      </c>
      <c r="K95">
        <v>3.8531979049899898E-2</v>
      </c>
      <c r="L95">
        <v>2.6749852862956898E-3</v>
      </c>
      <c r="M95">
        <v>-4.5329081545560701E-2</v>
      </c>
      <c r="N95">
        <v>5.5870897805936201E-4</v>
      </c>
      <c r="O95">
        <v>0.22602356561414499</v>
      </c>
      <c r="P95">
        <v>3.8121195280546101E-3</v>
      </c>
      <c r="Q95">
        <v>1.30488344556208E-2</v>
      </c>
      <c r="R95">
        <v>1.28785623749524E-2</v>
      </c>
      <c r="S95">
        <v>0.90210760508121801</v>
      </c>
      <c r="T95">
        <v>8.8309473935960905E-2</v>
      </c>
      <c r="U95">
        <v>65</v>
      </c>
    </row>
    <row r="96" spans="1:21" x14ac:dyDescent="0.25">
      <c r="A96">
        <v>95</v>
      </c>
      <c r="B96">
        <v>103</v>
      </c>
      <c r="C96" t="s">
        <v>23</v>
      </c>
      <c r="D96">
        <v>10</v>
      </c>
      <c r="E96" t="s">
        <v>24</v>
      </c>
      <c r="F96" t="s">
        <v>25</v>
      </c>
      <c r="G96">
        <v>1309.0016266969701</v>
      </c>
      <c r="H96">
        <v>3644679.5392115298</v>
      </c>
      <c r="I96">
        <v>1309.0016266969701</v>
      </c>
      <c r="J96">
        <v>3644679.5392115298</v>
      </c>
      <c r="K96">
        <v>4.75696235420962E-2</v>
      </c>
      <c r="L96">
        <v>2.7571696160464598E-3</v>
      </c>
      <c r="M96">
        <v>-3.8892887690447998E-2</v>
      </c>
      <c r="N96">
        <v>4.6884508185106999E-4</v>
      </c>
      <c r="O96">
        <v>0.241018341179358</v>
      </c>
      <c r="P96">
        <v>4.5978235770256096E-3</v>
      </c>
      <c r="Q96">
        <v>2.0130374977573098E-2</v>
      </c>
      <c r="R96">
        <v>1.9725142980804099E-2</v>
      </c>
      <c r="S96">
        <v>0.89715926080976005</v>
      </c>
      <c r="T96">
        <v>9.2264521553033302E-2</v>
      </c>
      <c r="U96">
        <v>80</v>
      </c>
    </row>
    <row r="97" spans="1:21" x14ac:dyDescent="0.25">
      <c r="A97">
        <v>96</v>
      </c>
      <c r="B97">
        <v>104</v>
      </c>
      <c r="C97" t="s">
        <v>23</v>
      </c>
      <c r="D97">
        <v>10</v>
      </c>
      <c r="E97" t="s">
        <v>24</v>
      </c>
      <c r="F97" t="s">
        <v>25</v>
      </c>
      <c r="G97">
        <v>1217.4835306781499</v>
      </c>
      <c r="H97">
        <v>2646653.4064324801</v>
      </c>
      <c r="I97">
        <v>1217.4835306781499</v>
      </c>
      <c r="J97">
        <v>2646653.4064324801</v>
      </c>
      <c r="K97">
        <v>5.6127618950431502E-2</v>
      </c>
      <c r="L97">
        <v>2.0674540651789601E-3</v>
      </c>
      <c r="M97">
        <v>-3.1362856194248799E-2</v>
      </c>
      <c r="N97">
        <v>5.3469811926206996E-4</v>
      </c>
      <c r="O97">
        <v>0.24895941226794099</v>
      </c>
      <c r="P97">
        <v>2.9709419463958102E-3</v>
      </c>
      <c r="Q97">
        <v>1.27018299246502E-2</v>
      </c>
      <c r="R97">
        <v>1.25404934412051E-2</v>
      </c>
      <c r="S97">
        <v>0.91473202004616805</v>
      </c>
      <c r="T97">
        <v>7.7997351548446794E-2</v>
      </c>
      <c r="U97">
        <v>69</v>
      </c>
    </row>
    <row r="98" spans="1:21" x14ac:dyDescent="0.25">
      <c r="A98">
        <v>97</v>
      </c>
      <c r="B98">
        <v>105</v>
      </c>
      <c r="C98" t="s">
        <v>23</v>
      </c>
      <c r="D98">
        <v>10</v>
      </c>
      <c r="E98" t="s">
        <v>24</v>
      </c>
      <c r="F98" t="s">
        <v>25</v>
      </c>
      <c r="G98">
        <v>999.58348880596998</v>
      </c>
      <c r="H98">
        <v>1672752.3671446</v>
      </c>
      <c r="I98">
        <v>999.58348880596998</v>
      </c>
      <c r="J98">
        <v>1672752.3671446</v>
      </c>
      <c r="K98">
        <v>6.2619906866974703E-2</v>
      </c>
      <c r="L98">
        <v>2.67603613906983E-3</v>
      </c>
      <c r="M98">
        <v>-2.6459621496807102E-2</v>
      </c>
      <c r="N98">
        <v>7.3738811705764305E-4</v>
      </c>
      <c r="O98">
        <v>0.25468908488214798</v>
      </c>
      <c r="P98">
        <v>2.9624145042472E-3</v>
      </c>
      <c r="Q98">
        <v>1.15408534251818E-2</v>
      </c>
      <c r="R98">
        <v>1.1407662127396899E-2</v>
      </c>
      <c r="S98">
        <v>0.88410061358498704</v>
      </c>
      <c r="T98">
        <v>0.102466718643819</v>
      </c>
      <c r="U98">
        <v>64</v>
      </c>
    </row>
    <row r="99" spans="1:21" x14ac:dyDescent="0.25">
      <c r="A99">
        <v>98</v>
      </c>
      <c r="B99">
        <v>106</v>
      </c>
      <c r="C99" t="s">
        <v>23</v>
      </c>
      <c r="D99">
        <v>10</v>
      </c>
      <c r="E99" t="s">
        <v>24</v>
      </c>
      <c r="F99" t="s">
        <v>25</v>
      </c>
      <c r="G99">
        <v>1201.2136804899901</v>
      </c>
      <c r="H99">
        <v>2777635.8422167702</v>
      </c>
      <c r="I99">
        <v>1201.2136804899901</v>
      </c>
      <c r="J99">
        <v>2777635.8422167702</v>
      </c>
      <c r="K99">
        <v>9.0936381313281106E-2</v>
      </c>
      <c r="L99">
        <v>3.6311226916025501E-3</v>
      </c>
      <c r="M99">
        <v>-1.7164209003536601E-2</v>
      </c>
      <c r="N99">
        <v>9.7155224959865098E-4</v>
      </c>
      <c r="O99">
        <v>0.27848947729854001</v>
      </c>
      <c r="P99">
        <v>4.67996409259833E-3</v>
      </c>
      <c r="Q99">
        <v>2.43421211901131E-2</v>
      </c>
      <c r="R99">
        <v>2.3749582326111199E-2</v>
      </c>
      <c r="S99">
        <v>0.91328661171429604</v>
      </c>
      <c r="T99">
        <v>7.9194176577763994E-2</v>
      </c>
      <c r="U99">
        <v>68</v>
      </c>
    </row>
    <row r="100" spans="1:21" x14ac:dyDescent="0.25">
      <c r="A100">
        <v>99</v>
      </c>
      <c r="B100">
        <v>107</v>
      </c>
      <c r="C100" t="s">
        <v>23</v>
      </c>
      <c r="D100">
        <v>10</v>
      </c>
      <c r="E100" t="s">
        <v>24</v>
      </c>
      <c r="F100" t="s">
        <v>25</v>
      </c>
      <c r="G100">
        <v>1511.4123797735999</v>
      </c>
      <c r="H100">
        <v>2143528.9794620401</v>
      </c>
      <c r="I100">
        <v>1511.4123797735999</v>
      </c>
      <c r="J100">
        <v>2143528.9794620401</v>
      </c>
      <c r="K100">
        <v>7.9027069894362006E-2</v>
      </c>
      <c r="L100">
        <v>3.2458319599963001E-3</v>
      </c>
      <c r="M100">
        <v>-2.1797247225390001E-2</v>
      </c>
      <c r="N100">
        <v>7.3682683341845003E-4</v>
      </c>
      <c r="O100">
        <v>0.275596862397192</v>
      </c>
      <c r="P100">
        <v>4.1815200435288699E-3</v>
      </c>
      <c r="Q100">
        <v>1.7573038343518699E-2</v>
      </c>
      <c r="R100">
        <v>1.72642266669026E-2</v>
      </c>
      <c r="S100">
        <v>0.91405585209251905</v>
      </c>
      <c r="T100">
        <v>7.8557751348267701E-2</v>
      </c>
      <c r="U100">
        <v>66</v>
      </c>
    </row>
    <row r="101" spans="1:21" x14ac:dyDescent="0.25">
      <c r="A101">
        <v>100</v>
      </c>
      <c r="B101">
        <v>108</v>
      </c>
      <c r="C101" t="s">
        <v>23</v>
      </c>
      <c r="D101">
        <v>10</v>
      </c>
      <c r="E101" t="s">
        <v>24</v>
      </c>
      <c r="F101" t="s">
        <v>25</v>
      </c>
      <c r="G101">
        <v>1904.4676570499</v>
      </c>
      <c r="H101">
        <v>2589810.0888897898</v>
      </c>
      <c r="I101">
        <v>1904.4676570499</v>
      </c>
      <c r="J101">
        <v>2589810.0888897898</v>
      </c>
      <c r="K101">
        <v>7.0461215081290607E-2</v>
      </c>
      <c r="L101">
        <v>2.6671327894356701E-3</v>
      </c>
      <c r="M101">
        <v>-2.3529078076971601E-2</v>
      </c>
      <c r="N101">
        <v>5.73701806042913E-4</v>
      </c>
      <c r="O101">
        <v>0.27452710251286899</v>
      </c>
      <c r="P101">
        <v>3.39439403311489E-3</v>
      </c>
      <c r="Q101">
        <v>1.57289124922253E-2</v>
      </c>
      <c r="R101">
        <v>1.54815138040233E-2</v>
      </c>
      <c r="S101">
        <v>0.92519374282433997</v>
      </c>
      <c r="T101">
        <v>6.9210281063012899E-2</v>
      </c>
      <c r="U101">
        <v>58</v>
      </c>
    </row>
    <row r="102" spans="1:21" x14ac:dyDescent="0.25">
      <c r="A102">
        <v>101</v>
      </c>
      <c r="B102">
        <v>109</v>
      </c>
      <c r="C102" t="s">
        <v>23</v>
      </c>
      <c r="D102">
        <v>10</v>
      </c>
      <c r="E102" t="s">
        <v>24</v>
      </c>
      <c r="F102" t="s">
        <v>25</v>
      </c>
      <c r="G102">
        <v>1928.9748020761101</v>
      </c>
      <c r="H102">
        <v>3203697.1525258501</v>
      </c>
      <c r="I102">
        <v>1928.9748020761101</v>
      </c>
      <c r="J102">
        <v>3203697.1525258501</v>
      </c>
      <c r="K102">
        <v>7.0399631812549407E-2</v>
      </c>
      <c r="L102">
        <v>3.53581357477271E-3</v>
      </c>
      <c r="M102">
        <v>-2.47134747646723E-2</v>
      </c>
      <c r="N102">
        <v>8.5821567818226301E-4</v>
      </c>
      <c r="O102">
        <v>0.26908216152428699</v>
      </c>
      <c r="P102">
        <v>4.1079479723619599E-3</v>
      </c>
      <c r="Q102">
        <v>2.0653447822239199E-2</v>
      </c>
      <c r="R102">
        <v>2.0226882915335E-2</v>
      </c>
      <c r="S102">
        <v>0.89860913450614099</v>
      </c>
      <c r="T102">
        <v>9.11107578882666E-2</v>
      </c>
      <c r="U102">
        <v>67</v>
      </c>
    </row>
    <row r="103" spans="1:21" x14ac:dyDescent="0.25">
      <c r="A103">
        <v>102</v>
      </c>
      <c r="B103">
        <v>110</v>
      </c>
      <c r="C103" t="s">
        <v>23</v>
      </c>
      <c r="D103">
        <v>10</v>
      </c>
      <c r="E103" t="s">
        <v>24</v>
      </c>
      <c r="F103" t="s">
        <v>25</v>
      </c>
      <c r="G103">
        <v>1932.69804348346</v>
      </c>
      <c r="H103">
        <v>3184482.6103816298</v>
      </c>
      <c r="I103">
        <v>1932.69804348346</v>
      </c>
      <c r="J103">
        <v>3184482.6103816298</v>
      </c>
      <c r="K103">
        <v>5.53973343905865E-2</v>
      </c>
      <c r="L103">
        <v>3.1147509564136899E-3</v>
      </c>
      <c r="M103">
        <v>-3.5128650863540799E-2</v>
      </c>
      <c r="N103">
        <v>7.8687730714489899E-4</v>
      </c>
      <c r="O103">
        <v>0.25544060869368701</v>
      </c>
      <c r="P103">
        <v>4.2430304836878104E-3</v>
      </c>
      <c r="Q103">
        <v>2.0306632543232301E-2</v>
      </c>
      <c r="R103">
        <v>1.9894273218013101E-2</v>
      </c>
      <c r="S103">
        <v>0.89443029194024803</v>
      </c>
      <c r="T103">
        <v>9.4424744799944907E-2</v>
      </c>
      <c r="U103">
        <v>61</v>
      </c>
    </row>
    <row r="104" spans="1:21" x14ac:dyDescent="0.25">
      <c r="A104">
        <v>103</v>
      </c>
      <c r="B104">
        <v>111</v>
      </c>
      <c r="C104" t="s">
        <v>23</v>
      </c>
      <c r="D104">
        <v>10</v>
      </c>
      <c r="E104" t="s">
        <v>24</v>
      </c>
      <c r="F104" t="s">
        <v>25</v>
      </c>
      <c r="G104">
        <v>1619.0583352491999</v>
      </c>
      <c r="H104">
        <v>1288070.20923447</v>
      </c>
      <c r="I104">
        <v>1619.0583352491999</v>
      </c>
      <c r="J104">
        <v>1288070.20923447</v>
      </c>
      <c r="K104">
        <v>4.7861349253456698E-2</v>
      </c>
      <c r="L104">
        <v>2.3293373915310102E-3</v>
      </c>
      <c r="M104">
        <v>-3.6622707889531099E-2</v>
      </c>
      <c r="N104">
        <v>6.4587826618672502E-4</v>
      </c>
      <c r="O104">
        <v>0.238416666798097</v>
      </c>
      <c r="P104">
        <v>2.4932478583655901E-3</v>
      </c>
      <c r="Q104">
        <v>8.4943673390365793E-3</v>
      </c>
      <c r="R104">
        <v>8.4222130625500099E-3</v>
      </c>
      <c r="S104">
        <v>0.86365451399392601</v>
      </c>
      <c r="T104">
        <v>0.117755394451761</v>
      </c>
      <c r="U104">
        <v>59</v>
      </c>
    </row>
    <row r="105" spans="1:21" x14ac:dyDescent="0.25">
      <c r="A105">
        <v>104</v>
      </c>
      <c r="B105">
        <v>112</v>
      </c>
      <c r="C105" t="s">
        <v>23</v>
      </c>
      <c r="D105">
        <v>10</v>
      </c>
      <c r="E105" t="s">
        <v>24</v>
      </c>
      <c r="F105" t="s">
        <v>25</v>
      </c>
      <c r="G105">
        <v>1850.1524015671901</v>
      </c>
      <c r="H105">
        <v>4086173.8551113098</v>
      </c>
      <c r="I105">
        <v>1850.1524015671901</v>
      </c>
      <c r="J105">
        <v>4086173.8551113098</v>
      </c>
      <c r="K105">
        <v>4.7733197620181002E-2</v>
      </c>
      <c r="L105">
        <v>2.2011938657960002E-3</v>
      </c>
      <c r="M105">
        <v>-3.63636397745409E-2</v>
      </c>
      <c r="N105">
        <v>5.7934707075632899E-4</v>
      </c>
      <c r="O105">
        <v>0.234979796591295</v>
      </c>
      <c r="P105">
        <v>3.7588669922243001E-3</v>
      </c>
      <c r="Q105">
        <v>1.42449453419754E-2</v>
      </c>
      <c r="R105">
        <v>1.40420268741884E-2</v>
      </c>
      <c r="S105">
        <v>0.85856973566470796</v>
      </c>
      <c r="T105">
        <v>0.12142774466542</v>
      </c>
      <c r="U105">
        <v>75</v>
      </c>
    </row>
    <row r="106" spans="1:21" x14ac:dyDescent="0.25">
      <c r="A106">
        <v>105</v>
      </c>
      <c r="B106">
        <v>201</v>
      </c>
      <c r="C106" t="s">
        <v>23</v>
      </c>
      <c r="D106">
        <v>10</v>
      </c>
      <c r="E106" t="s">
        <v>24</v>
      </c>
      <c r="F106" t="s">
        <v>25</v>
      </c>
      <c r="G106">
        <v>1618.27888284194</v>
      </c>
      <c r="H106">
        <v>3130545.89311131</v>
      </c>
      <c r="I106">
        <v>1618.27888284194</v>
      </c>
      <c r="J106">
        <v>3130545.89311131</v>
      </c>
      <c r="K106">
        <v>4.8069435475891202E-2</v>
      </c>
      <c r="L106">
        <v>3.5893607359498599E-3</v>
      </c>
      <c r="M106">
        <v>-4.3220693540864198E-2</v>
      </c>
      <c r="N106">
        <v>8.7741077609885902E-4</v>
      </c>
      <c r="O106">
        <v>0.22284347473747201</v>
      </c>
      <c r="P106">
        <v>4.00661299867793E-3</v>
      </c>
      <c r="Q106">
        <v>9.4850786436217905E-3</v>
      </c>
      <c r="R106">
        <v>9.3951119267797704E-3</v>
      </c>
      <c r="S106">
        <v>0.86567556900407805</v>
      </c>
      <c r="T106">
        <v>0.116281378233603</v>
      </c>
      <c r="U106">
        <v>56</v>
      </c>
    </row>
    <row r="107" spans="1:21" x14ac:dyDescent="0.25">
      <c r="A107">
        <v>106</v>
      </c>
      <c r="B107">
        <v>202</v>
      </c>
      <c r="C107" t="s">
        <v>23</v>
      </c>
      <c r="D107">
        <v>10</v>
      </c>
      <c r="E107" t="s">
        <v>24</v>
      </c>
      <c r="F107" t="s">
        <v>25</v>
      </c>
      <c r="G107">
        <v>1618.44154477282</v>
      </c>
      <c r="H107">
        <v>4844284.0352472197</v>
      </c>
      <c r="I107">
        <v>1618.44154477282</v>
      </c>
      <c r="J107">
        <v>4844284.0352472197</v>
      </c>
      <c r="K107">
        <v>4.9316944381943603E-2</v>
      </c>
      <c r="L107">
        <v>3.3329265221129201E-3</v>
      </c>
      <c r="M107">
        <v>-4.1212636471823098E-2</v>
      </c>
      <c r="N107">
        <v>7.2421736949381205E-4</v>
      </c>
      <c r="O107">
        <v>0.228179843878348</v>
      </c>
      <c r="P107">
        <v>4.4825335796771998E-3</v>
      </c>
      <c r="Q107">
        <v>1.2833239645501201E-2</v>
      </c>
      <c r="R107">
        <v>1.2668547605695499E-2</v>
      </c>
      <c r="S107">
        <v>0.87574148488327597</v>
      </c>
      <c r="T107">
        <v>0.108818336537902</v>
      </c>
      <c r="U107">
        <v>66</v>
      </c>
    </row>
    <row r="108" spans="1:21" x14ac:dyDescent="0.25">
      <c r="A108">
        <v>107</v>
      </c>
      <c r="B108">
        <v>203</v>
      </c>
      <c r="C108" t="s">
        <v>23</v>
      </c>
      <c r="D108">
        <v>10</v>
      </c>
      <c r="E108" t="s">
        <v>24</v>
      </c>
      <c r="F108" t="s">
        <v>25</v>
      </c>
      <c r="G108">
        <v>1464.79765811366</v>
      </c>
      <c r="H108">
        <v>3251848.1181703801</v>
      </c>
      <c r="I108">
        <v>1464.79765811366</v>
      </c>
      <c r="J108">
        <v>3251848.1181703801</v>
      </c>
      <c r="K108">
        <v>4.8745975110322297E-2</v>
      </c>
      <c r="L108">
        <v>2.11094661187642E-3</v>
      </c>
      <c r="M108">
        <v>-3.69794701965932E-2</v>
      </c>
      <c r="N108">
        <v>5.5670126755156103E-4</v>
      </c>
      <c r="O108">
        <v>0.23425356526903801</v>
      </c>
      <c r="P108">
        <v>3.0145491173258899E-3</v>
      </c>
      <c r="Q108">
        <v>1.00262765944565E-2</v>
      </c>
      <c r="R108">
        <v>9.9257503721122894E-3</v>
      </c>
      <c r="S108">
        <v>0.85832435246963701</v>
      </c>
      <c r="T108">
        <v>0.121603658427467</v>
      </c>
      <c r="U108">
        <v>60</v>
      </c>
    </row>
    <row r="109" spans="1:21" x14ac:dyDescent="0.25">
      <c r="A109">
        <v>108</v>
      </c>
      <c r="B109">
        <v>204</v>
      </c>
      <c r="C109" t="s">
        <v>23</v>
      </c>
      <c r="D109">
        <v>10</v>
      </c>
      <c r="E109" t="s">
        <v>24</v>
      </c>
      <c r="F109" t="s">
        <v>25</v>
      </c>
      <c r="G109">
        <v>1259.1003360480299</v>
      </c>
      <c r="H109">
        <v>1573755.64713977</v>
      </c>
      <c r="I109">
        <v>1259.1003360480299</v>
      </c>
      <c r="J109">
        <v>1573755.64713977</v>
      </c>
      <c r="K109">
        <v>4.86873743728004E-2</v>
      </c>
      <c r="L109">
        <v>2.2057874403832701E-3</v>
      </c>
      <c r="M109">
        <v>-3.4998807452356701E-2</v>
      </c>
      <c r="N109">
        <v>6.0388058662232905E-4</v>
      </c>
      <c r="O109">
        <v>0.23670163182416901</v>
      </c>
      <c r="P109">
        <v>2.6370206297057098E-3</v>
      </c>
      <c r="Q109">
        <v>9.4595725851780096E-3</v>
      </c>
      <c r="R109">
        <v>9.3700890717015595E-3</v>
      </c>
      <c r="S109">
        <v>0.85341322234979</v>
      </c>
      <c r="T109">
        <v>0.125099094268391</v>
      </c>
      <c r="U109">
        <v>71</v>
      </c>
    </row>
    <row r="110" spans="1:21" x14ac:dyDescent="0.25">
      <c r="A110">
        <v>109</v>
      </c>
      <c r="B110">
        <v>205</v>
      </c>
      <c r="C110" t="s">
        <v>23</v>
      </c>
      <c r="D110">
        <v>10</v>
      </c>
      <c r="E110" t="s">
        <v>24</v>
      </c>
      <c r="F110" t="s">
        <v>25</v>
      </c>
      <c r="G110">
        <v>1294.37437376462</v>
      </c>
      <c r="H110">
        <v>5558213.8083406501</v>
      </c>
      <c r="I110">
        <v>1294.37437376462</v>
      </c>
      <c r="J110">
        <v>5558213.8083406501</v>
      </c>
      <c r="K110">
        <v>7.8786534742547806E-2</v>
      </c>
      <c r="L110">
        <v>3.4731560256851201E-3</v>
      </c>
      <c r="M110">
        <v>-2.2963679540209499E-2</v>
      </c>
      <c r="N110">
        <v>8.8808100563764496E-4</v>
      </c>
      <c r="O110">
        <v>0.27306875259999802</v>
      </c>
      <c r="P110">
        <v>5.7082693871452501E-3</v>
      </c>
      <c r="Q110">
        <v>3.1028952897154401E-2</v>
      </c>
      <c r="R110">
        <v>3.0066156979313099E-2</v>
      </c>
      <c r="S110">
        <v>0.913339134758826</v>
      </c>
      <c r="T110">
        <v>7.9150759676957394E-2</v>
      </c>
      <c r="U110">
        <v>76</v>
      </c>
    </row>
    <row r="111" spans="1:21" x14ac:dyDescent="0.25">
      <c r="A111">
        <v>110</v>
      </c>
      <c r="B111">
        <v>206</v>
      </c>
      <c r="C111" t="s">
        <v>23</v>
      </c>
      <c r="D111">
        <v>10</v>
      </c>
      <c r="E111" t="s">
        <v>24</v>
      </c>
      <c r="F111" t="s">
        <v>25</v>
      </c>
      <c r="G111">
        <v>1336.5077914778101</v>
      </c>
      <c r="H111">
        <v>2465476.90892014</v>
      </c>
      <c r="I111">
        <v>1336.5077914778101</v>
      </c>
      <c r="J111">
        <v>2465476.90892014</v>
      </c>
      <c r="K111">
        <v>8.32635135702086E-2</v>
      </c>
      <c r="L111">
        <v>3.75029666089856E-3</v>
      </c>
      <c r="M111">
        <v>-1.97490132811259E-2</v>
      </c>
      <c r="N111">
        <v>1.0243959397832E-3</v>
      </c>
      <c r="O111">
        <v>0.27364101232779398</v>
      </c>
      <c r="P111">
        <v>4.6028050202976201E-3</v>
      </c>
      <c r="Q111">
        <v>2.25432627336546E-2</v>
      </c>
      <c r="R111">
        <v>2.2035064038963301E-2</v>
      </c>
      <c r="S111">
        <v>0.81211729812476097</v>
      </c>
      <c r="T111">
        <v>0.15258279221134199</v>
      </c>
      <c r="U111">
        <v>68</v>
      </c>
    </row>
    <row r="112" spans="1:21" x14ac:dyDescent="0.25">
      <c r="A112">
        <v>111</v>
      </c>
      <c r="B112">
        <v>207</v>
      </c>
      <c r="C112" t="s">
        <v>23</v>
      </c>
      <c r="D112">
        <v>10</v>
      </c>
      <c r="E112" t="s">
        <v>24</v>
      </c>
      <c r="F112" t="s">
        <v>25</v>
      </c>
      <c r="G112">
        <v>1830.9739372991301</v>
      </c>
      <c r="H112">
        <v>2519731.3102782601</v>
      </c>
      <c r="I112">
        <v>1830.9739372991301</v>
      </c>
      <c r="J112">
        <v>2519731.3102782601</v>
      </c>
      <c r="K112">
        <v>7.2527685007584802E-2</v>
      </c>
      <c r="L112">
        <v>2.8221011838231798E-3</v>
      </c>
      <c r="M112">
        <v>-2.4184203425941801E-2</v>
      </c>
      <c r="N112">
        <v>5.8011566971752501E-4</v>
      </c>
      <c r="O112">
        <v>0.27170562946753402</v>
      </c>
      <c r="P112">
        <v>4.10927537219261E-3</v>
      </c>
      <c r="Q112">
        <v>1.9998787217270001E-2</v>
      </c>
      <c r="R112">
        <v>1.9598835727121199E-2</v>
      </c>
      <c r="S112">
        <v>0.838378325935628</v>
      </c>
      <c r="T112">
        <v>0.135500108536943</v>
      </c>
      <c r="U112">
        <v>70</v>
      </c>
    </row>
    <row r="113" spans="1:21" x14ac:dyDescent="0.25">
      <c r="A113">
        <v>112</v>
      </c>
      <c r="B113">
        <v>208</v>
      </c>
      <c r="C113" t="s">
        <v>23</v>
      </c>
      <c r="D113">
        <v>10</v>
      </c>
      <c r="E113" t="s">
        <v>24</v>
      </c>
      <c r="F113" t="s">
        <v>25</v>
      </c>
      <c r="G113">
        <v>2387.29893221063</v>
      </c>
      <c r="H113">
        <v>2355766.8830234301</v>
      </c>
      <c r="I113">
        <v>2387.29893221063</v>
      </c>
      <c r="J113">
        <v>2355766.8830234301</v>
      </c>
      <c r="K113">
        <v>5.8542029658420099E-2</v>
      </c>
      <c r="L113">
        <v>2.3406377223888098E-3</v>
      </c>
      <c r="M113">
        <v>-2.9588172445999102E-2</v>
      </c>
      <c r="N113">
        <v>4.5035436423575899E-4</v>
      </c>
      <c r="O113">
        <v>0.258155812525803</v>
      </c>
      <c r="P113">
        <v>3.29035275194709E-3</v>
      </c>
      <c r="Q113">
        <v>1.5766672768320202E-2</v>
      </c>
      <c r="R113">
        <v>1.55180847981426E-2</v>
      </c>
      <c r="S113">
        <v>0.87494661313743904</v>
      </c>
      <c r="T113">
        <v>0.109415037296877</v>
      </c>
      <c r="U113">
        <v>53</v>
      </c>
    </row>
    <row r="114" spans="1:21" x14ac:dyDescent="0.25">
      <c r="A114">
        <v>113</v>
      </c>
      <c r="B114">
        <v>209</v>
      </c>
      <c r="C114" t="s">
        <v>23</v>
      </c>
      <c r="D114">
        <v>10</v>
      </c>
      <c r="E114" t="s">
        <v>24</v>
      </c>
      <c r="F114" t="s">
        <v>25</v>
      </c>
      <c r="G114">
        <v>2421.10827553217</v>
      </c>
      <c r="H114">
        <v>1403836.5495296901</v>
      </c>
      <c r="I114">
        <v>2421.10827553217</v>
      </c>
      <c r="J114">
        <v>1403836.5495296901</v>
      </c>
      <c r="K114">
        <v>6.1297396408878699E-2</v>
      </c>
      <c r="L114">
        <v>2.8704963157652301E-3</v>
      </c>
      <c r="M114">
        <v>-2.9411666089158801E-2</v>
      </c>
      <c r="N114">
        <v>7.3045096989925997E-4</v>
      </c>
      <c r="O114">
        <v>0.2533957975069</v>
      </c>
      <c r="P114">
        <v>2.8265812997438802E-3</v>
      </c>
      <c r="Q114">
        <v>1.2102367854580199E-2</v>
      </c>
      <c r="R114">
        <v>1.1955900546884999E-2</v>
      </c>
      <c r="S114">
        <v>0.87813452914798196</v>
      </c>
      <c r="T114">
        <v>0.107014277865804</v>
      </c>
      <c r="U114">
        <v>59</v>
      </c>
    </row>
    <row r="115" spans="1:21" x14ac:dyDescent="0.25">
      <c r="A115">
        <v>114</v>
      </c>
      <c r="B115">
        <v>210</v>
      </c>
      <c r="C115" t="s">
        <v>23</v>
      </c>
      <c r="D115">
        <v>10</v>
      </c>
      <c r="E115" t="s">
        <v>24</v>
      </c>
      <c r="F115" t="s">
        <v>25</v>
      </c>
      <c r="G115">
        <v>2647.7527571559999</v>
      </c>
      <c r="H115">
        <v>1936011.4774837601</v>
      </c>
      <c r="I115">
        <v>2647.7527571559999</v>
      </c>
      <c r="J115">
        <v>1936011.4774837601</v>
      </c>
      <c r="K115">
        <v>4.6607352447724702E-2</v>
      </c>
      <c r="L115">
        <v>2.1243389788836698E-3</v>
      </c>
      <c r="M115">
        <v>-4.32760911467047E-2</v>
      </c>
      <c r="N115">
        <v>5.1788561836119205E-4</v>
      </c>
      <c r="O115">
        <v>0.23834820445920199</v>
      </c>
      <c r="P115">
        <v>3.0644358531532298E-3</v>
      </c>
      <c r="Q115">
        <v>1.32595570904599E-2</v>
      </c>
      <c r="R115">
        <v>1.30837412362305E-2</v>
      </c>
      <c r="S115">
        <v>0.91217544744139101</v>
      </c>
      <c r="T115">
        <v>8.0111400526384394E-2</v>
      </c>
      <c r="U115">
        <v>51</v>
      </c>
    </row>
    <row r="116" spans="1:21" x14ac:dyDescent="0.25">
      <c r="A116">
        <v>115</v>
      </c>
      <c r="B116">
        <v>211</v>
      </c>
      <c r="C116" t="s">
        <v>23</v>
      </c>
      <c r="D116">
        <v>10</v>
      </c>
      <c r="E116" t="s">
        <v>24</v>
      </c>
      <c r="F116" t="s">
        <v>25</v>
      </c>
      <c r="G116">
        <v>2217.2720747562298</v>
      </c>
      <c r="H116">
        <v>1433344.14476534</v>
      </c>
      <c r="I116">
        <v>2217.2720747562298</v>
      </c>
      <c r="J116">
        <v>1433344.14476534</v>
      </c>
      <c r="K116">
        <v>5.19014303711961E-2</v>
      </c>
      <c r="L116">
        <v>1.87244362079796E-3</v>
      </c>
      <c r="M116">
        <v>-3.9021204055758402E-2</v>
      </c>
      <c r="N116">
        <v>5.8268576983093001E-4</v>
      </c>
      <c r="O116">
        <v>0.23595218776976901</v>
      </c>
      <c r="P116">
        <v>2.0043298073090898E-3</v>
      </c>
      <c r="Q116">
        <v>6.3281788633901296E-3</v>
      </c>
      <c r="R116">
        <v>6.2881330156743503E-3</v>
      </c>
      <c r="S116">
        <v>0.90410823987097899</v>
      </c>
      <c r="T116">
        <v>8.6696530468411206E-2</v>
      </c>
      <c r="U116">
        <v>61</v>
      </c>
    </row>
    <row r="117" spans="1:21" x14ac:dyDescent="0.25">
      <c r="A117">
        <v>116</v>
      </c>
      <c r="B117">
        <v>212</v>
      </c>
      <c r="C117" t="s">
        <v>23</v>
      </c>
      <c r="D117">
        <v>10</v>
      </c>
      <c r="E117" t="s">
        <v>24</v>
      </c>
      <c r="F117" t="s">
        <v>25</v>
      </c>
      <c r="G117">
        <v>2250.88765160395</v>
      </c>
      <c r="H117">
        <v>2803638.2786846599</v>
      </c>
      <c r="I117">
        <v>2250.88765160395</v>
      </c>
      <c r="J117">
        <v>2803638.2786846599</v>
      </c>
      <c r="K117">
        <v>6.1380783627651703E-2</v>
      </c>
      <c r="L117">
        <v>3.4729285015264099E-3</v>
      </c>
      <c r="M117">
        <v>-3.4107555696228399E-2</v>
      </c>
      <c r="N117">
        <v>6.7470756784790496E-4</v>
      </c>
      <c r="O117">
        <v>0.24586874149249899</v>
      </c>
      <c r="P117">
        <v>5.1517790207948203E-3</v>
      </c>
      <c r="Q117">
        <v>2.4711145133124401E-2</v>
      </c>
      <c r="R117">
        <v>2.4100504439353201E-2</v>
      </c>
      <c r="S117">
        <v>0.90272345616993799</v>
      </c>
      <c r="T117">
        <v>8.7813817850592293E-2</v>
      </c>
      <c r="U117">
        <v>81</v>
      </c>
    </row>
    <row r="118" spans="1:21" x14ac:dyDescent="0.25">
      <c r="A118">
        <v>117</v>
      </c>
      <c r="B118">
        <v>301</v>
      </c>
      <c r="C118" t="s">
        <v>23</v>
      </c>
      <c r="D118">
        <v>10</v>
      </c>
      <c r="E118" t="s">
        <v>24</v>
      </c>
      <c r="F118" t="s">
        <v>25</v>
      </c>
      <c r="G118">
        <v>2097.06193249647</v>
      </c>
      <c r="H118">
        <v>6312095.6060474701</v>
      </c>
      <c r="I118">
        <v>2097.06193249647</v>
      </c>
      <c r="J118">
        <v>6312095.6060474701</v>
      </c>
      <c r="K118">
        <v>2.6494766907522602E-2</v>
      </c>
      <c r="L118">
        <v>2.86406863592747E-3</v>
      </c>
      <c r="M118">
        <v>-5.2354308917249202E-2</v>
      </c>
      <c r="N118">
        <v>4.9464817700047199E-4</v>
      </c>
      <c r="O118">
        <v>0.20041623049030699</v>
      </c>
      <c r="P118">
        <v>5.3550330096623702E-3</v>
      </c>
      <c r="Q118">
        <v>1.9667426352663098E-2</v>
      </c>
      <c r="R118">
        <v>1.9280618693348898E-2</v>
      </c>
      <c r="S118">
        <v>0.91134721836973398</v>
      </c>
      <c r="T118">
        <v>8.0793465939495407E-2</v>
      </c>
      <c r="U118">
        <v>56</v>
      </c>
    </row>
    <row r="119" spans="1:21" x14ac:dyDescent="0.25">
      <c r="A119">
        <v>118</v>
      </c>
      <c r="B119">
        <v>302</v>
      </c>
      <c r="C119" t="s">
        <v>23</v>
      </c>
      <c r="D119">
        <v>10</v>
      </c>
      <c r="E119" t="s">
        <v>24</v>
      </c>
      <c r="F119" t="s">
        <v>25</v>
      </c>
      <c r="G119">
        <v>1948.71414221138</v>
      </c>
      <c r="H119">
        <v>8237876.9885539999</v>
      </c>
      <c r="I119">
        <v>1948.71414221138</v>
      </c>
      <c r="J119">
        <v>8237876.9885539999</v>
      </c>
      <c r="K119">
        <v>4.1902455320014603E-2</v>
      </c>
      <c r="L119">
        <v>2.5351132138376801E-3</v>
      </c>
      <c r="M119">
        <v>-4.5893205760054498E-2</v>
      </c>
      <c r="N119">
        <v>4.2449851097847702E-4</v>
      </c>
      <c r="O119">
        <v>0.21806419543689001</v>
      </c>
      <c r="P119">
        <v>5.8207903043442201E-3</v>
      </c>
      <c r="Q119">
        <v>2.5232594293367799E-2</v>
      </c>
      <c r="R119">
        <v>2.4595910478554198E-2</v>
      </c>
      <c r="S119">
        <v>0.87446632942273905</v>
      </c>
      <c r="T119">
        <v>0.109774968128717</v>
      </c>
      <c r="U119">
        <v>49</v>
      </c>
    </row>
    <row r="120" spans="1:21" x14ac:dyDescent="0.25">
      <c r="A120">
        <v>119</v>
      </c>
      <c r="B120">
        <v>303</v>
      </c>
      <c r="C120" t="s">
        <v>23</v>
      </c>
      <c r="D120">
        <v>10</v>
      </c>
      <c r="E120" t="s">
        <v>24</v>
      </c>
      <c r="F120" t="s">
        <v>25</v>
      </c>
      <c r="G120">
        <v>1832.8017391928399</v>
      </c>
      <c r="H120">
        <v>6080799.38363708</v>
      </c>
      <c r="I120">
        <v>1832.8017391928399</v>
      </c>
      <c r="J120">
        <v>6080799.38363708</v>
      </c>
      <c r="K120">
        <v>5.40310143086472E-2</v>
      </c>
      <c r="L120">
        <v>2.7594019575648198E-3</v>
      </c>
      <c r="M120">
        <v>-3.7783874106831102E-2</v>
      </c>
      <c r="N120">
        <v>5.0722554170189301E-4</v>
      </c>
      <c r="O120">
        <v>0.234954438126807</v>
      </c>
      <c r="P120">
        <v>5.6458258920254901E-3</v>
      </c>
      <c r="Q120">
        <v>2.59204325255377E-2</v>
      </c>
      <c r="R120">
        <v>2.5248563703247899E-2</v>
      </c>
      <c r="S120">
        <v>0.80210974501267795</v>
      </c>
      <c r="T120">
        <v>0.15872970196827499</v>
      </c>
      <c r="U120">
        <v>44</v>
      </c>
    </row>
    <row r="121" spans="1:21" x14ac:dyDescent="0.25">
      <c r="A121">
        <v>120</v>
      </c>
      <c r="B121">
        <v>304</v>
      </c>
      <c r="C121" t="s">
        <v>23</v>
      </c>
      <c r="D121">
        <v>10</v>
      </c>
      <c r="E121" t="s">
        <v>24</v>
      </c>
      <c r="F121" t="s">
        <v>25</v>
      </c>
      <c r="G121">
        <v>1837.48619398969</v>
      </c>
      <c r="H121">
        <v>8073717.0250266697</v>
      </c>
      <c r="I121">
        <v>1837.48619398969</v>
      </c>
      <c r="J121">
        <v>8073717.0250266697</v>
      </c>
      <c r="K121">
        <v>5.00577724648609E-2</v>
      </c>
      <c r="L121">
        <v>2.7443384856415298E-3</v>
      </c>
      <c r="M121">
        <v>-3.8408501885371801E-2</v>
      </c>
      <c r="N121">
        <v>5.54326466967307E-4</v>
      </c>
      <c r="O121">
        <v>0.24091309398343599</v>
      </c>
      <c r="P121">
        <v>6.2648059191327101E-3</v>
      </c>
      <c r="Q121">
        <v>3.1008215443119699E-2</v>
      </c>
      <c r="R121">
        <v>3.0046706018170801E-2</v>
      </c>
      <c r="S121">
        <v>0.87158574503707198</v>
      </c>
      <c r="T121">
        <v>0.11192403408523401</v>
      </c>
      <c r="U121">
        <v>57</v>
      </c>
    </row>
    <row r="122" spans="1:21" x14ac:dyDescent="0.25">
      <c r="A122">
        <v>121</v>
      </c>
      <c r="B122">
        <v>305</v>
      </c>
      <c r="C122" t="s">
        <v>23</v>
      </c>
      <c r="D122">
        <v>10</v>
      </c>
      <c r="E122" t="s">
        <v>24</v>
      </c>
      <c r="F122" t="s">
        <v>25</v>
      </c>
      <c r="G122">
        <v>1782.0082752352801</v>
      </c>
      <c r="H122">
        <v>7683218.0972731197</v>
      </c>
      <c r="I122">
        <v>1782.0082752352801</v>
      </c>
      <c r="J122">
        <v>7683218.0972731197</v>
      </c>
      <c r="K122">
        <v>6.6729569680431797E-2</v>
      </c>
      <c r="L122">
        <v>3.2390634755722399E-3</v>
      </c>
      <c r="M122">
        <v>-3.2852139543185201E-2</v>
      </c>
      <c r="N122">
        <v>5.4753533361235804E-4</v>
      </c>
      <c r="O122">
        <v>0.258172051495489</v>
      </c>
      <c r="P122">
        <v>6.6172191640127501E-3</v>
      </c>
      <c r="Q122">
        <v>3.5492627626370697E-2</v>
      </c>
      <c r="R122">
        <v>3.4232901010588797E-2</v>
      </c>
      <c r="S122">
        <v>0.84022196708763897</v>
      </c>
      <c r="T122">
        <v>0.13424901311104701</v>
      </c>
      <c r="U122">
        <v>67</v>
      </c>
    </row>
    <row r="123" spans="1:21" x14ac:dyDescent="0.25">
      <c r="A123">
        <v>122</v>
      </c>
      <c r="B123">
        <v>306</v>
      </c>
      <c r="C123" t="s">
        <v>23</v>
      </c>
      <c r="D123">
        <v>10</v>
      </c>
      <c r="E123" t="s">
        <v>24</v>
      </c>
      <c r="F123" t="s">
        <v>25</v>
      </c>
      <c r="G123">
        <v>1680.1678587661199</v>
      </c>
      <c r="H123">
        <v>3828840.1478155698</v>
      </c>
      <c r="I123">
        <v>1680.1678587661199</v>
      </c>
      <c r="J123">
        <v>3828840.1478155698</v>
      </c>
      <c r="K123">
        <v>7.3386020794496604E-2</v>
      </c>
      <c r="L123">
        <v>3.4314836225142098E-3</v>
      </c>
      <c r="M123">
        <v>-2.3814665229862399E-2</v>
      </c>
      <c r="N123">
        <v>7.64956656429543E-4</v>
      </c>
      <c r="O123">
        <v>0.26151590941935599</v>
      </c>
      <c r="P123">
        <v>4.9516777256586797E-3</v>
      </c>
      <c r="Q123">
        <v>2.5213501423342801E-2</v>
      </c>
      <c r="R123">
        <v>2.4577780769261801E-2</v>
      </c>
      <c r="S123">
        <v>0.82259164025593501</v>
      </c>
      <c r="T123">
        <v>0.14593463363690801</v>
      </c>
      <c r="U123">
        <v>50</v>
      </c>
    </row>
    <row r="124" spans="1:21" x14ac:dyDescent="0.25">
      <c r="A124">
        <v>123</v>
      </c>
      <c r="B124">
        <v>307</v>
      </c>
      <c r="C124" t="s">
        <v>23</v>
      </c>
      <c r="D124">
        <v>10</v>
      </c>
      <c r="E124" t="s">
        <v>24</v>
      </c>
      <c r="F124" t="s">
        <v>25</v>
      </c>
      <c r="G124">
        <v>2152.3506285358899</v>
      </c>
      <c r="H124">
        <v>2618835.0684550698</v>
      </c>
      <c r="I124">
        <v>2152.3506285358899</v>
      </c>
      <c r="J124">
        <v>2618835.0684550698</v>
      </c>
      <c r="K124">
        <v>6.0376783507782299E-2</v>
      </c>
      <c r="L124">
        <v>3.17763670960756E-3</v>
      </c>
      <c r="M124">
        <v>-3.0073970993737102E-2</v>
      </c>
      <c r="N124">
        <v>5.3368294994749399E-4</v>
      </c>
      <c r="O124">
        <v>0.25395547702107801</v>
      </c>
      <c r="P124">
        <v>4.7575492495554499E-3</v>
      </c>
      <c r="Q124">
        <v>2.2773212769265701E-2</v>
      </c>
      <c r="R124">
        <v>2.22545935493976E-2</v>
      </c>
      <c r="S124">
        <v>0.91408614111258601</v>
      </c>
      <c r="T124">
        <v>7.8532667738416301E-2</v>
      </c>
      <c r="U124">
        <v>61</v>
      </c>
    </row>
    <row r="125" spans="1:21" x14ac:dyDescent="0.25">
      <c r="A125">
        <v>124</v>
      </c>
      <c r="B125">
        <v>308</v>
      </c>
      <c r="C125" t="s">
        <v>23</v>
      </c>
      <c r="D125">
        <v>10</v>
      </c>
      <c r="E125" t="s">
        <v>24</v>
      </c>
      <c r="F125" t="s">
        <v>25</v>
      </c>
      <c r="G125">
        <v>3358.5120667798801</v>
      </c>
      <c r="H125">
        <v>5211616.4922663197</v>
      </c>
      <c r="I125">
        <v>3358.5120667798801</v>
      </c>
      <c r="J125">
        <v>5211616.4922663197</v>
      </c>
      <c r="K125">
        <v>5.1387106101309303E-2</v>
      </c>
      <c r="L125">
        <v>2.9695014824746698E-3</v>
      </c>
      <c r="M125">
        <v>-3.6610715651956699E-2</v>
      </c>
      <c r="N125">
        <v>4.9826528449505101E-4</v>
      </c>
      <c r="O125">
        <v>0.24518320482876799</v>
      </c>
      <c r="P125">
        <v>5.8395069831448203E-3</v>
      </c>
      <c r="Q125">
        <v>2.9036810256164901E-2</v>
      </c>
      <c r="R125">
        <v>2.8193673906329E-2</v>
      </c>
      <c r="S125">
        <v>0.91320154510338603</v>
      </c>
      <c r="T125">
        <v>7.9264483124156696E-2</v>
      </c>
      <c r="U125">
        <v>56</v>
      </c>
    </row>
    <row r="126" spans="1:21" x14ac:dyDescent="0.25">
      <c r="A126">
        <v>125</v>
      </c>
      <c r="B126">
        <v>309</v>
      </c>
      <c r="C126" t="s">
        <v>23</v>
      </c>
      <c r="D126">
        <v>10</v>
      </c>
      <c r="E126" t="s">
        <v>24</v>
      </c>
      <c r="F126" t="s">
        <v>25</v>
      </c>
      <c r="G126">
        <v>2873.7045590451398</v>
      </c>
      <c r="H126">
        <v>1060532.3082106099</v>
      </c>
      <c r="I126">
        <v>2873.7045590451398</v>
      </c>
      <c r="J126">
        <v>1060532.3082106099</v>
      </c>
      <c r="K126">
        <v>6.0806117753108999E-2</v>
      </c>
      <c r="L126">
        <v>2.5745150311203501E-3</v>
      </c>
      <c r="M126">
        <v>-2.8600100002341498E-2</v>
      </c>
      <c r="N126">
        <v>7.3651899588670505E-4</v>
      </c>
      <c r="O126">
        <v>0.24131975434619399</v>
      </c>
      <c r="P126">
        <v>2.2636135452138101E-3</v>
      </c>
      <c r="Q126">
        <v>6.2668931040256396E-3</v>
      </c>
      <c r="R126">
        <v>6.2276191548512301E-3</v>
      </c>
      <c r="S126">
        <v>0.89402365660842198</v>
      </c>
      <c r="T126">
        <v>9.4745358032830296E-2</v>
      </c>
      <c r="U126">
        <v>50</v>
      </c>
    </row>
    <row r="127" spans="1:21" x14ac:dyDescent="0.25">
      <c r="A127">
        <v>126</v>
      </c>
      <c r="B127">
        <v>310</v>
      </c>
      <c r="C127" t="s">
        <v>23</v>
      </c>
      <c r="D127">
        <v>10</v>
      </c>
      <c r="E127" t="s">
        <v>24</v>
      </c>
      <c r="F127" t="s">
        <v>25</v>
      </c>
      <c r="G127">
        <v>3177.6449167035398</v>
      </c>
      <c r="H127">
        <v>3133113.8252535602</v>
      </c>
      <c r="I127">
        <v>3177.6449167035398</v>
      </c>
      <c r="J127">
        <v>3133113.8252535602</v>
      </c>
      <c r="K127">
        <v>5.25667909595618E-2</v>
      </c>
      <c r="L127">
        <v>2.5494569001873698E-3</v>
      </c>
      <c r="M127">
        <v>-3.63684848208779E-2</v>
      </c>
      <c r="N127">
        <v>6.96658851046363E-4</v>
      </c>
      <c r="O127">
        <v>0.23314331013339101</v>
      </c>
      <c r="P127">
        <v>3.1287025966220102E-3</v>
      </c>
      <c r="Q127">
        <v>1.19114534125836E-2</v>
      </c>
      <c r="R127">
        <v>1.1769570690152E-2</v>
      </c>
      <c r="S127">
        <v>0.84643625926811805</v>
      </c>
      <c r="T127">
        <v>0.129981918264156</v>
      </c>
      <c r="U127">
        <v>50</v>
      </c>
    </row>
    <row r="128" spans="1:21" x14ac:dyDescent="0.25">
      <c r="A128">
        <v>127</v>
      </c>
      <c r="B128">
        <v>311</v>
      </c>
      <c r="C128" t="s">
        <v>23</v>
      </c>
      <c r="D128">
        <v>10</v>
      </c>
      <c r="E128" t="s">
        <v>24</v>
      </c>
      <c r="F128" t="s">
        <v>25</v>
      </c>
      <c r="G128">
        <v>3151.5449948587702</v>
      </c>
      <c r="H128">
        <v>4834863.1433241302</v>
      </c>
      <c r="I128">
        <v>3151.5449948587702</v>
      </c>
      <c r="J128">
        <v>4834863.1433241302</v>
      </c>
      <c r="K128">
        <v>6.95504644319518E-2</v>
      </c>
      <c r="L128">
        <v>2.9045672832896498E-3</v>
      </c>
      <c r="M128">
        <v>-2.92283899501628E-2</v>
      </c>
      <c r="N128">
        <v>6.47208895492225E-4</v>
      </c>
      <c r="O128">
        <v>0.245801417615508</v>
      </c>
      <c r="P128">
        <v>4.5445976048001501E-3</v>
      </c>
      <c r="Q128">
        <v>2.0286699328615501E-2</v>
      </c>
      <c r="R128">
        <v>1.9875149158994802E-2</v>
      </c>
      <c r="S128">
        <v>0.85826438283253503</v>
      </c>
      <c r="T128">
        <v>0.12164663199367</v>
      </c>
      <c r="U128">
        <v>63</v>
      </c>
    </row>
    <row r="129" spans="1:21" x14ac:dyDescent="0.25">
      <c r="A129">
        <v>128</v>
      </c>
      <c r="B129">
        <v>312</v>
      </c>
      <c r="C129" t="s">
        <v>23</v>
      </c>
      <c r="D129">
        <v>10</v>
      </c>
      <c r="E129" t="s">
        <v>24</v>
      </c>
      <c r="F129" t="s">
        <v>25</v>
      </c>
      <c r="G129">
        <v>3095.2444324841499</v>
      </c>
      <c r="H129">
        <v>7133590.0871850299</v>
      </c>
      <c r="I129">
        <v>3095.2444324841499</v>
      </c>
      <c r="J129">
        <v>7133590.0871850299</v>
      </c>
      <c r="K129">
        <v>7.6546971198367605E-2</v>
      </c>
      <c r="L129">
        <v>3.0392379542818998E-3</v>
      </c>
      <c r="M129">
        <v>-2.4043681307591901E-2</v>
      </c>
      <c r="N129">
        <v>6.6439524350474601E-4</v>
      </c>
      <c r="O129">
        <v>0.25507805460025601</v>
      </c>
      <c r="P129">
        <v>5.8327372577952202E-3</v>
      </c>
      <c r="Q129">
        <v>2.9254873818921199E-2</v>
      </c>
      <c r="R129">
        <v>2.8399026176754199E-2</v>
      </c>
      <c r="S129">
        <v>0.84989894399464205</v>
      </c>
      <c r="T129">
        <v>0.12757072899129901</v>
      </c>
      <c r="U129">
        <v>76</v>
      </c>
    </row>
    <row r="130" spans="1:21" x14ac:dyDescent="0.25">
      <c r="A130">
        <v>129</v>
      </c>
      <c r="B130">
        <v>401</v>
      </c>
      <c r="C130" t="s">
        <v>23</v>
      </c>
      <c r="D130">
        <v>10</v>
      </c>
      <c r="E130" t="s">
        <v>24</v>
      </c>
      <c r="F130" t="s">
        <v>25</v>
      </c>
      <c r="G130">
        <v>2070.0207986987398</v>
      </c>
      <c r="H130">
        <v>5998787.6449132301</v>
      </c>
      <c r="I130">
        <v>2070.0207986987398</v>
      </c>
      <c r="J130">
        <v>5998787.6449132301</v>
      </c>
      <c r="K130">
        <v>2.2707518645695798E-2</v>
      </c>
      <c r="L130">
        <v>2.1655467995648002E-3</v>
      </c>
      <c r="M130">
        <v>-5.5208438299029799E-2</v>
      </c>
      <c r="N130">
        <v>4.3972476314943601E-4</v>
      </c>
      <c r="O130">
        <v>0.204413276529337</v>
      </c>
      <c r="P130">
        <v>4.5184097227899704E-3</v>
      </c>
      <c r="Q130">
        <v>1.7067132315126E-2</v>
      </c>
      <c r="R130">
        <v>1.67758453096436E-2</v>
      </c>
      <c r="S130">
        <v>0.93276165189623605</v>
      </c>
      <c r="T130">
        <v>6.27173526481066E-2</v>
      </c>
      <c r="U130">
        <v>62</v>
      </c>
    </row>
    <row r="131" spans="1:21" x14ac:dyDescent="0.25">
      <c r="A131">
        <v>130</v>
      </c>
      <c r="B131">
        <v>402</v>
      </c>
      <c r="C131" t="s">
        <v>23</v>
      </c>
      <c r="D131">
        <v>10</v>
      </c>
      <c r="E131" t="s">
        <v>24</v>
      </c>
      <c r="F131" t="s">
        <v>25</v>
      </c>
      <c r="G131">
        <v>2064.6219744058499</v>
      </c>
      <c r="H131">
        <v>7842827.0094304401</v>
      </c>
      <c r="I131">
        <v>2064.6219744058499</v>
      </c>
      <c r="J131">
        <v>7842827.0094304401</v>
      </c>
      <c r="K131">
        <v>4.1706169615883103E-2</v>
      </c>
      <c r="L131">
        <v>2.3270632469682899E-3</v>
      </c>
      <c r="M131">
        <v>-4.78614866118863E-2</v>
      </c>
      <c r="N131">
        <v>4.2590355075829801E-4</v>
      </c>
      <c r="O131">
        <v>0.22386516522918101</v>
      </c>
      <c r="P131">
        <v>5.6431573709287801E-3</v>
      </c>
      <c r="Q131">
        <v>2.5447897623400401E-2</v>
      </c>
      <c r="R131">
        <v>2.4800302130004E-2</v>
      </c>
      <c r="S131">
        <v>0.88088477240874996</v>
      </c>
      <c r="T131">
        <v>0.104926790147268</v>
      </c>
      <c r="U131">
        <v>46</v>
      </c>
    </row>
    <row r="132" spans="1:21" x14ac:dyDescent="0.25">
      <c r="A132">
        <v>131</v>
      </c>
      <c r="B132">
        <v>403</v>
      </c>
      <c r="C132" t="s">
        <v>23</v>
      </c>
      <c r="D132">
        <v>10</v>
      </c>
      <c r="E132" t="s">
        <v>24</v>
      </c>
      <c r="F132" t="s">
        <v>25</v>
      </c>
      <c r="G132">
        <v>1967.09646479143</v>
      </c>
      <c r="H132">
        <v>5816674.4591453904</v>
      </c>
      <c r="I132">
        <v>1967.09646479143</v>
      </c>
      <c r="J132">
        <v>5816674.4591453904</v>
      </c>
      <c r="K132">
        <v>5.5085806712298402E-2</v>
      </c>
      <c r="L132">
        <v>2.5398044640411802E-3</v>
      </c>
      <c r="M132">
        <v>-3.9760943541206302E-2</v>
      </c>
      <c r="N132">
        <v>3.6706028237389401E-4</v>
      </c>
      <c r="O132">
        <v>0.24111110785488399</v>
      </c>
      <c r="P132">
        <v>6.0191166105052199E-3</v>
      </c>
      <c r="Q132">
        <v>3.08672981247608E-2</v>
      </c>
      <c r="R132">
        <v>2.9914508031235701E-2</v>
      </c>
      <c r="S132">
        <v>0.87316128106388602</v>
      </c>
      <c r="T132">
        <v>0.110750658315038</v>
      </c>
      <c r="U132">
        <v>59</v>
      </c>
    </row>
    <row r="133" spans="1:21" x14ac:dyDescent="0.25">
      <c r="A133">
        <v>132</v>
      </c>
      <c r="B133">
        <v>404</v>
      </c>
      <c r="C133" t="s">
        <v>23</v>
      </c>
      <c r="D133">
        <v>10</v>
      </c>
      <c r="E133" t="s">
        <v>24</v>
      </c>
      <c r="F133" t="s">
        <v>25</v>
      </c>
      <c r="G133">
        <v>1997.93097014925</v>
      </c>
      <c r="H133">
        <v>7263510.5587394899</v>
      </c>
      <c r="I133">
        <v>1997.93097014925</v>
      </c>
      <c r="J133">
        <v>7263510.5587394899</v>
      </c>
      <c r="K133">
        <v>6.4551496414862602E-2</v>
      </c>
      <c r="L133">
        <v>2.9523087070346299E-3</v>
      </c>
      <c r="M133">
        <v>-3.1777049071656502E-2</v>
      </c>
      <c r="N133">
        <v>6.39218121826587E-4</v>
      </c>
      <c r="O133">
        <v>0.25178334717742201</v>
      </c>
      <c r="P133">
        <v>6.0275867597555897E-3</v>
      </c>
      <c r="Q133">
        <v>2.91690585533869E-2</v>
      </c>
      <c r="R133">
        <v>2.8318224576544399E-2</v>
      </c>
      <c r="S133">
        <v>0.88482558209062301</v>
      </c>
      <c r="T133">
        <v>0.10190927136865301</v>
      </c>
      <c r="U133">
        <v>54</v>
      </c>
    </row>
    <row r="134" spans="1:21" x14ac:dyDescent="0.25">
      <c r="A134">
        <v>133</v>
      </c>
      <c r="B134">
        <v>405</v>
      </c>
      <c r="C134" t="s">
        <v>23</v>
      </c>
      <c r="D134">
        <v>10</v>
      </c>
      <c r="E134" t="s">
        <v>24</v>
      </c>
      <c r="F134" t="s">
        <v>25</v>
      </c>
      <c r="G134">
        <v>1843.5678852892299</v>
      </c>
      <c r="H134">
        <v>2451709.1256939</v>
      </c>
      <c r="I134">
        <v>1843.5678852892299</v>
      </c>
      <c r="J134">
        <v>2451709.1256939</v>
      </c>
      <c r="K134">
        <v>5.6833421556637197E-2</v>
      </c>
      <c r="L134">
        <v>2.27332345930265E-3</v>
      </c>
      <c r="M134">
        <v>-3.7421514498936402E-2</v>
      </c>
      <c r="N134">
        <v>5.3316183099743101E-4</v>
      </c>
      <c r="O134">
        <v>0.24390592996471799</v>
      </c>
      <c r="P134">
        <v>3.3041020156528199E-3</v>
      </c>
      <c r="Q134">
        <v>1.44823544888124E-2</v>
      </c>
      <c r="R134">
        <v>1.42726158973002E-2</v>
      </c>
      <c r="S134">
        <v>0.81376769996173004</v>
      </c>
      <c r="T134">
        <v>0.151549830460525</v>
      </c>
      <c r="U134">
        <v>67</v>
      </c>
    </row>
    <row r="135" spans="1:21" x14ac:dyDescent="0.25">
      <c r="A135">
        <v>134</v>
      </c>
      <c r="B135">
        <v>406</v>
      </c>
      <c r="C135" t="s">
        <v>23</v>
      </c>
      <c r="D135">
        <v>10</v>
      </c>
      <c r="E135" t="s">
        <v>24</v>
      </c>
      <c r="F135" t="s">
        <v>25</v>
      </c>
      <c r="G135">
        <v>2213.3411131059202</v>
      </c>
      <c r="H135">
        <v>7097753.2639530301</v>
      </c>
      <c r="I135">
        <v>2213.3411131059202</v>
      </c>
      <c r="J135">
        <v>7097753.2639530301</v>
      </c>
      <c r="K135">
        <v>6.35944152265316E-2</v>
      </c>
      <c r="L135">
        <v>2.9717114643752702E-3</v>
      </c>
      <c r="M135">
        <v>-3.2695390936137901E-2</v>
      </c>
      <c r="N135">
        <v>7.4051579090610598E-4</v>
      </c>
      <c r="O135">
        <v>0.25380070286548601</v>
      </c>
      <c r="P135">
        <v>4.9723387497917102E-3</v>
      </c>
      <c r="Q135">
        <v>2.3588669459405499E-2</v>
      </c>
      <c r="R135">
        <v>2.3032244132589998E-2</v>
      </c>
      <c r="S135">
        <v>0.88669717335195297</v>
      </c>
      <c r="T135">
        <v>0.100465296121485</v>
      </c>
      <c r="U135">
        <v>62</v>
      </c>
    </row>
    <row r="136" spans="1:21" x14ac:dyDescent="0.25">
      <c r="A136">
        <v>135</v>
      </c>
      <c r="B136">
        <v>407</v>
      </c>
      <c r="C136" t="s">
        <v>23</v>
      </c>
      <c r="D136">
        <v>10</v>
      </c>
      <c r="E136" t="s">
        <v>24</v>
      </c>
      <c r="F136" t="s">
        <v>25</v>
      </c>
      <c r="G136">
        <v>2931.28826857068</v>
      </c>
      <c r="H136">
        <v>7481376.6203206396</v>
      </c>
      <c r="I136">
        <v>2931.28826857068</v>
      </c>
      <c r="J136">
        <v>7481376.6203206396</v>
      </c>
      <c r="K136">
        <v>5.6030457560445397E-2</v>
      </c>
      <c r="L136">
        <v>3.42951431258662E-3</v>
      </c>
      <c r="M136">
        <v>-3.6407825925094603E-2</v>
      </c>
      <c r="N136">
        <v>5.5065183709776197E-4</v>
      </c>
      <c r="O136">
        <v>0.25037737837798402</v>
      </c>
      <c r="P136">
        <v>6.5796423035844901E-3</v>
      </c>
      <c r="Q136">
        <v>3.0641168239388599E-2</v>
      </c>
      <c r="R136">
        <v>2.97022870482898E-2</v>
      </c>
      <c r="S136">
        <v>0.87611222732491401</v>
      </c>
      <c r="T136">
        <v>0.108539592456649</v>
      </c>
      <c r="U136">
        <v>70</v>
      </c>
    </row>
    <row r="137" spans="1:21" x14ac:dyDescent="0.25">
      <c r="A137">
        <v>136</v>
      </c>
      <c r="B137">
        <v>408</v>
      </c>
      <c r="C137" t="s">
        <v>23</v>
      </c>
      <c r="D137">
        <v>10</v>
      </c>
      <c r="E137" t="s">
        <v>24</v>
      </c>
      <c r="F137" t="s">
        <v>25</v>
      </c>
      <c r="G137">
        <v>3156.3851915180599</v>
      </c>
      <c r="H137">
        <v>3134148.8343361001</v>
      </c>
      <c r="I137">
        <v>3156.3851915180599</v>
      </c>
      <c r="J137">
        <v>3134148.8343361001</v>
      </c>
      <c r="K137">
        <v>5.7427746176045097E-2</v>
      </c>
      <c r="L137">
        <v>2.32791044824621E-3</v>
      </c>
      <c r="M137">
        <v>-3.44742923989508E-2</v>
      </c>
      <c r="N137">
        <v>5.4544929634148503E-4</v>
      </c>
      <c r="O137">
        <v>0.24307632753980901</v>
      </c>
      <c r="P137">
        <v>3.33122172031037E-3</v>
      </c>
      <c r="Q137">
        <v>1.40041181499633E-2</v>
      </c>
      <c r="R137">
        <v>1.3808002824815899E-2</v>
      </c>
      <c r="S137">
        <v>0.91826216795510895</v>
      </c>
      <c r="T137">
        <v>7.5056758857455094E-2</v>
      </c>
      <c r="U137">
        <v>63</v>
      </c>
    </row>
    <row r="138" spans="1:21" x14ac:dyDescent="0.25">
      <c r="A138">
        <v>137</v>
      </c>
      <c r="B138">
        <v>409</v>
      </c>
      <c r="C138" t="s">
        <v>23</v>
      </c>
      <c r="D138">
        <v>10</v>
      </c>
      <c r="E138" t="s">
        <v>24</v>
      </c>
      <c r="F138" t="s">
        <v>25</v>
      </c>
      <c r="G138">
        <v>3476.7482805229602</v>
      </c>
      <c r="H138">
        <v>3529570.3605795698</v>
      </c>
      <c r="I138">
        <v>3476.7482805229602</v>
      </c>
      <c r="J138">
        <v>3529570.3605795698</v>
      </c>
      <c r="K138">
        <v>5.0774729608622199E-2</v>
      </c>
      <c r="L138">
        <v>2.8875902407222002E-3</v>
      </c>
      <c r="M138">
        <v>-3.5480497441021497E-2</v>
      </c>
      <c r="N138">
        <v>7.1577067310101103E-4</v>
      </c>
      <c r="O138">
        <v>0.23742742850708001</v>
      </c>
      <c r="P138">
        <v>4.1038262452117898E-3</v>
      </c>
      <c r="Q138">
        <v>1.6375402208107601E-2</v>
      </c>
      <c r="R138">
        <v>1.61072484106069E-2</v>
      </c>
      <c r="S138">
        <v>0.91403932638025098</v>
      </c>
      <c r="T138">
        <v>7.8571436210760404E-2</v>
      </c>
      <c r="U138">
        <v>54</v>
      </c>
    </row>
    <row r="139" spans="1:21" x14ac:dyDescent="0.25">
      <c r="A139">
        <v>138</v>
      </c>
      <c r="B139">
        <v>410</v>
      </c>
      <c r="C139" t="s">
        <v>23</v>
      </c>
      <c r="D139">
        <v>10</v>
      </c>
      <c r="E139" t="s">
        <v>24</v>
      </c>
      <c r="F139" t="s">
        <v>25</v>
      </c>
      <c r="G139">
        <v>3146.2299513210301</v>
      </c>
      <c r="H139">
        <v>1950747.8051759601</v>
      </c>
      <c r="I139">
        <v>3146.2299513210301</v>
      </c>
      <c r="J139">
        <v>1950747.8051759601</v>
      </c>
      <c r="K139">
        <v>5.2850584112325703E-2</v>
      </c>
      <c r="L139">
        <v>2.4012154382394599E-3</v>
      </c>
      <c r="M139">
        <v>-3.4574063662088102E-2</v>
      </c>
      <c r="N139">
        <v>7.5623121774863304E-4</v>
      </c>
      <c r="O139">
        <v>0.23156254783400501</v>
      </c>
      <c r="P139">
        <v>2.1961642417935401E-3</v>
      </c>
      <c r="Q139">
        <v>6.0878613546388504E-3</v>
      </c>
      <c r="R139">
        <v>6.0507992987612899E-3</v>
      </c>
      <c r="S139">
        <v>0.75481493887121098</v>
      </c>
      <c r="T139">
        <v>0.18506934692827701</v>
      </c>
      <c r="U139">
        <v>29</v>
      </c>
    </row>
    <row r="140" spans="1:21" x14ac:dyDescent="0.25">
      <c r="A140">
        <v>139</v>
      </c>
      <c r="B140">
        <v>411</v>
      </c>
      <c r="C140" t="s">
        <v>23</v>
      </c>
      <c r="D140">
        <v>10</v>
      </c>
      <c r="E140" t="s">
        <v>24</v>
      </c>
      <c r="F140" t="s">
        <v>25</v>
      </c>
      <c r="G140">
        <v>3428.4096190852101</v>
      </c>
      <c r="H140">
        <v>3914639.5175258201</v>
      </c>
      <c r="I140">
        <v>3428.4096190852101</v>
      </c>
      <c r="J140">
        <v>3914639.5175258201</v>
      </c>
      <c r="K140">
        <v>5.1716918121277301E-2</v>
      </c>
      <c r="L140">
        <v>2.8360651995825502E-3</v>
      </c>
      <c r="M140">
        <v>-3.4807200255408198E-2</v>
      </c>
      <c r="N140">
        <v>7.1154338318335703E-4</v>
      </c>
      <c r="O140">
        <v>0.228569041790495</v>
      </c>
      <c r="P140">
        <v>3.7751318280702601E-3</v>
      </c>
      <c r="Q140">
        <v>1.44323284156511E-2</v>
      </c>
      <c r="R140">
        <v>1.42240363121394E-2</v>
      </c>
      <c r="S140">
        <v>0.77758590916940096</v>
      </c>
      <c r="T140">
        <v>0.17294606303049301</v>
      </c>
      <c r="U140">
        <v>44</v>
      </c>
    </row>
    <row r="141" spans="1:21" x14ac:dyDescent="0.25">
      <c r="A141">
        <v>140</v>
      </c>
      <c r="B141">
        <v>412</v>
      </c>
      <c r="C141" t="s">
        <v>23</v>
      </c>
      <c r="D141">
        <v>10</v>
      </c>
      <c r="E141" t="s">
        <v>24</v>
      </c>
      <c r="F141" t="s">
        <v>25</v>
      </c>
      <c r="G141">
        <v>3669.9846072885098</v>
      </c>
      <c r="H141">
        <v>6770798.3456864301</v>
      </c>
      <c r="I141">
        <v>3669.9846072885098</v>
      </c>
      <c r="J141">
        <v>6770798.3456864301</v>
      </c>
      <c r="K141">
        <v>5.3262111313633197E-2</v>
      </c>
      <c r="L141">
        <v>3.1277914840268698E-3</v>
      </c>
      <c r="M141">
        <v>-3.3416742618094498E-2</v>
      </c>
      <c r="N141">
        <v>6.7052327088651495E-4</v>
      </c>
      <c r="O141">
        <v>0.23345420379701001</v>
      </c>
      <c r="P141">
        <v>6.0779095847391601E-3</v>
      </c>
      <c r="Q141">
        <v>2.5475116910454398E-2</v>
      </c>
      <c r="R141">
        <v>2.4826135328867498E-2</v>
      </c>
      <c r="S141">
        <v>0.87381752514440802</v>
      </c>
      <c r="T141">
        <v>0.110260457894957</v>
      </c>
      <c r="U141">
        <v>68</v>
      </c>
    </row>
    <row r="142" spans="1:21" x14ac:dyDescent="0.25">
      <c r="A142">
        <v>141</v>
      </c>
      <c r="B142">
        <v>501</v>
      </c>
      <c r="C142" t="s">
        <v>23</v>
      </c>
      <c r="D142">
        <v>10</v>
      </c>
      <c r="E142" t="s">
        <v>24</v>
      </c>
      <c r="F142" t="s">
        <v>25</v>
      </c>
      <c r="G142">
        <v>2185.7621246008298</v>
      </c>
      <c r="H142">
        <v>8043526.1729424195</v>
      </c>
      <c r="I142">
        <v>2185.7621246008298</v>
      </c>
      <c r="J142">
        <v>8043526.1729424195</v>
      </c>
      <c r="K142">
        <v>3.5479867215548001E-2</v>
      </c>
      <c r="L142">
        <v>2.5336532141008198E-3</v>
      </c>
      <c r="M142">
        <v>-4.7845948414746597E-2</v>
      </c>
      <c r="N142">
        <v>4.4994753327396402E-4</v>
      </c>
      <c r="O142">
        <v>0.223391147425239</v>
      </c>
      <c r="P142">
        <v>6.3238459130234301E-3</v>
      </c>
      <c r="Q142">
        <v>2.8178110535695099E-2</v>
      </c>
      <c r="R142">
        <v>2.7384104622376601E-2</v>
      </c>
      <c r="S142">
        <v>0.90747207539046604</v>
      </c>
      <c r="T142">
        <v>8.3966507776943103E-2</v>
      </c>
      <c r="U142">
        <v>52</v>
      </c>
    </row>
    <row r="143" spans="1:21" x14ac:dyDescent="0.25">
      <c r="A143">
        <v>142</v>
      </c>
      <c r="B143">
        <v>502</v>
      </c>
      <c r="C143" t="s">
        <v>23</v>
      </c>
      <c r="D143">
        <v>10</v>
      </c>
      <c r="E143" t="s">
        <v>24</v>
      </c>
      <c r="F143" t="s">
        <v>25</v>
      </c>
      <c r="G143">
        <v>1965.6960198053</v>
      </c>
      <c r="H143">
        <v>8128107.0410307897</v>
      </c>
      <c r="I143">
        <v>1965.6960198053</v>
      </c>
      <c r="J143">
        <v>8128107.0410307897</v>
      </c>
      <c r="K143">
        <v>4.7216386119717998E-2</v>
      </c>
      <c r="L143">
        <v>2.3351729673125E-3</v>
      </c>
      <c r="M143">
        <v>-4.13247164461494E-2</v>
      </c>
      <c r="N143">
        <v>3.7194460224892502E-4</v>
      </c>
      <c r="O143">
        <v>0.23834601997670499</v>
      </c>
      <c r="P143">
        <v>5.9658775772603104E-3</v>
      </c>
      <c r="Q143">
        <v>2.9480708972181701E-2</v>
      </c>
      <c r="R143">
        <v>2.8611596770725001E-2</v>
      </c>
      <c r="S143">
        <v>0.89744785686949902</v>
      </c>
      <c r="T143">
        <v>9.2035201069868802E-2</v>
      </c>
      <c r="U143">
        <v>58</v>
      </c>
    </row>
    <row r="144" spans="1:21" x14ac:dyDescent="0.25">
      <c r="A144">
        <v>143</v>
      </c>
      <c r="B144">
        <v>503</v>
      </c>
      <c r="C144" t="s">
        <v>23</v>
      </c>
      <c r="D144">
        <v>10</v>
      </c>
      <c r="E144" t="s">
        <v>24</v>
      </c>
      <c r="F144" t="s">
        <v>25</v>
      </c>
      <c r="G144">
        <v>1966.9654120770699</v>
      </c>
      <c r="H144">
        <v>5682851.1186294798</v>
      </c>
      <c r="I144">
        <v>1966.9654120770699</v>
      </c>
      <c r="J144">
        <v>5682851.1186294798</v>
      </c>
      <c r="K144">
        <v>5.13999686913372E-2</v>
      </c>
      <c r="L144">
        <v>2.1489439530637399E-3</v>
      </c>
      <c r="M144">
        <v>-3.63928277554579E-2</v>
      </c>
      <c r="N144">
        <v>3.43355496398927E-4</v>
      </c>
      <c r="O144">
        <v>0.24727102766607201</v>
      </c>
      <c r="P144">
        <v>5.0779917231244297E-3</v>
      </c>
      <c r="Q144">
        <v>2.6239938765502999E-2</v>
      </c>
      <c r="R144">
        <v>2.5551404379094599E-2</v>
      </c>
      <c r="S144">
        <v>0.87173814250520198</v>
      </c>
      <c r="T144">
        <v>0.111810753406945</v>
      </c>
      <c r="U144">
        <v>56</v>
      </c>
    </row>
    <row r="145" spans="1:21" x14ac:dyDescent="0.25">
      <c r="A145">
        <v>144</v>
      </c>
      <c r="B145">
        <v>504</v>
      </c>
      <c r="C145" t="s">
        <v>23</v>
      </c>
      <c r="D145">
        <v>10</v>
      </c>
      <c r="E145" t="s">
        <v>24</v>
      </c>
      <c r="F145" t="s">
        <v>25</v>
      </c>
      <c r="G145">
        <v>1871.85107757074</v>
      </c>
      <c r="H145">
        <v>7431493.8026122302</v>
      </c>
      <c r="I145">
        <v>1871.85107757074</v>
      </c>
      <c r="J145">
        <v>7431493.8026122302</v>
      </c>
      <c r="K145">
        <v>6.37152694159763E-2</v>
      </c>
      <c r="L145">
        <v>2.9434824570281999E-3</v>
      </c>
      <c r="M145">
        <v>-2.80008592833451E-2</v>
      </c>
      <c r="N145">
        <v>6.9279930420385299E-4</v>
      </c>
      <c r="O145">
        <v>0.25891035894761999</v>
      </c>
      <c r="P145">
        <v>5.6140992669885701E-3</v>
      </c>
      <c r="Q145">
        <v>2.9684024206472599E-2</v>
      </c>
      <c r="R145">
        <v>2.8802882913397599E-2</v>
      </c>
      <c r="S145">
        <v>0.86124831075020603</v>
      </c>
      <c r="T145">
        <v>0.119499657980132</v>
      </c>
      <c r="U145">
        <v>52</v>
      </c>
    </row>
    <row r="146" spans="1:21" x14ac:dyDescent="0.25">
      <c r="A146">
        <v>145</v>
      </c>
      <c r="B146">
        <v>505</v>
      </c>
      <c r="C146" t="s">
        <v>23</v>
      </c>
      <c r="D146">
        <v>10</v>
      </c>
      <c r="E146" t="s">
        <v>24</v>
      </c>
      <c r="F146" t="s">
        <v>25</v>
      </c>
      <c r="G146">
        <v>1973.10770537092</v>
      </c>
      <c r="H146">
        <v>6064989.9404189698</v>
      </c>
      <c r="I146">
        <v>1973.10770537092</v>
      </c>
      <c r="J146">
        <v>6064989.9404189698</v>
      </c>
      <c r="K146">
        <v>5.5728886669086597E-2</v>
      </c>
      <c r="L146">
        <v>2.4046502056129901E-3</v>
      </c>
      <c r="M146">
        <v>-3.3415557649003599E-2</v>
      </c>
      <c r="N146">
        <v>5.8713018163856904E-4</v>
      </c>
      <c r="O146">
        <v>0.25410345943777901</v>
      </c>
      <c r="P146">
        <v>4.5112621939767698E-3</v>
      </c>
      <c r="Q146">
        <v>2.3679395338268499E-2</v>
      </c>
      <c r="R146">
        <v>2.3118681574708699E-2</v>
      </c>
      <c r="S146">
        <v>0.83272335844994605</v>
      </c>
      <c r="T146">
        <v>0.13929516674175199</v>
      </c>
      <c r="U146">
        <v>57</v>
      </c>
    </row>
    <row r="147" spans="1:21" x14ac:dyDescent="0.25">
      <c r="A147">
        <v>146</v>
      </c>
      <c r="B147">
        <v>506</v>
      </c>
      <c r="C147" t="s">
        <v>23</v>
      </c>
      <c r="D147">
        <v>10</v>
      </c>
      <c r="E147" t="s">
        <v>24</v>
      </c>
      <c r="F147" t="s">
        <v>25</v>
      </c>
      <c r="G147">
        <v>2091.64579785757</v>
      </c>
      <c r="H147">
        <v>2635464.0362620801</v>
      </c>
      <c r="I147">
        <v>2091.64579785757</v>
      </c>
      <c r="J147">
        <v>2635464.0362620801</v>
      </c>
      <c r="K147">
        <v>5.7744773708120103E-2</v>
      </c>
      <c r="L147">
        <v>2.6758493165855699E-3</v>
      </c>
      <c r="M147">
        <v>-3.2336519637762601E-2</v>
      </c>
      <c r="N147">
        <v>6.8279621277552805E-4</v>
      </c>
      <c r="O147">
        <v>0.25082863292331198</v>
      </c>
      <c r="P147">
        <v>3.1773166806377501E-3</v>
      </c>
      <c r="Q147">
        <v>1.3622694829897501E-2</v>
      </c>
      <c r="R147">
        <v>1.34371170154813E-2</v>
      </c>
      <c r="S147">
        <v>0.89882131298004897</v>
      </c>
      <c r="T147">
        <v>9.0941560312522596E-2</v>
      </c>
      <c r="U147">
        <v>67</v>
      </c>
    </row>
    <row r="148" spans="1:21" x14ac:dyDescent="0.25">
      <c r="A148">
        <v>147</v>
      </c>
      <c r="B148">
        <v>507</v>
      </c>
      <c r="C148" t="s">
        <v>23</v>
      </c>
      <c r="D148">
        <v>10</v>
      </c>
      <c r="E148" t="s">
        <v>24</v>
      </c>
      <c r="F148" t="s">
        <v>25</v>
      </c>
      <c r="G148">
        <v>2918.5129416549098</v>
      </c>
      <c r="H148">
        <v>5014873.0056634704</v>
      </c>
      <c r="I148">
        <v>2918.5129416549098</v>
      </c>
      <c r="J148">
        <v>5014873.0056634704</v>
      </c>
      <c r="K148">
        <v>5.26030765467441E-2</v>
      </c>
      <c r="L148">
        <v>3.0159199406038298E-3</v>
      </c>
      <c r="M148">
        <v>-3.9284218845176203E-2</v>
      </c>
      <c r="N148">
        <v>4.7932681834310001E-4</v>
      </c>
      <c r="O148">
        <v>0.24885590291859799</v>
      </c>
      <c r="P148">
        <v>5.4319125524588197E-3</v>
      </c>
      <c r="Q148">
        <v>2.6289979188096502E-2</v>
      </c>
      <c r="R148">
        <v>2.5598816182406701E-2</v>
      </c>
      <c r="S148">
        <v>0.86560863013371003</v>
      </c>
      <c r="T148">
        <v>0.11633032957182</v>
      </c>
      <c r="U148">
        <v>55</v>
      </c>
    </row>
    <row r="149" spans="1:21" x14ac:dyDescent="0.25">
      <c r="A149">
        <v>148</v>
      </c>
      <c r="B149">
        <v>508</v>
      </c>
      <c r="C149" t="s">
        <v>23</v>
      </c>
      <c r="D149">
        <v>10</v>
      </c>
      <c r="E149" t="s">
        <v>24</v>
      </c>
      <c r="F149" t="s">
        <v>25</v>
      </c>
      <c r="G149">
        <v>3405.70301399354</v>
      </c>
      <c r="H149">
        <v>4430705.3796261204</v>
      </c>
      <c r="I149">
        <v>3405.70301399354</v>
      </c>
      <c r="J149">
        <v>4430705.3796261204</v>
      </c>
      <c r="K149">
        <v>6.1384478373181998E-2</v>
      </c>
      <c r="L149">
        <v>2.4962754502401699E-3</v>
      </c>
      <c r="M149">
        <v>-3.64318249515002E-2</v>
      </c>
      <c r="N149">
        <v>4.82236791574726E-4</v>
      </c>
      <c r="O149">
        <v>0.25113709340371698</v>
      </c>
      <c r="P149">
        <v>4.6275116166975896E-3</v>
      </c>
      <c r="Q149">
        <v>2.42076306661883E-2</v>
      </c>
      <c r="R149">
        <v>2.36216212837074E-2</v>
      </c>
      <c r="S149">
        <v>0.92525353999234605</v>
      </c>
      <c r="T149">
        <v>6.9159426723978096E-2</v>
      </c>
      <c r="U149">
        <v>65</v>
      </c>
    </row>
    <row r="150" spans="1:21" x14ac:dyDescent="0.25">
      <c r="A150">
        <v>149</v>
      </c>
      <c r="B150">
        <v>509</v>
      </c>
      <c r="C150" t="s">
        <v>23</v>
      </c>
      <c r="D150">
        <v>10</v>
      </c>
      <c r="E150" t="s">
        <v>24</v>
      </c>
      <c r="F150" t="s">
        <v>25</v>
      </c>
      <c r="G150">
        <v>3518.5885237861698</v>
      </c>
      <c r="H150">
        <v>4135655.1391837802</v>
      </c>
      <c r="I150">
        <v>3518.5885237861698</v>
      </c>
      <c r="J150">
        <v>4135655.1391837802</v>
      </c>
      <c r="K150">
        <v>5.26620264208622E-2</v>
      </c>
      <c r="L150">
        <v>2.80656935885469E-3</v>
      </c>
      <c r="M150">
        <v>-4.0068556513769601E-2</v>
      </c>
      <c r="N150">
        <v>6.4905687008391601E-4</v>
      </c>
      <c r="O150">
        <v>0.240597561552156</v>
      </c>
      <c r="P150">
        <v>4.5879906296650902E-3</v>
      </c>
      <c r="Q150">
        <v>2.18782521322025E-2</v>
      </c>
      <c r="R150">
        <v>2.13995942158305E-2</v>
      </c>
      <c r="S150">
        <v>0.94508964345943602</v>
      </c>
      <c r="T150">
        <v>5.1895209285166201E-2</v>
      </c>
      <c r="U150">
        <v>63</v>
      </c>
    </row>
    <row r="151" spans="1:21" x14ac:dyDescent="0.25">
      <c r="A151">
        <v>150</v>
      </c>
      <c r="B151">
        <v>510</v>
      </c>
      <c r="C151" t="s">
        <v>23</v>
      </c>
      <c r="D151">
        <v>10</v>
      </c>
      <c r="E151" t="s">
        <v>24</v>
      </c>
      <c r="F151" t="s">
        <v>25</v>
      </c>
      <c r="G151">
        <v>3090.8425490688601</v>
      </c>
      <c r="H151">
        <v>2306334.3735490502</v>
      </c>
      <c r="I151">
        <v>3090.8425490688601</v>
      </c>
      <c r="J151">
        <v>2306334.3735490502</v>
      </c>
      <c r="K151">
        <v>5.6649429832034297E-2</v>
      </c>
      <c r="L151">
        <v>2.6495750819380201E-3</v>
      </c>
      <c r="M151">
        <v>-3.6859244982769199E-2</v>
      </c>
      <c r="N151">
        <v>8.19195448831695E-4</v>
      </c>
      <c r="O151">
        <v>0.23603011072039901</v>
      </c>
      <c r="P151">
        <v>3.04519680543309E-3</v>
      </c>
      <c r="Q151">
        <v>1.0704845288074E-2</v>
      </c>
      <c r="R151">
        <v>1.0590251575424999E-2</v>
      </c>
      <c r="S151">
        <v>0.78155873980336299</v>
      </c>
      <c r="T151">
        <v>0.17072467604050601</v>
      </c>
      <c r="U151">
        <v>45</v>
      </c>
    </row>
    <row r="152" spans="1:21" x14ac:dyDescent="0.25">
      <c r="A152">
        <v>151</v>
      </c>
      <c r="B152">
        <v>511</v>
      </c>
      <c r="C152" t="s">
        <v>23</v>
      </c>
      <c r="D152">
        <v>10</v>
      </c>
      <c r="E152" t="s">
        <v>24</v>
      </c>
      <c r="F152" t="s">
        <v>25</v>
      </c>
      <c r="G152">
        <v>3255.3888902188</v>
      </c>
      <c r="H152">
        <v>2788613.6103745098</v>
      </c>
      <c r="I152">
        <v>3255.3888902188</v>
      </c>
      <c r="J152">
        <v>2788613.6103745098</v>
      </c>
      <c r="K152">
        <v>5.5862872719549199E-2</v>
      </c>
      <c r="L152">
        <v>2.2448188674717398E-3</v>
      </c>
      <c r="M152">
        <v>-3.8746420013658002E-2</v>
      </c>
      <c r="N152">
        <v>6.6824277451103602E-4</v>
      </c>
      <c r="O152">
        <v>0.22654095441942601</v>
      </c>
      <c r="P152">
        <v>2.61619449960098E-3</v>
      </c>
      <c r="Q152">
        <v>8.2347871882031895E-3</v>
      </c>
      <c r="R152">
        <v>8.1669754681502598E-3</v>
      </c>
      <c r="S152">
        <v>0.72009910114780196</v>
      </c>
      <c r="T152">
        <v>0.201556385673961</v>
      </c>
      <c r="U152">
        <v>27</v>
      </c>
    </row>
    <row r="153" spans="1:21" x14ac:dyDescent="0.25">
      <c r="A153">
        <v>152</v>
      </c>
      <c r="B153">
        <v>512</v>
      </c>
      <c r="C153" t="s">
        <v>23</v>
      </c>
      <c r="D153">
        <v>10</v>
      </c>
      <c r="E153" t="s">
        <v>24</v>
      </c>
      <c r="F153" t="s">
        <v>25</v>
      </c>
      <c r="G153">
        <v>3745.0559183771102</v>
      </c>
      <c r="H153">
        <v>2246909.7040761099</v>
      </c>
      <c r="I153">
        <v>3745.0559183771102</v>
      </c>
      <c r="J153">
        <v>2246909.7040761099</v>
      </c>
      <c r="K153">
        <v>3.6293147469468601E-2</v>
      </c>
      <c r="L153">
        <v>1.87078333366265E-3</v>
      </c>
      <c r="M153">
        <v>-4.3207982934609299E-2</v>
      </c>
      <c r="N153">
        <v>4.8214154485738897E-4</v>
      </c>
      <c r="O153">
        <v>0.210847461181426</v>
      </c>
      <c r="P153">
        <v>2.8977269134989798E-3</v>
      </c>
      <c r="Q153">
        <v>7.5116023156786803E-3</v>
      </c>
      <c r="R153">
        <v>7.4551781463278802E-3</v>
      </c>
      <c r="S153">
        <v>0.84400827681892698</v>
      </c>
      <c r="T153">
        <v>0.13165830548017399</v>
      </c>
      <c r="U153">
        <v>64</v>
      </c>
    </row>
    <row r="154" spans="1:21" x14ac:dyDescent="0.25">
      <c r="A154">
        <v>153</v>
      </c>
      <c r="B154">
        <v>601</v>
      </c>
      <c r="C154" t="s">
        <v>23</v>
      </c>
      <c r="D154">
        <v>10</v>
      </c>
      <c r="E154" t="s">
        <v>24</v>
      </c>
      <c r="F154" t="s">
        <v>25</v>
      </c>
      <c r="G154">
        <v>1849.3056030616499</v>
      </c>
      <c r="H154">
        <v>2567588.5303820199</v>
      </c>
      <c r="I154">
        <v>1849.3056030616499</v>
      </c>
      <c r="J154">
        <v>2567588.5303820199</v>
      </c>
      <c r="K154">
        <v>3.39974913570514E-2</v>
      </c>
      <c r="L154">
        <v>2.33064921478665E-3</v>
      </c>
      <c r="M154">
        <v>-4.1324146619432997E-2</v>
      </c>
      <c r="N154">
        <v>3.7629661966192602E-4</v>
      </c>
      <c r="O154">
        <v>0.22125711411256399</v>
      </c>
      <c r="P154">
        <v>4.3285043932758003E-3</v>
      </c>
      <c r="Q154">
        <v>1.73653052681935E-2</v>
      </c>
      <c r="R154">
        <v>1.7063751441136001E-2</v>
      </c>
      <c r="S154">
        <v>0.95265146984954696</v>
      </c>
      <c r="T154">
        <v>4.5106646843024602E-2</v>
      </c>
      <c r="U154">
        <v>84</v>
      </c>
    </row>
    <row r="155" spans="1:21" x14ac:dyDescent="0.25">
      <c r="A155">
        <v>154</v>
      </c>
      <c r="B155">
        <v>602</v>
      </c>
      <c r="C155" t="s">
        <v>23</v>
      </c>
      <c r="D155">
        <v>10</v>
      </c>
      <c r="E155" t="s">
        <v>24</v>
      </c>
      <c r="F155" t="s">
        <v>25</v>
      </c>
      <c r="G155">
        <v>1644.9125104652601</v>
      </c>
      <c r="H155">
        <v>2832017.32997271</v>
      </c>
      <c r="I155">
        <v>1644.9125104652601</v>
      </c>
      <c r="J155">
        <v>2832017.32997271</v>
      </c>
      <c r="K155">
        <v>4.3967841263946601E-2</v>
      </c>
      <c r="L155">
        <v>1.7580051505449599E-3</v>
      </c>
      <c r="M155">
        <v>-3.4164079823898297E-2</v>
      </c>
      <c r="N155">
        <v>3.6575802320279298E-4</v>
      </c>
      <c r="O155">
        <v>0.23262308481865701</v>
      </c>
      <c r="P155">
        <v>3.0803880479785498E-3</v>
      </c>
      <c r="Q155">
        <v>1.16852051190049E-2</v>
      </c>
      <c r="R155">
        <v>1.15486611003434E-2</v>
      </c>
      <c r="S155">
        <v>0.83549602344077001</v>
      </c>
      <c r="T155">
        <v>0.13744241825557299</v>
      </c>
      <c r="U155">
        <v>75</v>
      </c>
    </row>
    <row r="156" spans="1:21" x14ac:dyDescent="0.25">
      <c r="A156">
        <v>155</v>
      </c>
      <c r="B156">
        <v>603</v>
      </c>
      <c r="C156" t="s">
        <v>23</v>
      </c>
      <c r="D156">
        <v>10</v>
      </c>
      <c r="E156" t="s">
        <v>24</v>
      </c>
      <c r="F156" t="s">
        <v>25</v>
      </c>
      <c r="G156">
        <v>1642.95011004258</v>
      </c>
      <c r="H156">
        <v>3228888.0483098901</v>
      </c>
      <c r="I156">
        <v>1642.95011004258</v>
      </c>
      <c r="J156">
        <v>3228888.0483098901</v>
      </c>
      <c r="K156">
        <v>4.7836929480943501E-2</v>
      </c>
      <c r="L156">
        <v>1.6363930259314301E-3</v>
      </c>
      <c r="M156">
        <v>-3.3425372757126599E-2</v>
      </c>
      <c r="N156">
        <v>3.6663336497013002E-4</v>
      </c>
      <c r="O156">
        <v>0.239484982433909</v>
      </c>
      <c r="P156">
        <v>3.1754944369349401E-3</v>
      </c>
      <c r="Q156">
        <v>1.4150040667910599E-2</v>
      </c>
      <c r="R156">
        <v>1.39498170170057E-2</v>
      </c>
      <c r="S156">
        <v>0.85185982537973903</v>
      </c>
      <c r="T156">
        <v>0.12619466328375001</v>
      </c>
      <c r="U156">
        <v>71</v>
      </c>
    </row>
    <row r="157" spans="1:21" x14ac:dyDescent="0.25">
      <c r="A157">
        <v>156</v>
      </c>
      <c r="B157">
        <v>604</v>
      </c>
      <c r="C157" t="s">
        <v>23</v>
      </c>
      <c r="D157">
        <v>10</v>
      </c>
      <c r="E157" t="s">
        <v>24</v>
      </c>
      <c r="F157" t="s">
        <v>25</v>
      </c>
      <c r="G157">
        <v>1590.41601282174</v>
      </c>
      <c r="H157">
        <v>4875583.3237517802</v>
      </c>
      <c r="I157">
        <v>1590.41601282174</v>
      </c>
      <c r="J157">
        <v>4875583.3237517802</v>
      </c>
      <c r="K157">
        <v>6.5155055311497304E-2</v>
      </c>
      <c r="L157">
        <v>3.02935356670328E-3</v>
      </c>
      <c r="M157">
        <v>-2.6232903860389199E-2</v>
      </c>
      <c r="N157">
        <v>6.90503102965434E-4</v>
      </c>
      <c r="O157">
        <v>0.25769942261937401</v>
      </c>
      <c r="P157">
        <v>5.2052719140295699E-3</v>
      </c>
      <c r="Q157">
        <v>2.7545210984594799E-2</v>
      </c>
      <c r="R157">
        <v>2.6786472336352601E-2</v>
      </c>
      <c r="S157">
        <v>0.87204267636293997</v>
      </c>
      <c r="T157">
        <v>0.111584246964659</v>
      </c>
      <c r="U157">
        <v>82</v>
      </c>
    </row>
    <row r="158" spans="1:21" x14ac:dyDescent="0.25">
      <c r="A158">
        <v>157</v>
      </c>
      <c r="B158">
        <v>605</v>
      </c>
      <c r="C158" t="s">
        <v>23</v>
      </c>
      <c r="D158">
        <v>10</v>
      </c>
      <c r="E158" t="s">
        <v>24</v>
      </c>
      <c r="F158" t="s">
        <v>25</v>
      </c>
      <c r="G158">
        <v>1813.1813267637001</v>
      </c>
      <c r="H158">
        <v>10780069.2336333</v>
      </c>
      <c r="I158">
        <v>1813.1813267637001</v>
      </c>
      <c r="J158">
        <v>10780069.2336333</v>
      </c>
      <c r="K158">
        <v>6.2733697511274694E-2</v>
      </c>
      <c r="L158">
        <v>3.1855164252761201E-3</v>
      </c>
      <c r="M158">
        <v>-3.0748150917679198E-2</v>
      </c>
      <c r="N158">
        <v>6.4223125126677599E-4</v>
      </c>
      <c r="O158">
        <v>0.25945427649305203</v>
      </c>
      <c r="P158">
        <v>6.9846820599232303E-3</v>
      </c>
      <c r="Q158">
        <v>3.4825454154059597E-2</v>
      </c>
      <c r="R158">
        <v>3.3612641897058898E-2</v>
      </c>
      <c r="S158">
        <v>0.86415338061691904</v>
      </c>
      <c r="T158">
        <v>0.117392315385204</v>
      </c>
      <c r="U158">
        <v>88</v>
      </c>
    </row>
    <row r="159" spans="1:21" x14ac:dyDescent="0.25">
      <c r="A159">
        <v>158</v>
      </c>
      <c r="B159">
        <v>606</v>
      </c>
      <c r="C159" t="s">
        <v>23</v>
      </c>
      <c r="D159">
        <v>10</v>
      </c>
      <c r="E159" t="s">
        <v>24</v>
      </c>
      <c r="F159" t="s">
        <v>25</v>
      </c>
      <c r="G159">
        <v>1681.84446490714</v>
      </c>
      <c r="H159">
        <v>1352797.72768934</v>
      </c>
      <c r="I159">
        <v>1681.84446490714</v>
      </c>
      <c r="J159">
        <v>1352797.72768934</v>
      </c>
      <c r="K159">
        <v>5.9542594185855301E-2</v>
      </c>
      <c r="L159">
        <v>3.1421294934387699E-3</v>
      </c>
      <c r="M159">
        <v>-2.81099392658587E-2</v>
      </c>
      <c r="N159">
        <v>7.7699887940383598E-4</v>
      </c>
      <c r="O159">
        <v>0.24915521177300001</v>
      </c>
      <c r="P159">
        <v>3.1797483335475499E-3</v>
      </c>
      <c r="Q159">
        <v>1.2114181844273601E-2</v>
      </c>
      <c r="R159">
        <v>1.19674284425081E-2</v>
      </c>
      <c r="S159">
        <v>0.92863720624289903</v>
      </c>
      <c r="T159">
        <v>6.6270145424187493E-2</v>
      </c>
      <c r="U159">
        <v>56</v>
      </c>
    </row>
    <row r="160" spans="1:21" x14ac:dyDescent="0.25">
      <c r="A160">
        <v>159</v>
      </c>
      <c r="B160">
        <v>607</v>
      </c>
      <c r="C160" t="s">
        <v>23</v>
      </c>
      <c r="D160">
        <v>10</v>
      </c>
      <c r="E160" t="s">
        <v>24</v>
      </c>
      <c r="F160" t="s">
        <v>25</v>
      </c>
      <c r="G160">
        <v>2291.6925855058598</v>
      </c>
      <c r="H160">
        <v>2529660.59743607</v>
      </c>
      <c r="I160">
        <v>2291.6925855058598</v>
      </c>
      <c r="J160">
        <v>2529660.59743607</v>
      </c>
      <c r="K160">
        <v>5.5337964667524997E-2</v>
      </c>
      <c r="L160">
        <v>2.3729299443519302E-3</v>
      </c>
      <c r="M160">
        <v>-3.4494244944370797E-2</v>
      </c>
      <c r="N160">
        <v>4.7486273831767701E-4</v>
      </c>
      <c r="O160">
        <v>0.24588375241191401</v>
      </c>
      <c r="P160">
        <v>3.6258319712521299E-3</v>
      </c>
      <c r="Q160">
        <v>1.6299928246830901E-2</v>
      </c>
      <c r="R160">
        <v>1.60342405860006E-2</v>
      </c>
      <c r="S160">
        <v>0.84908571223554996</v>
      </c>
      <c r="T160">
        <v>0.12813916551276799</v>
      </c>
      <c r="U160">
        <v>60</v>
      </c>
    </row>
    <row r="161" spans="1:21" x14ac:dyDescent="0.25">
      <c r="A161">
        <v>160</v>
      </c>
      <c r="B161">
        <v>608</v>
      </c>
      <c r="C161" t="s">
        <v>23</v>
      </c>
      <c r="D161">
        <v>10</v>
      </c>
      <c r="E161" t="s">
        <v>24</v>
      </c>
      <c r="F161" t="s">
        <v>25</v>
      </c>
      <c r="G161">
        <v>3163.8922642682901</v>
      </c>
      <c r="H161">
        <v>5118406.9330660002</v>
      </c>
      <c r="I161">
        <v>3163.8922642682901</v>
      </c>
      <c r="J161">
        <v>5118406.9330660002</v>
      </c>
      <c r="K161">
        <v>5.4325290986307999E-2</v>
      </c>
      <c r="L161">
        <v>2.27622149768763E-3</v>
      </c>
      <c r="M161">
        <v>-3.67845479964619E-2</v>
      </c>
      <c r="N161">
        <v>4.7438423050591303E-4</v>
      </c>
      <c r="O161">
        <v>0.24520310764457601</v>
      </c>
      <c r="P161">
        <v>4.6853344583461997E-3</v>
      </c>
      <c r="Q161">
        <v>2.2795770941970099E-2</v>
      </c>
      <c r="R161">
        <v>2.2276123769179101E-2</v>
      </c>
      <c r="S161">
        <v>0.933503163383684</v>
      </c>
      <c r="T161">
        <v>6.20750073363905E-2</v>
      </c>
      <c r="U161">
        <v>69</v>
      </c>
    </row>
    <row r="162" spans="1:21" x14ac:dyDescent="0.25">
      <c r="A162">
        <v>161</v>
      </c>
      <c r="B162">
        <v>609</v>
      </c>
      <c r="C162" t="s">
        <v>23</v>
      </c>
      <c r="D162">
        <v>10</v>
      </c>
      <c r="E162" t="s">
        <v>24</v>
      </c>
      <c r="F162" t="s">
        <v>25</v>
      </c>
      <c r="G162">
        <v>2929.1874349682498</v>
      </c>
      <c r="H162">
        <v>3558652.4784964598</v>
      </c>
      <c r="I162">
        <v>2929.1874349682498</v>
      </c>
      <c r="J162">
        <v>3558652.4784964598</v>
      </c>
      <c r="K162">
        <v>4.83985804276202E-2</v>
      </c>
      <c r="L162">
        <v>2.43651581147835E-3</v>
      </c>
      <c r="M162">
        <v>-3.79780119273685E-2</v>
      </c>
      <c r="N162">
        <v>6.9674568370352904E-4</v>
      </c>
      <c r="O162">
        <v>0.232005654534508</v>
      </c>
      <c r="P162">
        <v>3.3285163155361698E-3</v>
      </c>
      <c r="Q162">
        <v>1.35266047145779E-2</v>
      </c>
      <c r="R162">
        <v>1.3343635679456E-2</v>
      </c>
      <c r="S162">
        <v>0.88005310242548895</v>
      </c>
      <c r="T162">
        <v>0.105559639336612</v>
      </c>
      <c r="U162">
        <v>50</v>
      </c>
    </row>
    <row r="163" spans="1:21" x14ac:dyDescent="0.25">
      <c r="A163">
        <v>162</v>
      </c>
      <c r="B163">
        <v>610</v>
      </c>
      <c r="C163" t="s">
        <v>23</v>
      </c>
      <c r="D163">
        <v>10</v>
      </c>
      <c r="E163" t="s">
        <v>24</v>
      </c>
      <c r="F163" t="s">
        <v>25</v>
      </c>
      <c r="G163">
        <v>3153.62992040782</v>
      </c>
      <c r="H163">
        <v>5166972.90479693</v>
      </c>
      <c r="I163">
        <v>3153.62992040782</v>
      </c>
      <c r="J163">
        <v>5166972.90479693</v>
      </c>
      <c r="K163">
        <v>5.3951497118121597E-2</v>
      </c>
      <c r="L163">
        <v>2.9966751535824999E-3</v>
      </c>
      <c r="M163">
        <v>-3.7759143006783E-2</v>
      </c>
      <c r="N163">
        <v>7.5625405092827195E-4</v>
      </c>
      <c r="O163">
        <v>0.23174681289392299</v>
      </c>
      <c r="P163">
        <v>4.8734213077059104E-3</v>
      </c>
      <c r="Q163">
        <v>2.1340803616514799E-2</v>
      </c>
      <c r="R163">
        <v>2.0885373717489299E-2</v>
      </c>
      <c r="S163">
        <v>0.88497469130607298</v>
      </c>
      <c r="T163">
        <v>0.10179448705380401</v>
      </c>
      <c r="U163">
        <v>61</v>
      </c>
    </row>
    <row r="164" spans="1:21" x14ac:dyDescent="0.25">
      <c r="A164">
        <v>163</v>
      </c>
      <c r="B164">
        <v>611</v>
      </c>
      <c r="C164" t="s">
        <v>23</v>
      </c>
      <c r="D164">
        <v>10</v>
      </c>
      <c r="E164" t="s">
        <v>24</v>
      </c>
      <c r="F164" t="s">
        <v>25</v>
      </c>
      <c r="G164">
        <v>2866.3265442803299</v>
      </c>
      <c r="H164">
        <v>3391860.5327996099</v>
      </c>
      <c r="I164">
        <v>2866.3265442803299</v>
      </c>
      <c r="J164">
        <v>3391860.5327996099</v>
      </c>
      <c r="K164">
        <v>5.45564022783648E-2</v>
      </c>
      <c r="L164">
        <v>1.84850277247034E-3</v>
      </c>
      <c r="M164">
        <v>-3.6178627861113297E-2</v>
      </c>
      <c r="N164">
        <v>5.5640313315491203E-4</v>
      </c>
      <c r="O164">
        <v>0.22546194808491099</v>
      </c>
      <c r="P164">
        <v>2.42913252404781E-3</v>
      </c>
      <c r="Q164">
        <v>7.8454822699276505E-3</v>
      </c>
      <c r="R164">
        <v>7.7839306778759096E-3</v>
      </c>
      <c r="S164">
        <v>0.43998469119265199</v>
      </c>
      <c r="T164">
        <v>0.24639816270853099</v>
      </c>
      <c r="U164">
        <v>23</v>
      </c>
    </row>
    <row r="165" spans="1:21" x14ac:dyDescent="0.25">
      <c r="A165">
        <v>164</v>
      </c>
      <c r="B165">
        <v>612</v>
      </c>
      <c r="C165" t="s">
        <v>23</v>
      </c>
      <c r="D165">
        <v>10</v>
      </c>
      <c r="E165" t="s">
        <v>24</v>
      </c>
      <c r="F165" t="s">
        <v>25</v>
      </c>
      <c r="G165">
        <v>3177.9060492923099</v>
      </c>
      <c r="H165">
        <v>5281778.0860843603</v>
      </c>
      <c r="I165">
        <v>3177.9060492923099</v>
      </c>
      <c r="J165">
        <v>5281778.0860843603</v>
      </c>
      <c r="K165">
        <v>5.2814918623801797E-2</v>
      </c>
      <c r="L165">
        <v>2.3167525315072701E-3</v>
      </c>
      <c r="M165">
        <v>-3.1813119468318198E-2</v>
      </c>
      <c r="N165">
        <v>5.4481703783082404E-4</v>
      </c>
      <c r="O165">
        <v>0.23136960148969199</v>
      </c>
      <c r="P165">
        <v>4.2864093295273999E-3</v>
      </c>
      <c r="Q165">
        <v>1.6999003589478898E-2</v>
      </c>
      <c r="R165">
        <v>1.6710037466407299E-2</v>
      </c>
      <c r="S165">
        <v>0.83581641595735701</v>
      </c>
      <c r="T165">
        <v>0.13722733477347401</v>
      </c>
      <c r="U165">
        <v>61</v>
      </c>
    </row>
    <row r="166" spans="1:21" x14ac:dyDescent="0.25">
      <c r="A166">
        <v>165</v>
      </c>
      <c r="C166" t="s">
        <v>23</v>
      </c>
      <c r="D166">
        <v>10</v>
      </c>
      <c r="E166" t="s">
        <v>24</v>
      </c>
      <c r="F166" t="s">
        <v>25</v>
      </c>
      <c r="G166">
        <v>1392.5652883569101</v>
      </c>
      <c r="H166">
        <v>321273.52212480898</v>
      </c>
      <c r="I166">
        <v>1392.5652883569101</v>
      </c>
      <c r="J166">
        <v>321273.52212480898</v>
      </c>
      <c r="K166">
        <v>2.8927716871774201E-2</v>
      </c>
      <c r="L166">
        <v>1.5402590486715501E-3</v>
      </c>
      <c r="M166">
        <v>-3.5423330958263902E-2</v>
      </c>
      <c r="N166">
        <v>4.5927124788142299E-4</v>
      </c>
      <c r="O166">
        <v>0.21366349250783501</v>
      </c>
      <c r="P166">
        <v>9.4946270791601301E-4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10</v>
      </c>
      <c r="E167" t="s">
        <v>24</v>
      </c>
      <c r="F167" t="s">
        <v>25</v>
      </c>
      <c r="G167">
        <v>150.53517163759099</v>
      </c>
      <c r="H167">
        <v>2443874.3568102201</v>
      </c>
      <c r="I167">
        <v>150.53517163759099</v>
      </c>
      <c r="J167">
        <v>2443874.3568102201</v>
      </c>
      <c r="K167">
        <v>-4.8769831553024001E-2</v>
      </c>
      <c r="L167">
        <v>4.4632958692928097E-2</v>
      </c>
      <c r="M167">
        <v>-2.5160477827708999E-2</v>
      </c>
      <c r="N167">
        <v>1.21152840563015E-2</v>
      </c>
      <c r="O167">
        <v>0.182910083274094</v>
      </c>
      <c r="P167">
        <v>2.9187201310660899E-2</v>
      </c>
      <c r="Q167">
        <v>2.0821609454136199E-2</v>
      </c>
      <c r="R167">
        <v>2.0388070033874401E-2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10</v>
      </c>
      <c r="E168" t="s">
        <v>27</v>
      </c>
      <c r="F168" t="s">
        <v>28</v>
      </c>
      <c r="G168">
        <v>3354.63459790461</v>
      </c>
      <c r="H168">
        <v>13968108.984694</v>
      </c>
      <c r="I168">
        <v>3354.63459790461</v>
      </c>
      <c r="J168">
        <v>13968108.984694</v>
      </c>
      <c r="K168">
        <v>8.3563805940981603E-2</v>
      </c>
      <c r="L168">
        <v>7.6138673652308801E-3</v>
      </c>
      <c r="M168">
        <v>-2.9225602534177001E-2</v>
      </c>
      <c r="N168">
        <v>6.11248300155158E-4</v>
      </c>
      <c r="O168">
        <v>0.28470247494755302</v>
      </c>
      <c r="P168">
        <v>1.6365323200381001E-2</v>
      </c>
      <c r="Q168">
        <v>9.4161125197340101E-2</v>
      </c>
      <c r="R168">
        <v>8.5294807698845496E-2</v>
      </c>
      <c r="S168">
        <v>0.88945763319978499</v>
      </c>
      <c r="T168">
        <v>9.8322751942375705E-2</v>
      </c>
      <c r="U168">
        <v>94</v>
      </c>
    </row>
    <row r="169" spans="1:21" x14ac:dyDescent="0.25">
      <c r="A169">
        <v>168</v>
      </c>
      <c r="B169">
        <v>802</v>
      </c>
      <c r="C169" t="s">
        <v>26</v>
      </c>
      <c r="D169">
        <v>10</v>
      </c>
      <c r="E169" t="s">
        <v>27</v>
      </c>
      <c r="F169" t="s">
        <v>28</v>
      </c>
      <c r="G169">
        <v>2657.1946995318199</v>
      </c>
      <c r="H169">
        <v>5470673.90399634</v>
      </c>
      <c r="I169">
        <v>2657.1946995318199</v>
      </c>
      <c r="J169">
        <v>5470673.90399634</v>
      </c>
      <c r="K169">
        <v>6.1499673256385001E-2</v>
      </c>
      <c r="L169">
        <v>6.5791580751835598E-3</v>
      </c>
      <c r="M169">
        <v>-3.4845117629428199E-2</v>
      </c>
      <c r="N169">
        <v>5.3402548479822905E-4</v>
      </c>
      <c r="O169">
        <v>0.25682707138495198</v>
      </c>
      <c r="P169">
        <v>1.15653423507597E-2</v>
      </c>
      <c r="Q169">
        <v>6.1441621432955798E-2</v>
      </c>
      <c r="R169">
        <v>5.7666548588627201E-2</v>
      </c>
      <c r="S169">
        <v>0.94922006643878498</v>
      </c>
      <c r="T169">
        <v>4.8201331908882303E-2</v>
      </c>
      <c r="U169">
        <v>95</v>
      </c>
    </row>
    <row r="170" spans="1:21" x14ac:dyDescent="0.25">
      <c r="A170">
        <v>169</v>
      </c>
      <c r="B170">
        <v>803</v>
      </c>
      <c r="C170" t="s">
        <v>26</v>
      </c>
      <c r="D170">
        <v>10</v>
      </c>
      <c r="E170" t="s">
        <v>27</v>
      </c>
      <c r="F170" t="s">
        <v>28</v>
      </c>
      <c r="G170">
        <v>3868.0895683890599</v>
      </c>
      <c r="H170">
        <v>36044716.402129099</v>
      </c>
      <c r="I170">
        <v>3868.0895683890599</v>
      </c>
      <c r="J170">
        <v>36044716.402129099</v>
      </c>
      <c r="K170">
        <v>7.2998387783472896E-2</v>
      </c>
      <c r="L170">
        <v>6.9182919426774899E-3</v>
      </c>
      <c r="M170">
        <v>-2.8931944822851299E-2</v>
      </c>
      <c r="N170">
        <v>8.2716064034227905E-4</v>
      </c>
      <c r="O170">
        <v>0.28134719121725599</v>
      </c>
      <c r="P170">
        <v>1.9645797574189699E-2</v>
      </c>
      <c r="Q170">
        <v>0.115294832826748</v>
      </c>
      <c r="R170">
        <v>0.10200193435030799</v>
      </c>
      <c r="S170">
        <v>0.86788575875107898</v>
      </c>
      <c r="T170">
        <v>0.114660068508289</v>
      </c>
      <c r="U170">
        <v>71</v>
      </c>
    </row>
    <row r="171" spans="1:21" x14ac:dyDescent="0.25">
      <c r="A171">
        <v>170</v>
      </c>
      <c r="B171">
        <v>804</v>
      </c>
      <c r="C171" t="s">
        <v>26</v>
      </c>
      <c r="D171">
        <v>10</v>
      </c>
      <c r="E171" t="s">
        <v>27</v>
      </c>
      <c r="F171" t="s">
        <v>28</v>
      </c>
      <c r="G171">
        <v>4464.7418743070502</v>
      </c>
      <c r="H171">
        <v>39331353.112895198</v>
      </c>
      <c r="I171">
        <v>4464.7418743070502</v>
      </c>
      <c r="J171">
        <v>39331353.112895198</v>
      </c>
      <c r="K171">
        <v>8.4514657805625601E-2</v>
      </c>
      <c r="L171">
        <v>9.1881350006768805E-3</v>
      </c>
      <c r="M171">
        <v>-2.44709618687192E-2</v>
      </c>
      <c r="N171">
        <v>1.0740851604846601E-3</v>
      </c>
      <c r="O171">
        <v>0.29944812503453699</v>
      </c>
      <c r="P171">
        <v>2.6731796396999699E-2</v>
      </c>
      <c r="Q171">
        <v>0.155788644453522</v>
      </c>
      <c r="R171">
        <v>0.131518542712843</v>
      </c>
      <c r="S171">
        <v>0.91299781181619299</v>
      </c>
      <c r="T171">
        <v>7.9432807435003902E-2</v>
      </c>
      <c r="U171">
        <v>78</v>
      </c>
    </row>
    <row r="172" spans="1:21" x14ac:dyDescent="0.25">
      <c r="A172">
        <v>171</v>
      </c>
      <c r="B172">
        <v>805</v>
      </c>
      <c r="C172" t="s">
        <v>26</v>
      </c>
      <c r="D172">
        <v>10</v>
      </c>
      <c r="E172" t="s">
        <v>27</v>
      </c>
      <c r="F172" t="s">
        <v>28</v>
      </c>
      <c r="G172">
        <v>3750.2560956155698</v>
      </c>
      <c r="H172">
        <v>39252673.954956397</v>
      </c>
      <c r="I172">
        <v>3750.2560956155698</v>
      </c>
      <c r="J172">
        <v>39252673.954956397</v>
      </c>
      <c r="K172">
        <v>7.9395428285383596E-2</v>
      </c>
      <c r="L172">
        <v>7.5038040003143998E-3</v>
      </c>
      <c r="M172">
        <v>-2.09152131805968E-2</v>
      </c>
      <c r="N172">
        <v>8.73268675112766E-4</v>
      </c>
      <c r="O172">
        <v>0.284297072968278</v>
      </c>
      <c r="P172">
        <v>2.2576320216877901E-2</v>
      </c>
      <c r="Q172">
        <v>0.12089381910102701</v>
      </c>
      <c r="R172">
        <v>0.106278503604086</v>
      </c>
      <c r="S172">
        <v>0.89260254475405199</v>
      </c>
      <c r="T172">
        <v>9.5863241852511799E-2</v>
      </c>
      <c r="U172">
        <v>93</v>
      </c>
    </row>
    <row r="173" spans="1:21" x14ac:dyDescent="0.25">
      <c r="A173">
        <v>172</v>
      </c>
      <c r="B173">
        <v>806</v>
      </c>
      <c r="C173" t="s">
        <v>26</v>
      </c>
      <c r="D173">
        <v>10</v>
      </c>
      <c r="E173" t="s">
        <v>27</v>
      </c>
      <c r="F173" t="s">
        <v>28</v>
      </c>
      <c r="G173">
        <v>3693.75417864367</v>
      </c>
      <c r="H173">
        <v>61294953.408937603</v>
      </c>
      <c r="I173">
        <v>3693.75417864367</v>
      </c>
      <c r="J173">
        <v>61294953.408937603</v>
      </c>
      <c r="K173">
        <v>8.2331305236495303E-2</v>
      </c>
      <c r="L173">
        <v>5.7375381926785401E-3</v>
      </c>
      <c r="M173">
        <v>-2.2710916657200798E-2</v>
      </c>
      <c r="N173">
        <v>7.9588633926872703E-4</v>
      </c>
      <c r="O173">
        <v>0.28732417125334597</v>
      </c>
      <c r="P173">
        <v>2.1795454896963402E-2</v>
      </c>
      <c r="Q173">
        <v>0.12433461088044299</v>
      </c>
      <c r="R173">
        <v>0.10887551541750599</v>
      </c>
      <c r="S173">
        <v>0.96063348416289596</v>
      </c>
      <c r="T173">
        <v>3.7816793267916003E-2</v>
      </c>
      <c r="U173">
        <v>105</v>
      </c>
    </row>
    <row r="174" spans="1:21" x14ac:dyDescent="0.25">
      <c r="A174">
        <v>173</v>
      </c>
      <c r="B174">
        <v>807</v>
      </c>
      <c r="C174" t="s">
        <v>26</v>
      </c>
      <c r="D174">
        <v>10</v>
      </c>
      <c r="E174" t="s">
        <v>27</v>
      </c>
      <c r="F174" t="s">
        <v>28</v>
      </c>
      <c r="G174">
        <v>3993.6109835368402</v>
      </c>
      <c r="H174">
        <v>62678483.307945602</v>
      </c>
      <c r="I174">
        <v>3993.6109835368402</v>
      </c>
      <c r="J174">
        <v>62678483.307945602</v>
      </c>
      <c r="K174">
        <v>8.3888806267583299E-2</v>
      </c>
      <c r="L174">
        <v>6.9209199879919601E-3</v>
      </c>
      <c r="M174">
        <v>-2.8549625068716999E-2</v>
      </c>
      <c r="N174">
        <v>8.4967126462075205E-4</v>
      </c>
      <c r="O174">
        <v>0.29659379796895502</v>
      </c>
      <c r="P174">
        <v>2.4210218720387099E-2</v>
      </c>
      <c r="Q174">
        <v>0.144620618431444</v>
      </c>
      <c r="R174">
        <v>0.12370549515607</v>
      </c>
      <c r="S174">
        <v>0.97125326529372502</v>
      </c>
      <c r="T174">
        <v>2.79203599500642E-2</v>
      </c>
      <c r="U174">
        <v>128</v>
      </c>
    </row>
    <row r="175" spans="1:21" x14ac:dyDescent="0.25">
      <c r="A175">
        <v>174</v>
      </c>
      <c r="B175">
        <v>808</v>
      </c>
      <c r="C175" t="s">
        <v>26</v>
      </c>
      <c r="D175">
        <v>10</v>
      </c>
      <c r="E175" t="s">
        <v>27</v>
      </c>
      <c r="F175" t="s">
        <v>28</v>
      </c>
      <c r="G175">
        <v>3373.3972960608698</v>
      </c>
      <c r="H175">
        <v>48952723.841590501</v>
      </c>
      <c r="I175">
        <v>3373.3972960608698</v>
      </c>
      <c r="J175">
        <v>48952723.841590501</v>
      </c>
      <c r="K175">
        <v>7.8327880811426706E-2</v>
      </c>
      <c r="L175">
        <v>5.9330421796849001E-3</v>
      </c>
      <c r="M175">
        <v>-3.1721948233934802E-2</v>
      </c>
      <c r="N175">
        <v>6.3711064805553499E-4</v>
      </c>
      <c r="O175">
        <v>0.28375594377920299</v>
      </c>
      <c r="P175">
        <v>1.9942499670362102E-2</v>
      </c>
      <c r="Q175">
        <v>0.11622363478763401</v>
      </c>
      <c r="R175">
        <v>0.102715701504301</v>
      </c>
      <c r="S175">
        <v>0.97405646180701899</v>
      </c>
      <c r="T175">
        <v>2.5270471018964999E-2</v>
      </c>
      <c r="U175">
        <v>136</v>
      </c>
    </row>
    <row r="176" spans="1:21" x14ac:dyDescent="0.25">
      <c r="A176">
        <v>175</v>
      </c>
      <c r="B176">
        <v>809</v>
      </c>
      <c r="C176" t="s">
        <v>26</v>
      </c>
      <c r="D176">
        <v>10</v>
      </c>
      <c r="E176" t="s">
        <v>27</v>
      </c>
      <c r="F176" t="s">
        <v>28</v>
      </c>
      <c r="G176">
        <v>2647.9833163906001</v>
      </c>
      <c r="H176">
        <v>40421430.861180998</v>
      </c>
      <c r="I176">
        <v>2647.9833163906001</v>
      </c>
      <c r="J176">
        <v>40421430.861180998</v>
      </c>
      <c r="K176">
        <v>7.5741601228806896E-2</v>
      </c>
      <c r="L176">
        <v>4.7782881342615701E-3</v>
      </c>
      <c r="M176">
        <v>-3.0390978015968999E-2</v>
      </c>
      <c r="N176">
        <v>9.9150393708384208E-4</v>
      </c>
      <c r="O176">
        <v>0.26941717580744501</v>
      </c>
      <c r="P176">
        <v>1.54653407312454E-2</v>
      </c>
      <c r="Q176">
        <v>8.3752915146803802E-2</v>
      </c>
      <c r="R176">
        <v>7.6738364351104801E-2</v>
      </c>
      <c r="S176">
        <v>0.94253217241544296</v>
      </c>
      <c r="T176">
        <v>5.4165276377072399E-2</v>
      </c>
      <c r="U176">
        <v>111</v>
      </c>
    </row>
    <row r="177" spans="1:21" x14ac:dyDescent="0.25">
      <c r="A177">
        <v>176</v>
      </c>
      <c r="B177">
        <v>701</v>
      </c>
      <c r="C177" t="s">
        <v>26</v>
      </c>
      <c r="D177">
        <v>10</v>
      </c>
      <c r="E177" t="s">
        <v>27</v>
      </c>
      <c r="F177" t="s">
        <v>28</v>
      </c>
      <c r="G177">
        <v>3840.9585567701401</v>
      </c>
      <c r="H177">
        <v>36938638.389140896</v>
      </c>
      <c r="I177">
        <v>3840.9585567701401</v>
      </c>
      <c r="J177">
        <v>36938638.389140896</v>
      </c>
      <c r="K177">
        <v>7.5398200988461603E-2</v>
      </c>
      <c r="L177">
        <v>6.8575634972083696E-3</v>
      </c>
      <c r="M177">
        <v>-3.13510034231844E-2</v>
      </c>
      <c r="N177">
        <v>6.4137254773525296E-4</v>
      </c>
      <c r="O177">
        <v>0.28161452818570498</v>
      </c>
      <c r="P177">
        <v>2.0839948348804399E-2</v>
      </c>
      <c r="Q177">
        <v>0.117871506651542</v>
      </c>
      <c r="R177">
        <v>0.103977814571201</v>
      </c>
      <c r="S177">
        <v>0.92385629761398402</v>
      </c>
      <c r="T177">
        <v>7.0345838973036701E-2</v>
      </c>
      <c r="U177">
        <v>98</v>
      </c>
    </row>
    <row r="178" spans="1:21" x14ac:dyDescent="0.25">
      <c r="A178">
        <v>177</v>
      </c>
      <c r="B178">
        <v>702</v>
      </c>
      <c r="C178" t="s">
        <v>26</v>
      </c>
      <c r="D178">
        <v>10</v>
      </c>
      <c r="E178" t="s">
        <v>27</v>
      </c>
      <c r="F178" t="s">
        <v>28</v>
      </c>
      <c r="G178">
        <v>3720.99240099192</v>
      </c>
      <c r="H178">
        <v>37315761.639227599</v>
      </c>
      <c r="I178">
        <v>3720.99240099192</v>
      </c>
      <c r="J178">
        <v>37315761.639227599</v>
      </c>
      <c r="K178">
        <v>6.4948790317359104E-2</v>
      </c>
      <c r="L178">
        <v>7.61136864344048E-3</v>
      </c>
      <c r="M178">
        <v>-3.2745561284950597E-2</v>
      </c>
      <c r="N178">
        <v>6.71135456768535E-4</v>
      </c>
      <c r="O178">
        <v>0.27061297469604401</v>
      </c>
      <c r="P178">
        <v>2.2727529084735201E-2</v>
      </c>
      <c r="Q178">
        <v>0.115347786589408</v>
      </c>
      <c r="R178">
        <v>0.102042674718299</v>
      </c>
      <c r="S178">
        <v>0.95709392685711503</v>
      </c>
      <c r="T178">
        <v>4.10651420302659E-2</v>
      </c>
      <c r="U178">
        <v>120</v>
      </c>
    </row>
    <row r="179" spans="1:21" x14ac:dyDescent="0.25">
      <c r="A179">
        <v>178</v>
      </c>
      <c r="B179">
        <v>703</v>
      </c>
      <c r="C179" t="s">
        <v>26</v>
      </c>
      <c r="D179">
        <v>10</v>
      </c>
      <c r="E179" t="s">
        <v>27</v>
      </c>
      <c r="F179" t="s">
        <v>28</v>
      </c>
      <c r="G179">
        <v>4188.3013690302496</v>
      </c>
      <c r="H179">
        <v>36362179.306451097</v>
      </c>
      <c r="I179">
        <v>4188.3013690302496</v>
      </c>
      <c r="J179">
        <v>36362179.306451097</v>
      </c>
      <c r="K179">
        <v>8.1973766777956397E-2</v>
      </c>
      <c r="L179">
        <v>9.0497419543249403E-3</v>
      </c>
      <c r="M179">
        <v>-2.78218608206184E-2</v>
      </c>
      <c r="N179">
        <v>8.1591104510336397E-4</v>
      </c>
      <c r="O179">
        <v>0.28588971946216002</v>
      </c>
      <c r="P179">
        <v>2.5084217861310001E-2</v>
      </c>
      <c r="Q179">
        <v>0.13943196187141299</v>
      </c>
      <c r="R179">
        <v>0.11999068988009599</v>
      </c>
      <c r="S179">
        <v>0.931820944878061</v>
      </c>
      <c r="T179">
        <v>6.3530671564679606E-2</v>
      </c>
      <c r="U179">
        <v>149</v>
      </c>
    </row>
    <row r="180" spans="1:21" x14ac:dyDescent="0.25">
      <c r="A180">
        <v>179</v>
      </c>
      <c r="B180">
        <v>704</v>
      </c>
      <c r="C180" t="s">
        <v>26</v>
      </c>
      <c r="D180">
        <v>10</v>
      </c>
      <c r="E180" t="s">
        <v>27</v>
      </c>
      <c r="F180" t="s">
        <v>28</v>
      </c>
      <c r="G180">
        <v>5235.0317368562</v>
      </c>
      <c r="H180">
        <v>56322413.95544</v>
      </c>
      <c r="I180">
        <v>5235.0317368562</v>
      </c>
      <c r="J180">
        <v>56322413.95544</v>
      </c>
      <c r="K180">
        <v>7.6299750173677905E-2</v>
      </c>
      <c r="L180">
        <v>8.3801774277853895E-3</v>
      </c>
      <c r="M180">
        <v>-2.9593290459524E-2</v>
      </c>
      <c r="N180">
        <v>1.0124397339644499E-3</v>
      </c>
      <c r="O180">
        <v>0.285721780396679</v>
      </c>
      <c r="P180">
        <v>2.8983178808720599E-2</v>
      </c>
      <c r="Q180">
        <v>0.15111311630267699</v>
      </c>
      <c r="R180">
        <v>0.128277942384011</v>
      </c>
      <c r="S180">
        <v>0.93488221279235295</v>
      </c>
      <c r="T180">
        <v>6.0877460996667403E-2</v>
      </c>
      <c r="U180">
        <v>121</v>
      </c>
    </row>
    <row r="181" spans="1:21" x14ac:dyDescent="0.25">
      <c r="A181">
        <v>180</v>
      </c>
      <c r="B181">
        <v>705</v>
      </c>
      <c r="C181" t="s">
        <v>26</v>
      </c>
      <c r="D181">
        <v>10</v>
      </c>
      <c r="E181" t="s">
        <v>27</v>
      </c>
      <c r="F181" t="s">
        <v>28</v>
      </c>
      <c r="G181">
        <v>3843.9006476621598</v>
      </c>
      <c r="H181">
        <v>33911566.542676203</v>
      </c>
      <c r="I181">
        <v>3843.9006476621598</v>
      </c>
      <c r="J181">
        <v>33911566.542676203</v>
      </c>
      <c r="K181">
        <v>6.8064242478994993E-2</v>
      </c>
      <c r="L181">
        <v>7.8613761470256206E-3</v>
      </c>
      <c r="M181">
        <v>-2.9374109376340499E-2</v>
      </c>
      <c r="N181">
        <v>8.8719399531477102E-4</v>
      </c>
      <c r="O181">
        <v>0.266183399864443</v>
      </c>
      <c r="P181">
        <v>2.30301292223015E-2</v>
      </c>
      <c r="Q181">
        <v>0.11922762074444999</v>
      </c>
      <c r="R181">
        <v>0.10501239519613299</v>
      </c>
      <c r="S181">
        <v>0.949973518224277</v>
      </c>
      <c r="T181">
        <v>4.7523832896833103E-2</v>
      </c>
      <c r="U181">
        <v>101</v>
      </c>
    </row>
    <row r="182" spans="1:21" x14ac:dyDescent="0.25">
      <c r="A182">
        <v>181</v>
      </c>
      <c r="B182">
        <v>706</v>
      </c>
      <c r="C182" t="s">
        <v>26</v>
      </c>
      <c r="D182">
        <v>10</v>
      </c>
      <c r="E182" t="s">
        <v>27</v>
      </c>
      <c r="F182" t="s">
        <v>28</v>
      </c>
      <c r="G182">
        <v>4036.3207794393402</v>
      </c>
      <c r="H182">
        <v>58190145.9926548</v>
      </c>
      <c r="I182">
        <v>4036.3207794393402</v>
      </c>
      <c r="J182">
        <v>58190145.9926548</v>
      </c>
      <c r="K182">
        <v>7.4036190432360205E-2</v>
      </c>
      <c r="L182">
        <v>6.1815566473454398E-3</v>
      </c>
      <c r="M182">
        <v>-2.8987335294777899E-2</v>
      </c>
      <c r="N182">
        <v>8.04180714627044E-4</v>
      </c>
      <c r="O182">
        <v>0.27772664871040298</v>
      </c>
      <c r="P182">
        <v>2.2966916283183599E-2</v>
      </c>
      <c r="Q182">
        <v>0.12713372120979</v>
      </c>
      <c r="R182">
        <v>0.110970738141278</v>
      </c>
      <c r="S182">
        <v>0.87927490413396003</v>
      </c>
      <c r="T182">
        <v>0.10615054709405899</v>
      </c>
      <c r="U182">
        <v>60</v>
      </c>
    </row>
    <row r="183" spans="1:21" x14ac:dyDescent="0.25">
      <c r="A183">
        <v>182</v>
      </c>
      <c r="B183">
        <v>707</v>
      </c>
      <c r="C183" t="s">
        <v>26</v>
      </c>
      <c r="D183">
        <v>10</v>
      </c>
      <c r="E183" t="s">
        <v>27</v>
      </c>
      <c r="F183" t="s">
        <v>28</v>
      </c>
      <c r="G183">
        <v>4038.1467711073901</v>
      </c>
      <c r="H183">
        <v>64785677.402244397</v>
      </c>
      <c r="I183">
        <v>4038.1467711073901</v>
      </c>
      <c r="J183">
        <v>64785677.402244397</v>
      </c>
      <c r="K183">
        <v>6.84461820003575E-2</v>
      </c>
      <c r="L183">
        <v>5.8586546444900399E-3</v>
      </c>
      <c r="M183">
        <v>-3.1528449636454299E-2</v>
      </c>
      <c r="N183">
        <v>7.74466895138756E-4</v>
      </c>
      <c r="O183">
        <v>0.27817631817292099</v>
      </c>
      <c r="P183">
        <v>2.2782609104491199E-2</v>
      </c>
      <c r="Q183">
        <v>0.13071035637407299</v>
      </c>
      <c r="R183">
        <v>0.11362515911064699</v>
      </c>
      <c r="S183">
        <v>0.95488416041719004</v>
      </c>
      <c r="T183">
        <v>4.3080400601523301E-2</v>
      </c>
      <c r="U183">
        <v>115</v>
      </c>
    </row>
    <row r="184" spans="1:21" x14ac:dyDescent="0.25">
      <c r="A184">
        <v>183</v>
      </c>
      <c r="B184">
        <v>708</v>
      </c>
      <c r="C184" t="s">
        <v>26</v>
      </c>
      <c r="D184">
        <v>10</v>
      </c>
      <c r="E184" t="s">
        <v>27</v>
      </c>
      <c r="F184" t="s">
        <v>28</v>
      </c>
      <c r="G184">
        <v>3671.18558621493</v>
      </c>
      <c r="H184">
        <v>65146087.780515499</v>
      </c>
      <c r="I184">
        <v>3671.18558621493</v>
      </c>
      <c r="J184">
        <v>65146087.780515499</v>
      </c>
      <c r="K184">
        <v>7.0773547681592205E-2</v>
      </c>
      <c r="L184">
        <v>5.1860857416434298E-3</v>
      </c>
      <c r="M184">
        <v>-3.2114651680520002E-2</v>
      </c>
      <c r="N184">
        <v>7.1510722805393997E-4</v>
      </c>
      <c r="O184">
        <v>0.279260905142107</v>
      </c>
      <c r="P184">
        <v>2.1000844670345499E-2</v>
      </c>
      <c r="Q184">
        <v>0.12319374911062</v>
      </c>
      <c r="R184">
        <v>0.108017049290656</v>
      </c>
      <c r="S184">
        <v>0.96592452683734598</v>
      </c>
      <c r="T184">
        <v>3.29143352914835E-2</v>
      </c>
      <c r="U184">
        <v>106</v>
      </c>
    </row>
    <row r="185" spans="1:21" x14ac:dyDescent="0.25">
      <c r="A185">
        <v>184</v>
      </c>
      <c r="B185">
        <v>709</v>
      </c>
      <c r="C185" t="s">
        <v>26</v>
      </c>
      <c r="D185">
        <v>10</v>
      </c>
      <c r="E185" t="s">
        <v>27</v>
      </c>
      <c r="F185" t="s">
        <v>28</v>
      </c>
      <c r="G185">
        <v>1947.1812713029999</v>
      </c>
      <c r="H185">
        <v>27685833.276893601</v>
      </c>
      <c r="I185">
        <v>1947.1812713029999</v>
      </c>
      <c r="J185">
        <v>27685833.276893601</v>
      </c>
      <c r="K185">
        <v>6.2008758186735798E-2</v>
      </c>
      <c r="L185">
        <v>3.55450408525588E-3</v>
      </c>
      <c r="M185">
        <v>-3.1047452408145701E-2</v>
      </c>
      <c r="N185">
        <v>9.3362205920334302E-4</v>
      </c>
      <c r="O185">
        <v>0.244545110399434</v>
      </c>
      <c r="P185">
        <v>1.08103059095592E-2</v>
      </c>
      <c r="Q185">
        <v>5.5002092925910399E-2</v>
      </c>
      <c r="R185">
        <v>5.1976862699694801E-2</v>
      </c>
      <c r="S185">
        <v>0.94437600908927799</v>
      </c>
      <c r="T185">
        <v>5.2529962546001001E-2</v>
      </c>
      <c r="U185">
        <v>102</v>
      </c>
    </row>
    <row r="186" spans="1:21" x14ac:dyDescent="0.25">
      <c r="A186">
        <v>185</v>
      </c>
      <c r="B186">
        <v>601</v>
      </c>
      <c r="C186" t="s">
        <v>26</v>
      </c>
      <c r="D186">
        <v>10</v>
      </c>
      <c r="E186" t="s">
        <v>27</v>
      </c>
      <c r="F186" t="s">
        <v>28</v>
      </c>
      <c r="G186">
        <v>5730.4404523165704</v>
      </c>
      <c r="H186">
        <v>49596953.8314512</v>
      </c>
      <c r="I186">
        <v>5730.4404523165704</v>
      </c>
      <c r="J186">
        <v>49596953.8314512</v>
      </c>
      <c r="K186">
        <v>0.12810602110195199</v>
      </c>
      <c r="L186">
        <v>1.4371135059118001E-2</v>
      </c>
      <c r="M186">
        <v>-1.78963774753465E-2</v>
      </c>
      <c r="N186">
        <v>1.3243653525002699E-3</v>
      </c>
      <c r="O186">
        <v>0.34037263099348503</v>
      </c>
      <c r="P186">
        <v>3.5852569382138398E-2</v>
      </c>
      <c r="Q186">
        <v>0.23904464944171999</v>
      </c>
      <c r="R186">
        <v>0.18190230501523799</v>
      </c>
      <c r="S186">
        <v>0.97504140358141</v>
      </c>
      <c r="T186">
        <v>2.4335664883407701E-2</v>
      </c>
      <c r="U186">
        <v>140</v>
      </c>
    </row>
    <row r="187" spans="1:21" x14ac:dyDescent="0.25">
      <c r="A187">
        <v>186</v>
      </c>
      <c r="B187">
        <v>602</v>
      </c>
      <c r="C187" t="s">
        <v>26</v>
      </c>
      <c r="D187">
        <v>10</v>
      </c>
      <c r="E187" t="s">
        <v>27</v>
      </c>
      <c r="F187" t="s">
        <v>28</v>
      </c>
      <c r="G187">
        <v>5292.12628881411</v>
      </c>
      <c r="H187">
        <v>54926839.757387497</v>
      </c>
      <c r="I187">
        <v>5292.12628881411</v>
      </c>
      <c r="J187">
        <v>54926839.757387497</v>
      </c>
      <c r="K187">
        <v>9.8336567800737101E-2</v>
      </c>
      <c r="L187">
        <v>1.4453803193690299E-2</v>
      </c>
      <c r="M187">
        <v>-2.6424357252797102E-2</v>
      </c>
      <c r="N187">
        <v>9.0793002457212205E-4</v>
      </c>
      <c r="O187">
        <v>0.31172395857212698</v>
      </c>
      <c r="P187">
        <v>3.8550258367524598E-2</v>
      </c>
      <c r="Q187">
        <v>0.191636629264613</v>
      </c>
      <c r="R187">
        <v>0.15491203158872699</v>
      </c>
      <c r="S187">
        <v>0.96396838701951904</v>
      </c>
      <c r="T187">
        <v>3.4733335846604999E-2</v>
      </c>
      <c r="U187">
        <v>116</v>
      </c>
    </row>
    <row r="188" spans="1:21" x14ac:dyDescent="0.25">
      <c r="A188">
        <v>187</v>
      </c>
      <c r="B188">
        <v>603</v>
      </c>
      <c r="C188" t="s">
        <v>26</v>
      </c>
      <c r="D188">
        <v>10</v>
      </c>
      <c r="E188" t="s">
        <v>27</v>
      </c>
      <c r="F188" t="s">
        <v>28</v>
      </c>
      <c r="G188">
        <v>2824.07617564065</v>
      </c>
      <c r="H188">
        <v>6445909.1833340498</v>
      </c>
      <c r="I188">
        <v>2824.07617564065</v>
      </c>
      <c r="J188">
        <v>6445909.1833340498</v>
      </c>
      <c r="K188">
        <v>6.5235840146694299E-2</v>
      </c>
      <c r="L188">
        <v>8.79204082365115E-3</v>
      </c>
      <c r="M188">
        <v>-3.12645390166209E-2</v>
      </c>
      <c r="N188">
        <v>6.8062517994648395E-4</v>
      </c>
      <c r="O188">
        <v>0.24627935521764199</v>
      </c>
      <c r="P188">
        <v>1.5519320077096801E-2</v>
      </c>
      <c r="Q188">
        <v>7.59458113612278E-2</v>
      </c>
      <c r="R188">
        <v>7.0178045097973901E-2</v>
      </c>
      <c r="S188">
        <v>0.96400801807898095</v>
      </c>
      <c r="T188">
        <v>3.4696559158405901E-2</v>
      </c>
      <c r="U188">
        <v>111</v>
      </c>
    </row>
    <row r="189" spans="1:21" x14ac:dyDescent="0.25">
      <c r="A189">
        <v>188</v>
      </c>
      <c r="B189">
        <v>604</v>
      </c>
      <c r="C189" t="s">
        <v>26</v>
      </c>
      <c r="D189">
        <v>10</v>
      </c>
      <c r="E189" t="s">
        <v>27</v>
      </c>
      <c r="F189" t="s">
        <v>28</v>
      </c>
      <c r="G189">
        <v>3278.4184333328699</v>
      </c>
      <c r="H189">
        <v>10305343.009343799</v>
      </c>
      <c r="I189">
        <v>3278.4184333328699</v>
      </c>
      <c r="J189">
        <v>10305343.009343799</v>
      </c>
      <c r="K189">
        <v>6.4400496330453499E-2</v>
      </c>
      <c r="L189">
        <v>1.06906909124889E-2</v>
      </c>
      <c r="M189">
        <v>-3.44821865668863E-2</v>
      </c>
      <c r="N189">
        <v>8.8698032758180098E-4</v>
      </c>
      <c r="O189">
        <v>0.25124526884297099</v>
      </c>
      <c r="P189">
        <v>2.11400715137007E-2</v>
      </c>
      <c r="Q189">
        <v>0.102192004652644</v>
      </c>
      <c r="R189">
        <v>9.1748798837798601E-2</v>
      </c>
      <c r="S189">
        <v>0.98929525972497301</v>
      </c>
      <c r="T189">
        <v>1.0590148810668901E-2</v>
      </c>
      <c r="U189">
        <v>137</v>
      </c>
    </row>
    <row r="190" spans="1:21" x14ac:dyDescent="0.25">
      <c r="A190">
        <v>189</v>
      </c>
      <c r="B190">
        <v>605</v>
      </c>
      <c r="C190" t="s">
        <v>26</v>
      </c>
      <c r="D190">
        <v>10</v>
      </c>
      <c r="E190" t="s">
        <v>27</v>
      </c>
      <c r="F190" t="s">
        <v>28</v>
      </c>
      <c r="G190">
        <v>2839.9332909473301</v>
      </c>
      <c r="H190">
        <v>13876982.278599201</v>
      </c>
      <c r="I190">
        <v>2839.9332909473301</v>
      </c>
      <c r="J190">
        <v>13876982.278599201</v>
      </c>
      <c r="K190">
        <v>4.6774966957405302E-2</v>
      </c>
      <c r="L190">
        <v>8.2226522803993396E-3</v>
      </c>
      <c r="M190">
        <v>-3.60173631043086E-2</v>
      </c>
      <c r="N190">
        <v>6.4323743262331397E-4</v>
      </c>
      <c r="O190">
        <v>0.23152050447121</v>
      </c>
      <c r="P190">
        <v>1.7466571932779899E-2</v>
      </c>
      <c r="Q190">
        <v>7.4766469408715203E-2</v>
      </c>
      <c r="R190">
        <v>6.9176444460908204E-2</v>
      </c>
      <c r="S190">
        <v>0.93539078548371302</v>
      </c>
      <c r="T190">
        <v>6.0434863915963803E-2</v>
      </c>
      <c r="U190">
        <v>105</v>
      </c>
    </row>
    <row r="191" spans="1:21" x14ac:dyDescent="0.25">
      <c r="A191">
        <v>190</v>
      </c>
      <c r="B191">
        <v>606</v>
      </c>
      <c r="C191" t="s">
        <v>26</v>
      </c>
      <c r="D191">
        <v>10</v>
      </c>
      <c r="E191" t="s">
        <v>27</v>
      </c>
      <c r="F191" t="s">
        <v>28</v>
      </c>
      <c r="G191">
        <v>2460.7593404602299</v>
      </c>
      <c r="H191">
        <v>13796153.460413501</v>
      </c>
      <c r="I191">
        <v>2460.7593404602299</v>
      </c>
      <c r="J191">
        <v>13796153.460413501</v>
      </c>
      <c r="K191">
        <v>6.3468217915977898E-2</v>
      </c>
      <c r="L191">
        <v>7.7566891430145401E-3</v>
      </c>
      <c r="M191">
        <v>-3.4002534541416399E-2</v>
      </c>
      <c r="N191">
        <v>7.4312917425836005E-4</v>
      </c>
      <c r="O191">
        <v>0.24876128398703201</v>
      </c>
      <c r="P191">
        <v>1.73912437527587E-2</v>
      </c>
      <c r="Q191">
        <v>8.6827323790541797E-2</v>
      </c>
      <c r="R191">
        <v>7.9288339633982102E-2</v>
      </c>
      <c r="S191">
        <v>0.98090441336328704</v>
      </c>
      <c r="T191">
        <v>1.8730945207749899E-2</v>
      </c>
      <c r="U191">
        <v>124</v>
      </c>
    </row>
    <row r="192" spans="1:21" x14ac:dyDescent="0.25">
      <c r="A192">
        <v>191</v>
      </c>
      <c r="B192">
        <v>607</v>
      </c>
      <c r="C192" t="s">
        <v>26</v>
      </c>
      <c r="D192">
        <v>10</v>
      </c>
      <c r="E192" t="s">
        <v>27</v>
      </c>
      <c r="F192" t="s">
        <v>28</v>
      </c>
      <c r="G192">
        <v>3242.5253816723898</v>
      </c>
      <c r="H192">
        <v>34385183.581425503</v>
      </c>
      <c r="I192">
        <v>3242.5253816723898</v>
      </c>
      <c r="J192">
        <v>34385183.581425503</v>
      </c>
      <c r="K192">
        <v>6.9878381736981202E-2</v>
      </c>
      <c r="L192">
        <v>7.7978853618479302E-3</v>
      </c>
      <c r="M192">
        <v>-3.0047347247953601E-2</v>
      </c>
      <c r="N192">
        <v>6.8472014073657299E-4</v>
      </c>
      <c r="O192">
        <v>0.26910114002263502</v>
      </c>
      <c r="P192">
        <v>2.2881172669415001E-2</v>
      </c>
      <c r="Q192">
        <v>0.12522765887227899</v>
      </c>
      <c r="R192">
        <v>0.109545692325517</v>
      </c>
      <c r="S192">
        <v>0.96144866952684804</v>
      </c>
      <c r="T192">
        <v>3.7065125391851701E-2</v>
      </c>
      <c r="U192">
        <v>123</v>
      </c>
    </row>
    <row r="193" spans="1:21" x14ac:dyDescent="0.25">
      <c r="A193">
        <v>192</v>
      </c>
      <c r="B193">
        <v>608</v>
      </c>
      <c r="C193" t="s">
        <v>26</v>
      </c>
      <c r="D193">
        <v>10</v>
      </c>
      <c r="E193" t="s">
        <v>27</v>
      </c>
      <c r="F193" t="s">
        <v>28</v>
      </c>
      <c r="G193">
        <v>1826.92868464705</v>
      </c>
      <c r="H193">
        <v>14809864.143074101</v>
      </c>
      <c r="I193">
        <v>1826.92868464705</v>
      </c>
      <c r="J193">
        <v>14809864.143074101</v>
      </c>
      <c r="K193">
        <v>7.0468730618687705E-2</v>
      </c>
      <c r="L193">
        <v>6.5624499927448097E-3</v>
      </c>
      <c r="M193">
        <v>-2.9441802470080599E-2</v>
      </c>
      <c r="N193">
        <v>6.3422059838728602E-4</v>
      </c>
      <c r="O193">
        <v>0.25755127724263499</v>
      </c>
      <c r="P193">
        <v>1.5476195212787701E-2</v>
      </c>
      <c r="Q193">
        <v>8.13540578730724E-2</v>
      </c>
      <c r="R193">
        <v>7.4735575140745594E-2</v>
      </c>
      <c r="S193">
        <v>0.93060743070572005</v>
      </c>
      <c r="T193">
        <v>6.4577240621156995E-2</v>
      </c>
      <c r="U193">
        <v>131</v>
      </c>
    </row>
    <row r="194" spans="1:21" x14ac:dyDescent="0.25">
      <c r="A194">
        <v>193</v>
      </c>
      <c r="B194">
        <v>609</v>
      </c>
      <c r="C194" t="s">
        <v>26</v>
      </c>
      <c r="D194">
        <v>10</v>
      </c>
      <c r="E194" t="s">
        <v>27</v>
      </c>
      <c r="F194" t="s">
        <v>28</v>
      </c>
      <c r="G194">
        <v>2058.1736322287202</v>
      </c>
      <c r="H194">
        <v>20920071.362847298</v>
      </c>
      <c r="I194">
        <v>2058.1736322287202</v>
      </c>
      <c r="J194">
        <v>20920071.362847298</v>
      </c>
      <c r="K194">
        <v>7.6284747343994402E-2</v>
      </c>
      <c r="L194">
        <v>7.9160707519155098E-3</v>
      </c>
      <c r="M194">
        <v>-2.8791686364890701E-2</v>
      </c>
      <c r="N194">
        <v>8.2712899750531695E-4</v>
      </c>
      <c r="O194">
        <v>0.263423937678463</v>
      </c>
      <c r="P194">
        <v>1.9217420444040002E-2</v>
      </c>
      <c r="Q194">
        <v>0.100155945419103</v>
      </c>
      <c r="R194">
        <v>9.0124732016274606E-2</v>
      </c>
      <c r="S194">
        <v>0.91787194781230097</v>
      </c>
      <c r="T194">
        <v>7.5383035231703199E-2</v>
      </c>
      <c r="U194">
        <v>95</v>
      </c>
    </row>
    <row r="195" spans="1:21" x14ac:dyDescent="0.25">
      <c r="A195">
        <v>194</v>
      </c>
      <c r="B195">
        <v>501</v>
      </c>
      <c r="C195" t="s">
        <v>26</v>
      </c>
      <c r="D195">
        <v>10</v>
      </c>
      <c r="E195" t="s">
        <v>27</v>
      </c>
      <c r="F195" t="s">
        <v>28</v>
      </c>
      <c r="G195">
        <v>4473.8032420116397</v>
      </c>
      <c r="H195">
        <v>37992306.701966196</v>
      </c>
      <c r="I195">
        <v>4473.8032420116397</v>
      </c>
      <c r="J195">
        <v>37992306.701966196</v>
      </c>
      <c r="K195">
        <v>9.7607850512617805E-2</v>
      </c>
      <c r="L195">
        <v>1.1750941556676201E-2</v>
      </c>
      <c r="M195">
        <v>-3.0400244346853698E-2</v>
      </c>
      <c r="N195">
        <v>1.0887751924686E-3</v>
      </c>
      <c r="O195">
        <v>0.292535758390437</v>
      </c>
      <c r="P195">
        <v>2.9676702839069698E-2</v>
      </c>
      <c r="Q195">
        <v>0.15822993301855701</v>
      </c>
      <c r="R195">
        <v>0.13319322131552599</v>
      </c>
      <c r="S195">
        <v>0.96070977658231305</v>
      </c>
      <c r="T195">
        <v>3.7746501761431503E-2</v>
      </c>
      <c r="U195">
        <v>139</v>
      </c>
    </row>
    <row r="196" spans="1:21" x14ac:dyDescent="0.25">
      <c r="A196">
        <v>195</v>
      </c>
      <c r="B196">
        <v>502</v>
      </c>
      <c r="C196" t="s">
        <v>26</v>
      </c>
      <c r="D196">
        <v>10</v>
      </c>
      <c r="E196" t="s">
        <v>27</v>
      </c>
      <c r="F196" t="s">
        <v>28</v>
      </c>
      <c r="G196">
        <v>4286.2088236004702</v>
      </c>
      <c r="H196">
        <v>50505043.486484297</v>
      </c>
      <c r="I196">
        <v>4286.2088236004702</v>
      </c>
      <c r="J196">
        <v>50505043.486484297</v>
      </c>
      <c r="K196">
        <v>9.7434206551054295E-2</v>
      </c>
      <c r="L196">
        <v>1.3511107556067801E-2</v>
      </c>
      <c r="M196">
        <v>-2.8166830068439602E-2</v>
      </c>
      <c r="N196">
        <v>9.72585986334946E-4</v>
      </c>
      <c r="O196">
        <v>0.299566384229564</v>
      </c>
      <c r="P196">
        <v>3.3760475791368601E-2</v>
      </c>
      <c r="Q196">
        <v>0.169018338205803</v>
      </c>
      <c r="R196">
        <v>0.14045113955577601</v>
      </c>
      <c r="S196">
        <v>0.91550384787309902</v>
      </c>
      <c r="T196">
        <v>7.7356552402309597E-2</v>
      </c>
      <c r="U196">
        <v>102</v>
      </c>
    </row>
    <row r="197" spans="1:21" x14ac:dyDescent="0.25">
      <c r="A197">
        <v>196</v>
      </c>
      <c r="B197">
        <v>503</v>
      </c>
      <c r="C197" t="s">
        <v>26</v>
      </c>
      <c r="D197">
        <v>10</v>
      </c>
      <c r="E197" t="s">
        <v>27</v>
      </c>
      <c r="F197" t="s">
        <v>28</v>
      </c>
      <c r="G197">
        <v>4856.2109670557502</v>
      </c>
      <c r="H197">
        <v>50759490.376269497</v>
      </c>
      <c r="I197">
        <v>4856.2109670557502</v>
      </c>
      <c r="J197">
        <v>50759490.376269497</v>
      </c>
      <c r="K197">
        <v>9.4177725748512298E-2</v>
      </c>
      <c r="L197">
        <v>1.36519782488738E-2</v>
      </c>
      <c r="M197">
        <v>-3.1124353637073401E-2</v>
      </c>
      <c r="N197">
        <v>1.08105372619646E-3</v>
      </c>
      <c r="O197">
        <v>0.29946280258065699</v>
      </c>
      <c r="P197">
        <v>3.5205089336635798E-2</v>
      </c>
      <c r="Q197">
        <v>0.186167992783769</v>
      </c>
      <c r="R197">
        <v>0.15150947124676201</v>
      </c>
      <c r="S197">
        <v>0.98639043695985795</v>
      </c>
      <c r="T197">
        <v>1.3424342834017101E-2</v>
      </c>
      <c r="U197">
        <v>87</v>
      </c>
    </row>
    <row r="198" spans="1:21" x14ac:dyDescent="0.25">
      <c r="A198">
        <v>197</v>
      </c>
      <c r="B198">
        <v>504</v>
      </c>
      <c r="C198" t="s">
        <v>26</v>
      </c>
      <c r="D198">
        <v>10</v>
      </c>
      <c r="E198" t="s">
        <v>27</v>
      </c>
      <c r="F198" t="s">
        <v>28</v>
      </c>
      <c r="G198">
        <v>4311.7914910080599</v>
      </c>
      <c r="H198">
        <v>42550452.775630899</v>
      </c>
      <c r="I198">
        <v>4311.7914910080599</v>
      </c>
      <c r="J198">
        <v>42550452.775630899</v>
      </c>
      <c r="K198">
        <v>9.1325030369276694E-2</v>
      </c>
      <c r="L198">
        <v>1.33537436029588E-2</v>
      </c>
      <c r="M198">
        <v>-3.0840307461524E-2</v>
      </c>
      <c r="N198">
        <v>1.33811765088542E-3</v>
      </c>
      <c r="O198">
        <v>0.297594791084414</v>
      </c>
      <c r="P198">
        <v>3.4447450534277099E-2</v>
      </c>
      <c r="Q198">
        <v>0.179038369176584</v>
      </c>
      <c r="R198">
        <v>0.14698363153927099</v>
      </c>
      <c r="S198">
        <v>0.96308796456871504</v>
      </c>
      <c r="T198">
        <v>3.5549537071610203E-2</v>
      </c>
      <c r="U198">
        <v>115</v>
      </c>
    </row>
    <row r="199" spans="1:21" x14ac:dyDescent="0.25">
      <c r="A199">
        <v>198</v>
      </c>
      <c r="B199">
        <v>505</v>
      </c>
      <c r="C199" t="s">
        <v>26</v>
      </c>
      <c r="D199">
        <v>10</v>
      </c>
      <c r="E199" t="s">
        <v>27</v>
      </c>
      <c r="F199" t="s">
        <v>28</v>
      </c>
      <c r="G199">
        <v>4091.9620637692301</v>
      </c>
      <c r="H199">
        <v>42684971.877025701</v>
      </c>
      <c r="I199">
        <v>4091.9620637692301</v>
      </c>
      <c r="J199">
        <v>42684971.877025701</v>
      </c>
      <c r="K199">
        <v>6.0283920060489903E-2</v>
      </c>
      <c r="L199">
        <v>1.2388282797458501E-2</v>
      </c>
      <c r="M199">
        <v>-3.5580341694570403E-2</v>
      </c>
      <c r="N199">
        <v>8.7431741072941695E-4</v>
      </c>
      <c r="O199">
        <v>0.26255451894181497</v>
      </c>
      <c r="P199">
        <v>3.3957521734186299E-2</v>
      </c>
      <c r="Q199">
        <v>0.140610424091659</v>
      </c>
      <c r="R199">
        <v>0.12083913272839999</v>
      </c>
      <c r="S199">
        <v>0.917670274472284</v>
      </c>
      <c r="T199">
        <v>7.5551541822115098E-2</v>
      </c>
      <c r="U199">
        <v>94</v>
      </c>
    </row>
    <row r="200" spans="1:21" x14ac:dyDescent="0.25">
      <c r="A200">
        <v>199</v>
      </c>
      <c r="B200">
        <v>506</v>
      </c>
      <c r="C200" t="s">
        <v>26</v>
      </c>
      <c r="D200">
        <v>10</v>
      </c>
      <c r="E200" t="s">
        <v>27</v>
      </c>
      <c r="F200" t="s">
        <v>28</v>
      </c>
      <c r="G200">
        <v>4936.6766130479</v>
      </c>
      <c r="H200">
        <v>46302915.682468802</v>
      </c>
      <c r="I200">
        <v>4936.6766130479</v>
      </c>
      <c r="J200">
        <v>46302915.682468802</v>
      </c>
      <c r="K200">
        <v>8.7046397318154195E-2</v>
      </c>
      <c r="L200">
        <v>1.14921977116184E-2</v>
      </c>
      <c r="M200">
        <v>-3.0045459058821899E-2</v>
      </c>
      <c r="N200">
        <v>1.3172303437283201E-3</v>
      </c>
      <c r="O200">
        <v>0.29759772811789997</v>
      </c>
      <c r="P200">
        <v>3.1895361138882097E-2</v>
      </c>
      <c r="Q200">
        <v>0.17034024995515201</v>
      </c>
      <c r="R200">
        <v>0.141324449200494</v>
      </c>
      <c r="S200">
        <v>0.94231413261888797</v>
      </c>
      <c r="T200">
        <v>5.4358208085522698E-2</v>
      </c>
      <c r="U200">
        <v>134</v>
      </c>
    </row>
    <row r="201" spans="1:21" x14ac:dyDescent="0.25">
      <c r="A201">
        <v>200</v>
      </c>
      <c r="B201">
        <v>507</v>
      </c>
      <c r="C201" t="s">
        <v>26</v>
      </c>
      <c r="D201">
        <v>10</v>
      </c>
      <c r="E201" t="s">
        <v>27</v>
      </c>
      <c r="F201" t="s">
        <v>28</v>
      </c>
      <c r="G201">
        <v>5620.0128393524301</v>
      </c>
      <c r="H201">
        <v>78249360.344007507</v>
      </c>
      <c r="I201">
        <v>5620.0128393524301</v>
      </c>
      <c r="J201">
        <v>78249360.344007507</v>
      </c>
      <c r="K201">
        <v>7.8598623228866099E-2</v>
      </c>
      <c r="L201">
        <v>1.11814816796136E-2</v>
      </c>
      <c r="M201">
        <v>-3.38684499381052E-2</v>
      </c>
      <c r="N201">
        <v>8.7739201921208695E-4</v>
      </c>
      <c r="O201">
        <v>0.29447358395254802</v>
      </c>
      <c r="P201">
        <v>3.6071647755657299E-2</v>
      </c>
      <c r="Q201">
        <v>0.18869240348692401</v>
      </c>
      <c r="R201">
        <v>0.153087580353091</v>
      </c>
      <c r="S201">
        <v>0.89286425902864297</v>
      </c>
      <c r="T201">
        <v>9.5657673978098406E-2</v>
      </c>
      <c r="U201">
        <v>120</v>
      </c>
    </row>
    <row r="202" spans="1:21" x14ac:dyDescent="0.25">
      <c r="A202">
        <v>201</v>
      </c>
      <c r="B202">
        <v>508</v>
      </c>
      <c r="C202" t="s">
        <v>26</v>
      </c>
      <c r="D202">
        <v>10</v>
      </c>
      <c r="E202" t="s">
        <v>27</v>
      </c>
      <c r="F202" t="s">
        <v>28</v>
      </c>
      <c r="G202">
        <v>4426.7421060185598</v>
      </c>
      <c r="H202">
        <v>61703113.494584501</v>
      </c>
      <c r="I202">
        <v>4426.7421060185598</v>
      </c>
      <c r="J202">
        <v>61703113.494584501</v>
      </c>
      <c r="K202">
        <v>7.31066358160746E-2</v>
      </c>
      <c r="L202">
        <v>8.5303963102769994E-3</v>
      </c>
      <c r="M202">
        <v>-3.2030614677538198E-2</v>
      </c>
      <c r="N202">
        <v>9.2932179420617596E-4</v>
      </c>
      <c r="O202">
        <v>0.27830964095924299</v>
      </c>
      <c r="P202">
        <v>2.7371649618029899E-2</v>
      </c>
      <c r="Q202">
        <v>0.14261793129844</v>
      </c>
      <c r="R202">
        <v>0.12227805697048599</v>
      </c>
      <c r="S202">
        <v>0.89241974836147897</v>
      </c>
      <c r="T202">
        <v>9.6006741096106796E-2</v>
      </c>
      <c r="U202">
        <v>67</v>
      </c>
    </row>
    <row r="203" spans="1:21" x14ac:dyDescent="0.25">
      <c r="A203">
        <v>202</v>
      </c>
      <c r="B203">
        <v>509</v>
      </c>
      <c r="C203" t="s">
        <v>26</v>
      </c>
      <c r="D203">
        <v>10</v>
      </c>
      <c r="E203" t="s">
        <v>27</v>
      </c>
      <c r="F203" t="s">
        <v>28</v>
      </c>
      <c r="G203">
        <v>5450.4280247516699</v>
      </c>
      <c r="H203">
        <v>79632886.732524395</v>
      </c>
      <c r="I203">
        <v>5450.4280247516699</v>
      </c>
      <c r="J203">
        <v>79632886.732524395</v>
      </c>
      <c r="K203">
        <v>0.114074422328044</v>
      </c>
      <c r="L203">
        <v>1.06448672352629E-2</v>
      </c>
      <c r="M203">
        <v>-2.3419693629463199E-2</v>
      </c>
      <c r="N203">
        <v>1.3056416677096399E-3</v>
      </c>
      <c r="O203">
        <v>0.32945167793957703</v>
      </c>
      <c r="P203">
        <v>3.37070294069408E-2</v>
      </c>
      <c r="Q203">
        <v>0.20753948868262501</v>
      </c>
      <c r="R203">
        <v>0.164466849319894</v>
      </c>
      <c r="S203">
        <v>0.98427109627337594</v>
      </c>
      <c r="T203">
        <v>1.54815053142497E-2</v>
      </c>
      <c r="U203">
        <v>132</v>
      </c>
    </row>
    <row r="204" spans="1:21" x14ac:dyDescent="0.25">
      <c r="A204">
        <v>203</v>
      </c>
      <c r="B204">
        <v>401</v>
      </c>
      <c r="C204" t="s">
        <v>26</v>
      </c>
      <c r="D204">
        <v>10</v>
      </c>
      <c r="E204" t="s">
        <v>27</v>
      </c>
      <c r="F204" t="s">
        <v>28</v>
      </c>
      <c r="G204">
        <v>3942.02704769311</v>
      </c>
      <c r="H204">
        <v>31320314.438861299</v>
      </c>
      <c r="I204">
        <v>3942.02704769311</v>
      </c>
      <c r="J204">
        <v>31320314.438861299</v>
      </c>
      <c r="K204">
        <v>8.9461196709325702E-2</v>
      </c>
      <c r="L204">
        <v>1.5926600846335001E-2</v>
      </c>
      <c r="M204">
        <v>-2.83038357980697E-2</v>
      </c>
      <c r="N204">
        <v>1.1270791298742899E-3</v>
      </c>
      <c r="O204">
        <v>0.292390429830378</v>
      </c>
      <c r="P204">
        <v>3.2627747384703698E-2</v>
      </c>
      <c r="Q204">
        <v>0.16968636599274201</v>
      </c>
      <c r="R204">
        <v>0.140892903188822</v>
      </c>
      <c r="S204">
        <v>0.99304043545878695</v>
      </c>
      <c r="T204">
        <v>6.91112900260356E-3</v>
      </c>
      <c r="U204">
        <v>156</v>
      </c>
    </row>
    <row r="205" spans="1:21" x14ac:dyDescent="0.25">
      <c r="A205">
        <v>204</v>
      </c>
      <c r="B205">
        <v>402</v>
      </c>
      <c r="C205" t="s">
        <v>26</v>
      </c>
      <c r="D205">
        <v>10</v>
      </c>
      <c r="E205" t="s">
        <v>27</v>
      </c>
      <c r="F205" t="s">
        <v>28</v>
      </c>
      <c r="G205">
        <v>4678.8132170482304</v>
      </c>
      <c r="H205">
        <v>48040171.248296998</v>
      </c>
      <c r="I205">
        <v>4678.8132170482304</v>
      </c>
      <c r="J205">
        <v>48040171.248296998</v>
      </c>
      <c r="K205">
        <v>8.3747631450386398E-2</v>
      </c>
      <c r="L205">
        <v>1.5907311107091E-2</v>
      </c>
      <c r="M205">
        <v>-3.4420623196616498E-2</v>
      </c>
      <c r="N205">
        <v>9.42344029971523E-4</v>
      </c>
      <c r="O205">
        <v>0.29725519786201798</v>
      </c>
      <c r="P205">
        <v>3.99489676151751E-2</v>
      </c>
      <c r="Q205">
        <v>0.19222083787572</v>
      </c>
      <c r="R205">
        <v>0.155271987361946</v>
      </c>
      <c r="S205">
        <v>0.82475698545157194</v>
      </c>
      <c r="T205">
        <v>0.14453290040038999</v>
      </c>
      <c r="U205">
        <v>65</v>
      </c>
    </row>
    <row r="206" spans="1:21" x14ac:dyDescent="0.25">
      <c r="A206">
        <v>205</v>
      </c>
      <c r="B206">
        <v>403</v>
      </c>
      <c r="C206" t="s">
        <v>26</v>
      </c>
      <c r="D206">
        <v>10</v>
      </c>
      <c r="E206" t="s">
        <v>27</v>
      </c>
      <c r="F206" t="s">
        <v>28</v>
      </c>
      <c r="G206">
        <v>4350.5296101411104</v>
      </c>
      <c r="H206">
        <v>41643290.153069802</v>
      </c>
      <c r="I206">
        <v>4350.5296101411104</v>
      </c>
      <c r="J206">
        <v>41643290.153069802</v>
      </c>
      <c r="K206">
        <v>6.8891461606164398E-2</v>
      </c>
      <c r="L206">
        <v>1.51814216665823E-2</v>
      </c>
      <c r="M206">
        <v>-3.9364793640661901E-2</v>
      </c>
      <c r="N206">
        <v>1.0264978825470601E-3</v>
      </c>
      <c r="O206">
        <v>0.270641853081727</v>
      </c>
      <c r="P206">
        <v>3.6858528813776201E-2</v>
      </c>
      <c r="Q206">
        <v>0.16083472853384401</v>
      </c>
      <c r="R206">
        <v>0.134966918631127</v>
      </c>
      <c r="S206">
        <v>0.86057887812462597</v>
      </c>
      <c r="T206">
        <v>0.119982872650164</v>
      </c>
      <c r="U206">
        <v>44</v>
      </c>
    </row>
    <row r="207" spans="1:21" x14ac:dyDescent="0.25">
      <c r="A207">
        <v>206</v>
      </c>
      <c r="B207">
        <v>404</v>
      </c>
      <c r="C207" t="s">
        <v>26</v>
      </c>
      <c r="D207">
        <v>10</v>
      </c>
      <c r="E207" t="s">
        <v>27</v>
      </c>
      <c r="F207" t="s">
        <v>28</v>
      </c>
      <c r="G207">
        <v>4282.9804227492295</v>
      </c>
      <c r="H207">
        <v>32770850.243646901</v>
      </c>
      <c r="I207">
        <v>4282.9804227492295</v>
      </c>
      <c r="J207">
        <v>32770850.243646901</v>
      </c>
      <c r="K207">
        <v>6.7099559194916503E-2</v>
      </c>
      <c r="L207">
        <v>1.2420649338098401E-2</v>
      </c>
      <c r="M207">
        <v>-3.8912352451848702E-2</v>
      </c>
      <c r="N207">
        <v>1.26088572859999E-3</v>
      </c>
      <c r="O207">
        <v>0.26866883947194298</v>
      </c>
      <c r="P207">
        <v>2.9626528429210298E-2</v>
      </c>
      <c r="Q207">
        <v>0.148545612416563</v>
      </c>
      <c r="R207">
        <v>0.126479813448415</v>
      </c>
      <c r="S207">
        <v>0.95605454175429105</v>
      </c>
      <c r="T207">
        <v>4.2014254945311802E-2</v>
      </c>
      <c r="U207">
        <v>124</v>
      </c>
    </row>
    <row r="208" spans="1:21" x14ac:dyDescent="0.25">
      <c r="A208">
        <v>207</v>
      </c>
      <c r="B208">
        <v>405</v>
      </c>
      <c r="C208" t="s">
        <v>26</v>
      </c>
      <c r="D208">
        <v>10</v>
      </c>
      <c r="E208" t="s">
        <v>27</v>
      </c>
      <c r="F208" t="s">
        <v>28</v>
      </c>
      <c r="G208">
        <v>4941.2946453133</v>
      </c>
      <c r="H208">
        <v>43375719.4876443</v>
      </c>
      <c r="I208">
        <v>4941.2946453133</v>
      </c>
      <c r="J208">
        <v>43375719.4876443</v>
      </c>
      <c r="K208">
        <v>6.06018254376215E-2</v>
      </c>
      <c r="L208">
        <v>1.51541553700776E-2</v>
      </c>
      <c r="M208">
        <v>-3.7438273544135599E-2</v>
      </c>
      <c r="N208">
        <v>1.10701101195446E-3</v>
      </c>
      <c r="O208">
        <v>0.27269539422286598</v>
      </c>
      <c r="P208">
        <v>3.8131229337293598E-2</v>
      </c>
      <c r="Q208">
        <v>0.17065148488799101</v>
      </c>
      <c r="R208">
        <v>0.14152955559351299</v>
      </c>
      <c r="S208">
        <v>0.76132041621815605</v>
      </c>
      <c r="T208">
        <v>0.181711640067377</v>
      </c>
      <c r="U208">
        <v>53</v>
      </c>
    </row>
    <row r="209" spans="1:21" x14ac:dyDescent="0.25">
      <c r="A209">
        <v>208</v>
      </c>
      <c r="B209">
        <v>406</v>
      </c>
      <c r="C209" t="s">
        <v>26</v>
      </c>
      <c r="D209">
        <v>10</v>
      </c>
      <c r="E209" t="s">
        <v>27</v>
      </c>
      <c r="F209" t="s">
        <v>28</v>
      </c>
      <c r="G209">
        <v>5162.9635330702104</v>
      </c>
      <c r="H209">
        <v>48581699.7005843</v>
      </c>
      <c r="I209">
        <v>5162.9635330702104</v>
      </c>
      <c r="J209">
        <v>48581699.7005843</v>
      </c>
      <c r="K209">
        <v>7.9335704704081703E-2</v>
      </c>
      <c r="L209">
        <v>1.39244792112763E-2</v>
      </c>
      <c r="M209">
        <v>-3.4471182696526E-2</v>
      </c>
      <c r="N209">
        <v>1.1174877290884601E-3</v>
      </c>
      <c r="O209">
        <v>0.29277065732079599</v>
      </c>
      <c r="P209">
        <v>3.7065753612859603E-2</v>
      </c>
      <c r="Q209">
        <v>0.174931228321971</v>
      </c>
      <c r="R209">
        <v>0.14433029367980299</v>
      </c>
      <c r="S209">
        <v>0.85950917310498198</v>
      </c>
      <c r="T209">
        <v>0.120753154453403</v>
      </c>
      <c r="U209">
        <v>88</v>
      </c>
    </row>
    <row r="210" spans="1:21" x14ac:dyDescent="0.25">
      <c r="A210">
        <v>209</v>
      </c>
      <c r="B210">
        <v>407</v>
      </c>
      <c r="C210" t="s">
        <v>26</v>
      </c>
      <c r="D210">
        <v>10</v>
      </c>
      <c r="E210" t="s">
        <v>27</v>
      </c>
      <c r="F210" t="s">
        <v>28</v>
      </c>
      <c r="G210">
        <v>5196.4487832005498</v>
      </c>
      <c r="H210">
        <v>74301399.073059395</v>
      </c>
      <c r="I210">
        <v>5196.4487832005498</v>
      </c>
      <c r="J210">
        <v>74301399.073059395</v>
      </c>
      <c r="K210">
        <v>6.2894976853997406E-2</v>
      </c>
      <c r="L210">
        <v>1.2216677017696499E-2</v>
      </c>
      <c r="M210">
        <v>-3.8897975723088299E-2</v>
      </c>
      <c r="N210">
        <v>8.2736709323114998E-4</v>
      </c>
      <c r="O210">
        <v>0.27490436682312702</v>
      </c>
      <c r="P210">
        <v>3.68011894427583E-2</v>
      </c>
      <c r="Q210">
        <v>0.17199608303009101</v>
      </c>
      <c r="R210">
        <v>0.14241343045254501</v>
      </c>
      <c r="S210">
        <v>0.50527181272973498</v>
      </c>
      <c r="T210">
        <v>0.249972207990454</v>
      </c>
      <c r="U210">
        <v>28</v>
      </c>
    </row>
    <row r="211" spans="1:21" x14ac:dyDescent="0.25">
      <c r="A211">
        <v>210</v>
      </c>
      <c r="B211">
        <v>408</v>
      </c>
      <c r="C211" t="s">
        <v>26</v>
      </c>
      <c r="D211">
        <v>10</v>
      </c>
      <c r="E211" t="s">
        <v>27</v>
      </c>
      <c r="F211" t="s">
        <v>28</v>
      </c>
      <c r="G211">
        <v>4250.3964789321999</v>
      </c>
      <c r="H211">
        <v>60033195.417115502</v>
      </c>
      <c r="I211">
        <v>4250.3964789321999</v>
      </c>
      <c r="J211">
        <v>60033195.417115502</v>
      </c>
      <c r="K211">
        <v>6.23575591859633E-2</v>
      </c>
      <c r="L211">
        <v>8.7619509739896104E-3</v>
      </c>
      <c r="M211">
        <v>-3.9097587242695797E-2</v>
      </c>
      <c r="N211">
        <v>8.5926953697428705E-4</v>
      </c>
      <c r="O211">
        <v>0.26656383705771303</v>
      </c>
      <c r="P211">
        <v>2.80388965411013E-2</v>
      </c>
      <c r="Q211">
        <v>0.14199088636662599</v>
      </c>
      <c r="R211">
        <v>0.12182947455541999</v>
      </c>
      <c r="S211">
        <v>0.83251213853476502</v>
      </c>
      <c r="T211">
        <v>0.139435677726996</v>
      </c>
      <c r="U211">
        <v>73</v>
      </c>
    </row>
    <row r="212" spans="1:21" x14ac:dyDescent="0.25">
      <c r="A212">
        <v>211</v>
      </c>
      <c r="B212">
        <v>409</v>
      </c>
      <c r="C212" t="s">
        <v>26</v>
      </c>
      <c r="D212">
        <v>10</v>
      </c>
      <c r="E212" t="s">
        <v>27</v>
      </c>
      <c r="F212" t="s">
        <v>28</v>
      </c>
      <c r="G212">
        <v>4422.4376058417902</v>
      </c>
      <c r="H212">
        <v>56534315.587117203</v>
      </c>
      <c r="I212">
        <v>4422.4376058417902</v>
      </c>
      <c r="J212">
        <v>56534315.587117203</v>
      </c>
      <c r="K212">
        <v>8.6079278303651793E-2</v>
      </c>
      <c r="L212">
        <v>9.6994294343470608E-3</v>
      </c>
      <c r="M212">
        <v>-3.4081260285276402E-2</v>
      </c>
      <c r="N212">
        <v>1.2738530509743399E-3</v>
      </c>
      <c r="O212">
        <v>0.29572650980029902</v>
      </c>
      <c r="P212">
        <v>2.9294371113505999E-2</v>
      </c>
      <c r="Q212">
        <v>0.170728733420942</v>
      </c>
      <c r="R212">
        <v>0.14158043300544301</v>
      </c>
      <c r="S212">
        <v>0.96045197740112997</v>
      </c>
      <c r="T212">
        <v>3.7983976507422801E-2</v>
      </c>
      <c r="U212">
        <v>132</v>
      </c>
    </row>
    <row r="213" spans="1:21" x14ac:dyDescent="0.25">
      <c r="A213">
        <v>212</v>
      </c>
      <c r="B213">
        <v>301</v>
      </c>
      <c r="C213" t="s">
        <v>26</v>
      </c>
      <c r="D213">
        <v>10</v>
      </c>
      <c r="E213" t="s">
        <v>27</v>
      </c>
      <c r="F213" t="s">
        <v>28</v>
      </c>
      <c r="G213">
        <v>2745.77924921657</v>
      </c>
      <c r="H213">
        <v>3806835.3482822198</v>
      </c>
      <c r="I213">
        <v>2745.77924921657</v>
      </c>
      <c r="J213">
        <v>3806835.3482822198</v>
      </c>
      <c r="K213">
        <v>3.9104509726310202E-2</v>
      </c>
      <c r="L213">
        <v>9.0150384033873803E-3</v>
      </c>
      <c r="M213">
        <v>-4.4861009383090497E-2</v>
      </c>
      <c r="N213">
        <v>7.0587130828520602E-4</v>
      </c>
      <c r="O213">
        <v>0.22314690941720999</v>
      </c>
      <c r="P213">
        <v>1.4867558878059401E-2</v>
      </c>
      <c r="Q213">
        <v>6.8260191170493104E-2</v>
      </c>
      <c r="R213">
        <v>6.3600737471805197E-2</v>
      </c>
      <c r="S213">
        <v>0.93773931287699996</v>
      </c>
      <c r="T213">
        <v>5.8384293961876797E-2</v>
      </c>
      <c r="U213">
        <v>202</v>
      </c>
    </row>
    <row r="214" spans="1:21" x14ac:dyDescent="0.25">
      <c r="A214">
        <v>213</v>
      </c>
      <c r="B214">
        <v>302</v>
      </c>
      <c r="C214" t="s">
        <v>26</v>
      </c>
      <c r="D214">
        <v>10</v>
      </c>
      <c r="E214" t="s">
        <v>27</v>
      </c>
      <c r="F214" t="s">
        <v>28</v>
      </c>
      <c r="G214">
        <v>3002.31089320921</v>
      </c>
      <c r="H214">
        <v>6802706.4137972901</v>
      </c>
      <c r="I214">
        <v>3002.31089320921</v>
      </c>
      <c r="J214">
        <v>6802706.4137972901</v>
      </c>
      <c r="K214">
        <v>6.6467297082580798E-2</v>
      </c>
      <c r="L214">
        <v>1.6567006375339598E-2</v>
      </c>
      <c r="M214">
        <v>-3.8472770060811297E-2</v>
      </c>
      <c r="N214">
        <v>9.4032074851812197E-4</v>
      </c>
      <c r="O214">
        <v>0.257685730430951</v>
      </c>
      <c r="P214">
        <v>2.7229010088010701E-2</v>
      </c>
      <c r="Q214">
        <v>0.12727676298162899</v>
      </c>
      <c r="R214">
        <v>0.111077388586484</v>
      </c>
      <c r="S214">
        <v>0.99022142148415104</v>
      </c>
      <c r="T214">
        <v>9.6829579180581996E-3</v>
      </c>
      <c r="U214">
        <v>170</v>
      </c>
    </row>
    <row r="215" spans="1:21" x14ac:dyDescent="0.25">
      <c r="A215">
        <v>214</v>
      </c>
      <c r="B215">
        <v>303</v>
      </c>
      <c r="C215" t="s">
        <v>26</v>
      </c>
      <c r="D215">
        <v>10</v>
      </c>
      <c r="E215" t="s">
        <v>27</v>
      </c>
      <c r="F215" t="s">
        <v>28</v>
      </c>
      <c r="G215">
        <v>2790.5306775785298</v>
      </c>
      <c r="H215">
        <v>5212466.5728523601</v>
      </c>
      <c r="I215">
        <v>2790.5306775785298</v>
      </c>
      <c r="J215">
        <v>5212466.5728523601</v>
      </c>
      <c r="K215">
        <v>4.0458312656802303E-2</v>
      </c>
      <c r="L215">
        <v>1.3108152384325E-2</v>
      </c>
      <c r="M215">
        <v>-4.52371441221898E-2</v>
      </c>
      <c r="N215">
        <v>8.40123514823533E-4</v>
      </c>
      <c r="O215">
        <v>0.23025212855909799</v>
      </c>
      <c r="P215">
        <v>2.1308256067996498E-2</v>
      </c>
      <c r="Q215">
        <v>9.28390901432182E-2</v>
      </c>
      <c r="R215">
        <v>8.4219993484562605E-2</v>
      </c>
      <c r="S215">
        <v>0.97879407870983304</v>
      </c>
      <c r="T215">
        <v>2.0756230192491398E-2</v>
      </c>
      <c r="U215">
        <v>184</v>
      </c>
    </row>
    <row r="216" spans="1:21" x14ac:dyDescent="0.25">
      <c r="A216">
        <v>215</v>
      </c>
      <c r="B216">
        <v>304</v>
      </c>
      <c r="C216" t="s">
        <v>26</v>
      </c>
      <c r="D216">
        <v>10</v>
      </c>
      <c r="E216" t="s">
        <v>27</v>
      </c>
      <c r="F216" t="s">
        <v>28</v>
      </c>
      <c r="G216">
        <v>3240.8356545961001</v>
      </c>
      <c r="H216">
        <v>7643650.5413792999</v>
      </c>
      <c r="I216">
        <v>3240.8356545961001</v>
      </c>
      <c r="J216">
        <v>7643650.5413792999</v>
      </c>
      <c r="K216">
        <v>6.4734861193264201E-2</v>
      </c>
      <c r="L216">
        <v>2.1165349003068601E-2</v>
      </c>
      <c r="M216">
        <v>-4.1065494940296897E-2</v>
      </c>
      <c r="N216">
        <v>1.45599838537025E-3</v>
      </c>
      <c r="O216">
        <v>0.26195777780131801</v>
      </c>
      <c r="P216">
        <v>3.2437105391381102E-2</v>
      </c>
      <c r="Q216">
        <v>0.152758234500187</v>
      </c>
      <c r="R216">
        <v>0.129423156292439</v>
      </c>
      <c r="S216">
        <v>0.98215285654802098</v>
      </c>
      <c r="T216">
        <v>1.75286229225785E-2</v>
      </c>
      <c r="U216">
        <v>258</v>
      </c>
    </row>
    <row r="217" spans="1:21" x14ac:dyDescent="0.25">
      <c r="A217">
        <v>216</v>
      </c>
      <c r="B217">
        <v>305</v>
      </c>
      <c r="C217" t="s">
        <v>26</v>
      </c>
      <c r="D217">
        <v>10</v>
      </c>
      <c r="E217" t="s">
        <v>27</v>
      </c>
      <c r="F217" t="s">
        <v>28</v>
      </c>
      <c r="G217">
        <v>3142.5471951146501</v>
      </c>
      <c r="H217">
        <v>8862148.0147125293</v>
      </c>
      <c r="I217">
        <v>3142.5471951146501</v>
      </c>
      <c r="J217">
        <v>8862148.0147125293</v>
      </c>
      <c r="K217">
        <v>6.2745063769547194E-2</v>
      </c>
      <c r="L217">
        <v>1.8023052947197402E-2</v>
      </c>
      <c r="M217">
        <v>-3.79436421682409E-2</v>
      </c>
      <c r="N217">
        <v>1.1464325922426199E-3</v>
      </c>
      <c r="O217">
        <v>0.25955768012708902</v>
      </c>
      <c r="P217">
        <v>3.1562263226588498E-2</v>
      </c>
      <c r="Q217">
        <v>0.140813027599832</v>
      </c>
      <c r="R217">
        <v>0.12098471885800199</v>
      </c>
      <c r="S217">
        <v>0.98711732097745497</v>
      </c>
      <c r="T217">
        <v>1.27167156037435E-2</v>
      </c>
      <c r="U217">
        <v>242</v>
      </c>
    </row>
    <row r="218" spans="1:21" x14ac:dyDescent="0.25">
      <c r="A218">
        <v>217</v>
      </c>
      <c r="B218">
        <v>306</v>
      </c>
      <c r="C218" t="s">
        <v>26</v>
      </c>
      <c r="D218">
        <v>10</v>
      </c>
      <c r="E218" t="s">
        <v>27</v>
      </c>
      <c r="F218" t="s">
        <v>28</v>
      </c>
      <c r="G218">
        <v>2911.4496657138402</v>
      </c>
      <c r="H218">
        <v>10004029.4530495</v>
      </c>
      <c r="I218">
        <v>2911.4496657138402</v>
      </c>
      <c r="J218">
        <v>10004029.4530495</v>
      </c>
      <c r="K218">
        <v>5.3636604514910702E-2</v>
      </c>
      <c r="L218">
        <v>1.3812345466054501E-2</v>
      </c>
      <c r="M218">
        <v>-4.2889621041338102E-2</v>
      </c>
      <c r="N218">
        <v>9.3275363611736801E-4</v>
      </c>
      <c r="O218">
        <v>0.24613547690766199</v>
      </c>
      <c r="P218">
        <v>2.6537691102144802E-2</v>
      </c>
      <c r="Q218">
        <v>0.119446005908314</v>
      </c>
      <c r="R218">
        <v>0.105178657580972</v>
      </c>
      <c r="S218">
        <v>0.98207152254514996</v>
      </c>
      <c r="T218">
        <v>1.76070471509178E-2</v>
      </c>
      <c r="U218">
        <v>282</v>
      </c>
    </row>
    <row r="219" spans="1:21" x14ac:dyDescent="0.25">
      <c r="A219">
        <v>218</v>
      </c>
      <c r="B219">
        <v>307</v>
      </c>
      <c r="C219" t="s">
        <v>26</v>
      </c>
      <c r="D219">
        <v>10</v>
      </c>
      <c r="E219" t="s">
        <v>27</v>
      </c>
      <c r="F219" t="s">
        <v>28</v>
      </c>
      <c r="G219">
        <v>2210.0610413364202</v>
      </c>
      <c r="H219">
        <v>10710838.6953838</v>
      </c>
      <c r="I219">
        <v>2210.0610413364202</v>
      </c>
      <c r="J219">
        <v>10710838.6953838</v>
      </c>
      <c r="K219">
        <v>3.3997599046442499E-2</v>
      </c>
      <c r="L219">
        <v>8.6022768901134194E-3</v>
      </c>
      <c r="M219">
        <v>-4.6345900926481602E-2</v>
      </c>
      <c r="N219">
        <v>6.4482946198237995E-4</v>
      </c>
      <c r="O219">
        <v>0.21111639661324</v>
      </c>
      <c r="P219">
        <v>1.8202397716765201E-2</v>
      </c>
      <c r="Q219">
        <v>7.78685526155347E-2</v>
      </c>
      <c r="R219">
        <v>7.1805041129001296E-2</v>
      </c>
      <c r="S219">
        <v>0.98097723365078604</v>
      </c>
      <c r="T219">
        <v>1.8660900709685999E-2</v>
      </c>
      <c r="U219">
        <v>164</v>
      </c>
    </row>
    <row r="220" spans="1:21" x14ac:dyDescent="0.25">
      <c r="A220">
        <v>219</v>
      </c>
      <c r="B220">
        <v>308</v>
      </c>
      <c r="C220" t="s">
        <v>26</v>
      </c>
      <c r="D220">
        <v>10</v>
      </c>
      <c r="E220" t="s">
        <v>27</v>
      </c>
      <c r="F220" t="s">
        <v>28</v>
      </c>
      <c r="G220">
        <v>2339.5546890884998</v>
      </c>
      <c r="H220">
        <v>19260780.5412363</v>
      </c>
      <c r="I220">
        <v>2339.5546890884998</v>
      </c>
      <c r="J220">
        <v>19260780.5412363</v>
      </c>
      <c r="K220">
        <v>5.5250634638732803E-2</v>
      </c>
      <c r="L220">
        <v>8.4474832047765104E-3</v>
      </c>
      <c r="M220">
        <v>-3.8744886579372501E-2</v>
      </c>
      <c r="N220">
        <v>8.6985413783301701E-4</v>
      </c>
      <c r="O220">
        <v>0.236317702321373</v>
      </c>
      <c r="P220">
        <v>2.02656938172785E-2</v>
      </c>
      <c r="Q220">
        <v>9.3578442512169693E-2</v>
      </c>
      <c r="R220">
        <v>8.4821517609115604E-2</v>
      </c>
      <c r="S220">
        <v>0.91127190097470501</v>
      </c>
      <c r="T220">
        <v>8.0855423468467705E-2</v>
      </c>
      <c r="U220">
        <v>114</v>
      </c>
    </row>
    <row r="221" spans="1:21" x14ac:dyDescent="0.25">
      <c r="A221">
        <v>220</v>
      </c>
      <c r="B221">
        <v>309</v>
      </c>
      <c r="C221" t="s">
        <v>26</v>
      </c>
      <c r="D221">
        <v>10</v>
      </c>
      <c r="E221" t="s">
        <v>27</v>
      </c>
      <c r="F221" t="s">
        <v>28</v>
      </c>
      <c r="G221">
        <v>2521.1275876065502</v>
      </c>
      <c r="H221">
        <v>17592177.813297998</v>
      </c>
      <c r="I221">
        <v>2521.1275876065502</v>
      </c>
      <c r="J221">
        <v>17592177.813297998</v>
      </c>
      <c r="K221">
        <v>7.7045291709375394E-2</v>
      </c>
      <c r="L221">
        <v>1.11619394775548E-2</v>
      </c>
      <c r="M221">
        <v>-3.4779605996775001E-2</v>
      </c>
      <c r="N221">
        <v>9.4685357484785497E-4</v>
      </c>
      <c r="O221">
        <v>0.26448888575559698</v>
      </c>
      <c r="P221">
        <v>2.3794474463761098E-2</v>
      </c>
      <c r="Q221">
        <v>0.123826275199567</v>
      </c>
      <c r="R221">
        <v>0.108493328769854</v>
      </c>
      <c r="S221">
        <v>0.96766556179395202</v>
      </c>
      <c r="T221">
        <v>3.1288922311892099E-2</v>
      </c>
      <c r="U221">
        <v>169</v>
      </c>
    </row>
    <row r="222" spans="1:21" x14ac:dyDescent="0.25">
      <c r="A222">
        <v>221</v>
      </c>
      <c r="B222">
        <v>201</v>
      </c>
      <c r="C222" t="s">
        <v>26</v>
      </c>
      <c r="D222">
        <v>10</v>
      </c>
      <c r="E222" t="s">
        <v>27</v>
      </c>
      <c r="F222" t="s">
        <v>28</v>
      </c>
      <c r="G222">
        <v>3014.5024427906001</v>
      </c>
      <c r="H222">
        <v>6563235.4765533004</v>
      </c>
      <c r="I222">
        <v>3014.5024427906001</v>
      </c>
      <c r="J222">
        <v>6563235.4765533004</v>
      </c>
      <c r="K222">
        <v>4.2069370531333798E-2</v>
      </c>
      <c r="L222">
        <v>1.26470544601052E-2</v>
      </c>
      <c r="M222">
        <v>-4.6369276386438597E-2</v>
      </c>
      <c r="N222">
        <v>7.3787442266100398E-4</v>
      </c>
      <c r="O222">
        <v>0.22959104911366701</v>
      </c>
      <c r="P222">
        <v>2.10833321897551E-2</v>
      </c>
      <c r="Q222">
        <v>9.4572701498582407E-2</v>
      </c>
      <c r="R222">
        <v>8.5628705629762006E-2</v>
      </c>
      <c r="S222">
        <v>0.99212708056452104</v>
      </c>
      <c r="T222">
        <v>7.8109365750289404E-3</v>
      </c>
      <c r="U222">
        <v>219</v>
      </c>
    </row>
    <row r="223" spans="1:21" x14ac:dyDescent="0.25">
      <c r="A223">
        <v>222</v>
      </c>
      <c r="B223">
        <v>202</v>
      </c>
      <c r="C223" t="s">
        <v>26</v>
      </c>
      <c r="D223">
        <v>10</v>
      </c>
      <c r="E223" t="s">
        <v>27</v>
      </c>
      <c r="F223" t="s">
        <v>28</v>
      </c>
      <c r="G223">
        <v>2786.59758395071</v>
      </c>
      <c r="H223">
        <v>5122721.7510046801</v>
      </c>
      <c r="I223">
        <v>2786.59758395071</v>
      </c>
      <c r="J223">
        <v>5122721.7510046801</v>
      </c>
      <c r="K223">
        <v>3.7678580337558602E-2</v>
      </c>
      <c r="L223">
        <v>1.2389797083930801E-2</v>
      </c>
      <c r="M223">
        <v>-4.6457433578312397E-2</v>
      </c>
      <c r="N223">
        <v>7.3771957242016299E-4</v>
      </c>
      <c r="O223">
        <v>0.230457189603301</v>
      </c>
      <c r="P223">
        <v>1.9731949391016902E-2</v>
      </c>
      <c r="Q223">
        <v>9.1562921662975097E-2</v>
      </c>
      <c r="R223">
        <v>8.3179153039476095E-2</v>
      </c>
      <c r="S223">
        <v>0.990911289603992</v>
      </c>
      <c r="T223">
        <v>9.0061057393380998E-3</v>
      </c>
      <c r="U223">
        <v>228</v>
      </c>
    </row>
    <row r="224" spans="1:21" x14ac:dyDescent="0.25">
      <c r="A224">
        <v>223</v>
      </c>
      <c r="B224">
        <v>203</v>
      </c>
      <c r="C224" t="s">
        <v>26</v>
      </c>
      <c r="D224">
        <v>10</v>
      </c>
      <c r="E224" t="s">
        <v>27</v>
      </c>
      <c r="F224" t="s">
        <v>28</v>
      </c>
      <c r="G224">
        <v>3010.6474978471001</v>
      </c>
      <c r="H224">
        <v>8673453.9709725492</v>
      </c>
      <c r="I224">
        <v>3010.6474978471001</v>
      </c>
      <c r="J224">
        <v>8673453.9709725492</v>
      </c>
      <c r="K224">
        <v>6.0754009850714899E-2</v>
      </c>
      <c r="L224">
        <v>1.9307314629990299E-2</v>
      </c>
      <c r="M224">
        <v>-4.1144745449643798E-2</v>
      </c>
      <c r="N224">
        <v>1.0588702772029899E-3</v>
      </c>
      <c r="O224">
        <v>0.26016958166545101</v>
      </c>
      <c r="P224">
        <v>2.9804743776491002E-2</v>
      </c>
      <c r="Q224">
        <v>0.146002774854081</v>
      </c>
      <c r="R224">
        <v>0.12468596458919801</v>
      </c>
      <c r="S224">
        <v>0.996555765505035</v>
      </c>
      <c r="T224">
        <v>3.4323717437032401E-3</v>
      </c>
      <c r="U224">
        <v>202</v>
      </c>
    </row>
    <row r="225" spans="1:21" x14ac:dyDescent="0.25">
      <c r="A225">
        <v>224</v>
      </c>
      <c r="B225">
        <v>204</v>
      </c>
      <c r="C225" t="s">
        <v>26</v>
      </c>
      <c r="D225">
        <v>10</v>
      </c>
      <c r="E225" t="s">
        <v>27</v>
      </c>
      <c r="F225" t="s">
        <v>28</v>
      </c>
      <c r="G225">
        <v>3300.7066354697899</v>
      </c>
      <c r="H225">
        <v>9465383.8773685098</v>
      </c>
      <c r="I225">
        <v>3300.7066354697899</v>
      </c>
      <c r="J225">
        <v>9465383.8773685098</v>
      </c>
      <c r="K225">
        <v>8.9326220412143595E-2</v>
      </c>
      <c r="L225">
        <v>2.88028775867952E-2</v>
      </c>
      <c r="M225">
        <v>-3.5577195299739302E-2</v>
      </c>
      <c r="N225">
        <v>1.6742894449283501E-3</v>
      </c>
      <c r="O225">
        <v>0.299186718459726</v>
      </c>
      <c r="P225">
        <v>4.1306435936079598E-2</v>
      </c>
      <c r="Q225">
        <v>0.213812503286188</v>
      </c>
      <c r="R225">
        <v>0.168096716724835</v>
      </c>
      <c r="S225">
        <v>0.995649773945957</v>
      </c>
      <c r="T225">
        <v>4.3313015873035002E-3</v>
      </c>
      <c r="U225">
        <v>193</v>
      </c>
    </row>
    <row r="226" spans="1:21" x14ac:dyDescent="0.25">
      <c r="A226">
        <v>225</v>
      </c>
      <c r="B226">
        <v>205</v>
      </c>
      <c r="C226" t="s">
        <v>26</v>
      </c>
      <c r="D226">
        <v>10</v>
      </c>
      <c r="E226" t="s">
        <v>27</v>
      </c>
      <c r="F226" t="s">
        <v>28</v>
      </c>
      <c r="G226">
        <v>2921.6881523942998</v>
      </c>
      <c r="H226">
        <v>6551767.7529600896</v>
      </c>
      <c r="I226">
        <v>2921.6881523942998</v>
      </c>
      <c r="J226">
        <v>6551767.7529600896</v>
      </c>
      <c r="K226">
        <v>5.1740982857927401E-2</v>
      </c>
      <c r="L226">
        <v>2.0332816723741601E-2</v>
      </c>
      <c r="M226">
        <v>-4.1098024276857402E-2</v>
      </c>
      <c r="N226">
        <v>1.26453103211879E-3</v>
      </c>
      <c r="O226">
        <v>0.25120015821736902</v>
      </c>
      <c r="P226">
        <v>3.0726286007350102E-2</v>
      </c>
      <c r="Q226">
        <v>0.133269919146912</v>
      </c>
      <c r="R226">
        <v>0.115509047797454</v>
      </c>
      <c r="S226">
        <v>0.95656962627349895</v>
      </c>
      <c r="T226">
        <v>4.1544176364624603E-2</v>
      </c>
      <c r="U226">
        <v>210</v>
      </c>
    </row>
    <row r="227" spans="1:21" x14ac:dyDescent="0.25">
      <c r="A227">
        <v>226</v>
      </c>
      <c r="B227">
        <v>206</v>
      </c>
      <c r="C227" t="s">
        <v>26</v>
      </c>
      <c r="D227">
        <v>10</v>
      </c>
      <c r="E227" t="s">
        <v>27</v>
      </c>
      <c r="F227" t="s">
        <v>28</v>
      </c>
      <c r="G227">
        <v>3934.5640666857998</v>
      </c>
      <c r="H227">
        <v>13473403.8625955</v>
      </c>
      <c r="I227">
        <v>3934.5640666857998</v>
      </c>
      <c r="J227">
        <v>13473403.8625955</v>
      </c>
      <c r="K227">
        <v>8.3713136298121396E-2</v>
      </c>
      <c r="L227">
        <v>2.4309705908563101E-2</v>
      </c>
      <c r="M227">
        <v>-3.6695828855307797E-2</v>
      </c>
      <c r="N227">
        <v>1.4030479464787399E-3</v>
      </c>
      <c r="O227">
        <v>0.29754725326100101</v>
      </c>
      <c r="P227">
        <v>4.1348804687536503E-2</v>
      </c>
      <c r="Q227">
        <v>0.20490097588978201</v>
      </c>
      <c r="R227">
        <v>0.16291656596892801</v>
      </c>
      <c r="S227">
        <v>0.99094573420885801</v>
      </c>
      <c r="T227">
        <v>8.9722860621030392E-3</v>
      </c>
      <c r="U227">
        <v>264</v>
      </c>
    </row>
    <row r="228" spans="1:21" x14ac:dyDescent="0.25">
      <c r="A228">
        <v>227</v>
      </c>
      <c r="B228">
        <v>207</v>
      </c>
      <c r="C228" t="s">
        <v>26</v>
      </c>
      <c r="D228">
        <v>10</v>
      </c>
      <c r="E228" t="s">
        <v>27</v>
      </c>
      <c r="F228" t="s">
        <v>28</v>
      </c>
      <c r="G228">
        <v>2631.6167854707701</v>
      </c>
      <c r="H228">
        <v>9786670.1351028606</v>
      </c>
      <c r="I228">
        <v>2631.6167854707701</v>
      </c>
      <c r="J228">
        <v>9786670.1351028606</v>
      </c>
      <c r="K228">
        <v>5.4304861258120403E-2</v>
      </c>
      <c r="L228">
        <v>1.51408667220021E-2</v>
      </c>
      <c r="M228">
        <v>-4.1464120348619897E-2</v>
      </c>
      <c r="N228">
        <v>9.9190928446683401E-4</v>
      </c>
      <c r="O228">
        <v>0.24419159452692801</v>
      </c>
      <c r="P228">
        <v>2.5843781137901901E-2</v>
      </c>
      <c r="Q228">
        <v>0.112651087832393</v>
      </c>
      <c r="R228">
        <v>9.9960820242663798E-2</v>
      </c>
      <c r="S228">
        <v>0.93638358270010302</v>
      </c>
      <c r="T228">
        <v>5.9569368749837502E-2</v>
      </c>
      <c r="U228">
        <v>236</v>
      </c>
    </row>
    <row r="229" spans="1:21" x14ac:dyDescent="0.25">
      <c r="A229">
        <v>228</v>
      </c>
      <c r="B229">
        <v>208</v>
      </c>
      <c r="C229" t="s">
        <v>26</v>
      </c>
      <c r="D229">
        <v>10</v>
      </c>
      <c r="E229" t="s">
        <v>27</v>
      </c>
      <c r="F229" t="s">
        <v>28</v>
      </c>
      <c r="G229">
        <v>2417.5045446934701</v>
      </c>
      <c r="H229">
        <v>18519711.120264102</v>
      </c>
      <c r="I229">
        <v>2417.5045446934701</v>
      </c>
      <c r="J229">
        <v>18519711.120264102</v>
      </c>
      <c r="K229">
        <v>5.0824112510941599E-2</v>
      </c>
      <c r="L229">
        <v>7.9263720848899901E-3</v>
      </c>
      <c r="M229">
        <v>-3.6735531435902302E-2</v>
      </c>
      <c r="N229">
        <v>8.48820166433067E-4</v>
      </c>
      <c r="O229">
        <v>0.24101784631473</v>
      </c>
      <c r="P229">
        <v>1.9166663243963999E-2</v>
      </c>
      <c r="Q229">
        <v>9.0630755615088404E-2</v>
      </c>
      <c r="R229">
        <v>8.24168217518646E-2</v>
      </c>
      <c r="S229">
        <v>0.84765891287448403</v>
      </c>
      <c r="T229">
        <v>0.129133280299389</v>
      </c>
      <c r="U229">
        <v>128</v>
      </c>
    </row>
    <row r="230" spans="1:21" x14ac:dyDescent="0.25">
      <c r="A230">
        <v>229</v>
      </c>
      <c r="B230">
        <v>209</v>
      </c>
      <c r="C230" t="s">
        <v>26</v>
      </c>
      <c r="D230">
        <v>10</v>
      </c>
      <c r="E230" t="s">
        <v>27</v>
      </c>
      <c r="F230" t="s">
        <v>28</v>
      </c>
      <c r="G230">
        <v>2687.43392666721</v>
      </c>
      <c r="H230">
        <v>21233806.934693899</v>
      </c>
      <c r="I230">
        <v>2687.43392666721</v>
      </c>
      <c r="J230">
        <v>21233806.934693899</v>
      </c>
      <c r="K230">
        <v>7.4497449585404593E-2</v>
      </c>
      <c r="L230">
        <v>8.8286252879384904E-3</v>
      </c>
      <c r="M230">
        <v>-3.2983436159016798E-2</v>
      </c>
      <c r="N230">
        <v>8.0583185762265097E-4</v>
      </c>
      <c r="O230">
        <v>0.27176593411567701</v>
      </c>
      <c r="P230">
        <v>2.1247222728305301E-2</v>
      </c>
      <c r="Q230">
        <v>0.118489049298663</v>
      </c>
      <c r="R230">
        <v>0.104449394495086</v>
      </c>
      <c r="S230">
        <v>0.98610959203762405</v>
      </c>
      <c r="T230">
        <v>1.3697464529028799E-2</v>
      </c>
      <c r="U230">
        <v>160</v>
      </c>
    </row>
    <row r="231" spans="1:21" x14ac:dyDescent="0.25">
      <c r="A231">
        <v>230</v>
      </c>
      <c r="B231">
        <v>101</v>
      </c>
      <c r="C231" t="s">
        <v>26</v>
      </c>
      <c r="D231">
        <v>10</v>
      </c>
      <c r="E231" t="s">
        <v>27</v>
      </c>
      <c r="F231" t="s">
        <v>28</v>
      </c>
      <c r="G231">
        <v>3727.6227800566899</v>
      </c>
      <c r="H231">
        <v>10385934.229830399</v>
      </c>
      <c r="I231">
        <v>3727.6227800566899</v>
      </c>
      <c r="J231">
        <v>10385934.229830399</v>
      </c>
      <c r="K231">
        <v>8.7768869103998004E-2</v>
      </c>
      <c r="L231">
        <v>2.5517994005960401E-2</v>
      </c>
      <c r="M231">
        <v>-3.5806273159672698E-2</v>
      </c>
      <c r="N231">
        <v>1.3779096202565001E-3</v>
      </c>
      <c r="O231">
        <v>0.28588115102895101</v>
      </c>
      <c r="P231">
        <v>3.9320507931400801E-2</v>
      </c>
      <c r="Q231">
        <v>0.18005907889544001</v>
      </c>
      <c r="R231">
        <v>0.14763780700281501</v>
      </c>
      <c r="S231">
        <v>0.99944983973592305</v>
      </c>
      <c r="T231">
        <v>5.49857587764079E-4</v>
      </c>
      <c r="U231">
        <v>324</v>
      </c>
    </row>
    <row r="232" spans="1:21" x14ac:dyDescent="0.25">
      <c r="A232">
        <v>231</v>
      </c>
      <c r="B232">
        <v>102</v>
      </c>
      <c r="C232" t="s">
        <v>26</v>
      </c>
      <c r="D232">
        <v>10</v>
      </c>
      <c r="E232" t="s">
        <v>27</v>
      </c>
      <c r="F232" t="s">
        <v>28</v>
      </c>
      <c r="G232">
        <v>2641.8665450445301</v>
      </c>
      <c r="H232">
        <v>4326537.4663091898</v>
      </c>
      <c r="I232">
        <v>2641.8665450445301</v>
      </c>
      <c r="J232">
        <v>4326537.4663091898</v>
      </c>
      <c r="K232">
        <v>2.3898839954073901E-2</v>
      </c>
      <c r="L232">
        <v>1.0942162216120399E-2</v>
      </c>
      <c r="M232">
        <v>-4.9200399759944599E-2</v>
      </c>
      <c r="N232">
        <v>7.0105486596213804E-4</v>
      </c>
      <c r="O232">
        <v>0.213097661384899</v>
      </c>
      <c r="P232">
        <v>1.7865998621087901E-2</v>
      </c>
      <c r="Q232">
        <v>7.4392206048167403E-2</v>
      </c>
      <c r="R232">
        <v>6.8858005727410701E-2</v>
      </c>
      <c r="S232">
        <v>0.99003027654264697</v>
      </c>
      <c r="T232">
        <v>9.8703280715374993E-3</v>
      </c>
      <c r="U232">
        <v>213</v>
      </c>
    </row>
    <row r="233" spans="1:21" x14ac:dyDescent="0.25">
      <c r="A233">
        <v>232</v>
      </c>
      <c r="B233">
        <v>103</v>
      </c>
      <c r="C233" t="s">
        <v>26</v>
      </c>
      <c r="D233">
        <v>10</v>
      </c>
      <c r="E233" t="s">
        <v>27</v>
      </c>
      <c r="F233" t="s">
        <v>28</v>
      </c>
      <c r="G233">
        <v>3144.02432665168</v>
      </c>
      <c r="H233">
        <v>8069572.2234668201</v>
      </c>
      <c r="I233">
        <v>3144.02432665168</v>
      </c>
      <c r="J233">
        <v>8069572.2234668201</v>
      </c>
      <c r="K233">
        <v>4.8404230103949002E-2</v>
      </c>
      <c r="L233">
        <v>2.0384710113268999E-2</v>
      </c>
      <c r="M233">
        <v>-4.4278827955967701E-2</v>
      </c>
      <c r="N233">
        <v>1.0672241348570299E-3</v>
      </c>
      <c r="O233">
        <v>0.24670516936947801</v>
      </c>
      <c r="P233">
        <v>3.0693246384611701E-2</v>
      </c>
      <c r="Q233">
        <v>0.13097402286753099</v>
      </c>
      <c r="R233">
        <v>0.113819828201552</v>
      </c>
      <c r="S233">
        <v>0.97311519326444695</v>
      </c>
      <c r="T233">
        <v>2.6162013902302501E-2</v>
      </c>
      <c r="U233">
        <v>202</v>
      </c>
    </row>
    <row r="234" spans="1:21" x14ac:dyDescent="0.25">
      <c r="A234">
        <v>233</v>
      </c>
      <c r="B234">
        <v>104</v>
      </c>
      <c r="C234" t="s">
        <v>26</v>
      </c>
      <c r="D234">
        <v>10</v>
      </c>
      <c r="E234" t="s">
        <v>27</v>
      </c>
      <c r="F234" t="s">
        <v>28</v>
      </c>
      <c r="G234">
        <v>3628.7134064342599</v>
      </c>
      <c r="H234">
        <v>9354415.3170313891</v>
      </c>
      <c r="I234">
        <v>3628.7134064342599</v>
      </c>
      <c r="J234">
        <v>9354415.3170313891</v>
      </c>
      <c r="K234">
        <v>8.3061486060103301E-2</v>
      </c>
      <c r="L234">
        <v>2.6234409509400002E-2</v>
      </c>
      <c r="M234">
        <v>-3.5799358138938898E-2</v>
      </c>
      <c r="N234">
        <v>1.5394204333814001E-3</v>
      </c>
      <c r="O234">
        <v>0.28833520654192002</v>
      </c>
      <c r="P234">
        <v>3.8255439138466601E-2</v>
      </c>
      <c r="Q234">
        <v>0.19007965242577801</v>
      </c>
      <c r="R234">
        <v>0.15394937815954399</v>
      </c>
      <c r="S234">
        <v>0.95297692158510605</v>
      </c>
      <c r="T234">
        <v>4.4811908511271002E-2</v>
      </c>
      <c r="U234">
        <v>176</v>
      </c>
    </row>
    <row r="235" spans="1:21" x14ac:dyDescent="0.25">
      <c r="A235">
        <v>234</v>
      </c>
      <c r="B235">
        <v>105</v>
      </c>
      <c r="C235" t="s">
        <v>26</v>
      </c>
      <c r="D235">
        <v>10</v>
      </c>
      <c r="E235" t="s">
        <v>27</v>
      </c>
      <c r="F235" t="s">
        <v>28</v>
      </c>
      <c r="G235">
        <v>3125.9431210016701</v>
      </c>
      <c r="H235">
        <v>5939901.5202755304</v>
      </c>
      <c r="I235">
        <v>3125.9431210016701</v>
      </c>
      <c r="J235">
        <v>5939901.5202755304</v>
      </c>
      <c r="K235">
        <v>3.1946240463295902E-2</v>
      </c>
      <c r="L235">
        <v>1.44711286916826E-2</v>
      </c>
      <c r="M235">
        <v>-4.6169009740028001E-2</v>
      </c>
      <c r="N235">
        <v>8.97270267580182E-4</v>
      </c>
      <c r="O235">
        <v>0.23067755359584399</v>
      </c>
      <c r="P235">
        <v>2.4078162500553401E-2</v>
      </c>
      <c r="Q235">
        <v>0.10198391954795499</v>
      </c>
      <c r="R235">
        <v>9.1583199701556803E-2</v>
      </c>
      <c r="S235">
        <v>0.89240057260222805</v>
      </c>
      <c r="T235">
        <v>9.6021790621657901E-2</v>
      </c>
      <c r="U235">
        <v>191</v>
      </c>
    </row>
    <row r="236" spans="1:21" x14ac:dyDescent="0.25">
      <c r="A236">
        <v>235</v>
      </c>
      <c r="B236">
        <v>106</v>
      </c>
      <c r="C236" t="s">
        <v>26</v>
      </c>
      <c r="D236">
        <v>10</v>
      </c>
      <c r="E236" t="s">
        <v>27</v>
      </c>
      <c r="F236" t="s">
        <v>28</v>
      </c>
      <c r="G236">
        <v>3160.0736780413099</v>
      </c>
      <c r="H236">
        <v>7036398.5473243203</v>
      </c>
      <c r="I236">
        <v>3160.0736780413099</v>
      </c>
      <c r="J236">
        <v>7036398.5473243203</v>
      </c>
      <c r="K236">
        <v>7.6543956024378704E-2</v>
      </c>
      <c r="L236">
        <v>2.5220182015069401E-2</v>
      </c>
      <c r="M236">
        <v>-3.2938208583243797E-2</v>
      </c>
      <c r="N236">
        <v>1.5176811116503399E-3</v>
      </c>
      <c r="O236">
        <v>0.28365462655018098</v>
      </c>
      <c r="P236">
        <v>3.8531178123596202E-2</v>
      </c>
      <c r="Q236">
        <v>0.175714952097312</v>
      </c>
      <c r="R236">
        <v>0.144839207706879</v>
      </c>
      <c r="S236">
        <v>0.85578970028942503</v>
      </c>
      <c r="T236">
        <v>0.12341368916800299</v>
      </c>
      <c r="U236">
        <v>207</v>
      </c>
    </row>
    <row r="237" spans="1:21" x14ac:dyDescent="0.25">
      <c r="A237">
        <v>236</v>
      </c>
      <c r="B237">
        <v>107</v>
      </c>
      <c r="C237" t="s">
        <v>26</v>
      </c>
      <c r="D237">
        <v>10</v>
      </c>
      <c r="E237" t="s">
        <v>27</v>
      </c>
      <c r="F237" t="s">
        <v>28</v>
      </c>
      <c r="G237">
        <v>2284.6990731328101</v>
      </c>
      <c r="H237">
        <v>4771408.7666336801</v>
      </c>
      <c r="I237">
        <v>2284.6990731328101</v>
      </c>
      <c r="J237">
        <v>4771408.7666336801</v>
      </c>
      <c r="K237">
        <v>2.86195001808629E-2</v>
      </c>
      <c r="L237">
        <v>7.2432411531680903E-3</v>
      </c>
      <c r="M237">
        <v>-4.3182713216261798E-2</v>
      </c>
      <c r="N237">
        <v>6.2420640620982596E-4</v>
      </c>
      <c r="O237">
        <v>0.218035011664893</v>
      </c>
      <c r="P237">
        <v>1.2438285896121899E-2</v>
      </c>
      <c r="Q237">
        <v>5.5492435567780898E-2</v>
      </c>
      <c r="R237">
        <v>5.2413025162580201E-2</v>
      </c>
      <c r="S237">
        <v>0.93159990910286905</v>
      </c>
      <c r="T237">
        <v>6.3721518462082904E-2</v>
      </c>
      <c r="U237">
        <v>222</v>
      </c>
    </row>
    <row r="238" spans="1:21" x14ac:dyDescent="0.25">
      <c r="A238">
        <v>237</v>
      </c>
      <c r="B238">
        <v>108</v>
      </c>
      <c r="C238" t="s">
        <v>26</v>
      </c>
      <c r="D238">
        <v>10</v>
      </c>
      <c r="E238" t="s">
        <v>27</v>
      </c>
      <c r="F238" t="s">
        <v>28</v>
      </c>
      <c r="G238">
        <v>2274.05102016409</v>
      </c>
      <c r="H238">
        <v>10771256.075565699</v>
      </c>
      <c r="I238">
        <v>2274.05102016409</v>
      </c>
      <c r="J238">
        <v>10771256.075565699</v>
      </c>
      <c r="K238">
        <v>4.3844678666445702E-2</v>
      </c>
      <c r="L238">
        <v>6.7840940526564999E-3</v>
      </c>
      <c r="M238">
        <v>-3.4838685633806703E-2</v>
      </c>
      <c r="N238">
        <v>7.9344365030325104E-4</v>
      </c>
      <c r="O238">
        <v>0.235689042656858</v>
      </c>
      <c r="P238">
        <v>1.4103414316647699E-2</v>
      </c>
      <c r="Q238">
        <v>6.76322147008874E-2</v>
      </c>
      <c r="R238">
        <v>6.3058098235530199E-2</v>
      </c>
      <c r="S238">
        <v>0.86397560100466497</v>
      </c>
      <c r="T238">
        <v>0.117521761873114</v>
      </c>
      <c r="U238">
        <v>145</v>
      </c>
    </row>
    <row r="239" spans="1:21" x14ac:dyDescent="0.25">
      <c r="A239">
        <v>238</v>
      </c>
      <c r="B239">
        <v>109</v>
      </c>
      <c r="C239" t="s">
        <v>26</v>
      </c>
      <c r="D239">
        <v>10</v>
      </c>
      <c r="E239" t="s">
        <v>27</v>
      </c>
      <c r="F239" t="s">
        <v>28</v>
      </c>
      <c r="G239">
        <v>1947.82904682253</v>
      </c>
      <c r="H239">
        <v>5539608.7164266501</v>
      </c>
      <c r="I239">
        <v>1947.82904682253</v>
      </c>
      <c r="J239">
        <v>5539608.7164266501</v>
      </c>
      <c r="K239">
        <v>6.1532360091701203E-2</v>
      </c>
      <c r="L239">
        <v>7.3722076190713901E-3</v>
      </c>
      <c r="M239">
        <v>-3.1754334713883697E-2</v>
      </c>
      <c r="N239">
        <v>7.1277645315826605E-4</v>
      </c>
      <c r="O239">
        <v>0.24975896684441101</v>
      </c>
      <c r="P239">
        <v>1.27725226184193E-2</v>
      </c>
      <c r="Q239">
        <v>6.4253644058204301E-2</v>
      </c>
      <c r="R239">
        <v>6.0125113283413897E-2</v>
      </c>
      <c r="S239">
        <v>0.94942520061378999</v>
      </c>
      <c r="T239">
        <v>4.8016989053054002E-2</v>
      </c>
      <c r="U239">
        <v>177</v>
      </c>
    </row>
    <row r="240" spans="1:21" x14ac:dyDescent="0.25">
      <c r="A240">
        <v>239</v>
      </c>
      <c r="B240">
        <v>55555</v>
      </c>
      <c r="C240" t="s">
        <v>26</v>
      </c>
      <c r="D240">
        <v>10</v>
      </c>
      <c r="E240" t="s">
        <v>27</v>
      </c>
      <c r="F240" t="s">
        <v>28</v>
      </c>
      <c r="G240">
        <v>125.28762827822101</v>
      </c>
      <c r="H240">
        <v>2443102.6889347401</v>
      </c>
      <c r="I240">
        <v>125.28762827822101</v>
      </c>
      <c r="J240">
        <v>2443102.6889347401</v>
      </c>
      <c r="K240">
        <v>-4.7359095536448299E-2</v>
      </c>
      <c r="L240">
        <v>4.45723567932974E-2</v>
      </c>
      <c r="M240">
        <v>-2.3975076197704399E-2</v>
      </c>
      <c r="N240">
        <v>1.2170918325972601E-2</v>
      </c>
      <c r="O240">
        <v>0.18433607018465201</v>
      </c>
      <c r="P240">
        <v>2.9109175706586998E-2</v>
      </c>
      <c r="Q240">
        <v>2.0524515393386501E-2</v>
      </c>
      <c r="R240">
        <v>2.01032596612532E-2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10</v>
      </c>
      <c r="E241" t="s">
        <v>27</v>
      </c>
      <c r="F241" t="s">
        <v>28</v>
      </c>
      <c r="G241">
        <v>2186.1341156747699</v>
      </c>
      <c r="H241">
        <v>2759488.6140331002</v>
      </c>
      <c r="I241">
        <v>2186.1341156747699</v>
      </c>
      <c r="J241">
        <v>2759488.6140331002</v>
      </c>
      <c r="K241">
        <v>1.9247640499800999E-2</v>
      </c>
      <c r="L241">
        <v>1.8175326252039201E-2</v>
      </c>
      <c r="M241">
        <v>-2.9566713283343E-2</v>
      </c>
      <c r="N241">
        <v>5.1213257912693698E-3</v>
      </c>
      <c r="O241">
        <v>0.226580455260536</v>
      </c>
      <c r="P241">
        <v>1.0732822372271701E-2</v>
      </c>
      <c r="Q241">
        <v>9.4998602961721204E-3</v>
      </c>
      <c r="R241">
        <v>9.40961295052525E-3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92B1-10B3-4FC2-9114-41D8B7455F51}">
  <dimension ref="A1:U241"/>
  <sheetViews>
    <sheetView workbookViewId="0">
      <selection activeCell="D2" sqref="D2:D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</row>
    <row r="2" spans="1:21" x14ac:dyDescent="0.25">
      <c r="A2">
        <v>1</v>
      </c>
      <c r="B2">
        <v>101</v>
      </c>
      <c r="C2" t="s">
        <v>20</v>
      </c>
      <c r="D2">
        <v>16</v>
      </c>
      <c r="E2" t="s">
        <v>21</v>
      </c>
      <c r="F2" t="s">
        <v>22</v>
      </c>
      <c r="G2">
        <v>3973.4536450000001</v>
      </c>
      <c r="H2">
        <v>31517480.199999999</v>
      </c>
      <c r="I2">
        <v>15158.06133</v>
      </c>
      <c r="J2">
        <v>51530410.5</v>
      </c>
      <c r="K2">
        <v>8.0697937999999997E-2</v>
      </c>
      <c r="L2">
        <v>2.0720947E-2</v>
      </c>
      <c r="M2">
        <v>-3.4021859000000002E-2</v>
      </c>
      <c r="N2">
        <v>1.5578969999999999E-3</v>
      </c>
      <c r="O2">
        <v>0.28850772699999999</v>
      </c>
      <c r="P2">
        <v>4.3256571000000001E-2</v>
      </c>
      <c r="Q2">
        <v>0.17821561799999999</v>
      </c>
      <c r="R2">
        <v>0.14645481099999999</v>
      </c>
      <c r="S2">
        <v>0.47725098100000002</v>
      </c>
      <c r="T2">
        <v>0.24948248200000001</v>
      </c>
      <c r="U2">
        <v>10</v>
      </c>
    </row>
    <row r="3" spans="1:21" x14ac:dyDescent="0.25">
      <c r="A3">
        <v>2</v>
      </c>
      <c r="B3">
        <v>102</v>
      </c>
      <c r="C3" t="s">
        <v>20</v>
      </c>
      <c r="D3">
        <v>16</v>
      </c>
      <c r="E3" t="s">
        <v>21</v>
      </c>
      <c r="F3" t="s">
        <v>22</v>
      </c>
      <c r="G3">
        <v>5194.7756399999998</v>
      </c>
      <c r="H3">
        <v>55726103.840000004</v>
      </c>
      <c r="I3">
        <v>14124.59554</v>
      </c>
      <c r="J3">
        <v>52347949.659999996</v>
      </c>
      <c r="K3">
        <v>8.7687511999999995E-2</v>
      </c>
      <c r="L3">
        <v>1.7659488000000001E-2</v>
      </c>
      <c r="M3">
        <v>-3.4140259999999999E-2</v>
      </c>
      <c r="N3">
        <v>1.552583E-3</v>
      </c>
      <c r="O3">
        <v>0.30060167799999998</v>
      </c>
      <c r="P3">
        <v>4.4597696999999999E-2</v>
      </c>
      <c r="Q3">
        <v>0.19635999300000001</v>
      </c>
      <c r="R3">
        <v>0.15780274599999999</v>
      </c>
      <c r="S3">
        <v>0.61160078900000003</v>
      </c>
      <c r="T3">
        <v>0.23754526400000001</v>
      </c>
      <c r="U3">
        <v>19</v>
      </c>
    </row>
    <row r="4" spans="1:21" x14ac:dyDescent="0.25">
      <c r="A4">
        <v>3</v>
      </c>
      <c r="B4">
        <v>103</v>
      </c>
      <c r="C4" t="s">
        <v>20</v>
      </c>
      <c r="D4">
        <v>16</v>
      </c>
      <c r="E4" t="s">
        <v>21</v>
      </c>
      <c r="F4" t="s">
        <v>22</v>
      </c>
      <c r="G4">
        <v>4781.1615700000002</v>
      </c>
      <c r="H4">
        <v>57153275.189999998</v>
      </c>
      <c r="I4">
        <v>14509.17799</v>
      </c>
      <c r="J4">
        <v>48521901.859999999</v>
      </c>
      <c r="K4">
        <v>8.6392257E-2</v>
      </c>
      <c r="L4">
        <v>1.6102273E-2</v>
      </c>
      <c r="M4">
        <v>-3.0812049000000001E-2</v>
      </c>
      <c r="N4">
        <v>1.2896660000000001E-3</v>
      </c>
      <c r="O4">
        <v>0.29965418199999999</v>
      </c>
      <c r="P4">
        <v>3.8945836999999997E-2</v>
      </c>
      <c r="Q4">
        <v>0.180975673</v>
      </c>
      <c r="R4">
        <v>0.14822347799999999</v>
      </c>
      <c r="S4">
        <v>0.77498201700000002</v>
      </c>
      <c r="T4">
        <v>0.17438488999999999</v>
      </c>
      <c r="U4">
        <v>17</v>
      </c>
    </row>
    <row r="5" spans="1:21" x14ac:dyDescent="0.25">
      <c r="A5">
        <v>4</v>
      </c>
      <c r="B5">
        <v>104</v>
      </c>
      <c r="C5" t="s">
        <v>20</v>
      </c>
      <c r="D5">
        <v>16</v>
      </c>
      <c r="E5" t="s">
        <v>21</v>
      </c>
      <c r="F5" t="s">
        <v>22</v>
      </c>
      <c r="G5">
        <v>6005.9341839999997</v>
      </c>
      <c r="H5">
        <v>67626000.129999995</v>
      </c>
      <c r="I5">
        <v>13469.20946</v>
      </c>
      <c r="J5">
        <v>57597314.07</v>
      </c>
      <c r="K5">
        <v>9.8846367000000004E-2</v>
      </c>
      <c r="L5">
        <v>2.1083472999999998E-2</v>
      </c>
      <c r="M5">
        <v>-2.7137765000000001E-2</v>
      </c>
      <c r="N5">
        <v>1.6518450000000001E-3</v>
      </c>
      <c r="O5">
        <v>0.32370158500000001</v>
      </c>
      <c r="P5">
        <v>4.9508986999999997E-2</v>
      </c>
      <c r="Q5">
        <v>0.22154848099999999</v>
      </c>
      <c r="R5">
        <v>0.172464752</v>
      </c>
      <c r="S5">
        <v>0.60906392499999995</v>
      </c>
      <c r="T5">
        <v>0.23810506000000001</v>
      </c>
      <c r="U5">
        <v>17</v>
      </c>
    </row>
    <row r="6" spans="1:21" x14ac:dyDescent="0.25">
      <c r="A6">
        <v>5</v>
      </c>
      <c r="B6">
        <v>105</v>
      </c>
      <c r="C6" t="s">
        <v>20</v>
      </c>
      <c r="D6">
        <v>16</v>
      </c>
      <c r="E6" t="s">
        <v>21</v>
      </c>
      <c r="F6" t="s">
        <v>22</v>
      </c>
      <c r="G6">
        <v>7195.9773029999997</v>
      </c>
      <c r="H6">
        <v>77778040.430000007</v>
      </c>
      <c r="I6">
        <v>12543.35144</v>
      </c>
      <c r="J6">
        <v>64671707.07</v>
      </c>
      <c r="K6">
        <v>0.12237219100000001</v>
      </c>
      <c r="L6">
        <v>2.1643979000000001E-2</v>
      </c>
      <c r="M6">
        <v>-2.2402256999999998E-2</v>
      </c>
      <c r="N6">
        <v>1.799943E-3</v>
      </c>
      <c r="O6">
        <v>0.35623285999999998</v>
      </c>
      <c r="P6">
        <v>5.3162111999999997E-2</v>
      </c>
      <c r="Q6">
        <v>0.26098985600000002</v>
      </c>
      <c r="R6">
        <v>0.19287415099999999</v>
      </c>
      <c r="S6">
        <v>0.47889035699999999</v>
      </c>
      <c r="T6">
        <v>0.24955438299999999</v>
      </c>
      <c r="U6">
        <v>12</v>
      </c>
    </row>
    <row r="7" spans="1:21" x14ac:dyDescent="0.25">
      <c r="A7">
        <v>6</v>
      </c>
      <c r="B7">
        <v>106</v>
      </c>
      <c r="C7" t="s">
        <v>20</v>
      </c>
      <c r="D7">
        <v>16</v>
      </c>
      <c r="E7" t="s">
        <v>21</v>
      </c>
      <c r="F7" t="s">
        <v>22</v>
      </c>
      <c r="G7">
        <v>4989.9606739999999</v>
      </c>
      <c r="H7">
        <v>50263332.359999999</v>
      </c>
      <c r="I7">
        <v>14845.15992</v>
      </c>
      <c r="J7">
        <v>39460211</v>
      </c>
      <c r="K7">
        <v>8.3096311000000006E-2</v>
      </c>
      <c r="L7">
        <v>1.2090263E-2</v>
      </c>
      <c r="M7">
        <v>-2.4722658000000002E-2</v>
      </c>
      <c r="N7">
        <v>1.4599089999999999E-3</v>
      </c>
      <c r="O7">
        <v>0.28888467699999998</v>
      </c>
      <c r="P7">
        <v>3.1831090999999999E-2</v>
      </c>
      <c r="Q7">
        <v>0.15189718499999999</v>
      </c>
      <c r="R7">
        <v>0.12882442999999999</v>
      </c>
      <c r="S7">
        <v>0.87010084300000001</v>
      </c>
      <c r="T7">
        <v>0.113025366</v>
      </c>
      <c r="U7">
        <v>27</v>
      </c>
    </row>
    <row r="8" spans="1:21" x14ac:dyDescent="0.25">
      <c r="A8">
        <v>7</v>
      </c>
      <c r="B8">
        <v>107</v>
      </c>
      <c r="C8" t="s">
        <v>20</v>
      </c>
      <c r="D8">
        <v>16</v>
      </c>
      <c r="E8" t="s">
        <v>21</v>
      </c>
      <c r="F8" t="s">
        <v>22</v>
      </c>
      <c r="G8">
        <v>5356.6983330000003</v>
      </c>
      <c r="H8">
        <v>56756326.770000003</v>
      </c>
      <c r="I8">
        <v>14485.063249999999</v>
      </c>
      <c r="J8">
        <v>44346315.18</v>
      </c>
      <c r="K8">
        <v>0.103006424</v>
      </c>
      <c r="L8">
        <v>1.2912997000000001E-2</v>
      </c>
      <c r="M8">
        <v>-1.9883959E-2</v>
      </c>
      <c r="N8">
        <v>1.3325539999999999E-3</v>
      </c>
      <c r="O8">
        <v>0.31288251500000003</v>
      </c>
      <c r="P8">
        <v>3.5284576999999998E-2</v>
      </c>
      <c r="Q8">
        <v>0.173885963</v>
      </c>
      <c r="R8">
        <v>0.143649635</v>
      </c>
      <c r="S8">
        <v>0.73421033400000002</v>
      </c>
      <c r="T8">
        <v>0.19514551899999999</v>
      </c>
      <c r="U8">
        <v>19</v>
      </c>
    </row>
    <row r="9" spans="1:21" x14ac:dyDescent="0.25">
      <c r="A9">
        <v>8</v>
      </c>
      <c r="B9">
        <v>108</v>
      </c>
      <c r="C9" t="s">
        <v>20</v>
      </c>
      <c r="D9">
        <v>16</v>
      </c>
      <c r="E9" t="s">
        <v>21</v>
      </c>
      <c r="F9" t="s">
        <v>22</v>
      </c>
      <c r="G9">
        <v>6630.9142920000004</v>
      </c>
      <c r="H9">
        <v>75775518.590000004</v>
      </c>
      <c r="I9">
        <v>13594.95306</v>
      </c>
      <c r="J9">
        <v>54521050.210000001</v>
      </c>
      <c r="K9">
        <v>0.127683249</v>
      </c>
      <c r="L9">
        <v>1.6080316000000001E-2</v>
      </c>
      <c r="M9">
        <v>-1.5621806E-2</v>
      </c>
      <c r="N9">
        <v>1.435242E-3</v>
      </c>
      <c r="O9">
        <v>0.346504433</v>
      </c>
      <c r="P9">
        <v>4.3976121E-2</v>
      </c>
      <c r="Q9">
        <v>0.22483165499999999</v>
      </c>
      <c r="R9">
        <v>0.17428238200000001</v>
      </c>
      <c r="S9">
        <v>0.64685619999999999</v>
      </c>
      <c r="T9">
        <v>0.228433257</v>
      </c>
      <c r="U9">
        <v>18</v>
      </c>
    </row>
    <row r="10" spans="1:21" x14ac:dyDescent="0.25">
      <c r="A10">
        <v>9</v>
      </c>
      <c r="B10">
        <v>109</v>
      </c>
      <c r="C10" t="s">
        <v>20</v>
      </c>
      <c r="D10">
        <v>16</v>
      </c>
      <c r="E10" t="s">
        <v>21</v>
      </c>
      <c r="F10" t="s">
        <v>22</v>
      </c>
      <c r="G10">
        <v>5071.6634089999998</v>
      </c>
      <c r="H10">
        <v>45730767.369999997</v>
      </c>
      <c r="I10">
        <v>14922.8328</v>
      </c>
      <c r="J10">
        <v>40702958.420000002</v>
      </c>
      <c r="K10">
        <v>0.100576421</v>
      </c>
      <c r="L10">
        <v>1.2553454E-2</v>
      </c>
      <c r="M10">
        <v>-1.9225875999999999E-2</v>
      </c>
      <c r="N10">
        <v>1.303942E-3</v>
      </c>
      <c r="O10">
        <v>0.29967027000000002</v>
      </c>
      <c r="P10">
        <v>3.1199672000000001E-2</v>
      </c>
      <c r="Q10">
        <v>0.140153624</v>
      </c>
      <c r="R10">
        <v>0.120510585</v>
      </c>
      <c r="S10">
        <v>0.84582541</v>
      </c>
      <c r="T10">
        <v>0.13040478599999999</v>
      </c>
      <c r="U10">
        <v>27</v>
      </c>
    </row>
    <row r="11" spans="1:21" x14ac:dyDescent="0.25">
      <c r="A11">
        <v>10</v>
      </c>
      <c r="B11">
        <v>110</v>
      </c>
      <c r="C11" t="s">
        <v>20</v>
      </c>
      <c r="D11">
        <v>16</v>
      </c>
      <c r="E11" t="s">
        <v>21</v>
      </c>
      <c r="F11" t="s">
        <v>22</v>
      </c>
      <c r="G11">
        <v>7166.969658</v>
      </c>
      <c r="H11">
        <v>100512514.09999999</v>
      </c>
      <c r="I11">
        <v>13413.6728</v>
      </c>
      <c r="J11">
        <v>60958784.729999997</v>
      </c>
      <c r="K11">
        <v>0.12759954900000001</v>
      </c>
      <c r="L11">
        <v>1.4278594E-2</v>
      </c>
      <c r="M11">
        <v>-1.405992E-2</v>
      </c>
      <c r="N11">
        <v>1.6421350000000001E-3</v>
      </c>
      <c r="O11">
        <v>0.35262481899999998</v>
      </c>
      <c r="P11">
        <v>4.2668996000000001E-2</v>
      </c>
      <c r="Q11">
        <v>0.224652198</v>
      </c>
      <c r="R11">
        <v>0.174183588</v>
      </c>
      <c r="S11">
        <v>0.55090472000000001</v>
      </c>
      <c r="T11">
        <v>0.247408709</v>
      </c>
      <c r="U11">
        <v>14</v>
      </c>
    </row>
    <row r="12" spans="1:21" x14ac:dyDescent="0.25">
      <c r="A12">
        <v>11</v>
      </c>
      <c r="B12">
        <v>201</v>
      </c>
      <c r="C12" t="s">
        <v>20</v>
      </c>
      <c r="D12">
        <v>16</v>
      </c>
      <c r="E12" t="s">
        <v>21</v>
      </c>
      <c r="F12" t="s">
        <v>22</v>
      </c>
      <c r="G12">
        <v>3812.0436709999999</v>
      </c>
      <c r="H12">
        <v>27750146.800000001</v>
      </c>
      <c r="I12">
        <v>15418.975189999999</v>
      </c>
      <c r="J12">
        <v>41061830.359999999</v>
      </c>
      <c r="K12">
        <v>4.0059206999999999E-2</v>
      </c>
      <c r="L12">
        <v>1.9612766E-2</v>
      </c>
      <c r="M12">
        <v>-4.2160125E-2</v>
      </c>
      <c r="N12">
        <v>1.290504E-3</v>
      </c>
      <c r="O12">
        <v>0.242848805</v>
      </c>
      <c r="P12">
        <v>4.0001233999999997E-2</v>
      </c>
      <c r="Q12">
        <v>0.150068058</v>
      </c>
      <c r="R12">
        <v>0.12754763599999999</v>
      </c>
      <c r="S12">
        <v>0.77261646500000003</v>
      </c>
      <c r="T12">
        <v>0.175680263</v>
      </c>
      <c r="U12">
        <v>23</v>
      </c>
    </row>
    <row r="13" spans="1:21" x14ac:dyDescent="0.25">
      <c r="A13">
        <v>12</v>
      </c>
      <c r="B13">
        <v>202</v>
      </c>
      <c r="C13" t="s">
        <v>20</v>
      </c>
      <c r="D13">
        <v>16</v>
      </c>
      <c r="E13" t="s">
        <v>21</v>
      </c>
      <c r="F13" t="s">
        <v>22</v>
      </c>
      <c r="G13">
        <v>3211.3717179999999</v>
      </c>
      <c r="H13">
        <v>27096507.530000001</v>
      </c>
      <c r="I13">
        <v>15039.56055</v>
      </c>
      <c r="J13">
        <v>33994391.060000002</v>
      </c>
      <c r="K13">
        <v>3.403022E-2</v>
      </c>
      <c r="L13">
        <v>1.6757467000000002E-2</v>
      </c>
      <c r="M13">
        <v>-4.2761552000000001E-2</v>
      </c>
      <c r="N13">
        <v>1.293443E-3</v>
      </c>
      <c r="O13">
        <v>0.230609702</v>
      </c>
      <c r="P13">
        <v>3.4587571999999997E-2</v>
      </c>
      <c r="Q13">
        <v>0.13105175299999999</v>
      </c>
      <c r="R13">
        <v>0.113877191</v>
      </c>
      <c r="S13">
        <v>0.74017151299999995</v>
      </c>
      <c r="T13">
        <v>0.19231764500000001</v>
      </c>
      <c r="U13">
        <v>22</v>
      </c>
    </row>
    <row r="14" spans="1:21" x14ac:dyDescent="0.25">
      <c r="A14">
        <v>13</v>
      </c>
      <c r="B14">
        <v>203</v>
      </c>
      <c r="C14" t="s">
        <v>20</v>
      </c>
      <c r="D14">
        <v>16</v>
      </c>
      <c r="E14" t="s">
        <v>21</v>
      </c>
      <c r="F14" t="s">
        <v>22</v>
      </c>
      <c r="G14">
        <v>3104.7678989999999</v>
      </c>
      <c r="H14">
        <v>24896948.940000001</v>
      </c>
      <c r="I14">
        <v>14435.675929999999</v>
      </c>
      <c r="J14">
        <v>37928419.18</v>
      </c>
      <c r="K14">
        <v>6.3105583000000007E-2</v>
      </c>
      <c r="L14">
        <v>1.9170340000000001E-2</v>
      </c>
      <c r="M14">
        <v>-3.3621289999999998E-2</v>
      </c>
      <c r="N14">
        <v>1.388769E-3</v>
      </c>
      <c r="O14">
        <v>0.25801447300000002</v>
      </c>
      <c r="P14">
        <v>3.7286871999999999E-2</v>
      </c>
      <c r="Q14">
        <v>0.144677536</v>
      </c>
      <c r="R14">
        <v>0.123745947</v>
      </c>
      <c r="S14">
        <v>0.69151926100000005</v>
      </c>
      <c r="T14">
        <v>0.21332037300000001</v>
      </c>
      <c r="U14">
        <v>23</v>
      </c>
    </row>
    <row r="15" spans="1:21" x14ac:dyDescent="0.25">
      <c r="A15">
        <v>14</v>
      </c>
      <c r="B15">
        <v>204</v>
      </c>
      <c r="C15" t="s">
        <v>20</v>
      </c>
      <c r="D15">
        <v>16</v>
      </c>
      <c r="E15" t="s">
        <v>21</v>
      </c>
      <c r="F15" t="s">
        <v>22</v>
      </c>
      <c r="G15">
        <v>2908.841422</v>
      </c>
      <c r="H15">
        <v>15724910.970000001</v>
      </c>
      <c r="I15">
        <v>15889.688749999999</v>
      </c>
      <c r="J15">
        <v>25592967.079999998</v>
      </c>
      <c r="K15">
        <v>2.0720994E-2</v>
      </c>
      <c r="L15">
        <v>1.2444235E-2</v>
      </c>
      <c r="M15">
        <v>-4.616833E-2</v>
      </c>
      <c r="N15">
        <v>1.1054509999999999E-3</v>
      </c>
      <c r="O15">
        <v>0.21263992200000001</v>
      </c>
      <c r="P15">
        <v>2.4857409E-2</v>
      </c>
      <c r="Q15">
        <v>9.8135263E-2</v>
      </c>
      <c r="R15">
        <v>8.8504733000000002E-2</v>
      </c>
      <c r="S15">
        <v>0.91717696000000004</v>
      </c>
      <c r="T15">
        <v>7.5963383999999995E-2</v>
      </c>
      <c r="U15">
        <v>46</v>
      </c>
    </row>
    <row r="16" spans="1:21" x14ac:dyDescent="0.25">
      <c r="A16">
        <v>15</v>
      </c>
      <c r="B16">
        <v>205</v>
      </c>
      <c r="C16" t="s">
        <v>20</v>
      </c>
      <c r="D16">
        <v>16</v>
      </c>
      <c r="E16" t="s">
        <v>21</v>
      </c>
      <c r="F16" t="s">
        <v>22</v>
      </c>
      <c r="G16">
        <v>3265.163931</v>
      </c>
      <c r="H16">
        <v>21405779.07</v>
      </c>
      <c r="I16">
        <v>15386.817779999999</v>
      </c>
      <c r="J16">
        <v>35726125.539999999</v>
      </c>
      <c r="K16">
        <v>4.5242571000000002E-2</v>
      </c>
      <c r="L16">
        <v>1.6539185000000001E-2</v>
      </c>
      <c r="M16">
        <v>-4.0178684999999999E-2</v>
      </c>
      <c r="N16">
        <v>1.458008E-3</v>
      </c>
      <c r="O16">
        <v>0.244566752</v>
      </c>
      <c r="P16">
        <v>3.3531303999999998E-2</v>
      </c>
      <c r="Q16">
        <v>0.13701170700000001</v>
      </c>
      <c r="R16">
        <v>0.118239499</v>
      </c>
      <c r="S16">
        <v>0.75556662500000005</v>
      </c>
      <c r="T16">
        <v>0.18468570000000001</v>
      </c>
      <c r="U16">
        <v>24</v>
      </c>
    </row>
    <row r="17" spans="1:21" x14ac:dyDescent="0.25">
      <c r="A17">
        <v>16</v>
      </c>
      <c r="B17">
        <v>206</v>
      </c>
      <c r="C17" t="s">
        <v>20</v>
      </c>
      <c r="D17">
        <v>16</v>
      </c>
      <c r="E17" t="s">
        <v>21</v>
      </c>
      <c r="F17" t="s">
        <v>22</v>
      </c>
      <c r="G17">
        <v>2694.5255929999998</v>
      </c>
      <c r="H17">
        <v>17086552.260000002</v>
      </c>
      <c r="I17">
        <v>15830.15115</v>
      </c>
      <c r="J17">
        <v>33026676.59</v>
      </c>
      <c r="K17">
        <v>5.5423200999999998E-2</v>
      </c>
      <c r="L17">
        <v>1.6065039999999999E-2</v>
      </c>
      <c r="M17">
        <v>-3.3268069999999997E-2</v>
      </c>
      <c r="N17">
        <v>1.452671E-3</v>
      </c>
      <c r="O17">
        <v>0.24637289200000001</v>
      </c>
      <c r="P17">
        <v>2.9719866000000001E-2</v>
      </c>
      <c r="Q17">
        <v>0.116350276</v>
      </c>
      <c r="R17">
        <v>0.102812889</v>
      </c>
      <c r="S17">
        <v>0.74222945100000004</v>
      </c>
      <c r="T17">
        <v>0.191324893</v>
      </c>
      <c r="U17">
        <v>22</v>
      </c>
    </row>
    <row r="18" spans="1:21" x14ac:dyDescent="0.25">
      <c r="A18">
        <v>17</v>
      </c>
      <c r="B18">
        <v>207</v>
      </c>
      <c r="C18" t="s">
        <v>20</v>
      </c>
      <c r="D18">
        <v>16</v>
      </c>
      <c r="E18" t="s">
        <v>21</v>
      </c>
      <c r="F18" t="s">
        <v>22</v>
      </c>
      <c r="G18">
        <v>3113.9160529999999</v>
      </c>
      <c r="H18">
        <v>24230984.100000001</v>
      </c>
      <c r="I18">
        <v>15082.052439999999</v>
      </c>
      <c r="J18">
        <v>30056486.75</v>
      </c>
      <c r="K18">
        <v>7.3089475000000001E-2</v>
      </c>
      <c r="L18">
        <v>1.2600056E-2</v>
      </c>
      <c r="M18">
        <v>-2.6382081000000002E-2</v>
      </c>
      <c r="N18">
        <v>1.1260829999999999E-3</v>
      </c>
      <c r="O18">
        <v>0.26523624899999998</v>
      </c>
      <c r="P18">
        <v>2.6972046999999999E-2</v>
      </c>
      <c r="Q18">
        <v>0.120518104</v>
      </c>
      <c r="R18">
        <v>0.105993491</v>
      </c>
      <c r="S18">
        <v>0.85182561199999995</v>
      </c>
      <c r="T18">
        <v>0.126218739</v>
      </c>
      <c r="U18">
        <v>25</v>
      </c>
    </row>
    <row r="19" spans="1:21" x14ac:dyDescent="0.25">
      <c r="A19">
        <v>18</v>
      </c>
      <c r="B19">
        <v>208</v>
      </c>
      <c r="C19" t="s">
        <v>20</v>
      </c>
      <c r="D19">
        <v>16</v>
      </c>
      <c r="E19" t="s">
        <v>21</v>
      </c>
      <c r="F19" t="s">
        <v>22</v>
      </c>
      <c r="G19">
        <v>3207.8913699999998</v>
      </c>
      <c r="H19">
        <v>23641506.399999999</v>
      </c>
      <c r="I19">
        <v>15798.82747</v>
      </c>
      <c r="J19">
        <v>28661183.780000001</v>
      </c>
      <c r="K19">
        <v>6.3583958999999995E-2</v>
      </c>
      <c r="L19">
        <v>1.1901602000000001E-2</v>
      </c>
      <c r="M19">
        <v>-3.0324416E-2</v>
      </c>
      <c r="N19">
        <v>1.0819479999999999E-3</v>
      </c>
      <c r="O19">
        <v>0.25459754400000001</v>
      </c>
      <c r="P19">
        <v>2.5028617E-2</v>
      </c>
      <c r="Q19">
        <v>0.110313352</v>
      </c>
      <c r="R19">
        <v>9.8144316999999995E-2</v>
      </c>
      <c r="S19">
        <v>0.70791031400000004</v>
      </c>
      <c r="T19">
        <v>0.20677330099999999</v>
      </c>
      <c r="U19">
        <v>19</v>
      </c>
    </row>
    <row r="20" spans="1:21" x14ac:dyDescent="0.25">
      <c r="A20">
        <v>19</v>
      </c>
      <c r="B20">
        <v>209</v>
      </c>
      <c r="C20" t="s">
        <v>20</v>
      </c>
      <c r="D20">
        <v>16</v>
      </c>
      <c r="E20" t="s">
        <v>21</v>
      </c>
      <c r="F20" t="s">
        <v>22</v>
      </c>
      <c r="G20">
        <v>3663.785112</v>
      </c>
      <c r="H20">
        <v>22688122.100000001</v>
      </c>
      <c r="I20">
        <v>15091.88241</v>
      </c>
      <c r="J20">
        <v>43598097.869999997</v>
      </c>
      <c r="K20">
        <v>0.10272458299999999</v>
      </c>
      <c r="L20">
        <v>1.9325617E-2</v>
      </c>
      <c r="M20">
        <v>-1.8928711000000001E-2</v>
      </c>
      <c r="N20">
        <v>1.651144E-3</v>
      </c>
      <c r="O20">
        <v>0.29862706500000002</v>
      </c>
      <c r="P20">
        <v>3.6254722000000003E-2</v>
      </c>
      <c r="Q20">
        <v>0.16722177599999999</v>
      </c>
      <c r="R20">
        <v>0.13925865300000001</v>
      </c>
      <c r="S20">
        <v>0.63791933499999998</v>
      </c>
      <c r="T20">
        <v>0.23097825699999999</v>
      </c>
      <c r="U20">
        <v>14</v>
      </c>
    </row>
    <row r="21" spans="1:21" x14ac:dyDescent="0.25">
      <c r="A21">
        <v>20</v>
      </c>
      <c r="B21">
        <v>210</v>
      </c>
      <c r="C21" t="s">
        <v>20</v>
      </c>
      <c r="D21">
        <v>16</v>
      </c>
      <c r="E21" t="s">
        <v>21</v>
      </c>
      <c r="F21" t="s">
        <v>22</v>
      </c>
      <c r="G21">
        <v>4062.872476</v>
      </c>
      <c r="H21">
        <v>36726344.43</v>
      </c>
      <c r="I21">
        <v>14815.23561</v>
      </c>
      <c r="J21">
        <v>43552401.240000002</v>
      </c>
      <c r="K21">
        <v>0.101638378</v>
      </c>
      <c r="L21">
        <v>1.5357542E-2</v>
      </c>
      <c r="M21">
        <v>-1.8364609E-2</v>
      </c>
      <c r="N21">
        <v>1.707484E-3</v>
      </c>
      <c r="O21">
        <v>0.30290658199999998</v>
      </c>
      <c r="P21">
        <v>3.4488103999999999E-2</v>
      </c>
      <c r="Q21">
        <v>0.168018471</v>
      </c>
      <c r="R21">
        <v>0.13978826499999999</v>
      </c>
      <c r="S21">
        <v>0.80218591800000005</v>
      </c>
      <c r="T21">
        <v>0.158683671</v>
      </c>
      <c r="U21">
        <v>24</v>
      </c>
    </row>
    <row r="22" spans="1:21" x14ac:dyDescent="0.25">
      <c r="A22">
        <v>21</v>
      </c>
      <c r="B22">
        <v>301</v>
      </c>
      <c r="C22" t="s">
        <v>20</v>
      </c>
      <c r="D22">
        <v>16</v>
      </c>
      <c r="E22" t="s">
        <v>21</v>
      </c>
      <c r="F22" t="s">
        <v>22</v>
      </c>
      <c r="G22">
        <v>3570.710106</v>
      </c>
      <c r="H22">
        <v>31100232.18</v>
      </c>
      <c r="I22">
        <v>14929.00728</v>
      </c>
      <c r="J22">
        <v>26441292.32</v>
      </c>
      <c r="K22">
        <v>3.2523621000000003E-2</v>
      </c>
      <c r="L22">
        <v>9.7584390000000007E-3</v>
      </c>
      <c r="M22">
        <v>-3.8992244000000002E-2</v>
      </c>
      <c r="N22">
        <v>1.189563E-3</v>
      </c>
      <c r="O22">
        <v>0.224904511</v>
      </c>
      <c r="P22">
        <v>2.6227726E-2</v>
      </c>
      <c r="Q22">
        <v>0.108021592</v>
      </c>
      <c r="R22">
        <v>9.6352927000000005E-2</v>
      </c>
      <c r="S22">
        <v>0.81847614899999999</v>
      </c>
      <c r="T22">
        <v>0.14857294200000001</v>
      </c>
      <c r="U22">
        <v>30</v>
      </c>
    </row>
    <row r="23" spans="1:21" x14ac:dyDescent="0.25">
      <c r="A23">
        <v>22</v>
      </c>
      <c r="B23">
        <v>302</v>
      </c>
      <c r="C23" t="s">
        <v>20</v>
      </c>
      <c r="D23">
        <v>16</v>
      </c>
      <c r="E23" t="s">
        <v>21</v>
      </c>
      <c r="F23" t="s">
        <v>22</v>
      </c>
      <c r="G23">
        <v>4695.713127</v>
      </c>
      <c r="H23">
        <v>52576190.369999997</v>
      </c>
      <c r="I23">
        <v>13890.416590000001</v>
      </c>
      <c r="J23">
        <v>45785324.57</v>
      </c>
      <c r="K23">
        <v>4.1972753000000002E-2</v>
      </c>
      <c r="L23">
        <v>2.0078202999999999E-2</v>
      </c>
      <c r="M23">
        <v>-4.5721979000000003E-2</v>
      </c>
      <c r="N23">
        <v>1.526622E-3</v>
      </c>
      <c r="O23">
        <v>0.25616761500000002</v>
      </c>
      <c r="P23">
        <v>4.8054510000000002E-2</v>
      </c>
      <c r="Q23">
        <v>0.18235948799999999</v>
      </c>
      <c r="R23">
        <v>0.149104505</v>
      </c>
      <c r="S23">
        <v>0.55948379999999998</v>
      </c>
      <c r="T23">
        <v>0.24646167799999999</v>
      </c>
      <c r="U23">
        <v>17</v>
      </c>
    </row>
    <row r="24" spans="1:21" x14ac:dyDescent="0.25">
      <c r="A24">
        <v>23</v>
      </c>
      <c r="B24">
        <v>303</v>
      </c>
      <c r="C24" t="s">
        <v>20</v>
      </c>
      <c r="D24">
        <v>16</v>
      </c>
      <c r="E24" t="s">
        <v>21</v>
      </c>
      <c r="F24" t="s">
        <v>22</v>
      </c>
      <c r="G24">
        <v>3584.9213239999999</v>
      </c>
      <c r="H24">
        <v>37650772.609999999</v>
      </c>
      <c r="I24">
        <v>13395.35031</v>
      </c>
      <c r="J24">
        <v>44809856.170000002</v>
      </c>
      <c r="K24">
        <v>7.5342366999999993E-2</v>
      </c>
      <c r="L24">
        <v>1.9861942E-2</v>
      </c>
      <c r="M24">
        <v>-3.5177831999999999E-2</v>
      </c>
      <c r="N24">
        <v>1.327639E-3</v>
      </c>
      <c r="O24">
        <v>0.27819269899999999</v>
      </c>
      <c r="P24">
        <v>4.3260700999999999E-2</v>
      </c>
      <c r="Q24">
        <v>0.177230521</v>
      </c>
      <c r="R24">
        <v>0.14581986299999999</v>
      </c>
      <c r="S24">
        <v>0.64696624199999997</v>
      </c>
      <c r="T24">
        <v>0.22840092400000001</v>
      </c>
      <c r="U24">
        <v>23</v>
      </c>
    </row>
    <row r="25" spans="1:21" x14ac:dyDescent="0.25">
      <c r="A25">
        <v>24</v>
      </c>
      <c r="B25">
        <v>304</v>
      </c>
      <c r="C25" t="s">
        <v>20</v>
      </c>
      <c r="D25">
        <v>16</v>
      </c>
      <c r="E25" t="s">
        <v>21</v>
      </c>
      <c r="F25" t="s">
        <v>22</v>
      </c>
      <c r="G25">
        <v>3661.4101799999999</v>
      </c>
      <c r="H25">
        <v>32194206.620000001</v>
      </c>
      <c r="I25">
        <v>14104.074140000001</v>
      </c>
      <c r="J25">
        <v>47246660.159999996</v>
      </c>
      <c r="K25">
        <v>6.1256025999999998E-2</v>
      </c>
      <c r="L25">
        <v>2.3187612999999999E-2</v>
      </c>
      <c r="M25">
        <v>-4.0871741000000003E-2</v>
      </c>
      <c r="N25">
        <v>1.452404E-3</v>
      </c>
      <c r="O25">
        <v>0.26891947999999999</v>
      </c>
      <c r="P25">
        <v>4.7252613999999998E-2</v>
      </c>
      <c r="Q25">
        <v>0.17868076799999999</v>
      </c>
      <c r="R25">
        <v>0.14675395099999999</v>
      </c>
      <c r="S25">
        <v>0.66556632000000004</v>
      </c>
      <c r="T25">
        <v>0.22258779400000001</v>
      </c>
      <c r="U25">
        <v>18</v>
      </c>
    </row>
    <row r="26" spans="1:21" x14ac:dyDescent="0.25">
      <c r="A26">
        <v>25</v>
      </c>
      <c r="B26">
        <v>305</v>
      </c>
      <c r="C26" t="s">
        <v>20</v>
      </c>
      <c r="D26">
        <v>16</v>
      </c>
      <c r="E26" t="s">
        <v>21</v>
      </c>
      <c r="F26" t="s">
        <v>22</v>
      </c>
      <c r="G26">
        <v>3057.8796480000001</v>
      </c>
      <c r="H26">
        <v>22493133.449999999</v>
      </c>
      <c r="I26">
        <v>15101.184719999999</v>
      </c>
      <c r="J26">
        <v>33131761.809999999</v>
      </c>
      <c r="K26">
        <v>4.1685055999999998E-2</v>
      </c>
      <c r="L26">
        <v>1.4618984999999999E-2</v>
      </c>
      <c r="M26">
        <v>-4.5191760999999997E-2</v>
      </c>
      <c r="N26">
        <v>1.1714220000000001E-3</v>
      </c>
      <c r="O26">
        <v>0.24086005099999999</v>
      </c>
      <c r="P26">
        <v>3.0703884000000001E-2</v>
      </c>
      <c r="Q26">
        <v>0.11806947199999999</v>
      </c>
      <c r="R26">
        <v>0.104129072</v>
      </c>
      <c r="S26">
        <v>0.78429519800000003</v>
      </c>
      <c r="T26">
        <v>0.169176241</v>
      </c>
      <c r="U26">
        <v>27</v>
      </c>
    </row>
    <row r="27" spans="1:21" x14ac:dyDescent="0.25">
      <c r="A27">
        <v>26</v>
      </c>
      <c r="B27">
        <v>306</v>
      </c>
      <c r="C27" t="s">
        <v>20</v>
      </c>
      <c r="D27">
        <v>16</v>
      </c>
      <c r="E27" t="s">
        <v>21</v>
      </c>
      <c r="F27" t="s">
        <v>22</v>
      </c>
      <c r="G27">
        <v>3130.292117</v>
      </c>
      <c r="H27">
        <v>19065899.640000001</v>
      </c>
      <c r="I27">
        <v>14853.42908</v>
      </c>
      <c r="J27">
        <v>29550787.120000001</v>
      </c>
      <c r="K27">
        <v>5.4090047000000002E-2</v>
      </c>
      <c r="L27">
        <v>1.2328833000000001E-2</v>
      </c>
      <c r="M27">
        <v>-3.4784506999999999E-2</v>
      </c>
      <c r="N27">
        <v>1.132648E-3</v>
      </c>
      <c r="O27">
        <v>0.252390901</v>
      </c>
      <c r="P27">
        <v>2.5030443999999999E-2</v>
      </c>
      <c r="Q27">
        <v>0.108948963</v>
      </c>
      <c r="R27">
        <v>9.7079085999999995E-2</v>
      </c>
      <c r="S27">
        <v>0.91611061699999996</v>
      </c>
      <c r="T27">
        <v>7.6851954E-2</v>
      </c>
      <c r="U27">
        <v>47</v>
      </c>
    </row>
    <row r="28" spans="1:21" x14ac:dyDescent="0.25">
      <c r="A28">
        <v>27</v>
      </c>
      <c r="B28">
        <v>307</v>
      </c>
      <c r="C28" t="s">
        <v>20</v>
      </c>
      <c r="D28">
        <v>16</v>
      </c>
      <c r="E28" t="s">
        <v>21</v>
      </c>
      <c r="F28" t="s">
        <v>22</v>
      </c>
      <c r="G28">
        <v>4462.5980319999999</v>
      </c>
      <c r="H28">
        <v>36189409.270000003</v>
      </c>
      <c r="I28">
        <v>12569.27655</v>
      </c>
      <c r="J28">
        <v>41977192.189999998</v>
      </c>
      <c r="K28">
        <v>0.11370913000000001</v>
      </c>
      <c r="L28">
        <v>1.8941131999999999E-2</v>
      </c>
      <c r="M28">
        <v>-1.6743502E-2</v>
      </c>
      <c r="N28">
        <v>1.461707E-3</v>
      </c>
      <c r="O28">
        <v>0.32559756699999998</v>
      </c>
      <c r="P28">
        <v>3.9493766E-2</v>
      </c>
      <c r="Q28">
        <v>0.19259215399999999</v>
      </c>
      <c r="R28">
        <v>0.155500416</v>
      </c>
      <c r="S28">
        <v>0.65592067600000004</v>
      </c>
      <c r="T28">
        <v>0.225688743</v>
      </c>
      <c r="U28">
        <v>32</v>
      </c>
    </row>
    <row r="29" spans="1:21" x14ac:dyDescent="0.25">
      <c r="A29">
        <v>28</v>
      </c>
      <c r="B29">
        <v>308</v>
      </c>
      <c r="C29" t="s">
        <v>20</v>
      </c>
      <c r="D29">
        <v>16</v>
      </c>
      <c r="E29" t="s">
        <v>21</v>
      </c>
      <c r="F29" t="s">
        <v>22</v>
      </c>
      <c r="G29">
        <v>3855.4248729999999</v>
      </c>
      <c r="H29">
        <v>24823190.050000001</v>
      </c>
      <c r="I29">
        <v>14549.12226</v>
      </c>
      <c r="J29">
        <v>35597324.420000002</v>
      </c>
      <c r="K29">
        <v>8.8486338999999997E-2</v>
      </c>
      <c r="L29">
        <v>1.4503495999999999E-2</v>
      </c>
      <c r="M29">
        <v>-2.3953091999999999E-2</v>
      </c>
      <c r="N29">
        <v>1.040086E-3</v>
      </c>
      <c r="O29">
        <v>0.28801698799999997</v>
      </c>
      <c r="P29">
        <v>3.1617530999999997E-2</v>
      </c>
      <c r="Q29">
        <v>0.14659164199999999</v>
      </c>
      <c r="R29">
        <v>0.12510253199999999</v>
      </c>
      <c r="S29">
        <v>0.90516264000000002</v>
      </c>
      <c r="T29">
        <v>8.5843236000000003E-2</v>
      </c>
      <c r="U29">
        <v>42</v>
      </c>
    </row>
    <row r="30" spans="1:21" x14ac:dyDescent="0.25">
      <c r="A30">
        <v>29</v>
      </c>
      <c r="B30">
        <v>309</v>
      </c>
      <c r="C30" t="s">
        <v>20</v>
      </c>
      <c r="D30">
        <v>16</v>
      </c>
      <c r="E30" t="s">
        <v>21</v>
      </c>
      <c r="F30" t="s">
        <v>22</v>
      </c>
      <c r="G30">
        <v>4704.3405220000004</v>
      </c>
      <c r="H30">
        <v>42198718.240000002</v>
      </c>
      <c r="I30">
        <v>14468.289510000001</v>
      </c>
      <c r="J30">
        <v>46682480.93</v>
      </c>
      <c r="K30">
        <v>0.104662453</v>
      </c>
      <c r="L30">
        <v>1.6286335999999998E-2</v>
      </c>
      <c r="M30">
        <v>-1.9162968999999998E-2</v>
      </c>
      <c r="N30">
        <v>1.178155E-3</v>
      </c>
      <c r="O30">
        <v>0.31182239299999998</v>
      </c>
      <c r="P30">
        <v>3.9101521E-2</v>
      </c>
      <c r="Q30">
        <v>0.18171193199999999</v>
      </c>
      <c r="R30">
        <v>0.14869270600000001</v>
      </c>
      <c r="S30">
        <v>0.57268443199999997</v>
      </c>
      <c r="T30">
        <v>0.244716973</v>
      </c>
      <c r="U30">
        <v>16</v>
      </c>
    </row>
    <row r="31" spans="1:21" x14ac:dyDescent="0.25">
      <c r="A31">
        <v>30</v>
      </c>
      <c r="B31">
        <v>310</v>
      </c>
      <c r="C31" t="s">
        <v>20</v>
      </c>
      <c r="D31">
        <v>16</v>
      </c>
      <c r="E31" t="s">
        <v>21</v>
      </c>
      <c r="F31" t="s">
        <v>22</v>
      </c>
      <c r="G31">
        <v>5129.2270120000003</v>
      </c>
      <c r="H31">
        <v>49149238.170000002</v>
      </c>
      <c r="I31">
        <v>14245.649579999999</v>
      </c>
      <c r="J31">
        <v>47964527.68</v>
      </c>
      <c r="K31">
        <v>0.109348001</v>
      </c>
      <c r="L31">
        <v>1.4642393E-2</v>
      </c>
      <c r="M31">
        <v>-1.6800127000000002E-2</v>
      </c>
      <c r="N31">
        <v>1.4216369999999999E-3</v>
      </c>
      <c r="O31">
        <v>0.31900707</v>
      </c>
      <c r="P31">
        <v>3.7613315000000001E-2</v>
      </c>
      <c r="Q31">
        <v>0.184581298</v>
      </c>
      <c r="R31">
        <v>0.15051104200000001</v>
      </c>
      <c r="S31">
        <v>0.573047152</v>
      </c>
      <c r="T31">
        <v>0.24466411399999999</v>
      </c>
      <c r="U31">
        <v>17</v>
      </c>
    </row>
    <row r="32" spans="1:21" x14ac:dyDescent="0.25">
      <c r="A32">
        <v>31</v>
      </c>
      <c r="B32">
        <v>401</v>
      </c>
      <c r="C32" t="s">
        <v>20</v>
      </c>
      <c r="D32">
        <v>16</v>
      </c>
      <c r="E32" t="s">
        <v>21</v>
      </c>
      <c r="F32" t="s">
        <v>22</v>
      </c>
      <c r="G32">
        <v>3493.2323660000002</v>
      </c>
      <c r="H32">
        <v>34885092.729999997</v>
      </c>
      <c r="I32">
        <v>15133.39194</v>
      </c>
      <c r="J32">
        <v>35528010.43</v>
      </c>
      <c r="K32">
        <v>6.0334687999999997E-2</v>
      </c>
      <c r="L32">
        <v>1.1818520000000001E-2</v>
      </c>
      <c r="M32">
        <v>-3.5119450000000003E-2</v>
      </c>
      <c r="N32">
        <v>1.3753439999999999E-3</v>
      </c>
      <c r="O32">
        <v>0.249660417</v>
      </c>
      <c r="P32">
        <v>3.0147770000000001E-2</v>
      </c>
      <c r="Q32">
        <v>0.13101797700000001</v>
      </c>
      <c r="R32">
        <v>0.11385226699999999</v>
      </c>
      <c r="S32">
        <v>0.76292185899999998</v>
      </c>
      <c r="T32">
        <v>0.18087209600000001</v>
      </c>
      <c r="U32">
        <v>25</v>
      </c>
    </row>
    <row r="33" spans="1:21" x14ac:dyDescent="0.25">
      <c r="A33">
        <v>32</v>
      </c>
      <c r="B33">
        <v>402</v>
      </c>
      <c r="C33" t="s">
        <v>20</v>
      </c>
      <c r="D33">
        <v>16</v>
      </c>
      <c r="E33" t="s">
        <v>21</v>
      </c>
      <c r="F33" t="s">
        <v>22</v>
      </c>
      <c r="G33">
        <v>2161.6730259999999</v>
      </c>
      <c r="H33">
        <v>8547333.9890000001</v>
      </c>
      <c r="I33">
        <v>16444.983670000001</v>
      </c>
      <c r="J33">
        <v>9915478.0920000002</v>
      </c>
      <c r="K33">
        <v>-1.7261926E-2</v>
      </c>
      <c r="L33">
        <v>4.5218569999999998E-3</v>
      </c>
      <c r="M33">
        <v>-5.7854324999999998E-2</v>
      </c>
      <c r="N33">
        <v>5.1211900000000001E-4</v>
      </c>
      <c r="O33">
        <v>0.15934968499999999</v>
      </c>
      <c r="P33">
        <v>9.8063279999999996E-3</v>
      </c>
      <c r="Q33">
        <v>3.3954911999999997E-2</v>
      </c>
      <c r="R33">
        <v>3.2801975999999997E-2</v>
      </c>
      <c r="S33">
        <v>0.67554572099999999</v>
      </c>
      <c r="T33">
        <v>0.21918370000000001</v>
      </c>
      <c r="U33">
        <v>27</v>
      </c>
    </row>
    <row r="34" spans="1:21" x14ac:dyDescent="0.25">
      <c r="A34">
        <v>33</v>
      </c>
      <c r="B34">
        <v>403</v>
      </c>
      <c r="C34" t="s">
        <v>20</v>
      </c>
      <c r="D34">
        <v>16</v>
      </c>
      <c r="E34" t="s">
        <v>21</v>
      </c>
      <c r="F34" t="s">
        <v>22</v>
      </c>
      <c r="G34">
        <v>4559.9573030000001</v>
      </c>
      <c r="H34">
        <v>53585307.530000001</v>
      </c>
      <c r="I34">
        <v>13646.950709999999</v>
      </c>
      <c r="J34">
        <v>42527598.229999997</v>
      </c>
      <c r="K34">
        <v>7.8126652000000005E-2</v>
      </c>
      <c r="L34">
        <v>1.3855928E-2</v>
      </c>
      <c r="M34">
        <v>-3.4946623000000003E-2</v>
      </c>
      <c r="N34">
        <v>1.334317E-3</v>
      </c>
      <c r="O34">
        <v>0.28130377400000001</v>
      </c>
      <c r="P34">
        <v>3.7960590000000002E-2</v>
      </c>
      <c r="Q34">
        <v>0.17479650999999999</v>
      </c>
      <c r="R34">
        <v>0.14424269000000001</v>
      </c>
      <c r="S34">
        <v>0.69455598200000002</v>
      </c>
      <c r="T34">
        <v>0.21214796999999999</v>
      </c>
      <c r="U34">
        <v>20</v>
      </c>
    </row>
    <row r="35" spans="1:21" x14ac:dyDescent="0.25">
      <c r="A35">
        <v>34</v>
      </c>
      <c r="B35">
        <v>404</v>
      </c>
      <c r="C35" t="s">
        <v>20</v>
      </c>
      <c r="D35">
        <v>16</v>
      </c>
      <c r="E35" t="s">
        <v>21</v>
      </c>
      <c r="F35" t="s">
        <v>22</v>
      </c>
      <c r="G35">
        <v>3047.2136679999999</v>
      </c>
      <c r="H35">
        <v>25909762.579999998</v>
      </c>
      <c r="I35">
        <v>15518.96766</v>
      </c>
      <c r="J35">
        <v>27888060.359999999</v>
      </c>
      <c r="K35">
        <v>1.7013245E-2</v>
      </c>
      <c r="L35">
        <v>1.0976593E-2</v>
      </c>
      <c r="M35">
        <v>-5.0641243000000002E-2</v>
      </c>
      <c r="N35">
        <v>1.0722049999999999E-3</v>
      </c>
      <c r="O35">
        <v>0.211511792</v>
      </c>
      <c r="P35">
        <v>2.6492936000000002E-2</v>
      </c>
      <c r="Q35">
        <v>9.8836885999999999E-2</v>
      </c>
      <c r="R35">
        <v>8.9068155999999996E-2</v>
      </c>
      <c r="S35">
        <v>0.81089291299999999</v>
      </c>
      <c r="T35">
        <v>0.153345597</v>
      </c>
      <c r="U35">
        <v>34</v>
      </c>
    </row>
    <row r="36" spans="1:21" x14ac:dyDescent="0.25">
      <c r="A36">
        <v>35</v>
      </c>
      <c r="B36">
        <v>405</v>
      </c>
      <c r="C36" t="s">
        <v>20</v>
      </c>
      <c r="D36">
        <v>16</v>
      </c>
      <c r="E36" t="s">
        <v>21</v>
      </c>
      <c r="F36" t="s">
        <v>22</v>
      </c>
      <c r="G36">
        <v>2307.7791400000001</v>
      </c>
      <c r="H36">
        <v>18334395.309999999</v>
      </c>
      <c r="I36">
        <v>16336.40878</v>
      </c>
      <c r="J36">
        <v>18375443.120000001</v>
      </c>
      <c r="K36">
        <v>3.75285E-4</v>
      </c>
      <c r="L36">
        <v>6.7815469999999997E-3</v>
      </c>
      <c r="M36">
        <v>-5.3542843999999999E-2</v>
      </c>
      <c r="N36">
        <v>8.4016500000000003E-4</v>
      </c>
      <c r="O36">
        <v>0.192285066</v>
      </c>
      <c r="P36">
        <v>1.6446477000000001E-2</v>
      </c>
      <c r="Q36">
        <v>6.2557376999999997E-2</v>
      </c>
      <c r="R36">
        <v>5.8643951999999999E-2</v>
      </c>
      <c r="S36">
        <v>0.86309574099999997</v>
      </c>
      <c r="T36">
        <v>0.118161483</v>
      </c>
      <c r="U36">
        <v>31</v>
      </c>
    </row>
    <row r="37" spans="1:21" x14ac:dyDescent="0.25">
      <c r="A37">
        <v>36</v>
      </c>
      <c r="B37">
        <v>406</v>
      </c>
      <c r="C37" t="s">
        <v>20</v>
      </c>
      <c r="D37">
        <v>16</v>
      </c>
      <c r="E37" t="s">
        <v>21</v>
      </c>
      <c r="F37" t="s">
        <v>22</v>
      </c>
      <c r="G37">
        <v>3330.9711860000002</v>
      </c>
      <c r="H37">
        <v>33590728.68</v>
      </c>
      <c r="I37">
        <v>14083.309499999999</v>
      </c>
      <c r="J37">
        <v>35747867.18</v>
      </c>
      <c r="K37">
        <v>6.0695591E-2</v>
      </c>
      <c r="L37">
        <v>1.4753867E-2</v>
      </c>
      <c r="M37">
        <v>-3.2423260000000002E-2</v>
      </c>
      <c r="N37">
        <v>1.3754489999999999E-3</v>
      </c>
      <c r="O37">
        <v>0.26686999</v>
      </c>
      <c r="P37">
        <v>3.3254064E-2</v>
      </c>
      <c r="Q37">
        <v>0.138389559</v>
      </c>
      <c r="R37">
        <v>0.119237889</v>
      </c>
      <c r="S37">
        <v>0.77000926000000003</v>
      </c>
      <c r="T37">
        <v>0.177094999</v>
      </c>
      <c r="U37">
        <v>30</v>
      </c>
    </row>
    <row r="38" spans="1:21" x14ac:dyDescent="0.25">
      <c r="A38">
        <v>37</v>
      </c>
      <c r="B38">
        <v>407</v>
      </c>
      <c r="C38" t="s">
        <v>20</v>
      </c>
      <c r="D38">
        <v>16</v>
      </c>
      <c r="E38" t="s">
        <v>21</v>
      </c>
      <c r="F38" t="s">
        <v>22</v>
      </c>
      <c r="G38">
        <v>2014.1027819999999</v>
      </c>
      <c r="H38">
        <v>10349324.84</v>
      </c>
      <c r="I38">
        <v>16250.0057</v>
      </c>
      <c r="J38">
        <v>11618067.199999999</v>
      </c>
      <c r="K38">
        <v>1.6558239999999998E-2</v>
      </c>
      <c r="L38">
        <v>4.694602E-3</v>
      </c>
      <c r="M38">
        <v>-3.8578527000000001E-2</v>
      </c>
      <c r="N38">
        <v>6.7215299999999999E-4</v>
      </c>
      <c r="O38">
        <v>0.20077858900000001</v>
      </c>
      <c r="P38">
        <v>9.3514240000000005E-3</v>
      </c>
      <c r="Q38">
        <v>3.8485378000000001E-2</v>
      </c>
      <c r="R38">
        <v>3.7004254E-2</v>
      </c>
      <c r="S38">
        <v>0.69997093399999999</v>
      </c>
      <c r="T38">
        <v>0.21001162500000001</v>
      </c>
      <c r="U38">
        <v>20</v>
      </c>
    </row>
    <row r="39" spans="1:21" x14ac:dyDescent="0.25">
      <c r="A39">
        <v>38</v>
      </c>
      <c r="B39">
        <v>408</v>
      </c>
      <c r="C39" t="s">
        <v>20</v>
      </c>
      <c r="D39">
        <v>16</v>
      </c>
      <c r="E39" t="s">
        <v>21</v>
      </c>
      <c r="F39" t="s">
        <v>22</v>
      </c>
      <c r="G39">
        <v>4746.0140309999997</v>
      </c>
      <c r="H39">
        <v>41680191.32</v>
      </c>
      <c r="I39">
        <v>13882.15904</v>
      </c>
      <c r="J39">
        <v>42084329.039999999</v>
      </c>
      <c r="K39">
        <v>8.5796706E-2</v>
      </c>
      <c r="L39">
        <v>1.6249729000000001E-2</v>
      </c>
      <c r="M39">
        <v>-2.1766112000000001E-2</v>
      </c>
      <c r="N39">
        <v>1.4011659999999999E-3</v>
      </c>
      <c r="O39">
        <v>0.29674959899999998</v>
      </c>
      <c r="P39">
        <v>3.6871850999999997E-2</v>
      </c>
      <c r="Q39">
        <v>0.16903211400000001</v>
      </c>
      <c r="R39">
        <v>0.140460259</v>
      </c>
      <c r="S39">
        <v>0.74975779499999995</v>
      </c>
      <c r="T39">
        <v>0.18762104399999999</v>
      </c>
      <c r="U39">
        <v>26</v>
      </c>
    </row>
    <row r="40" spans="1:21" x14ac:dyDescent="0.25">
      <c r="A40">
        <v>39</v>
      </c>
      <c r="B40">
        <v>410</v>
      </c>
      <c r="C40" t="s">
        <v>20</v>
      </c>
      <c r="D40">
        <v>16</v>
      </c>
      <c r="E40" t="s">
        <v>21</v>
      </c>
      <c r="F40" t="s">
        <v>22</v>
      </c>
      <c r="G40">
        <v>3332.6748339999999</v>
      </c>
      <c r="H40">
        <v>34088950.18</v>
      </c>
      <c r="I40">
        <v>15199.985629999999</v>
      </c>
      <c r="J40">
        <v>27090348.140000001</v>
      </c>
      <c r="K40">
        <v>7.0940847000000001E-2</v>
      </c>
      <c r="L40">
        <v>7.1506929999999996E-3</v>
      </c>
      <c r="M40">
        <v>-2.5613543999999999E-2</v>
      </c>
      <c r="N40">
        <v>1.122882E-3</v>
      </c>
      <c r="O40">
        <v>0.270593374</v>
      </c>
      <c r="P40">
        <v>1.9654640000000001E-2</v>
      </c>
      <c r="Q40">
        <v>0.10099780999999999</v>
      </c>
      <c r="R40">
        <v>9.0797251999999995E-2</v>
      </c>
      <c r="S40">
        <v>0.867962028</v>
      </c>
      <c r="T40">
        <v>0.114603946</v>
      </c>
      <c r="U40">
        <v>33</v>
      </c>
    </row>
    <row r="41" spans="1:21" x14ac:dyDescent="0.25">
      <c r="A41">
        <v>40</v>
      </c>
      <c r="B41">
        <v>409</v>
      </c>
      <c r="C41" t="s">
        <v>20</v>
      </c>
      <c r="D41">
        <v>16</v>
      </c>
      <c r="E41" t="s">
        <v>21</v>
      </c>
      <c r="F41" t="s">
        <v>22</v>
      </c>
      <c r="G41">
        <v>5686.9508589999996</v>
      </c>
      <c r="H41">
        <v>61720786.520000003</v>
      </c>
      <c r="I41">
        <v>13358.137430000001</v>
      </c>
      <c r="J41">
        <v>48832053.869999997</v>
      </c>
      <c r="K41">
        <v>0.117193899</v>
      </c>
      <c r="L41">
        <v>1.5534766E-2</v>
      </c>
      <c r="M41">
        <v>-1.1640027000000001E-2</v>
      </c>
      <c r="N41">
        <v>1.6258329999999999E-3</v>
      </c>
      <c r="O41">
        <v>0.33517928600000002</v>
      </c>
      <c r="P41">
        <v>3.9669575999999998E-2</v>
      </c>
      <c r="Q41">
        <v>0.20734762000000001</v>
      </c>
      <c r="R41">
        <v>0.164354585</v>
      </c>
      <c r="S41">
        <v>0.44219591000000003</v>
      </c>
      <c r="T41">
        <v>0.24665868699999999</v>
      </c>
      <c r="U41">
        <v>11</v>
      </c>
    </row>
    <row r="42" spans="1:21" x14ac:dyDescent="0.25">
      <c r="A42">
        <v>41</v>
      </c>
      <c r="B42">
        <v>501</v>
      </c>
      <c r="C42" t="s">
        <v>20</v>
      </c>
      <c r="D42">
        <v>16</v>
      </c>
      <c r="E42" t="s">
        <v>21</v>
      </c>
      <c r="F42" t="s">
        <v>22</v>
      </c>
      <c r="G42">
        <v>3101.2158810000001</v>
      </c>
      <c r="H42">
        <v>27894285.899999999</v>
      </c>
      <c r="I42">
        <v>14934.137189999999</v>
      </c>
      <c r="J42">
        <v>30225108.699999999</v>
      </c>
      <c r="K42">
        <v>7.1544796999999993E-2</v>
      </c>
      <c r="L42">
        <v>1.0944002E-2</v>
      </c>
      <c r="M42">
        <v>-2.9080656999999999E-2</v>
      </c>
      <c r="N42">
        <v>1.0678899999999999E-3</v>
      </c>
      <c r="O42">
        <v>0.26215708900000001</v>
      </c>
      <c r="P42">
        <v>2.5714475000000001E-2</v>
      </c>
      <c r="Q42">
        <v>0.118147921</v>
      </c>
      <c r="R42">
        <v>0.10418899</v>
      </c>
      <c r="S42">
        <v>0.67009877799999995</v>
      </c>
      <c r="T42">
        <v>0.22106640599999999</v>
      </c>
      <c r="U42">
        <v>19</v>
      </c>
    </row>
    <row r="43" spans="1:21" x14ac:dyDescent="0.25">
      <c r="A43">
        <v>42</v>
      </c>
      <c r="B43">
        <v>502</v>
      </c>
      <c r="C43" t="s">
        <v>20</v>
      </c>
      <c r="D43">
        <v>16</v>
      </c>
      <c r="E43" t="s">
        <v>21</v>
      </c>
      <c r="F43" t="s">
        <v>22</v>
      </c>
      <c r="G43">
        <v>4082.0426870000001</v>
      </c>
      <c r="H43">
        <v>42010359.689999998</v>
      </c>
      <c r="I43">
        <v>14317.09584</v>
      </c>
      <c r="J43">
        <v>47390095.420000002</v>
      </c>
      <c r="K43">
        <v>8.1256666000000005E-2</v>
      </c>
      <c r="L43">
        <v>1.6843723000000001E-2</v>
      </c>
      <c r="M43">
        <v>-3.4620138000000002E-2</v>
      </c>
      <c r="N43">
        <v>1.028532E-3</v>
      </c>
      <c r="O43">
        <v>0.28732505699999999</v>
      </c>
      <c r="P43">
        <v>4.0442589000000001E-2</v>
      </c>
      <c r="Q43">
        <v>0.17815996000000001</v>
      </c>
      <c r="R43">
        <v>0.146418989</v>
      </c>
      <c r="S43">
        <v>0.70756386900000001</v>
      </c>
      <c r="T43">
        <v>0.20691724</v>
      </c>
      <c r="U43">
        <v>25</v>
      </c>
    </row>
    <row r="44" spans="1:21" x14ac:dyDescent="0.25">
      <c r="A44">
        <v>43</v>
      </c>
      <c r="B44">
        <v>503</v>
      </c>
      <c r="C44" t="s">
        <v>20</v>
      </c>
      <c r="D44">
        <v>16</v>
      </c>
      <c r="E44" t="s">
        <v>21</v>
      </c>
      <c r="F44" t="s">
        <v>22</v>
      </c>
      <c r="G44">
        <v>3359.0480050000001</v>
      </c>
      <c r="H44">
        <v>30860624.149999999</v>
      </c>
      <c r="I44">
        <v>14506.95444</v>
      </c>
      <c r="J44">
        <v>40208887.939999998</v>
      </c>
      <c r="K44">
        <v>9.2389605999999999E-2</v>
      </c>
      <c r="L44">
        <v>1.3651016E-2</v>
      </c>
      <c r="M44">
        <v>-2.691143E-2</v>
      </c>
      <c r="N44">
        <v>1.0791010000000001E-3</v>
      </c>
      <c r="O44">
        <v>0.28538755199999999</v>
      </c>
      <c r="P44">
        <v>3.3844137000000003E-2</v>
      </c>
      <c r="Q44">
        <v>0.15299421199999999</v>
      </c>
      <c r="R44">
        <v>0.12958698299999999</v>
      </c>
      <c r="S44">
        <v>0.69137397</v>
      </c>
      <c r="T44">
        <v>0.21337600400000001</v>
      </c>
      <c r="U44">
        <v>22</v>
      </c>
    </row>
    <row r="45" spans="1:21" x14ac:dyDescent="0.25">
      <c r="A45">
        <v>44</v>
      </c>
      <c r="B45">
        <v>504</v>
      </c>
      <c r="C45" t="s">
        <v>20</v>
      </c>
      <c r="D45">
        <v>16</v>
      </c>
      <c r="E45" t="s">
        <v>21</v>
      </c>
      <c r="F45" t="s">
        <v>22</v>
      </c>
      <c r="G45">
        <v>3830.0989570000002</v>
      </c>
      <c r="H45">
        <v>26242944.489999998</v>
      </c>
      <c r="I45">
        <v>14920.651239999999</v>
      </c>
      <c r="J45">
        <v>44224228.960000001</v>
      </c>
      <c r="K45">
        <v>7.6362256000000003E-2</v>
      </c>
      <c r="L45">
        <v>1.8156355999999998E-2</v>
      </c>
      <c r="M45">
        <v>-3.6168709E-2</v>
      </c>
      <c r="N45">
        <v>1.3022400000000001E-3</v>
      </c>
      <c r="O45">
        <v>0.273408816</v>
      </c>
      <c r="P45">
        <v>3.9651467000000003E-2</v>
      </c>
      <c r="Q45">
        <v>0.158118431</v>
      </c>
      <c r="R45">
        <v>0.13311699299999999</v>
      </c>
      <c r="S45">
        <v>0.67271066599999996</v>
      </c>
      <c r="T45">
        <v>0.22017102599999999</v>
      </c>
      <c r="U45">
        <v>17</v>
      </c>
    </row>
    <row r="46" spans="1:21" x14ac:dyDescent="0.25">
      <c r="A46">
        <v>45</v>
      </c>
      <c r="B46">
        <v>505</v>
      </c>
      <c r="C46" t="s">
        <v>20</v>
      </c>
      <c r="D46">
        <v>16</v>
      </c>
      <c r="E46" t="s">
        <v>21</v>
      </c>
      <c r="F46" t="s">
        <v>22</v>
      </c>
      <c r="G46">
        <v>4401.3935149999998</v>
      </c>
      <c r="H46">
        <v>39200959.75</v>
      </c>
      <c r="I46">
        <v>13978.341410000001</v>
      </c>
      <c r="J46">
        <v>51469874.780000001</v>
      </c>
      <c r="K46">
        <v>8.8966817000000004E-2</v>
      </c>
      <c r="L46">
        <v>1.9792869000000001E-2</v>
      </c>
      <c r="M46">
        <v>-3.3512137999999997E-2</v>
      </c>
      <c r="N46">
        <v>1.6638060000000001E-3</v>
      </c>
      <c r="O46">
        <v>0.29817558700000002</v>
      </c>
      <c r="P46">
        <v>4.2219602000000002E-2</v>
      </c>
      <c r="Q46">
        <v>0.191653505</v>
      </c>
      <c r="R46">
        <v>0.154922439</v>
      </c>
      <c r="S46">
        <v>0.62595290299999995</v>
      </c>
      <c r="T46">
        <v>0.234135866</v>
      </c>
      <c r="U46">
        <v>21</v>
      </c>
    </row>
    <row r="47" spans="1:21" x14ac:dyDescent="0.25">
      <c r="A47">
        <v>46</v>
      </c>
      <c r="B47">
        <v>506</v>
      </c>
      <c r="C47" t="s">
        <v>20</v>
      </c>
      <c r="D47">
        <v>16</v>
      </c>
      <c r="E47" t="s">
        <v>21</v>
      </c>
      <c r="F47" t="s">
        <v>22</v>
      </c>
      <c r="G47">
        <v>3087.2640670000001</v>
      </c>
      <c r="H47">
        <v>21936012.760000002</v>
      </c>
      <c r="I47">
        <v>14729.14162</v>
      </c>
      <c r="J47">
        <v>33883979.329999998</v>
      </c>
      <c r="K47">
        <v>6.5141283999999994E-2</v>
      </c>
      <c r="L47">
        <v>1.545798E-2</v>
      </c>
      <c r="M47">
        <v>-3.3057499999999997E-2</v>
      </c>
      <c r="N47">
        <v>1.205982E-3</v>
      </c>
      <c r="O47">
        <v>0.26705583999999999</v>
      </c>
      <c r="P47">
        <v>3.0780946999999999E-2</v>
      </c>
      <c r="Q47">
        <v>0.134674829</v>
      </c>
      <c r="R47">
        <v>0.11653751900000001</v>
      </c>
      <c r="S47">
        <v>0.92253887999999995</v>
      </c>
      <c r="T47">
        <v>7.1460894999999997E-2</v>
      </c>
      <c r="U47">
        <v>40</v>
      </c>
    </row>
    <row r="48" spans="1:21" x14ac:dyDescent="0.25">
      <c r="A48">
        <v>47</v>
      </c>
      <c r="B48">
        <v>510</v>
      </c>
      <c r="C48" t="s">
        <v>20</v>
      </c>
      <c r="D48">
        <v>16</v>
      </c>
      <c r="E48" t="s">
        <v>21</v>
      </c>
      <c r="F48" t="s">
        <v>22</v>
      </c>
      <c r="G48">
        <v>5131.8335660000002</v>
      </c>
      <c r="H48">
        <v>51566185.590000004</v>
      </c>
      <c r="I48">
        <v>13164.02743</v>
      </c>
      <c r="J48">
        <v>57730332.200000003</v>
      </c>
      <c r="K48">
        <v>0.121157612</v>
      </c>
      <c r="L48">
        <v>1.9469923E-2</v>
      </c>
      <c r="M48">
        <v>-1.5682794E-2</v>
      </c>
      <c r="N48">
        <v>1.964642E-3</v>
      </c>
      <c r="O48">
        <v>0.34185890099999999</v>
      </c>
      <c r="P48">
        <v>4.1799041000000002E-2</v>
      </c>
      <c r="Q48">
        <v>0.21951219499999999</v>
      </c>
      <c r="R48">
        <v>0.171326591</v>
      </c>
      <c r="S48">
        <v>0.67206681199999996</v>
      </c>
      <c r="T48">
        <v>0.220393012</v>
      </c>
      <c r="U48">
        <v>16</v>
      </c>
    </row>
    <row r="49" spans="1:21" x14ac:dyDescent="0.25">
      <c r="A49">
        <v>48</v>
      </c>
      <c r="B49">
        <v>509</v>
      </c>
      <c r="C49" t="s">
        <v>20</v>
      </c>
      <c r="D49">
        <v>16</v>
      </c>
      <c r="E49" t="s">
        <v>21</v>
      </c>
      <c r="F49" t="s">
        <v>22</v>
      </c>
      <c r="G49">
        <v>3629.1702639999999</v>
      </c>
      <c r="H49">
        <v>28657416.98</v>
      </c>
      <c r="I49">
        <v>14505.42042</v>
      </c>
      <c r="J49">
        <v>49560182.060000002</v>
      </c>
      <c r="K49">
        <v>0.105550486</v>
      </c>
      <c r="L49">
        <v>2.2113565000000002E-2</v>
      </c>
      <c r="M49">
        <v>-1.7285450000000001E-2</v>
      </c>
      <c r="N49">
        <v>1.6283580000000001E-3</v>
      </c>
      <c r="O49">
        <v>0.31790710799999999</v>
      </c>
      <c r="P49">
        <v>4.4082834000000001E-2</v>
      </c>
      <c r="Q49">
        <v>0.18612864000000001</v>
      </c>
      <c r="R49">
        <v>0.15148476899999999</v>
      </c>
      <c r="S49">
        <v>0.78190820999999999</v>
      </c>
      <c r="T49">
        <v>0.170527761</v>
      </c>
      <c r="U49">
        <v>23</v>
      </c>
    </row>
    <row r="50" spans="1:21" x14ac:dyDescent="0.25">
      <c r="A50">
        <v>49</v>
      </c>
      <c r="B50">
        <v>508</v>
      </c>
      <c r="C50" t="s">
        <v>20</v>
      </c>
      <c r="D50">
        <v>16</v>
      </c>
      <c r="E50" t="s">
        <v>21</v>
      </c>
      <c r="F50" t="s">
        <v>22</v>
      </c>
      <c r="G50">
        <v>3324.8217559999998</v>
      </c>
      <c r="H50">
        <v>28197523.98</v>
      </c>
      <c r="I50">
        <v>14881.390160000001</v>
      </c>
      <c r="J50">
        <v>42156234.079999998</v>
      </c>
      <c r="K50">
        <v>7.1770988999999993E-2</v>
      </c>
      <c r="L50">
        <v>1.9866971000000001E-2</v>
      </c>
      <c r="M50">
        <v>-2.8011359E-2</v>
      </c>
      <c r="N50">
        <v>1.3726680000000001E-3</v>
      </c>
      <c r="O50">
        <v>0.28359910599999999</v>
      </c>
      <c r="P50">
        <v>3.9469401000000001E-2</v>
      </c>
      <c r="Q50">
        <v>0.16128673199999999</v>
      </c>
      <c r="R50">
        <v>0.135273322</v>
      </c>
      <c r="S50">
        <v>0.678128065</v>
      </c>
      <c r="T50">
        <v>0.21827039300000001</v>
      </c>
      <c r="U50">
        <v>19</v>
      </c>
    </row>
    <row r="51" spans="1:21" x14ac:dyDescent="0.25">
      <c r="A51">
        <v>50</v>
      </c>
      <c r="B51">
        <v>507</v>
      </c>
      <c r="C51" t="s">
        <v>20</v>
      </c>
      <c r="D51">
        <v>16</v>
      </c>
      <c r="E51" t="s">
        <v>21</v>
      </c>
      <c r="F51" t="s">
        <v>22</v>
      </c>
      <c r="G51">
        <v>3932.1000039999999</v>
      </c>
      <c r="H51">
        <v>30785838.530000001</v>
      </c>
      <c r="I51">
        <v>13502.93339</v>
      </c>
      <c r="J51">
        <v>45778504.93</v>
      </c>
      <c r="K51">
        <v>0.102428934</v>
      </c>
      <c r="L51">
        <v>2.292756E-2</v>
      </c>
      <c r="M51">
        <v>-2.3528305999999999E-2</v>
      </c>
      <c r="N51">
        <v>1.5449210000000001E-3</v>
      </c>
      <c r="O51">
        <v>0.31832540599999998</v>
      </c>
      <c r="P51">
        <v>4.4627775000000001E-2</v>
      </c>
      <c r="Q51">
        <v>0.208886027</v>
      </c>
      <c r="R51">
        <v>0.165252655</v>
      </c>
      <c r="S51">
        <v>0.85844331900000004</v>
      </c>
      <c r="T51">
        <v>0.12151838700000001</v>
      </c>
      <c r="U51">
        <v>35</v>
      </c>
    </row>
    <row r="52" spans="1:21" x14ac:dyDescent="0.25">
      <c r="A52">
        <v>51</v>
      </c>
      <c r="B52">
        <v>601</v>
      </c>
      <c r="C52" t="s">
        <v>20</v>
      </c>
      <c r="D52">
        <v>16</v>
      </c>
      <c r="E52" t="s">
        <v>21</v>
      </c>
      <c r="F52" t="s">
        <v>22</v>
      </c>
      <c r="G52">
        <v>2691.43532</v>
      </c>
      <c r="H52">
        <v>17478405.16</v>
      </c>
      <c r="I52">
        <v>15079.930490000001</v>
      </c>
      <c r="J52">
        <v>20522649.43</v>
      </c>
      <c r="K52">
        <v>4.7883777000000002E-2</v>
      </c>
      <c r="L52">
        <v>6.5784060000000002E-3</v>
      </c>
      <c r="M52">
        <v>-3.3678733000000002E-2</v>
      </c>
      <c r="N52">
        <v>9.2562500000000002E-4</v>
      </c>
      <c r="O52">
        <v>0.23740193400000001</v>
      </c>
      <c r="P52">
        <v>1.6580702999999999E-2</v>
      </c>
      <c r="Q52">
        <v>7.8472841000000002E-2</v>
      </c>
      <c r="R52">
        <v>7.2314853999999998E-2</v>
      </c>
      <c r="S52">
        <v>0.727397768</v>
      </c>
      <c r="T52">
        <v>0.198290255</v>
      </c>
      <c r="U52">
        <v>37</v>
      </c>
    </row>
    <row r="53" spans="1:21" x14ac:dyDescent="0.25">
      <c r="A53">
        <v>52</v>
      </c>
      <c r="B53">
        <v>602</v>
      </c>
      <c r="C53" t="s">
        <v>20</v>
      </c>
      <c r="D53">
        <v>16</v>
      </c>
      <c r="E53" t="s">
        <v>21</v>
      </c>
      <c r="F53" t="s">
        <v>22</v>
      </c>
      <c r="G53">
        <v>3042.9828309999998</v>
      </c>
      <c r="H53">
        <v>21048371.460000001</v>
      </c>
      <c r="I53">
        <v>15690.72539</v>
      </c>
      <c r="J53">
        <v>22889566.329999998</v>
      </c>
      <c r="K53">
        <v>4.0534162999999998E-2</v>
      </c>
      <c r="L53">
        <v>7.8731600000000006E-3</v>
      </c>
      <c r="M53">
        <v>-4.0411603999999997E-2</v>
      </c>
      <c r="N53">
        <v>7.8694500000000005E-4</v>
      </c>
      <c r="O53">
        <v>0.23292431799999999</v>
      </c>
      <c r="P53">
        <v>1.9889546000000001E-2</v>
      </c>
      <c r="Q53">
        <v>9.0572129000000001E-2</v>
      </c>
      <c r="R53">
        <v>8.2368817999999996E-2</v>
      </c>
      <c r="S53">
        <v>0.87410529599999998</v>
      </c>
      <c r="T53">
        <v>0.11004522799999999</v>
      </c>
      <c r="U53">
        <v>36</v>
      </c>
    </row>
    <row r="54" spans="1:21" x14ac:dyDescent="0.25">
      <c r="A54">
        <v>53</v>
      </c>
      <c r="B54">
        <v>603</v>
      </c>
      <c r="C54" t="s">
        <v>20</v>
      </c>
      <c r="D54">
        <v>16</v>
      </c>
      <c r="E54" t="s">
        <v>21</v>
      </c>
      <c r="F54" t="s">
        <v>22</v>
      </c>
      <c r="G54">
        <v>4641.4825199999996</v>
      </c>
      <c r="H54">
        <v>39887475.640000001</v>
      </c>
      <c r="I54">
        <v>14283.80431</v>
      </c>
      <c r="J54">
        <v>49570091.240000002</v>
      </c>
      <c r="K54">
        <v>9.9908091000000004E-2</v>
      </c>
      <c r="L54">
        <v>1.5749189E-2</v>
      </c>
      <c r="M54">
        <v>-2.5791977000000001E-2</v>
      </c>
      <c r="N54">
        <v>1.2226439999999999E-3</v>
      </c>
      <c r="O54">
        <v>0.30341478799999999</v>
      </c>
      <c r="P54">
        <v>3.9494545999999998E-2</v>
      </c>
      <c r="Q54">
        <v>0.18336001900000001</v>
      </c>
      <c r="R54">
        <v>0.149739122</v>
      </c>
      <c r="S54">
        <v>0.69540837799999999</v>
      </c>
      <c r="T54">
        <v>0.21181556600000001</v>
      </c>
      <c r="U54">
        <v>19</v>
      </c>
    </row>
    <row r="55" spans="1:21" x14ac:dyDescent="0.25">
      <c r="A55">
        <v>54</v>
      </c>
      <c r="B55">
        <v>604</v>
      </c>
      <c r="C55" t="s">
        <v>20</v>
      </c>
      <c r="D55">
        <v>16</v>
      </c>
      <c r="E55" t="s">
        <v>21</v>
      </c>
      <c r="F55" t="s">
        <v>22</v>
      </c>
      <c r="G55">
        <v>4794.0178830000004</v>
      </c>
      <c r="H55">
        <v>34987270.299999997</v>
      </c>
      <c r="I55">
        <v>14724.54796</v>
      </c>
      <c r="J55">
        <v>49023689.289999999</v>
      </c>
      <c r="K55">
        <v>7.6307457999999995E-2</v>
      </c>
      <c r="L55">
        <v>1.7699139999999999E-2</v>
      </c>
      <c r="M55">
        <v>-3.46705E-2</v>
      </c>
      <c r="N55">
        <v>1.3733720000000001E-3</v>
      </c>
      <c r="O55">
        <v>0.28110060199999998</v>
      </c>
      <c r="P55">
        <v>4.1278866999999997E-2</v>
      </c>
      <c r="Q55">
        <v>0.171720278</v>
      </c>
      <c r="R55">
        <v>0.142232424</v>
      </c>
      <c r="S55">
        <v>0.67427967200000005</v>
      </c>
      <c r="T55">
        <v>0.21962659600000001</v>
      </c>
      <c r="U55">
        <v>18</v>
      </c>
    </row>
    <row r="56" spans="1:21" x14ac:dyDescent="0.25">
      <c r="A56">
        <v>55</v>
      </c>
      <c r="B56">
        <v>605</v>
      </c>
      <c r="C56" t="s">
        <v>20</v>
      </c>
      <c r="D56">
        <v>16</v>
      </c>
      <c r="E56" t="s">
        <v>21</v>
      </c>
      <c r="F56" t="s">
        <v>22</v>
      </c>
      <c r="G56">
        <v>4091.7135579999999</v>
      </c>
      <c r="H56">
        <v>25271324.93</v>
      </c>
      <c r="I56">
        <v>14675.68756</v>
      </c>
      <c r="J56">
        <v>36959058.07</v>
      </c>
      <c r="K56">
        <v>6.7720168999999997E-2</v>
      </c>
      <c r="L56">
        <v>1.3975477E-2</v>
      </c>
      <c r="M56">
        <v>-3.6303739000000002E-2</v>
      </c>
      <c r="N56">
        <v>1.383839E-3</v>
      </c>
      <c r="O56">
        <v>0.26830957999999999</v>
      </c>
      <c r="P56">
        <v>3.2312898999999999E-2</v>
      </c>
      <c r="Q56">
        <v>0.14368424299999999</v>
      </c>
      <c r="R56">
        <v>0.12303908199999999</v>
      </c>
      <c r="S56">
        <v>0.83254196499999999</v>
      </c>
      <c r="T56">
        <v>0.13941584200000001</v>
      </c>
      <c r="U56">
        <v>24</v>
      </c>
    </row>
    <row r="57" spans="1:21" x14ac:dyDescent="0.25">
      <c r="A57">
        <v>56</v>
      </c>
      <c r="B57">
        <v>606</v>
      </c>
      <c r="C57" t="s">
        <v>20</v>
      </c>
      <c r="D57">
        <v>16</v>
      </c>
      <c r="E57" t="s">
        <v>21</v>
      </c>
      <c r="F57" t="s">
        <v>22</v>
      </c>
      <c r="G57">
        <v>4184.0376729999998</v>
      </c>
      <c r="H57">
        <v>36265582.740000002</v>
      </c>
      <c r="I57">
        <v>13221.434869999999</v>
      </c>
      <c r="J57">
        <v>41593460.119999997</v>
      </c>
      <c r="K57">
        <v>0.106207512</v>
      </c>
      <c r="L57">
        <v>1.5895064E-2</v>
      </c>
      <c r="M57">
        <v>-2.3139320000000001E-2</v>
      </c>
      <c r="N57">
        <v>1.544974E-3</v>
      </c>
      <c r="O57">
        <v>0.313694786</v>
      </c>
      <c r="P57">
        <v>3.9377343000000002E-2</v>
      </c>
      <c r="Q57">
        <v>0.185603517</v>
      </c>
      <c r="R57">
        <v>0.15115485100000001</v>
      </c>
      <c r="S57">
        <v>0.65681257500000001</v>
      </c>
      <c r="T57">
        <v>0.22540981600000001</v>
      </c>
      <c r="U57">
        <v>15</v>
      </c>
    </row>
    <row r="58" spans="1:21" x14ac:dyDescent="0.25">
      <c r="A58">
        <v>57</v>
      </c>
      <c r="B58">
        <v>607</v>
      </c>
      <c r="C58" t="s">
        <v>20</v>
      </c>
      <c r="D58">
        <v>16</v>
      </c>
      <c r="E58" t="s">
        <v>21</v>
      </c>
      <c r="F58" t="s">
        <v>22</v>
      </c>
      <c r="G58">
        <v>3116.9730169999998</v>
      </c>
      <c r="H58">
        <v>27932529.899999999</v>
      </c>
      <c r="I58">
        <v>15206.18669</v>
      </c>
      <c r="J58">
        <v>24767822.579999998</v>
      </c>
      <c r="K58">
        <v>5.3829093000000001E-2</v>
      </c>
      <c r="L58">
        <v>9.4708729999999994E-3</v>
      </c>
      <c r="M58">
        <v>-3.4948448E-2</v>
      </c>
      <c r="N58">
        <v>9.6827600000000001E-4</v>
      </c>
      <c r="O58">
        <v>0.25452647299999998</v>
      </c>
      <c r="P58">
        <v>2.3772063E-2</v>
      </c>
      <c r="Q58">
        <v>0.107918263</v>
      </c>
      <c r="R58">
        <v>9.6271912000000001E-2</v>
      </c>
      <c r="S58">
        <v>0.74607836400000005</v>
      </c>
      <c r="T58">
        <v>0.18944543899999999</v>
      </c>
      <c r="U58">
        <v>25</v>
      </c>
    </row>
    <row r="59" spans="1:21" x14ac:dyDescent="0.25">
      <c r="A59">
        <v>58</v>
      </c>
      <c r="B59">
        <v>608</v>
      </c>
      <c r="C59" t="s">
        <v>20</v>
      </c>
      <c r="D59">
        <v>16</v>
      </c>
      <c r="E59" t="s">
        <v>21</v>
      </c>
      <c r="F59" t="s">
        <v>22</v>
      </c>
      <c r="G59">
        <v>4149.1687570000004</v>
      </c>
      <c r="H59">
        <v>44265643.079999998</v>
      </c>
      <c r="I59">
        <v>14721.67866</v>
      </c>
      <c r="J59">
        <v>36273435.719999999</v>
      </c>
      <c r="K59">
        <v>5.4800014000000001E-2</v>
      </c>
      <c r="L59">
        <v>1.4228800999999999E-2</v>
      </c>
      <c r="M59">
        <v>-3.3992986000000003E-2</v>
      </c>
      <c r="N59">
        <v>1.1590420000000001E-3</v>
      </c>
      <c r="O59">
        <v>0.27468992800000003</v>
      </c>
      <c r="P59">
        <v>3.2060714999999997E-2</v>
      </c>
      <c r="Q59">
        <v>0.14797499</v>
      </c>
      <c r="R59">
        <v>0.12607839200000001</v>
      </c>
      <c r="S59">
        <v>0.62443877000000003</v>
      </c>
      <c r="T59">
        <v>0.234514993</v>
      </c>
      <c r="U59">
        <v>16</v>
      </c>
    </row>
    <row r="60" spans="1:21" x14ac:dyDescent="0.25">
      <c r="A60">
        <v>59</v>
      </c>
      <c r="B60">
        <v>609</v>
      </c>
      <c r="C60" t="s">
        <v>20</v>
      </c>
      <c r="D60">
        <v>16</v>
      </c>
      <c r="E60" t="s">
        <v>21</v>
      </c>
      <c r="F60" t="s">
        <v>22</v>
      </c>
      <c r="G60">
        <v>3804.4584070000001</v>
      </c>
      <c r="H60">
        <v>29227106.93</v>
      </c>
      <c r="I60">
        <v>14613.041380000001</v>
      </c>
      <c r="J60">
        <v>43132675.149999999</v>
      </c>
      <c r="K60">
        <v>8.9774357999999999E-2</v>
      </c>
      <c r="L60">
        <v>1.9226711E-2</v>
      </c>
      <c r="M60">
        <v>-2.4948194E-2</v>
      </c>
      <c r="N60">
        <v>1.344767E-3</v>
      </c>
      <c r="O60">
        <v>0.304863514</v>
      </c>
      <c r="P60">
        <v>3.8175372999999999E-2</v>
      </c>
      <c r="Q60">
        <v>0.17248999600000001</v>
      </c>
      <c r="R60">
        <v>0.14273719700000001</v>
      </c>
      <c r="S60">
        <v>0.65101566799999999</v>
      </c>
      <c r="T60">
        <v>0.227194268</v>
      </c>
      <c r="U60">
        <v>16</v>
      </c>
    </row>
    <row r="61" spans="1:21" x14ac:dyDescent="0.25">
      <c r="A61">
        <v>60</v>
      </c>
      <c r="B61">
        <v>610</v>
      </c>
      <c r="C61" t="s">
        <v>20</v>
      </c>
      <c r="D61">
        <v>16</v>
      </c>
      <c r="E61" t="s">
        <v>21</v>
      </c>
      <c r="F61" t="s">
        <v>22</v>
      </c>
      <c r="G61">
        <v>2460.2917050000001</v>
      </c>
      <c r="H61">
        <v>12110562.949999999</v>
      </c>
      <c r="I61">
        <v>15546.1834</v>
      </c>
      <c r="J61">
        <v>25096349.809999999</v>
      </c>
      <c r="K61">
        <v>6.1492919E-2</v>
      </c>
      <c r="L61">
        <v>9.1385990000000007E-3</v>
      </c>
      <c r="M61">
        <v>-2.9645713000000001E-2</v>
      </c>
      <c r="N61">
        <v>1.0966019999999999E-3</v>
      </c>
      <c r="O61">
        <v>0.25995445700000003</v>
      </c>
      <c r="P61">
        <v>1.8188927000000001E-2</v>
      </c>
      <c r="Q61">
        <v>8.9715268000000001E-2</v>
      </c>
      <c r="R61">
        <v>8.1666437999999994E-2</v>
      </c>
      <c r="S61">
        <v>0.89267063999999996</v>
      </c>
      <c r="T61">
        <v>9.5809768000000003E-2</v>
      </c>
      <c r="U61">
        <v>33</v>
      </c>
    </row>
    <row r="62" spans="1:21" x14ac:dyDescent="0.25">
      <c r="A62">
        <v>61</v>
      </c>
      <c r="B62">
        <v>701</v>
      </c>
      <c r="C62" t="s">
        <v>20</v>
      </c>
      <c r="D62">
        <v>16</v>
      </c>
      <c r="E62" t="s">
        <v>21</v>
      </c>
      <c r="F62" t="s">
        <v>22</v>
      </c>
      <c r="G62">
        <v>3250.9233519999998</v>
      </c>
      <c r="H62">
        <v>25522726.68</v>
      </c>
      <c r="I62">
        <v>13773.638779999999</v>
      </c>
      <c r="J62">
        <v>34484643.600000001</v>
      </c>
      <c r="K62">
        <v>8.6220565999999998E-2</v>
      </c>
      <c r="L62">
        <v>1.2562488E-2</v>
      </c>
      <c r="M62">
        <v>-2.6403540999999999E-2</v>
      </c>
      <c r="N62">
        <v>1.294878E-3</v>
      </c>
      <c r="O62">
        <v>0.28789174200000001</v>
      </c>
      <c r="P62">
        <v>2.8501822999999999E-2</v>
      </c>
      <c r="Q62">
        <v>0.136409172</v>
      </c>
      <c r="R62">
        <v>0.11780171</v>
      </c>
      <c r="S62">
        <v>0.56756207199999997</v>
      </c>
      <c r="T62">
        <v>0.24543536599999999</v>
      </c>
      <c r="U62">
        <v>23</v>
      </c>
    </row>
    <row r="63" spans="1:21" x14ac:dyDescent="0.25">
      <c r="A63">
        <v>62</v>
      </c>
      <c r="B63">
        <v>702</v>
      </c>
      <c r="C63" t="s">
        <v>20</v>
      </c>
      <c r="D63">
        <v>16</v>
      </c>
      <c r="E63" t="s">
        <v>21</v>
      </c>
      <c r="F63" t="s">
        <v>22</v>
      </c>
      <c r="G63">
        <v>4089.1620710000002</v>
      </c>
      <c r="H63">
        <v>33944250.880000003</v>
      </c>
      <c r="I63">
        <v>15223.6108</v>
      </c>
      <c r="J63">
        <v>40022069.299999997</v>
      </c>
      <c r="K63">
        <v>7.9569584999999998E-2</v>
      </c>
      <c r="L63">
        <v>1.2357744E-2</v>
      </c>
      <c r="M63">
        <v>-3.2029825999999997E-2</v>
      </c>
      <c r="N63">
        <v>1.020045E-3</v>
      </c>
      <c r="O63">
        <v>0.28149373799999999</v>
      </c>
      <c r="P63">
        <v>3.0805018E-2</v>
      </c>
      <c r="Q63">
        <v>0.15149105400000001</v>
      </c>
      <c r="R63">
        <v>0.128541514</v>
      </c>
      <c r="S63">
        <v>0.77664664800000005</v>
      </c>
      <c r="T63">
        <v>0.17346663200000001</v>
      </c>
      <c r="U63">
        <v>29</v>
      </c>
    </row>
    <row r="64" spans="1:21" x14ac:dyDescent="0.25">
      <c r="A64">
        <v>63</v>
      </c>
      <c r="B64">
        <v>703</v>
      </c>
      <c r="C64" t="s">
        <v>20</v>
      </c>
      <c r="D64">
        <v>16</v>
      </c>
      <c r="E64" t="s">
        <v>21</v>
      </c>
      <c r="F64" t="s">
        <v>22</v>
      </c>
      <c r="G64">
        <v>3876.974142</v>
      </c>
      <c r="H64">
        <v>30928523.760000002</v>
      </c>
      <c r="I64">
        <v>14842.38135</v>
      </c>
      <c r="J64">
        <v>39153653.07</v>
      </c>
      <c r="K64">
        <v>8.4691975000000003E-2</v>
      </c>
      <c r="L64">
        <v>1.3589558E-2</v>
      </c>
      <c r="M64">
        <v>-2.6623299E-2</v>
      </c>
      <c r="N64">
        <v>9.4529200000000003E-4</v>
      </c>
      <c r="O64">
        <v>0.282652499</v>
      </c>
      <c r="P64">
        <v>3.2874820999999999E-2</v>
      </c>
      <c r="Q64">
        <v>0.14147373099999999</v>
      </c>
      <c r="R64">
        <v>0.121458914</v>
      </c>
      <c r="S64">
        <v>0.75342351100000005</v>
      </c>
      <c r="T64">
        <v>0.185776524</v>
      </c>
      <c r="U64">
        <v>25</v>
      </c>
    </row>
    <row r="65" spans="1:21" x14ac:dyDescent="0.25">
      <c r="A65">
        <v>64</v>
      </c>
      <c r="B65">
        <v>704</v>
      </c>
      <c r="C65" t="s">
        <v>20</v>
      </c>
      <c r="D65">
        <v>16</v>
      </c>
      <c r="E65" t="s">
        <v>21</v>
      </c>
      <c r="F65" t="s">
        <v>22</v>
      </c>
      <c r="G65">
        <v>3313.9437160000002</v>
      </c>
      <c r="H65">
        <v>14981901.73</v>
      </c>
      <c r="I65">
        <v>15677.052600000001</v>
      </c>
      <c r="J65">
        <v>29461416.66</v>
      </c>
      <c r="K65">
        <v>5.4189360999999998E-2</v>
      </c>
      <c r="L65">
        <v>1.1898842999999999E-2</v>
      </c>
      <c r="M65">
        <v>-3.4270150999999999E-2</v>
      </c>
      <c r="N65">
        <v>1.0179239999999999E-3</v>
      </c>
      <c r="O65">
        <v>0.24441532699999999</v>
      </c>
      <c r="P65">
        <v>2.5484377999999999E-2</v>
      </c>
      <c r="Q65">
        <v>0.106818473</v>
      </c>
      <c r="R65">
        <v>9.5408285999999995E-2</v>
      </c>
      <c r="S65">
        <v>0.85884131699999999</v>
      </c>
      <c r="T65">
        <v>0.121232909</v>
      </c>
      <c r="U65">
        <v>37</v>
      </c>
    </row>
    <row r="66" spans="1:21" x14ac:dyDescent="0.25">
      <c r="A66">
        <v>65</v>
      </c>
      <c r="B66">
        <v>705</v>
      </c>
      <c r="C66" t="s">
        <v>20</v>
      </c>
      <c r="D66">
        <v>16</v>
      </c>
      <c r="E66" t="s">
        <v>21</v>
      </c>
      <c r="F66" t="s">
        <v>22</v>
      </c>
      <c r="G66">
        <v>4634.1364359999998</v>
      </c>
      <c r="H66">
        <v>39268825.770000003</v>
      </c>
      <c r="I66">
        <v>13975.45276</v>
      </c>
      <c r="J66">
        <v>47741080.850000001</v>
      </c>
      <c r="K66">
        <v>9.8624860999999994E-2</v>
      </c>
      <c r="L66">
        <v>1.5595309999999999E-2</v>
      </c>
      <c r="M66">
        <v>-2.3203868999999998E-2</v>
      </c>
      <c r="N66">
        <v>1.4889689999999999E-3</v>
      </c>
      <c r="O66">
        <v>0.30432371800000002</v>
      </c>
      <c r="P66">
        <v>3.8010369000000002E-2</v>
      </c>
      <c r="Q66">
        <v>0.18019874</v>
      </c>
      <c r="R66">
        <v>0.147727154</v>
      </c>
      <c r="S66">
        <v>0.79587346999999997</v>
      </c>
      <c r="T66">
        <v>0.162458889</v>
      </c>
      <c r="U66">
        <v>22</v>
      </c>
    </row>
    <row r="67" spans="1:21" x14ac:dyDescent="0.25">
      <c r="A67">
        <v>66</v>
      </c>
      <c r="B67">
        <v>706</v>
      </c>
      <c r="C67" t="s">
        <v>20</v>
      </c>
      <c r="D67">
        <v>16</v>
      </c>
      <c r="E67" t="s">
        <v>21</v>
      </c>
      <c r="F67" t="s">
        <v>22</v>
      </c>
      <c r="G67">
        <v>4121.7103200000001</v>
      </c>
      <c r="H67">
        <v>37992070.850000001</v>
      </c>
      <c r="I67">
        <v>14031.16453</v>
      </c>
      <c r="J67">
        <v>41310884.960000001</v>
      </c>
      <c r="K67">
        <v>9.7530199999999997E-2</v>
      </c>
      <c r="L67">
        <v>1.4509407E-2</v>
      </c>
      <c r="M67">
        <v>-2.0954303000000001E-2</v>
      </c>
      <c r="N67">
        <v>1.333363E-3</v>
      </c>
      <c r="O67">
        <v>0.30114463000000002</v>
      </c>
      <c r="P67">
        <v>3.5439263999999998E-2</v>
      </c>
      <c r="Q67">
        <v>0.165664072</v>
      </c>
      <c r="R67">
        <v>0.138219487</v>
      </c>
      <c r="S67">
        <v>0.68276272800000004</v>
      </c>
      <c r="T67">
        <v>0.21659778499999999</v>
      </c>
      <c r="U67">
        <v>18</v>
      </c>
    </row>
    <row r="68" spans="1:21" x14ac:dyDescent="0.25">
      <c r="A68">
        <v>67</v>
      </c>
      <c r="B68">
        <v>707</v>
      </c>
      <c r="C68" t="s">
        <v>20</v>
      </c>
      <c r="D68">
        <v>16</v>
      </c>
      <c r="E68" t="s">
        <v>21</v>
      </c>
      <c r="F68" t="s">
        <v>22</v>
      </c>
      <c r="G68">
        <v>2858.2200549999998</v>
      </c>
      <c r="H68">
        <v>20607037.120000001</v>
      </c>
      <c r="I68">
        <v>14757.24919</v>
      </c>
      <c r="J68">
        <v>22565755.379999999</v>
      </c>
      <c r="K68">
        <v>6.7559733999999996E-2</v>
      </c>
      <c r="L68">
        <v>8.2415990000000005E-3</v>
      </c>
      <c r="M68">
        <v>-2.6414213999999998E-2</v>
      </c>
      <c r="N68">
        <v>8.5742499999999998E-4</v>
      </c>
      <c r="O68">
        <v>0.25837797499999998</v>
      </c>
      <c r="P68">
        <v>1.9675251000000001E-2</v>
      </c>
      <c r="Q68">
        <v>9.8595812000000005E-2</v>
      </c>
      <c r="R68">
        <v>8.8874677999999999E-2</v>
      </c>
      <c r="S68">
        <v>0.91796646299999995</v>
      </c>
      <c r="T68">
        <v>7.5304036000000005E-2</v>
      </c>
      <c r="U68">
        <v>44</v>
      </c>
    </row>
    <row r="69" spans="1:21" x14ac:dyDescent="0.25">
      <c r="A69">
        <v>68</v>
      </c>
      <c r="B69">
        <v>708</v>
      </c>
      <c r="C69" t="s">
        <v>20</v>
      </c>
      <c r="D69">
        <v>16</v>
      </c>
      <c r="E69" t="s">
        <v>21</v>
      </c>
      <c r="F69" t="s">
        <v>22</v>
      </c>
      <c r="G69">
        <v>3402.0810019999999</v>
      </c>
      <c r="H69">
        <v>31718344.84</v>
      </c>
      <c r="I69">
        <v>14791.09186</v>
      </c>
      <c r="J69">
        <v>24591563.739999998</v>
      </c>
      <c r="K69">
        <v>5.8638377999999998E-2</v>
      </c>
      <c r="L69">
        <v>8.8613790000000008E-3</v>
      </c>
      <c r="M69">
        <v>-2.8099308999999999E-2</v>
      </c>
      <c r="N69">
        <v>8.4174E-4</v>
      </c>
      <c r="O69">
        <v>0.26154945000000002</v>
      </c>
      <c r="P69">
        <v>2.2348494E-2</v>
      </c>
      <c r="Q69">
        <v>0.1084391</v>
      </c>
      <c r="R69">
        <v>9.6680061999999997E-2</v>
      </c>
      <c r="S69">
        <v>0.76412758800000002</v>
      </c>
      <c r="T69">
        <v>0.18023661699999999</v>
      </c>
      <c r="U69">
        <v>24</v>
      </c>
    </row>
    <row r="70" spans="1:21" x14ac:dyDescent="0.25">
      <c r="A70">
        <v>69</v>
      </c>
      <c r="B70">
        <v>709</v>
      </c>
      <c r="C70" t="s">
        <v>20</v>
      </c>
      <c r="D70">
        <v>16</v>
      </c>
      <c r="E70" t="s">
        <v>21</v>
      </c>
      <c r="F70" t="s">
        <v>22</v>
      </c>
      <c r="G70">
        <v>2941.3280180000002</v>
      </c>
      <c r="H70">
        <v>18795348.030000001</v>
      </c>
      <c r="I70">
        <v>14866.967420000001</v>
      </c>
      <c r="J70">
        <v>31426019.690000001</v>
      </c>
      <c r="K70">
        <v>7.8184182000000005E-2</v>
      </c>
      <c r="L70">
        <v>1.5444685E-2</v>
      </c>
      <c r="M70">
        <v>-2.3989127999999998E-2</v>
      </c>
      <c r="N70">
        <v>1.1856690000000001E-3</v>
      </c>
      <c r="O70">
        <v>0.28377485099999999</v>
      </c>
      <c r="P70">
        <v>3.0099127E-2</v>
      </c>
      <c r="Q70">
        <v>0.13474101699999999</v>
      </c>
      <c r="R70">
        <v>0.116585876</v>
      </c>
      <c r="S70">
        <v>0.75588508099999996</v>
      </c>
      <c r="T70">
        <v>0.184522825</v>
      </c>
      <c r="U70">
        <v>22</v>
      </c>
    </row>
    <row r="71" spans="1:21" x14ac:dyDescent="0.25">
      <c r="A71">
        <v>70</v>
      </c>
      <c r="B71">
        <v>710</v>
      </c>
      <c r="C71" t="s">
        <v>20</v>
      </c>
      <c r="D71">
        <v>16</v>
      </c>
      <c r="E71" t="s">
        <v>21</v>
      </c>
      <c r="F71" t="s">
        <v>22</v>
      </c>
      <c r="G71">
        <v>3950.080097</v>
      </c>
      <c r="H71">
        <v>36203004.189999998</v>
      </c>
      <c r="I71">
        <v>14249.066650000001</v>
      </c>
      <c r="J71">
        <v>41504151.759999998</v>
      </c>
      <c r="K71">
        <v>8.8379788000000001E-2</v>
      </c>
      <c r="L71">
        <v>1.486259E-2</v>
      </c>
      <c r="M71">
        <v>-2.4416219999999999E-2</v>
      </c>
      <c r="N71">
        <v>1.634819E-3</v>
      </c>
      <c r="O71">
        <v>0.30237637899999997</v>
      </c>
      <c r="P71">
        <v>3.1099838000000001E-2</v>
      </c>
      <c r="Q71">
        <v>0.15955926100000001</v>
      </c>
      <c r="R71">
        <v>0.134100104</v>
      </c>
      <c r="S71">
        <v>0.88702907499999994</v>
      </c>
      <c r="T71">
        <v>0.10020849499999999</v>
      </c>
      <c r="U71">
        <v>29</v>
      </c>
    </row>
    <row r="72" spans="1:21" x14ac:dyDescent="0.25">
      <c r="A72">
        <v>71</v>
      </c>
      <c r="B72">
        <v>801</v>
      </c>
      <c r="C72" t="s">
        <v>20</v>
      </c>
      <c r="D72">
        <v>16</v>
      </c>
      <c r="E72" t="s">
        <v>21</v>
      </c>
      <c r="F72" t="s">
        <v>22</v>
      </c>
      <c r="G72">
        <v>3753.2546400000001</v>
      </c>
      <c r="H72">
        <v>39682723.439999998</v>
      </c>
      <c r="I72">
        <v>13142.38322</v>
      </c>
      <c r="J72">
        <v>33064985.760000002</v>
      </c>
      <c r="K72">
        <v>7.5526169000000004E-2</v>
      </c>
      <c r="L72">
        <v>1.1124386999999999E-2</v>
      </c>
      <c r="M72">
        <v>-2.8457671E-2</v>
      </c>
      <c r="N72">
        <v>1.359964E-3</v>
      </c>
      <c r="O72">
        <v>0.279220358</v>
      </c>
      <c r="P72">
        <v>3.0605857E-2</v>
      </c>
      <c r="Q72">
        <v>0.14023028000000001</v>
      </c>
      <c r="R72">
        <v>0.120565749</v>
      </c>
      <c r="S72">
        <v>0.67569164100000001</v>
      </c>
      <c r="T72">
        <v>0.21913244700000001</v>
      </c>
      <c r="U72">
        <v>21</v>
      </c>
    </row>
    <row r="73" spans="1:21" x14ac:dyDescent="0.25">
      <c r="A73">
        <v>72</v>
      </c>
      <c r="B73">
        <v>802</v>
      </c>
      <c r="C73" t="s">
        <v>20</v>
      </c>
      <c r="D73">
        <v>16</v>
      </c>
      <c r="E73" t="s">
        <v>21</v>
      </c>
      <c r="F73" t="s">
        <v>22</v>
      </c>
      <c r="G73">
        <v>3400.6715439999998</v>
      </c>
      <c r="H73">
        <v>24734619.02</v>
      </c>
      <c r="I73">
        <v>15233.18561</v>
      </c>
      <c r="J73">
        <v>34068002.409999996</v>
      </c>
      <c r="K73">
        <v>6.1802094000000002E-2</v>
      </c>
      <c r="L73">
        <v>1.2860699E-2</v>
      </c>
      <c r="M73">
        <v>-3.5364014999999999E-2</v>
      </c>
      <c r="N73">
        <v>9.05352E-4</v>
      </c>
      <c r="O73">
        <v>0.25205696799999999</v>
      </c>
      <c r="P73">
        <v>2.9236228E-2</v>
      </c>
      <c r="Q73">
        <v>0.11705202300000001</v>
      </c>
      <c r="R73">
        <v>0.103350847</v>
      </c>
      <c r="S73">
        <v>0.84222619700000001</v>
      </c>
      <c r="T73">
        <v>0.13288122999999999</v>
      </c>
      <c r="U73">
        <v>29</v>
      </c>
    </row>
    <row r="74" spans="1:21" x14ac:dyDescent="0.25">
      <c r="A74">
        <v>73</v>
      </c>
      <c r="B74">
        <v>803</v>
      </c>
      <c r="C74" t="s">
        <v>20</v>
      </c>
      <c r="D74">
        <v>16</v>
      </c>
      <c r="E74" t="s">
        <v>21</v>
      </c>
      <c r="F74" t="s">
        <v>22</v>
      </c>
      <c r="G74">
        <v>4701.4843380000002</v>
      </c>
      <c r="H74">
        <v>43767078.359999999</v>
      </c>
      <c r="I74">
        <v>13654.398209999999</v>
      </c>
      <c r="J74">
        <v>39194475.579999998</v>
      </c>
      <c r="K74">
        <v>9.5105944999999997E-2</v>
      </c>
      <c r="L74">
        <v>1.3313118000000001E-2</v>
      </c>
      <c r="M74">
        <v>-2.2973343E-2</v>
      </c>
      <c r="N74">
        <v>1.272083E-3</v>
      </c>
      <c r="O74">
        <v>0.30103201099999999</v>
      </c>
      <c r="P74">
        <v>3.6364003999999998E-2</v>
      </c>
      <c r="Q74">
        <v>0.17112771299999999</v>
      </c>
      <c r="R74">
        <v>0.14184301899999999</v>
      </c>
      <c r="S74">
        <v>0.68851837299999996</v>
      </c>
      <c r="T74">
        <v>0.21446082299999999</v>
      </c>
      <c r="U74">
        <v>27</v>
      </c>
    </row>
    <row r="75" spans="1:21" x14ac:dyDescent="0.25">
      <c r="A75">
        <v>74</v>
      </c>
      <c r="B75">
        <v>804</v>
      </c>
      <c r="C75" t="s">
        <v>20</v>
      </c>
      <c r="D75">
        <v>16</v>
      </c>
      <c r="E75" t="s">
        <v>21</v>
      </c>
      <c r="F75" t="s">
        <v>22</v>
      </c>
      <c r="G75">
        <v>4096.2656859999997</v>
      </c>
      <c r="H75">
        <v>29917941.600000001</v>
      </c>
      <c r="I75">
        <v>14213.059719999999</v>
      </c>
      <c r="J75">
        <v>34351081.149999999</v>
      </c>
      <c r="K75">
        <v>8.3551238E-2</v>
      </c>
      <c r="L75">
        <v>1.399706E-2</v>
      </c>
      <c r="M75">
        <v>-2.6448381999999999E-2</v>
      </c>
      <c r="N75">
        <v>1.2599379999999999E-3</v>
      </c>
      <c r="O75">
        <v>0.288463741</v>
      </c>
      <c r="P75">
        <v>3.4040715999999999E-2</v>
      </c>
      <c r="Q75">
        <v>0.15303059299999999</v>
      </c>
      <c r="R75">
        <v>0.12961223099999999</v>
      </c>
      <c r="S75">
        <v>0.84623409400000005</v>
      </c>
      <c r="T75">
        <v>0.13012195200000001</v>
      </c>
      <c r="U75">
        <v>25</v>
      </c>
    </row>
    <row r="76" spans="1:21" x14ac:dyDescent="0.25">
      <c r="A76">
        <v>75</v>
      </c>
      <c r="B76">
        <v>805</v>
      </c>
      <c r="C76" t="s">
        <v>20</v>
      </c>
      <c r="D76">
        <v>16</v>
      </c>
      <c r="E76" t="s">
        <v>21</v>
      </c>
      <c r="F76" t="s">
        <v>22</v>
      </c>
      <c r="G76">
        <v>4379.1791219999996</v>
      </c>
      <c r="H76">
        <v>45153404.509999998</v>
      </c>
      <c r="I76">
        <v>12721.23683</v>
      </c>
      <c r="J76">
        <v>39057348.68</v>
      </c>
      <c r="K76">
        <v>0.116825436</v>
      </c>
      <c r="L76">
        <v>1.3769939E-2</v>
      </c>
      <c r="M76">
        <v>-1.3241271000000001E-2</v>
      </c>
      <c r="N76">
        <v>1.6390269999999999E-3</v>
      </c>
      <c r="O76">
        <v>0.326047745</v>
      </c>
      <c r="P76">
        <v>3.4108527E-2</v>
      </c>
      <c r="Q76">
        <v>0.182381977</v>
      </c>
      <c r="R76">
        <v>0.149118791</v>
      </c>
      <c r="S76">
        <v>0.58756816300000003</v>
      </c>
      <c r="T76">
        <v>0.242331817</v>
      </c>
      <c r="U76">
        <v>14</v>
      </c>
    </row>
    <row r="77" spans="1:21" x14ac:dyDescent="0.25">
      <c r="A77">
        <v>76</v>
      </c>
      <c r="B77">
        <v>806</v>
      </c>
      <c r="C77" t="s">
        <v>20</v>
      </c>
      <c r="D77">
        <v>16</v>
      </c>
      <c r="E77" t="s">
        <v>21</v>
      </c>
      <c r="F77" t="s">
        <v>22</v>
      </c>
      <c r="G77">
        <v>3339.4125760000002</v>
      </c>
      <c r="H77">
        <v>27110402.859999999</v>
      </c>
      <c r="I77">
        <v>13339.937669999999</v>
      </c>
      <c r="J77">
        <v>36072394.280000001</v>
      </c>
      <c r="K77">
        <v>0.117796416</v>
      </c>
      <c r="L77">
        <v>1.5388159E-2</v>
      </c>
      <c r="M77">
        <v>-1.0269367999999999E-2</v>
      </c>
      <c r="N77">
        <v>1.2958760000000001E-3</v>
      </c>
      <c r="O77">
        <v>0.31736637099999998</v>
      </c>
      <c r="P77">
        <v>3.3465204999999998E-2</v>
      </c>
      <c r="Q77">
        <v>0.16095589499999999</v>
      </c>
      <c r="R77">
        <v>0.13504909500000001</v>
      </c>
      <c r="S77">
        <v>0.68624982700000003</v>
      </c>
      <c r="T77">
        <v>0.215311002</v>
      </c>
      <c r="U77">
        <v>22</v>
      </c>
    </row>
    <row r="78" spans="1:21" x14ac:dyDescent="0.25">
      <c r="A78">
        <v>77</v>
      </c>
      <c r="B78">
        <v>807</v>
      </c>
      <c r="C78" t="s">
        <v>20</v>
      </c>
      <c r="D78">
        <v>16</v>
      </c>
      <c r="E78" t="s">
        <v>21</v>
      </c>
      <c r="F78" t="s">
        <v>22</v>
      </c>
      <c r="G78">
        <v>4219.3678849999997</v>
      </c>
      <c r="H78">
        <v>50180114.039999999</v>
      </c>
      <c r="I78">
        <v>13594.78076</v>
      </c>
      <c r="J78">
        <v>31844558.129999999</v>
      </c>
      <c r="K78">
        <v>0.10112476500000001</v>
      </c>
      <c r="L78">
        <v>1.0389796E-2</v>
      </c>
      <c r="M78">
        <v>-1.6946901E-2</v>
      </c>
      <c r="N78">
        <v>9.14765E-4</v>
      </c>
      <c r="O78">
        <v>0.31121339199999998</v>
      </c>
      <c r="P78">
        <v>2.9888697999999998E-2</v>
      </c>
      <c r="Q78">
        <v>0.16194868800000001</v>
      </c>
      <c r="R78">
        <v>0.13572131100000001</v>
      </c>
      <c r="S78">
        <v>0.60640709599999998</v>
      </c>
      <c r="T78">
        <v>0.23867753</v>
      </c>
      <c r="U78">
        <v>15</v>
      </c>
    </row>
    <row r="79" spans="1:21" x14ac:dyDescent="0.25">
      <c r="A79">
        <v>78</v>
      </c>
      <c r="B79">
        <v>808</v>
      </c>
      <c r="C79" t="s">
        <v>20</v>
      </c>
      <c r="D79">
        <v>16</v>
      </c>
      <c r="E79" t="s">
        <v>21</v>
      </c>
      <c r="F79" t="s">
        <v>22</v>
      </c>
      <c r="G79">
        <v>2866.6912229999998</v>
      </c>
      <c r="H79">
        <v>19320138.550000001</v>
      </c>
      <c r="I79">
        <v>15409.299720000001</v>
      </c>
      <c r="J79">
        <v>21253280.350000001</v>
      </c>
      <c r="K79">
        <v>6.0838955E-2</v>
      </c>
      <c r="L79">
        <v>7.9380869999999999E-3</v>
      </c>
      <c r="M79">
        <v>-2.4134508999999998E-2</v>
      </c>
      <c r="N79">
        <v>8.6985399999999998E-4</v>
      </c>
      <c r="O79">
        <v>0.257525795</v>
      </c>
      <c r="P79">
        <v>1.8637296000000001E-2</v>
      </c>
      <c r="Q79">
        <v>9.5002225999999995E-2</v>
      </c>
      <c r="R79">
        <v>8.5976803000000004E-2</v>
      </c>
      <c r="S79">
        <v>0.81089291299999999</v>
      </c>
      <c r="T79">
        <v>0.153345597</v>
      </c>
      <c r="U79">
        <v>35</v>
      </c>
    </row>
    <row r="80" spans="1:21" x14ac:dyDescent="0.25">
      <c r="A80">
        <v>79</v>
      </c>
      <c r="B80">
        <v>809</v>
      </c>
      <c r="C80" t="s">
        <v>20</v>
      </c>
      <c r="D80">
        <v>16</v>
      </c>
      <c r="E80" t="s">
        <v>21</v>
      </c>
      <c r="F80" t="s">
        <v>22</v>
      </c>
      <c r="G80">
        <v>3131.9123500000001</v>
      </c>
      <c r="H80">
        <v>27526286.579999998</v>
      </c>
      <c r="I80">
        <v>15205.1661</v>
      </c>
      <c r="J80">
        <v>32793676.170000002</v>
      </c>
      <c r="K80">
        <v>7.1796209999999999E-2</v>
      </c>
      <c r="L80">
        <v>1.3364367E-2</v>
      </c>
      <c r="M80">
        <v>-2.4463794000000001E-2</v>
      </c>
      <c r="N80">
        <v>1.1618500000000001E-3</v>
      </c>
      <c r="O80">
        <v>0.28466101500000002</v>
      </c>
      <c r="P80">
        <v>3.0232678999999998E-2</v>
      </c>
      <c r="Q80">
        <v>0.13910853400000001</v>
      </c>
      <c r="R80">
        <v>0.11975735</v>
      </c>
      <c r="S80">
        <v>0.85838179400000003</v>
      </c>
      <c r="T80">
        <v>0.12156249</v>
      </c>
      <c r="U80">
        <v>26</v>
      </c>
    </row>
    <row r="81" spans="1:21" x14ac:dyDescent="0.25">
      <c r="A81">
        <v>80</v>
      </c>
      <c r="B81">
        <v>901</v>
      </c>
      <c r="C81" t="s">
        <v>20</v>
      </c>
      <c r="D81">
        <v>16</v>
      </c>
      <c r="E81" t="s">
        <v>21</v>
      </c>
      <c r="F81" t="s">
        <v>22</v>
      </c>
      <c r="G81">
        <v>3847.1701849999999</v>
      </c>
      <c r="H81">
        <v>27260630.890000001</v>
      </c>
      <c r="I81">
        <v>14268.38204</v>
      </c>
      <c r="J81">
        <v>31199942.989999998</v>
      </c>
      <c r="K81">
        <v>5.7893040999999999E-2</v>
      </c>
      <c r="L81">
        <v>9.4987960000000003E-3</v>
      </c>
      <c r="M81">
        <v>-2.8117395999999999E-2</v>
      </c>
      <c r="N81">
        <v>1.2922000000000001E-3</v>
      </c>
      <c r="O81">
        <v>0.24706066099999999</v>
      </c>
      <c r="P81">
        <v>2.4240751000000001E-2</v>
      </c>
      <c r="Q81">
        <v>0.102310047</v>
      </c>
      <c r="R81">
        <v>9.1842701999999998E-2</v>
      </c>
      <c r="S81">
        <v>0.87510315400000005</v>
      </c>
      <c r="T81">
        <v>0.109297624</v>
      </c>
      <c r="U81">
        <v>39</v>
      </c>
    </row>
    <row r="82" spans="1:21" x14ac:dyDescent="0.25">
      <c r="A82">
        <v>81</v>
      </c>
      <c r="B82">
        <v>902</v>
      </c>
      <c r="C82" t="s">
        <v>20</v>
      </c>
      <c r="D82">
        <v>16</v>
      </c>
      <c r="E82" t="s">
        <v>21</v>
      </c>
      <c r="F82" t="s">
        <v>22</v>
      </c>
      <c r="G82">
        <v>4482.1689280000001</v>
      </c>
      <c r="H82">
        <v>37772995.460000001</v>
      </c>
      <c r="I82">
        <v>15129.42733</v>
      </c>
      <c r="J82">
        <v>31746337.739999998</v>
      </c>
      <c r="K82">
        <v>4.7216792E-2</v>
      </c>
      <c r="L82">
        <v>1.020066E-2</v>
      </c>
      <c r="M82">
        <v>-3.6959753999999997E-2</v>
      </c>
      <c r="N82">
        <v>8.7003700000000005E-4</v>
      </c>
      <c r="O82">
        <v>0.248475585</v>
      </c>
      <c r="P82">
        <v>2.8958758000000001E-2</v>
      </c>
      <c r="Q82">
        <v>0.128444108</v>
      </c>
      <c r="R82">
        <v>0.111946219</v>
      </c>
      <c r="S82">
        <v>0.63981119799999997</v>
      </c>
      <c r="T82">
        <v>0.230452829</v>
      </c>
      <c r="U82">
        <v>18</v>
      </c>
    </row>
    <row r="83" spans="1:21" x14ac:dyDescent="0.25">
      <c r="A83">
        <v>82</v>
      </c>
      <c r="B83">
        <v>903</v>
      </c>
      <c r="C83" t="s">
        <v>20</v>
      </c>
      <c r="D83">
        <v>16</v>
      </c>
      <c r="E83" t="s">
        <v>21</v>
      </c>
      <c r="F83" t="s">
        <v>22</v>
      </c>
      <c r="G83">
        <v>3326.2551239999998</v>
      </c>
      <c r="H83">
        <v>13103655.34</v>
      </c>
      <c r="I83">
        <v>16525.747360000001</v>
      </c>
      <c r="J83">
        <v>16730962.220000001</v>
      </c>
      <c r="K83">
        <v>3.9412443999999998E-2</v>
      </c>
      <c r="L83">
        <v>5.5107439999999997E-3</v>
      </c>
      <c r="M83">
        <v>-3.2733019000000002E-2</v>
      </c>
      <c r="N83">
        <v>7.66663E-4</v>
      </c>
      <c r="O83">
        <v>0.220280956</v>
      </c>
      <c r="P83">
        <v>1.3631091E-2</v>
      </c>
      <c r="Q83">
        <v>6.0783377E-2</v>
      </c>
      <c r="R83">
        <v>5.7088758000000003E-2</v>
      </c>
      <c r="S83">
        <v>0.82976975799999997</v>
      </c>
      <c r="T83">
        <v>0.14125190700000001</v>
      </c>
      <c r="U83">
        <v>44</v>
      </c>
    </row>
    <row r="84" spans="1:21" x14ac:dyDescent="0.25">
      <c r="A84">
        <v>83</v>
      </c>
      <c r="B84">
        <v>904</v>
      </c>
      <c r="C84" t="s">
        <v>20</v>
      </c>
      <c r="D84">
        <v>16</v>
      </c>
      <c r="E84" t="s">
        <v>21</v>
      </c>
      <c r="F84" t="s">
        <v>22</v>
      </c>
      <c r="G84">
        <v>3646.1588620000002</v>
      </c>
      <c r="H84">
        <v>21455866.739999998</v>
      </c>
      <c r="I84">
        <v>14545.48236</v>
      </c>
      <c r="J84">
        <v>21884048.359999999</v>
      </c>
      <c r="K84">
        <v>7.0915751999999999E-2</v>
      </c>
      <c r="L84">
        <v>7.5396969999999997E-3</v>
      </c>
      <c r="M84">
        <v>-2.4779681000000001E-2</v>
      </c>
      <c r="N84">
        <v>1.0345770000000001E-3</v>
      </c>
      <c r="O84">
        <v>0.270322338</v>
      </c>
      <c r="P84">
        <v>1.8809943999999999E-2</v>
      </c>
      <c r="Q84">
        <v>9.0629900999999999E-2</v>
      </c>
      <c r="R84">
        <v>8.2416121999999994E-2</v>
      </c>
      <c r="S84">
        <v>0.83502056999999996</v>
      </c>
      <c r="T84">
        <v>0.13776121799999999</v>
      </c>
      <c r="U84">
        <v>35</v>
      </c>
    </row>
    <row r="85" spans="1:21" x14ac:dyDescent="0.25">
      <c r="A85">
        <v>84</v>
      </c>
      <c r="B85">
        <v>905</v>
      </c>
      <c r="C85" t="s">
        <v>20</v>
      </c>
      <c r="D85">
        <v>16</v>
      </c>
      <c r="E85" t="s">
        <v>21</v>
      </c>
      <c r="F85" t="s">
        <v>22</v>
      </c>
      <c r="G85">
        <v>3547.5863220000001</v>
      </c>
      <c r="H85">
        <v>32153468.75</v>
      </c>
      <c r="I85">
        <v>12875.311309999999</v>
      </c>
      <c r="J85">
        <v>21560532.030000001</v>
      </c>
      <c r="K85">
        <v>0.107648022</v>
      </c>
      <c r="L85">
        <v>6.4129319999999997E-3</v>
      </c>
      <c r="M85">
        <v>-1.1431044E-2</v>
      </c>
      <c r="N85">
        <v>1.320622E-3</v>
      </c>
      <c r="O85">
        <v>0.31591867200000001</v>
      </c>
      <c r="P85">
        <v>1.6780922E-2</v>
      </c>
      <c r="Q85">
        <v>0.105055575</v>
      </c>
      <c r="R85">
        <v>9.4018902000000001E-2</v>
      </c>
      <c r="S85">
        <v>0.84652136499999997</v>
      </c>
      <c r="T85">
        <v>0.12992294400000001</v>
      </c>
      <c r="U85">
        <v>31</v>
      </c>
    </row>
    <row r="86" spans="1:21" x14ac:dyDescent="0.25">
      <c r="A86">
        <v>85</v>
      </c>
      <c r="B86">
        <v>906</v>
      </c>
      <c r="C86" t="s">
        <v>20</v>
      </c>
      <c r="D86">
        <v>16</v>
      </c>
      <c r="E86" t="s">
        <v>21</v>
      </c>
      <c r="F86" t="s">
        <v>22</v>
      </c>
      <c r="G86">
        <v>3804.4642950000002</v>
      </c>
      <c r="H86">
        <v>35141359.460000001</v>
      </c>
      <c r="I86">
        <v>12901.317290000001</v>
      </c>
      <c r="J86">
        <v>26527220.390000001</v>
      </c>
      <c r="K86">
        <v>0.141742284</v>
      </c>
      <c r="L86">
        <v>9.0509539999999999E-3</v>
      </c>
      <c r="M86">
        <v>-2.4025699999999999E-4</v>
      </c>
      <c r="N86">
        <v>1.347619E-3</v>
      </c>
      <c r="O86">
        <v>0.34269012300000001</v>
      </c>
      <c r="P86">
        <v>2.3506844999999998E-2</v>
      </c>
      <c r="Q86">
        <v>0.15255160700000001</v>
      </c>
      <c r="R86">
        <v>0.12927961399999999</v>
      </c>
      <c r="S86">
        <v>0.77896024100000005</v>
      </c>
      <c r="T86">
        <v>0.17218118399999999</v>
      </c>
      <c r="U86">
        <v>29</v>
      </c>
    </row>
    <row r="87" spans="1:21" x14ac:dyDescent="0.25">
      <c r="A87">
        <v>86</v>
      </c>
      <c r="B87">
        <v>907</v>
      </c>
      <c r="C87" t="s">
        <v>20</v>
      </c>
      <c r="D87">
        <v>16</v>
      </c>
      <c r="E87" t="s">
        <v>21</v>
      </c>
      <c r="F87" t="s">
        <v>22</v>
      </c>
      <c r="G87">
        <v>5037.8046599999998</v>
      </c>
      <c r="H87">
        <v>52035072.560000002</v>
      </c>
      <c r="I87">
        <v>12438.719349999999</v>
      </c>
      <c r="J87">
        <v>39968860.909999996</v>
      </c>
      <c r="K87">
        <v>0.15017509200000001</v>
      </c>
      <c r="L87">
        <v>1.2654682E-2</v>
      </c>
      <c r="M87">
        <v>-4.3352499999999998E-4</v>
      </c>
      <c r="N87">
        <v>1.1219419999999999E-3</v>
      </c>
      <c r="O87">
        <v>0.36466738799999998</v>
      </c>
      <c r="P87">
        <v>3.2164802999999999E-2</v>
      </c>
      <c r="Q87">
        <v>0.193481872</v>
      </c>
      <c r="R87">
        <v>0.15604663699999999</v>
      </c>
      <c r="S87">
        <v>0.75139066700000001</v>
      </c>
      <c r="T87">
        <v>0.186802733</v>
      </c>
      <c r="U87">
        <v>21</v>
      </c>
    </row>
    <row r="88" spans="1:21" x14ac:dyDescent="0.25">
      <c r="A88">
        <v>87</v>
      </c>
      <c r="B88">
        <v>908</v>
      </c>
      <c r="C88" t="s">
        <v>20</v>
      </c>
      <c r="D88">
        <v>16</v>
      </c>
      <c r="E88" t="s">
        <v>21</v>
      </c>
      <c r="F88" t="s">
        <v>22</v>
      </c>
      <c r="G88">
        <v>3540.8734899999999</v>
      </c>
      <c r="H88">
        <v>26579927.359999999</v>
      </c>
      <c r="I88">
        <v>14508.020350000001</v>
      </c>
      <c r="J88">
        <v>35630222.700000003</v>
      </c>
      <c r="K88">
        <v>0.12016197200000001</v>
      </c>
      <c r="L88">
        <v>1.4227474E-2</v>
      </c>
      <c r="M88">
        <v>-8.1167459999999993E-3</v>
      </c>
      <c r="N88">
        <v>1.1820369999999999E-3</v>
      </c>
      <c r="O88">
        <v>0.32207227599999999</v>
      </c>
      <c r="P88">
        <v>2.9866520000000001E-2</v>
      </c>
      <c r="Q88">
        <v>0.14933890799999999</v>
      </c>
      <c r="R88">
        <v>0.12703679900000001</v>
      </c>
      <c r="S88">
        <v>0.75286791200000003</v>
      </c>
      <c r="T88">
        <v>0.18605781900000001</v>
      </c>
      <c r="U88">
        <v>26</v>
      </c>
    </row>
    <row r="89" spans="1:21" x14ac:dyDescent="0.25">
      <c r="A89">
        <v>88</v>
      </c>
      <c r="B89">
        <v>909</v>
      </c>
      <c r="C89" t="s">
        <v>20</v>
      </c>
      <c r="D89">
        <v>16</v>
      </c>
      <c r="E89" t="s">
        <v>21</v>
      </c>
      <c r="F89" t="s">
        <v>22</v>
      </c>
      <c r="G89">
        <v>3639.3770049999998</v>
      </c>
      <c r="H89">
        <v>29367040.390000001</v>
      </c>
      <c r="I89">
        <v>12966.46746</v>
      </c>
      <c r="J89">
        <v>35960714.789999999</v>
      </c>
      <c r="K89">
        <v>0.15929942</v>
      </c>
      <c r="L89">
        <v>1.4642087999999999E-2</v>
      </c>
      <c r="M89">
        <v>4.0650419999999996E-3</v>
      </c>
      <c r="N89">
        <v>1.356573E-3</v>
      </c>
      <c r="O89">
        <v>0.36325334999999997</v>
      </c>
      <c r="P89">
        <v>3.2130171999999999E-2</v>
      </c>
      <c r="Q89">
        <v>0.18374581100000001</v>
      </c>
      <c r="R89">
        <v>0.14998328799999999</v>
      </c>
      <c r="S89">
        <v>0.800188397</v>
      </c>
      <c r="T89">
        <v>0.15988692600000001</v>
      </c>
      <c r="U89">
        <v>28</v>
      </c>
    </row>
    <row r="90" spans="1:21" x14ac:dyDescent="0.25">
      <c r="A90">
        <v>89</v>
      </c>
      <c r="B90">
        <v>910</v>
      </c>
      <c r="C90" t="s">
        <v>20</v>
      </c>
      <c r="D90">
        <v>16</v>
      </c>
      <c r="E90" t="s">
        <v>21</v>
      </c>
      <c r="F90" t="s">
        <v>22</v>
      </c>
      <c r="G90">
        <v>2725.5278760000001</v>
      </c>
      <c r="H90">
        <v>15372405.550000001</v>
      </c>
      <c r="I90">
        <v>15391.66466</v>
      </c>
      <c r="J90">
        <v>24225107.5</v>
      </c>
      <c r="K90">
        <v>8.1159190000000006E-2</v>
      </c>
      <c r="L90">
        <v>9.0732929999999996E-3</v>
      </c>
      <c r="M90">
        <v>-2.0581625999999999E-2</v>
      </c>
      <c r="N90">
        <v>1.0655009999999999E-3</v>
      </c>
      <c r="O90">
        <v>0.27674807800000001</v>
      </c>
      <c r="P90">
        <v>1.8546020999999999E-2</v>
      </c>
      <c r="Q90">
        <v>9.2725086999999998E-2</v>
      </c>
      <c r="R90">
        <v>8.4127145E-2</v>
      </c>
      <c r="S90">
        <v>0.83317960999999996</v>
      </c>
      <c r="T90">
        <v>0.13899134699999999</v>
      </c>
      <c r="U90">
        <v>34</v>
      </c>
    </row>
    <row r="91" spans="1:21" x14ac:dyDescent="0.25">
      <c r="A91">
        <v>90</v>
      </c>
      <c r="B91">
        <v>810</v>
      </c>
      <c r="C91" t="s">
        <v>20</v>
      </c>
      <c r="D91">
        <v>16</v>
      </c>
      <c r="E91" t="s">
        <v>21</v>
      </c>
      <c r="F91" t="s">
        <v>22</v>
      </c>
      <c r="G91">
        <v>3113.4333310000002</v>
      </c>
      <c r="H91">
        <v>22733438.66</v>
      </c>
      <c r="I91">
        <v>14765.467979999999</v>
      </c>
      <c r="J91">
        <v>33660645.640000001</v>
      </c>
      <c r="K91">
        <v>7.1500929000000005E-2</v>
      </c>
      <c r="L91">
        <v>1.3768917E-2</v>
      </c>
      <c r="M91">
        <v>-2.7815195000000001E-2</v>
      </c>
      <c r="N91">
        <v>1.2579620000000001E-3</v>
      </c>
      <c r="O91">
        <v>0.28327182299999998</v>
      </c>
      <c r="P91">
        <v>2.796357E-2</v>
      </c>
      <c r="Q91">
        <v>0.13173302100000001</v>
      </c>
      <c r="R91">
        <v>0.114379432</v>
      </c>
      <c r="S91">
        <v>0.80028934500000004</v>
      </c>
      <c r="T91">
        <v>0.15982631</v>
      </c>
      <c r="U91">
        <v>24</v>
      </c>
    </row>
    <row r="92" spans="1:21" x14ac:dyDescent="0.25">
      <c r="A92">
        <v>91</v>
      </c>
      <c r="B92">
        <v>44444</v>
      </c>
      <c r="C92" t="s">
        <v>20</v>
      </c>
      <c r="D92">
        <v>16</v>
      </c>
      <c r="E92" t="s">
        <v>21</v>
      </c>
      <c r="F92" t="s">
        <v>22</v>
      </c>
      <c r="G92">
        <v>995.90582329999995</v>
      </c>
      <c r="H92">
        <v>1518970.0619999999</v>
      </c>
      <c r="I92">
        <v>16470.16461</v>
      </c>
      <c r="J92">
        <v>14695669.189999999</v>
      </c>
      <c r="K92">
        <v>-2.0945054000000001E-2</v>
      </c>
      <c r="L92">
        <v>1.0220691E-2</v>
      </c>
      <c r="M92">
        <v>-3.7344051000000003E-2</v>
      </c>
      <c r="N92">
        <v>2.0179479999999999E-3</v>
      </c>
      <c r="O92">
        <v>0.16804540600000001</v>
      </c>
      <c r="P92">
        <v>5.1508559999999997E-3</v>
      </c>
      <c r="Q92">
        <v>0</v>
      </c>
      <c r="R92">
        <v>0</v>
      </c>
      <c r="S92">
        <v>0.229805014</v>
      </c>
      <c r="T92">
        <v>0.17699466999999999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16</v>
      </c>
      <c r="E93" t="s">
        <v>21</v>
      </c>
      <c r="F93" t="s">
        <v>22</v>
      </c>
      <c r="G93">
        <v>176.55448630000001</v>
      </c>
      <c r="H93">
        <v>3433057.7710000002</v>
      </c>
      <c r="I93">
        <v>15571.84353</v>
      </c>
      <c r="J93">
        <v>46026848.32</v>
      </c>
      <c r="K93">
        <v>-7.0464821999999996E-2</v>
      </c>
      <c r="L93">
        <v>3.7339615E-2</v>
      </c>
      <c r="M93">
        <v>-3.7866387000000001E-2</v>
      </c>
      <c r="N93">
        <v>8.7091640000000001E-3</v>
      </c>
      <c r="O93">
        <v>0.167513196</v>
      </c>
      <c r="P93">
        <v>2.4074897000000001E-2</v>
      </c>
      <c r="Q93">
        <v>1.055409E-2</v>
      </c>
      <c r="R93">
        <v>1.0442701E-2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16</v>
      </c>
      <c r="E94" t="s">
        <v>24</v>
      </c>
      <c r="F94" t="s">
        <v>25</v>
      </c>
      <c r="G94">
        <v>3104.8161519999999</v>
      </c>
      <c r="H94">
        <v>14679775.029999999</v>
      </c>
      <c r="I94">
        <v>15146.30744</v>
      </c>
      <c r="J94">
        <v>26190306.420000002</v>
      </c>
      <c r="K94">
        <v>8.1303703000000005E-2</v>
      </c>
      <c r="L94">
        <v>1.0302641E-2</v>
      </c>
      <c r="M94">
        <v>-2.8866408E-2</v>
      </c>
      <c r="N94">
        <v>1.2860479999999999E-3</v>
      </c>
      <c r="O94">
        <v>0.28623997899999998</v>
      </c>
      <c r="P94">
        <v>1.9166315E-2</v>
      </c>
      <c r="Q94">
        <v>0.11578713</v>
      </c>
      <c r="R94">
        <v>0.10238047</v>
      </c>
      <c r="S94">
        <v>0.94374686100000005</v>
      </c>
      <c r="T94">
        <v>5.3088722999999997E-2</v>
      </c>
      <c r="U94">
        <v>70</v>
      </c>
    </row>
    <row r="95" spans="1:21" x14ac:dyDescent="0.25">
      <c r="A95">
        <v>94</v>
      </c>
      <c r="B95">
        <v>102</v>
      </c>
      <c r="C95" t="s">
        <v>23</v>
      </c>
      <c r="D95">
        <v>16</v>
      </c>
      <c r="E95" t="s">
        <v>24</v>
      </c>
      <c r="F95" t="s">
        <v>25</v>
      </c>
      <c r="G95">
        <v>2827.3330900000001</v>
      </c>
      <c r="H95">
        <v>18067681.719999999</v>
      </c>
      <c r="I95">
        <v>15811.30233</v>
      </c>
      <c r="J95">
        <v>21344377.129999999</v>
      </c>
      <c r="K95">
        <v>7.4063195999999998E-2</v>
      </c>
      <c r="L95">
        <v>6.3460239999999996E-3</v>
      </c>
      <c r="M95">
        <v>-2.8775813000000001E-2</v>
      </c>
      <c r="N95">
        <v>9.1340599999999996E-4</v>
      </c>
      <c r="O95">
        <v>0.27220911199999998</v>
      </c>
      <c r="P95">
        <v>1.4671171E-2</v>
      </c>
      <c r="Q95">
        <v>7.9541661999999999E-2</v>
      </c>
      <c r="R95">
        <v>7.3214786000000004E-2</v>
      </c>
      <c r="S95">
        <v>0.90445265699999999</v>
      </c>
      <c r="T95">
        <v>8.6418047999999997E-2</v>
      </c>
      <c r="U95">
        <v>40</v>
      </c>
    </row>
    <row r="96" spans="1:21" x14ac:dyDescent="0.25">
      <c r="A96">
        <v>95</v>
      </c>
      <c r="B96">
        <v>103</v>
      </c>
      <c r="C96" t="s">
        <v>23</v>
      </c>
      <c r="D96">
        <v>16</v>
      </c>
      <c r="E96" t="s">
        <v>24</v>
      </c>
      <c r="F96" t="s">
        <v>25</v>
      </c>
      <c r="G96">
        <v>2378.7479130000002</v>
      </c>
      <c r="H96">
        <v>12356865.09</v>
      </c>
      <c r="I96">
        <v>16055.29969</v>
      </c>
      <c r="J96">
        <v>18494085.739999998</v>
      </c>
      <c r="K96">
        <v>6.7926659E-2</v>
      </c>
      <c r="L96">
        <v>5.1617099999999999E-3</v>
      </c>
      <c r="M96">
        <v>-2.6420196E-2</v>
      </c>
      <c r="N96">
        <v>7.7468999999999997E-4</v>
      </c>
      <c r="O96">
        <v>0.26107872900000001</v>
      </c>
      <c r="P96">
        <v>1.1553295E-2</v>
      </c>
      <c r="Q96">
        <v>6.1769615999999999E-2</v>
      </c>
      <c r="R96">
        <v>5.7954130999999999E-2</v>
      </c>
      <c r="S96">
        <v>0.96165484599999995</v>
      </c>
      <c r="T96">
        <v>3.6874802999999998E-2</v>
      </c>
      <c r="U96">
        <v>66</v>
      </c>
    </row>
    <row r="97" spans="1:21" x14ac:dyDescent="0.25">
      <c r="A97">
        <v>96</v>
      </c>
      <c r="B97">
        <v>104</v>
      </c>
      <c r="C97" t="s">
        <v>23</v>
      </c>
      <c r="D97">
        <v>16</v>
      </c>
      <c r="E97" t="s">
        <v>24</v>
      </c>
      <c r="F97" t="s">
        <v>25</v>
      </c>
      <c r="G97">
        <v>2637.9012819999998</v>
      </c>
      <c r="H97">
        <v>11996923.57</v>
      </c>
      <c r="I97">
        <v>15548.877350000001</v>
      </c>
      <c r="J97">
        <v>15832679.35</v>
      </c>
      <c r="K97">
        <v>7.1251394999999995E-2</v>
      </c>
      <c r="L97">
        <v>4.8541260000000003E-3</v>
      </c>
      <c r="M97">
        <v>-2.3905138999999999E-2</v>
      </c>
      <c r="N97">
        <v>6.5107000000000001E-4</v>
      </c>
      <c r="O97">
        <v>0.26907827899999998</v>
      </c>
      <c r="P97">
        <v>1.1293694E-2</v>
      </c>
      <c r="Q97">
        <v>6.3515921000000003E-2</v>
      </c>
      <c r="R97">
        <v>5.9481648999999998E-2</v>
      </c>
      <c r="S97">
        <v>0.92564997999999998</v>
      </c>
      <c r="T97">
        <v>6.8822095E-2</v>
      </c>
      <c r="U97">
        <v>51</v>
      </c>
    </row>
    <row r="98" spans="1:21" x14ac:dyDescent="0.25">
      <c r="A98">
        <v>97</v>
      </c>
      <c r="B98">
        <v>105</v>
      </c>
      <c r="C98" t="s">
        <v>23</v>
      </c>
      <c r="D98">
        <v>16</v>
      </c>
      <c r="E98" t="s">
        <v>24</v>
      </c>
      <c r="F98" t="s">
        <v>25</v>
      </c>
      <c r="G98">
        <v>2239.8796779999998</v>
      </c>
      <c r="H98">
        <v>6778260.4740000004</v>
      </c>
      <c r="I98">
        <v>14697.289140000001</v>
      </c>
      <c r="J98">
        <v>17455483.5</v>
      </c>
      <c r="K98">
        <v>8.2057558000000003E-2</v>
      </c>
      <c r="L98">
        <v>7.0064460000000004E-3</v>
      </c>
      <c r="M98">
        <v>-1.3849194E-2</v>
      </c>
      <c r="N98">
        <v>1.0328449999999999E-3</v>
      </c>
      <c r="O98">
        <v>0.278811478</v>
      </c>
      <c r="P98">
        <v>1.1654584000000001E-2</v>
      </c>
      <c r="Q98">
        <v>6.4266637000000001E-2</v>
      </c>
      <c r="R98">
        <v>6.0136436000000001E-2</v>
      </c>
      <c r="S98">
        <v>0.93364271399999998</v>
      </c>
      <c r="T98">
        <v>6.1953996999999997E-2</v>
      </c>
      <c r="U98">
        <v>68</v>
      </c>
    </row>
    <row r="99" spans="1:21" x14ac:dyDescent="0.25">
      <c r="A99">
        <v>98</v>
      </c>
      <c r="B99">
        <v>106</v>
      </c>
      <c r="C99" t="s">
        <v>23</v>
      </c>
      <c r="D99">
        <v>16</v>
      </c>
      <c r="E99" t="s">
        <v>24</v>
      </c>
      <c r="F99" t="s">
        <v>25</v>
      </c>
      <c r="G99">
        <v>2652.4781640000001</v>
      </c>
      <c r="H99">
        <v>16624394.74</v>
      </c>
      <c r="I99">
        <v>13545.320400000001</v>
      </c>
      <c r="J99">
        <v>21462126.399999999</v>
      </c>
      <c r="K99">
        <v>0.10451932999999999</v>
      </c>
      <c r="L99">
        <v>7.7314009999999997E-3</v>
      </c>
      <c r="M99">
        <v>-8.0622780000000008E-3</v>
      </c>
      <c r="N99">
        <v>1.367446E-3</v>
      </c>
      <c r="O99">
        <v>0.30522803900000001</v>
      </c>
      <c r="P99">
        <v>1.5599000999999999E-2</v>
      </c>
      <c r="Q99">
        <v>9.5154929999999999E-2</v>
      </c>
      <c r="R99">
        <v>8.6100468999999999E-2</v>
      </c>
      <c r="S99">
        <v>0.76253933699999998</v>
      </c>
      <c r="T99">
        <v>0.18107309699999999</v>
      </c>
      <c r="U99">
        <v>30</v>
      </c>
    </row>
    <row r="100" spans="1:21" x14ac:dyDescent="0.25">
      <c r="A100">
        <v>99</v>
      </c>
      <c r="B100">
        <v>107</v>
      </c>
      <c r="C100" t="s">
        <v>23</v>
      </c>
      <c r="D100">
        <v>16</v>
      </c>
      <c r="E100" t="s">
        <v>24</v>
      </c>
      <c r="F100" t="s">
        <v>25</v>
      </c>
      <c r="G100">
        <v>2097.5324270000001</v>
      </c>
      <c r="H100">
        <v>8309858.2170000002</v>
      </c>
      <c r="I100">
        <v>13815.17289</v>
      </c>
      <c r="J100">
        <v>18053132.52</v>
      </c>
      <c r="K100">
        <v>9.5964141000000003E-2</v>
      </c>
      <c r="L100">
        <v>6.8312019999999998E-3</v>
      </c>
      <c r="M100">
        <v>-7.5783279999999996E-3</v>
      </c>
      <c r="N100">
        <v>1.168487E-3</v>
      </c>
      <c r="O100">
        <v>0.29225193100000002</v>
      </c>
      <c r="P100">
        <v>1.1680670000000001E-2</v>
      </c>
      <c r="Q100">
        <v>6.6642672999999999E-2</v>
      </c>
      <c r="R100">
        <v>6.2201426999999997E-2</v>
      </c>
      <c r="S100">
        <v>0.91643030299999995</v>
      </c>
      <c r="T100">
        <v>7.6585802999999994E-2</v>
      </c>
      <c r="U100">
        <v>46</v>
      </c>
    </row>
    <row r="101" spans="1:21" x14ac:dyDescent="0.25">
      <c r="A101">
        <v>100</v>
      </c>
      <c r="B101">
        <v>108</v>
      </c>
      <c r="C101" t="s">
        <v>23</v>
      </c>
      <c r="D101">
        <v>16</v>
      </c>
      <c r="E101" t="s">
        <v>24</v>
      </c>
      <c r="F101" t="s">
        <v>25</v>
      </c>
      <c r="G101">
        <v>2472.7835519999999</v>
      </c>
      <c r="H101">
        <v>11997334.1</v>
      </c>
      <c r="I101">
        <v>13751.22637</v>
      </c>
      <c r="J101">
        <v>14582633.939999999</v>
      </c>
      <c r="K101">
        <v>8.5574441000000001E-2</v>
      </c>
      <c r="L101">
        <v>4.8107540000000004E-3</v>
      </c>
      <c r="M101">
        <v>-1.40561E-2</v>
      </c>
      <c r="N101">
        <v>7.6021699999999999E-4</v>
      </c>
      <c r="O101">
        <v>0.29855669499999998</v>
      </c>
      <c r="P101">
        <v>1.0651888999999999E-2</v>
      </c>
      <c r="Q101">
        <v>6.6521933000000005E-2</v>
      </c>
      <c r="R101">
        <v>6.2096764999999998E-2</v>
      </c>
      <c r="S101">
        <v>0.93424293899999999</v>
      </c>
      <c r="T101">
        <v>6.1433069999999999E-2</v>
      </c>
      <c r="U101">
        <v>56</v>
      </c>
    </row>
    <row r="102" spans="1:21" x14ac:dyDescent="0.25">
      <c r="A102">
        <v>101</v>
      </c>
      <c r="B102">
        <v>109</v>
      </c>
      <c r="C102" t="s">
        <v>23</v>
      </c>
      <c r="D102">
        <v>16</v>
      </c>
      <c r="E102" t="s">
        <v>24</v>
      </c>
      <c r="F102" t="s">
        <v>25</v>
      </c>
      <c r="G102">
        <v>2357.5420819999999</v>
      </c>
      <c r="H102">
        <v>11782092.720000001</v>
      </c>
      <c r="I102">
        <v>14138.138059999999</v>
      </c>
      <c r="J102">
        <v>16737866.76</v>
      </c>
      <c r="K102">
        <v>8.6296444999999999E-2</v>
      </c>
      <c r="L102">
        <v>5.717359E-3</v>
      </c>
      <c r="M102">
        <v>-1.3163668999999999E-2</v>
      </c>
      <c r="N102">
        <v>9.5430099999999996E-4</v>
      </c>
      <c r="O102">
        <v>0.29334239699999998</v>
      </c>
      <c r="P102">
        <v>1.1080052999999999E-2</v>
      </c>
      <c r="Q102">
        <v>6.5175043000000002E-2</v>
      </c>
      <c r="R102">
        <v>6.0927256999999999E-2</v>
      </c>
      <c r="S102">
        <v>0.83415865300000003</v>
      </c>
      <c r="T102">
        <v>0.13833799499999999</v>
      </c>
      <c r="U102">
        <v>48</v>
      </c>
    </row>
    <row r="103" spans="1:21" x14ac:dyDescent="0.25">
      <c r="A103">
        <v>102</v>
      </c>
      <c r="B103">
        <v>110</v>
      </c>
      <c r="C103" t="s">
        <v>23</v>
      </c>
      <c r="D103">
        <v>16</v>
      </c>
      <c r="E103" t="s">
        <v>24</v>
      </c>
      <c r="F103" t="s">
        <v>25</v>
      </c>
      <c r="G103">
        <v>1792.3280789999999</v>
      </c>
      <c r="H103">
        <v>5378986.9469999997</v>
      </c>
      <c r="I103">
        <v>14663.189710000001</v>
      </c>
      <c r="J103">
        <v>15183994.550000001</v>
      </c>
      <c r="K103">
        <v>8.5329730000000006E-2</v>
      </c>
      <c r="L103">
        <v>5.7923999999999996E-3</v>
      </c>
      <c r="M103">
        <v>-1.1553983E-2</v>
      </c>
      <c r="N103">
        <v>1.0965829999999999E-3</v>
      </c>
      <c r="O103">
        <v>0.28127754799999999</v>
      </c>
      <c r="P103">
        <v>8.6105539999999994E-3</v>
      </c>
      <c r="Q103">
        <v>4.8045875000000002E-2</v>
      </c>
      <c r="R103">
        <v>4.5737469000000003E-2</v>
      </c>
      <c r="S103">
        <v>0.83819695299999997</v>
      </c>
      <c r="T103">
        <v>0.135622821</v>
      </c>
      <c r="U103">
        <v>49</v>
      </c>
    </row>
    <row r="104" spans="1:21" x14ac:dyDescent="0.25">
      <c r="A104">
        <v>103</v>
      </c>
      <c r="B104">
        <v>111</v>
      </c>
      <c r="C104" t="s">
        <v>23</v>
      </c>
      <c r="D104">
        <v>16</v>
      </c>
      <c r="E104" t="s">
        <v>24</v>
      </c>
      <c r="F104" t="s">
        <v>25</v>
      </c>
      <c r="G104">
        <v>2048.9308310000001</v>
      </c>
      <c r="H104">
        <v>7107632.9450000003</v>
      </c>
      <c r="I104">
        <v>14782.270500000001</v>
      </c>
      <c r="J104">
        <v>14343278.119999999</v>
      </c>
      <c r="K104">
        <v>6.7621026000000001E-2</v>
      </c>
      <c r="L104">
        <v>6.0243060000000001E-3</v>
      </c>
      <c r="M104">
        <v>-2.2642355999999999E-2</v>
      </c>
      <c r="N104">
        <v>8.9840500000000002E-4</v>
      </c>
      <c r="O104">
        <v>0.27301122300000003</v>
      </c>
      <c r="P104">
        <v>1.0841419999999999E-2</v>
      </c>
      <c r="Q104">
        <v>5.9413188999999998E-2</v>
      </c>
      <c r="R104">
        <v>5.5883262000000003E-2</v>
      </c>
      <c r="S104">
        <v>0.90666408499999995</v>
      </c>
      <c r="T104">
        <v>8.4624322000000002E-2</v>
      </c>
      <c r="U104">
        <v>53</v>
      </c>
    </row>
    <row r="105" spans="1:21" x14ac:dyDescent="0.25">
      <c r="A105">
        <v>104</v>
      </c>
      <c r="B105">
        <v>112</v>
      </c>
      <c r="C105" t="s">
        <v>23</v>
      </c>
      <c r="D105">
        <v>16</v>
      </c>
      <c r="E105" t="s">
        <v>24</v>
      </c>
      <c r="F105" t="s">
        <v>25</v>
      </c>
      <c r="G105">
        <v>2140.3473359999998</v>
      </c>
      <c r="H105">
        <v>8523926.7719999999</v>
      </c>
      <c r="I105">
        <v>15397.30524</v>
      </c>
      <c r="J105">
        <v>14145056.699999999</v>
      </c>
      <c r="K105">
        <v>5.8804659000000002E-2</v>
      </c>
      <c r="L105">
        <v>5.1391149999999997E-3</v>
      </c>
      <c r="M105">
        <v>-2.7893673000000001E-2</v>
      </c>
      <c r="N105">
        <v>9.5789400000000004E-4</v>
      </c>
      <c r="O105">
        <v>0.25493196299999998</v>
      </c>
      <c r="P105">
        <v>1.1430589999999999E-2</v>
      </c>
      <c r="Q105">
        <v>5.3060995E-2</v>
      </c>
      <c r="R105">
        <v>5.0245525999999999E-2</v>
      </c>
      <c r="S105">
        <v>0.93600812600000005</v>
      </c>
      <c r="T105">
        <v>5.9896914000000002E-2</v>
      </c>
      <c r="U105">
        <v>74</v>
      </c>
    </row>
    <row r="106" spans="1:21" x14ac:dyDescent="0.25">
      <c r="A106">
        <v>105</v>
      </c>
      <c r="B106">
        <v>201</v>
      </c>
      <c r="C106" t="s">
        <v>23</v>
      </c>
      <c r="D106">
        <v>16</v>
      </c>
      <c r="E106" t="s">
        <v>24</v>
      </c>
      <c r="F106" t="s">
        <v>25</v>
      </c>
      <c r="G106">
        <v>3125.9264229999999</v>
      </c>
      <c r="H106">
        <v>9458240.5010000002</v>
      </c>
      <c r="I106">
        <v>13659.69853</v>
      </c>
      <c r="J106">
        <v>14165141.119999999</v>
      </c>
      <c r="K106">
        <v>6.7900891000000005E-2</v>
      </c>
      <c r="L106">
        <v>4.4942749999999998E-3</v>
      </c>
      <c r="M106">
        <v>-3.0962498000000001E-2</v>
      </c>
      <c r="N106">
        <v>9.6688199999999996E-4</v>
      </c>
      <c r="O106">
        <v>0.26627741700000002</v>
      </c>
      <c r="P106">
        <v>9.0189980000000003E-3</v>
      </c>
      <c r="Q106">
        <v>4.8747912999999997E-2</v>
      </c>
      <c r="R106">
        <v>4.6371554000000002E-2</v>
      </c>
      <c r="S106">
        <v>0.87653213799999996</v>
      </c>
      <c r="T106">
        <v>0.108223549</v>
      </c>
      <c r="U106">
        <v>48</v>
      </c>
    </row>
    <row r="107" spans="1:21" x14ac:dyDescent="0.25">
      <c r="A107">
        <v>106</v>
      </c>
      <c r="B107">
        <v>202</v>
      </c>
      <c r="C107" t="s">
        <v>23</v>
      </c>
      <c r="D107">
        <v>16</v>
      </c>
      <c r="E107" t="s">
        <v>24</v>
      </c>
      <c r="F107" t="s">
        <v>25</v>
      </c>
      <c r="G107">
        <v>3100.802385</v>
      </c>
      <c r="H107">
        <v>12538713.76</v>
      </c>
      <c r="I107">
        <v>15558.241910000001</v>
      </c>
      <c r="J107">
        <v>17890363.559999999</v>
      </c>
      <c r="K107">
        <v>6.1358334E-2</v>
      </c>
      <c r="L107">
        <v>4.9574689999999999E-3</v>
      </c>
      <c r="M107">
        <v>-3.1716398999999999E-2</v>
      </c>
      <c r="N107">
        <v>8.9029099999999998E-4</v>
      </c>
      <c r="O107">
        <v>0.25337990999999999</v>
      </c>
      <c r="P107">
        <v>1.1040911E-2</v>
      </c>
      <c r="Q107">
        <v>5.6486171000000002E-2</v>
      </c>
      <c r="R107">
        <v>5.3295482999999998E-2</v>
      </c>
      <c r="S107">
        <v>0.91847254099999998</v>
      </c>
      <c r="T107">
        <v>7.4880732000000005E-2</v>
      </c>
      <c r="U107">
        <v>55</v>
      </c>
    </row>
    <row r="108" spans="1:21" x14ac:dyDescent="0.25">
      <c r="A108">
        <v>107</v>
      </c>
      <c r="B108">
        <v>203</v>
      </c>
      <c r="C108" t="s">
        <v>23</v>
      </c>
      <c r="D108">
        <v>16</v>
      </c>
      <c r="E108" t="s">
        <v>24</v>
      </c>
      <c r="F108" t="s">
        <v>25</v>
      </c>
      <c r="G108">
        <v>3096.7547319999999</v>
      </c>
      <c r="H108">
        <v>14275021.869999999</v>
      </c>
      <c r="I108">
        <v>15735.0782</v>
      </c>
      <c r="J108">
        <v>17325187.829999998</v>
      </c>
      <c r="K108">
        <v>5.6303730000000003E-2</v>
      </c>
      <c r="L108">
        <v>4.8926789999999996E-3</v>
      </c>
      <c r="M108">
        <v>-3.2174148999999999E-2</v>
      </c>
      <c r="N108">
        <v>6.98162E-4</v>
      </c>
      <c r="O108">
        <v>0.24878098300000001</v>
      </c>
      <c r="P108">
        <v>1.2073326000000001E-2</v>
      </c>
      <c r="Q108">
        <v>6.4148815999999997E-2</v>
      </c>
      <c r="R108">
        <v>6.0033745999999999E-2</v>
      </c>
      <c r="S108">
        <v>0.82199941899999995</v>
      </c>
      <c r="T108">
        <v>0.146316374</v>
      </c>
      <c r="U108">
        <v>42</v>
      </c>
    </row>
    <row r="109" spans="1:21" x14ac:dyDescent="0.25">
      <c r="A109">
        <v>108</v>
      </c>
      <c r="B109">
        <v>204</v>
      </c>
      <c r="C109" t="s">
        <v>23</v>
      </c>
      <c r="D109">
        <v>16</v>
      </c>
      <c r="E109" t="s">
        <v>24</v>
      </c>
      <c r="F109" t="s">
        <v>25</v>
      </c>
      <c r="G109">
        <v>2621.5060760000001</v>
      </c>
      <c r="H109">
        <v>6116328.3700000001</v>
      </c>
      <c r="I109">
        <v>14883.7137</v>
      </c>
      <c r="J109">
        <v>14639024.27</v>
      </c>
      <c r="K109">
        <v>6.8256498999999998E-2</v>
      </c>
      <c r="L109">
        <v>6.3079529999999998E-3</v>
      </c>
      <c r="M109">
        <v>-2.3626753E-2</v>
      </c>
      <c r="N109">
        <v>7.5640699999999996E-4</v>
      </c>
      <c r="O109">
        <v>0.26117535800000002</v>
      </c>
      <c r="P109">
        <v>1.2019449E-2</v>
      </c>
      <c r="Q109">
        <v>6.0342908000000001E-2</v>
      </c>
      <c r="R109">
        <v>5.6701640999999997E-2</v>
      </c>
      <c r="S109">
        <v>0.94755725599999996</v>
      </c>
      <c r="T109">
        <v>4.9692502E-2</v>
      </c>
      <c r="U109">
        <v>73</v>
      </c>
    </row>
    <row r="110" spans="1:21" x14ac:dyDescent="0.25">
      <c r="A110">
        <v>109</v>
      </c>
      <c r="B110">
        <v>205</v>
      </c>
      <c r="C110" t="s">
        <v>23</v>
      </c>
      <c r="D110">
        <v>16</v>
      </c>
      <c r="E110" t="s">
        <v>24</v>
      </c>
      <c r="F110" t="s">
        <v>25</v>
      </c>
      <c r="G110">
        <v>2746.5104230000002</v>
      </c>
      <c r="H110">
        <v>17844538.18</v>
      </c>
      <c r="I110">
        <v>13473.1134</v>
      </c>
      <c r="J110">
        <v>20400308.68</v>
      </c>
      <c r="K110">
        <v>8.8255199000000006E-2</v>
      </c>
      <c r="L110">
        <v>8.1950819999999994E-3</v>
      </c>
      <c r="M110">
        <v>-1.2073407E-2</v>
      </c>
      <c r="N110">
        <v>1.2129840000000001E-3</v>
      </c>
      <c r="O110">
        <v>0.29255128499999999</v>
      </c>
      <c r="P110">
        <v>1.8108526E-2</v>
      </c>
      <c r="Q110">
        <v>9.5180235000000002E-2</v>
      </c>
      <c r="R110">
        <v>8.6120957999999997E-2</v>
      </c>
      <c r="S110">
        <v>0.78519393299999996</v>
      </c>
      <c r="T110">
        <v>0.16866442000000001</v>
      </c>
      <c r="U110">
        <v>38</v>
      </c>
    </row>
    <row r="111" spans="1:21" x14ac:dyDescent="0.25">
      <c r="A111">
        <v>110</v>
      </c>
      <c r="B111">
        <v>206</v>
      </c>
      <c r="C111" t="s">
        <v>23</v>
      </c>
      <c r="D111">
        <v>16</v>
      </c>
      <c r="E111" t="s">
        <v>24</v>
      </c>
      <c r="F111" t="s">
        <v>25</v>
      </c>
      <c r="G111">
        <v>2373.3892999999998</v>
      </c>
      <c r="H111">
        <v>10243042.199999999</v>
      </c>
      <c r="I111">
        <v>13553.283589999999</v>
      </c>
      <c r="J111">
        <v>20266059.02</v>
      </c>
      <c r="K111">
        <v>9.6135964000000004E-2</v>
      </c>
      <c r="L111">
        <v>8.6982929999999993E-3</v>
      </c>
      <c r="M111">
        <v>-1.3575494E-2</v>
      </c>
      <c r="N111">
        <v>1.5297920000000001E-3</v>
      </c>
      <c r="O111">
        <v>0.29653713399999998</v>
      </c>
      <c r="P111">
        <v>1.5178185E-2</v>
      </c>
      <c r="Q111">
        <v>9.3939563000000004E-2</v>
      </c>
      <c r="R111">
        <v>8.5114920999999996E-2</v>
      </c>
      <c r="S111">
        <v>0.92303184699999996</v>
      </c>
      <c r="T111">
        <v>7.1044056999999994E-2</v>
      </c>
      <c r="U111">
        <v>61</v>
      </c>
    </row>
    <row r="112" spans="1:21" x14ac:dyDescent="0.25">
      <c r="A112">
        <v>111</v>
      </c>
      <c r="B112">
        <v>207</v>
      </c>
      <c r="C112" t="s">
        <v>23</v>
      </c>
      <c r="D112">
        <v>16</v>
      </c>
      <c r="E112" t="s">
        <v>24</v>
      </c>
      <c r="F112" t="s">
        <v>25</v>
      </c>
      <c r="G112">
        <v>2286.5610419999998</v>
      </c>
      <c r="H112">
        <v>9969153.0160000008</v>
      </c>
      <c r="I112">
        <v>13552.47956</v>
      </c>
      <c r="J112">
        <v>15110537.449999999</v>
      </c>
      <c r="K112">
        <v>7.4462223999999994E-2</v>
      </c>
      <c r="L112">
        <v>5.0411859999999996E-3</v>
      </c>
      <c r="M112">
        <v>-1.6253503999999998E-2</v>
      </c>
      <c r="N112">
        <v>1.115507E-3</v>
      </c>
      <c r="O112">
        <v>0.27864670200000002</v>
      </c>
      <c r="P112">
        <v>9.8275879999999999E-3</v>
      </c>
      <c r="Q112">
        <v>5.6712375000000002E-2</v>
      </c>
      <c r="R112">
        <v>5.3496082E-2</v>
      </c>
      <c r="S112">
        <v>0.87511824800000004</v>
      </c>
      <c r="T112">
        <v>0.1092863</v>
      </c>
      <c r="U112">
        <v>48</v>
      </c>
    </row>
    <row r="113" spans="1:21" x14ac:dyDescent="0.25">
      <c r="A113">
        <v>112</v>
      </c>
      <c r="B113">
        <v>208</v>
      </c>
      <c r="C113" t="s">
        <v>23</v>
      </c>
      <c r="D113">
        <v>16</v>
      </c>
      <c r="E113" t="s">
        <v>24</v>
      </c>
      <c r="F113" t="s">
        <v>25</v>
      </c>
      <c r="G113">
        <v>2477.6381489999999</v>
      </c>
      <c r="H113">
        <v>10063670.25</v>
      </c>
      <c r="I113">
        <v>15024.6392</v>
      </c>
      <c r="J113">
        <v>13638696.310000001</v>
      </c>
      <c r="K113">
        <v>6.1012770000000001E-2</v>
      </c>
      <c r="L113">
        <v>4.346127E-3</v>
      </c>
      <c r="M113">
        <v>-2.5180767999999999E-2</v>
      </c>
      <c r="N113">
        <v>6.1596000000000003E-4</v>
      </c>
      <c r="O113">
        <v>0.26597526500000002</v>
      </c>
      <c r="P113">
        <v>9.7596209999999996E-3</v>
      </c>
      <c r="Q113">
        <v>5.4341037000000002E-2</v>
      </c>
      <c r="R113">
        <v>5.1388088999999998E-2</v>
      </c>
      <c r="S113">
        <v>0.94349868800000003</v>
      </c>
      <c r="T113">
        <v>5.3308913999999999E-2</v>
      </c>
      <c r="U113">
        <v>55</v>
      </c>
    </row>
    <row r="114" spans="1:21" x14ac:dyDescent="0.25">
      <c r="A114">
        <v>113</v>
      </c>
      <c r="B114">
        <v>209</v>
      </c>
      <c r="C114" t="s">
        <v>23</v>
      </c>
      <c r="D114">
        <v>16</v>
      </c>
      <c r="E114" t="s">
        <v>24</v>
      </c>
      <c r="F114" t="s">
        <v>25</v>
      </c>
      <c r="G114">
        <v>2952.570608</v>
      </c>
      <c r="H114">
        <v>16321697.01</v>
      </c>
      <c r="I114">
        <v>15016.945379999999</v>
      </c>
      <c r="J114">
        <v>19934982.800000001</v>
      </c>
      <c r="K114">
        <v>6.8218720999999996E-2</v>
      </c>
      <c r="L114">
        <v>7.1512390000000002E-3</v>
      </c>
      <c r="M114">
        <v>-2.3830547000000001E-2</v>
      </c>
      <c r="N114">
        <v>7.4998600000000001E-4</v>
      </c>
      <c r="O114">
        <v>0.276172101</v>
      </c>
      <c r="P114">
        <v>1.5794397000000002E-2</v>
      </c>
      <c r="Q114">
        <v>8.8864143000000007E-2</v>
      </c>
      <c r="R114">
        <v>8.0967307000000002E-2</v>
      </c>
      <c r="S114">
        <v>0.83292074800000004</v>
      </c>
      <c r="T114">
        <v>0.13916377599999999</v>
      </c>
      <c r="U114">
        <v>45</v>
      </c>
    </row>
    <row r="115" spans="1:21" x14ac:dyDescent="0.25">
      <c r="A115">
        <v>114</v>
      </c>
      <c r="B115">
        <v>210</v>
      </c>
      <c r="C115" t="s">
        <v>23</v>
      </c>
      <c r="D115">
        <v>16</v>
      </c>
      <c r="E115" t="s">
        <v>24</v>
      </c>
      <c r="F115" t="s">
        <v>25</v>
      </c>
      <c r="G115">
        <v>2433.9496680000002</v>
      </c>
      <c r="H115">
        <v>5427303.1689999998</v>
      </c>
      <c r="I115">
        <v>16065.918170000001</v>
      </c>
      <c r="J115">
        <v>16062931.49</v>
      </c>
      <c r="K115">
        <v>5.1933168000000002E-2</v>
      </c>
      <c r="L115">
        <v>5.673071E-3</v>
      </c>
      <c r="M115">
        <v>-2.5352676000000001E-2</v>
      </c>
      <c r="N115">
        <v>8.6410399999999998E-4</v>
      </c>
      <c r="O115">
        <v>0.252831421</v>
      </c>
      <c r="P115">
        <v>9.9932600000000003E-3</v>
      </c>
      <c r="Q115">
        <v>5.0897150000000002E-2</v>
      </c>
      <c r="R115">
        <v>4.8306630000000003E-2</v>
      </c>
      <c r="S115">
        <v>0.97476428199999998</v>
      </c>
      <c r="T115">
        <v>2.4598877000000002E-2</v>
      </c>
      <c r="U115">
        <v>54</v>
      </c>
    </row>
    <row r="116" spans="1:21" x14ac:dyDescent="0.25">
      <c r="A116">
        <v>115</v>
      </c>
      <c r="B116">
        <v>211</v>
      </c>
      <c r="C116" t="s">
        <v>23</v>
      </c>
      <c r="D116">
        <v>16</v>
      </c>
      <c r="E116" t="s">
        <v>24</v>
      </c>
      <c r="F116" t="s">
        <v>25</v>
      </c>
      <c r="G116">
        <v>2059.375419</v>
      </c>
      <c r="H116">
        <v>5570674.6140000001</v>
      </c>
      <c r="I116">
        <v>15858.798409999999</v>
      </c>
      <c r="J116">
        <v>12627170.18</v>
      </c>
      <c r="K116">
        <v>4.6034348000000003E-2</v>
      </c>
      <c r="L116">
        <v>4.176529E-3</v>
      </c>
      <c r="M116">
        <v>-2.9655704000000001E-2</v>
      </c>
      <c r="N116">
        <v>7.56816E-4</v>
      </c>
      <c r="O116">
        <v>0.24629199600000001</v>
      </c>
      <c r="P116">
        <v>7.721421E-3</v>
      </c>
      <c r="Q116">
        <v>3.9188725000000001E-2</v>
      </c>
      <c r="R116">
        <v>3.7652969000000001E-2</v>
      </c>
      <c r="S116">
        <v>0.89195311700000002</v>
      </c>
      <c r="T116">
        <v>9.6372754000000005E-2</v>
      </c>
      <c r="U116">
        <v>54</v>
      </c>
    </row>
    <row r="117" spans="1:21" x14ac:dyDescent="0.25">
      <c r="A117">
        <v>116</v>
      </c>
      <c r="B117">
        <v>212</v>
      </c>
      <c r="C117" t="s">
        <v>23</v>
      </c>
      <c r="D117">
        <v>16</v>
      </c>
      <c r="E117" t="s">
        <v>24</v>
      </c>
      <c r="F117" t="s">
        <v>25</v>
      </c>
      <c r="G117">
        <v>2338.541295</v>
      </c>
      <c r="H117">
        <v>9757133.8310000002</v>
      </c>
      <c r="I117">
        <v>15161.31358</v>
      </c>
      <c r="J117">
        <v>16093497.91</v>
      </c>
      <c r="K117">
        <v>5.7748877999999997E-2</v>
      </c>
      <c r="L117">
        <v>5.9437480000000004E-3</v>
      </c>
      <c r="M117">
        <v>-2.9689922000000001E-2</v>
      </c>
      <c r="N117">
        <v>9.6162000000000005E-4</v>
      </c>
      <c r="O117">
        <v>0.25604681099999999</v>
      </c>
      <c r="P117">
        <v>1.2095691E-2</v>
      </c>
      <c r="Q117">
        <v>6.2931226000000007E-2</v>
      </c>
      <c r="R117">
        <v>5.8970887E-2</v>
      </c>
      <c r="S117">
        <v>0.79002128699999996</v>
      </c>
      <c r="T117">
        <v>0.165887653</v>
      </c>
      <c r="U117">
        <v>56</v>
      </c>
    </row>
    <row r="118" spans="1:21" x14ac:dyDescent="0.25">
      <c r="A118">
        <v>117</v>
      </c>
      <c r="B118">
        <v>301</v>
      </c>
      <c r="C118" t="s">
        <v>23</v>
      </c>
      <c r="D118">
        <v>16</v>
      </c>
      <c r="E118" t="s">
        <v>24</v>
      </c>
      <c r="F118" t="s">
        <v>25</v>
      </c>
      <c r="G118">
        <v>4578.8309879999997</v>
      </c>
      <c r="H118">
        <v>35153299.020000003</v>
      </c>
      <c r="I118">
        <v>15599.515429999999</v>
      </c>
      <c r="J118">
        <v>28312637.800000001</v>
      </c>
      <c r="K118">
        <v>5.1846710999999997E-2</v>
      </c>
      <c r="L118">
        <v>8.0330990000000001E-3</v>
      </c>
      <c r="M118">
        <v>-4.9836349000000002E-2</v>
      </c>
      <c r="N118">
        <v>1.2244770000000001E-3</v>
      </c>
      <c r="O118">
        <v>0.25453538399999998</v>
      </c>
      <c r="P118">
        <v>2.3589657E-2</v>
      </c>
      <c r="Q118">
        <v>0.121648906</v>
      </c>
      <c r="R118">
        <v>0.10685045</v>
      </c>
      <c r="S118">
        <v>0.76513717199999998</v>
      </c>
      <c r="T118">
        <v>0.17970227999999999</v>
      </c>
      <c r="U118">
        <v>25</v>
      </c>
    </row>
    <row r="119" spans="1:21" x14ac:dyDescent="0.25">
      <c r="A119">
        <v>118</v>
      </c>
      <c r="B119">
        <v>302</v>
      </c>
      <c r="C119" t="s">
        <v>23</v>
      </c>
      <c r="D119">
        <v>16</v>
      </c>
      <c r="E119" t="s">
        <v>24</v>
      </c>
      <c r="F119" t="s">
        <v>25</v>
      </c>
      <c r="G119">
        <v>5380.8908060000003</v>
      </c>
      <c r="H119">
        <v>51610775.840000004</v>
      </c>
      <c r="I119">
        <v>15538.38112</v>
      </c>
      <c r="J119">
        <v>39348097.450000003</v>
      </c>
      <c r="K119">
        <v>6.6373050000000003E-2</v>
      </c>
      <c r="L119">
        <v>9.9722089999999992E-3</v>
      </c>
      <c r="M119">
        <v>-4.5241800999999998E-2</v>
      </c>
      <c r="N119">
        <v>1.3902509999999999E-3</v>
      </c>
      <c r="O119">
        <v>0.27308882499999998</v>
      </c>
      <c r="P119">
        <v>3.0783628E-2</v>
      </c>
      <c r="Q119">
        <v>0.15296409699999999</v>
      </c>
      <c r="R119">
        <v>0.129566082</v>
      </c>
      <c r="S119">
        <v>0.747291123</v>
      </c>
      <c r="T119">
        <v>0.18884709999999999</v>
      </c>
      <c r="U119">
        <v>20</v>
      </c>
    </row>
    <row r="120" spans="1:21" x14ac:dyDescent="0.25">
      <c r="A120">
        <v>119</v>
      </c>
      <c r="B120">
        <v>303</v>
      </c>
      <c r="C120" t="s">
        <v>23</v>
      </c>
      <c r="D120">
        <v>16</v>
      </c>
      <c r="E120" t="s">
        <v>24</v>
      </c>
      <c r="F120" t="s">
        <v>25</v>
      </c>
      <c r="G120">
        <v>5376.7376279999999</v>
      </c>
      <c r="H120">
        <v>47777121.159999996</v>
      </c>
      <c r="I120">
        <v>14407.935229999999</v>
      </c>
      <c r="J120">
        <v>39260725.200000003</v>
      </c>
      <c r="K120">
        <v>8.6924485999999995E-2</v>
      </c>
      <c r="L120">
        <v>1.1332963999999999E-2</v>
      </c>
      <c r="M120">
        <v>-3.4647249999999997E-2</v>
      </c>
      <c r="N120">
        <v>1.28247E-3</v>
      </c>
      <c r="O120">
        <v>0.29846002199999999</v>
      </c>
      <c r="P120">
        <v>3.2752718E-2</v>
      </c>
      <c r="Q120">
        <v>0.172862867</v>
      </c>
      <c r="R120">
        <v>0.14298129600000001</v>
      </c>
      <c r="S120">
        <v>0.71814681000000002</v>
      </c>
      <c r="T120">
        <v>0.202411969</v>
      </c>
      <c r="U120">
        <v>17</v>
      </c>
    </row>
    <row r="121" spans="1:21" x14ac:dyDescent="0.25">
      <c r="A121">
        <v>120</v>
      </c>
      <c r="B121">
        <v>304</v>
      </c>
      <c r="C121" t="s">
        <v>23</v>
      </c>
      <c r="D121">
        <v>16</v>
      </c>
      <c r="E121" t="s">
        <v>24</v>
      </c>
      <c r="F121" t="s">
        <v>25</v>
      </c>
      <c r="G121">
        <v>4625.7373850000004</v>
      </c>
      <c r="H121">
        <v>42052903.399999999</v>
      </c>
      <c r="I121">
        <v>15288.92452</v>
      </c>
      <c r="J121">
        <v>35719698.390000001</v>
      </c>
      <c r="K121">
        <v>7.4337729000000005E-2</v>
      </c>
      <c r="L121">
        <v>9.8699619999999995E-3</v>
      </c>
      <c r="M121">
        <v>-3.3139912000000001E-2</v>
      </c>
      <c r="N121">
        <v>9.0271399999999999E-4</v>
      </c>
      <c r="O121">
        <v>0.28130666199999999</v>
      </c>
      <c r="P121">
        <v>2.7764825E-2</v>
      </c>
      <c r="Q121">
        <v>0.141195459</v>
      </c>
      <c r="R121">
        <v>0.121259301</v>
      </c>
      <c r="S121">
        <v>0.83390345399999999</v>
      </c>
      <c r="T121">
        <v>0.13850848299999999</v>
      </c>
      <c r="U121">
        <v>26</v>
      </c>
    </row>
    <row r="122" spans="1:21" x14ac:dyDescent="0.25">
      <c r="A122">
        <v>121</v>
      </c>
      <c r="B122">
        <v>305</v>
      </c>
      <c r="C122" t="s">
        <v>23</v>
      </c>
      <c r="D122">
        <v>16</v>
      </c>
      <c r="E122" t="s">
        <v>24</v>
      </c>
      <c r="F122" t="s">
        <v>25</v>
      </c>
      <c r="G122">
        <v>4363.3259740000003</v>
      </c>
      <c r="H122">
        <v>40386089.329999998</v>
      </c>
      <c r="I122">
        <v>14484.576870000001</v>
      </c>
      <c r="J122">
        <v>34089270.840000004</v>
      </c>
      <c r="K122">
        <v>8.4443382999999997E-2</v>
      </c>
      <c r="L122">
        <v>9.9948459999999999E-3</v>
      </c>
      <c r="M122">
        <v>-2.2550315000000001E-2</v>
      </c>
      <c r="N122">
        <v>1.210617E-3</v>
      </c>
      <c r="O122">
        <v>0.293359594</v>
      </c>
      <c r="P122">
        <v>2.7154609999999999E-2</v>
      </c>
      <c r="Q122">
        <v>0.143214962</v>
      </c>
      <c r="R122">
        <v>0.122704436</v>
      </c>
      <c r="S122">
        <v>0.769573018</v>
      </c>
      <c r="T122">
        <v>0.17733038800000001</v>
      </c>
      <c r="U122">
        <v>19</v>
      </c>
    </row>
    <row r="123" spans="1:21" x14ac:dyDescent="0.25">
      <c r="A123">
        <v>122</v>
      </c>
      <c r="B123">
        <v>306</v>
      </c>
      <c r="C123" t="s">
        <v>23</v>
      </c>
      <c r="D123">
        <v>16</v>
      </c>
      <c r="E123" t="s">
        <v>24</v>
      </c>
      <c r="F123" t="s">
        <v>25</v>
      </c>
      <c r="G123">
        <v>2592.7611350000002</v>
      </c>
      <c r="H123">
        <v>17081967.280000001</v>
      </c>
      <c r="I123">
        <v>14809.772300000001</v>
      </c>
      <c r="J123">
        <v>20729102.18</v>
      </c>
      <c r="K123">
        <v>7.2926860999999996E-2</v>
      </c>
      <c r="L123">
        <v>6.1335900000000004E-3</v>
      </c>
      <c r="M123">
        <v>-1.9715789000000001E-2</v>
      </c>
      <c r="N123">
        <v>1.4305399999999999E-3</v>
      </c>
      <c r="O123">
        <v>0.26040080399999999</v>
      </c>
      <c r="P123">
        <v>1.201266E-2</v>
      </c>
      <c r="Q123">
        <v>6.2444345999999998E-2</v>
      </c>
      <c r="R123">
        <v>5.8545049000000002E-2</v>
      </c>
      <c r="S123">
        <v>0.82793139699999996</v>
      </c>
      <c r="T123">
        <v>0.142460999</v>
      </c>
      <c r="U123">
        <v>36</v>
      </c>
    </row>
    <row r="124" spans="1:21" x14ac:dyDescent="0.25">
      <c r="A124">
        <v>123</v>
      </c>
      <c r="B124">
        <v>307</v>
      </c>
      <c r="C124" t="s">
        <v>23</v>
      </c>
      <c r="D124">
        <v>16</v>
      </c>
      <c r="E124" t="s">
        <v>24</v>
      </c>
      <c r="F124" t="s">
        <v>25</v>
      </c>
      <c r="G124">
        <v>3261.1240419999999</v>
      </c>
      <c r="H124">
        <v>20979982.93</v>
      </c>
      <c r="I124">
        <v>15250.36954</v>
      </c>
      <c r="J124">
        <v>23635119.210000001</v>
      </c>
      <c r="K124">
        <v>6.3286282999999999E-2</v>
      </c>
      <c r="L124">
        <v>7.8016029999999998E-3</v>
      </c>
      <c r="M124">
        <v>-2.8840210000000002E-2</v>
      </c>
      <c r="N124">
        <v>1.1998499999999999E-3</v>
      </c>
      <c r="O124">
        <v>0.263047639</v>
      </c>
      <c r="P124">
        <v>1.7505514E-2</v>
      </c>
      <c r="Q124">
        <v>9.2644113E-2</v>
      </c>
      <c r="R124">
        <v>8.4061180999999999E-2</v>
      </c>
      <c r="S124">
        <v>0.90307342700000004</v>
      </c>
      <c r="T124">
        <v>8.7531812000000001E-2</v>
      </c>
      <c r="U124">
        <v>45</v>
      </c>
    </row>
    <row r="125" spans="1:21" x14ac:dyDescent="0.25">
      <c r="A125">
        <v>124</v>
      </c>
      <c r="B125">
        <v>308</v>
      </c>
      <c r="C125" t="s">
        <v>23</v>
      </c>
      <c r="D125">
        <v>16</v>
      </c>
      <c r="E125" t="s">
        <v>24</v>
      </c>
      <c r="F125" t="s">
        <v>25</v>
      </c>
      <c r="G125">
        <v>5221.7900490000002</v>
      </c>
      <c r="H125">
        <v>49997783.159999996</v>
      </c>
      <c r="I125">
        <v>15249.058069999999</v>
      </c>
      <c r="J125">
        <v>36693793.590000004</v>
      </c>
      <c r="K125">
        <v>6.9727022999999999E-2</v>
      </c>
      <c r="L125">
        <v>9.3130869999999994E-3</v>
      </c>
      <c r="M125">
        <v>-3.2450117000000001E-2</v>
      </c>
      <c r="N125">
        <v>1.0129710000000001E-3</v>
      </c>
      <c r="O125">
        <v>0.28869573199999998</v>
      </c>
      <c r="P125">
        <v>2.7897253E-2</v>
      </c>
      <c r="Q125">
        <v>0.15428698599999999</v>
      </c>
      <c r="R125">
        <v>0.13048251199999999</v>
      </c>
      <c r="S125">
        <v>0.81742832899999995</v>
      </c>
      <c r="T125">
        <v>0.14923925599999999</v>
      </c>
      <c r="U125">
        <v>20</v>
      </c>
    </row>
    <row r="126" spans="1:21" x14ac:dyDescent="0.25">
      <c r="A126">
        <v>125</v>
      </c>
      <c r="B126">
        <v>309</v>
      </c>
      <c r="C126" t="s">
        <v>23</v>
      </c>
      <c r="D126">
        <v>16</v>
      </c>
      <c r="E126" t="s">
        <v>24</v>
      </c>
      <c r="F126" t="s">
        <v>25</v>
      </c>
      <c r="G126">
        <v>2575.1249640000001</v>
      </c>
      <c r="H126">
        <v>7258135.6509999996</v>
      </c>
      <c r="I126">
        <v>15840.896000000001</v>
      </c>
      <c r="J126">
        <v>12788248.85</v>
      </c>
      <c r="K126">
        <v>5.5117698E-2</v>
      </c>
      <c r="L126">
        <v>3.6056019999999999E-3</v>
      </c>
      <c r="M126">
        <v>-2.5448430000000001E-2</v>
      </c>
      <c r="N126">
        <v>6.7295099999999997E-4</v>
      </c>
      <c r="O126">
        <v>0.23924290600000001</v>
      </c>
      <c r="P126">
        <v>6.9815390000000001E-3</v>
      </c>
      <c r="Q126">
        <v>3.0886527E-2</v>
      </c>
      <c r="R126">
        <v>2.9932548999999999E-2</v>
      </c>
      <c r="S126">
        <v>0.84657976599999996</v>
      </c>
      <c r="T126">
        <v>0.129882466</v>
      </c>
      <c r="U126">
        <v>57</v>
      </c>
    </row>
    <row r="127" spans="1:21" x14ac:dyDescent="0.25">
      <c r="A127">
        <v>126</v>
      </c>
      <c r="B127">
        <v>310</v>
      </c>
      <c r="C127" t="s">
        <v>23</v>
      </c>
      <c r="D127">
        <v>16</v>
      </c>
      <c r="E127" t="s">
        <v>24</v>
      </c>
      <c r="F127" t="s">
        <v>25</v>
      </c>
      <c r="G127">
        <v>4770.3989590000001</v>
      </c>
      <c r="H127">
        <v>44949593.43</v>
      </c>
      <c r="I127">
        <v>14198.181699999999</v>
      </c>
      <c r="J127">
        <v>37391481.57</v>
      </c>
      <c r="K127">
        <v>8.9056626999999999E-2</v>
      </c>
      <c r="L127">
        <v>1.0187180000000001E-2</v>
      </c>
      <c r="M127">
        <v>-2.0818950999999999E-2</v>
      </c>
      <c r="N127">
        <v>1.4497150000000001E-3</v>
      </c>
      <c r="O127">
        <v>0.30049386099999997</v>
      </c>
      <c r="P127">
        <v>2.6948526E-2</v>
      </c>
      <c r="Q127">
        <v>0.15097068499999999</v>
      </c>
      <c r="R127">
        <v>0.12817853700000001</v>
      </c>
      <c r="S127">
        <v>0.81598210699999996</v>
      </c>
      <c r="T127">
        <v>0.15015530799999999</v>
      </c>
      <c r="U127">
        <v>33</v>
      </c>
    </row>
    <row r="128" spans="1:21" x14ac:dyDescent="0.25">
      <c r="A128">
        <v>127</v>
      </c>
      <c r="B128">
        <v>311</v>
      </c>
      <c r="C128" t="s">
        <v>23</v>
      </c>
      <c r="D128">
        <v>16</v>
      </c>
      <c r="E128" t="s">
        <v>24</v>
      </c>
      <c r="F128" t="s">
        <v>25</v>
      </c>
      <c r="G128">
        <v>5022.5702529999999</v>
      </c>
      <c r="H128">
        <v>51766703.039999999</v>
      </c>
      <c r="I128">
        <v>14815.77526</v>
      </c>
      <c r="J128">
        <v>40732046.840000004</v>
      </c>
      <c r="K128">
        <v>8.3317074000000005E-2</v>
      </c>
      <c r="L128">
        <v>9.7369610000000006E-3</v>
      </c>
      <c r="M128">
        <v>-2.8072986000000001E-2</v>
      </c>
      <c r="N128">
        <v>1.3822820000000001E-3</v>
      </c>
      <c r="O128">
        <v>0.29689262900000002</v>
      </c>
      <c r="P128">
        <v>2.9545517E-2</v>
      </c>
      <c r="Q128">
        <v>0.15725783800000001</v>
      </c>
      <c r="R128">
        <v>0.13252781</v>
      </c>
      <c r="S128">
        <v>0.55749761099999995</v>
      </c>
      <c r="T128">
        <v>0.24669402500000001</v>
      </c>
      <c r="U128">
        <v>22</v>
      </c>
    </row>
    <row r="129" spans="1:21" x14ac:dyDescent="0.25">
      <c r="A129">
        <v>128</v>
      </c>
      <c r="B129">
        <v>312</v>
      </c>
      <c r="C129" t="s">
        <v>23</v>
      </c>
      <c r="D129">
        <v>16</v>
      </c>
      <c r="E129" t="s">
        <v>24</v>
      </c>
      <c r="F129" t="s">
        <v>25</v>
      </c>
      <c r="G129">
        <v>3844.6268789999999</v>
      </c>
      <c r="H129">
        <v>32914302.440000001</v>
      </c>
      <c r="I129">
        <v>15013.43505</v>
      </c>
      <c r="J129">
        <v>27555105.199999999</v>
      </c>
      <c r="K129">
        <v>7.1423393000000002E-2</v>
      </c>
      <c r="L129">
        <v>7.214158E-3</v>
      </c>
      <c r="M129">
        <v>-3.0005877E-2</v>
      </c>
      <c r="N129">
        <v>1.096791E-3</v>
      </c>
      <c r="O129">
        <v>0.26819097400000003</v>
      </c>
      <c r="P129">
        <v>2.0402100999999999E-2</v>
      </c>
      <c r="Q129">
        <v>9.8296782999999999E-2</v>
      </c>
      <c r="R129">
        <v>8.8634525000000006E-2</v>
      </c>
      <c r="S129">
        <v>0.47075708599999999</v>
      </c>
      <c r="T129">
        <v>0.249144852</v>
      </c>
      <c r="U129">
        <v>33</v>
      </c>
    </row>
    <row r="130" spans="1:21" x14ac:dyDescent="0.25">
      <c r="A130">
        <v>129</v>
      </c>
      <c r="B130">
        <v>401</v>
      </c>
      <c r="C130" t="s">
        <v>23</v>
      </c>
      <c r="D130">
        <v>16</v>
      </c>
      <c r="E130" t="s">
        <v>24</v>
      </c>
      <c r="F130" t="s">
        <v>25</v>
      </c>
      <c r="G130">
        <v>5208.0708400000003</v>
      </c>
      <c r="H130">
        <v>40498406.850000001</v>
      </c>
      <c r="I130">
        <v>15729.51647</v>
      </c>
      <c r="J130">
        <v>36096455.700000003</v>
      </c>
      <c r="K130">
        <v>5.0268024000000001E-2</v>
      </c>
      <c r="L130">
        <v>1.0247703E-2</v>
      </c>
      <c r="M130">
        <v>-4.5527842999999998E-2</v>
      </c>
      <c r="N130">
        <v>1.122077E-3</v>
      </c>
      <c r="O130">
        <v>0.25654811799999999</v>
      </c>
      <c r="P130">
        <v>2.8687542E-2</v>
      </c>
      <c r="Q130">
        <v>0.13694817100000001</v>
      </c>
      <c r="R130">
        <v>0.11819337000000001</v>
      </c>
      <c r="S130">
        <v>0.70276379200000005</v>
      </c>
      <c r="T130">
        <v>0.20888684499999999</v>
      </c>
      <c r="U130">
        <v>23</v>
      </c>
    </row>
    <row r="131" spans="1:21" x14ac:dyDescent="0.25">
      <c r="A131">
        <v>130</v>
      </c>
      <c r="B131">
        <v>402</v>
      </c>
      <c r="C131" t="s">
        <v>23</v>
      </c>
      <c r="D131">
        <v>16</v>
      </c>
      <c r="E131" t="s">
        <v>24</v>
      </c>
      <c r="F131" t="s">
        <v>25</v>
      </c>
      <c r="G131">
        <v>4599.546171</v>
      </c>
      <c r="H131">
        <v>45834054.509999998</v>
      </c>
      <c r="I131">
        <v>15791.53241</v>
      </c>
      <c r="J131">
        <v>30978882.329999998</v>
      </c>
      <c r="K131">
        <v>5.8269410000000001E-2</v>
      </c>
      <c r="L131">
        <v>7.5339020000000003E-3</v>
      </c>
      <c r="M131">
        <v>-4.1803466999999997E-2</v>
      </c>
      <c r="N131">
        <v>1.045706E-3</v>
      </c>
      <c r="O131">
        <v>0.25643175099999999</v>
      </c>
      <c r="P131">
        <v>2.3869207999999999E-2</v>
      </c>
      <c r="Q131">
        <v>0.12068085100000001</v>
      </c>
      <c r="R131">
        <v>0.106116983</v>
      </c>
      <c r="S131">
        <v>0.85699835499999999</v>
      </c>
      <c r="T131">
        <v>0.122552175</v>
      </c>
      <c r="U131">
        <v>32</v>
      </c>
    </row>
    <row r="132" spans="1:21" x14ac:dyDescent="0.25">
      <c r="A132">
        <v>131</v>
      </c>
      <c r="B132">
        <v>403</v>
      </c>
      <c r="C132" t="s">
        <v>23</v>
      </c>
      <c r="D132">
        <v>16</v>
      </c>
      <c r="E132" t="s">
        <v>24</v>
      </c>
      <c r="F132" t="s">
        <v>25</v>
      </c>
      <c r="G132">
        <v>4173.6966460000003</v>
      </c>
      <c r="H132">
        <v>31791003.260000002</v>
      </c>
      <c r="I132">
        <v>15620.26721</v>
      </c>
      <c r="J132">
        <v>31450644.030000001</v>
      </c>
      <c r="K132">
        <v>7.0383449000000001E-2</v>
      </c>
      <c r="L132">
        <v>9.6205800000000001E-3</v>
      </c>
      <c r="M132">
        <v>-3.5478793000000002E-2</v>
      </c>
      <c r="N132">
        <v>9.6071100000000005E-4</v>
      </c>
      <c r="O132">
        <v>0.26509903299999998</v>
      </c>
      <c r="P132">
        <v>2.5267030999999999E-2</v>
      </c>
      <c r="Q132">
        <v>0.125751168</v>
      </c>
      <c r="R132">
        <v>0.109937812</v>
      </c>
      <c r="S132">
        <v>0.82263388299999995</v>
      </c>
      <c r="T132">
        <v>0.145907378</v>
      </c>
      <c r="U132">
        <v>20</v>
      </c>
    </row>
    <row r="133" spans="1:21" x14ac:dyDescent="0.25">
      <c r="A133">
        <v>132</v>
      </c>
      <c r="B133">
        <v>404</v>
      </c>
      <c r="C133" t="s">
        <v>23</v>
      </c>
      <c r="D133">
        <v>16</v>
      </c>
      <c r="E133" t="s">
        <v>24</v>
      </c>
      <c r="F133" t="s">
        <v>25</v>
      </c>
      <c r="G133">
        <v>5501.0017459999999</v>
      </c>
      <c r="H133">
        <v>53350322.079999998</v>
      </c>
      <c r="I133">
        <v>14464.33769</v>
      </c>
      <c r="J133">
        <v>42646251.590000004</v>
      </c>
      <c r="K133">
        <v>9.0573575000000003E-2</v>
      </c>
      <c r="L133">
        <v>1.040876E-2</v>
      </c>
      <c r="M133">
        <v>-2.5761421999999999E-2</v>
      </c>
      <c r="N133">
        <v>1.1243049999999999E-3</v>
      </c>
      <c r="O133">
        <v>0.29869108500000002</v>
      </c>
      <c r="P133">
        <v>3.1377368000000003E-2</v>
      </c>
      <c r="Q133">
        <v>0.170768374</v>
      </c>
      <c r="R133">
        <v>0.141606537</v>
      </c>
      <c r="S133">
        <v>0.79580707299999998</v>
      </c>
      <c r="T133">
        <v>0.16249817599999999</v>
      </c>
      <c r="U133">
        <v>24</v>
      </c>
    </row>
    <row r="134" spans="1:21" x14ac:dyDescent="0.25">
      <c r="A134">
        <v>133</v>
      </c>
      <c r="B134">
        <v>405</v>
      </c>
      <c r="C134" t="s">
        <v>23</v>
      </c>
      <c r="D134">
        <v>16</v>
      </c>
      <c r="E134" t="s">
        <v>24</v>
      </c>
      <c r="F134" t="s">
        <v>25</v>
      </c>
      <c r="G134">
        <v>3218.7317250000001</v>
      </c>
      <c r="H134">
        <v>10601654.07</v>
      </c>
      <c r="I134">
        <v>16328.39076</v>
      </c>
      <c r="J134">
        <v>15332731.83</v>
      </c>
      <c r="K134">
        <v>5.2319567999999997E-2</v>
      </c>
      <c r="L134">
        <v>3.9980429999999997E-3</v>
      </c>
      <c r="M134">
        <v>-2.9225305E-2</v>
      </c>
      <c r="N134">
        <v>7.7141700000000004E-4</v>
      </c>
      <c r="O134">
        <v>0.23306766900000001</v>
      </c>
      <c r="P134">
        <v>9.4876260000000007E-3</v>
      </c>
      <c r="Q134">
        <v>4.6990702000000002E-2</v>
      </c>
      <c r="R134">
        <v>4.4782575999999998E-2</v>
      </c>
      <c r="S134">
        <v>0.94033992399999999</v>
      </c>
      <c r="T134">
        <v>5.6100751999999997E-2</v>
      </c>
      <c r="U134">
        <v>53</v>
      </c>
    </row>
    <row r="135" spans="1:21" x14ac:dyDescent="0.25">
      <c r="A135">
        <v>134</v>
      </c>
      <c r="B135">
        <v>406</v>
      </c>
      <c r="C135" t="s">
        <v>23</v>
      </c>
      <c r="D135">
        <v>16</v>
      </c>
      <c r="E135" t="s">
        <v>24</v>
      </c>
      <c r="F135" t="s">
        <v>25</v>
      </c>
      <c r="G135">
        <v>5429.1673899999996</v>
      </c>
      <c r="H135">
        <v>54136093.770000003</v>
      </c>
      <c r="I135">
        <v>13887.153329999999</v>
      </c>
      <c r="J135">
        <v>38102722.609999999</v>
      </c>
      <c r="K135">
        <v>9.0555555999999995E-2</v>
      </c>
      <c r="L135">
        <v>8.6624920000000008E-3</v>
      </c>
      <c r="M135">
        <v>-2.1737017000000001E-2</v>
      </c>
      <c r="N135">
        <v>1.642194E-3</v>
      </c>
      <c r="O135">
        <v>0.29990917099999997</v>
      </c>
      <c r="P135">
        <v>2.6603367999999999E-2</v>
      </c>
      <c r="Q135">
        <v>0.15459609999999999</v>
      </c>
      <c r="R135">
        <v>0.13069614600000001</v>
      </c>
      <c r="S135">
        <v>0.75495367400000002</v>
      </c>
      <c r="T135">
        <v>0.184998624</v>
      </c>
      <c r="U135">
        <v>17</v>
      </c>
    </row>
    <row r="136" spans="1:21" x14ac:dyDescent="0.25">
      <c r="A136">
        <v>135</v>
      </c>
      <c r="B136">
        <v>407</v>
      </c>
      <c r="C136" t="s">
        <v>23</v>
      </c>
      <c r="D136">
        <v>16</v>
      </c>
      <c r="E136" t="s">
        <v>24</v>
      </c>
      <c r="F136" t="s">
        <v>25</v>
      </c>
      <c r="G136">
        <v>5320.4692859999996</v>
      </c>
      <c r="H136">
        <v>50666120.460000001</v>
      </c>
      <c r="I136">
        <v>14808.131729999999</v>
      </c>
      <c r="J136">
        <v>43501451.149999999</v>
      </c>
      <c r="K136">
        <v>7.9948457000000001E-2</v>
      </c>
      <c r="L136">
        <v>1.0583471000000001E-2</v>
      </c>
      <c r="M136">
        <v>-2.8472205E-2</v>
      </c>
      <c r="N136">
        <v>1.279421E-3</v>
      </c>
      <c r="O136">
        <v>0.29276395500000002</v>
      </c>
      <c r="P136">
        <v>3.0802537000000001E-2</v>
      </c>
      <c r="Q136">
        <v>0.158392698</v>
      </c>
      <c r="R136">
        <v>0.13330445099999999</v>
      </c>
      <c r="S136">
        <v>0.78629095000000004</v>
      </c>
      <c r="T136">
        <v>0.16803749200000001</v>
      </c>
      <c r="U136">
        <v>25</v>
      </c>
    </row>
    <row r="137" spans="1:21" x14ac:dyDescent="0.25">
      <c r="A137">
        <v>136</v>
      </c>
      <c r="B137">
        <v>408</v>
      </c>
      <c r="C137" t="s">
        <v>23</v>
      </c>
      <c r="D137">
        <v>16</v>
      </c>
      <c r="E137" t="s">
        <v>24</v>
      </c>
      <c r="F137" t="s">
        <v>25</v>
      </c>
      <c r="G137">
        <v>4805.7931740000004</v>
      </c>
      <c r="H137">
        <v>36149701.299999997</v>
      </c>
      <c r="I137">
        <v>15710.5497</v>
      </c>
      <c r="J137">
        <v>32582137.899999999</v>
      </c>
      <c r="K137">
        <v>6.6818374E-2</v>
      </c>
      <c r="L137">
        <v>8.2553569999999996E-3</v>
      </c>
      <c r="M137">
        <v>-3.4206294999999998E-2</v>
      </c>
      <c r="N137">
        <v>1.0381839999999999E-3</v>
      </c>
      <c r="O137">
        <v>0.27314608200000001</v>
      </c>
      <c r="P137">
        <v>2.3309831E-2</v>
      </c>
      <c r="Q137">
        <v>0.127634529</v>
      </c>
      <c r="R137">
        <v>0.11134395599999999</v>
      </c>
      <c r="S137">
        <v>0.932023987</v>
      </c>
      <c r="T137">
        <v>6.3355274000000003E-2</v>
      </c>
      <c r="U137">
        <v>35</v>
      </c>
    </row>
    <row r="138" spans="1:21" x14ac:dyDescent="0.25">
      <c r="A138">
        <v>137</v>
      </c>
      <c r="B138">
        <v>409</v>
      </c>
      <c r="C138" t="s">
        <v>23</v>
      </c>
      <c r="D138">
        <v>16</v>
      </c>
      <c r="E138" t="s">
        <v>24</v>
      </c>
      <c r="F138" t="s">
        <v>25</v>
      </c>
      <c r="G138">
        <v>4006.7730860000001</v>
      </c>
      <c r="H138">
        <v>30898553.329999998</v>
      </c>
      <c r="I138">
        <v>15405.332179999999</v>
      </c>
      <c r="J138">
        <v>25618697.16</v>
      </c>
      <c r="K138">
        <v>5.9077457999999999E-2</v>
      </c>
      <c r="L138">
        <v>6.4430470000000004E-3</v>
      </c>
      <c r="M138">
        <v>-3.0599626000000001E-2</v>
      </c>
      <c r="N138">
        <v>9.5002800000000001E-4</v>
      </c>
      <c r="O138">
        <v>0.25642910200000002</v>
      </c>
      <c r="P138">
        <v>1.8223763E-2</v>
      </c>
      <c r="Q138">
        <v>9.0509324000000002E-2</v>
      </c>
      <c r="R138">
        <v>8.2317386000000006E-2</v>
      </c>
      <c r="S138">
        <v>0.82442501599999995</v>
      </c>
      <c r="T138">
        <v>0.14474840899999999</v>
      </c>
      <c r="U138">
        <v>30</v>
      </c>
    </row>
    <row r="139" spans="1:21" x14ac:dyDescent="0.25">
      <c r="A139">
        <v>138</v>
      </c>
      <c r="B139">
        <v>410</v>
      </c>
      <c r="C139" t="s">
        <v>23</v>
      </c>
      <c r="D139">
        <v>16</v>
      </c>
      <c r="E139" t="s">
        <v>24</v>
      </c>
      <c r="F139" t="s">
        <v>25</v>
      </c>
      <c r="G139">
        <v>4187.6230699999996</v>
      </c>
      <c r="H139">
        <v>34544084.75</v>
      </c>
      <c r="I139">
        <v>15780.6317</v>
      </c>
      <c r="J139">
        <v>26872411.98</v>
      </c>
      <c r="K139">
        <v>5.6546020000000002E-2</v>
      </c>
      <c r="L139">
        <v>6.3483860000000001E-3</v>
      </c>
      <c r="M139">
        <v>-3.1849947000000003E-2</v>
      </c>
      <c r="N139">
        <v>1.1449209999999999E-3</v>
      </c>
      <c r="O139">
        <v>0.259676456</v>
      </c>
      <c r="P139">
        <v>1.9287182E-2</v>
      </c>
      <c r="Q139">
        <v>0.101646823</v>
      </c>
      <c r="R139">
        <v>9.1314747000000002E-2</v>
      </c>
      <c r="S139">
        <v>0.92711398199999995</v>
      </c>
      <c r="T139">
        <v>6.7573647000000001E-2</v>
      </c>
      <c r="U139">
        <v>29</v>
      </c>
    </row>
    <row r="140" spans="1:21" x14ac:dyDescent="0.25">
      <c r="A140">
        <v>139</v>
      </c>
      <c r="B140">
        <v>411</v>
      </c>
      <c r="C140" t="s">
        <v>23</v>
      </c>
      <c r="D140">
        <v>16</v>
      </c>
      <c r="E140" t="s">
        <v>24</v>
      </c>
      <c r="F140" t="s">
        <v>25</v>
      </c>
      <c r="G140">
        <v>4667.4953370000003</v>
      </c>
      <c r="H140">
        <v>43894886.219999999</v>
      </c>
      <c r="I140">
        <v>15523.075199999999</v>
      </c>
      <c r="J140">
        <v>37420208.68</v>
      </c>
      <c r="K140">
        <v>6.5852203999999998E-2</v>
      </c>
      <c r="L140">
        <v>8.9698060000000003E-3</v>
      </c>
      <c r="M140">
        <v>-3.3507829000000003E-2</v>
      </c>
      <c r="N140">
        <v>1.514746E-3</v>
      </c>
      <c r="O140">
        <v>0.27200180499999999</v>
      </c>
      <c r="P140">
        <v>2.6360716999999999E-2</v>
      </c>
      <c r="Q140">
        <v>0.135074627</v>
      </c>
      <c r="R140">
        <v>0.116829472</v>
      </c>
      <c r="S140">
        <v>0.82092148300000001</v>
      </c>
      <c r="T140">
        <v>0.14700940200000001</v>
      </c>
      <c r="U140">
        <v>23</v>
      </c>
    </row>
    <row r="141" spans="1:21" x14ac:dyDescent="0.25">
      <c r="A141">
        <v>140</v>
      </c>
      <c r="B141">
        <v>412</v>
      </c>
      <c r="C141" t="s">
        <v>23</v>
      </c>
      <c r="D141">
        <v>16</v>
      </c>
      <c r="E141" t="s">
        <v>24</v>
      </c>
      <c r="F141" t="s">
        <v>25</v>
      </c>
      <c r="G141">
        <v>3913.915904</v>
      </c>
      <c r="H141">
        <v>33697458.280000001</v>
      </c>
      <c r="I141">
        <v>15696.346579999999</v>
      </c>
      <c r="J141">
        <v>32309100.68</v>
      </c>
      <c r="K141">
        <v>6.1716036000000002E-2</v>
      </c>
      <c r="L141">
        <v>8.2896050000000002E-3</v>
      </c>
      <c r="M141">
        <v>-3.4551750999999999E-2</v>
      </c>
      <c r="N141">
        <v>1.136488E-3</v>
      </c>
      <c r="O141">
        <v>0.25467932100000001</v>
      </c>
      <c r="P141">
        <v>2.3256941E-2</v>
      </c>
      <c r="Q141">
        <v>0.106731251</v>
      </c>
      <c r="R141">
        <v>9.5339691000000004E-2</v>
      </c>
      <c r="S141">
        <v>0.55255352199999996</v>
      </c>
      <c r="T141">
        <v>0.247238127</v>
      </c>
      <c r="U141">
        <v>22</v>
      </c>
    </row>
    <row r="142" spans="1:21" x14ac:dyDescent="0.25">
      <c r="A142">
        <v>141</v>
      </c>
      <c r="B142">
        <v>501</v>
      </c>
      <c r="C142" t="s">
        <v>23</v>
      </c>
      <c r="D142">
        <v>16</v>
      </c>
      <c r="E142" t="s">
        <v>24</v>
      </c>
      <c r="F142" t="s">
        <v>25</v>
      </c>
      <c r="G142">
        <v>5307.9871190000003</v>
      </c>
      <c r="H142">
        <v>53219510.259999998</v>
      </c>
      <c r="I142">
        <v>15364.571260000001</v>
      </c>
      <c r="J142">
        <v>37082822.909999996</v>
      </c>
      <c r="K142">
        <v>6.8642988000000002E-2</v>
      </c>
      <c r="L142">
        <v>9.3343490000000005E-3</v>
      </c>
      <c r="M142">
        <v>-4.1583472000000003E-2</v>
      </c>
      <c r="N142">
        <v>1.398451E-3</v>
      </c>
      <c r="O142">
        <v>0.27973663700000001</v>
      </c>
      <c r="P142">
        <v>2.8616600999999998E-2</v>
      </c>
      <c r="Q142">
        <v>0.15322535800000001</v>
      </c>
      <c r="R142">
        <v>0.12974734700000001</v>
      </c>
      <c r="S142">
        <v>0.66016456599999995</v>
      </c>
      <c r="T142">
        <v>0.22434731199999999</v>
      </c>
      <c r="U142">
        <v>24</v>
      </c>
    </row>
    <row r="143" spans="1:21" x14ac:dyDescent="0.25">
      <c r="A143">
        <v>142</v>
      </c>
      <c r="B143">
        <v>502</v>
      </c>
      <c r="C143" t="s">
        <v>23</v>
      </c>
      <c r="D143">
        <v>16</v>
      </c>
      <c r="E143" t="s">
        <v>24</v>
      </c>
      <c r="F143" t="s">
        <v>25</v>
      </c>
      <c r="G143">
        <v>4220.09105</v>
      </c>
      <c r="H143">
        <v>34219621.850000001</v>
      </c>
      <c r="I143">
        <v>15702.03758</v>
      </c>
      <c r="J143">
        <v>28942399.32</v>
      </c>
      <c r="K143">
        <v>6.5518174999999998E-2</v>
      </c>
      <c r="L143">
        <v>7.8663399999999994E-3</v>
      </c>
      <c r="M143">
        <v>-3.8151795000000002E-2</v>
      </c>
      <c r="N143">
        <v>1.0041329999999999E-3</v>
      </c>
      <c r="O143">
        <v>0.26335367500000001</v>
      </c>
      <c r="P143">
        <v>2.2838731000000001E-2</v>
      </c>
      <c r="Q143">
        <v>0.114468559</v>
      </c>
      <c r="R143">
        <v>0.10136550799999999</v>
      </c>
      <c r="S143">
        <v>0.63961248699999995</v>
      </c>
      <c r="T143">
        <v>0.230508354</v>
      </c>
      <c r="U143">
        <v>13</v>
      </c>
    </row>
    <row r="144" spans="1:21" x14ac:dyDescent="0.25">
      <c r="A144">
        <v>143</v>
      </c>
      <c r="B144">
        <v>503</v>
      </c>
      <c r="C144" t="s">
        <v>23</v>
      </c>
      <c r="D144">
        <v>16</v>
      </c>
      <c r="E144" t="s">
        <v>24</v>
      </c>
      <c r="F144" t="s">
        <v>25</v>
      </c>
      <c r="G144">
        <v>4345.6724759999997</v>
      </c>
      <c r="H144">
        <v>31987448.66</v>
      </c>
      <c r="I144">
        <v>14987.5506</v>
      </c>
      <c r="J144">
        <v>29494502.879999999</v>
      </c>
      <c r="K144">
        <v>7.4114737E-2</v>
      </c>
      <c r="L144">
        <v>9.0286749999999999E-3</v>
      </c>
      <c r="M144">
        <v>-3.2157524E-2</v>
      </c>
      <c r="N144">
        <v>9.8271800000000005E-4</v>
      </c>
      <c r="O144">
        <v>0.273612619</v>
      </c>
      <c r="P144">
        <v>2.4324239000000001E-2</v>
      </c>
      <c r="Q144">
        <v>0.12276698799999999</v>
      </c>
      <c r="R144">
        <v>0.107695254</v>
      </c>
      <c r="S144">
        <v>0.77068981999999997</v>
      </c>
      <c r="T144">
        <v>0.17672702100000001</v>
      </c>
      <c r="U144">
        <v>26</v>
      </c>
    </row>
    <row r="145" spans="1:21" x14ac:dyDescent="0.25">
      <c r="A145">
        <v>144</v>
      </c>
      <c r="B145">
        <v>504</v>
      </c>
      <c r="C145" t="s">
        <v>23</v>
      </c>
      <c r="D145">
        <v>16</v>
      </c>
      <c r="E145" t="s">
        <v>24</v>
      </c>
      <c r="F145" t="s">
        <v>25</v>
      </c>
      <c r="G145">
        <v>4475.1467220000004</v>
      </c>
      <c r="H145">
        <v>44251250.18</v>
      </c>
      <c r="I145">
        <v>14536.188169999999</v>
      </c>
      <c r="J145">
        <v>29939871.739999998</v>
      </c>
      <c r="K145">
        <v>8.2149254000000005E-2</v>
      </c>
      <c r="L145">
        <v>7.5709820000000004E-3</v>
      </c>
      <c r="M145">
        <v>-2.3732189000000001E-2</v>
      </c>
      <c r="N145">
        <v>8.5517700000000004E-4</v>
      </c>
      <c r="O145">
        <v>0.28309013700000002</v>
      </c>
      <c r="P145">
        <v>2.5137369999999999E-2</v>
      </c>
      <c r="Q145">
        <v>0.128881469</v>
      </c>
      <c r="R145">
        <v>0.112271036</v>
      </c>
      <c r="S145">
        <v>0.64299295599999995</v>
      </c>
      <c r="T145">
        <v>0.229553014</v>
      </c>
      <c r="U145">
        <v>18</v>
      </c>
    </row>
    <row r="146" spans="1:21" x14ac:dyDescent="0.25">
      <c r="A146">
        <v>145</v>
      </c>
      <c r="B146">
        <v>505</v>
      </c>
      <c r="C146" t="s">
        <v>23</v>
      </c>
      <c r="D146">
        <v>16</v>
      </c>
      <c r="E146" t="s">
        <v>24</v>
      </c>
      <c r="F146" t="s">
        <v>25</v>
      </c>
      <c r="G146">
        <v>4687.2698710000004</v>
      </c>
      <c r="H146">
        <v>46307723.829999998</v>
      </c>
      <c r="I146">
        <v>13773.499750000001</v>
      </c>
      <c r="J146">
        <v>31347869.949999999</v>
      </c>
      <c r="K146">
        <v>8.9845604999999995E-2</v>
      </c>
      <c r="L146">
        <v>8.6307229999999999E-3</v>
      </c>
      <c r="M146">
        <v>-1.6589012E-2</v>
      </c>
      <c r="N146">
        <v>1.146874E-3</v>
      </c>
      <c r="O146">
        <v>0.29897762900000002</v>
      </c>
      <c r="P146">
        <v>2.7659077000000001E-2</v>
      </c>
      <c r="Q146">
        <v>0.14726999499999999</v>
      </c>
      <c r="R146">
        <v>0.12558154399999999</v>
      </c>
      <c r="S146">
        <v>0.69910763399999998</v>
      </c>
      <c r="T146">
        <v>0.21035614999999999</v>
      </c>
      <c r="U146">
        <v>13</v>
      </c>
    </row>
    <row r="147" spans="1:21" x14ac:dyDescent="0.25">
      <c r="A147">
        <v>146</v>
      </c>
      <c r="B147">
        <v>506</v>
      </c>
      <c r="C147" t="s">
        <v>23</v>
      </c>
      <c r="D147">
        <v>16</v>
      </c>
      <c r="E147" t="s">
        <v>24</v>
      </c>
      <c r="F147" t="s">
        <v>25</v>
      </c>
      <c r="G147">
        <v>3746.906575</v>
      </c>
      <c r="H147">
        <v>26043757.850000001</v>
      </c>
      <c r="I147">
        <v>15145.666590000001</v>
      </c>
      <c r="J147">
        <v>26648437.620000001</v>
      </c>
      <c r="K147">
        <v>6.4302973999999999E-2</v>
      </c>
      <c r="L147">
        <v>7.5000379999999997E-3</v>
      </c>
      <c r="M147">
        <v>-2.6185361000000001E-2</v>
      </c>
      <c r="N147">
        <v>1.396486E-3</v>
      </c>
      <c r="O147">
        <v>0.26202331800000001</v>
      </c>
      <c r="P147">
        <v>1.7784050999999999E-2</v>
      </c>
      <c r="Q147">
        <v>9.5291606000000001E-2</v>
      </c>
      <c r="R147">
        <v>8.6211116000000004E-2</v>
      </c>
      <c r="S147">
        <v>0.79178039200000006</v>
      </c>
      <c r="T147">
        <v>0.16486420299999999</v>
      </c>
      <c r="U147">
        <v>39</v>
      </c>
    </row>
    <row r="148" spans="1:21" x14ac:dyDescent="0.25">
      <c r="A148">
        <v>147</v>
      </c>
      <c r="B148">
        <v>507</v>
      </c>
      <c r="C148" t="s">
        <v>23</v>
      </c>
      <c r="D148">
        <v>16</v>
      </c>
      <c r="E148" t="s">
        <v>24</v>
      </c>
      <c r="F148" t="s">
        <v>25</v>
      </c>
      <c r="G148">
        <v>4824.7323409999999</v>
      </c>
      <c r="H148">
        <v>36231482.899999999</v>
      </c>
      <c r="I148">
        <v>15362.4413</v>
      </c>
      <c r="J148">
        <v>35934425.340000004</v>
      </c>
      <c r="K148">
        <v>7.2160967000000006E-2</v>
      </c>
      <c r="L148">
        <v>1.0257769999999999E-2</v>
      </c>
      <c r="M148">
        <v>-3.2564360000000001E-2</v>
      </c>
      <c r="N148">
        <v>1.203338E-3</v>
      </c>
      <c r="O148">
        <v>0.28111049999999999</v>
      </c>
      <c r="P148">
        <v>2.6599670999999998E-2</v>
      </c>
      <c r="Q148">
        <v>0.14006569099999999</v>
      </c>
      <c r="R148">
        <v>0.120447293</v>
      </c>
      <c r="S148">
        <v>0.74116197900000003</v>
      </c>
      <c r="T148">
        <v>0.19184090000000001</v>
      </c>
      <c r="U148">
        <v>20</v>
      </c>
    </row>
    <row r="149" spans="1:21" x14ac:dyDescent="0.25">
      <c r="A149">
        <v>148</v>
      </c>
      <c r="B149">
        <v>508</v>
      </c>
      <c r="C149" t="s">
        <v>23</v>
      </c>
      <c r="D149">
        <v>16</v>
      </c>
      <c r="E149" t="s">
        <v>24</v>
      </c>
      <c r="F149" t="s">
        <v>25</v>
      </c>
      <c r="G149">
        <v>5208.4335780000001</v>
      </c>
      <c r="H149">
        <v>50088320.07</v>
      </c>
      <c r="I149">
        <v>14951.72732</v>
      </c>
      <c r="J149">
        <v>36927952.75</v>
      </c>
      <c r="K149">
        <v>7.6703042999999999E-2</v>
      </c>
      <c r="L149">
        <v>8.1179319999999996E-3</v>
      </c>
      <c r="M149">
        <v>-3.2604147999999999E-2</v>
      </c>
      <c r="N149">
        <v>8.9121100000000004E-4</v>
      </c>
      <c r="O149">
        <v>0.290291727</v>
      </c>
      <c r="P149">
        <v>2.6719157E-2</v>
      </c>
      <c r="Q149">
        <v>0.146864044</v>
      </c>
      <c r="R149">
        <v>0.12529499599999999</v>
      </c>
      <c r="S149">
        <v>0.68994426799999997</v>
      </c>
      <c r="T149">
        <v>0.21392117499999999</v>
      </c>
      <c r="U149">
        <v>14</v>
      </c>
    </row>
    <row r="150" spans="1:21" x14ac:dyDescent="0.25">
      <c r="A150">
        <v>149</v>
      </c>
      <c r="B150">
        <v>509</v>
      </c>
      <c r="C150" t="s">
        <v>23</v>
      </c>
      <c r="D150">
        <v>16</v>
      </c>
      <c r="E150" t="s">
        <v>24</v>
      </c>
      <c r="F150" t="s">
        <v>25</v>
      </c>
      <c r="G150">
        <v>4881.4749499999998</v>
      </c>
      <c r="H150">
        <v>45221060.170000002</v>
      </c>
      <c r="I150">
        <v>14992.14359</v>
      </c>
      <c r="J150">
        <v>32955003.91</v>
      </c>
      <c r="K150">
        <v>7.3676239000000004E-2</v>
      </c>
      <c r="L150">
        <v>8.2866199999999997E-3</v>
      </c>
      <c r="M150">
        <v>-3.0082988000000001E-2</v>
      </c>
      <c r="N150">
        <v>1.1171460000000001E-3</v>
      </c>
      <c r="O150">
        <v>0.28658987600000002</v>
      </c>
      <c r="P150">
        <v>2.5425883999999999E-2</v>
      </c>
      <c r="Q150">
        <v>0.14412910400000001</v>
      </c>
      <c r="R150">
        <v>0.123355905</v>
      </c>
      <c r="S150">
        <v>0.75154878400000003</v>
      </c>
      <c r="T150">
        <v>0.186723209</v>
      </c>
      <c r="U150">
        <v>28</v>
      </c>
    </row>
    <row r="151" spans="1:21" x14ac:dyDescent="0.25">
      <c r="A151">
        <v>150</v>
      </c>
      <c r="B151">
        <v>510</v>
      </c>
      <c r="C151" t="s">
        <v>23</v>
      </c>
      <c r="D151">
        <v>16</v>
      </c>
      <c r="E151" t="s">
        <v>24</v>
      </c>
      <c r="F151" t="s">
        <v>25</v>
      </c>
      <c r="G151">
        <v>3129.8591980000001</v>
      </c>
      <c r="H151">
        <v>8862850.1170000006</v>
      </c>
      <c r="I151">
        <v>16330.16482</v>
      </c>
      <c r="J151">
        <v>15456597.52</v>
      </c>
      <c r="K151">
        <v>4.5773777000000002E-2</v>
      </c>
      <c r="L151">
        <v>4.158063E-3</v>
      </c>
      <c r="M151">
        <v>-3.0846881E-2</v>
      </c>
      <c r="N151">
        <v>8.9031500000000003E-4</v>
      </c>
      <c r="O151">
        <v>0.234152057</v>
      </c>
      <c r="P151">
        <v>9.0968439999999998E-3</v>
      </c>
      <c r="Q151">
        <v>4.4184752000000001E-2</v>
      </c>
      <c r="R151">
        <v>4.2232459999999999E-2</v>
      </c>
      <c r="S151">
        <v>0.96377054299999998</v>
      </c>
      <c r="T151">
        <v>3.4916884000000002E-2</v>
      </c>
      <c r="U151">
        <v>81</v>
      </c>
    </row>
    <row r="152" spans="1:21" x14ac:dyDescent="0.25">
      <c r="A152">
        <v>151</v>
      </c>
      <c r="B152">
        <v>511</v>
      </c>
      <c r="C152" t="s">
        <v>23</v>
      </c>
      <c r="D152">
        <v>16</v>
      </c>
      <c r="E152" t="s">
        <v>24</v>
      </c>
      <c r="F152" t="s">
        <v>25</v>
      </c>
      <c r="G152">
        <v>3826.6914310000002</v>
      </c>
      <c r="H152">
        <v>26145379.079999998</v>
      </c>
      <c r="I152">
        <v>16202.50397</v>
      </c>
      <c r="J152">
        <v>26583340.079999998</v>
      </c>
      <c r="K152">
        <v>4.6369778E-2</v>
      </c>
      <c r="L152">
        <v>5.9918080000000004E-3</v>
      </c>
      <c r="M152">
        <v>-3.4504735000000002E-2</v>
      </c>
      <c r="N152">
        <v>1.249226E-3</v>
      </c>
      <c r="O152">
        <v>0.23454502199999999</v>
      </c>
      <c r="P152">
        <v>1.589405E-2</v>
      </c>
      <c r="Q152">
        <v>7.6884506000000005E-2</v>
      </c>
      <c r="R152">
        <v>7.0973279E-2</v>
      </c>
      <c r="S152">
        <v>0.91473471299999998</v>
      </c>
      <c r="T152">
        <v>7.7995118000000002E-2</v>
      </c>
      <c r="U152">
        <v>42</v>
      </c>
    </row>
    <row r="153" spans="1:21" x14ac:dyDescent="0.25">
      <c r="A153">
        <v>152</v>
      </c>
      <c r="B153">
        <v>512</v>
      </c>
      <c r="C153" t="s">
        <v>23</v>
      </c>
      <c r="D153">
        <v>16</v>
      </c>
      <c r="E153" t="s">
        <v>24</v>
      </c>
      <c r="F153" t="s">
        <v>25</v>
      </c>
      <c r="G153">
        <v>3229.0965689999998</v>
      </c>
      <c r="H153">
        <v>5238853.7300000004</v>
      </c>
      <c r="I153">
        <v>17706.925449999999</v>
      </c>
      <c r="J153">
        <v>11737681.6</v>
      </c>
      <c r="K153">
        <v>2.0020157E-2</v>
      </c>
      <c r="L153">
        <v>3.1252290000000002E-3</v>
      </c>
      <c r="M153">
        <v>-4.3280548000000002E-2</v>
      </c>
      <c r="N153">
        <v>6.25137E-4</v>
      </c>
      <c r="O153">
        <v>0.18881189500000001</v>
      </c>
      <c r="P153">
        <v>6.1151060000000004E-3</v>
      </c>
      <c r="Q153">
        <v>2.3768438999999999E-2</v>
      </c>
      <c r="R153">
        <v>2.3203499999999998E-2</v>
      </c>
      <c r="S153">
        <v>0.73154249999999998</v>
      </c>
      <c r="T153">
        <v>0.196388071</v>
      </c>
      <c r="U153">
        <v>34</v>
      </c>
    </row>
    <row r="154" spans="1:21" x14ac:dyDescent="0.25">
      <c r="A154">
        <v>153</v>
      </c>
      <c r="B154">
        <v>601</v>
      </c>
      <c r="C154" t="s">
        <v>23</v>
      </c>
      <c r="D154">
        <v>16</v>
      </c>
      <c r="E154" t="s">
        <v>24</v>
      </c>
      <c r="F154" t="s">
        <v>25</v>
      </c>
      <c r="G154">
        <v>3121.842893</v>
      </c>
      <c r="H154">
        <v>9656844.3479999993</v>
      </c>
      <c r="I154">
        <v>16085.65481</v>
      </c>
      <c r="J154">
        <v>18906875.010000002</v>
      </c>
      <c r="K154">
        <v>5.1620933000000001E-2</v>
      </c>
      <c r="L154">
        <v>7.1854400000000004E-3</v>
      </c>
      <c r="M154">
        <v>-4.4011979999999999E-2</v>
      </c>
      <c r="N154">
        <v>8.4050800000000001E-4</v>
      </c>
      <c r="O154">
        <v>0.23710009600000001</v>
      </c>
      <c r="P154">
        <v>1.4892394999999999E-2</v>
      </c>
      <c r="Q154">
        <v>7.0514248000000002E-2</v>
      </c>
      <c r="R154">
        <v>6.5541987999999995E-2</v>
      </c>
      <c r="S154">
        <v>0.89225617400000001</v>
      </c>
      <c r="T154">
        <v>9.6135094000000004E-2</v>
      </c>
      <c r="U154">
        <v>63</v>
      </c>
    </row>
    <row r="155" spans="1:21" x14ac:dyDescent="0.25">
      <c r="A155">
        <v>154</v>
      </c>
      <c r="B155">
        <v>602</v>
      </c>
      <c r="C155" t="s">
        <v>23</v>
      </c>
      <c r="D155">
        <v>16</v>
      </c>
      <c r="E155" t="s">
        <v>24</v>
      </c>
      <c r="F155" t="s">
        <v>25</v>
      </c>
      <c r="G155">
        <v>2572.8562630000001</v>
      </c>
      <c r="H155">
        <v>5395631.9919999996</v>
      </c>
      <c r="I155">
        <v>16257.955330000001</v>
      </c>
      <c r="J155">
        <v>10919231.130000001</v>
      </c>
      <c r="K155">
        <v>4.0479220000000003E-2</v>
      </c>
      <c r="L155">
        <v>3.7549039999999999E-3</v>
      </c>
      <c r="M155">
        <v>-4.2207645000000002E-2</v>
      </c>
      <c r="N155">
        <v>6.2080000000000002E-4</v>
      </c>
      <c r="O155">
        <v>0.21821769899999999</v>
      </c>
      <c r="P155">
        <v>6.8996709999999996E-3</v>
      </c>
      <c r="Q155">
        <v>3.1223911E-2</v>
      </c>
      <c r="R155">
        <v>3.0248977999999999E-2</v>
      </c>
      <c r="S155">
        <v>0.884304439</v>
      </c>
      <c r="T155">
        <v>0.102310098</v>
      </c>
      <c r="U155">
        <v>58</v>
      </c>
    </row>
    <row r="156" spans="1:21" x14ac:dyDescent="0.25">
      <c r="A156">
        <v>155</v>
      </c>
      <c r="B156">
        <v>603</v>
      </c>
      <c r="C156" t="s">
        <v>23</v>
      </c>
      <c r="D156">
        <v>16</v>
      </c>
      <c r="E156" t="s">
        <v>24</v>
      </c>
      <c r="F156" t="s">
        <v>25</v>
      </c>
      <c r="G156">
        <v>2837.6674320000002</v>
      </c>
      <c r="H156">
        <v>12906521.18</v>
      </c>
      <c r="I156">
        <v>15711.17216</v>
      </c>
      <c r="J156">
        <v>13481476.83</v>
      </c>
      <c r="K156">
        <v>5.7654592999999997E-2</v>
      </c>
      <c r="L156">
        <v>3.6795069999999998E-3</v>
      </c>
      <c r="M156">
        <v>-3.7148659000000001E-2</v>
      </c>
      <c r="N156">
        <v>6.1910299999999997E-4</v>
      </c>
      <c r="O156">
        <v>0.24105686300000001</v>
      </c>
      <c r="P156">
        <v>9.8117840000000005E-3</v>
      </c>
      <c r="Q156">
        <v>5.2772210999999999E-2</v>
      </c>
      <c r="R156">
        <v>4.9987305000000003E-2</v>
      </c>
      <c r="S156">
        <v>0.91905792900000005</v>
      </c>
      <c r="T156">
        <v>7.4390452999999995E-2</v>
      </c>
      <c r="U156">
        <v>62</v>
      </c>
    </row>
    <row r="157" spans="1:21" x14ac:dyDescent="0.25">
      <c r="A157">
        <v>156</v>
      </c>
      <c r="B157">
        <v>604</v>
      </c>
      <c r="C157" t="s">
        <v>23</v>
      </c>
      <c r="D157">
        <v>16</v>
      </c>
      <c r="E157" t="s">
        <v>24</v>
      </c>
      <c r="F157" t="s">
        <v>25</v>
      </c>
      <c r="G157">
        <v>3689.0033010000002</v>
      </c>
      <c r="H157">
        <v>25754577.989999998</v>
      </c>
      <c r="I157">
        <v>14808.22891</v>
      </c>
      <c r="J157">
        <v>23511297.920000002</v>
      </c>
      <c r="K157">
        <v>8.0753918999999993E-2</v>
      </c>
      <c r="L157">
        <v>8.4651689999999998E-3</v>
      </c>
      <c r="M157">
        <v>-2.7995445000000001E-2</v>
      </c>
      <c r="N157">
        <v>1.016524E-3</v>
      </c>
      <c r="O157">
        <v>0.27718082199999999</v>
      </c>
      <c r="P157">
        <v>2.1206372000000001E-2</v>
      </c>
      <c r="Q157">
        <v>0.114859974</v>
      </c>
      <c r="R157">
        <v>0.10166716100000001</v>
      </c>
      <c r="S157">
        <v>0.91950819900000003</v>
      </c>
      <c r="T157">
        <v>7.4012870999999994E-2</v>
      </c>
      <c r="U157">
        <v>38</v>
      </c>
    </row>
    <row r="158" spans="1:21" x14ac:dyDescent="0.25">
      <c r="A158">
        <v>157</v>
      </c>
      <c r="B158">
        <v>605</v>
      </c>
      <c r="C158" t="s">
        <v>23</v>
      </c>
      <c r="D158">
        <v>16</v>
      </c>
      <c r="E158" t="s">
        <v>24</v>
      </c>
      <c r="F158" t="s">
        <v>25</v>
      </c>
      <c r="G158">
        <v>5089.2473449999998</v>
      </c>
      <c r="H158">
        <v>51416396.490000002</v>
      </c>
      <c r="I158">
        <v>13404.27851</v>
      </c>
      <c r="J158">
        <v>34347535.740000002</v>
      </c>
      <c r="K158">
        <v>9.6166085999999998E-2</v>
      </c>
      <c r="L158">
        <v>1.0674124E-2</v>
      </c>
      <c r="M158">
        <v>-2.1670057E-2</v>
      </c>
      <c r="N158">
        <v>1.386242E-3</v>
      </c>
      <c r="O158">
        <v>0.31133443</v>
      </c>
      <c r="P158">
        <v>3.0758473000000001E-2</v>
      </c>
      <c r="Q158">
        <v>0.169606588</v>
      </c>
      <c r="R158">
        <v>0.140840194</v>
      </c>
      <c r="S158">
        <v>0.60652600400000001</v>
      </c>
      <c r="T158">
        <v>0.238652211</v>
      </c>
      <c r="U158">
        <v>14</v>
      </c>
    </row>
    <row r="159" spans="1:21" x14ac:dyDescent="0.25">
      <c r="A159">
        <v>158</v>
      </c>
      <c r="B159">
        <v>606</v>
      </c>
      <c r="C159" t="s">
        <v>23</v>
      </c>
      <c r="D159">
        <v>16</v>
      </c>
      <c r="E159" t="s">
        <v>24</v>
      </c>
      <c r="F159" t="s">
        <v>25</v>
      </c>
      <c r="G159">
        <v>2633.506261</v>
      </c>
      <c r="H159">
        <v>7181037.5120000001</v>
      </c>
      <c r="I159">
        <v>15485.600200000001</v>
      </c>
      <c r="J159">
        <v>16209302.470000001</v>
      </c>
      <c r="K159">
        <v>4.6926415999999999E-2</v>
      </c>
      <c r="L159">
        <v>5.3474050000000004E-3</v>
      </c>
      <c r="M159">
        <v>-3.3326266E-2</v>
      </c>
      <c r="N159">
        <v>1.152969E-3</v>
      </c>
      <c r="O159">
        <v>0.23689521799999999</v>
      </c>
      <c r="P159">
        <v>8.8006079999999997E-3</v>
      </c>
      <c r="Q159">
        <v>4.1645788000000003E-2</v>
      </c>
      <c r="R159">
        <v>3.9911415999999998E-2</v>
      </c>
      <c r="S159">
        <v>0.88236771599999997</v>
      </c>
      <c r="T159">
        <v>0.10379492999999999</v>
      </c>
      <c r="U159">
        <v>63</v>
      </c>
    </row>
    <row r="160" spans="1:21" x14ac:dyDescent="0.25">
      <c r="A160">
        <v>159</v>
      </c>
      <c r="B160">
        <v>607</v>
      </c>
      <c r="C160" t="s">
        <v>23</v>
      </c>
      <c r="D160">
        <v>16</v>
      </c>
      <c r="E160" t="s">
        <v>24</v>
      </c>
      <c r="F160" t="s">
        <v>25</v>
      </c>
      <c r="G160">
        <v>3103.6993910000001</v>
      </c>
      <c r="H160">
        <v>15355752.960000001</v>
      </c>
      <c r="I160">
        <v>15726.945750000001</v>
      </c>
      <c r="J160">
        <v>18469027.09</v>
      </c>
      <c r="K160">
        <v>5.1320017000000002E-2</v>
      </c>
      <c r="L160">
        <v>5.6060349999999997E-3</v>
      </c>
      <c r="M160">
        <v>-3.5521217000000001E-2</v>
      </c>
      <c r="N160">
        <v>1.133488E-3</v>
      </c>
      <c r="O160">
        <v>0.24137051300000001</v>
      </c>
      <c r="P160">
        <v>1.1865231E-2</v>
      </c>
      <c r="Q160">
        <v>6.1302895000000003E-2</v>
      </c>
      <c r="R160">
        <v>5.7544850000000002E-2</v>
      </c>
      <c r="S160">
        <v>0.89876687899999996</v>
      </c>
      <c r="T160">
        <v>9.0984975999999995E-2</v>
      </c>
      <c r="U160">
        <v>36</v>
      </c>
    </row>
    <row r="161" spans="1:21" x14ac:dyDescent="0.25">
      <c r="A161">
        <v>160</v>
      </c>
      <c r="B161">
        <v>608</v>
      </c>
      <c r="C161" t="s">
        <v>23</v>
      </c>
      <c r="D161">
        <v>16</v>
      </c>
      <c r="E161" t="s">
        <v>24</v>
      </c>
      <c r="F161" t="s">
        <v>25</v>
      </c>
      <c r="G161">
        <v>5009.4503850000001</v>
      </c>
      <c r="H161">
        <v>47652263.119999997</v>
      </c>
      <c r="I161">
        <v>14673.88126</v>
      </c>
      <c r="J161">
        <v>36069437.200000003</v>
      </c>
      <c r="K161">
        <v>7.7520902000000003E-2</v>
      </c>
      <c r="L161">
        <v>9.1970309999999996E-3</v>
      </c>
      <c r="M161">
        <v>-3.4296990999999999E-2</v>
      </c>
      <c r="N161">
        <v>1.0401550000000001E-3</v>
      </c>
      <c r="O161">
        <v>0.290648448</v>
      </c>
      <c r="P161">
        <v>2.7412648000000001E-2</v>
      </c>
      <c r="Q161">
        <v>0.15305838499999999</v>
      </c>
      <c r="R161">
        <v>0.129631516</v>
      </c>
      <c r="S161">
        <v>0.69036370800000002</v>
      </c>
      <c r="T161">
        <v>0.21376165899999999</v>
      </c>
      <c r="U161">
        <v>23</v>
      </c>
    </row>
    <row r="162" spans="1:21" x14ac:dyDescent="0.25">
      <c r="A162">
        <v>161</v>
      </c>
      <c r="B162">
        <v>609</v>
      </c>
      <c r="C162" t="s">
        <v>23</v>
      </c>
      <c r="D162">
        <v>16</v>
      </c>
      <c r="E162" t="s">
        <v>24</v>
      </c>
      <c r="F162" t="s">
        <v>25</v>
      </c>
      <c r="G162">
        <v>4495.6193979999998</v>
      </c>
      <c r="H162">
        <v>38274601.659999996</v>
      </c>
      <c r="I162">
        <v>14579.67006</v>
      </c>
      <c r="J162">
        <v>26533391.809999999</v>
      </c>
      <c r="K162">
        <v>6.9102336E-2</v>
      </c>
      <c r="L162">
        <v>7.2726429999999996E-3</v>
      </c>
      <c r="M162">
        <v>-3.1292680000000003E-2</v>
      </c>
      <c r="N162">
        <v>1.1276599999999999E-3</v>
      </c>
      <c r="O162">
        <v>0.27345506600000002</v>
      </c>
      <c r="P162">
        <v>2.1238798E-2</v>
      </c>
      <c r="Q162">
        <v>0.118753478</v>
      </c>
      <c r="R162">
        <v>0.104651089</v>
      </c>
      <c r="S162">
        <v>0.87031920900000004</v>
      </c>
      <c r="T162">
        <v>0.11286368400000001</v>
      </c>
      <c r="U162">
        <v>29</v>
      </c>
    </row>
    <row r="163" spans="1:21" x14ac:dyDescent="0.25">
      <c r="A163">
        <v>162</v>
      </c>
      <c r="B163">
        <v>610</v>
      </c>
      <c r="C163" t="s">
        <v>23</v>
      </c>
      <c r="D163">
        <v>16</v>
      </c>
      <c r="E163" t="s">
        <v>24</v>
      </c>
      <c r="F163" t="s">
        <v>25</v>
      </c>
      <c r="G163">
        <v>4541.4640870000003</v>
      </c>
      <c r="H163">
        <v>32969324.129999999</v>
      </c>
      <c r="I163">
        <v>14827.596879999999</v>
      </c>
      <c r="J163">
        <v>31376992.300000001</v>
      </c>
      <c r="K163">
        <v>7.1081456000000001E-2</v>
      </c>
      <c r="L163">
        <v>9.883144E-3</v>
      </c>
      <c r="M163">
        <v>-3.11472E-2</v>
      </c>
      <c r="N163">
        <v>1.361129E-3</v>
      </c>
      <c r="O163">
        <v>0.27207061599999999</v>
      </c>
      <c r="P163">
        <v>2.5686292999999999E-2</v>
      </c>
      <c r="Q163">
        <v>0.13282605</v>
      </c>
      <c r="R163">
        <v>0.11518329099999999</v>
      </c>
      <c r="S163">
        <v>0.845370493</v>
      </c>
      <c r="T163">
        <v>0.130719223</v>
      </c>
      <c r="U163">
        <v>31</v>
      </c>
    </row>
    <row r="164" spans="1:21" x14ac:dyDescent="0.25">
      <c r="A164">
        <v>163</v>
      </c>
      <c r="B164">
        <v>611</v>
      </c>
      <c r="C164" t="s">
        <v>23</v>
      </c>
      <c r="D164">
        <v>16</v>
      </c>
      <c r="E164" t="s">
        <v>24</v>
      </c>
      <c r="F164" t="s">
        <v>25</v>
      </c>
      <c r="G164">
        <v>5508.8912259999997</v>
      </c>
      <c r="H164">
        <v>51954374.359999999</v>
      </c>
      <c r="I164">
        <v>15275.587729999999</v>
      </c>
      <c r="J164">
        <v>39532381.649999999</v>
      </c>
      <c r="K164">
        <v>5.6296570999999997E-2</v>
      </c>
      <c r="L164">
        <v>7.9541709999999995E-3</v>
      </c>
      <c r="M164">
        <v>-3.9100937000000002E-2</v>
      </c>
      <c r="N164">
        <v>1.2904629999999999E-3</v>
      </c>
      <c r="O164">
        <v>0.25691999900000001</v>
      </c>
      <c r="P164">
        <v>2.6504166999999999E-2</v>
      </c>
      <c r="Q164">
        <v>0.132138484</v>
      </c>
      <c r="R164">
        <v>0.114677905</v>
      </c>
      <c r="S164">
        <v>0.57544191200000006</v>
      </c>
      <c r="T164">
        <v>0.244308518</v>
      </c>
      <c r="U164">
        <v>12</v>
      </c>
    </row>
    <row r="165" spans="1:21" x14ac:dyDescent="0.25">
      <c r="A165">
        <v>164</v>
      </c>
      <c r="B165">
        <v>612</v>
      </c>
      <c r="C165" t="s">
        <v>23</v>
      </c>
      <c r="D165">
        <v>16</v>
      </c>
      <c r="E165" t="s">
        <v>24</v>
      </c>
      <c r="F165" t="s">
        <v>25</v>
      </c>
      <c r="G165">
        <v>3901.246263</v>
      </c>
      <c r="H165">
        <v>23338692.809999999</v>
      </c>
      <c r="I165">
        <v>16448.531650000001</v>
      </c>
      <c r="J165">
        <v>20276709.809999999</v>
      </c>
      <c r="K165">
        <v>4.0848031E-2</v>
      </c>
      <c r="L165">
        <v>4.7194230000000004E-3</v>
      </c>
      <c r="M165">
        <v>-3.7701289999999998E-2</v>
      </c>
      <c r="N165">
        <v>9.9342300000000001E-4</v>
      </c>
      <c r="O165">
        <v>0.213275347</v>
      </c>
      <c r="P165">
        <v>1.3164043E-2</v>
      </c>
      <c r="Q165">
        <v>6.0729650000000003E-2</v>
      </c>
      <c r="R165">
        <v>5.7041558999999999E-2</v>
      </c>
      <c r="S165">
        <v>0.64018680400000005</v>
      </c>
      <c r="T165">
        <v>0.23034766000000001</v>
      </c>
      <c r="U165">
        <v>18</v>
      </c>
    </row>
    <row r="166" spans="1:21" x14ac:dyDescent="0.25">
      <c r="A166">
        <v>165</v>
      </c>
      <c r="C166" t="s">
        <v>23</v>
      </c>
      <c r="D166">
        <v>16</v>
      </c>
      <c r="E166" t="s">
        <v>24</v>
      </c>
      <c r="F166" t="s">
        <v>25</v>
      </c>
      <c r="G166">
        <v>1981.7388470000001</v>
      </c>
      <c r="H166">
        <v>504019.08029999997</v>
      </c>
      <c r="I166">
        <v>15196.55745</v>
      </c>
      <c r="J166">
        <v>8700602.1679999996</v>
      </c>
      <c r="K166">
        <v>4.5657754000000002E-2</v>
      </c>
      <c r="L166">
        <v>2.0128839999999999E-3</v>
      </c>
      <c r="M166">
        <v>-2.6180246000000001E-2</v>
      </c>
      <c r="N166">
        <v>4.31829E-4</v>
      </c>
      <c r="O166">
        <v>0.22263013500000001</v>
      </c>
      <c r="P166">
        <v>1.867641E-3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16</v>
      </c>
      <c r="E167" t="s">
        <v>24</v>
      </c>
      <c r="F167" t="s">
        <v>25</v>
      </c>
      <c r="G167">
        <v>311.94652409999998</v>
      </c>
      <c r="H167">
        <v>4052354.0269999998</v>
      </c>
      <c r="I167">
        <v>15557.242050000001</v>
      </c>
      <c r="J167">
        <v>45746497.439999998</v>
      </c>
      <c r="K167">
        <v>-6.9273100000000004E-2</v>
      </c>
      <c r="L167">
        <v>3.7568126E-2</v>
      </c>
      <c r="M167">
        <v>-3.8437368999999999E-2</v>
      </c>
      <c r="N167">
        <v>8.5698790000000007E-3</v>
      </c>
      <c r="O167">
        <v>0.16924346900000001</v>
      </c>
      <c r="P167">
        <v>2.4653906999999999E-2</v>
      </c>
      <c r="Q167">
        <v>1.5706806E-2</v>
      </c>
      <c r="R167">
        <v>1.5460102999999999E-2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16</v>
      </c>
      <c r="E168" t="s">
        <v>27</v>
      </c>
      <c r="F168" t="s">
        <v>28</v>
      </c>
      <c r="G168">
        <v>4465.2482449999998</v>
      </c>
      <c r="H168">
        <v>27702690.390000001</v>
      </c>
      <c r="I168">
        <v>14037.927170000001</v>
      </c>
      <c r="J168">
        <v>43129387.18</v>
      </c>
      <c r="K168">
        <v>0.115908091</v>
      </c>
      <c r="L168">
        <v>1.6301149000000001E-2</v>
      </c>
      <c r="M168">
        <v>-1.9621375999999999E-2</v>
      </c>
      <c r="N168">
        <v>1.214148E-3</v>
      </c>
      <c r="O168">
        <v>0.31925858099999999</v>
      </c>
      <c r="P168">
        <v>3.5805956999999999E-2</v>
      </c>
      <c r="Q168">
        <v>0.178772193</v>
      </c>
      <c r="R168">
        <v>0.14681269599999999</v>
      </c>
      <c r="S168">
        <v>0.85601004700000005</v>
      </c>
      <c r="T168">
        <v>0.123256847</v>
      </c>
      <c r="U168">
        <v>33</v>
      </c>
    </row>
    <row r="169" spans="1:21" x14ac:dyDescent="0.25">
      <c r="A169">
        <v>168</v>
      </c>
      <c r="B169">
        <v>802</v>
      </c>
      <c r="C169" t="s">
        <v>26</v>
      </c>
      <c r="D169">
        <v>16</v>
      </c>
      <c r="E169" t="s">
        <v>27</v>
      </c>
      <c r="F169" t="s">
        <v>28</v>
      </c>
      <c r="G169">
        <v>2956.3804129999999</v>
      </c>
      <c r="H169">
        <v>13336672.74</v>
      </c>
      <c r="I169">
        <v>15841.54278</v>
      </c>
      <c r="J169">
        <v>30469514.579999998</v>
      </c>
      <c r="K169">
        <v>7.7215371000000005E-2</v>
      </c>
      <c r="L169">
        <v>1.2592056000000001E-2</v>
      </c>
      <c r="M169">
        <v>-2.7435261999999998E-2</v>
      </c>
      <c r="N169">
        <v>1.08219E-3</v>
      </c>
      <c r="O169">
        <v>0.26890472399999998</v>
      </c>
      <c r="P169">
        <v>2.4581068000000001E-2</v>
      </c>
      <c r="Q169">
        <v>0.11766353</v>
      </c>
      <c r="R169">
        <v>0.103818824</v>
      </c>
      <c r="S169">
        <v>0.88382701600000002</v>
      </c>
      <c r="T169">
        <v>0.102676822</v>
      </c>
      <c r="U169">
        <v>27</v>
      </c>
    </row>
    <row r="170" spans="1:21" x14ac:dyDescent="0.25">
      <c r="A170">
        <v>169</v>
      </c>
      <c r="B170">
        <v>803</v>
      </c>
      <c r="C170" t="s">
        <v>26</v>
      </c>
      <c r="D170">
        <v>16</v>
      </c>
      <c r="E170" t="s">
        <v>27</v>
      </c>
      <c r="F170" t="s">
        <v>28</v>
      </c>
      <c r="G170">
        <v>5895.2178629999999</v>
      </c>
      <c r="H170">
        <v>60944619.899999999</v>
      </c>
      <c r="I170">
        <v>14228.06791</v>
      </c>
      <c r="J170">
        <v>52205983.520000003</v>
      </c>
      <c r="K170">
        <v>0.101245687</v>
      </c>
      <c r="L170">
        <v>1.5896541E-2</v>
      </c>
      <c r="M170">
        <v>-2.3853907000000001E-2</v>
      </c>
      <c r="N170">
        <v>1.6885820000000001E-3</v>
      </c>
      <c r="O170">
        <v>0.31983778600000001</v>
      </c>
      <c r="P170">
        <v>4.2287102999999999E-2</v>
      </c>
      <c r="Q170">
        <v>0.20608700599999999</v>
      </c>
      <c r="R170">
        <v>0.16361515200000001</v>
      </c>
      <c r="S170">
        <v>0.41601517399999999</v>
      </c>
      <c r="T170">
        <v>0.24294654900000001</v>
      </c>
      <c r="U170">
        <v>11</v>
      </c>
    </row>
    <row r="171" spans="1:21" x14ac:dyDescent="0.25">
      <c r="A171">
        <v>170</v>
      </c>
      <c r="B171">
        <v>804</v>
      </c>
      <c r="C171" t="s">
        <v>26</v>
      </c>
      <c r="D171">
        <v>16</v>
      </c>
      <c r="E171" t="s">
        <v>27</v>
      </c>
      <c r="F171" t="s">
        <v>28</v>
      </c>
      <c r="G171">
        <v>7754.386614</v>
      </c>
      <c r="H171">
        <v>70896946.930000007</v>
      </c>
      <c r="I171">
        <v>12469.71809</v>
      </c>
      <c r="J171">
        <v>65485274.18</v>
      </c>
      <c r="K171">
        <v>0.14316000000000001</v>
      </c>
      <c r="L171">
        <v>2.0891089000000002E-2</v>
      </c>
      <c r="M171">
        <v>-1.7216398000000001E-2</v>
      </c>
      <c r="N171">
        <v>1.8590690000000001E-3</v>
      </c>
      <c r="O171">
        <v>0.37796136499999999</v>
      </c>
      <c r="P171">
        <v>5.3778931000000002E-2</v>
      </c>
      <c r="Q171">
        <v>0.30141916200000002</v>
      </c>
      <c r="R171">
        <v>0.21056565099999999</v>
      </c>
      <c r="S171">
        <v>0.74435059199999998</v>
      </c>
      <c r="T171">
        <v>0.19029278799999999</v>
      </c>
      <c r="U171">
        <v>26</v>
      </c>
    </row>
    <row r="172" spans="1:21" x14ac:dyDescent="0.25">
      <c r="A172">
        <v>171</v>
      </c>
      <c r="B172">
        <v>805</v>
      </c>
      <c r="C172" t="s">
        <v>26</v>
      </c>
      <c r="D172">
        <v>16</v>
      </c>
      <c r="E172" t="s">
        <v>27</v>
      </c>
      <c r="F172" t="s">
        <v>28</v>
      </c>
      <c r="G172">
        <v>5421.4550040000004</v>
      </c>
      <c r="H172">
        <v>53540992.549999997</v>
      </c>
      <c r="I172">
        <v>14167.997359999999</v>
      </c>
      <c r="J172">
        <v>48300047.390000001</v>
      </c>
      <c r="K172">
        <v>9.4088650999999995E-2</v>
      </c>
      <c r="L172">
        <v>1.5754048999999999E-2</v>
      </c>
      <c r="M172">
        <v>-2.5627619000000001E-2</v>
      </c>
      <c r="N172">
        <v>1.133869E-3</v>
      </c>
      <c r="O172">
        <v>0.30134689399999998</v>
      </c>
      <c r="P172">
        <v>4.1298962000000002E-2</v>
      </c>
      <c r="Q172">
        <v>0.181922001</v>
      </c>
      <c r="R172">
        <v>0.148826386</v>
      </c>
      <c r="S172">
        <v>0.70323696899999999</v>
      </c>
      <c r="T172">
        <v>0.20869473499999999</v>
      </c>
      <c r="U172">
        <v>19</v>
      </c>
    </row>
    <row r="173" spans="1:21" x14ac:dyDescent="0.25">
      <c r="A173">
        <v>172</v>
      </c>
      <c r="B173">
        <v>806</v>
      </c>
      <c r="C173" t="s">
        <v>26</v>
      </c>
      <c r="D173">
        <v>16</v>
      </c>
      <c r="E173" t="s">
        <v>27</v>
      </c>
      <c r="F173" t="s">
        <v>28</v>
      </c>
      <c r="G173">
        <v>6049.4434789999996</v>
      </c>
      <c r="H173">
        <v>77517553.689999998</v>
      </c>
      <c r="I173">
        <v>13630.605030000001</v>
      </c>
      <c r="J173">
        <v>50932053.640000001</v>
      </c>
      <c r="K173">
        <v>9.6515174999999995E-2</v>
      </c>
      <c r="L173">
        <v>1.5180116E-2</v>
      </c>
      <c r="M173">
        <v>-2.6255269000000001E-2</v>
      </c>
      <c r="N173">
        <v>1.399527E-3</v>
      </c>
      <c r="O173">
        <v>0.31016656399999998</v>
      </c>
      <c r="P173">
        <v>4.5063829999999999E-2</v>
      </c>
      <c r="Q173">
        <v>0.19982661500000001</v>
      </c>
      <c r="R173">
        <v>0.15989593899999999</v>
      </c>
      <c r="S173">
        <v>0.46142687900000001</v>
      </c>
      <c r="T173">
        <v>0.24851211400000001</v>
      </c>
      <c r="U173">
        <v>14</v>
      </c>
    </row>
    <row r="174" spans="1:21" x14ac:dyDescent="0.25">
      <c r="A174">
        <v>173</v>
      </c>
      <c r="B174">
        <v>807</v>
      </c>
      <c r="C174" t="s">
        <v>26</v>
      </c>
      <c r="D174">
        <v>16</v>
      </c>
      <c r="E174" t="s">
        <v>27</v>
      </c>
      <c r="F174" t="s">
        <v>28</v>
      </c>
      <c r="G174">
        <v>6492.3470219999999</v>
      </c>
      <c r="H174">
        <v>85673486.239999995</v>
      </c>
      <c r="I174">
        <v>13167.667579999999</v>
      </c>
      <c r="J174">
        <v>58979791.390000001</v>
      </c>
      <c r="K174">
        <v>0.10154555699999999</v>
      </c>
      <c r="L174">
        <v>1.6847926999999999E-2</v>
      </c>
      <c r="M174">
        <v>-2.8115622999999999E-2</v>
      </c>
      <c r="N174">
        <v>1.6228620000000001E-3</v>
      </c>
      <c r="O174">
        <v>0.32461199499999999</v>
      </c>
      <c r="P174">
        <v>5.0108202999999997E-2</v>
      </c>
      <c r="Q174">
        <v>0.23062136</v>
      </c>
      <c r="R174">
        <v>0.17743514799999999</v>
      </c>
      <c r="S174">
        <v>0.50836461700000002</v>
      </c>
      <c r="T174">
        <v>0.249930033</v>
      </c>
      <c r="U174">
        <v>19</v>
      </c>
    </row>
    <row r="175" spans="1:21" x14ac:dyDescent="0.25">
      <c r="A175">
        <v>174</v>
      </c>
      <c r="B175">
        <v>808</v>
      </c>
      <c r="C175" t="s">
        <v>26</v>
      </c>
      <c r="D175">
        <v>16</v>
      </c>
      <c r="E175" t="s">
        <v>27</v>
      </c>
      <c r="F175" t="s">
        <v>28</v>
      </c>
      <c r="G175">
        <v>6100.8380299999999</v>
      </c>
      <c r="H175">
        <v>80315503.180000007</v>
      </c>
      <c r="I175">
        <v>13564.47335</v>
      </c>
      <c r="J175">
        <v>55690811.670000002</v>
      </c>
      <c r="K175">
        <v>9.6799378000000005E-2</v>
      </c>
      <c r="L175">
        <v>1.6446848999999999E-2</v>
      </c>
      <c r="M175">
        <v>-2.793081E-2</v>
      </c>
      <c r="N175">
        <v>2.0101030000000001E-3</v>
      </c>
      <c r="O175">
        <v>0.31278193100000001</v>
      </c>
      <c r="P175">
        <v>4.4411045000000003E-2</v>
      </c>
      <c r="Q175">
        <v>0.21429772</v>
      </c>
      <c r="R175">
        <v>0.168374207</v>
      </c>
      <c r="S175">
        <v>0.78309859199999998</v>
      </c>
      <c r="T175">
        <v>0.16985518699999999</v>
      </c>
      <c r="U175">
        <v>28</v>
      </c>
    </row>
    <row r="176" spans="1:21" x14ac:dyDescent="0.25">
      <c r="A176">
        <v>175</v>
      </c>
      <c r="B176">
        <v>809</v>
      </c>
      <c r="C176" t="s">
        <v>26</v>
      </c>
      <c r="D176">
        <v>16</v>
      </c>
      <c r="E176" t="s">
        <v>27</v>
      </c>
      <c r="F176" t="s">
        <v>28</v>
      </c>
      <c r="G176">
        <v>4499.9335620000002</v>
      </c>
      <c r="H176">
        <v>60708266.32</v>
      </c>
      <c r="I176">
        <v>14352.450629999999</v>
      </c>
      <c r="J176">
        <v>35682712.420000002</v>
      </c>
      <c r="K176">
        <v>8.1006438E-2</v>
      </c>
      <c r="L176">
        <v>1.0044505E-2</v>
      </c>
      <c r="M176">
        <v>-2.4179005E-2</v>
      </c>
      <c r="N176">
        <v>1.5868200000000001E-3</v>
      </c>
      <c r="O176">
        <v>0.278352139</v>
      </c>
      <c r="P176">
        <v>2.9827064E-2</v>
      </c>
      <c r="Q176">
        <v>0.13913624199999999</v>
      </c>
      <c r="R176">
        <v>0.11977734800000001</v>
      </c>
      <c r="S176">
        <v>0.78486946700000004</v>
      </c>
      <c r="T176">
        <v>0.16884938699999999</v>
      </c>
      <c r="U176">
        <v>27</v>
      </c>
    </row>
    <row r="177" spans="1:21" x14ac:dyDescent="0.25">
      <c r="A177">
        <v>176</v>
      </c>
      <c r="B177">
        <v>701</v>
      </c>
      <c r="C177" t="s">
        <v>26</v>
      </c>
      <c r="D177">
        <v>16</v>
      </c>
      <c r="E177" t="s">
        <v>27</v>
      </c>
      <c r="F177" t="s">
        <v>28</v>
      </c>
      <c r="G177">
        <v>5501.833329</v>
      </c>
      <c r="H177">
        <v>52191616.600000001</v>
      </c>
      <c r="I177">
        <v>13872.089089999999</v>
      </c>
      <c r="J177">
        <v>44460921.380000003</v>
      </c>
      <c r="K177">
        <v>9.0826029000000003E-2</v>
      </c>
      <c r="L177">
        <v>1.6001017999999999E-2</v>
      </c>
      <c r="M177">
        <v>-2.825153E-2</v>
      </c>
      <c r="N177">
        <v>1.396649E-3</v>
      </c>
      <c r="O177">
        <v>0.30014057100000002</v>
      </c>
      <c r="P177">
        <v>4.2538646999999999E-2</v>
      </c>
      <c r="Q177">
        <v>0.19017337600000001</v>
      </c>
      <c r="R177">
        <v>0.15400746300000001</v>
      </c>
      <c r="S177">
        <v>0.76928331999999999</v>
      </c>
      <c r="T177">
        <v>0.177486493</v>
      </c>
      <c r="U177">
        <v>28</v>
      </c>
    </row>
    <row r="178" spans="1:21" x14ac:dyDescent="0.25">
      <c r="A178">
        <v>177</v>
      </c>
      <c r="B178">
        <v>702</v>
      </c>
      <c r="C178" t="s">
        <v>26</v>
      </c>
      <c r="D178">
        <v>16</v>
      </c>
      <c r="E178" t="s">
        <v>27</v>
      </c>
      <c r="F178" t="s">
        <v>28</v>
      </c>
      <c r="G178">
        <v>5431.772833</v>
      </c>
      <c r="H178">
        <v>46808639.990000002</v>
      </c>
      <c r="I178">
        <v>14448.442730000001</v>
      </c>
      <c r="J178">
        <v>44815175.590000004</v>
      </c>
      <c r="K178">
        <v>7.9876779999999994E-2</v>
      </c>
      <c r="L178">
        <v>1.6332103000000001E-2</v>
      </c>
      <c r="M178">
        <v>-2.7471209999999999E-2</v>
      </c>
      <c r="N178">
        <v>1.4097319999999999E-3</v>
      </c>
      <c r="O178">
        <v>0.28688716800000003</v>
      </c>
      <c r="P178">
        <v>4.1580857999999998E-2</v>
      </c>
      <c r="Q178">
        <v>0.17852042300000001</v>
      </c>
      <c r="R178">
        <v>0.14665088100000001</v>
      </c>
      <c r="S178">
        <v>0.59568852299999997</v>
      </c>
      <c r="T178">
        <v>0.24084370699999999</v>
      </c>
      <c r="U178">
        <v>14</v>
      </c>
    </row>
    <row r="179" spans="1:21" x14ac:dyDescent="0.25">
      <c r="A179">
        <v>178</v>
      </c>
      <c r="B179">
        <v>703</v>
      </c>
      <c r="C179" t="s">
        <v>26</v>
      </c>
      <c r="D179">
        <v>16</v>
      </c>
      <c r="E179" t="s">
        <v>27</v>
      </c>
      <c r="F179" t="s">
        <v>28</v>
      </c>
      <c r="G179">
        <v>7233.2538869999998</v>
      </c>
      <c r="H179">
        <v>79754350.409999996</v>
      </c>
      <c r="I179">
        <v>12570.240229999999</v>
      </c>
      <c r="J179">
        <v>61995009.140000001</v>
      </c>
      <c r="K179">
        <v>0.11657292</v>
      </c>
      <c r="L179">
        <v>1.9501451E-2</v>
      </c>
      <c r="M179">
        <v>-2.027499E-2</v>
      </c>
      <c r="N179">
        <v>2.0202029999999999E-3</v>
      </c>
      <c r="O179">
        <v>0.34572398700000001</v>
      </c>
      <c r="P179">
        <v>5.2575293000000002E-2</v>
      </c>
      <c r="Q179">
        <v>0.26366413900000002</v>
      </c>
      <c r="R179">
        <v>0.19414536099999999</v>
      </c>
      <c r="S179">
        <v>0.65590234300000005</v>
      </c>
      <c r="T179">
        <v>0.22569445899999999</v>
      </c>
      <c r="U179">
        <v>21</v>
      </c>
    </row>
    <row r="180" spans="1:21" x14ac:dyDescent="0.25">
      <c r="A180">
        <v>179</v>
      </c>
      <c r="B180">
        <v>704</v>
      </c>
      <c r="C180" t="s">
        <v>26</v>
      </c>
      <c r="D180">
        <v>16</v>
      </c>
      <c r="E180" t="s">
        <v>27</v>
      </c>
      <c r="F180" t="s">
        <v>28</v>
      </c>
      <c r="G180">
        <v>6795.8729700000004</v>
      </c>
      <c r="H180">
        <v>82942615.450000003</v>
      </c>
      <c r="I180">
        <v>13581.057199999999</v>
      </c>
      <c r="J180">
        <v>61903427.140000001</v>
      </c>
      <c r="K180">
        <v>9.4511252000000004E-2</v>
      </c>
      <c r="L180">
        <v>1.7926691000000002E-2</v>
      </c>
      <c r="M180">
        <v>-2.4284061999999999E-2</v>
      </c>
      <c r="N180">
        <v>1.5357350000000001E-3</v>
      </c>
      <c r="O180">
        <v>0.313442206</v>
      </c>
      <c r="P180">
        <v>5.1179460000000003E-2</v>
      </c>
      <c r="Q180">
        <v>0.22540015699999999</v>
      </c>
      <c r="R180">
        <v>0.17459492600000001</v>
      </c>
      <c r="S180">
        <v>0.51455640000000002</v>
      </c>
      <c r="T180">
        <v>0.24978811100000001</v>
      </c>
      <c r="U180">
        <v>9</v>
      </c>
    </row>
    <row r="181" spans="1:21" x14ac:dyDescent="0.25">
      <c r="A181">
        <v>180</v>
      </c>
      <c r="B181">
        <v>705</v>
      </c>
      <c r="C181" t="s">
        <v>26</v>
      </c>
      <c r="D181">
        <v>16</v>
      </c>
      <c r="E181" t="s">
        <v>27</v>
      </c>
      <c r="F181" t="s">
        <v>28</v>
      </c>
      <c r="G181">
        <v>6489.5246269999998</v>
      </c>
      <c r="H181">
        <v>70981987.090000004</v>
      </c>
      <c r="I181">
        <v>13631.54783</v>
      </c>
      <c r="J181">
        <v>57318942.359999999</v>
      </c>
      <c r="K181">
        <v>9.3030326999999996E-2</v>
      </c>
      <c r="L181">
        <v>1.8163776999999999E-2</v>
      </c>
      <c r="M181">
        <v>-2.8089253000000002E-2</v>
      </c>
      <c r="N181">
        <v>1.412157E-3</v>
      </c>
      <c r="O181">
        <v>0.30579375399999997</v>
      </c>
      <c r="P181">
        <v>4.9675309000000001E-2</v>
      </c>
      <c r="Q181">
        <v>0.225159628</v>
      </c>
      <c r="R181">
        <v>0.17446276999999999</v>
      </c>
      <c r="S181">
        <v>0.79637654999999996</v>
      </c>
      <c r="T181">
        <v>0.162160941</v>
      </c>
      <c r="U181">
        <v>28</v>
      </c>
    </row>
    <row r="182" spans="1:21" x14ac:dyDescent="0.25">
      <c r="A182">
        <v>181</v>
      </c>
      <c r="B182">
        <v>706</v>
      </c>
      <c r="C182" t="s">
        <v>26</v>
      </c>
      <c r="D182">
        <v>16</v>
      </c>
      <c r="E182" t="s">
        <v>27</v>
      </c>
      <c r="F182" t="s">
        <v>28</v>
      </c>
      <c r="G182">
        <v>5882.5570479999997</v>
      </c>
      <c r="H182">
        <v>75697144.650000006</v>
      </c>
      <c r="I182">
        <v>13316.045099999999</v>
      </c>
      <c r="J182">
        <v>50714598.799999997</v>
      </c>
      <c r="K182">
        <v>9.0627335000000003E-2</v>
      </c>
      <c r="L182">
        <v>1.6491308999999999E-2</v>
      </c>
      <c r="M182">
        <v>-2.8107081999999999E-2</v>
      </c>
      <c r="N182">
        <v>1.696426E-3</v>
      </c>
      <c r="O182">
        <v>0.30224606599999998</v>
      </c>
      <c r="P182">
        <v>4.6930734000000002E-2</v>
      </c>
      <c r="Q182">
        <v>0.208915986</v>
      </c>
      <c r="R182">
        <v>0.165270097</v>
      </c>
      <c r="S182">
        <v>0.67564221199999996</v>
      </c>
      <c r="T182">
        <v>0.219149813</v>
      </c>
      <c r="U182">
        <v>23</v>
      </c>
    </row>
    <row r="183" spans="1:21" x14ac:dyDescent="0.25">
      <c r="A183">
        <v>182</v>
      </c>
      <c r="B183">
        <v>707</v>
      </c>
      <c r="C183" t="s">
        <v>26</v>
      </c>
      <c r="D183">
        <v>16</v>
      </c>
      <c r="E183" t="s">
        <v>27</v>
      </c>
      <c r="F183" t="s">
        <v>28</v>
      </c>
      <c r="G183">
        <v>6081.1180329999997</v>
      </c>
      <c r="H183">
        <v>87778165.120000005</v>
      </c>
      <c r="I183">
        <v>13742.49005</v>
      </c>
      <c r="J183">
        <v>53626853.299999997</v>
      </c>
      <c r="K183">
        <v>7.3978418000000004E-2</v>
      </c>
      <c r="L183">
        <v>1.5948404999999999E-2</v>
      </c>
      <c r="M183">
        <v>-3.6240661E-2</v>
      </c>
      <c r="N183">
        <v>1.5478989999999999E-3</v>
      </c>
      <c r="O183">
        <v>0.29175905099999999</v>
      </c>
      <c r="P183">
        <v>4.8864553999999998E-2</v>
      </c>
      <c r="Q183">
        <v>0.20651266400000001</v>
      </c>
      <c r="R183">
        <v>0.163865183</v>
      </c>
      <c r="S183">
        <v>0.65884871599999995</v>
      </c>
      <c r="T183">
        <v>0.22476708500000001</v>
      </c>
      <c r="U183">
        <v>23</v>
      </c>
    </row>
    <row r="184" spans="1:21" x14ac:dyDescent="0.25">
      <c r="A184">
        <v>183</v>
      </c>
      <c r="B184">
        <v>708</v>
      </c>
      <c r="C184" t="s">
        <v>26</v>
      </c>
      <c r="D184">
        <v>16</v>
      </c>
      <c r="E184" t="s">
        <v>27</v>
      </c>
      <c r="F184" t="s">
        <v>28</v>
      </c>
      <c r="G184">
        <v>6407.1144199999999</v>
      </c>
      <c r="H184">
        <v>89498865.980000004</v>
      </c>
      <c r="I184">
        <v>13103.66459</v>
      </c>
      <c r="J184">
        <v>48808005.840000004</v>
      </c>
      <c r="K184">
        <v>7.8361264E-2</v>
      </c>
      <c r="L184">
        <v>1.4183539E-2</v>
      </c>
      <c r="M184">
        <v>-3.5835350000000002E-2</v>
      </c>
      <c r="N184">
        <v>1.798322E-3</v>
      </c>
      <c r="O184">
        <v>0.297724457</v>
      </c>
      <c r="P184">
        <v>4.3775069E-2</v>
      </c>
      <c r="Q184">
        <v>0.20687372100000001</v>
      </c>
      <c r="R184">
        <v>0.16407698500000001</v>
      </c>
      <c r="S184">
        <v>0.62623218000000003</v>
      </c>
      <c r="T184">
        <v>0.23406543699999999</v>
      </c>
      <c r="U184">
        <v>13</v>
      </c>
    </row>
    <row r="185" spans="1:21" x14ac:dyDescent="0.25">
      <c r="A185">
        <v>184</v>
      </c>
      <c r="B185">
        <v>709</v>
      </c>
      <c r="C185" t="s">
        <v>26</v>
      </c>
      <c r="D185">
        <v>16</v>
      </c>
      <c r="E185" t="s">
        <v>27</v>
      </c>
      <c r="F185" t="s">
        <v>28</v>
      </c>
      <c r="G185">
        <v>4464.9427379999997</v>
      </c>
      <c r="H185">
        <v>62117564.060000002</v>
      </c>
      <c r="I185">
        <v>14279.02161</v>
      </c>
      <c r="J185">
        <v>33240299.969999999</v>
      </c>
      <c r="K185">
        <v>6.0153998E-2</v>
      </c>
      <c r="L185">
        <v>9.0134480000000003E-3</v>
      </c>
      <c r="M185">
        <v>-3.3467354999999997E-2</v>
      </c>
      <c r="N185">
        <v>1.498026E-3</v>
      </c>
      <c r="O185">
        <v>0.25316962799999998</v>
      </c>
      <c r="P185">
        <v>2.9257225000000001E-2</v>
      </c>
      <c r="Q185">
        <v>0.12833212799999999</v>
      </c>
      <c r="R185">
        <v>0.11186299299999999</v>
      </c>
      <c r="S185">
        <v>0.79841901999999998</v>
      </c>
      <c r="T185">
        <v>0.16094608899999999</v>
      </c>
      <c r="U185">
        <v>26</v>
      </c>
    </row>
    <row r="186" spans="1:21" x14ac:dyDescent="0.25">
      <c r="A186">
        <v>185</v>
      </c>
      <c r="B186">
        <v>601</v>
      </c>
      <c r="C186" t="s">
        <v>26</v>
      </c>
      <c r="D186">
        <v>16</v>
      </c>
      <c r="E186" t="s">
        <v>27</v>
      </c>
      <c r="F186" t="s">
        <v>28</v>
      </c>
      <c r="G186">
        <v>5798.5005369999999</v>
      </c>
      <c r="H186">
        <v>52367174.82</v>
      </c>
      <c r="I186">
        <v>12559.76058</v>
      </c>
      <c r="J186">
        <v>53618041.5</v>
      </c>
      <c r="K186">
        <v>0.11896407000000001</v>
      </c>
      <c r="L186">
        <v>2.1886142000000001E-2</v>
      </c>
      <c r="M186">
        <v>-1.7839041E-2</v>
      </c>
      <c r="N186">
        <v>1.816275E-3</v>
      </c>
      <c r="O186">
        <v>0.32480168399999998</v>
      </c>
      <c r="P186">
        <v>5.1253879000000002E-2</v>
      </c>
      <c r="Q186">
        <v>0.2300837</v>
      </c>
      <c r="R186">
        <v>0.17714519100000001</v>
      </c>
      <c r="S186">
        <v>0.83182165200000002</v>
      </c>
      <c r="T186">
        <v>0.13989439100000001</v>
      </c>
      <c r="U186">
        <v>23</v>
      </c>
    </row>
    <row r="187" spans="1:21" x14ac:dyDescent="0.25">
      <c r="A187">
        <v>186</v>
      </c>
      <c r="B187">
        <v>602</v>
      </c>
      <c r="C187" t="s">
        <v>26</v>
      </c>
      <c r="D187">
        <v>16</v>
      </c>
      <c r="E187" t="s">
        <v>27</v>
      </c>
      <c r="F187" t="s">
        <v>28</v>
      </c>
      <c r="G187">
        <v>6189.687011</v>
      </c>
      <c r="H187">
        <v>59911725.689999998</v>
      </c>
      <c r="I187">
        <v>13565.56099</v>
      </c>
      <c r="J187">
        <v>65914251.060000002</v>
      </c>
      <c r="K187">
        <v>0.112559117</v>
      </c>
      <c r="L187">
        <v>2.5411755000000001E-2</v>
      </c>
      <c r="M187">
        <v>-1.9685922000000002E-2</v>
      </c>
      <c r="N187">
        <v>1.7138559999999999E-3</v>
      </c>
      <c r="O187">
        <v>0.32708494399999999</v>
      </c>
      <c r="P187">
        <v>5.8019504E-2</v>
      </c>
      <c r="Q187">
        <v>0.246725743</v>
      </c>
      <c r="R187">
        <v>0.18585215099999999</v>
      </c>
      <c r="S187">
        <v>0.36865675199999998</v>
      </c>
      <c r="T187">
        <v>0.23274895100000001</v>
      </c>
      <c r="U187">
        <v>8</v>
      </c>
    </row>
    <row r="188" spans="1:21" x14ac:dyDescent="0.25">
      <c r="A188">
        <v>187</v>
      </c>
      <c r="B188">
        <v>603</v>
      </c>
      <c r="C188" t="s">
        <v>26</v>
      </c>
      <c r="D188">
        <v>16</v>
      </c>
      <c r="E188" t="s">
        <v>27</v>
      </c>
      <c r="F188" t="s">
        <v>28</v>
      </c>
      <c r="G188">
        <v>4155.033617</v>
      </c>
      <c r="H188">
        <v>20135031.609999999</v>
      </c>
      <c r="I188">
        <v>13727.747149999999</v>
      </c>
      <c r="J188">
        <v>41118739.619999997</v>
      </c>
      <c r="K188">
        <v>8.3617764999999997E-2</v>
      </c>
      <c r="L188">
        <v>1.8482452999999999E-2</v>
      </c>
      <c r="M188">
        <v>-2.5180147999999999E-2</v>
      </c>
      <c r="N188">
        <v>1.476591E-3</v>
      </c>
      <c r="O188">
        <v>0.28055512700000002</v>
      </c>
      <c r="P188">
        <v>3.6371246000000003E-2</v>
      </c>
      <c r="Q188">
        <v>0.15054657799999999</v>
      </c>
      <c r="R188">
        <v>0.127882306</v>
      </c>
      <c r="S188">
        <v>0.83722949199999996</v>
      </c>
      <c r="T188">
        <v>0.13627626900000001</v>
      </c>
      <c r="U188">
        <v>32</v>
      </c>
    </row>
    <row r="189" spans="1:21" x14ac:dyDescent="0.25">
      <c r="A189">
        <v>188</v>
      </c>
      <c r="B189">
        <v>604</v>
      </c>
      <c r="C189" t="s">
        <v>26</v>
      </c>
      <c r="D189">
        <v>16</v>
      </c>
      <c r="E189" t="s">
        <v>27</v>
      </c>
      <c r="F189" t="s">
        <v>28</v>
      </c>
      <c r="G189">
        <v>4511.0677999999998</v>
      </c>
      <c r="H189">
        <v>27645399.640000001</v>
      </c>
      <c r="I189">
        <v>14404.70433</v>
      </c>
      <c r="J189">
        <v>49778533.560000002</v>
      </c>
      <c r="K189">
        <v>7.9490851000000001E-2</v>
      </c>
      <c r="L189">
        <v>2.0415432000000001E-2</v>
      </c>
      <c r="M189">
        <v>-2.5300168000000001E-2</v>
      </c>
      <c r="N189">
        <v>1.4380319999999999E-3</v>
      </c>
      <c r="O189">
        <v>0.27319338500000001</v>
      </c>
      <c r="P189">
        <v>4.3611403E-2</v>
      </c>
      <c r="Q189">
        <v>0.182392369</v>
      </c>
      <c r="R189">
        <v>0.14912539299999999</v>
      </c>
      <c r="S189">
        <v>0.82872690999999998</v>
      </c>
      <c r="T189">
        <v>0.14193861899999999</v>
      </c>
      <c r="U189">
        <v>38</v>
      </c>
    </row>
    <row r="190" spans="1:21" x14ac:dyDescent="0.25">
      <c r="A190">
        <v>189</v>
      </c>
      <c r="B190">
        <v>605</v>
      </c>
      <c r="C190" t="s">
        <v>26</v>
      </c>
      <c r="D190">
        <v>16</v>
      </c>
      <c r="E190" t="s">
        <v>27</v>
      </c>
      <c r="F190" t="s">
        <v>28</v>
      </c>
      <c r="G190">
        <v>3692.7480500000001</v>
      </c>
      <c r="H190">
        <v>28214840.550000001</v>
      </c>
      <c r="I190">
        <v>15157.859280000001</v>
      </c>
      <c r="J190">
        <v>40803186.719999999</v>
      </c>
      <c r="K190">
        <v>4.9634536999999999E-2</v>
      </c>
      <c r="L190">
        <v>1.5935195999999999E-2</v>
      </c>
      <c r="M190">
        <v>-3.5995065E-2</v>
      </c>
      <c r="N190">
        <v>1.011096E-3</v>
      </c>
      <c r="O190">
        <v>0.23567596800000001</v>
      </c>
      <c r="P190">
        <v>3.7593355000000002E-2</v>
      </c>
      <c r="Q190">
        <v>0.141963016</v>
      </c>
      <c r="R190">
        <v>0.12180951800000001</v>
      </c>
      <c r="S190">
        <v>0.89033575399999998</v>
      </c>
      <c r="T190">
        <v>9.7637999000000003E-2</v>
      </c>
      <c r="U190">
        <v>42</v>
      </c>
    </row>
    <row r="191" spans="1:21" x14ac:dyDescent="0.25">
      <c r="A191">
        <v>190</v>
      </c>
      <c r="B191">
        <v>606</v>
      </c>
      <c r="C191" t="s">
        <v>26</v>
      </c>
      <c r="D191">
        <v>16</v>
      </c>
      <c r="E191" t="s">
        <v>27</v>
      </c>
      <c r="F191" t="s">
        <v>28</v>
      </c>
      <c r="G191">
        <v>4553.0569949999999</v>
      </c>
      <c r="H191">
        <v>42652101.880000003</v>
      </c>
      <c r="I191">
        <v>13067.26318</v>
      </c>
      <c r="J191">
        <v>45008908.32</v>
      </c>
      <c r="K191">
        <v>7.7298334999999996E-2</v>
      </c>
      <c r="L191">
        <v>1.7861399E-2</v>
      </c>
      <c r="M191">
        <v>-3.3359672999999999E-2</v>
      </c>
      <c r="N191">
        <v>1.498575E-3</v>
      </c>
      <c r="O191">
        <v>0.28107985200000002</v>
      </c>
      <c r="P191">
        <v>4.1938560999999999E-2</v>
      </c>
      <c r="Q191">
        <v>0.185747204</v>
      </c>
      <c r="R191">
        <v>0.15124518000000001</v>
      </c>
      <c r="S191">
        <v>0.90754363699999996</v>
      </c>
      <c r="T191">
        <v>8.3908183999999997E-2</v>
      </c>
      <c r="U191">
        <v>46</v>
      </c>
    </row>
    <row r="192" spans="1:21" x14ac:dyDescent="0.25">
      <c r="A192">
        <v>191</v>
      </c>
      <c r="B192">
        <v>607</v>
      </c>
      <c r="C192" t="s">
        <v>26</v>
      </c>
      <c r="D192">
        <v>16</v>
      </c>
      <c r="E192" t="s">
        <v>27</v>
      </c>
      <c r="F192" t="s">
        <v>28</v>
      </c>
      <c r="G192">
        <v>5589.5091430000002</v>
      </c>
      <c r="H192">
        <v>70071984.5</v>
      </c>
      <c r="I192">
        <v>13245.104810000001</v>
      </c>
      <c r="J192">
        <v>56641469</v>
      </c>
      <c r="K192">
        <v>7.8427579999999997E-2</v>
      </c>
      <c r="L192">
        <v>1.8890832E-2</v>
      </c>
      <c r="M192">
        <v>-3.6025387999999998E-2</v>
      </c>
      <c r="N192">
        <v>1.6263289999999999E-3</v>
      </c>
      <c r="O192">
        <v>0.29454161499999998</v>
      </c>
      <c r="P192">
        <v>5.0444456999999998E-2</v>
      </c>
      <c r="Q192">
        <v>0.21443603899999999</v>
      </c>
      <c r="R192">
        <v>0.16845322400000001</v>
      </c>
      <c r="S192">
        <v>0.63129590899999999</v>
      </c>
      <c r="T192">
        <v>0.23276138399999999</v>
      </c>
      <c r="U192">
        <v>21</v>
      </c>
    </row>
    <row r="193" spans="1:21" x14ac:dyDescent="0.25">
      <c r="A193">
        <v>192</v>
      </c>
      <c r="B193">
        <v>608</v>
      </c>
      <c r="C193" t="s">
        <v>26</v>
      </c>
      <c r="D193">
        <v>16</v>
      </c>
      <c r="E193" t="s">
        <v>27</v>
      </c>
      <c r="F193" t="s">
        <v>28</v>
      </c>
      <c r="G193">
        <v>4410.6105639999996</v>
      </c>
      <c r="H193">
        <v>37403346.969999999</v>
      </c>
      <c r="I193">
        <v>13109.23374</v>
      </c>
      <c r="J193">
        <v>36991314.509999998</v>
      </c>
      <c r="K193">
        <v>6.7925166999999995E-2</v>
      </c>
      <c r="L193">
        <v>1.4722004E-2</v>
      </c>
      <c r="M193">
        <v>-3.8414293000000002E-2</v>
      </c>
      <c r="N193">
        <v>1.5874940000000001E-3</v>
      </c>
      <c r="O193">
        <v>0.27711653200000003</v>
      </c>
      <c r="P193">
        <v>3.4390082000000002E-2</v>
      </c>
      <c r="Q193">
        <v>0.160967521</v>
      </c>
      <c r="R193">
        <v>0.13505697799999999</v>
      </c>
      <c r="S193">
        <v>0.74111662700000003</v>
      </c>
      <c r="T193">
        <v>0.19186277199999999</v>
      </c>
      <c r="U193">
        <v>32</v>
      </c>
    </row>
    <row r="194" spans="1:21" x14ac:dyDescent="0.25">
      <c r="A194">
        <v>193</v>
      </c>
      <c r="B194">
        <v>609</v>
      </c>
      <c r="C194" t="s">
        <v>26</v>
      </c>
      <c r="D194">
        <v>16</v>
      </c>
      <c r="E194" t="s">
        <v>27</v>
      </c>
      <c r="F194" t="s">
        <v>28</v>
      </c>
      <c r="G194">
        <v>4574.9677460000003</v>
      </c>
      <c r="H194">
        <v>48010556.670000002</v>
      </c>
      <c r="I194">
        <v>13690.733270000001</v>
      </c>
      <c r="J194">
        <v>45770002.939999998</v>
      </c>
      <c r="K194">
        <v>7.5183783000000004E-2</v>
      </c>
      <c r="L194">
        <v>1.6634197999999999E-2</v>
      </c>
      <c r="M194">
        <v>-3.5547136999999999E-2</v>
      </c>
      <c r="N194">
        <v>1.6502629999999999E-3</v>
      </c>
      <c r="O194">
        <v>0.27964236100000001</v>
      </c>
      <c r="P194">
        <v>4.1862228000000001E-2</v>
      </c>
      <c r="Q194">
        <v>0.18293420399999999</v>
      </c>
      <c r="R194">
        <v>0.14946928100000001</v>
      </c>
      <c r="S194">
        <v>0.72275284900000003</v>
      </c>
      <c r="T194">
        <v>0.200381168</v>
      </c>
      <c r="U194">
        <v>24</v>
      </c>
    </row>
    <row r="195" spans="1:21" x14ac:dyDescent="0.25">
      <c r="A195">
        <v>194</v>
      </c>
      <c r="B195">
        <v>501</v>
      </c>
      <c r="C195" t="s">
        <v>26</v>
      </c>
      <c r="D195">
        <v>16</v>
      </c>
      <c r="E195" t="s">
        <v>27</v>
      </c>
      <c r="F195" t="s">
        <v>28</v>
      </c>
      <c r="G195">
        <v>6521.1525330000004</v>
      </c>
      <c r="H195">
        <v>69892171.670000002</v>
      </c>
      <c r="I195">
        <v>11350.217909999999</v>
      </c>
      <c r="J195">
        <v>57775498.82</v>
      </c>
      <c r="K195">
        <v>0.13460335500000001</v>
      </c>
      <c r="L195">
        <v>2.3932960999999999E-2</v>
      </c>
      <c r="M195">
        <v>-1.7097736999999998E-2</v>
      </c>
      <c r="N195">
        <v>1.8060859999999999E-3</v>
      </c>
      <c r="O195">
        <v>0.35325615500000002</v>
      </c>
      <c r="P195">
        <v>5.4844341999999997E-2</v>
      </c>
      <c r="Q195">
        <v>0.266670925</v>
      </c>
      <c r="R195">
        <v>0.195557543</v>
      </c>
      <c r="S195">
        <v>0.755774536</v>
      </c>
      <c r="T195">
        <v>0.18457938700000001</v>
      </c>
      <c r="U195">
        <v>27</v>
      </c>
    </row>
    <row r="196" spans="1:21" x14ac:dyDescent="0.25">
      <c r="A196">
        <v>195</v>
      </c>
      <c r="B196">
        <v>502</v>
      </c>
      <c r="C196" t="s">
        <v>26</v>
      </c>
      <c r="D196">
        <v>16</v>
      </c>
      <c r="E196" t="s">
        <v>27</v>
      </c>
      <c r="F196" t="s">
        <v>28</v>
      </c>
      <c r="G196">
        <v>7029.0138450000004</v>
      </c>
      <c r="H196">
        <v>74070105.200000003</v>
      </c>
      <c r="I196">
        <v>12455.180490000001</v>
      </c>
      <c r="J196">
        <v>61880846.609999999</v>
      </c>
      <c r="K196">
        <v>0.108065314</v>
      </c>
      <c r="L196">
        <v>2.3166869E-2</v>
      </c>
      <c r="M196">
        <v>-2.0989133E-2</v>
      </c>
      <c r="N196">
        <v>1.720584E-3</v>
      </c>
      <c r="O196">
        <v>0.32960153800000003</v>
      </c>
      <c r="P196">
        <v>5.5430137999999997E-2</v>
      </c>
      <c r="Q196">
        <v>0.25320440700000002</v>
      </c>
      <c r="R196">
        <v>0.18909193599999999</v>
      </c>
      <c r="S196">
        <v>0.56030202399999995</v>
      </c>
      <c r="T196">
        <v>0.24636366600000001</v>
      </c>
      <c r="U196">
        <v>18</v>
      </c>
    </row>
    <row r="197" spans="1:21" x14ac:dyDescent="0.25">
      <c r="A197">
        <v>196</v>
      </c>
      <c r="B197">
        <v>503</v>
      </c>
      <c r="C197" t="s">
        <v>26</v>
      </c>
      <c r="D197">
        <v>16</v>
      </c>
      <c r="E197" t="s">
        <v>27</v>
      </c>
      <c r="F197" t="s">
        <v>28</v>
      </c>
      <c r="G197">
        <v>7933.0366560000002</v>
      </c>
      <c r="H197">
        <v>71800502.790000007</v>
      </c>
      <c r="I197">
        <v>11802.339089999999</v>
      </c>
      <c r="J197">
        <v>69263030.430000007</v>
      </c>
      <c r="K197">
        <v>0.125017402</v>
      </c>
      <c r="L197">
        <v>2.5577521999999998E-2</v>
      </c>
      <c r="M197">
        <v>-1.9829111999999999E-2</v>
      </c>
      <c r="N197">
        <v>2.0784520000000002E-3</v>
      </c>
      <c r="O197">
        <v>0.35377893999999999</v>
      </c>
      <c r="P197">
        <v>6.0123805000000002E-2</v>
      </c>
      <c r="Q197">
        <v>0.29054689</v>
      </c>
      <c r="R197">
        <v>0.20612939499999999</v>
      </c>
      <c r="S197">
        <v>0.39522392899999997</v>
      </c>
      <c r="T197">
        <v>0.239021975</v>
      </c>
      <c r="U197">
        <v>12</v>
      </c>
    </row>
    <row r="198" spans="1:21" x14ac:dyDescent="0.25">
      <c r="A198">
        <v>197</v>
      </c>
      <c r="B198">
        <v>504</v>
      </c>
      <c r="C198" t="s">
        <v>26</v>
      </c>
      <c r="D198">
        <v>16</v>
      </c>
      <c r="E198" t="s">
        <v>27</v>
      </c>
      <c r="F198" t="s">
        <v>28</v>
      </c>
      <c r="G198">
        <v>7252.1952140000003</v>
      </c>
      <c r="H198">
        <v>65978872.560000002</v>
      </c>
      <c r="I198">
        <v>12042.38975</v>
      </c>
      <c r="J198">
        <v>63736387.100000001</v>
      </c>
      <c r="K198">
        <v>0.111157306</v>
      </c>
      <c r="L198">
        <v>2.2890280999999998E-2</v>
      </c>
      <c r="M198">
        <v>-2.2844091E-2</v>
      </c>
      <c r="N198">
        <v>2.077293E-3</v>
      </c>
      <c r="O198">
        <v>0.32875229</v>
      </c>
      <c r="P198">
        <v>5.8226352000000002E-2</v>
      </c>
      <c r="Q198">
        <v>0.26753569199999999</v>
      </c>
      <c r="R198">
        <v>0.19596034600000001</v>
      </c>
      <c r="S198">
        <v>0.76824761500000005</v>
      </c>
      <c r="T198">
        <v>0.178043217</v>
      </c>
      <c r="U198">
        <v>27</v>
      </c>
    </row>
    <row r="199" spans="1:21" x14ac:dyDescent="0.25">
      <c r="A199">
        <v>198</v>
      </c>
      <c r="B199">
        <v>505</v>
      </c>
      <c r="C199" t="s">
        <v>26</v>
      </c>
      <c r="D199">
        <v>16</v>
      </c>
      <c r="E199" t="s">
        <v>27</v>
      </c>
      <c r="F199" t="s">
        <v>28</v>
      </c>
      <c r="G199">
        <v>7372.3274570000003</v>
      </c>
      <c r="H199">
        <v>85185085.170000002</v>
      </c>
      <c r="I199">
        <v>12989.78204</v>
      </c>
      <c r="J199">
        <v>81055310.349999994</v>
      </c>
      <c r="K199">
        <v>0.101251616</v>
      </c>
      <c r="L199">
        <v>2.6895545999999999E-2</v>
      </c>
      <c r="M199">
        <v>-2.7799903000000001E-2</v>
      </c>
      <c r="N199">
        <v>1.8158709999999999E-3</v>
      </c>
      <c r="O199">
        <v>0.314805524</v>
      </c>
      <c r="P199">
        <v>6.8664770999999999E-2</v>
      </c>
      <c r="Q199">
        <v>0.27207969300000001</v>
      </c>
      <c r="R199">
        <v>0.198052334</v>
      </c>
      <c r="S199">
        <v>0.84315953099999996</v>
      </c>
      <c r="T199">
        <v>0.13224153599999999</v>
      </c>
      <c r="U199">
        <v>34</v>
      </c>
    </row>
    <row r="200" spans="1:21" x14ac:dyDescent="0.25">
      <c r="A200">
        <v>199</v>
      </c>
      <c r="B200">
        <v>506</v>
      </c>
      <c r="C200" t="s">
        <v>26</v>
      </c>
      <c r="D200">
        <v>16</v>
      </c>
      <c r="E200" t="s">
        <v>27</v>
      </c>
      <c r="F200" t="s">
        <v>28</v>
      </c>
      <c r="G200">
        <v>7772.5013520000002</v>
      </c>
      <c r="H200">
        <v>82510693.730000004</v>
      </c>
      <c r="I200">
        <v>11144.8711</v>
      </c>
      <c r="J200">
        <v>66482156.460000001</v>
      </c>
      <c r="K200">
        <v>0.119229821</v>
      </c>
      <c r="L200">
        <v>2.6184461999999999E-2</v>
      </c>
      <c r="M200">
        <v>-2.6003459999999999E-2</v>
      </c>
      <c r="N200">
        <v>2.0247799999999999E-3</v>
      </c>
      <c r="O200">
        <v>0.34812022599999998</v>
      </c>
      <c r="P200">
        <v>6.2683974000000003E-2</v>
      </c>
      <c r="Q200">
        <v>0.28487142399999998</v>
      </c>
      <c r="R200">
        <v>0.20371969600000001</v>
      </c>
      <c r="S200">
        <v>0.59704116500000004</v>
      </c>
      <c r="T200">
        <v>0.24058301200000001</v>
      </c>
      <c r="U200">
        <v>19</v>
      </c>
    </row>
    <row r="201" spans="1:21" x14ac:dyDescent="0.25">
      <c r="A201">
        <v>200</v>
      </c>
      <c r="B201">
        <v>507</v>
      </c>
      <c r="C201" t="s">
        <v>26</v>
      </c>
      <c r="D201">
        <v>16</v>
      </c>
      <c r="E201" t="s">
        <v>27</v>
      </c>
      <c r="F201" t="s">
        <v>28</v>
      </c>
      <c r="G201">
        <v>8901.3840500000006</v>
      </c>
      <c r="H201">
        <v>111693451.2</v>
      </c>
      <c r="I201">
        <v>10914.20508</v>
      </c>
      <c r="J201">
        <v>80515780.019999996</v>
      </c>
      <c r="K201">
        <v>0.117165353</v>
      </c>
      <c r="L201">
        <v>2.6711149999999999E-2</v>
      </c>
      <c r="M201">
        <v>-3.1931804000000001E-2</v>
      </c>
      <c r="N201">
        <v>2.172888E-3</v>
      </c>
      <c r="O201">
        <v>0.35977082100000002</v>
      </c>
      <c r="P201">
        <v>7.1329940999999994E-2</v>
      </c>
      <c r="Q201">
        <v>0.32697879200000002</v>
      </c>
      <c r="R201">
        <v>0.22006366199999999</v>
      </c>
      <c r="S201">
        <v>0.81945205499999996</v>
      </c>
      <c r="T201">
        <v>0.14795038499999999</v>
      </c>
      <c r="U201">
        <v>33</v>
      </c>
    </row>
    <row r="202" spans="1:21" x14ac:dyDescent="0.25">
      <c r="A202">
        <v>201</v>
      </c>
      <c r="B202">
        <v>508</v>
      </c>
      <c r="C202" t="s">
        <v>26</v>
      </c>
      <c r="D202">
        <v>16</v>
      </c>
      <c r="E202" t="s">
        <v>27</v>
      </c>
      <c r="F202" t="s">
        <v>28</v>
      </c>
      <c r="G202">
        <v>7254.4576079999997</v>
      </c>
      <c r="H202">
        <v>91521648.859999999</v>
      </c>
      <c r="I202">
        <v>11916.89352</v>
      </c>
      <c r="J202">
        <v>61797006.170000002</v>
      </c>
      <c r="K202">
        <v>9.2372060000000006E-2</v>
      </c>
      <c r="L202">
        <v>2.1347527000000002E-2</v>
      </c>
      <c r="M202">
        <v>-3.4831230999999997E-2</v>
      </c>
      <c r="N202">
        <v>2.3328569999999998E-3</v>
      </c>
      <c r="O202">
        <v>0.31873415500000002</v>
      </c>
      <c r="P202">
        <v>5.6495693999999999E-2</v>
      </c>
      <c r="Q202">
        <v>0.25857079300000002</v>
      </c>
      <c r="R202">
        <v>0.191711938</v>
      </c>
      <c r="S202">
        <v>0.80133480000000001</v>
      </c>
      <c r="T202">
        <v>0.15919733799999999</v>
      </c>
      <c r="U202">
        <v>29</v>
      </c>
    </row>
    <row r="203" spans="1:21" x14ac:dyDescent="0.25">
      <c r="A203">
        <v>202</v>
      </c>
      <c r="B203">
        <v>509</v>
      </c>
      <c r="C203" t="s">
        <v>26</v>
      </c>
      <c r="D203">
        <v>16</v>
      </c>
      <c r="E203" t="s">
        <v>27</v>
      </c>
      <c r="F203" t="s">
        <v>28</v>
      </c>
      <c r="G203">
        <v>7418.1606620000002</v>
      </c>
      <c r="H203">
        <v>91072336.609999999</v>
      </c>
      <c r="I203">
        <v>10774.2991</v>
      </c>
      <c r="J203">
        <v>60848113.119999997</v>
      </c>
      <c r="K203">
        <v>0.132148656</v>
      </c>
      <c r="L203">
        <v>2.2139203E-2</v>
      </c>
      <c r="M203">
        <v>-2.3583272999999998E-2</v>
      </c>
      <c r="N203">
        <v>2.364512E-3</v>
      </c>
      <c r="O203">
        <v>0.360539691</v>
      </c>
      <c r="P203">
        <v>5.8216255000000001E-2</v>
      </c>
      <c r="Q203">
        <v>0.28787974500000002</v>
      </c>
      <c r="R203">
        <v>0.20500499699999999</v>
      </c>
      <c r="S203">
        <v>0.64752741300000005</v>
      </c>
      <c r="T203">
        <v>0.22823566200000001</v>
      </c>
      <c r="U203">
        <v>24</v>
      </c>
    </row>
    <row r="204" spans="1:21" x14ac:dyDescent="0.25">
      <c r="A204">
        <v>203</v>
      </c>
      <c r="B204">
        <v>401</v>
      </c>
      <c r="C204" t="s">
        <v>26</v>
      </c>
      <c r="D204">
        <v>16</v>
      </c>
      <c r="E204" t="s">
        <v>27</v>
      </c>
      <c r="F204" t="s">
        <v>28</v>
      </c>
      <c r="G204">
        <v>4384.3600049999995</v>
      </c>
      <c r="H204">
        <v>43214660.25</v>
      </c>
      <c r="I204">
        <v>13340.806420000001</v>
      </c>
      <c r="J204">
        <v>49852595.020000003</v>
      </c>
      <c r="K204">
        <v>7.6521020999999995E-2</v>
      </c>
      <c r="L204">
        <v>2.4156046E-2</v>
      </c>
      <c r="M204">
        <v>-3.1828624999999999E-2</v>
      </c>
      <c r="N204">
        <v>1.8370870000000001E-3</v>
      </c>
      <c r="O204">
        <v>0.277130877</v>
      </c>
      <c r="P204">
        <v>4.7993653999999997E-2</v>
      </c>
      <c r="Q204">
        <v>0.19285972700000001</v>
      </c>
      <c r="R204">
        <v>0.15566485299999999</v>
      </c>
      <c r="S204">
        <v>0.83091837499999999</v>
      </c>
      <c r="T204">
        <v>0.14049302899999999</v>
      </c>
      <c r="U204">
        <v>36</v>
      </c>
    </row>
    <row r="205" spans="1:21" x14ac:dyDescent="0.25">
      <c r="A205">
        <v>204</v>
      </c>
      <c r="B205">
        <v>402</v>
      </c>
      <c r="C205" t="s">
        <v>26</v>
      </c>
      <c r="D205">
        <v>16</v>
      </c>
      <c r="E205" t="s">
        <v>27</v>
      </c>
      <c r="F205" t="s">
        <v>28</v>
      </c>
      <c r="G205">
        <v>8924.8401620000004</v>
      </c>
      <c r="H205">
        <v>87601535.340000004</v>
      </c>
      <c r="I205">
        <v>10266.28671</v>
      </c>
      <c r="J205">
        <v>77975721.099999994</v>
      </c>
      <c r="K205">
        <v>0.14721642700000001</v>
      </c>
      <c r="L205">
        <v>3.2557066000000003E-2</v>
      </c>
      <c r="M205">
        <v>-1.8578929000000001E-2</v>
      </c>
      <c r="N205">
        <v>2.3944639999999998E-3</v>
      </c>
      <c r="O205">
        <v>0.39340119299999998</v>
      </c>
      <c r="P205">
        <v>6.9387991999999996E-2</v>
      </c>
      <c r="Q205">
        <v>0.36939059000000002</v>
      </c>
      <c r="R205">
        <v>0.232941182</v>
      </c>
      <c r="S205">
        <v>0.64351527399999997</v>
      </c>
      <c r="T205">
        <v>0.229403366</v>
      </c>
      <c r="U205">
        <v>26</v>
      </c>
    </row>
    <row r="206" spans="1:21" x14ac:dyDescent="0.25">
      <c r="A206">
        <v>205</v>
      </c>
      <c r="B206">
        <v>403</v>
      </c>
      <c r="C206" t="s">
        <v>26</v>
      </c>
      <c r="D206">
        <v>16</v>
      </c>
      <c r="E206" t="s">
        <v>27</v>
      </c>
      <c r="F206" t="s">
        <v>28</v>
      </c>
      <c r="G206">
        <v>7155.5762139999997</v>
      </c>
      <c r="H206">
        <v>66054941.219999999</v>
      </c>
      <c r="I206">
        <v>12997.308069999999</v>
      </c>
      <c r="J206">
        <v>78745129.489999995</v>
      </c>
      <c r="K206">
        <v>9.8329121000000005E-2</v>
      </c>
      <c r="L206">
        <v>3.2357746E-2</v>
      </c>
      <c r="M206">
        <v>-3.0666901E-2</v>
      </c>
      <c r="N206">
        <v>2.5091409999999999E-3</v>
      </c>
      <c r="O206">
        <v>0.31921630699999998</v>
      </c>
      <c r="P206">
        <v>6.6714759999999998E-2</v>
      </c>
      <c r="Q206">
        <v>0.27255523999999998</v>
      </c>
      <c r="R206">
        <v>0.19826888100000001</v>
      </c>
      <c r="S206">
        <v>0.68802851399999998</v>
      </c>
      <c r="T206">
        <v>0.21464527799999999</v>
      </c>
      <c r="U206">
        <v>26</v>
      </c>
    </row>
    <row r="207" spans="1:21" x14ac:dyDescent="0.25">
      <c r="A207">
        <v>206</v>
      </c>
      <c r="B207">
        <v>404</v>
      </c>
      <c r="C207" t="s">
        <v>26</v>
      </c>
      <c r="D207">
        <v>16</v>
      </c>
      <c r="E207" t="s">
        <v>27</v>
      </c>
      <c r="F207" t="s">
        <v>28</v>
      </c>
      <c r="G207">
        <v>6938.4894789999998</v>
      </c>
      <c r="H207">
        <v>58252991.829999998</v>
      </c>
      <c r="I207">
        <v>12020.86205</v>
      </c>
      <c r="J207">
        <v>62708804.219999999</v>
      </c>
      <c r="K207">
        <v>0.10684787599999999</v>
      </c>
      <c r="L207">
        <v>2.4649197000000001E-2</v>
      </c>
      <c r="M207">
        <v>-2.6834462E-2</v>
      </c>
      <c r="N207">
        <v>2.254748E-3</v>
      </c>
      <c r="O207">
        <v>0.33011540499999997</v>
      </c>
      <c r="P207">
        <v>6.0131298E-2</v>
      </c>
      <c r="Q207">
        <v>0.270029674</v>
      </c>
      <c r="R207">
        <v>0.197113649</v>
      </c>
      <c r="S207">
        <v>0.80429267199999999</v>
      </c>
      <c r="T207">
        <v>0.15740597000000001</v>
      </c>
      <c r="U207">
        <v>31</v>
      </c>
    </row>
    <row r="208" spans="1:21" x14ac:dyDescent="0.25">
      <c r="A208">
        <v>207</v>
      </c>
      <c r="B208">
        <v>405</v>
      </c>
      <c r="C208" t="s">
        <v>26</v>
      </c>
      <c r="D208">
        <v>16</v>
      </c>
      <c r="E208" t="s">
        <v>27</v>
      </c>
      <c r="F208" t="s">
        <v>28</v>
      </c>
      <c r="G208">
        <v>7937.9201880000001</v>
      </c>
      <c r="H208">
        <v>85927030.930000007</v>
      </c>
      <c r="I208">
        <v>11912.014010000001</v>
      </c>
      <c r="J208">
        <v>77862710.530000001</v>
      </c>
      <c r="K208">
        <v>0.10584760999999999</v>
      </c>
      <c r="L208">
        <v>3.0085849000000001E-2</v>
      </c>
      <c r="M208">
        <v>-3.1235632999999999E-2</v>
      </c>
      <c r="N208">
        <v>1.8617900000000001E-3</v>
      </c>
      <c r="O208">
        <v>0.33396477000000002</v>
      </c>
      <c r="P208">
        <v>7.3581239000000007E-2</v>
      </c>
      <c r="Q208">
        <v>0.29304681799999999</v>
      </c>
      <c r="R208">
        <v>0.20717038099999999</v>
      </c>
      <c r="S208">
        <v>0.58311206800000004</v>
      </c>
      <c r="T208">
        <v>0.24309238399999999</v>
      </c>
      <c r="U208">
        <v>14</v>
      </c>
    </row>
    <row r="209" spans="1:21" x14ac:dyDescent="0.25">
      <c r="A209">
        <v>208</v>
      </c>
      <c r="B209">
        <v>406</v>
      </c>
      <c r="C209" t="s">
        <v>26</v>
      </c>
      <c r="D209">
        <v>16</v>
      </c>
      <c r="E209" t="s">
        <v>27</v>
      </c>
      <c r="F209" t="s">
        <v>28</v>
      </c>
      <c r="G209">
        <v>8162.5785290000003</v>
      </c>
      <c r="H209">
        <v>88239895</v>
      </c>
      <c r="I209">
        <v>10358.39869</v>
      </c>
      <c r="J209">
        <v>67836273.150000006</v>
      </c>
      <c r="K209">
        <v>0.13213750699999999</v>
      </c>
      <c r="L209">
        <v>2.8735086E-2</v>
      </c>
      <c r="M209">
        <v>-2.6238096999999998E-2</v>
      </c>
      <c r="N209">
        <v>2.1040329999999999E-3</v>
      </c>
      <c r="O209">
        <v>0.36278707399999999</v>
      </c>
      <c r="P209">
        <v>6.529749E-2</v>
      </c>
      <c r="Q209">
        <v>0.31388811599999999</v>
      </c>
      <c r="R209">
        <v>0.215362367</v>
      </c>
      <c r="S209">
        <v>0.88283698099999997</v>
      </c>
      <c r="T209">
        <v>0.103435846</v>
      </c>
      <c r="U209">
        <v>40</v>
      </c>
    </row>
    <row r="210" spans="1:21" x14ac:dyDescent="0.25">
      <c r="A210">
        <v>209</v>
      </c>
      <c r="B210">
        <v>407</v>
      </c>
      <c r="C210" t="s">
        <v>26</v>
      </c>
      <c r="D210">
        <v>16</v>
      </c>
      <c r="E210" t="s">
        <v>27</v>
      </c>
      <c r="F210" t="s">
        <v>28</v>
      </c>
      <c r="G210">
        <v>7692.2360939999999</v>
      </c>
      <c r="H210">
        <v>91900483.760000005</v>
      </c>
      <c r="I210">
        <v>11424.48028</v>
      </c>
      <c r="J210">
        <v>74887743.099999994</v>
      </c>
      <c r="K210">
        <v>0.101211649</v>
      </c>
      <c r="L210">
        <v>2.7340077000000001E-2</v>
      </c>
      <c r="M210">
        <v>-3.5648808999999997E-2</v>
      </c>
      <c r="N210">
        <v>2.1204399999999999E-3</v>
      </c>
      <c r="O210">
        <v>0.33388709700000002</v>
      </c>
      <c r="P210">
        <v>6.7410805000000004E-2</v>
      </c>
      <c r="Q210">
        <v>0.29430629000000003</v>
      </c>
      <c r="R210">
        <v>0.20769009799999999</v>
      </c>
      <c r="S210">
        <v>0.61969242700000005</v>
      </c>
      <c r="T210">
        <v>0.235673723</v>
      </c>
      <c r="U210">
        <v>15</v>
      </c>
    </row>
    <row r="211" spans="1:21" x14ac:dyDescent="0.25">
      <c r="A211">
        <v>210</v>
      </c>
      <c r="B211">
        <v>408</v>
      </c>
      <c r="C211" t="s">
        <v>26</v>
      </c>
      <c r="D211">
        <v>16</v>
      </c>
      <c r="E211" t="s">
        <v>27</v>
      </c>
      <c r="F211" t="s">
        <v>28</v>
      </c>
      <c r="G211">
        <v>6643.059201</v>
      </c>
      <c r="H211">
        <v>82117001.480000004</v>
      </c>
      <c r="I211">
        <v>11857.227650000001</v>
      </c>
      <c r="J211">
        <v>54602179.450000003</v>
      </c>
      <c r="K211">
        <v>8.0407220000000001E-2</v>
      </c>
      <c r="L211">
        <v>2.0428796999999999E-2</v>
      </c>
      <c r="M211">
        <v>-4.0915277999999999E-2</v>
      </c>
      <c r="N211">
        <v>2.268946E-3</v>
      </c>
      <c r="O211">
        <v>0.301371008</v>
      </c>
      <c r="P211">
        <v>5.4328357000000001E-2</v>
      </c>
      <c r="Q211">
        <v>0.244072136</v>
      </c>
      <c r="R211">
        <v>0.18450092900000001</v>
      </c>
      <c r="S211">
        <v>0.59151847099999999</v>
      </c>
      <c r="T211">
        <v>0.24162436900000001</v>
      </c>
      <c r="U211">
        <v>19</v>
      </c>
    </row>
    <row r="212" spans="1:21" x14ac:dyDescent="0.25">
      <c r="A212">
        <v>211</v>
      </c>
      <c r="B212">
        <v>409</v>
      </c>
      <c r="C212" t="s">
        <v>26</v>
      </c>
      <c r="D212">
        <v>16</v>
      </c>
      <c r="E212" t="s">
        <v>27</v>
      </c>
      <c r="F212" t="s">
        <v>28</v>
      </c>
      <c r="G212">
        <v>6498.6075330000003</v>
      </c>
      <c r="H212">
        <v>74052849.530000001</v>
      </c>
      <c r="I212">
        <v>10346.53642</v>
      </c>
      <c r="J212">
        <v>52932760.590000004</v>
      </c>
      <c r="K212">
        <v>0.12098842999999999</v>
      </c>
      <c r="L212">
        <v>2.4262187000000001E-2</v>
      </c>
      <c r="M212">
        <v>-2.7635778E-2</v>
      </c>
      <c r="N212">
        <v>2.7078340000000001E-3</v>
      </c>
      <c r="O212">
        <v>0.34158128999999998</v>
      </c>
      <c r="P212">
        <v>5.847405E-2</v>
      </c>
      <c r="Q212">
        <v>0.285921443</v>
      </c>
      <c r="R212">
        <v>0.20417037099999999</v>
      </c>
      <c r="S212">
        <v>0.71314573699999995</v>
      </c>
      <c r="T212">
        <v>0.204568895</v>
      </c>
      <c r="U212">
        <v>26</v>
      </c>
    </row>
    <row r="213" spans="1:21" x14ac:dyDescent="0.25">
      <c r="A213">
        <v>212</v>
      </c>
      <c r="B213">
        <v>301</v>
      </c>
      <c r="C213" t="s">
        <v>26</v>
      </c>
      <c r="D213">
        <v>16</v>
      </c>
      <c r="E213" t="s">
        <v>27</v>
      </c>
      <c r="F213" t="s">
        <v>28</v>
      </c>
      <c r="G213">
        <v>2788.9178109999998</v>
      </c>
      <c r="H213">
        <v>11273924.41</v>
      </c>
      <c r="I213">
        <v>14828.605589999999</v>
      </c>
      <c r="J213">
        <v>34807929.810000002</v>
      </c>
      <c r="K213">
        <v>5.0394028E-2</v>
      </c>
      <c r="L213">
        <v>1.9205686999999999E-2</v>
      </c>
      <c r="M213">
        <v>-3.8346554999999997E-2</v>
      </c>
      <c r="N213">
        <v>1.4329480000000001E-3</v>
      </c>
      <c r="O213">
        <v>0.23584006900000001</v>
      </c>
      <c r="P213">
        <v>3.3615817999999999E-2</v>
      </c>
      <c r="Q213">
        <v>0.133853944</v>
      </c>
      <c r="R213">
        <v>0.11593706600000001</v>
      </c>
      <c r="S213">
        <v>0.90167180199999997</v>
      </c>
      <c r="T213">
        <v>8.8659763000000003E-2</v>
      </c>
      <c r="U213">
        <v>39</v>
      </c>
    </row>
    <row r="214" spans="1:21" x14ac:dyDescent="0.25">
      <c r="A214">
        <v>213</v>
      </c>
      <c r="B214">
        <v>302</v>
      </c>
      <c r="C214" t="s">
        <v>26</v>
      </c>
      <c r="D214">
        <v>16</v>
      </c>
      <c r="E214" t="s">
        <v>27</v>
      </c>
      <c r="F214" t="s">
        <v>28</v>
      </c>
      <c r="G214">
        <v>3400.31351</v>
      </c>
      <c r="H214">
        <v>13197053.869999999</v>
      </c>
      <c r="I214">
        <v>13884.46753</v>
      </c>
      <c r="J214">
        <v>41111075</v>
      </c>
      <c r="K214">
        <v>7.0957345000000005E-2</v>
      </c>
      <c r="L214">
        <v>2.6677486E-2</v>
      </c>
      <c r="M214">
        <v>-3.2574394E-2</v>
      </c>
      <c r="N214">
        <v>1.815203E-3</v>
      </c>
      <c r="O214">
        <v>0.26275116300000001</v>
      </c>
      <c r="P214">
        <v>4.4386712000000002E-2</v>
      </c>
      <c r="Q214">
        <v>0.16484384499999999</v>
      </c>
      <c r="R214">
        <v>0.137670352</v>
      </c>
      <c r="S214">
        <v>0.76704352600000003</v>
      </c>
      <c r="T214">
        <v>0.178687755</v>
      </c>
      <c r="U214">
        <v>32</v>
      </c>
    </row>
    <row r="215" spans="1:21" x14ac:dyDescent="0.25">
      <c r="A215">
        <v>214</v>
      </c>
      <c r="B215">
        <v>303</v>
      </c>
      <c r="C215" t="s">
        <v>26</v>
      </c>
      <c r="D215">
        <v>16</v>
      </c>
      <c r="E215" t="s">
        <v>27</v>
      </c>
      <c r="F215" t="s">
        <v>28</v>
      </c>
      <c r="G215">
        <v>3232.0756280000001</v>
      </c>
      <c r="H215">
        <v>14240787.460000001</v>
      </c>
      <c r="I215">
        <v>14953.146049999999</v>
      </c>
      <c r="J215">
        <v>39862362.579999998</v>
      </c>
      <c r="K215">
        <v>4.7172349000000002E-2</v>
      </c>
      <c r="L215">
        <v>2.2493823999999999E-2</v>
      </c>
      <c r="M215">
        <v>-4.1116382999999999E-2</v>
      </c>
      <c r="N215">
        <v>1.703991E-3</v>
      </c>
      <c r="O215">
        <v>0.237382764</v>
      </c>
      <c r="P215">
        <v>3.9033331999999997E-2</v>
      </c>
      <c r="Q215">
        <v>0.14158498999999999</v>
      </c>
      <c r="R215">
        <v>0.121538681</v>
      </c>
      <c r="S215">
        <v>0.830643511</v>
      </c>
      <c r="T215">
        <v>0.14067486800000001</v>
      </c>
      <c r="U215">
        <v>37</v>
      </c>
    </row>
    <row r="216" spans="1:21" x14ac:dyDescent="0.25">
      <c r="A216">
        <v>215</v>
      </c>
      <c r="B216">
        <v>304</v>
      </c>
      <c r="C216" t="s">
        <v>26</v>
      </c>
      <c r="D216">
        <v>16</v>
      </c>
      <c r="E216" t="s">
        <v>27</v>
      </c>
      <c r="F216" t="s">
        <v>28</v>
      </c>
      <c r="G216">
        <v>2996.488844</v>
      </c>
      <c r="H216">
        <v>13969763.890000001</v>
      </c>
      <c r="I216">
        <v>15200.385920000001</v>
      </c>
      <c r="J216">
        <v>38815526.57</v>
      </c>
      <c r="K216">
        <v>3.9858432999999999E-2</v>
      </c>
      <c r="L216">
        <v>1.9718785999999999E-2</v>
      </c>
      <c r="M216">
        <v>-4.2742190999999999E-2</v>
      </c>
      <c r="N216">
        <v>1.5765009999999999E-3</v>
      </c>
      <c r="O216">
        <v>0.23185361199999999</v>
      </c>
      <c r="P216">
        <v>3.6409547E-2</v>
      </c>
      <c r="Q216">
        <v>0.144918821</v>
      </c>
      <c r="R216">
        <v>0.12391735700000001</v>
      </c>
      <c r="S216">
        <v>0.96044508299999998</v>
      </c>
      <c r="T216">
        <v>3.7990325999999998E-2</v>
      </c>
      <c r="U216">
        <v>60</v>
      </c>
    </row>
    <row r="217" spans="1:21" x14ac:dyDescent="0.25">
      <c r="A217">
        <v>216</v>
      </c>
      <c r="B217">
        <v>305</v>
      </c>
      <c r="C217" t="s">
        <v>26</v>
      </c>
      <c r="D217">
        <v>16</v>
      </c>
      <c r="E217" t="s">
        <v>27</v>
      </c>
      <c r="F217" t="s">
        <v>28</v>
      </c>
      <c r="G217">
        <v>3402.509446</v>
      </c>
      <c r="H217">
        <v>24462557.84</v>
      </c>
      <c r="I217">
        <v>14306.74244</v>
      </c>
      <c r="J217">
        <v>45142871.090000004</v>
      </c>
      <c r="K217">
        <v>5.2617975999999997E-2</v>
      </c>
      <c r="L217">
        <v>2.2553555999999999E-2</v>
      </c>
      <c r="M217">
        <v>-3.8888178000000002E-2</v>
      </c>
      <c r="N217">
        <v>1.477234E-3</v>
      </c>
      <c r="O217">
        <v>0.25125652900000001</v>
      </c>
      <c r="P217">
        <v>4.4863948000000001E-2</v>
      </c>
      <c r="Q217">
        <v>0.17247910899999999</v>
      </c>
      <c r="R217">
        <v>0.14273006599999999</v>
      </c>
      <c r="S217">
        <v>0.91242920900000002</v>
      </c>
      <c r="T217">
        <v>7.9902147000000007E-2</v>
      </c>
      <c r="U217">
        <v>47</v>
      </c>
    </row>
    <row r="218" spans="1:21" x14ac:dyDescent="0.25">
      <c r="A218">
        <v>217</v>
      </c>
      <c r="B218">
        <v>306</v>
      </c>
      <c r="C218" t="s">
        <v>26</v>
      </c>
      <c r="D218">
        <v>16</v>
      </c>
      <c r="E218" t="s">
        <v>27</v>
      </c>
      <c r="F218" t="s">
        <v>28</v>
      </c>
      <c r="G218">
        <v>3653.8737489999999</v>
      </c>
      <c r="H218">
        <v>31093952.07</v>
      </c>
      <c r="I218">
        <v>13705.91812</v>
      </c>
      <c r="J218">
        <v>40906424.210000001</v>
      </c>
      <c r="K218">
        <v>5.7043450000000002E-2</v>
      </c>
      <c r="L218">
        <v>2.1401409E-2</v>
      </c>
      <c r="M218">
        <v>-4.1556412000000001E-2</v>
      </c>
      <c r="N218">
        <v>1.4625459999999999E-3</v>
      </c>
      <c r="O218">
        <v>0.25938135400000001</v>
      </c>
      <c r="P218">
        <v>4.3325149E-2</v>
      </c>
      <c r="Q218">
        <v>0.17650005599999999</v>
      </c>
      <c r="R218">
        <v>0.14534778600000001</v>
      </c>
      <c r="S218">
        <v>0.85898141299999997</v>
      </c>
      <c r="T218">
        <v>0.121132345</v>
      </c>
      <c r="U218">
        <v>49</v>
      </c>
    </row>
    <row r="219" spans="1:21" x14ac:dyDescent="0.25">
      <c r="A219">
        <v>218</v>
      </c>
      <c r="B219">
        <v>307</v>
      </c>
      <c r="C219" t="s">
        <v>26</v>
      </c>
      <c r="D219">
        <v>16</v>
      </c>
      <c r="E219" t="s">
        <v>27</v>
      </c>
      <c r="F219" t="s">
        <v>28</v>
      </c>
      <c r="G219">
        <v>3219.4306900000001</v>
      </c>
      <c r="H219">
        <v>26346298.07</v>
      </c>
      <c r="I219">
        <v>13765.163339999999</v>
      </c>
      <c r="J219">
        <v>36073642.270000003</v>
      </c>
      <c r="K219">
        <v>3.8676345000000001E-2</v>
      </c>
      <c r="L219">
        <v>1.9091592000000001E-2</v>
      </c>
      <c r="M219">
        <v>-4.4907282999999999E-2</v>
      </c>
      <c r="N219">
        <v>1.6895899999999999E-3</v>
      </c>
      <c r="O219">
        <v>0.236539678</v>
      </c>
      <c r="P219">
        <v>3.8115824E-2</v>
      </c>
      <c r="Q219">
        <v>0.14027123599999999</v>
      </c>
      <c r="R219">
        <v>0.120595217</v>
      </c>
      <c r="S219">
        <v>0.85600887699999995</v>
      </c>
      <c r="T219">
        <v>0.12325767999999999</v>
      </c>
      <c r="U219">
        <v>44</v>
      </c>
    </row>
    <row r="220" spans="1:21" x14ac:dyDescent="0.25">
      <c r="A220">
        <v>219</v>
      </c>
      <c r="B220">
        <v>308</v>
      </c>
      <c r="C220" t="s">
        <v>26</v>
      </c>
      <c r="D220">
        <v>16</v>
      </c>
      <c r="E220" t="s">
        <v>27</v>
      </c>
      <c r="F220" t="s">
        <v>28</v>
      </c>
      <c r="G220">
        <v>3708.3111840000001</v>
      </c>
      <c r="H220">
        <v>40827206.560000002</v>
      </c>
      <c r="I220">
        <v>12440.94139</v>
      </c>
      <c r="J220">
        <v>43133150.619999997</v>
      </c>
      <c r="K220">
        <v>6.6520424999999994E-2</v>
      </c>
      <c r="L220">
        <v>2.1460845999999999E-2</v>
      </c>
      <c r="M220">
        <v>-4.0268455000000002E-2</v>
      </c>
      <c r="N220">
        <v>1.9863039999999999E-3</v>
      </c>
      <c r="O220">
        <v>0.27324821599999999</v>
      </c>
      <c r="P220">
        <v>4.6841659000000001E-2</v>
      </c>
      <c r="Q220">
        <v>0.18669635400000001</v>
      </c>
      <c r="R220">
        <v>0.15184082500000001</v>
      </c>
      <c r="S220">
        <v>0.65551967499999997</v>
      </c>
      <c r="T220">
        <v>0.22581363099999999</v>
      </c>
      <c r="U220">
        <v>21</v>
      </c>
    </row>
    <row r="221" spans="1:21" x14ac:dyDescent="0.25">
      <c r="A221">
        <v>220</v>
      </c>
      <c r="B221">
        <v>309</v>
      </c>
      <c r="C221" t="s">
        <v>26</v>
      </c>
      <c r="D221">
        <v>16</v>
      </c>
      <c r="E221" t="s">
        <v>27</v>
      </c>
      <c r="F221" t="s">
        <v>28</v>
      </c>
      <c r="G221">
        <v>3944.1556919999998</v>
      </c>
      <c r="H221">
        <v>38360033.68</v>
      </c>
      <c r="I221">
        <v>11768.319939999999</v>
      </c>
      <c r="J221">
        <v>41478252.579999998</v>
      </c>
      <c r="K221">
        <v>8.7280937000000003E-2</v>
      </c>
      <c r="L221">
        <v>2.1875735E-2</v>
      </c>
      <c r="M221">
        <v>-3.3949786000000003E-2</v>
      </c>
      <c r="N221">
        <v>1.9435089999999999E-3</v>
      </c>
      <c r="O221">
        <v>0.29350144900000003</v>
      </c>
      <c r="P221">
        <v>4.6804245000000001E-2</v>
      </c>
      <c r="Q221">
        <v>0.203928729</v>
      </c>
      <c r="R221">
        <v>0.16234180200000001</v>
      </c>
      <c r="S221">
        <v>0.80148282400000004</v>
      </c>
      <c r="T221">
        <v>0.159108107</v>
      </c>
      <c r="U221">
        <v>29</v>
      </c>
    </row>
    <row r="222" spans="1:21" x14ac:dyDescent="0.25">
      <c r="A222">
        <v>221</v>
      </c>
      <c r="B222">
        <v>201</v>
      </c>
      <c r="C222" t="s">
        <v>26</v>
      </c>
      <c r="D222">
        <v>16</v>
      </c>
      <c r="E222" t="s">
        <v>27</v>
      </c>
      <c r="F222" t="s">
        <v>28</v>
      </c>
      <c r="G222">
        <v>2538.2252020000001</v>
      </c>
      <c r="H222">
        <v>8596478.3910000008</v>
      </c>
      <c r="I222">
        <v>15927.76915</v>
      </c>
      <c r="J222">
        <v>23123092.48</v>
      </c>
      <c r="K222">
        <v>1.5983588E-2</v>
      </c>
      <c r="L222">
        <v>1.2627510999999999E-2</v>
      </c>
      <c r="M222">
        <v>-5.1996454999999997E-2</v>
      </c>
      <c r="N222">
        <v>1.012263E-3</v>
      </c>
      <c r="O222">
        <v>0.199363764</v>
      </c>
      <c r="P222">
        <v>2.0762079999999999E-2</v>
      </c>
      <c r="Q222">
        <v>7.1205607000000004E-2</v>
      </c>
      <c r="R222">
        <v>6.6135368E-2</v>
      </c>
      <c r="S222">
        <v>0.86805133700000003</v>
      </c>
      <c r="T222">
        <v>0.114538214</v>
      </c>
      <c r="U222">
        <v>42</v>
      </c>
    </row>
    <row r="223" spans="1:21" x14ac:dyDescent="0.25">
      <c r="A223">
        <v>222</v>
      </c>
      <c r="B223">
        <v>202</v>
      </c>
      <c r="C223" t="s">
        <v>26</v>
      </c>
      <c r="D223">
        <v>16</v>
      </c>
      <c r="E223" t="s">
        <v>27</v>
      </c>
      <c r="F223" t="s">
        <v>28</v>
      </c>
      <c r="G223">
        <v>3388.2667919999999</v>
      </c>
      <c r="H223">
        <v>12275357.539999999</v>
      </c>
      <c r="I223">
        <v>13572.677309999999</v>
      </c>
      <c r="J223">
        <v>35497389.07</v>
      </c>
      <c r="K223">
        <v>6.7008527999999998E-2</v>
      </c>
      <c r="L223">
        <v>2.5150529000000001E-2</v>
      </c>
      <c r="M223">
        <v>-3.5717388000000003E-2</v>
      </c>
      <c r="N223">
        <v>1.8240439999999999E-3</v>
      </c>
      <c r="O223">
        <v>0.26683873699999999</v>
      </c>
      <c r="P223">
        <v>3.9403306999999999E-2</v>
      </c>
      <c r="Q223">
        <v>0.15841232199999999</v>
      </c>
      <c r="R223">
        <v>0.13331785800000001</v>
      </c>
      <c r="S223">
        <v>0.90420968199999996</v>
      </c>
      <c r="T223">
        <v>8.6614532999999994E-2</v>
      </c>
      <c r="U223">
        <v>49</v>
      </c>
    </row>
    <row r="224" spans="1:21" x14ac:dyDescent="0.25">
      <c r="A224">
        <v>223</v>
      </c>
      <c r="B224">
        <v>203</v>
      </c>
      <c r="C224" t="s">
        <v>26</v>
      </c>
      <c r="D224">
        <v>16</v>
      </c>
      <c r="E224" t="s">
        <v>27</v>
      </c>
      <c r="F224" t="s">
        <v>28</v>
      </c>
      <c r="G224">
        <v>3235.5829779999999</v>
      </c>
      <c r="H224">
        <v>12382447.27</v>
      </c>
      <c r="I224">
        <v>15092.784149999999</v>
      </c>
      <c r="J224">
        <v>33022698.539999999</v>
      </c>
      <c r="K224">
        <v>4.4572607E-2</v>
      </c>
      <c r="L224">
        <v>2.0916994000000001E-2</v>
      </c>
      <c r="M224">
        <v>-4.1251573999999999E-2</v>
      </c>
      <c r="N224">
        <v>1.62754E-3</v>
      </c>
      <c r="O224">
        <v>0.242771617</v>
      </c>
      <c r="P224">
        <v>3.4196170999999997E-2</v>
      </c>
      <c r="Q224">
        <v>0.12665627400000001</v>
      </c>
      <c r="R224">
        <v>0.110614463</v>
      </c>
      <c r="S224">
        <v>0.79124309299999995</v>
      </c>
      <c r="T224">
        <v>0.165177461</v>
      </c>
      <c r="U224">
        <v>39</v>
      </c>
    </row>
    <row r="225" spans="1:21" x14ac:dyDescent="0.25">
      <c r="A225">
        <v>224</v>
      </c>
      <c r="B225">
        <v>204</v>
      </c>
      <c r="C225" t="s">
        <v>26</v>
      </c>
      <c r="D225">
        <v>16</v>
      </c>
      <c r="E225" t="s">
        <v>27</v>
      </c>
      <c r="F225" t="s">
        <v>28</v>
      </c>
      <c r="G225">
        <v>3321.326814</v>
      </c>
      <c r="H225">
        <v>12684500.050000001</v>
      </c>
      <c r="I225">
        <v>14585.961020000001</v>
      </c>
      <c r="J225">
        <v>41785965.009999998</v>
      </c>
      <c r="K225">
        <v>5.5740743000000002E-2</v>
      </c>
      <c r="L225">
        <v>2.5011562000000001E-2</v>
      </c>
      <c r="M225">
        <v>-3.7848819999999998E-2</v>
      </c>
      <c r="N225">
        <v>1.7152929999999999E-3</v>
      </c>
      <c r="O225">
        <v>0.255998701</v>
      </c>
      <c r="P225">
        <v>3.9825816E-2</v>
      </c>
      <c r="Q225">
        <v>0.153488657</v>
      </c>
      <c r="R225">
        <v>0.12992988899999999</v>
      </c>
      <c r="S225">
        <v>0.70197552600000002</v>
      </c>
      <c r="T225">
        <v>0.20920588700000001</v>
      </c>
      <c r="U225">
        <v>32</v>
      </c>
    </row>
    <row r="226" spans="1:21" x14ac:dyDescent="0.25">
      <c r="A226">
        <v>225</v>
      </c>
      <c r="B226">
        <v>205</v>
      </c>
      <c r="C226" t="s">
        <v>26</v>
      </c>
      <c r="D226">
        <v>16</v>
      </c>
      <c r="E226" t="s">
        <v>27</v>
      </c>
      <c r="F226" t="s">
        <v>28</v>
      </c>
      <c r="G226">
        <v>3142.8506739999998</v>
      </c>
      <c r="H226">
        <v>12291282</v>
      </c>
      <c r="I226">
        <v>14810.753790000001</v>
      </c>
      <c r="J226">
        <v>35749126.899999999</v>
      </c>
      <c r="K226">
        <v>4.3687942E-2</v>
      </c>
      <c r="L226">
        <v>1.9299831999999999E-2</v>
      </c>
      <c r="M226">
        <v>-3.7704251000000001E-2</v>
      </c>
      <c r="N226">
        <v>1.288371E-3</v>
      </c>
      <c r="O226">
        <v>0.23996559200000001</v>
      </c>
      <c r="P226">
        <v>3.2934961999999998E-2</v>
      </c>
      <c r="Q226">
        <v>0.12107623300000001</v>
      </c>
      <c r="R226">
        <v>0.106416779</v>
      </c>
      <c r="S226">
        <v>0.84432067099999997</v>
      </c>
      <c r="T226">
        <v>0.131443276</v>
      </c>
      <c r="U226">
        <v>47</v>
      </c>
    </row>
    <row r="227" spans="1:21" x14ac:dyDescent="0.25">
      <c r="A227">
        <v>226</v>
      </c>
      <c r="B227">
        <v>206</v>
      </c>
      <c r="C227" t="s">
        <v>26</v>
      </c>
      <c r="D227">
        <v>16</v>
      </c>
      <c r="E227" t="s">
        <v>27</v>
      </c>
      <c r="F227" t="s">
        <v>28</v>
      </c>
      <c r="G227">
        <v>3277.77529</v>
      </c>
      <c r="H227">
        <v>17608227.289999999</v>
      </c>
      <c r="I227">
        <v>14206.57728</v>
      </c>
      <c r="J227">
        <v>31383502.890000001</v>
      </c>
      <c r="K227">
        <v>5.0933552999999999E-2</v>
      </c>
      <c r="L227">
        <v>1.9034036000000001E-2</v>
      </c>
      <c r="M227">
        <v>-3.8984261999999999E-2</v>
      </c>
      <c r="N227">
        <v>1.3588929999999999E-3</v>
      </c>
      <c r="O227">
        <v>0.25168664899999998</v>
      </c>
      <c r="P227">
        <v>3.3119003000000001E-2</v>
      </c>
      <c r="Q227">
        <v>0.130676759</v>
      </c>
      <c r="R227">
        <v>0.11360034300000001</v>
      </c>
      <c r="S227">
        <v>0.90260850800000003</v>
      </c>
      <c r="T227">
        <v>8.7906389000000001E-2</v>
      </c>
      <c r="U227">
        <v>42</v>
      </c>
    </row>
    <row r="228" spans="1:21" x14ac:dyDescent="0.25">
      <c r="A228">
        <v>227</v>
      </c>
      <c r="B228">
        <v>207</v>
      </c>
      <c r="C228" t="s">
        <v>26</v>
      </c>
      <c r="D228">
        <v>16</v>
      </c>
      <c r="E228" t="s">
        <v>27</v>
      </c>
      <c r="F228" t="s">
        <v>28</v>
      </c>
      <c r="G228">
        <v>2827.4005929999998</v>
      </c>
      <c r="H228">
        <v>15155160.699999999</v>
      </c>
      <c r="I228">
        <v>13927.202370000001</v>
      </c>
      <c r="J228">
        <v>31378543.52</v>
      </c>
      <c r="K228">
        <v>5.4980813000000003E-2</v>
      </c>
      <c r="L228">
        <v>1.8309829999999999E-2</v>
      </c>
      <c r="M228">
        <v>-3.7977834000000002E-2</v>
      </c>
      <c r="N228">
        <v>1.5351270000000001E-3</v>
      </c>
      <c r="O228">
        <v>0.25453589199999999</v>
      </c>
      <c r="P228">
        <v>3.1760472999999997E-2</v>
      </c>
      <c r="Q228">
        <v>0.132448803</v>
      </c>
      <c r="R228">
        <v>0.114906118</v>
      </c>
      <c r="S228">
        <v>0.87196747100000005</v>
      </c>
      <c r="T228">
        <v>0.11164019999999999</v>
      </c>
      <c r="U228">
        <v>51</v>
      </c>
    </row>
    <row r="229" spans="1:21" x14ac:dyDescent="0.25">
      <c r="A229">
        <v>228</v>
      </c>
      <c r="B229">
        <v>208</v>
      </c>
      <c r="C229" t="s">
        <v>26</v>
      </c>
      <c r="D229">
        <v>16</v>
      </c>
      <c r="E229" t="s">
        <v>27</v>
      </c>
      <c r="F229" t="s">
        <v>28</v>
      </c>
      <c r="G229">
        <v>3261.6363160000001</v>
      </c>
      <c r="H229">
        <v>27438003.239999998</v>
      </c>
      <c r="I229">
        <v>12612.76066</v>
      </c>
      <c r="J229">
        <v>41352277.380000003</v>
      </c>
      <c r="K229">
        <v>8.1566299999999994E-2</v>
      </c>
      <c r="L229">
        <v>2.1939752999999999E-2</v>
      </c>
      <c r="M229">
        <v>-3.0680783999999999E-2</v>
      </c>
      <c r="N229">
        <v>1.7281180000000001E-3</v>
      </c>
      <c r="O229">
        <v>0.29098186700000001</v>
      </c>
      <c r="P229">
        <v>4.3551723000000001E-2</v>
      </c>
      <c r="Q229">
        <v>0.17891925</v>
      </c>
      <c r="R229">
        <v>0.14690715200000001</v>
      </c>
      <c r="S229">
        <v>0.41469540100000002</v>
      </c>
      <c r="T229">
        <v>0.24272312500000001</v>
      </c>
      <c r="U229">
        <v>11</v>
      </c>
    </row>
    <row r="230" spans="1:21" x14ac:dyDescent="0.25">
      <c r="A230">
        <v>229</v>
      </c>
      <c r="B230">
        <v>209</v>
      </c>
      <c r="C230" t="s">
        <v>26</v>
      </c>
      <c r="D230">
        <v>16</v>
      </c>
      <c r="E230" t="s">
        <v>27</v>
      </c>
      <c r="F230" t="s">
        <v>28</v>
      </c>
      <c r="G230">
        <v>3598.0274519999998</v>
      </c>
      <c r="H230">
        <v>33578932.130000003</v>
      </c>
      <c r="I230">
        <v>11808.557199999999</v>
      </c>
      <c r="J230">
        <v>41905571.799999997</v>
      </c>
      <c r="K230">
        <v>0.109533491</v>
      </c>
      <c r="L230">
        <v>2.1702734000000001E-2</v>
      </c>
      <c r="M230">
        <v>-2.1444405E-2</v>
      </c>
      <c r="N230">
        <v>1.9260670000000001E-3</v>
      </c>
      <c r="O230">
        <v>0.31906305800000001</v>
      </c>
      <c r="P230">
        <v>4.5352193999999998E-2</v>
      </c>
      <c r="Q230">
        <v>0.20611998200000001</v>
      </c>
      <c r="R230">
        <v>0.163634535</v>
      </c>
      <c r="S230">
        <v>0.68143722399999995</v>
      </c>
      <c r="T230">
        <v>0.21708053399999999</v>
      </c>
      <c r="U230">
        <v>26</v>
      </c>
    </row>
    <row r="231" spans="1:21" x14ac:dyDescent="0.25">
      <c r="A231">
        <v>230</v>
      </c>
      <c r="B231">
        <v>101</v>
      </c>
      <c r="C231" t="s">
        <v>26</v>
      </c>
      <c r="D231">
        <v>16</v>
      </c>
      <c r="E231" t="s">
        <v>27</v>
      </c>
      <c r="F231" t="s">
        <v>28</v>
      </c>
      <c r="G231">
        <v>2237.064558</v>
      </c>
      <c r="H231">
        <v>2010525.824</v>
      </c>
      <c r="I231">
        <v>15341.385109999999</v>
      </c>
      <c r="J231">
        <v>13184724.619999999</v>
      </c>
      <c r="K231">
        <v>-1.483517E-3</v>
      </c>
      <c r="L231">
        <v>8.4380400000000008E-3</v>
      </c>
      <c r="M231">
        <v>-5.6901327000000002E-2</v>
      </c>
      <c r="N231">
        <v>7.2005799999999998E-4</v>
      </c>
      <c r="O231">
        <v>0.188043776</v>
      </c>
      <c r="P231">
        <v>1.1763528000000001E-2</v>
      </c>
      <c r="Q231">
        <v>4.1515943999999999E-2</v>
      </c>
      <c r="R231">
        <v>3.9792371E-2</v>
      </c>
      <c r="S231">
        <v>0.69133337399999994</v>
      </c>
      <c r="T231">
        <v>0.21339153999999999</v>
      </c>
      <c r="U231">
        <v>54</v>
      </c>
    </row>
    <row r="232" spans="1:21" x14ac:dyDescent="0.25">
      <c r="A232">
        <v>231</v>
      </c>
      <c r="B232">
        <v>102</v>
      </c>
      <c r="C232" t="s">
        <v>26</v>
      </c>
      <c r="D232">
        <v>16</v>
      </c>
      <c r="E232" t="s">
        <v>27</v>
      </c>
      <c r="F232" t="s">
        <v>28</v>
      </c>
      <c r="G232">
        <v>3071.2060649999999</v>
      </c>
      <c r="H232">
        <v>9452915.4440000001</v>
      </c>
      <c r="I232">
        <v>13478.791219999999</v>
      </c>
      <c r="J232">
        <v>28794478.870000001</v>
      </c>
      <c r="K232">
        <v>2.8991398000000002E-2</v>
      </c>
      <c r="L232">
        <v>2.0384251999999999E-2</v>
      </c>
      <c r="M232">
        <v>-4.7902678999999997E-2</v>
      </c>
      <c r="N232">
        <v>1.458193E-3</v>
      </c>
      <c r="O232">
        <v>0.234549911</v>
      </c>
      <c r="P232">
        <v>3.1536069999999999E-2</v>
      </c>
      <c r="Q232">
        <v>0.11808749</v>
      </c>
      <c r="R232">
        <v>0.104142834</v>
      </c>
      <c r="S232">
        <v>0.85877524100000002</v>
      </c>
      <c r="T232">
        <v>0.12128032599999999</v>
      </c>
      <c r="U232">
        <v>38</v>
      </c>
    </row>
    <row r="233" spans="1:21" x14ac:dyDescent="0.25">
      <c r="A233">
        <v>232</v>
      </c>
      <c r="B233">
        <v>103</v>
      </c>
      <c r="C233" t="s">
        <v>26</v>
      </c>
      <c r="D233">
        <v>16</v>
      </c>
      <c r="E233" t="s">
        <v>27</v>
      </c>
      <c r="F233" t="s">
        <v>28</v>
      </c>
      <c r="G233">
        <v>2799.2230009999998</v>
      </c>
      <c r="H233">
        <v>9958454.2899999991</v>
      </c>
      <c r="I233">
        <v>15040.16584</v>
      </c>
      <c r="J233">
        <v>22947141.91</v>
      </c>
      <c r="K233">
        <v>4.8961589999999998E-3</v>
      </c>
      <c r="L233">
        <v>1.4698325E-2</v>
      </c>
      <c r="M233">
        <v>-5.2198748000000003E-2</v>
      </c>
      <c r="N233">
        <v>1.2116099999999999E-3</v>
      </c>
      <c r="O233">
        <v>0.204974199</v>
      </c>
      <c r="P233">
        <v>2.3535914000000002E-2</v>
      </c>
      <c r="Q233">
        <v>7.8297162000000003E-2</v>
      </c>
      <c r="R233">
        <v>7.2166716000000006E-2</v>
      </c>
      <c r="S233">
        <v>0.729759143</v>
      </c>
      <c r="T233">
        <v>0.197210736</v>
      </c>
      <c r="U233">
        <v>22</v>
      </c>
    </row>
    <row r="234" spans="1:21" x14ac:dyDescent="0.25">
      <c r="A234">
        <v>233</v>
      </c>
      <c r="B234">
        <v>104</v>
      </c>
      <c r="C234" t="s">
        <v>26</v>
      </c>
      <c r="D234">
        <v>16</v>
      </c>
      <c r="E234" t="s">
        <v>27</v>
      </c>
      <c r="F234" t="s">
        <v>28</v>
      </c>
      <c r="G234">
        <v>2633.1994129999998</v>
      </c>
      <c r="H234">
        <v>5117837.1950000003</v>
      </c>
      <c r="I234">
        <v>15355.69867</v>
      </c>
      <c r="J234">
        <v>21199046.890000001</v>
      </c>
      <c r="K234">
        <v>1.3939798999999999E-2</v>
      </c>
      <c r="L234">
        <v>1.2460374E-2</v>
      </c>
      <c r="M234">
        <v>-4.7836792000000003E-2</v>
      </c>
      <c r="N234">
        <v>1.1204279999999999E-3</v>
      </c>
      <c r="O234">
        <v>0.209562416</v>
      </c>
      <c r="P234">
        <v>1.9852252000000001E-2</v>
      </c>
      <c r="Q234">
        <v>7.2451558999999999E-2</v>
      </c>
      <c r="R234">
        <v>6.7202330000000005E-2</v>
      </c>
      <c r="S234">
        <v>0.87108076999999995</v>
      </c>
      <c r="T234">
        <v>0.11229906200000001</v>
      </c>
      <c r="U234">
        <v>42</v>
      </c>
    </row>
    <row r="235" spans="1:21" x14ac:dyDescent="0.25">
      <c r="A235">
        <v>234</v>
      </c>
      <c r="B235">
        <v>105</v>
      </c>
      <c r="C235" t="s">
        <v>26</v>
      </c>
      <c r="D235">
        <v>16</v>
      </c>
      <c r="E235" t="s">
        <v>27</v>
      </c>
      <c r="F235" t="s">
        <v>28</v>
      </c>
      <c r="G235">
        <v>3280.3467900000001</v>
      </c>
      <c r="H235">
        <v>10823110.26</v>
      </c>
      <c r="I235">
        <v>14253.212799999999</v>
      </c>
      <c r="J235">
        <v>33341431.809999999</v>
      </c>
      <c r="K235">
        <v>4.6245949000000001E-2</v>
      </c>
      <c r="L235">
        <v>2.0641049000000002E-2</v>
      </c>
      <c r="M235">
        <v>-3.9782344999999997E-2</v>
      </c>
      <c r="N235">
        <v>1.326951E-3</v>
      </c>
      <c r="O235">
        <v>0.25077971999999998</v>
      </c>
      <c r="P235">
        <v>3.5927204999999997E-2</v>
      </c>
      <c r="Q235">
        <v>0.133398981</v>
      </c>
      <c r="R235">
        <v>0.11560369299999999</v>
      </c>
      <c r="S235">
        <v>0.75178920400000004</v>
      </c>
      <c r="T235">
        <v>0.186602197</v>
      </c>
      <c r="U235">
        <v>26</v>
      </c>
    </row>
    <row r="236" spans="1:21" x14ac:dyDescent="0.25">
      <c r="A236">
        <v>235</v>
      </c>
      <c r="B236">
        <v>106</v>
      </c>
      <c r="C236" t="s">
        <v>26</v>
      </c>
      <c r="D236">
        <v>16</v>
      </c>
      <c r="E236" t="s">
        <v>27</v>
      </c>
      <c r="F236" t="s">
        <v>28</v>
      </c>
      <c r="G236">
        <v>2935.386242</v>
      </c>
      <c r="H236">
        <v>10525461.42</v>
      </c>
      <c r="I236">
        <v>13881.386039999999</v>
      </c>
      <c r="J236">
        <v>27463243.530000001</v>
      </c>
      <c r="K236">
        <v>6.4135285E-2</v>
      </c>
      <c r="L236">
        <v>1.9313956E-2</v>
      </c>
      <c r="M236">
        <v>-3.2840342000000002E-2</v>
      </c>
      <c r="N236">
        <v>1.771637E-3</v>
      </c>
      <c r="O236">
        <v>0.26174586100000002</v>
      </c>
      <c r="P236">
        <v>2.989988E-2</v>
      </c>
      <c r="Q236">
        <v>0.12911124700000001</v>
      </c>
      <c r="R236">
        <v>0.112441533</v>
      </c>
      <c r="S236">
        <v>0.90494701300000002</v>
      </c>
      <c r="T236">
        <v>8.6017916E-2</v>
      </c>
      <c r="U236">
        <v>68</v>
      </c>
    </row>
    <row r="237" spans="1:21" x14ac:dyDescent="0.25">
      <c r="A237">
        <v>236</v>
      </c>
      <c r="B237">
        <v>107</v>
      </c>
      <c r="C237" t="s">
        <v>26</v>
      </c>
      <c r="D237">
        <v>16</v>
      </c>
      <c r="E237" t="s">
        <v>27</v>
      </c>
      <c r="F237" t="s">
        <v>28</v>
      </c>
      <c r="G237">
        <v>2725.3208749999999</v>
      </c>
      <c r="H237">
        <v>7875967.0199999996</v>
      </c>
      <c r="I237">
        <v>14289.07185</v>
      </c>
      <c r="J237">
        <v>21834668.030000001</v>
      </c>
      <c r="K237">
        <v>4.2431397000000003E-2</v>
      </c>
      <c r="L237">
        <v>1.3420270999999999E-2</v>
      </c>
      <c r="M237">
        <v>-4.0386868999999999E-2</v>
      </c>
      <c r="N237">
        <v>1.2224499999999999E-3</v>
      </c>
      <c r="O237">
        <v>0.23588382299999999</v>
      </c>
      <c r="P237">
        <v>2.2012492000000002E-2</v>
      </c>
      <c r="Q237">
        <v>9.3221282000000003E-2</v>
      </c>
      <c r="R237">
        <v>8.4531074999999997E-2</v>
      </c>
      <c r="S237">
        <v>0.93588547600000005</v>
      </c>
      <c r="T237">
        <v>6.0003850999999997E-2</v>
      </c>
      <c r="U237">
        <v>67</v>
      </c>
    </row>
    <row r="238" spans="1:21" x14ac:dyDescent="0.25">
      <c r="A238">
        <v>237</v>
      </c>
      <c r="B238">
        <v>108</v>
      </c>
      <c r="C238" t="s">
        <v>26</v>
      </c>
      <c r="D238">
        <v>16</v>
      </c>
      <c r="E238" t="s">
        <v>27</v>
      </c>
      <c r="F238" t="s">
        <v>28</v>
      </c>
      <c r="G238">
        <v>3012.7758520000002</v>
      </c>
      <c r="H238">
        <v>15786401.35</v>
      </c>
      <c r="I238">
        <v>12913.098470000001</v>
      </c>
      <c r="J238">
        <v>31092797.359999999</v>
      </c>
      <c r="K238">
        <v>7.1900807999999997E-2</v>
      </c>
      <c r="L238">
        <v>1.7422657000000001E-2</v>
      </c>
      <c r="M238">
        <v>-3.1506310000000003E-2</v>
      </c>
      <c r="N238">
        <v>1.5495649999999999E-3</v>
      </c>
      <c r="O238">
        <v>0.27130211199999998</v>
      </c>
      <c r="P238">
        <v>3.2740765999999998E-2</v>
      </c>
      <c r="Q238">
        <v>0.13419792899999999</v>
      </c>
      <c r="R238">
        <v>0.116188845</v>
      </c>
      <c r="S238">
        <v>0.68533157899999997</v>
      </c>
      <c r="T238">
        <v>0.21565220600000001</v>
      </c>
      <c r="U238">
        <v>23</v>
      </c>
    </row>
    <row r="239" spans="1:21" x14ac:dyDescent="0.25">
      <c r="A239">
        <v>238</v>
      </c>
      <c r="B239">
        <v>109</v>
      </c>
      <c r="C239" t="s">
        <v>26</v>
      </c>
      <c r="D239">
        <v>16</v>
      </c>
      <c r="E239" t="s">
        <v>27</v>
      </c>
      <c r="F239" t="s">
        <v>28</v>
      </c>
      <c r="G239">
        <v>2671.4481689999998</v>
      </c>
      <c r="H239">
        <v>10188182.65</v>
      </c>
      <c r="I239">
        <v>13428.997789999999</v>
      </c>
      <c r="J239">
        <v>26946940.190000001</v>
      </c>
      <c r="K239">
        <v>7.3449416000000003E-2</v>
      </c>
      <c r="L239">
        <v>1.5342569E-2</v>
      </c>
      <c r="M239">
        <v>-2.9254909999999999E-2</v>
      </c>
      <c r="N239">
        <v>1.526346E-3</v>
      </c>
      <c r="O239">
        <v>0.26477777200000002</v>
      </c>
      <c r="P239">
        <v>2.6019189000000002E-2</v>
      </c>
      <c r="Q239">
        <v>0.111208663</v>
      </c>
      <c r="R239">
        <v>9.8841295999999995E-2</v>
      </c>
      <c r="S239">
        <v>0.90067666099999999</v>
      </c>
      <c r="T239">
        <v>8.9458212999999995E-2</v>
      </c>
      <c r="U239">
        <v>40</v>
      </c>
    </row>
    <row r="240" spans="1:21" x14ac:dyDescent="0.25">
      <c r="A240">
        <v>239</v>
      </c>
      <c r="B240">
        <v>55555</v>
      </c>
      <c r="C240" t="s">
        <v>26</v>
      </c>
      <c r="D240">
        <v>16</v>
      </c>
      <c r="E240" t="s">
        <v>27</v>
      </c>
      <c r="F240" t="s">
        <v>28</v>
      </c>
      <c r="G240">
        <v>215.9287952</v>
      </c>
      <c r="H240">
        <v>3435187.7480000001</v>
      </c>
      <c r="I240">
        <v>15598.423580000001</v>
      </c>
      <c r="J240">
        <v>46256068.350000001</v>
      </c>
      <c r="K240">
        <v>-7.2358908999999999E-2</v>
      </c>
      <c r="L240">
        <v>3.7528238999999998E-2</v>
      </c>
      <c r="M240">
        <v>-3.8617725999999998E-2</v>
      </c>
      <c r="N240">
        <v>8.7171430000000001E-3</v>
      </c>
      <c r="O240">
        <v>0.166702669</v>
      </c>
      <c r="P240">
        <v>2.4198134E-2</v>
      </c>
      <c r="Q240">
        <v>1.062417E-2</v>
      </c>
      <c r="R240">
        <v>1.0511296999999999E-2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16</v>
      </c>
      <c r="E241" t="s">
        <v>27</v>
      </c>
      <c r="F241" t="s">
        <v>28</v>
      </c>
      <c r="G241">
        <v>485.9167132</v>
      </c>
      <c r="H241">
        <v>1636130.385</v>
      </c>
      <c r="I241">
        <v>15081.27679</v>
      </c>
      <c r="J241">
        <v>55169251.289999999</v>
      </c>
      <c r="K241">
        <v>-6.0341888000000003E-2</v>
      </c>
      <c r="L241">
        <v>3.3362045E-2</v>
      </c>
      <c r="M241">
        <v>-3.5900225000000001E-2</v>
      </c>
      <c r="N241">
        <v>1.0009580000000001E-2</v>
      </c>
      <c r="O241">
        <v>0.18159625200000001</v>
      </c>
      <c r="P241">
        <v>1.9930719999999999E-2</v>
      </c>
      <c r="Q241">
        <v>0</v>
      </c>
      <c r="R241">
        <v>0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FB16-5AD9-489B-9B28-A328103159D6}">
  <dimension ref="A1:U241"/>
  <sheetViews>
    <sheetView workbookViewId="0">
      <selection activeCell="D2" sqref="D2:D241"/>
    </sheetView>
  </sheetViews>
  <sheetFormatPr defaultRowHeight="15" x14ac:dyDescent="0.25"/>
  <cols>
    <col min="5" max="5" width="18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96</v>
      </c>
      <c r="U1" t="s">
        <v>97</v>
      </c>
    </row>
    <row r="2" spans="1:21" x14ac:dyDescent="0.25">
      <c r="A2">
        <v>1</v>
      </c>
      <c r="B2">
        <v>101</v>
      </c>
      <c r="C2" t="s">
        <v>20</v>
      </c>
      <c r="D2">
        <v>23</v>
      </c>
      <c r="E2" t="s">
        <v>21</v>
      </c>
      <c r="F2" t="s">
        <v>22</v>
      </c>
      <c r="G2">
        <v>16744.396739780401</v>
      </c>
      <c r="H2">
        <v>311624345.092614</v>
      </c>
      <c r="I2">
        <v>7226.3209074078804</v>
      </c>
      <c r="J2">
        <v>103718700.285795</v>
      </c>
      <c r="K2">
        <v>0.57557811179761298</v>
      </c>
      <c r="L2">
        <v>8.4626579369330296E-3</v>
      </c>
      <c r="M2">
        <v>0.15874787415948</v>
      </c>
      <c r="N2">
        <v>1.9811587880831901E-3</v>
      </c>
      <c r="O2">
        <v>0.48158203171717701</v>
      </c>
      <c r="P2">
        <v>0.24966077844417001</v>
      </c>
      <c r="Q2">
        <v>0.63995072241890705</v>
      </c>
      <c r="R2">
        <v>0.230413795294485</v>
      </c>
      <c r="S2">
        <v>42</v>
      </c>
      <c r="T2">
        <v>0.55285267055453102</v>
      </c>
      <c r="U2">
        <v>5.2296971810153199E-2</v>
      </c>
    </row>
    <row r="3" spans="1:21" x14ac:dyDescent="0.25">
      <c r="A3">
        <v>2</v>
      </c>
      <c r="B3">
        <v>102</v>
      </c>
      <c r="C3" t="s">
        <v>20</v>
      </c>
      <c r="D3">
        <v>23</v>
      </c>
      <c r="E3" t="s">
        <v>21</v>
      </c>
      <c r="F3" t="s">
        <v>22</v>
      </c>
      <c r="G3">
        <v>15932.695077026099</v>
      </c>
      <c r="H3">
        <v>334093233.12171602</v>
      </c>
      <c r="I3">
        <v>9268.6983034376208</v>
      </c>
      <c r="J3">
        <v>79922752.202002302</v>
      </c>
      <c r="K3">
        <v>0.55808192921734501</v>
      </c>
      <c r="L3">
        <v>6.2948227909549199E-3</v>
      </c>
      <c r="M3">
        <v>0.154817941423219</v>
      </c>
      <c r="N3">
        <v>2.2593593701977599E-3</v>
      </c>
      <c r="O3">
        <v>0.43882164386183098</v>
      </c>
      <c r="P3">
        <v>0.24625720874000201</v>
      </c>
      <c r="Q3">
        <v>0.58490814276145797</v>
      </c>
      <c r="R3">
        <v>0.24279060729278901</v>
      </c>
      <c r="S3">
        <v>48</v>
      </c>
      <c r="T3">
        <v>0.52049475743651596</v>
      </c>
      <c r="U3">
        <v>4.6103953010912899E-2</v>
      </c>
    </row>
    <row r="4" spans="1:21" x14ac:dyDescent="0.25">
      <c r="A4">
        <v>3</v>
      </c>
      <c r="B4">
        <v>103</v>
      </c>
      <c r="C4" t="s">
        <v>20</v>
      </c>
      <c r="D4">
        <v>23</v>
      </c>
      <c r="E4" t="s">
        <v>21</v>
      </c>
      <c r="F4" t="s">
        <v>22</v>
      </c>
      <c r="G4">
        <v>15157.850900489701</v>
      </c>
      <c r="H4">
        <v>311022721.04312497</v>
      </c>
      <c r="I4">
        <v>9502.2903590456608</v>
      </c>
      <c r="J4">
        <v>76931432.492298797</v>
      </c>
      <c r="K4">
        <v>0.547869327723985</v>
      </c>
      <c r="L4">
        <v>6.0968941785551796E-3</v>
      </c>
      <c r="M4">
        <v>0.151031668269547</v>
      </c>
      <c r="N4">
        <v>1.84141847754823E-3</v>
      </c>
      <c r="O4">
        <v>0.42559548510249801</v>
      </c>
      <c r="P4">
        <v>0.24446396816304999</v>
      </c>
      <c r="Q4">
        <v>0.72631214992047599</v>
      </c>
      <c r="R4">
        <v>0.198782810798383</v>
      </c>
      <c r="S4">
        <v>39</v>
      </c>
      <c r="T4">
        <v>0.52063394895227799</v>
      </c>
      <c r="U4">
        <v>4.2616688098729497E-2</v>
      </c>
    </row>
    <row r="5" spans="1:21" x14ac:dyDescent="0.25">
      <c r="A5">
        <v>4</v>
      </c>
      <c r="B5">
        <v>104</v>
      </c>
      <c r="C5" t="s">
        <v>20</v>
      </c>
      <c r="D5">
        <v>23</v>
      </c>
      <c r="E5" t="s">
        <v>21</v>
      </c>
      <c r="F5" t="s">
        <v>22</v>
      </c>
      <c r="G5">
        <v>17782.228975120099</v>
      </c>
      <c r="H5">
        <v>350060074.28894901</v>
      </c>
      <c r="I5">
        <v>6710.8658967326101</v>
      </c>
      <c r="J5">
        <v>96022092.5565947</v>
      </c>
      <c r="K5">
        <v>0.56178429563486398</v>
      </c>
      <c r="L5">
        <v>7.7906431702424398E-3</v>
      </c>
      <c r="M5">
        <v>0.15264187594332801</v>
      </c>
      <c r="N5">
        <v>2.0511068803100402E-3</v>
      </c>
      <c r="O5">
        <v>0.48967156543352902</v>
      </c>
      <c r="P5">
        <v>0.249893323439351</v>
      </c>
      <c r="Q5">
        <v>0.62405289320013502</v>
      </c>
      <c r="R5">
        <v>0.23461087968841299</v>
      </c>
      <c r="S5">
        <v>42</v>
      </c>
      <c r="T5">
        <v>0.56552764359441698</v>
      </c>
      <c r="U5">
        <v>4.5115307484385497E-2</v>
      </c>
    </row>
    <row r="6" spans="1:21" x14ac:dyDescent="0.25">
      <c r="A6">
        <v>5</v>
      </c>
      <c r="B6">
        <v>105</v>
      </c>
      <c r="C6" t="s">
        <v>20</v>
      </c>
      <c r="D6">
        <v>23</v>
      </c>
      <c r="E6" t="s">
        <v>21</v>
      </c>
      <c r="F6" t="s">
        <v>22</v>
      </c>
      <c r="G6">
        <v>19579.707824203098</v>
      </c>
      <c r="H6">
        <v>355848813.94007897</v>
      </c>
      <c r="I6">
        <v>5503.0157897441004</v>
      </c>
      <c r="J6">
        <v>86530476.969346702</v>
      </c>
      <c r="K6">
        <v>0.56958532701193598</v>
      </c>
      <c r="L6">
        <v>7.2342604669579803E-3</v>
      </c>
      <c r="M6">
        <v>0.16095840924027699</v>
      </c>
      <c r="N6">
        <v>2.8822875091016101E-3</v>
      </c>
      <c r="O6">
        <v>0.59612158359863099</v>
      </c>
      <c r="P6">
        <v>0.24076064116662299</v>
      </c>
      <c r="Q6">
        <v>0.83248999220514996</v>
      </c>
      <c r="R6">
        <v>0.13945040508342099</v>
      </c>
      <c r="S6">
        <v>64</v>
      </c>
      <c r="T6">
        <v>0.60592746924198004</v>
      </c>
      <c r="U6">
        <v>4.1685315443905302E-2</v>
      </c>
    </row>
    <row r="7" spans="1:21" x14ac:dyDescent="0.25">
      <c r="A7">
        <v>6</v>
      </c>
      <c r="B7">
        <v>106</v>
      </c>
      <c r="C7" t="s">
        <v>20</v>
      </c>
      <c r="D7">
        <v>23</v>
      </c>
      <c r="E7" t="s">
        <v>21</v>
      </c>
      <c r="F7" t="s">
        <v>22</v>
      </c>
      <c r="G7">
        <v>11590.344938664401</v>
      </c>
      <c r="H7">
        <v>212936716.85714301</v>
      </c>
      <c r="I7">
        <v>12414.6798236461</v>
      </c>
      <c r="J7">
        <v>86918614.389580101</v>
      </c>
      <c r="K7">
        <v>0.51766085484493796</v>
      </c>
      <c r="L7">
        <v>8.3790316557187799E-3</v>
      </c>
      <c r="M7">
        <v>0.159976003264411</v>
      </c>
      <c r="N7">
        <v>3.4121104547308301E-3</v>
      </c>
      <c r="O7">
        <v>0.37699357061151501</v>
      </c>
      <c r="P7">
        <v>0.234869418329127</v>
      </c>
      <c r="Q7">
        <v>0.65377636354073498</v>
      </c>
      <c r="R7">
        <v>0.22635283001655199</v>
      </c>
      <c r="S7">
        <v>21</v>
      </c>
      <c r="T7">
        <v>0.50895416051114495</v>
      </c>
      <c r="U7">
        <v>4.0967785572653001E-2</v>
      </c>
    </row>
    <row r="8" spans="1:21" x14ac:dyDescent="0.25">
      <c r="A8">
        <v>7</v>
      </c>
      <c r="B8">
        <v>107</v>
      </c>
      <c r="C8" t="s">
        <v>20</v>
      </c>
      <c r="D8">
        <v>23</v>
      </c>
      <c r="E8" t="s">
        <v>21</v>
      </c>
      <c r="F8" t="s">
        <v>22</v>
      </c>
      <c r="G8">
        <v>13818.9561042691</v>
      </c>
      <c r="H8">
        <v>250308362.559127</v>
      </c>
      <c r="I8">
        <v>10241.2433095387</v>
      </c>
      <c r="J8">
        <v>89143335.884782299</v>
      </c>
      <c r="K8">
        <v>0.542867117291428</v>
      </c>
      <c r="L8">
        <v>9.0263649347436005E-3</v>
      </c>
      <c r="M8">
        <v>0.167695195591234</v>
      </c>
      <c r="N8">
        <v>3.5886656166680899E-3</v>
      </c>
      <c r="O8">
        <v>0.46166577422966498</v>
      </c>
      <c r="P8">
        <v>0.248530487134589</v>
      </c>
      <c r="Q8">
        <v>0.87693168820422995</v>
      </c>
      <c r="R8">
        <v>0.10792250242739</v>
      </c>
      <c r="S8">
        <v>45</v>
      </c>
      <c r="T8">
        <v>0.55965308364453004</v>
      </c>
      <c r="U8">
        <v>4.2908277746294902E-2</v>
      </c>
    </row>
    <row r="9" spans="1:21" x14ac:dyDescent="0.25">
      <c r="A9">
        <v>8</v>
      </c>
      <c r="B9">
        <v>108</v>
      </c>
      <c r="C9" t="s">
        <v>20</v>
      </c>
      <c r="D9">
        <v>23</v>
      </c>
      <c r="E9" t="s">
        <v>21</v>
      </c>
      <c r="F9" t="s">
        <v>22</v>
      </c>
      <c r="G9">
        <v>17636.0661292445</v>
      </c>
      <c r="H9">
        <v>306804769.35353798</v>
      </c>
      <c r="I9">
        <v>7643.2381536581497</v>
      </c>
      <c r="J9">
        <v>97081193.547882095</v>
      </c>
      <c r="K9">
        <v>0.55983754176769895</v>
      </c>
      <c r="L9">
        <v>8.3485285213147492E-3</v>
      </c>
      <c r="M9">
        <v>0.159976061946114</v>
      </c>
      <c r="N9">
        <v>2.6767574405235201E-3</v>
      </c>
      <c r="O9">
        <v>0.53983422837254402</v>
      </c>
      <c r="P9">
        <v>0.248413234250006</v>
      </c>
      <c r="Q9">
        <v>0.70954277444894898</v>
      </c>
      <c r="R9">
        <v>0.20609182567603301</v>
      </c>
      <c r="S9">
        <v>39</v>
      </c>
      <c r="T9">
        <v>0.59468090424299203</v>
      </c>
      <c r="U9">
        <v>4.47930843057305E-2</v>
      </c>
    </row>
    <row r="10" spans="1:21" x14ac:dyDescent="0.25">
      <c r="A10">
        <v>9</v>
      </c>
      <c r="B10">
        <v>109</v>
      </c>
      <c r="C10" t="s">
        <v>20</v>
      </c>
      <c r="D10">
        <v>23</v>
      </c>
      <c r="E10" t="s">
        <v>21</v>
      </c>
      <c r="F10" t="s">
        <v>22</v>
      </c>
      <c r="G10">
        <v>13134.3502852564</v>
      </c>
      <c r="H10">
        <v>270745911.00120902</v>
      </c>
      <c r="I10">
        <v>10368.2532409126</v>
      </c>
      <c r="J10">
        <v>91445074.636207104</v>
      </c>
      <c r="K10">
        <v>0.52073875426191696</v>
      </c>
      <c r="L10">
        <v>7.4444074549883197E-3</v>
      </c>
      <c r="M10">
        <v>0.1421108125353</v>
      </c>
      <c r="N10">
        <v>1.66777287041422E-3</v>
      </c>
      <c r="O10">
        <v>0.37055819349591601</v>
      </c>
      <c r="P10">
        <v>0.23324481872880701</v>
      </c>
      <c r="Q10">
        <v>0.66820552073865003</v>
      </c>
      <c r="R10">
        <v>0.221706902792904</v>
      </c>
      <c r="S10">
        <v>37</v>
      </c>
      <c r="T10">
        <v>0.500600432636783</v>
      </c>
      <c r="U10">
        <v>4.2878446898200799E-2</v>
      </c>
    </row>
    <row r="11" spans="1:21" x14ac:dyDescent="0.25">
      <c r="A11">
        <v>10</v>
      </c>
      <c r="B11">
        <v>110</v>
      </c>
      <c r="C11" t="s">
        <v>20</v>
      </c>
      <c r="D11">
        <v>23</v>
      </c>
      <c r="E11" t="s">
        <v>21</v>
      </c>
      <c r="F11" t="s">
        <v>22</v>
      </c>
      <c r="G11">
        <v>19188.0295165881</v>
      </c>
      <c r="H11">
        <v>355958424.09705299</v>
      </c>
      <c r="I11">
        <v>6057.8462209504196</v>
      </c>
      <c r="J11">
        <v>90168816.744857803</v>
      </c>
      <c r="K11">
        <v>0.55838100576681204</v>
      </c>
      <c r="L11">
        <v>8.2002044243056401E-3</v>
      </c>
      <c r="M11">
        <v>0.15175705958044</v>
      </c>
      <c r="N11">
        <v>2.1847088420770999E-3</v>
      </c>
      <c r="O11">
        <v>0.54982419212093703</v>
      </c>
      <c r="P11">
        <v>0.247517549879747</v>
      </c>
      <c r="Q11">
        <v>0.68530080133955296</v>
      </c>
      <c r="R11">
        <v>0.21566361302290399</v>
      </c>
      <c r="S11">
        <v>46</v>
      </c>
      <c r="T11">
        <v>0.59194910663446698</v>
      </c>
      <c r="U11">
        <v>4.6263452229990697E-2</v>
      </c>
    </row>
    <row r="12" spans="1:21" x14ac:dyDescent="0.25">
      <c r="A12">
        <v>11</v>
      </c>
      <c r="B12">
        <v>201</v>
      </c>
      <c r="C12" t="s">
        <v>20</v>
      </c>
      <c r="D12">
        <v>23</v>
      </c>
      <c r="E12" t="s">
        <v>21</v>
      </c>
      <c r="F12" t="s">
        <v>22</v>
      </c>
      <c r="G12">
        <v>14635.7393715567</v>
      </c>
      <c r="H12">
        <v>277242116.93532199</v>
      </c>
      <c r="I12">
        <v>8948.8946692868794</v>
      </c>
      <c r="J12">
        <v>93610534.326051801</v>
      </c>
      <c r="K12">
        <v>0.54785545082419296</v>
      </c>
      <c r="L12">
        <v>9.1444038679723404E-3</v>
      </c>
      <c r="M12">
        <v>0.15293889643813099</v>
      </c>
      <c r="N12">
        <v>1.6569406693641099E-3</v>
      </c>
      <c r="O12">
        <v>0.423638535420019</v>
      </c>
      <c r="P12">
        <v>0.244168926727306</v>
      </c>
      <c r="Q12">
        <v>0.27001401498994598</v>
      </c>
      <c r="R12">
        <v>0.19710644669862901</v>
      </c>
      <c r="S12">
        <v>7</v>
      </c>
      <c r="T12">
        <v>0.51741468329401197</v>
      </c>
      <c r="U12">
        <v>4.9457144286272799E-2</v>
      </c>
    </row>
    <row r="13" spans="1:21" x14ac:dyDescent="0.25">
      <c r="A13">
        <v>12</v>
      </c>
      <c r="B13">
        <v>202</v>
      </c>
      <c r="C13" t="s">
        <v>20</v>
      </c>
      <c r="D13">
        <v>23</v>
      </c>
      <c r="E13" t="s">
        <v>21</v>
      </c>
      <c r="F13" t="s">
        <v>22</v>
      </c>
      <c r="G13">
        <v>11139.983531269099</v>
      </c>
      <c r="H13">
        <v>191084588.89199501</v>
      </c>
      <c r="I13">
        <v>10402.6718971601</v>
      </c>
      <c r="J13">
        <v>90101806.725782499</v>
      </c>
      <c r="K13">
        <v>0.54823181906677199</v>
      </c>
      <c r="L13">
        <v>1.08772843394109E-2</v>
      </c>
      <c r="M13">
        <v>0.16122491206807699</v>
      </c>
      <c r="N13">
        <v>1.5451523063096399E-3</v>
      </c>
      <c r="O13">
        <v>0.36715582505112798</v>
      </c>
      <c r="P13">
        <v>0.232352425182141</v>
      </c>
      <c r="Q13">
        <v>0.57117056776184405</v>
      </c>
      <c r="R13">
        <v>0.24493475028457801</v>
      </c>
      <c r="S13">
        <v>31</v>
      </c>
      <c r="T13">
        <v>0.49253288796034</v>
      </c>
      <c r="U13">
        <v>4.6827156496789701E-2</v>
      </c>
    </row>
    <row r="14" spans="1:21" x14ac:dyDescent="0.25">
      <c r="A14">
        <v>13</v>
      </c>
      <c r="B14">
        <v>203</v>
      </c>
      <c r="C14" t="s">
        <v>20</v>
      </c>
      <c r="D14">
        <v>23</v>
      </c>
      <c r="E14" t="s">
        <v>21</v>
      </c>
      <c r="F14" t="s">
        <v>22</v>
      </c>
      <c r="G14">
        <v>10394.4162241676</v>
      </c>
      <c r="H14">
        <v>183978196.28869101</v>
      </c>
      <c r="I14">
        <v>9130.8323531129809</v>
      </c>
      <c r="J14">
        <v>89676192.9697413</v>
      </c>
      <c r="K14">
        <v>0.57605825534245103</v>
      </c>
      <c r="L14">
        <v>1.09502108781812E-2</v>
      </c>
      <c r="M14">
        <v>0.178400070159699</v>
      </c>
      <c r="N14">
        <v>1.29501029439816E-3</v>
      </c>
      <c r="O14">
        <v>0.37526310753922698</v>
      </c>
      <c r="P14">
        <v>0.23444070765929501</v>
      </c>
      <c r="Q14">
        <v>0.94331746525368998</v>
      </c>
      <c r="R14">
        <v>5.3469625001099301E-2</v>
      </c>
      <c r="S14">
        <v>85</v>
      </c>
      <c r="T14">
        <v>0.52546728228817996</v>
      </c>
      <c r="U14">
        <v>4.5201358397621599E-2</v>
      </c>
    </row>
    <row r="15" spans="1:21" x14ac:dyDescent="0.25">
      <c r="A15">
        <v>14</v>
      </c>
      <c r="B15">
        <v>204</v>
      </c>
      <c r="C15" t="s">
        <v>20</v>
      </c>
      <c r="D15">
        <v>23</v>
      </c>
      <c r="E15" t="s">
        <v>21</v>
      </c>
      <c r="F15" t="s">
        <v>22</v>
      </c>
      <c r="G15">
        <v>8708.7808448548094</v>
      </c>
      <c r="H15">
        <v>167368529.13161099</v>
      </c>
      <c r="I15">
        <v>12395.999659589201</v>
      </c>
      <c r="J15">
        <v>66058313.132031597</v>
      </c>
      <c r="K15">
        <v>0.52734392811817099</v>
      </c>
      <c r="L15">
        <v>7.3727320103388399E-3</v>
      </c>
      <c r="M15">
        <v>0.16188551021613401</v>
      </c>
      <c r="N15">
        <v>1.2729337394452799E-3</v>
      </c>
      <c r="O15">
        <v>0.28549729703870302</v>
      </c>
      <c r="P15">
        <v>0.203988590422262</v>
      </c>
      <c r="Q15">
        <v>0.70748567806441598</v>
      </c>
      <c r="R15">
        <v>0.20694969339827901</v>
      </c>
      <c r="S15">
        <v>25</v>
      </c>
      <c r="T15">
        <v>0.46353687061759602</v>
      </c>
      <c r="U15">
        <v>3.3836354875852299E-2</v>
      </c>
    </row>
    <row r="16" spans="1:21" x14ac:dyDescent="0.25">
      <c r="A16">
        <v>15</v>
      </c>
      <c r="B16">
        <v>205</v>
      </c>
      <c r="C16" t="s">
        <v>20</v>
      </c>
      <c r="D16">
        <v>23</v>
      </c>
      <c r="E16" t="s">
        <v>21</v>
      </c>
      <c r="F16" t="s">
        <v>22</v>
      </c>
      <c r="G16">
        <v>10042.3029053911</v>
      </c>
      <c r="H16">
        <v>194808933.07323101</v>
      </c>
      <c r="I16">
        <v>11485.1335888012</v>
      </c>
      <c r="J16">
        <v>70408823.990911007</v>
      </c>
      <c r="K16">
        <v>0.54986741486692103</v>
      </c>
      <c r="L16">
        <v>7.9244713641372297E-3</v>
      </c>
      <c r="M16">
        <v>0.18146938270866</v>
      </c>
      <c r="N16">
        <v>1.79747861982853E-3</v>
      </c>
      <c r="O16">
        <v>0.36339182306130802</v>
      </c>
      <c r="P16">
        <v>0.23133820599347399</v>
      </c>
      <c r="Q16">
        <v>0.71106378739196496</v>
      </c>
      <c r="R16">
        <v>0.205452077652298</v>
      </c>
      <c r="S16">
        <v>45</v>
      </c>
      <c r="T16">
        <v>0.50520553959185099</v>
      </c>
      <c r="U16">
        <v>3.6883744789133699E-2</v>
      </c>
    </row>
    <row r="17" spans="1:21" x14ac:dyDescent="0.25">
      <c r="A17">
        <v>16</v>
      </c>
      <c r="B17">
        <v>206</v>
      </c>
      <c r="C17" t="s">
        <v>20</v>
      </c>
      <c r="D17">
        <v>23</v>
      </c>
      <c r="E17" t="s">
        <v>21</v>
      </c>
      <c r="F17" t="s">
        <v>22</v>
      </c>
      <c r="G17">
        <v>8505.6289811392999</v>
      </c>
      <c r="H17">
        <v>136285970.24336299</v>
      </c>
      <c r="I17">
        <v>12118.6029929056</v>
      </c>
      <c r="J17">
        <v>98026415.420965299</v>
      </c>
      <c r="K17">
        <v>0.57105623283207796</v>
      </c>
      <c r="L17">
        <v>1.07349128968158E-2</v>
      </c>
      <c r="M17">
        <v>0.20224378850638999</v>
      </c>
      <c r="N17">
        <v>3.2626929874065699E-3</v>
      </c>
      <c r="O17">
        <v>0.38370827502900301</v>
      </c>
      <c r="P17">
        <v>0.23647623470346099</v>
      </c>
      <c r="Q17">
        <v>0.78897831780618799</v>
      </c>
      <c r="R17">
        <v>0.16649153183794899</v>
      </c>
      <c r="S17">
        <v>50</v>
      </c>
      <c r="T17">
        <v>0.52703829094965904</v>
      </c>
      <c r="U17">
        <v>4.1471597828418097E-2</v>
      </c>
    </row>
    <row r="18" spans="1:21" x14ac:dyDescent="0.25">
      <c r="A18">
        <v>17</v>
      </c>
      <c r="B18">
        <v>207</v>
      </c>
      <c r="C18" t="s">
        <v>20</v>
      </c>
      <c r="D18">
        <v>23</v>
      </c>
      <c r="E18" t="s">
        <v>21</v>
      </c>
      <c r="F18" t="s">
        <v>22</v>
      </c>
      <c r="G18">
        <v>9260.3404976660004</v>
      </c>
      <c r="H18">
        <v>147065934.53988299</v>
      </c>
      <c r="I18">
        <v>11561.789995199901</v>
      </c>
      <c r="J18">
        <v>89498679.993369102</v>
      </c>
      <c r="K18">
        <v>0.56132656821275595</v>
      </c>
      <c r="L18">
        <v>1.0905957714665401E-2</v>
      </c>
      <c r="M18">
        <v>0.193811065400921</v>
      </c>
      <c r="N18">
        <v>3.63920862842488E-3</v>
      </c>
      <c r="O18">
        <v>0.41887942921479099</v>
      </c>
      <c r="P18">
        <v>0.243419452995456</v>
      </c>
      <c r="Q18">
        <v>0.95328829170778595</v>
      </c>
      <c r="R18">
        <v>4.4529724600632599E-2</v>
      </c>
      <c r="S18">
        <v>85</v>
      </c>
      <c r="T18">
        <v>0.533208339586419</v>
      </c>
      <c r="U18">
        <v>4.1200860348917498E-2</v>
      </c>
    </row>
    <row r="19" spans="1:21" x14ac:dyDescent="0.25">
      <c r="A19">
        <v>18</v>
      </c>
      <c r="B19">
        <v>208</v>
      </c>
      <c r="C19" t="s">
        <v>20</v>
      </c>
      <c r="D19">
        <v>23</v>
      </c>
      <c r="E19" t="s">
        <v>21</v>
      </c>
      <c r="F19" t="s">
        <v>22</v>
      </c>
      <c r="G19">
        <v>8666.7781006708992</v>
      </c>
      <c r="H19">
        <v>155616919.10845101</v>
      </c>
      <c r="I19">
        <v>11863.658029463901</v>
      </c>
      <c r="J19">
        <v>84498082.893525496</v>
      </c>
      <c r="K19">
        <v>0.53418480579947503</v>
      </c>
      <c r="L19">
        <v>9.8471437927789996E-3</v>
      </c>
      <c r="M19">
        <v>0.17092981885262401</v>
      </c>
      <c r="N19">
        <v>2.0393239423380201E-3</v>
      </c>
      <c r="O19">
        <v>0.33478037288176099</v>
      </c>
      <c r="P19">
        <v>0.22270247481497499</v>
      </c>
      <c r="Q19">
        <v>0.712532593354544</v>
      </c>
      <c r="R19">
        <v>0.204829896762142</v>
      </c>
      <c r="S19">
        <v>28</v>
      </c>
      <c r="T19">
        <v>0.49237690667341599</v>
      </c>
      <c r="U19">
        <v>4.1209473897206403E-2</v>
      </c>
    </row>
    <row r="20" spans="1:21" x14ac:dyDescent="0.25">
      <c r="A20">
        <v>19</v>
      </c>
      <c r="B20">
        <v>209</v>
      </c>
      <c r="C20" t="s">
        <v>20</v>
      </c>
      <c r="D20">
        <v>23</v>
      </c>
      <c r="E20" t="s">
        <v>21</v>
      </c>
      <c r="F20" t="s">
        <v>22</v>
      </c>
      <c r="G20">
        <v>12247.1131263032</v>
      </c>
      <c r="H20">
        <v>184471392.16890001</v>
      </c>
      <c r="I20">
        <v>8424.0858881421991</v>
      </c>
      <c r="J20">
        <v>115782430.235503</v>
      </c>
      <c r="K20">
        <v>0.56752357158997302</v>
      </c>
      <c r="L20">
        <v>1.3192272484896E-2</v>
      </c>
      <c r="M20">
        <v>0.164509773193629</v>
      </c>
      <c r="N20">
        <v>2.1315196293344098E-3</v>
      </c>
      <c r="O20">
        <v>0.45578709701299203</v>
      </c>
      <c r="P20">
        <v>0.248045219209341</v>
      </c>
      <c r="Q20">
        <v>0.50350452873960405</v>
      </c>
      <c r="R20">
        <v>0.249987718278085</v>
      </c>
      <c r="S20">
        <v>21</v>
      </c>
      <c r="T20">
        <v>0.55263403461104699</v>
      </c>
      <c r="U20">
        <v>5.00119518543811E-2</v>
      </c>
    </row>
    <row r="21" spans="1:21" x14ac:dyDescent="0.25">
      <c r="A21">
        <v>20</v>
      </c>
      <c r="B21">
        <v>210</v>
      </c>
      <c r="C21" t="s">
        <v>20</v>
      </c>
      <c r="D21">
        <v>23</v>
      </c>
      <c r="E21" t="s">
        <v>21</v>
      </c>
      <c r="F21" t="s">
        <v>22</v>
      </c>
      <c r="G21">
        <v>13268.560923781701</v>
      </c>
      <c r="H21">
        <v>215813912.19226101</v>
      </c>
      <c r="I21">
        <v>7607.8452603545302</v>
      </c>
      <c r="J21">
        <v>99247550.285013705</v>
      </c>
      <c r="K21">
        <v>0.55609507360752197</v>
      </c>
      <c r="L21">
        <v>1.05043897196457E-2</v>
      </c>
      <c r="M21">
        <v>0.16050818325385999</v>
      </c>
      <c r="N21">
        <v>2.2958734770379399E-3</v>
      </c>
      <c r="O21">
        <v>0.47577299910930099</v>
      </c>
      <c r="P21">
        <v>0.249413052427962</v>
      </c>
      <c r="Q21">
        <v>0.69159021212159799</v>
      </c>
      <c r="R21">
        <v>0.213293190618769</v>
      </c>
      <c r="S21">
        <v>44</v>
      </c>
      <c r="T21">
        <v>0.55416069671517298</v>
      </c>
      <c r="U21">
        <v>4.8624711593437099E-2</v>
      </c>
    </row>
    <row r="22" spans="1:21" x14ac:dyDescent="0.25">
      <c r="A22">
        <v>21</v>
      </c>
      <c r="B22">
        <v>301</v>
      </c>
      <c r="C22" t="s">
        <v>20</v>
      </c>
      <c r="D22">
        <v>23</v>
      </c>
      <c r="E22" t="s">
        <v>21</v>
      </c>
      <c r="F22" t="s">
        <v>22</v>
      </c>
      <c r="G22">
        <v>10593.157208185499</v>
      </c>
      <c r="H22">
        <v>206555622.681063</v>
      </c>
      <c r="I22">
        <v>11062.789789545701</v>
      </c>
      <c r="J22">
        <v>69211219.479955897</v>
      </c>
      <c r="K22">
        <v>0.52300521052943705</v>
      </c>
      <c r="L22">
        <v>7.6404344040037304E-3</v>
      </c>
      <c r="M22">
        <v>0.14551621440154999</v>
      </c>
      <c r="N22">
        <v>1.64974237533402E-3</v>
      </c>
      <c r="O22">
        <v>0.32205150341962202</v>
      </c>
      <c r="P22">
        <v>0.21833433256454399</v>
      </c>
      <c r="Q22">
        <v>0.73524333657062702</v>
      </c>
      <c r="R22">
        <v>0.19466057259936301</v>
      </c>
      <c r="S22">
        <v>41</v>
      </c>
      <c r="T22">
        <v>0.46949613633522302</v>
      </c>
      <c r="U22">
        <v>3.7425930084036801E-2</v>
      </c>
    </row>
    <row r="23" spans="1:21" x14ac:dyDescent="0.25">
      <c r="A23">
        <v>22</v>
      </c>
      <c r="B23">
        <v>302</v>
      </c>
      <c r="C23" t="s">
        <v>20</v>
      </c>
      <c r="D23">
        <v>23</v>
      </c>
      <c r="E23" t="s">
        <v>21</v>
      </c>
      <c r="F23" t="s">
        <v>22</v>
      </c>
      <c r="G23">
        <v>17556.244686831</v>
      </c>
      <c r="H23">
        <v>298673229.36451101</v>
      </c>
      <c r="I23">
        <v>6293.6371374199798</v>
      </c>
      <c r="J23">
        <v>101407454.764328</v>
      </c>
      <c r="K23">
        <v>0.57550268935347104</v>
      </c>
      <c r="L23">
        <v>1.14112847657115E-2</v>
      </c>
      <c r="M23">
        <v>0.15751604794919799</v>
      </c>
      <c r="N23">
        <v>2.01570504451423E-3</v>
      </c>
      <c r="O23">
        <v>0.54978292849198096</v>
      </c>
      <c r="P23">
        <v>0.24752166003081899</v>
      </c>
      <c r="Q23">
        <v>0.63439136986628997</v>
      </c>
      <c r="R23">
        <v>0.23193895970514999</v>
      </c>
      <c r="S23">
        <v>32</v>
      </c>
      <c r="T23">
        <v>0.59034621261487297</v>
      </c>
      <c r="U23">
        <v>4.9342520879997701E-2</v>
      </c>
    </row>
    <row r="24" spans="1:21" x14ac:dyDescent="0.25">
      <c r="A24">
        <v>23</v>
      </c>
      <c r="B24">
        <v>303</v>
      </c>
      <c r="C24" t="s">
        <v>20</v>
      </c>
      <c r="D24">
        <v>23</v>
      </c>
      <c r="E24" t="s">
        <v>21</v>
      </c>
      <c r="F24" t="s">
        <v>22</v>
      </c>
      <c r="G24">
        <v>16070.7409105554</v>
      </c>
      <c r="H24">
        <v>321173365.45625198</v>
      </c>
      <c r="I24">
        <v>5987.8296767936799</v>
      </c>
      <c r="J24">
        <v>104063342.746051</v>
      </c>
      <c r="K24">
        <v>0.59744002231036197</v>
      </c>
      <c r="L24">
        <v>9.3780976193988796E-3</v>
      </c>
      <c r="M24">
        <v>0.17464819255254299</v>
      </c>
      <c r="N24">
        <v>1.84166231222352E-3</v>
      </c>
      <c r="O24">
        <v>0.54233066494832605</v>
      </c>
      <c r="P24">
        <v>0.24820811480497099</v>
      </c>
      <c r="Q24">
        <v>0.97578896502162105</v>
      </c>
      <c r="R24">
        <v>2.3624860763660702E-2</v>
      </c>
      <c r="S24">
        <v>206</v>
      </c>
      <c r="T24">
        <v>0.60232347587124901</v>
      </c>
      <c r="U24">
        <v>4.2799759120754698E-2</v>
      </c>
    </row>
    <row r="25" spans="1:21" x14ac:dyDescent="0.25">
      <c r="A25">
        <v>24</v>
      </c>
      <c r="B25">
        <v>304</v>
      </c>
      <c r="C25" t="s">
        <v>20</v>
      </c>
      <c r="D25">
        <v>23</v>
      </c>
      <c r="E25" t="s">
        <v>21</v>
      </c>
      <c r="F25" t="s">
        <v>22</v>
      </c>
      <c r="G25">
        <v>15720.836359287199</v>
      </c>
      <c r="H25">
        <v>324148760.98683399</v>
      </c>
      <c r="I25">
        <v>5910.1124799241097</v>
      </c>
      <c r="J25">
        <v>111548995.119866</v>
      </c>
      <c r="K25">
        <v>0.59268159008139498</v>
      </c>
      <c r="L25">
        <v>1.01909793156954E-2</v>
      </c>
      <c r="M25">
        <v>0.179341353194749</v>
      </c>
      <c r="N25">
        <v>2.07204752910854E-3</v>
      </c>
      <c r="O25">
        <v>0.53058246621217597</v>
      </c>
      <c r="P25">
        <v>0.24906471276001299</v>
      </c>
      <c r="Q25">
        <v>0.88395259563985096</v>
      </c>
      <c r="R25">
        <v>0.102580404301527</v>
      </c>
      <c r="S25">
        <v>150</v>
      </c>
      <c r="T25">
        <v>0.595521862098773</v>
      </c>
      <c r="U25">
        <v>4.4566803349670898E-2</v>
      </c>
    </row>
    <row r="26" spans="1:21" x14ac:dyDescent="0.25">
      <c r="A26">
        <v>25</v>
      </c>
      <c r="B26">
        <v>305</v>
      </c>
      <c r="C26" t="s">
        <v>20</v>
      </c>
      <c r="D26">
        <v>23</v>
      </c>
      <c r="E26" t="s">
        <v>21</v>
      </c>
      <c r="F26" t="s">
        <v>22</v>
      </c>
      <c r="G26">
        <v>12195.712561599899</v>
      </c>
      <c r="H26">
        <v>259041372.81680301</v>
      </c>
      <c r="I26">
        <v>8992.3169013312599</v>
      </c>
      <c r="J26">
        <v>81018309.283112094</v>
      </c>
      <c r="K26">
        <v>0.57053954578149402</v>
      </c>
      <c r="L26">
        <v>7.7139185270657098E-3</v>
      </c>
      <c r="M26">
        <v>0.18907421628005799</v>
      </c>
      <c r="N26">
        <v>2.4574491889933301E-3</v>
      </c>
      <c r="O26">
        <v>0.48210611932443398</v>
      </c>
      <c r="P26">
        <v>0.24967980903408099</v>
      </c>
      <c r="Q26">
        <v>0.89209588287361496</v>
      </c>
      <c r="R26">
        <v>9.6260818633597603E-2</v>
      </c>
      <c r="S26">
        <v>201</v>
      </c>
      <c r="T26">
        <v>0.56334995715444203</v>
      </c>
      <c r="U26">
        <v>3.5923009993219401E-2</v>
      </c>
    </row>
    <row r="27" spans="1:21" x14ac:dyDescent="0.25">
      <c r="A27">
        <v>26</v>
      </c>
      <c r="B27">
        <v>306</v>
      </c>
      <c r="C27" t="s">
        <v>20</v>
      </c>
      <c r="D27">
        <v>23</v>
      </c>
      <c r="E27" t="s">
        <v>21</v>
      </c>
      <c r="F27" t="s">
        <v>22</v>
      </c>
      <c r="G27">
        <v>11628.1258857701</v>
      </c>
      <c r="H27">
        <v>204921319.96588701</v>
      </c>
      <c r="I27">
        <v>9293.61864357987</v>
      </c>
      <c r="J27">
        <v>90925805.688813701</v>
      </c>
      <c r="K27">
        <v>0.58196535356275403</v>
      </c>
      <c r="L27">
        <v>9.6948200292326994E-3</v>
      </c>
      <c r="M27">
        <v>0.205802972644656</v>
      </c>
      <c r="N27">
        <v>4.21028650553237E-3</v>
      </c>
      <c r="O27">
        <v>0.50646017477527105</v>
      </c>
      <c r="P27">
        <v>0.24995826614201899</v>
      </c>
      <c r="Q27">
        <v>0.93230164394195503</v>
      </c>
      <c r="R27">
        <v>6.3115288645114898E-2</v>
      </c>
      <c r="S27">
        <v>142</v>
      </c>
      <c r="T27">
        <v>0.59168328489031496</v>
      </c>
      <c r="U27">
        <v>3.6511566722371901E-2</v>
      </c>
    </row>
    <row r="28" spans="1:21" x14ac:dyDescent="0.25">
      <c r="A28">
        <v>27</v>
      </c>
      <c r="B28">
        <v>307</v>
      </c>
      <c r="C28" t="s">
        <v>20</v>
      </c>
      <c r="D28">
        <v>23</v>
      </c>
      <c r="E28" t="s">
        <v>21</v>
      </c>
      <c r="F28" t="s">
        <v>22</v>
      </c>
      <c r="G28">
        <v>14940.0875136661</v>
      </c>
      <c r="H28">
        <v>246691136.39959899</v>
      </c>
      <c r="I28">
        <v>7049.0186834158903</v>
      </c>
      <c r="J28">
        <v>120292761.013677</v>
      </c>
      <c r="K28">
        <v>0.59625101646201495</v>
      </c>
      <c r="L28">
        <v>1.3281421548304299E-2</v>
      </c>
      <c r="M28">
        <v>0.20060499900027601</v>
      </c>
      <c r="N28">
        <v>4.1897806460438197E-3</v>
      </c>
      <c r="O28">
        <v>0.59181053113320303</v>
      </c>
      <c r="P28">
        <v>0.241570826372975</v>
      </c>
      <c r="Q28">
        <v>0.94933763889241995</v>
      </c>
      <c r="R28">
        <v>4.8095686274509802E-2</v>
      </c>
      <c r="S28">
        <v>182</v>
      </c>
      <c r="T28">
        <v>0.62660886793275405</v>
      </c>
      <c r="U28">
        <v>4.60143266819419E-2</v>
      </c>
    </row>
    <row r="29" spans="1:21" x14ac:dyDescent="0.25">
      <c r="A29">
        <v>28</v>
      </c>
      <c r="B29">
        <v>308</v>
      </c>
      <c r="C29" t="s">
        <v>20</v>
      </c>
      <c r="D29">
        <v>23</v>
      </c>
      <c r="E29" t="s">
        <v>21</v>
      </c>
      <c r="F29" t="s">
        <v>22</v>
      </c>
      <c r="G29">
        <v>13882.4681314805</v>
      </c>
      <c r="H29">
        <v>265882616.25943899</v>
      </c>
      <c r="I29">
        <v>8204.8846361365995</v>
      </c>
      <c r="J29">
        <v>110453651.041347</v>
      </c>
      <c r="K29">
        <v>0.56274935933350401</v>
      </c>
      <c r="L29">
        <v>1.0174171881342E-2</v>
      </c>
      <c r="M29">
        <v>0.17615552511787999</v>
      </c>
      <c r="N29">
        <v>2.5747764083728399E-3</v>
      </c>
      <c r="O29">
        <v>0.48377911884393898</v>
      </c>
      <c r="P29">
        <v>0.249736883014295</v>
      </c>
      <c r="Q29">
        <v>0.81205906067325095</v>
      </c>
      <c r="R29">
        <v>0.152619142651608</v>
      </c>
      <c r="S29">
        <v>110</v>
      </c>
      <c r="T29">
        <v>0.57222940125599298</v>
      </c>
      <c r="U29">
        <v>4.5010095349462501E-2</v>
      </c>
    </row>
    <row r="30" spans="1:21" x14ac:dyDescent="0.25">
      <c r="A30">
        <v>29</v>
      </c>
      <c r="B30">
        <v>309</v>
      </c>
      <c r="C30" t="s">
        <v>20</v>
      </c>
      <c r="D30">
        <v>23</v>
      </c>
      <c r="E30" t="s">
        <v>21</v>
      </c>
      <c r="F30" t="s">
        <v>22</v>
      </c>
      <c r="G30">
        <v>18972.551759190599</v>
      </c>
      <c r="H30">
        <v>346283043.24060702</v>
      </c>
      <c r="I30">
        <v>5103.8227677186196</v>
      </c>
      <c r="J30">
        <v>126333401.85397901</v>
      </c>
      <c r="K30">
        <v>0.56901631121868901</v>
      </c>
      <c r="L30">
        <v>8.57179946937121E-3</v>
      </c>
      <c r="M30">
        <v>0.15965217553914399</v>
      </c>
      <c r="N30">
        <v>2.40091706569603E-3</v>
      </c>
      <c r="O30">
        <v>0.56478270228898098</v>
      </c>
      <c r="P30">
        <v>0.245803201484323</v>
      </c>
      <c r="Q30">
        <v>0.69999641186953598</v>
      </c>
      <c r="R30">
        <v>0.21000143523895801</v>
      </c>
      <c r="S30">
        <v>49</v>
      </c>
      <c r="T30">
        <v>0.60988953278310198</v>
      </c>
      <c r="U30">
        <v>4.4752262790243698E-2</v>
      </c>
    </row>
    <row r="31" spans="1:21" x14ac:dyDescent="0.25">
      <c r="A31">
        <v>30</v>
      </c>
      <c r="B31">
        <v>310</v>
      </c>
      <c r="C31" t="s">
        <v>20</v>
      </c>
      <c r="D31">
        <v>23</v>
      </c>
      <c r="E31" t="s">
        <v>21</v>
      </c>
      <c r="F31" t="s">
        <v>22</v>
      </c>
      <c r="G31">
        <v>19141.417801111002</v>
      </c>
      <c r="H31">
        <v>350481748.30450797</v>
      </c>
      <c r="I31">
        <v>4634.06853542508</v>
      </c>
      <c r="J31">
        <v>122398150.99786399</v>
      </c>
      <c r="K31">
        <v>0.57891210072039501</v>
      </c>
      <c r="L31">
        <v>8.6500315635477699E-3</v>
      </c>
      <c r="M31">
        <v>0.15557242756307799</v>
      </c>
      <c r="N31">
        <v>2.10375231446808E-3</v>
      </c>
      <c r="O31">
        <v>0.55611989500030501</v>
      </c>
      <c r="P31">
        <v>0.246850557385206</v>
      </c>
      <c r="Q31">
        <v>0.64933162424464397</v>
      </c>
      <c r="R31">
        <v>0.22770006600060599</v>
      </c>
      <c r="S31">
        <v>27</v>
      </c>
      <c r="T31">
        <v>0.60982755402925304</v>
      </c>
      <c r="U31">
        <v>4.7823503371631097E-2</v>
      </c>
    </row>
    <row r="32" spans="1:21" x14ac:dyDescent="0.25">
      <c r="A32">
        <v>31</v>
      </c>
      <c r="B32">
        <v>401</v>
      </c>
      <c r="C32" t="s">
        <v>20</v>
      </c>
      <c r="D32">
        <v>23</v>
      </c>
      <c r="E32" t="s">
        <v>21</v>
      </c>
      <c r="F32" t="s">
        <v>22</v>
      </c>
      <c r="G32">
        <v>12832.6557637801</v>
      </c>
      <c r="H32">
        <v>230199178.87043601</v>
      </c>
      <c r="I32">
        <v>9500.1555264558992</v>
      </c>
      <c r="J32">
        <v>87876221.603923604</v>
      </c>
      <c r="K32">
        <v>0.56290346336859198</v>
      </c>
      <c r="L32">
        <v>8.4755846944651603E-3</v>
      </c>
      <c r="M32">
        <v>0.158319246849316</v>
      </c>
      <c r="N32">
        <v>1.67828379371979E-3</v>
      </c>
      <c r="O32">
        <v>0.40464259660117002</v>
      </c>
      <c r="P32">
        <v>0.24090696561702901</v>
      </c>
      <c r="Q32">
        <v>0.54280486054633303</v>
      </c>
      <c r="R32">
        <v>0.248167743913568</v>
      </c>
      <c r="S32">
        <v>23</v>
      </c>
      <c r="T32">
        <v>0.51773415321477101</v>
      </c>
      <c r="U32">
        <v>4.3005994975063203E-2</v>
      </c>
    </row>
    <row r="33" spans="1:21" x14ac:dyDescent="0.25">
      <c r="A33">
        <v>32</v>
      </c>
      <c r="B33">
        <v>402</v>
      </c>
      <c r="C33" t="s">
        <v>20</v>
      </c>
      <c r="D33">
        <v>23</v>
      </c>
      <c r="E33" t="s">
        <v>21</v>
      </c>
      <c r="F33" t="s">
        <v>22</v>
      </c>
      <c r="G33">
        <v>4980.0118530745003</v>
      </c>
      <c r="H33">
        <v>92961858.7400489</v>
      </c>
      <c r="I33">
        <v>15382.609619078699</v>
      </c>
      <c r="J33">
        <v>39182141.629202299</v>
      </c>
      <c r="K33">
        <v>0.488692296368193</v>
      </c>
      <c r="L33">
        <v>4.8197095706237697E-3</v>
      </c>
      <c r="M33">
        <v>0.13770860165912299</v>
      </c>
      <c r="N33">
        <v>1.0029355987138801E-3</v>
      </c>
      <c r="O33">
        <v>0.15803700647075</v>
      </c>
      <c r="P33">
        <v>0.13306131105660099</v>
      </c>
      <c r="Q33">
        <v>0.62041211715320999</v>
      </c>
      <c r="R33">
        <v>0.23550092204307499</v>
      </c>
      <c r="S33">
        <v>25</v>
      </c>
      <c r="T33">
        <v>0.38492013452517398</v>
      </c>
      <c r="U33">
        <v>2.2683080362245901E-2</v>
      </c>
    </row>
    <row r="34" spans="1:21" x14ac:dyDescent="0.25">
      <c r="A34">
        <v>33</v>
      </c>
      <c r="B34">
        <v>403</v>
      </c>
      <c r="C34" t="s">
        <v>20</v>
      </c>
      <c r="D34">
        <v>23</v>
      </c>
      <c r="E34" t="s">
        <v>21</v>
      </c>
      <c r="F34" t="s">
        <v>22</v>
      </c>
      <c r="G34">
        <v>17618.659588929</v>
      </c>
      <c r="H34">
        <v>298033714.087515</v>
      </c>
      <c r="I34">
        <v>5793.8815163055497</v>
      </c>
      <c r="J34">
        <v>80744581.450227499</v>
      </c>
      <c r="K34">
        <v>0.60027787909248398</v>
      </c>
      <c r="L34">
        <v>6.6835703453846599E-3</v>
      </c>
      <c r="M34">
        <v>0.16987423765960399</v>
      </c>
      <c r="N34">
        <v>2.0477353879096898E-3</v>
      </c>
      <c r="O34">
        <v>0.59475651659513395</v>
      </c>
      <c r="P34">
        <v>0.24102120256274001</v>
      </c>
      <c r="Q34">
        <v>0.94375291052571997</v>
      </c>
      <c r="R34">
        <v>5.3083354399933398E-2</v>
      </c>
      <c r="S34">
        <v>154</v>
      </c>
      <c r="T34">
        <v>0.61088496613699195</v>
      </c>
      <c r="U34">
        <v>3.6310224911029497E-2</v>
      </c>
    </row>
    <row r="35" spans="1:21" x14ac:dyDescent="0.25">
      <c r="A35">
        <v>34</v>
      </c>
      <c r="B35">
        <v>404</v>
      </c>
      <c r="C35" t="s">
        <v>20</v>
      </c>
      <c r="D35">
        <v>23</v>
      </c>
      <c r="E35" t="s">
        <v>21</v>
      </c>
      <c r="F35" t="s">
        <v>22</v>
      </c>
      <c r="G35">
        <v>10608.7821974001</v>
      </c>
      <c r="H35">
        <v>211005677.101064</v>
      </c>
      <c r="I35">
        <v>10132.051642395199</v>
      </c>
      <c r="J35">
        <v>78610389.026676193</v>
      </c>
      <c r="K35">
        <v>0.54094256720314704</v>
      </c>
      <c r="L35">
        <v>8.9646128374401002E-3</v>
      </c>
      <c r="M35">
        <v>0.16059434712509399</v>
      </c>
      <c r="N35">
        <v>2.0333630856512398E-3</v>
      </c>
      <c r="O35">
        <v>0.37291459870600502</v>
      </c>
      <c r="P35">
        <v>0.23384930077789901</v>
      </c>
      <c r="Q35">
        <v>0.80878061615001895</v>
      </c>
      <c r="R35">
        <v>0.15465453109037899</v>
      </c>
      <c r="S35">
        <v>85</v>
      </c>
      <c r="T35">
        <v>0.50366813904343799</v>
      </c>
      <c r="U35">
        <v>3.9140142741372702E-2</v>
      </c>
    </row>
    <row r="36" spans="1:21" x14ac:dyDescent="0.25">
      <c r="A36">
        <v>35</v>
      </c>
      <c r="B36">
        <v>405</v>
      </c>
      <c r="C36" t="s">
        <v>20</v>
      </c>
      <c r="D36">
        <v>23</v>
      </c>
      <c r="E36" t="s">
        <v>21</v>
      </c>
      <c r="F36" t="s">
        <v>22</v>
      </c>
      <c r="G36">
        <v>7030.4080102594498</v>
      </c>
      <c r="H36">
        <v>132301308.967816</v>
      </c>
      <c r="I36">
        <v>14096.702789987299</v>
      </c>
      <c r="J36">
        <v>59524886.234490499</v>
      </c>
      <c r="K36">
        <v>0.48252535135128899</v>
      </c>
      <c r="L36">
        <v>7.9330678570302005E-3</v>
      </c>
      <c r="M36">
        <v>0.15232090139829399</v>
      </c>
      <c r="N36">
        <v>1.8942996277574399E-3</v>
      </c>
      <c r="O36">
        <v>0.24625487957834799</v>
      </c>
      <c r="P36">
        <v>0.18561341386201299</v>
      </c>
      <c r="Q36">
        <v>0.70107814812204905</v>
      </c>
      <c r="R36">
        <v>0.209567578347952</v>
      </c>
      <c r="S36">
        <v>23</v>
      </c>
      <c r="T36">
        <v>0.43178832939881101</v>
      </c>
      <c r="U36">
        <v>3.2328358189476498E-2</v>
      </c>
    </row>
    <row r="37" spans="1:21" x14ac:dyDescent="0.25">
      <c r="A37">
        <v>36</v>
      </c>
      <c r="B37">
        <v>406</v>
      </c>
      <c r="C37" t="s">
        <v>20</v>
      </c>
      <c r="D37">
        <v>23</v>
      </c>
      <c r="E37" t="s">
        <v>21</v>
      </c>
      <c r="F37" t="s">
        <v>22</v>
      </c>
      <c r="G37">
        <v>12801.6911618801</v>
      </c>
      <c r="H37">
        <v>219331667.17748901</v>
      </c>
      <c r="I37">
        <v>7612.7044575850696</v>
      </c>
      <c r="J37">
        <v>95614905.069699705</v>
      </c>
      <c r="K37">
        <v>0.57305943591791098</v>
      </c>
      <c r="L37">
        <v>1.28815571121236E-2</v>
      </c>
      <c r="M37">
        <v>0.19839410843866601</v>
      </c>
      <c r="N37">
        <v>4.7242931689128699E-3</v>
      </c>
      <c r="O37">
        <v>0.52585556863730798</v>
      </c>
      <c r="P37">
        <v>0.24933148957076401</v>
      </c>
      <c r="Q37">
        <v>0.92299043663443603</v>
      </c>
      <c r="R37">
        <v>7.1079090515807894E-2</v>
      </c>
      <c r="S37">
        <v>99</v>
      </c>
      <c r="T37">
        <v>0.591997253868076</v>
      </c>
      <c r="U37">
        <v>4.5114765852078499E-2</v>
      </c>
    </row>
    <row r="38" spans="1:21" x14ac:dyDescent="0.25">
      <c r="A38">
        <v>37</v>
      </c>
      <c r="B38">
        <v>407</v>
      </c>
      <c r="C38" t="s">
        <v>20</v>
      </c>
      <c r="D38">
        <v>23</v>
      </c>
      <c r="E38" t="s">
        <v>21</v>
      </c>
      <c r="F38" t="s">
        <v>22</v>
      </c>
      <c r="G38">
        <v>4023.9167433636899</v>
      </c>
      <c r="H38">
        <v>68163160.990755007</v>
      </c>
      <c r="I38">
        <v>15811.785469480899</v>
      </c>
      <c r="J38">
        <v>36181850.451731801</v>
      </c>
      <c r="K38">
        <v>0.47388619336066301</v>
      </c>
      <c r="L38">
        <v>6.4955222816985899E-3</v>
      </c>
      <c r="M38">
        <v>0.170933724663377</v>
      </c>
      <c r="N38">
        <v>2.7441692786495499E-3</v>
      </c>
      <c r="O38">
        <v>0.15360395272234101</v>
      </c>
      <c r="P38">
        <v>0.13000977843051301</v>
      </c>
      <c r="Q38">
        <v>0.85220392346815199</v>
      </c>
      <c r="R38">
        <v>0.125952396293704</v>
      </c>
      <c r="S38">
        <v>100</v>
      </c>
      <c r="T38">
        <v>0.41509574143740402</v>
      </c>
      <c r="U38">
        <v>1.90227579284626E-2</v>
      </c>
    </row>
    <row r="39" spans="1:21" x14ac:dyDescent="0.25">
      <c r="A39">
        <v>38</v>
      </c>
      <c r="B39">
        <v>408</v>
      </c>
      <c r="C39" t="s">
        <v>20</v>
      </c>
      <c r="D39">
        <v>23</v>
      </c>
      <c r="E39" t="s">
        <v>21</v>
      </c>
      <c r="F39" t="s">
        <v>22</v>
      </c>
      <c r="G39">
        <v>16189.6091371165</v>
      </c>
      <c r="H39">
        <v>295138917.29901898</v>
      </c>
      <c r="I39">
        <v>5724.4090633973701</v>
      </c>
      <c r="J39">
        <v>96298891.131852195</v>
      </c>
      <c r="K39">
        <v>0.60668483594634004</v>
      </c>
      <c r="L39">
        <v>7.6852878988671602E-3</v>
      </c>
      <c r="M39">
        <v>0.19550644097147901</v>
      </c>
      <c r="N39">
        <v>2.76741157062E-3</v>
      </c>
      <c r="O39">
        <v>0.62430185971416596</v>
      </c>
      <c r="P39">
        <v>0.234549047671887</v>
      </c>
      <c r="Q39">
        <v>0.943163333652282</v>
      </c>
      <c r="R39">
        <v>5.3606259706241499E-2</v>
      </c>
      <c r="S39">
        <v>216</v>
      </c>
      <c r="T39">
        <v>0.62676204032627902</v>
      </c>
      <c r="U39">
        <v>3.7565667355071497E-2</v>
      </c>
    </row>
    <row r="40" spans="1:21" x14ac:dyDescent="0.25">
      <c r="A40">
        <v>39</v>
      </c>
      <c r="B40">
        <v>410</v>
      </c>
      <c r="C40" t="s">
        <v>20</v>
      </c>
      <c r="D40">
        <v>23</v>
      </c>
      <c r="E40" t="s">
        <v>21</v>
      </c>
      <c r="F40" t="s">
        <v>22</v>
      </c>
      <c r="G40">
        <v>10576.638307052601</v>
      </c>
      <c r="H40">
        <v>212642693.095777</v>
      </c>
      <c r="I40">
        <v>8961.9097116616504</v>
      </c>
      <c r="J40">
        <v>65702318.061187498</v>
      </c>
      <c r="K40">
        <v>0.56484110056979897</v>
      </c>
      <c r="L40">
        <v>5.6232879496665097E-3</v>
      </c>
      <c r="M40">
        <v>0.16512749813476599</v>
      </c>
      <c r="N40">
        <v>2.0994976991658902E-3</v>
      </c>
      <c r="O40">
        <v>0.38867968933866798</v>
      </c>
      <c r="P40">
        <v>0.237607788434234</v>
      </c>
      <c r="Q40">
        <v>0.83528581141153702</v>
      </c>
      <c r="R40">
        <v>0.13758342466648299</v>
      </c>
      <c r="S40">
        <v>131</v>
      </c>
      <c r="T40">
        <v>0.51982346312139405</v>
      </c>
      <c r="U40">
        <v>3.3031271505469403E-2</v>
      </c>
    </row>
    <row r="41" spans="1:21" x14ac:dyDescent="0.25">
      <c r="A41">
        <v>40</v>
      </c>
      <c r="B41">
        <v>409</v>
      </c>
      <c r="C41" t="s">
        <v>20</v>
      </c>
      <c r="D41">
        <v>23</v>
      </c>
      <c r="E41" t="s">
        <v>21</v>
      </c>
      <c r="F41" t="s">
        <v>22</v>
      </c>
      <c r="G41">
        <v>19578.975302292802</v>
      </c>
      <c r="H41">
        <v>335601783.08775401</v>
      </c>
      <c r="I41">
        <v>4148.8329700676904</v>
      </c>
      <c r="J41">
        <v>86874224.104398102</v>
      </c>
      <c r="K41">
        <v>0.62996476988459904</v>
      </c>
      <c r="L41">
        <v>5.4264777816256798E-3</v>
      </c>
      <c r="M41">
        <v>0.18863158950587999</v>
      </c>
      <c r="N41">
        <v>3.4144338580708402E-3</v>
      </c>
      <c r="O41">
        <v>0.73480762100680497</v>
      </c>
      <c r="P41">
        <v>0.19486538111722901</v>
      </c>
      <c r="Q41">
        <v>0.97837708545117497</v>
      </c>
      <c r="R41">
        <v>2.1155364115197101E-2</v>
      </c>
      <c r="S41">
        <v>183</v>
      </c>
      <c r="T41">
        <v>0.65858849741127201</v>
      </c>
      <c r="U41">
        <v>3.1438313717257797E-2</v>
      </c>
    </row>
    <row r="42" spans="1:21" x14ac:dyDescent="0.25">
      <c r="A42">
        <v>41</v>
      </c>
      <c r="B42">
        <v>501</v>
      </c>
      <c r="C42" t="s">
        <v>20</v>
      </c>
      <c r="D42">
        <v>23</v>
      </c>
      <c r="E42" t="s">
        <v>21</v>
      </c>
      <c r="F42" t="s">
        <v>22</v>
      </c>
      <c r="G42">
        <v>10911.9474168859</v>
      </c>
      <c r="H42">
        <v>233128373.26598701</v>
      </c>
      <c r="I42">
        <v>10398.209374267301</v>
      </c>
      <c r="J42">
        <v>85127507.708920702</v>
      </c>
      <c r="K42">
        <v>0.53984517997402104</v>
      </c>
      <c r="L42">
        <v>7.3206697348049098E-3</v>
      </c>
      <c r="M42">
        <v>0.15369320846331699</v>
      </c>
      <c r="N42">
        <v>1.5292751015139701E-3</v>
      </c>
      <c r="O42">
        <v>0.31842860559674702</v>
      </c>
      <c r="P42">
        <v>0.21703182873469201</v>
      </c>
      <c r="Q42">
        <v>0.46804922679487598</v>
      </c>
      <c r="R42">
        <v>0.24897914809148</v>
      </c>
      <c r="S42">
        <v>20</v>
      </c>
      <c r="T42">
        <v>0.46599493759192701</v>
      </c>
      <c r="U42">
        <v>4.2321134414926201E-2</v>
      </c>
    </row>
    <row r="43" spans="1:21" x14ac:dyDescent="0.25">
      <c r="A43">
        <v>42</v>
      </c>
      <c r="B43">
        <v>502</v>
      </c>
      <c r="C43" t="s">
        <v>20</v>
      </c>
      <c r="D43">
        <v>23</v>
      </c>
      <c r="E43" t="s">
        <v>21</v>
      </c>
      <c r="F43" t="s">
        <v>22</v>
      </c>
      <c r="G43">
        <v>18587.663879818701</v>
      </c>
      <c r="H43">
        <v>329494642.56148702</v>
      </c>
      <c r="I43">
        <v>5420.6108986385798</v>
      </c>
      <c r="J43">
        <v>117908190.836963</v>
      </c>
      <c r="K43">
        <v>0.59513916566766401</v>
      </c>
      <c r="L43">
        <v>7.8276650097579906E-3</v>
      </c>
      <c r="M43">
        <v>0.15810401106331801</v>
      </c>
      <c r="N43">
        <v>1.5014367545387801E-3</v>
      </c>
      <c r="O43">
        <v>0.543339672515459</v>
      </c>
      <c r="P43">
        <v>0.24812167278649599</v>
      </c>
      <c r="Q43">
        <v>0.53035032951786298</v>
      </c>
      <c r="R43">
        <v>0.24907885749831599</v>
      </c>
      <c r="S43">
        <v>22</v>
      </c>
      <c r="T43">
        <v>0.59229550251847995</v>
      </c>
      <c r="U43">
        <v>4.9520778155764597E-2</v>
      </c>
    </row>
    <row r="44" spans="1:21" x14ac:dyDescent="0.25">
      <c r="A44">
        <v>43</v>
      </c>
      <c r="B44">
        <v>503</v>
      </c>
      <c r="C44" t="s">
        <v>20</v>
      </c>
      <c r="D44">
        <v>23</v>
      </c>
      <c r="E44" t="s">
        <v>21</v>
      </c>
      <c r="F44" t="s">
        <v>22</v>
      </c>
      <c r="G44">
        <v>17510.154103732399</v>
      </c>
      <c r="H44">
        <v>317984720.25870001</v>
      </c>
      <c r="I44">
        <v>6513.0916038884998</v>
      </c>
      <c r="J44">
        <v>101454593.115637</v>
      </c>
      <c r="K44">
        <v>0.59698962699923797</v>
      </c>
      <c r="L44">
        <v>7.0075712231793801E-3</v>
      </c>
      <c r="M44">
        <v>0.16872179420199199</v>
      </c>
      <c r="N44">
        <v>1.65434529249141E-3</v>
      </c>
      <c r="O44">
        <v>0.52235735897343905</v>
      </c>
      <c r="P44">
        <v>0.249500148500095</v>
      </c>
      <c r="Q44">
        <v>0.95029540507570498</v>
      </c>
      <c r="R44">
        <v>4.7234048167844697E-2</v>
      </c>
      <c r="S44">
        <v>107</v>
      </c>
      <c r="T44">
        <v>0.59077409098817601</v>
      </c>
      <c r="U44">
        <v>4.10103967272454E-2</v>
      </c>
    </row>
    <row r="45" spans="1:21" x14ac:dyDescent="0.25">
      <c r="A45">
        <v>44</v>
      </c>
      <c r="B45">
        <v>504</v>
      </c>
      <c r="C45" t="s">
        <v>20</v>
      </c>
      <c r="D45">
        <v>23</v>
      </c>
      <c r="E45" t="s">
        <v>21</v>
      </c>
      <c r="F45" t="s">
        <v>22</v>
      </c>
      <c r="G45">
        <v>14801.747145449401</v>
      </c>
      <c r="H45">
        <v>276187125.48485702</v>
      </c>
      <c r="I45">
        <v>7614.2651556005603</v>
      </c>
      <c r="J45">
        <v>119302472.276994</v>
      </c>
      <c r="K45">
        <v>0.58402495386070397</v>
      </c>
      <c r="L45">
        <v>9.7360394630270491E-3</v>
      </c>
      <c r="M45">
        <v>0.16943606485938001</v>
      </c>
      <c r="N45">
        <v>1.6746730252300999E-3</v>
      </c>
      <c r="O45">
        <v>0.46677611682364101</v>
      </c>
      <c r="P45">
        <v>0.248896173586445</v>
      </c>
      <c r="Q45">
        <v>0.66551055925153402</v>
      </c>
      <c r="R45">
        <v>0.222606254776398</v>
      </c>
      <c r="S45">
        <v>54</v>
      </c>
      <c r="T45">
        <v>0.56627892220904397</v>
      </c>
      <c r="U45">
        <v>4.6289566436296802E-2</v>
      </c>
    </row>
    <row r="46" spans="1:21" x14ac:dyDescent="0.25">
      <c r="A46">
        <v>45</v>
      </c>
      <c r="B46">
        <v>505</v>
      </c>
      <c r="C46" t="s">
        <v>20</v>
      </c>
      <c r="D46">
        <v>23</v>
      </c>
      <c r="E46" t="s">
        <v>21</v>
      </c>
      <c r="F46" t="s">
        <v>22</v>
      </c>
      <c r="G46">
        <v>17075.147071492898</v>
      </c>
      <c r="H46">
        <v>283087437.02309</v>
      </c>
      <c r="I46">
        <v>4524.1352662094296</v>
      </c>
      <c r="J46">
        <v>114185571.773798</v>
      </c>
      <c r="K46">
        <v>0.60177638255201005</v>
      </c>
      <c r="L46">
        <v>1.1179809402960201E-2</v>
      </c>
      <c r="M46">
        <v>0.18210497199728701</v>
      </c>
      <c r="N46">
        <v>2.9427440993668699E-3</v>
      </c>
      <c r="O46">
        <v>0.59996867208813598</v>
      </c>
      <c r="P46">
        <v>0.240006264600852</v>
      </c>
      <c r="Q46">
        <v>0.72213519229262901</v>
      </c>
      <c r="R46">
        <v>0.20065595634509101</v>
      </c>
      <c r="S46">
        <v>57</v>
      </c>
      <c r="T46">
        <v>0.62610109657689905</v>
      </c>
      <c r="U46">
        <v>4.6969841273610598E-2</v>
      </c>
    </row>
    <row r="47" spans="1:21" x14ac:dyDescent="0.25">
      <c r="A47">
        <v>46</v>
      </c>
      <c r="B47">
        <v>506</v>
      </c>
      <c r="C47" t="s">
        <v>20</v>
      </c>
      <c r="D47">
        <v>23</v>
      </c>
      <c r="E47" t="s">
        <v>21</v>
      </c>
      <c r="F47" t="s">
        <v>22</v>
      </c>
      <c r="G47">
        <v>13634.999049206799</v>
      </c>
      <c r="H47">
        <v>234992452.79065201</v>
      </c>
      <c r="I47">
        <v>7608.6337261356603</v>
      </c>
      <c r="J47">
        <v>111337219.82707199</v>
      </c>
      <c r="K47">
        <v>0.57533891258537195</v>
      </c>
      <c r="L47">
        <v>1.18359505080762E-2</v>
      </c>
      <c r="M47">
        <v>0.183564666480934</v>
      </c>
      <c r="N47">
        <v>3.7863706698314501E-3</v>
      </c>
      <c r="O47">
        <v>0.51479590507697504</v>
      </c>
      <c r="P47">
        <v>0.249781081192854</v>
      </c>
      <c r="Q47">
        <v>0.851456260094826</v>
      </c>
      <c r="R47">
        <v>0.12647849724025401</v>
      </c>
      <c r="S47">
        <v>68</v>
      </c>
      <c r="T47">
        <v>0.59050581288666404</v>
      </c>
      <c r="U47">
        <v>4.6289795906999401E-2</v>
      </c>
    </row>
    <row r="48" spans="1:21" x14ac:dyDescent="0.25">
      <c r="A48">
        <v>47</v>
      </c>
      <c r="B48">
        <v>510</v>
      </c>
      <c r="C48" t="s">
        <v>20</v>
      </c>
      <c r="D48">
        <v>23</v>
      </c>
      <c r="E48" t="s">
        <v>21</v>
      </c>
      <c r="F48" t="s">
        <v>22</v>
      </c>
      <c r="G48">
        <v>19286.300005431702</v>
      </c>
      <c r="H48">
        <v>333485537.95745599</v>
      </c>
      <c r="I48">
        <v>3948.5755660506302</v>
      </c>
      <c r="J48">
        <v>124400631.77163699</v>
      </c>
      <c r="K48">
        <v>0.58699164958451899</v>
      </c>
      <c r="L48">
        <v>1.0553930034771701E-2</v>
      </c>
      <c r="M48">
        <v>0.162031890677686</v>
      </c>
      <c r="N48">
        <v>1.77500361086555E-3</v>
      </c>
      <c r="O48">
        <v>0.57229570082290004</v>
      </c>
      <c r="P48">
        <v>0.24477333164242099</v>
      </c>
      <c r="Q48">
        <v>0.629048246269163</v>
      </c>
      <c r="R48">
        <v>0.23334655013472599</v>
      </c>
      <c r="S48">
        <v>25</v>
      </c>
      <c r="T48">
        <v>0.61452645731121702</v>
      </c>
      <c r="U48">
        <v>5.2866072984437101E-2</v>
      </c>
    </row>
    <row r="49" spans="1:21" x14ac:dyDescent="0.25">
      <c r="A49">
        <v>48</v>
      </c>
      <c r="B49">
        <v>509</v>
      </c>
      <c r="C49" t="s">
        <v>20</v>
      </c>
      <c r="D49">
        <v>23</v>
      </c>
      <c r="E49" t="s">
        <v>21</v>
      </c>
      <c r="F49" t="s">
        <v>22</v>
      </c>
      <c r="G49">
        <v>15720.536236391899</v>
      </c>
      <c r="H49">
        <v>280490967.106291</v>
      </c>
      <c r="I49">
        <v>6644.0909193376701</v>
      </c>
      <c r="J49">
        <v>111857094.33572701</v>
      </c>
      <c r="K49">
        <v>0.57631416929676604</v>
      </c>
      <c r="L49">
        <v>1.1465136648921801E-2</v>
      </c>
      <c r="M49">
        <v>0.16061829384179199</v>
      </c>
      <c r="N49">
        <v>1.9343927040086099E-3</v>
      </c>
      <c r="O49">
        <v>0.49473094867807199</v>
      </c>
      <c r="P49">
        <v>0.24997223709814101</v>
      </c>
      <c r="Q49">
        <v>0.47697417525003699</v>
      </c>
      <c r="R49">
        <v>0.249469811394253</v>
      </c>
      <c r="S49">
        <v>27</v>
      </c>
      <c r="T49">
        <v>0.57176294175833198</v>
      </c>
      <c r="U49">
        <v>5.2018251128732297E-2</v>
      </c>
    </row>
    <row r="50" spans="1:21" x14ac:dyDescent="0.25">
      <c r="A50">
        <v>49</v>
      </c>
      <c r="B50">
        <v>508</v>
      </c>
      <c r="C50" t="s">
        <v>20</v>
      </c>
      <c r="D50">
        <v>23</v>
      </c>
      <c r="E50" t="s">
        <v>21</v>
      </c>
      <c r="F50" t="s">
        <v>22</v>
      </c>
      <c r="G50">
        <v>14616.386418542301</v>
      </c>
      <c r="H50">
        <v>305894032.984487</v>
      </c>
      <c r="I50">
        <v>8036.0032156604202</v>
      </c>
      <c r="J50">
        <v>122878889.807908</v>
      </c>
      <c r="K50">
        <v>0.54182483107865598</v>
      </c>
      <c r="L50">
        <v>1.28839695422395E-2</v>
      </c>
      <c r="M50">
        <v>0.15721382941183101</v>
      </c>
      <c r="N50">
        <v>2.1025198083532101E-3</v>
      </c>
      <c r="O50">
        <v>0.44148109168321098</v>
      </c>
      <c r="P50">
        <v>0.24657553736950999</v>
      </c>
      <c r="Q50">
        <v>0.52144480325319897</v>
      </c>
      <c r="R50">
        <v>0.24954012041331899</v>
      </c>
      <c r="S50">
        <v>23</v>
      </c>
      <c r="T50">
        <v>0.53037495691731396</v>
      </c>
      <c r="U50">
        <v>5.7009575448061102E-2</v>
      </c>
    </row>
    <row r="51" spans="1:21" x14ac:dyDescent="0.25">
      <c r="A51">
        <v>50</v>
      </c>
      <c r="B51">
        <v>507</v>
      </c>
      <c r="C51" t="s">
        <v>20</v>
      </c>
      <c r="D51">
        <v>23</v>
      </c>
      <c r="E51" t="s">
        <v>21</v>
      </c>
      <c r="F51" t="s">
        <v>22</v>
      </c>
      <c r="G51">
        <v>16022.2626175982</v>
      </c>
      <c r="H51">
        <v>237667478.819493</v>
      </c>
      <c r="I51">
        <v>5907.1095331005299</v>
      </c>
      <c r="J51">
        <v>109017265.001958</v>
      </c>
      <c r="K51">
        <v>0.58795006270394101</v>
      </c>
      <c r="L51">
        <v>1.3138817276111299E-2</v>
      </c>
      <c r="M51">
        <v>0.177944273331019</v>
      </c>
      <c r="N51">
        <v>4.1291167728635903E-3</v>
      </c>
      <c r="O51">
        <v>0.60152185943552805</v>
      </c>
      <c r="P51">
        <v>0.239693312056553</v>
      </c>
      <c r="Q51">
        <v>0.59767824775503997</v>
      </c>
      <c r="R51">
        <v>0.24045895991546601</v>
      </c>
      <c r="S51">
        <v>43</v>
      </c>
      <c r="T51">
        <v>0.62322210821582902</v>
      </c>
      <c r="U51">
        <v>4.8691768833358698E-2</v>
      </c>
    </row>
    <row r="52" spans="1:21" x14ac:dyDescent="0.25">
      <c r="A52">
        <v>51</v>
      </c>
      <c r="B52">
        <v>601</v>
      </c>
      <c r="C52" t="s">
        <v>20</v>
      </c>
      <c r="D52">
        <v>23</v>
      </c>
      <c r="E52" t="s">
        <v>21</v>
      </c>
      <c r="F52" t="s">
        <v>22</v>
      </c>
      <c r="G52">
        <v>6417.4503223337197</v>
      </c>
      <c r="H52">
        <v>132934225.072274</v>
      </c>
      <c r="I52">
        <v>13103.5316034484</v>
      </c>
      <c r="J52">
        <v>56566873.546489999</v>
      </c>
      <c r="K52">
        <v>0.50850289744158494</v>
      </c>
      <c r="L52">
        <v>5.8860614808265797E-3</v>
      </c>
      <c r="M52">
        <v>0.158056659294215</v>
      </c>
      <c r="N52">
        <v>1.4222609984408099E-3</v>
      </c>
      <c r="O52">
        <v>0.198686744250021</v>
      </c>
      <c r="P52">
        <v>0.15921032190918</v>
      </c>
      <c r="Q52">
        <v>0.51449448683297805</v>
      </c>
      <c r="R52">
        <v>0.24978990985122501</v>
      </c>
      <c r="S52">
        <v>16</v>
      </c>
      <c r="T52">
        <v>0.41324118968782397</v>
      </c>
      <c r="U52">
        <v>2.7748077512245999E-2</v>
      </c>
    </row>
    <row r="53" spans="1:21" x14ac:dyDescent="0.25">
      <c r="A53">
        <v>52</v>
      </c>
      <c r="B53">
        <v>602</v>
      </c>
      <c r="C53" t="s">
        <v>20</v>
      </c>
      <c r="D53">
        <v>23</v>
      </c>
      <c r="E53" t="s">
        <v>21</v>
      </c>
      <c r="F53" t="s">
        <v>22</v>
      </c>
      <c r="G53">
        <v>11128.9328938407</v>
      </c>
      <c r="H53">
        <v>219417134.310902</v>
      </c>
      <c r="I53">
        <v>10693.4585081183</v>
      </c>
      <c r="J53">
        <v>86113253.867819607</v>
      </c>
      <c r="K53">
        <v>0.54921973284897396</v>
      </c>
      <c r="L53">
        <v>7.4178215877185403E-3</v>
      </c>
      <c r="M53">
        <v>0.15934195381816399</v>
      </c>
      <c r="N53">
        <v>1.6049265137141899E-3</v>
      </c>
      <c r="O53">
        <v>0.36344243545754801</v>
      </c>
      <c r="P53">
        <v>0.231352031566182</v>
      </c>
      <c r="Q53">
        <v>0.51762468355243696</v>
      </c>
      <c r="R53">
        <v>0.24968937052935</v>
      </c>
      <c r="S53">
        <v>24</v>
      </c>
      <c r="T53">
        <v>0.49890764968763801</v>
      </c>
      <c r="U53">
        <v>4.14493977714585E-2</v>
      </c>
    </row>
    <row r="54" spans="1:21" x14ac:dyDescent="0.25">
      <c r="A54">
        <v>53</v>
      </c>
      <c r="B54">
        <v>603</v>
      </c>
      <c r="C54" t="s">
        <v>20</v>
      </c>
      <c r="D54">
        <v>23</v>
      </c>
      <c r="E54" t="s">
        <v>21</v>
      </c>
      <c r="F54" t="s">
        <v>22</v>
      </c>
      <c r="G54">
        <v>17619.917826375098</v>
      </c>
      <c r="H54">
        <v>322604845.95838201</v>
      </c>
      <c r="I54">
        <v>6653.12460052602</v>
      </c>
      <c r="J54">
        <v>118489251.826105</v>
      </c>
      <c r="K54">
        <v>0.60690361855416497</v>
      </c>
      <c r="L54">
        <v>7.4250089463988199E-3</v>
      </c>
      <c r="M54">
        <v>0.17669325941509401</v>
      </c>
      <c r="N54">
        <v>1.6297532614329899E-3</v>
      </c>
      <c r="O54">
        <v>0.55488861701585401</v>
      </c>
      <c r="P54">
        <v>0.24698723972216199</v>
      </c>
      <c r="Q54">
        <v>0.96515732728408099</v>
      </c>
      <c r="R54">
        <v>3.3628660873909401E-2</v>
      </c>
      <c r="S54">
        <v>155</v>
      </c>
      <c r="T54">
        <v>0.60585003680563698</v>
      </c>
      <c r="U54">
        <v>4.0768496453262797E-2</v>
      </c>
    </row>
    <row r="55" spans="1:21" x14ac:dyDescent="0.25">
      <c r="A55">
        <v>54</v>
      </c>
      <c r="B55">
        <v>604</v>
      </c>
      <c r="C55" t="s">
        <v>20</v>
      </c>
      <c r="D55">
        <v>23</v>
      </c>
      <c r="E55" t="s">
        <v>21</v>
      </c>
      <c r="F55" t="s">
        <v>22</v>
      </c>
      <c r="G55">
        <v>16220.712697762299</v>
      </c>
      <c r="H55">
        <v>302076942.44076401</v>
      </c>
      <c r="I55">
        <v>7152.2755259864398</v>
      </c>
      <c r="J55">
        <v>122006331.41574401</v>
      </c>
      <c r="K55">
        <v>0.588631329337997</v>
      </c>
      <c r="L55">
        <v>9.4375760641019803E-3</v>
      </c>
      <c r="M55">
        <v>0.16933086052157401</v>
      </c>
      <c r="N55">
        <v>1.5635974764588499E-3</v>
      </c>
      <c r="O55">
        <v>0.50580895861695196</v>
      </c>
      <c r="P55">
        <v>0.24996625599981601</v>
      </c>
      <c r="Q55">
        <v>0.85349089274856604</v>
      </c>
      <c r="R55">
        <v>0.12504418874366699</v>
      </c>
      <c r="S55">
        <v>55</v>
      </c>
      <c r="T55">
        <v>0.58499917937949697</v>
      </c>
      <c r="U55">
        <v>4.6226285636597302E-2</v>
      </c>
    </row>
    <row r="56" spans="1:21" x14ac:dyDescent="0.25">
      <c r="A56">
        <v>55</v>
      </c>
      <c r="B56">
        <v>605</v>
      </c>
      <c r="C56" t="s">
        <v>20</v>
      </c>
      <c r="D56">
        <v>23</v>
      </c>
      <c r="E56" t="s">
        <v>21</v>
      </c>
      <c r="F56" t="s">
        <v>22</v>
      </c>
      <c r="G56">
        <v>13431.497184662099</v>
      </c>
      <c r="H56">
        <v>248105620.400455</v>
      </c>
      <c r="I56">
        <v>8645.4102908772493</v>
      </c>
      <c r="J56">
        <v>124355289.031333</v>
      </c>
      <c r="K56">
        <v>0.56181763452543998</v>
      </c>
      <c r="L56">
        <v>1.26717682032435E-2</v>
      </c>
      <c r="M56">
        <v>0.16969303808592701</v>
      </c>
      <c r="N56">
        <v>3.27301395696973E-3</v>
      </c>
      <c r="O56">
        <v>0.47254878358678098</v>
      </c>
      <c r="P56">
        <v>0.24924643071748701</v>
      </c>
      <c r="Q56">
        <v>0.72852270447401901</v>
      </c>
      <c r="R56">
        <v>0.19777737353996599</v>
      </c>
      <c r="S56">
        <v>50</v>
      </c>
      <c r="T56">
        <v>0.56438928821777901</v>
      </c>
      <c r="U56">
        <v>4.7671730087895499E-2</v>
      </c>
    </row>
    <row r="57" spans="1:21" x14ac:dyDescent="0.25">
      <c r="A57">
        <v>56</v>
      </c>
      <c r="B57">
        <v>606</v>
      </c>
      <c r="C57" t="s">
        <v>20</v>
      </c>
      <c r="D57">
        <v>23</v>
      </c>
      <c r="E57" t="s">
        <v>21</v>
      </c>
      <c r="F57" t="s">
        <v>22</v>
      </c>
      <c r="G57">
        <v>15309.810452285001</v>
      </c>
      <c r="H57">
        <v>263112058.65392399</v>
      </c>
      <c r="I57">
        <v>6298.2216570123301</v>
      </c>
      <c r="J57">
        <v>125019653.99681801</v>
      </c>
      <c r="K57">
        <v>0.58895653196784603</v>
      </c>
      <c r="L57">
        <v>1.19094354223088E-2</v>
      </c>
      <c r="M57">
        <v>0.18706683170066801</v>
      </c>
      <c r="N57">
        <v>4.6666845217070204E-3</v>
      </c>
      <c r="O57">
        <v>0.58622544710220004</v>
      </c>
      <c r="P57">
        <v>0.24256517227180699</v>
      </c>
      <c r="Q57">
        <v>0.87268217786701296</v>
      </c>
      <c r="R57">
        <v>0.111107994300323</v>
      </c>
      <c r="S57">
        <v>98</v>
      </c>
      <c r="T57">
        <v>0.62814403201447599</v>
      </c>
      <c r="U57">
        <v>4.5161301122914999E-2</v>
      </c>
    </row>
    <row r="58" spans="1:21" x14ac:dyDescent="0.25">
      <c r="A58">
        <v>57</v>
      </c>
      <c r="B58">
        <v>607</v>
      </c>
      <c r="C58" t="s">
        <v>20</v>
      </c>
      <c r="D58">
        <v>23</v>
      </c>
      <c r="E58" t="s">
        <v>21</v>
      </c>
      <c r="F58" t="s">
        <v>22</v>
      </c>
      <c r="G58">
        <v>10988.7958531163</v>
      </c>
      <c r="H58">
        <v>214778129.112385</v>
      </c>
      <c r="I58">
        <v>11599.885638801899</v>
      </c>
      <c r="J58">
        <v>98813252.580930203</v>
      </c>
      <c r="K58">
        <v>0.49416374569034399</v>
      </c>
      <c r="L58">
        <v>1.06983053543374E-2</v>
      </c>
      <c r="M58">
        <v>0.14705379231565499</v>
      </c>
      <c r="N58">
        <v>3.61154821393669E-3</v>
      </c>
      <c r="O58">
        <v>0.37600515959052599</v>
      </c>
      <c r="P58">
        <v>0.23462527955193299</v>
      </c>
      <c r="Q58">
        <v>0.69690274594832002</v>
      </c>
      <c r="R58">
        <v>0.21122930863783099</v>
      </c>
      <c r="S58">
        <v>50</v>
      </c>
      <c r="T58">
        <v>0.50381076728423801</v>
      </c>
      <c r="U58">
        <v>4.2470188626684897E-2</v>
      </c>
    </row>
    <row r="59" spans="1:21" x14ac:dyDescent="0.25">
      <c r="A59">
        <v>58</v>
      </c>
      <c r="B59">
        <v>608</v>
      </c>
      <c r="C59" t="s">
        <v>20</v>
      </c>
      <c r="D59">
        <v>23</v>
      </c>
      <c r="E59" t="s">
        <v>21</v>
      </c>
      <c r="F59" t="s">
        <v>22</v>
      </c>
      <c r="G59">
        <v>16169.6581307258</v>
      </c>
      <c r="H59">
        <v>311112116.02862298</v>
      </c>
      <c r="I59">
        <v>7356.8739654719602</v>
      </c>
      <c r="J59">
        <v>100704552.837497</v>
      </c>
      <c r="K59">
        <v>0.50126861787797705</v>
      </c>
      <c r="L59">
        <v>1.08082288825681E-2</v>
      </c>
      <c r="M59">
        <v>0.14041679367441101</v>
      </c>
      <c r="N59">
        <v>1.9993677683842999E-3</v>
      </c>
      <c r="O59">
        <v>0.47867023272137599</v>
      </c>
      <c r="P59">
        <v>0.24954504102782901</v>
      </c>
      <c r="Q59">
        <v>0.60270872164798694</v>
      </c>
      <c r="R59">
        <v>0.23945091849711</v>
      </c>
      <c r="S59">
        <v>24</v>
      </c>
      <c r="T59">
        <v>0.54297704740326702</v>
      </c>
      <c r="U59">
        <v>5.0313229958262803E-2</v>
      </c>
    </row>
    <row r="60" spans="1:21" x14ac:dyDescent="0.25">
      <c r="A60">
        <v>59</v>
      </c>
      <c r="B60">
        <v>609</v>
      </c>
      <c r="C60" t="s">
        <v>20</v>
      </c>
      <c r="D60">
        <v>23</v>
      </c>
      <c r="E60" t="s">
        <v>21</v>
      </c>
      <c r="F60" t="s">
        <v>22</v>
      </c>
      <c r="G60">
        <v>17226.623533940699</v>
      </c>
      <c r="H60">
        <v>329933784.97562999</v>
      </c>
      <c r="I60">
        <v>6583.7865838539101</v>
      </c>
      <c r="J60">
        <v>117707858.53082301</v>
      </c>
      <c r="K60">
        <v>0.517615727875676</v>
      </c>
      <c r="L60">
        <v>1.13047248182561E-2</v>
      </c>
      <c r="M60">
        <v>0.138460658910219</v>
      </c>
      <c r="N60">
        <v>1.9603522627255001E-3</v>
      </c>
      <c r="O60">
        <v>0.48267676119594499</v>
      </c>
      <c r="P60">
        <v>0.24969990539711501</v>
      </c>
      <c r="Q60">
        <v>0.46771813200210499</v>
      </c>
      <c r="R60">
        <v>0.248957880998565</v>
      </c>
      <c r="S60">
        <v>16</v>
      </c>
      <c r="T60">
        <v>0.55428489485398702</v>
      </c>
      <c r="U60">
        <v>5.4893876704400997E-2</v>
      </c>
    </row>
    <row r="61" spans="1:21" x14ac:dyDescent="0.25">
      <c r="A61">
        <v>60</v>
      </c>
      <c r="B61">
        <v>610</v>
      </c>
      <c r="C61" t="s">
        <v>20</v>
      </c>
      <c r="D61">
        <v>23</v>
      </c>
      <c r="E61" t="s">
        <v>21</v>
      </c>
      <c r="F61" t="s">
        <v>22</v>
      </c>
      <c r="G61">
        <v>10017.399641317101</v>
      </c>
      <c r="H61">
        <v>185008925.58422399</v>
      </c>
      <c r="I61">
        <v>10708.523122737</v>
      </c>
      <c r="J61">
        <v>79402425.257696599</v>
      </c>
      <c r="K61">
        <v>0.49605692947454599</v>
      </c>
      <c r="L61">
        <v>9.13909179115493E-3</v>
      </c>
      <c r="M61">
        <v>0.144972061384606</v>
      </c>
      <c r="N61">
        <v>1.4709361002283601E-3</v>
      </c>
      <c r="O61">
        <v>0.32367175240330698</v>
      </c>
      <c r="P61">
        <v>0.21890834909953</v>
      </c>
      <c r="Q61">
        <v>0.52317592604802698</v>
      </c>
      <c r="R61">
        <v>0.24946287645172599</v>
      </c>
      <c r="S61">
        <v>16</v>
      </c>
      <c r="T61">
        <v>0.46480866489449602</v>
      </c>
      <c r="U61">
        <v>4.3463593489144602E-2</v>
      </c>
    </row>
    <row r="62" spans="1:21" x14ac:dyDescent="0.25">
      <c r="A62">
        <v>61</v>
      </c>
      <c r="B62">
        <v>701</v>
      </c>
      <c r="C62" t="s">
        <v>20</v>
      </c>
      <c r="D62">
        <v>23</v>
      </c>
      <c r="E62" t="s">
        <v>21</v>
      </c>
      <c r="F62" t="s">
        <v>22</v>
      </c>
      <c r="G62">
        <v>10949.394440656901</v>
      </c>
      <c r="H62">
        <v>217191467.04424399</v>
      </c>
      <c r="I62">
        <v>9421.4059061898497</v>
      </c>
      <c r="J62">
        <v>104007769.27449501</v>
      </c>
      <c r="K62">
        <v>0.55843790746314603</v>
      </c>
      <c r="L62">
        <v>1.03138481796725E-2</v>
      </c>
      <c r="M62">
        <v>0.16428968632357399</v>
      </c>
      <c r="N62">
        <v>1.7785567404731699E-3</v>
      </c>
      <c r="O62">
        <v>0.356130467544584</v>
      </c>
      <c r="P62">
        <v>0.229301557630925</v>
      </c>
      <c r="Q62">
        <v>0.70197218135935802</v>
      </c>
      <c r="R62">
        <v>0.20920723795728799</v>
      </c>
      <c r="S62">
        <v>41</v>
      </c>
      <c r="T62">
        <v>0.51073519215681096</v>
      </c>
      <c r="U62">
        <v>4.4001246589922403E-2</v>
      </c>
    </row>
    <row r="63" spans="1:21" x14ac:dyDescent="0.25">
      <c r="A63">
        <v>62</v>
      </c>
      <c r="B63">
        <v>702</v>
      </c>
      <c r="C63" t="s">
        <v>20</v>
      </c>
      <c r="D63">
        <v>23</v>
      </c>
      <c r="E63" t="s">
        <v>21</v>
      </c>
      <c r="F63" t="s">
        <v>22</v>
      </c>
      <c r="G63">
        <v>16163.841389580601</v>
      </c>
      <c r="H63">
        <v>295706592.77570498</v>
      </c>
      <c r="I63">
        <v>7398.5179456606302</v>
      </c>
      <c r="J63">
        <v>102063609.53598399</v>
      </c>
      <c r="K63">
        <v>0.59933938440354695</v>
      </c>
      <c r="L63">
        <v>6.4774498287088998E-3</v>
      </c>
      <c r="M63">
        <v>0.17100838961123099</v>
      </c>
      <c r="N63">
        <v>1.9462966078690901E-3</v>
      </c>
      <c r="O63">
        <v>0.53738831111762098</v>
      </c>
      <c r="P63">
        <v>0.248602114191877</v>
      </c>
      <c r="Q63">
        <v>0.93059166758218304</v>
      </c>
      <c r="R63">
        <v>6.4590815808798704E-2</v>
      </c>
      <c r="S63">
        <v>106</v>
      </c>
      <c r="T63">
        <v>0.59392293465956902</v>
      </c>
      <c r="U63">
        <v>3.9379050007763303E-2</v>
      </c>
    </row>
    <row r="64" spans="1:21" x14ac:dyDescent="0.25">
      <c r="A64">
        <v>63</v>
      </c>
      <c r="B64">
        <v>703</v>
      </c>
      <c r="C64" t="s">
        <v>20</v>
      </c>
      <c r="D64">
        <v>23</v>
      </c>
      <c r="E64" t="s">
        <v>21</v>
      </c>
      <c r="F64" t="s">
        <v>22</v>
      </c>
      <c r="G64">
        <v>14507.9760569276</v>
      </c>
      <c r="H64">
        <v>309933192.02174401</v>
      </c>
      <c r="I64">
        <v>8082.5971504423796</v>
      </c>
      <c r="J64">
        <v>109644156.80625001</v>
      </c>
      <c r="K64">
        <v>0.595060390722293</v>
      </c>
      <c r="L64">
        <v>7.7884800172500898E-3</v>
      </c>
      <c r="M64">
        <v>0.17768858578638599</v>
      </c>
      <c r="N64">
        <v>1.7954172136330701E-3</v>
      </c>
      <c r="O64">
        <v>0.473192608981642</v>
      </c>
      <c r="P64">
        <v>0.24928136378688301</v>
      </c>
      <c r="Q64">
        <v>0.96476160857395798</v>
      </c>
      <c r="R64">
        <v>3.3996647195796897E-2</v>
      </c>
      <c r="S64">
        <v>155</v>
      </c>
      <c r="T64">
        <v>0.56771505469555295</v>
      </c>
      <c r="U64">
        <v>4.0634319242997097E-2</v>
      </c>
    </row>
    <row r="65" spans="1:21" x14ac:dyDescent="0.25">
      <c r="A65">
        <v>64</v>
      </c>
      <c r="B65">
        <v>704</v>
      </c>
      <c r="C65" t="s">
        <v>20</v>
      </c>
      <c r="D65">
        <v>23</v>
      </c>
      <c r="E65" t="s">
        <v>21</v>
      </c>
      <c r="F65" t="s">
        <v>22</v>
      </c>
      <c r="G65">
        <v>12208.123661604001</v>
      </c>
      <c r="H65">
        <v>213300175.54747099</v>
      </c>
      <c r="I65">
        <v>9622.4795780938402</v>
      </c>
      <c r="J65">
        <v>96571600.555693597</v>
      </c>
      <c r="K65">
        <v>0.56664678146606295</v>
      </c>
      <c r="L65">
        <v>9.5994427894584792E-3</v>
      </c>
      <c r="M65">
        <v>0.16607196540557301</v>
      </c>
      <c r="N65">
        <v>1.75831914820348E-3</v>
      </c>
      <c r="O65">
        <v>0.42388839255034</v>
      </c>
      <c r="P65">
        <v>0.24420702321131799</v>
      </c>
      <c r="Q65">
        <v>0.75599197405310303</v>
      </c>
      <c r="R65">
        <v>0.18446810922068199</v>
      </c>
      <c r="S65">
        <v>35</v>
      </c>
      <c r="T65">
        <v>0.53450488774635196</v>
      </c>
      <c r="U65">
        <v>4.4241581079294899E-2</v>
      </c>
    </row>
    <row r="66" spans="1:21" x14ac:dyDescent="0.25">
      <c r="A66">
        <v>65</v>
      </c>
      <c r="B66">
        <v>705</v>
      </c>
      <c r="C66" t="s">
        <v>20</v>
      </c>
      <c r="D66">
        <v>23</v>
      </c>
      <c r="E66" t="s">
        <v>21</v>
      </c>
      <c r="F66" t="s">
        <v>22</v>
      </c>
      <c r="G66">
        <v>15511.987997448499</v>
      </c>
      <c r="H66">
        <v>261588595.60421601</v>
      </c>
      <c r="I66">
        <v>6831.80844284461</v>
      </c>
      <c r="J66">
        <v>130436693.427697</v>
      </c>
      <c r="K66">
        <v>0.59203922636152795</v>
      </c>
      <c r="L66">
        <v>1.0579649604773599E-2</v>
      </c>
      <c r="M66">
        <v>0.17183860500565401</v>
      </c>
      <c r="N66">
        <v>4.2184106670844204E-3</v>
      </c>
      <c r="O66">
        <v>0.55408308056810296</v>
      </c>
      <c r="P66">
        <v>0.247075020396232</v>
      </c>
      <c r="Q66">
        <v>0.83605831814631604</v>
      </c>
      <c r="R66">
        <v>0.13706480680466199</v>
      </c>
      <c r="S66">
        <v>40</v>
      </c>
      <c r="T66">
        <v>0.60677005691455999</v>
      </c>
      <c r="U66">
        <v>4.5275108948928298E-2</v>
      </c>
    </row>
    <row r="67" spans="1:21" x14ac:dyDescent="0.25">
      <c r="A67">
        <v>66</v>
      </c>
      <c r="B67">
        <v>706</v>
      </c>
      <c r="C67" t="s">
        <v>20</v>
      </c>
      <c r="D67">
        <v>23</v>
      </c>
      <c r="E67" t="s">
        <v>21</v>
      </c>
      <c r="F67" t="s">
        <v>22</v>
      </c>
      <c r="G67">
        <v>14027.969247339101</v>
      </c>
      <c r="H67">
        <v>262205954.83621699</v>
      </c>
      <c r="I67">
        <v>8408.0089184704593</v>
      </c>
      <c r="J67">
        <v>127765366.23864099</v>
      </c>
      <c r="K67">
        <v>0.56967333569269296</v>
      </c>
      <c r="L67">
        <v>1.07032998146639E-2</v>
      </c>
      <c r="M67">
        <v>0.16480446964565701</v>
      </c>
      <c r="N67">
        <v>4.2796834609692396E-3</v>
      </c>
      <c r="O67">
        <v>0.50661429295489102</v>
      </c>
      <c r="P67">
        <v>0.24995625112901301</v>
      </c>
      <c r="Q67">
        <v>0.75054166719460702</v>
      </c>
      <c r="R67">
        <v>0.187228872999222</v>
      </c>
      <c r="S67">
        <v>44</v>
      </c>
      <c r="T67">
        <v>0.58233503997590197</v>
      </c>
      <c r="U67">
        <v>4.5527536584482803E-2</v>
      </c>
    </row>
    <row r="68" spans="1:21" x14ac:dyDescent="0.25">
      <c r="A68">
        <v>67</v>
      </c>
      <c r="B68">
        <v>707</v>
      </c>
      <c r="C68" t="s">
        <v>20</v>
      </c>
      <c r="D68">
        <v>23</v>
      </c>
      <c r="E68" t="s">
        <v>21</v>
      </c>
      <c r="F68" t="s">
        <v>22</v>
      </c>
      <c r="G68">
        <v>9786.6972058173105</v>
      </c>
      <c r="H68">
        <v>175112715.68151599</v>
      </c>
      <c r="I68">
        <v>11297.399868592</v>
      </c>
      <c r="J68">
        <v>93291983.683043793</v>
      </c>
      <c r="K68">
        <v>0.51760973892416895</v>
      </c>
      <c r="L68">
        <v>1.05560529322976E-2</v>
      </c>
      <c r="M68">
        <v>0.14018533046562701</v>
      </c>
      <c r="N68">
        <v>3.8029941184519801E-3</v>
      </c>
      <c r="O68">
        <v>0.37554960064521198</v>
      </c>
      <c r="P68">
        <v>0.23451209810013299</v>
      </c>
      <c r="Q68">
        <v>0.84789113522233495</v>
      </c>
      <c r="R68">
        <v>0.128971758033638</v>
      </c>
      <c r="S68">
        <v>57</v>
      </c>
      <c r="T68">
        <v>0.49860676961573003</v>
      </c>
      <c r="U68">
        <v>4.1834413957140201E-2</v>
      </c>
    </row>
    <row r="69" spans="1:21" x14ac:dyDescent="0.25">
      <c r="A69">
        <v>68</v>
      </c>
      <c r="B69">
        <v>708</v>
      </c>
      <c r="C69" t="s">
        <v>20</v>
      </c>
      <c r="D69">
        <v>23</v>
      </c>
      <c r="E69" t="s">
        <v>21</v>
      </c>
      <c r="F69" t="s">
        <v>22</v>
      </c>
      <c r="G69">
        <v>11467.706400842</v>
      </c>
      <c r="H69">
        <v>236353569.767813</v>
      </c>
      <c r="I69">
        <v>8694.8210557080802</v>
      </c>
      <c r="J69">
        <v>77848689.320656106</v>
      </c>
      <c r="K69">
        <v>0.50965850825885095</v>
      </c>
      <c r="L69">
        <v>1.0324775894291699E-2</v>
      </c>
      <c r="M69">
        <v>0.13482430374437901</v>
      </c>
      <c r="N69">
        <v>4.3881810897115599E-3</v>
      </c>
      <c r="O69">
        <v>0.36529767742244101</v>
      </c>
      <c r="P69">
        <v>0.231855284291798</v>
      </c>
      <c r="Q69">
        <v>0.74266578963104701</v>
      </c>
      <c r="R69">
        <v>0.191113314542428</v>
      </c>
      <c r="S69">
        <v>37</v>
      </c>
      <c r="T69">
        <v>0.49573832740286999</v>
      </c>
      <c r="U69">
        <v>4.3236494317937198E-2</v>
      </c>
    </row>
    <row r="70" spans="1:21" x14ac:dyDescent="0.25">
      <c r="A70">
        <v>69</v>
      </c>
      <c r="B70">
        <v>709</v>
      </c>
      <c r="C70" t="s">
        <v>20</v>
      </c>
      <c r="D70">
        <v>23</v>
      </c>
      <c r="E70" t="s">
        <v>21</v>
      </c>
      <c r="F70" t="s">
        <v>22</v>
      </c>
      <c r="G70">
        <v>11327.324546559899</v>
      </c>
      <c r="H70">
        <v>188136181.94999701</v>
      </c>
      <c r="I70">
        <v>7723.9657323993597</v>
      </c>
      <c r="J70">
        <v>80997608.867241398</v>
      </c>
      <c r="K70">
        <v>0.541827777516253</v>
      </c>
      <c r="L70">
        <v>1.34313356839771E-2</v>
      </c>
      <c r="M70">
        <v>0.143384324389739</v>
      </c>
      <c r="N70">
        <v>4.8939515677940901E-3</v>
      </c>
      <c r="O70">
        <v>0.407087078053122</v>
      </c>
      <c r="P70">
        <v>0.241367188935287</v>
      </c>
      <c r="Q70">
        <v>0.63820399363225</v>
      </c>
      <c r="R70">
        <v>0.23089965614401001</v>
      </c>
      <c r="S70">
        <v>32</v>
      </c>
      <c r="T70">
        <v>0.52836057034404205</v>
      </c>
      <c r="U70">
        <v>4.8427417899659798E-2</v>
      </c>
    </row>
    <row r="71" spans="1:21" x14ac:dyDescent="0.25">
      <c r="A71">
        <v>70</v>
      </c>
      <c r="B71">
        <v>710</v>
      </c>
      <c r="C71" t="s">
        <v>20</v>
      </c>
      <c r="D71">
        <v>23</v>
      </c>
      <c r="E71" t="s">
        <v>21</v>
      </c>
      <c r="F71" t="s">
        <v>22</v>
      </c>
      <c r="G71">
        <v>13222.1166775436</v>
      </c>
      <c r="H71">
        <v>252632237.04449001</v>
      </c>
      <c r="I71">
        <v>7106.8388230744704</v>
      </c>
      <c r="J71">
        <v>92238309.4651227</v>
      </c>
      <c r="K71">
        <v>0.54321044312219302</v>
      </c>
      <c r="L71">
        <v>9.3021046429111309E-3</v>
      </c>
      <c r="M71">
        <v>0.13277204063335399</v>
      </c>
      <c r="N71">
        <v>2.92970694047184E-3</v>
      </c>
      <c r="O71">
        <v>0.43461681190576701</v>
      </c>
      <c r="P71">
        <v>0.245725038714494</v>
      </c>
      <c r="Q71">
        <v>0.53015625199953897</v>
      </c>
      <c r="R71">
        <v>0.249090600465664</v>
      </c>
      <c r="S71">
        <v>15</v>
      </c>
      <c r="T71">
        <v>0.53777845183263895</v>
      </c>
      <c r="U71">
        <v>4.4522889161841397E-2</v>
      </c>
    </row>
    <row r="72" spans="1:21" x14ac:dyDescent="0.25">
      <c r="A72">
        <v>71</v>
      </c>
      <c r="B72">
        <v>801</v>
      </c>
      <c r="C72" t="s">
        <v>20</v>
      </c>
      <c r="D72">
        <v>23</v>
      </c>
      <c r="E72" t="s">
        <v>21</v>
      </c>
      <c r="F72" t="s">
        <v>22</v>
      </c>
      <c r="G72">
        <v>12902.3006313147</v>
      </c>
      <c r="H72">
        <v>273233349.14462501</v>
      </c>
      <c r="I72">
        <v>8791.6410019190298</v>
      </c>
      <c r="J72">
        <v>98550465.935510501</v>
      </c>
      <c r="K72">
        <v>0.54882508804142704</v>
      </c>
      <c r="L72">
        <v>9.03393926488677E-3</v>
      </c>
      <c r="M72">
        <v>0.155760338092747</v>
      </c>
      <c r="N72">
        <v>1.9585499000230001E-3</v>
      </c>
      <c r="O72">
        <v>0.362544456614037</v>
      </c>
      <c r="P72">
        <v>0.231105973592617</v>
      </c>
      <c r="Q72">
        <v>0.49558142969673102</v>
      </c>
      <c r="R72">
        <v>0.249980476236667</v>
      </c>
      <c r="S72">
        <v>45</v>
      </c>
      <c r="T72">
        <v>0.488825771542375</v>
      </c>
      <c r="U72">
        <v>5.0198691614214502E-2</v>
      </c>
    </row>
    <row r="73" spans="1:21" x14ac:dyDescent="0.25">
      <c r="A73">
        <v>72</v>
      </c>
      <c r="B73">
        <v>802</v>
      </c>
      <c r="C73" t="s">
        <v>20</v>
      </c>
      <c r="D73">
        <v>23</v>
      </c>
      <c r="E73" t="s">
        <v>21</v>
      </c>
      <c r="F73" t="s">
        <v>22</v>
      </c>
      <c r="G73">
        <v>12981.6893373905</v>
      </c>
      <c r="H73">
        <v>250666029.68378901</v>
      </c>
      <c r="I73">
        <v>8829.0507589153494</v>
      </c>
      <c r="J73">
        <v>109405609.13916799</v>
      </c>
      <c r="K73">
        <v>0.57647249513528798</v>
      </c>
      <c r="L73">
        <v>9.62970391632164E-3</v>
      </c>
      <c r="M73">
        <v>0.16224372315825</v>
      </c>
      <c r="N73">
        <v>2.1174375002993399E-3</v>
      </c>
      <c r="O73">
        <v>0.400235980873129</v>
      </c>
      <c r="P73">
        <v>0.24004714048789699</v>
      </c>
      <c r="Q73">
        <v>0.80644600385021403</v>
      </c>
      <c r="R73">
        <v>0.15609084672412801</v>
      </c>
      <c r="S73">
        <v>112</v>
      </c>
      <c r="T73">
        <v>0.51787136497491604</v>
      </c>
      <c r="U73">
        <v>5.1810412595370503E-2</v>
      </c>
    </row>
    <row r="74" spans="1:21" x14ac:dyDescent="0.25">
      <c r="A74">
        <v>73</v>
      </c>
      <c r="B74">
        <v>803</v>
      </c>
      <c r="C74" t="s">
        <v>20</v>
      </c>
      <c r="D74">
        <v>23</v>
      </c>
      <c r="E74" t="s">
        <v>21</v>
      </c>
      <c r="F74" t="s">
        <v>22</v>
      </c>
      <c r="G74">
        <v>16891.698403468599</v>
      </c>
      <c r="H74">
        <v>330691961.53738701</v>
      </c>
      <c r="I74">
        <v>6163.7166380931603</v>
      </c>
      <c r="J74">
        <v>101670330.13931499</v>
      </c>
      <c r="K74">
        <v>0.603662726793875</v>
      </c>
      <c r="L74">
        <v>6.7916977423756499E-3</v>
      </c>
      <c r="M74">
        <v>0.17640381184497</v>
      </c>
      <c r="N74">
        <v>1.6434352634882099E-3</v>
      </c>
      <c r="O74">
        <v>0.53910427385000403</v>
      </c>
      <c r="P74">
        <v>0.248470855766772</v>
      </c>
      <c r="Q74">
        <v>0.97176083933763102</v>
      </c>
      <c r="R74">
        <v>2.7441710467465099E-2</v>
      </c>
      <c r="S74">
        <v>161</v>
      </c>
      <c r="T74">
        <v>0.59377358378277301</v>
      </c>
      <c r="U74">
        <v>3.8725717118724599E-2</v>
      </c>
    </row>
    <row r="75" spans="1:21" x14ac:dyDescent="0.25">
      <c r="A75">
        <v>74</v>
      </c>
      <c r="B75">
        <v>804</v>
      </c>
      <c r="C75" t="s">
        <v>20</v>
      </c>
      <c r="D75">
        <v>23</v>
      </c>
      <c r="E75" t="s">
        <v>21</v>
      </c>
      <c r="F75" t="s">
        <v>22</v>
      </c>
      <c r="G75">
        <v>15654.607681642899</v>
      </c>
      <c r="H75">
        <v>327682454.77013701</v>
      </c>
      <c r="I75">
        <v>7505.6517198972397</v>
      </c>
      <c r="J75">
        <v>106999248.621509</v>
      </c>
      <c r="K75">
        <v>0.58383539273096796</v>
      </c>
      <c r="L75">
        <v>8.3346974561837091E-3</v>
      </c>
      <c r="M75">
        <v>0.16834437464559701</v>
      </c>
      <c r="N75">
        <v>1.9990462686666302E-3</v>
      </c>
      <c r="O75">
        <v>0.48724073082677899</v>
      </c>
      <c r="P75">
        <v>0.24983720104992599</v>
      </c>
      <c r="Q75">
        <v>0.81061084420041196</v>
      </c>
      <c r="R75">
        <v>0.15352090346529099</v>
      </c>
      <c r="S75">
        <v>44</v>
      </c>
      <c r="T75">
        <v>0.56766521515624602</v>
      </c>
      <c r="U75">
        <v>4.5056295219312599E-2</v>
      </c>
    </row>
    <row r="76" spans="1:21" x14ac:dyDescent="0.25">
      <c r="A76">
        <v>75</v>
      </c>
      <c r="B76">
        <v>805</v>
      </c>
      <c r="C76" t="s">
        <v>20</v>
      </c>
      <c r="D76">
        <v>23</v>
      </c>
      <c r="E76" t="s">
        <v>21</v>
      </c>
      <c r="F76" t="s">
        <v>22</v>
      </c>
      <c r="G76">
        <v>15653.5744125326</v>
      </c>
      <c r="H76">
        <v>279298768.41823</v>
      </c>
      <c r="I76">
        <v>5840.4437662908804</v>
      </c>
      <c r="J76">
        <v>104782405.24940699</v>
      </c>
      <c r="K76">
        <v>0.61135580896637398</v>
      </c>
      <c r="L76">
        <v>9.6471549511938006E-3</v>
      </c>
      <c r="M76">
        <v>0.18494065872931201</v>
      </c>
      <c r="N76">
        <v>5.7578253568563798E-3</v>
      </c>
      <c r="O76">
        <v>0.58514197127937295</v>
      </c>
      <c r="P76">
        <v>0.242750844726835</v>
      </c>
      <c r="Q76">
        <v>0.91306949544403604</v>
      </c>
      <c r="R76">
        <v>7.93735919335192E-2</v>
      </c>
      <c r="S76">
        <v>111</v>
      </c>
      <c r="T76">
        <v>0.60846519469667704</v>
      </c>
      <c r="U76">
        <v>4.6697812005313498E-2</v>
      </c>
    </row>
    <row r="77" spans="1:21" x14ac:dyDescent="0.25">
      <c r="A77">
        <v>76</v>
      </c>
      <c r="B77">
        <v>806</v>
      </c>
      <c r="C77" t="s">
        <v>20</v>
      </c>
      <c r="D77">
        <v>23</v>
      </c>
      <c r="E77" t="s">
        <v>21</v>
      </c>
      <c r="F77" t="s">
        <v>22</v>
      </c>
      <c r="G77">
        <v>12755.779107972399</v>
      </c>
      <c r="H77">
        <v>214878375.619234</v>
      </c>
      <c r="I77">
        <v>7399.6955212276798</v>
      </c>
      <c r="J77">
        <v>106908271.007383</v>
      </c>
      <c r="K77">
        <v>0.60032876703296301</v>
      </c>
      <c r="L77">
        <v>1.24387818859562E-2</v>
      </c>
      <c r="M77">
        <v>0.17312199093391201</v>
      </c>
      <c r="N77">
        <v>5.01906047636056E-3</v>
      </c>
      <c r="O77">
        <v>0.50349333434042098</v>
      </c>
      <c r="P77">
        <v>0.24998779661506801</v>
      </c>
      <c r="Q77">
        <v>0.66559667673716005</v>
      </c>
      <c r="R77">
        <v>0.22257774065358901</v>
      </c>
      <c r="S77">
        <v>96</v>
      </c>
      <c r="T77">
        <v>0.57198832612332096</v>
      </c>
      <c r="U77">
        <v>5.2970863342462801E-2</v>
      </c>
    </row>
    <row r="78" spans="1:21" x14ac:dyDescent="0.25">
      <c r="A78">
        <v>77</v>
      </c>
      <c r="B78">
        <v>807</v>
      </c>
      <c r="C78" t="s">
        <v>20</v>
      </c>
      <c r="D78">
        <v>23</v>
      </c>
      <c r="E78" t="s">
        <v>21</v>
      </c>
      <c r="F78" t="s">
        <v>22</v>
      </c>
      <c r="G78">
        <v>16079.046454586</v>
      </c>
      <c r="H78">
        <v>294577659.62105298</v>
      </c>
      <c r="I78">
        <v>7511.2910330642299</v>
      </c>
      <c r="J78">
        <v>104988186.03229401</v>
      </c>
      <c r="K78">
        <v>0.567223530964166</v>
      </c>
      <c r="L78">
        <v>1.0812699197019601E-2</v>
      </c>
      <c r="M78">
        <v>0.14392402118029099</v>
      </c>
      <c r="N78">
        <v>4.6934944827400097E-3</v>
      </c>
      <c r="O78">
        <v>0.50823794658342003</v>
      </c>
      <c r="P78">
        <v>0.24993213623601401</v>
      </c>
      <c r="Q78">
        <v>0.59257057213283304</v>
      </c>
      <c r="R78">
        <v>0.24143068917490301</v>
      </c>
      <c r="S78">
        <v>30</v>
      </c>
      <c r="T78">
        <v>0.56607841213730503</v>
      </c>
      <c r="U78">
        <v>5.4399669093853499E-2</v>
      </c>
    </row>
    <row r="79" spans="1:21" x14ac:dyDescent="0.25">
      <c r="A79">
        <v>78</v>
      </c>
      <c r="B79">
        <v>808</v>
      </c>
      <c r="C79" t="s">
        <v>20</v>
      </c>
      <c r="D79">
        <v>23</v>
      </c>
      <c r="E79" t="s">
        <v>21</v>
      </c>
      <c r="F79" t="s">
        <v>22</v>
      </c>
      <c r="G79">
        <v>9046.3399629253108</v>
      </c>
      <c r="H79">
        <v>174038434.15050399</v>
      </c>
      <c r="I79">
        <v>11266.104927517599</v>
      </c>
      <c r="J79">
        <v>76098385.320868194</v>
      </c>
      <c r="K79">
        <v>0.51801065004310998</v>
      </c>
      <c r="L79">
        <v>9.9227112410161106E-3</v>
      </c>
      <c r="M79">
        <v>0.13630009865473999</v>
      </c>
      <c r="N79">
        <v>3.8196025421609399E-3</v>
      </c>
      <c r="O79">
        <v>0.30063983734975802</v>
      </c>
      <c r="P79">
        <v>0.210255525548114</v>
      </c>
      <c r="Q79">
        <v>0.68120829446796305</v>
      </c>
      <c r="R79">
        <v>0.21716355401624801</v>
      </c>
      <c r="S79">
        <v>42</v>
      </c>
      <c r="T79">
        <v>0.45904644207213302</v>
      </c>
      <c r="U79">
        <v>4.09705179997654E-2</v>
      </c>
    </row>
    <row r="80" spans="1:21" x14ac:dyDescent="0.25">
      <c r="A80">
        <v>79</v>
      </c>
      <c r="B80">
        <v>809</v>
      </c>
      <c r="C80" t="s">
        <v>20</v>
      </c>
      <c r="D80">
        <v>23</v>
      </c>
      <c r="E80" t="s">
        <v>21</v>
      </c>
      <c r="F80" t="s">
        <v>22</v>
      </c>
      <c r="G80">
        <v>12831.753917607501</v>
      </c>
      <c r="H80">
        <v>234431952.61838001</v>
      </c>
      <c r="I80">
        <v>7273.7774374391302</v>
      </c>
      <c r="J80">
        <v>81842793.755937293</v>
      </c>
      <c r="K80">
        <v>0.565798071334357</v>
      </c>
      <c r="L80">
        <v>1.03787174500198E-2</v>
      </c>
      <c r="M80">
        <v>0.156786412507357</v>
      </c>
      <c r="N80">
        <v>5.7853784238303301E-3</v>
      </c>
      <c r="O80">
        <v>0.445392641820539</v>
      </c>
      <c r="P80">
        <v>0.247018036432675</v>
      </c>
      <c r="Q80">
        <v>0.68286480430048002</v>
      </c>
      <c r="R80">
        <v>0.216560463347925</v>
      </c>
      <c r="S80">
        <v>47</v>
      </c>
      <c r="T80">
        <v>0.54928956547764896</v>
      </c>
      <c r="U80">
        <v>4.3020298553912602E-2</v>
      </c>
    </row>
    <row r="81" spans="1:21" x14ac:dyDescent="0.25">
      <c r="A81">
        <v>80</v>
      </c>
      <c r="B81">
        <v>901</v>
      </c>
      <c r="C81" t="s">
        <v>20</v>
      </c>
      <c r="D81">
        <v>23</v>
      </c>
      <c r="E81" t="s">
        <v>21</v>
      </c>
      <c r="F81" t="s">
        <v>22</v>
      </c>
      <c r="G81">
        <v>9682.1458318382993</v>
      </c>
      <c r="H81">
        <v>192064574.73348799</v>
      </c>
      <c r="I81">
        <v>11413.400470918101</v>
      </c>
      <c r="J81">
        <v>80992200.574046895</v>
      </c>
      <c r="K81">
        <v>0.53237696270037504</v>
      </c>
      <c r="L81">
        <v>7.5344864553091896E-3</v>
      </c>
      <c r="M81">
        <v>0.153606171754333</v>
      </c>
      <c r="N81">
        <v>1.4942302130632999E-3</v>
      </c>
      <c r="O81">
        <v>0.29222581030977202</v>
      </c>
      <c r="P81">
        <v>0.20682988609852199</v>
      </c>
      <c r="Q81">
        <v>0.66258849980864898</v>
      </c>
      <c r="R81">
        <v>0.223564979730136</v>
      </c>
      <c r="S81">
        <v>25</v>
      </c>
      <c r="T81">
        <v>0.45461253165216697</v>
      </c>
      <c r="U81">
        <v>3.8475615223325398E-2</v>
      </c>
    </row>
    <row r="82" spans="1:21" x14ac:dyDescent="0.25">
      <c r="A82">
        <v>81</v>
      </c>
      <c r="B82">
        <v>902</v>
      </c>
      <c r="C82" t="s">
        <v>20</v>
      </c>
      <c r="D82">
        <v>23</v>
      </c>
      <c r="E82" t="s">
        <v>21</v>
      </c>
      <c r="F82" t="s">
        <v>22</v>
      </c>
      <c r="G82">
        <v>15379.6587243953</v>
      </c>
      <c r="H82">
        <v>293879176.06814998</v>
      </c>
      <c r="I82">
        <v>9120.3557695589097</v>
      </c>
      <c r="J82">
        <v>99649162.588861704</v>
      </c>
      <c r="K82">
        <v>0.56073168129633399</v>
      </c>
      <c r="L82">
        <v>6.9964085496884596E-3</v>
      </c>
      <c r="M82">
        <v>0.15026372349212999</v>
      </c>
      <c r="N82">
        <v>1.4630649706933801E-3</v>
      </c>
      <c r="O82">
        <v>0.43823558872139001</v>
      </c>
      <c r="P82">
        <v>0.246185157499625</v>
      </c>
      <c r="Q82">
        <v>0.68116776624644804</v>
      </c>
      <c r="R82">
        <v>0.217178240473444</v>
      </c>
      <c r="S82">
        <v>35</v>
      </c>
      <c r="T82">
        <v>0.53011257297261405</v>
      </c>
      <c r="U82">
        <v>4.54849503366807E-2</v>
      </c>
    </row>
    <row r="83" spans="1:21" x14ac:dyDescent="0.25">
      <c r="A83">
        <v>82</v>
      </c>
      <c r="B83">
        <v>903</v>
      </c>
      <c r="C83" t="s">
        <v>20</v>
      </c>
      <c r="D83">
        <v>23</v>
      </c>
      <c r="E83" t="s">
        <v>21</v>
      </c>
      <c r="F83" t="s">
        <v>22</v>
      </c>
      <c r="G83">
        <v>8113.9997946480098</v>
      </c>
      <c r="H83">
        <v>159834452.654764</v>
      </c>
      <c r="I83">
        <v>13307.6102304327</v>
      </c>
      <c r="J83">
        <v>64605083.864154004</v>
      </c>
      <c r="K83">
        <v>0.53614454037137305</v>
      </c>
      <c r="L83">
        <v>5.49079313950597E-3</v>
      </c>
      <c r="M83">
        <v>0.156362800105661</v>
      </c>
      <c r="N83">
        <v>1.5576943601136001E-3</v>
      </c>
      <c r="O83">
        <v>0.24605018289161301</v>
      </c>
      <c r="P83">
        <v>0.18550949039035899</v>
      </c>
      <c r="Q83">
        <v>0.74374671132843095</v>
      </c>
      <c r="R83">
        <v>0.190587540716702</v>
      </c>
      <c r="S83">
        <v>95</v>
      </c>
      <c r="T83">
        <v>0.450711915868796</v>
      </c>
      <c r="U83">
        <v>2.8354618145671098E-2</v>
      </c>
    </row>
    <row r="84" spans="1:21" x14ac:dyDescent="0.25">
      <c r="A84">
        <v>83</v>
      </c>
      <c r="B84">
        <v>904</v>
      </c>
      <c r="C84" t="s">
        <v>20</v>
      </c>
      <c r="D84">
        <v>23</v>
      </c>
      <c r="E84" t="s">
        <v>21</v>
      </c>
      <c r="F84" t="s">
        <v>22</v>
      </c>
      <c r="G84">
        <v>9783.3934739266006</v>
      </c>
      <c r="H84">
        <v>194572150.75425199</v>
      </c>
      <c r="I84">
        <v>11243.217354343</v>
      </c>
      <c r="J84">
        <v>68366307.802701801</v>
      </c>
      <c r="K84">
        <v>0.53418047649934997</v>
      </c>
      <c r="L84">
        <v>6.8468484922062402E-3</v>
      </c>
      <c r="M84">
        <v>0.15197703095446899</v>
      </c>
      <c r="N84">
        <v>1.7205470141780799E-3</v>
      </c>
      <c r="O84">
        <v>0.31299317626576101</v>
      </c>
      <c r="P84">
        <v>0.215028447877018</v>
      </c>
      <c r="Q84">
        <v>0.85513716901131598</v>
      </c>
      <c r="R84">
        <v>0.123877591186615</v>
      </c>
      <c r="S84">
        <v>65</v>
      </c>
      <c r="T84">
        <v>0.47642166330146302</v>
      </c>
      <c r="U84">
        <v>3.4166393250383301E-2</v>
      </c>
    </row>
    <row r="85" spans="1:21" x14ac:dyDescent="0.25">
      <c r="A85">
        <v>84</v>
      </c>
      <c r="B85">
        <v>905</v>
      </c>
      <c r="C85" t="s">
        <v>20</v>
      </c>
      <c r="D85">
        <v>23</v>
      </c>
      <c r="E85" t="s">
        <v>21</v>
      </c>
      <c r="F85" t="s">
        <v>22</v>
      </c>
      <c r="G85">
        <v>10244.076177143001</v>
      </c>
      <c r="H85">
        <v>214029957.79821101</v>
      </c>
      <c r="I85">
        <v>9178.7394497553996</v>
      </c>
      <c r="J85">
        <v>54457762.190171801</v>
      </c>
      <c r="K85">
        <v>0.56484403537476802</v>
      </c>
      <c r="L85">
        <v>5.5618967183735102E-3</v>
      </c>
      <c r="M85">
        <v>0.169962401968206</v>
      </c>
      <c r="N85">
        <v>5.9000869630149297E-3</v>
      </c>
      <c r="O85">
        <v>0.43082277993269802</v>
      </c>
      <c r="P85">
        <v>0.245214512223802</v>
      </c>
      <c r="Q85">
        <v>0.91635093307304005</v>
      </c>
      <c r="R85">
        <v>7.6651900529336403E-2</v>
      </c>
      <c r="S85">
        <v>265</v>
      </c>
      <c r="T85">
        <v>0.53066374501281599</v>
      </c>
      <c r="U85">
        <v>2.83973687767087E-2</v>
      </c>
    </row>
    <row r="86" spans="1:21" x14ac:dyDescent="0.25">
      <c r="A86">
        <v>85</v>
      </c>
      <c r="B86">
        <v>906</v>
      </c>
      <c r="C86" t="s">
        <v>20</v>
      </c>
      <c r="D86">
        <v>23</v>
      </c>
      <c r="E86" t="s">
        <v>21</v>
      </c>
      <c r="F86" t="s">
        <v>22</v>
      </c>
      <c r="G86">
        <v>12423.3859514454</v>
      </c>
      <c r="H86">
        <v>223923467.08049899</v>
      </c>
      <c r="I86">
        <v>7787.5420431826496</v>
      </c>
      <c r="J86">
        <v>74969225.109289393</v>
      </c>
      <c r="K86">
        <v>0.59704749133318702</v>
      </c>
      <c r="L86">
        <v>6.8707437046571299E-3</v>
      </c>
      <c r="M86">
        <v>0.17502661394538699</v>
      </c>
      <c r="N86">
        <v>5.7917250370856203E-3</v>
      </c>
      <c r="O86">
        <v>0.52695740417891801</v>
      </c>
      <c r="P86">
        <v>0.24927329835984</v>
      </c>
      <c r="Q86">
        <v>0.91016133229247997</v>
      </c>
      <c r="R86">
        <v>8.1767681492061706E-2</v>
      </c>
      <c r="S86">
        <v>250</v>
      </c>
      <c r="T86">
        <v>0.57265368133972605</v>
      </c>
      <c r="U86">
        <v>3.54734800457931E-2</v>
      </c>
    </row>
    <row r="87" spans="1:21" x14ac:dyDescent="0.25">
      <c r="A87">
        <v>86</v>
      </c>
      <c r="B87">
        <v>907</v>
      </c>
      <c r="C87" t="s">
        <v>20</v>
      </c>
      <c r="D87">
        <v>23</v>
      </c>
      <c r="E87" t="s">
        <v>21</v>
      </c>
      <c r="F87" t="s">
        <v>22</v>
      </c>
      <c r="G87">
        <v>15598.4261100719</v>
      </c>
      <c r="H87">
        <v>289371912.57928401</v>
      </c>
      <c r="I87">
        <v>5927.5293844114703</v>
      </c>
      <c r="J87">
        <v>101563933.368993</v>
      </c>
      <c r="K87">
        <v>0.61884477604490495</v>
      </c>
      <c r="L87">
        <v>9.85861855708829E-3</v>
      </c>
      <c r="M87">
        <v>0.189287429515267</v>
      </c>
      <c r="N87">
        <v>6.3197847745380103E-3</v>
      </c>
      <c r="O87">
        <v>0.61253322831544699</v>
      </c>
      <c r="P87">
        <v>0.23733627252480399</v>
      </c>
      <c r="Q87">
        <v>0.84740443547394595</v>
      </c>
      <c r="R87">
        <v>0.12931015821309499</v>
      </c>
      <c r="S87">
        <v>309</v>
      </c>
      <c r="T87">
        <v>0.61102608168759298</v>
      </c>
      <c r="U87">
        <v>4.5005351645795201E-2</v>
      </c>
    </row>
    <row r="88" spans="1:21" x14ac:dyDescent="0.25">
      <c r="A88">
        <v>87</v>
      </c>
      <c r="B88">
        <v>908</v>
      </c>
      <c r="C88" t="s">
        <v>20</v>
      </c>
      <c r="D88">
        <v>23</v>
      </c>
      <c r="E88" t="s">
        <v>21</v>
      </c>
      <c r="F88" t="s">
        <v>22</v>
      </c>
      <c r="G88">
        <v>11917.0813061423</v>
      </c>
      <c r="H88">
        <v>207954634.256659</v>
      </c>
      <c r="I88">
        <v>9046.2225955113499</v>
      </c>
      <c r="J88">
        <v>104390614.591502</v>
      </c>
      <c r="K88">
        <v>0.58857617971794196</v>
      </c>
      <c r="L88">
        <v>1.34172260227278E-2</v>
      </c>
      <c r="M88">
        <v>0.19187150268223099</v>
      </c>
      <c r="N88">
        <v>5.9466501672487196E-3</v>
      </c>
      <c r="O88">
        <v>0.438383102694829</v>
      </c>
      <c r="P88">
        <v>0.24620335796637199</v>
      </c>
      <c r="Q88">
        <v>0.80748689065837997</v>
      </c>
      <c r="R88">
        <v>0.15545181207327</v>
      </c>
      <c r="S88">
        <v>145</v>
      </c>
      <c r="T88">
        <v>0.55051498281492295</v>
      </c>
      <c r="U88">
        <v>5.2243744820505297E-2</v>
      </c>
    </row>
    <row r="89" spans="1:21" x14ac:dyDescent="0.25">
      <c r="A89">
        <v>88</v>
      </c>
      <c r="B89">
        <v>909</v>
      </c>
      <c r="C89" t="s">
        <v>20</v>
      </c>
      <c r="D89">
        <v>23</v>
      </c>
      <c r="E89" t="s">
        <v>21</v>
      </c>
      <c r="F89" t="s">
        <v>22</v>
      </c>
      <c r="G89">
        <v>13721.383243984499</v>
      </c>
      <c r="H89">
        <v>247460837.616357</v>
      </c>
      <c r="I89">
        <v>5206.2586584139999</v>
      </c>
      <c r="J89">
        <v>70278292.498207301</v>
      </c>
      <c r="K89">
        <v>0.63540448732603405</v>
      </c>
      <c r="L89">
        <v>8.5924772421305008E-3</v>
      </c>
      <c r="M89">
        <v>0.22040285971108101</v>
      </c>
      <c r="N89">
        <v>7.3565043863384697E-3</v>
      </c>
      <c r="O89">
        <v>0.65582013880231105</v>
      </c>
      <c r="P89">
        <v>0.225720084343462</v>
      </c>
      <c r="Q89">
        <v>0.97052264132648103</v>
      </c>
      <c r="R89">
        <v>2.8608443999141898E-2</v>
      </c>
      <c r="S89">
        <v>367</v>
      </c>
      <c r="T89">
        <v>0.63266476030844399</v>
      </c>
      <c r="U89">
        <v>3.8082739268987802E-2</v>
      </c>
    </row>
    <row r="90" spans="1:21" x14ac:dyDescent="0.25">
      <c r="A90">
        <v>89</v>
      </c>
      <c r="B90">
        <v>910</v>
      </c>
      <c r="C90" t="s">
        <v>20</v>
      </c>
      <c r="D90">
        <v>23</v>
      </c>
      <c r="E90" t="s">
        <v>21</v>
      </c>
      <c r="F90" t="s">
        <v>22</v>
      </c>
      <c r="G90">
        <v>10150.288583093499</v>
      </c>
      <c r="H90">
        <v>226083902.943243</v>
      </c>
      <c r="I90">
        <v>10134.1893816922</v>
      </c>
      <c r="J90">
        <v>90518564.693662703</v>
      </c>
      <c r="K90">
        <v>0.54798942020485397</v>
      </c>
      <c r="L90">
        <v>8.9105341502682504E-3</v>
      </c>
      <c r="M90">
        <v>0.16802823771269501</v>
      </c>
      <c r="N90">
        <v>1.74867072303681E-3</v>
      </c>
      <c r="O90">
        <v>0.32973019503676898</v>
      </c>
      <c r="P90">
        <v>0.221008193517894</v>
      </c>
      <c r="Q90">
        <v>0.627767391518252</v>
      </c>
      <c r="R90">
        <v>0.23367549366455101</v>
      </c>
      <c r="S90">
        <v>41</v>
      </c>
      <c r="T90">
        <v>0.48363144957012</v>
      </c>
      <c r="U90">
        <v>4.1003606987306797E-2</v>
      </c>
    </row>
    <row r="91" spans="1:21" x14ac:dyDescent="0.25">
      <c r="A91">
        <v>90</v>
      </c>
      <c r="B91">
        <v>810</v>
      </c>
      <c r="C91" t="s">
        <v>20</v>
      </c>
      <c r="D91">
        <v>23</v>
      </c>
      <c r="E91" t="s">
        <v>21</v>
      </c>
      <c r="F91" t="s">
        <v>22</v>
      </c>
      <c r="G91">
        <v>13731.2337119926</v>
      </c>
      <c r="H91">
        <v>287378160.93754202</v>
      </c>
      <c r="I91">
        <v>7006.6577391111296</v>
      </c>
      <c r="J91">
        <v>100610509.617296</v>
      </c>
      <c r="K91">
        <v>0.54837744700751301</v>
      </c>
      <c r="L91">
        <v>1.05421336239374E-2</v>
      </c>
      <c r="M91">
        <v>0.145840788000831</v>
      </c>
      <c r="N91">
        <v>1.58647456544307E-3</v>
      </c>
      <c r="O91">
        <v>0.43009900491879599</v>
      </c>
      <c r="P91">
        <v>0.245113850886647</v>
      </c>
      <c r="Q91">
        <v>0.76940690974057002</v>
      </c>
      <c r="R91">
        <v>0.17741991698401699</v>
      </c>
      <c r="S91">
        <v>40</v>
      </c>
      <c r="T91">
        <v>0.52736256326553799</v>
      </c>
      <c r="U91">
        <v>5.1690603544373298E-2</v>
      </c>
    </row>
    <row r="92" spans="1:21" x14ac:dyDescent="0.25">
      <c r="A92">
        <v>91</v>
      </c>
      <c r="B92">
        <v>44444</v>
      </c>
      <c r="C92" t="s">
        <v>20</v>
      </c>
      <c r="D92">
        <v>23</v>
      </c>
      <c r="E92" t="s">
        <v>21</v>
      </c>
      <c r="F92" t="s">
        <v>22</v>
      </c>
      <c r="G92">
        <v>1041.3697408748999</v>
      </c>
      <c r="H92">
        <v>4515966.7367940601</v>
      </c>
      <c r="I92">
        <v>14154.343374144901</v>
      </c>
      <c r="J92">
        <v>51630029.569496803</v>
      </c>
      <c r="K92">
        <v>0.311115543560887</v>
      </c>
      <c r="L92">
        <v>2.3702182756682299E-2</v>
      </c>
      <c r="M92">
        <v>8.9900546579493396E-2</v>
      </c>
      <c r="N92">
        <v>7.44680331891773E-3</v>
      </c>
      <c r="O92">
        <v>4.3466146558930101E-2</v>
      </c>
      <c r="P92">
        <v>4.1576840662246102E-2</v>
      </c>
      <c r="Q92">
        <v>0.35803845082195601</v>
      </c>
      <c r="R92">
        <v>0.22984691855497</v>
      </c>
      <c r="S92">
        <v>0</v>
      </c>
      <c r="T92">
        <v>0.22699497191583601</v>
      </c>
      <c r="U92">
        <v>2.14257566398036E-2</v>
      </c>
    </row>
    <row r="93" spans="1:21" x14ac:dyDescent="0.25">
      <c r="A93">
        <v>92</v>
      </c>
      <c r="B93">
        <v>55555</v>
      </c>
      <c r="C93" t="s">
        <v>20</v>
      </c>
      <c r="D93">
        <v>23</v>
      </c>
      <c r="E93" t="s">
        <v>21</v>
      </c>
      <c r="F93" t="s">
        <v>22</v>
      </c>
      <c r="G93">
        <v>1428.3535067873299</v>
      </c>
      <c r="H93">
        <v>8475550.7975442801</v>
      </c>
      <c r="I93">
        <v>15178.2196309221</v>
      </c>
      <c r="J93">
        <v>52114017.031442396</v>
      </c>
      <c r="K93">
        <v>0.35335369753478502</v>
      </c>
      <c r="L93">
        <v>2.7457110380715001E-2</v>
      </c>
      <c r="M93">
        <v>0.112287298020502</v>
      </c>
      <c r="N93">
        <v>4.4318424206171202E-3</v>
      </c>
      <c r="O93">
        <v>8.1730769230769204E-2</v>
      </c>
      <c r="P93">
        <v>7.5050850591718399E-2</v>
      </c>
      <c r="Q93">
        <v>0</v>
      </c>
      <c r="R93">
        <v>0</v>
      </c>
      <c r="S93">
        <v>0</v>
      </c>
      <c r="T93">
        <v>0.27505546438436501</v>
      </c>
      <c r="U93">
        <v>3.4529158444903903E-2</v>
      </c>
    </row>
    <row r="94" spans="1:21" x14ac:dyDescent="0.25">
      <c r="A94">
        <v>93</v>
      </c>
      <c r="B94">
        <v>101</v>
      </c>
      <c r="C94" t="s">
        <v>23</v>
      </c>
      <c r="D94">
        <v>23</v>
      </c>
      <c r="E94" t="s">
        <v>24</v>
      </c>
      <c r="F94" t="s">
        <v>25</v>
      </c>
      <c r="G94">
        <v>7149.88847832586</v>
      </c>
      <c r="H94">
        <v>125333427.14788499</v>
      </c>
      <c r="I94">
        <v>10094.289956151501</v>
      </c>
      <c r="J94">
        <v>46139673.368960701</v>
      </c>
      <c r="K94">
        <v>0.50146483346717396</v>
      </c>
      <c r="L94">
        <v>5.7894781978115499E-3</v>
      </c>
      <c r="M94">
        <v>0.12920182633675101</v>
      </c>
      <c r="N94">
        <v>1.4495644839735301E-3</v>
      </c>
      <c r="O94">
        <v>0.266092675635277</v>
      </c>
      <c r="P94">
        <v>0.195287363608698</v>
      </c>
      <c r="Q94">
        <v>0.79452857723868997</v>
      </c>
      <c r="R94">
        <v>0.16325291718984999</v>
      </c>
      <c r="S94">
        <v>77</v>
      </c>
      <c r="T94">
        <v>0.43619254032360999</v>
      </c>
      <c r="U94">
        <v>2.8365370339529399E-2</v>
      </c>
    </row>
    <row r="95" spans="1:21" x14ac:dyDescent="0.25">
      <c r="A95">
        <v>94</v>
      </c>
      <c r="B95">
        <v>102</v>
      </c>
      <c r="C95" t="s">
        <v>23</v>
      </c>
      <c r="D95">
        <v>23</v>
      </c>
      <c r="E95" t="s">
        <v>24</v>
      </c>
      <c r="F95" t="s">
        <v>25</v>
      </c>
      <c r="G95">
        <v>6103.9932783963804</v>
      </c>
      <c r="H95">
        <v>130656791.183293</v>
      </c>
      <c r="I95">
        <v>11968.1385115669</v>
      </c>
      <c r="J95">
        <v>50480180.821442202</v>
      </c>
      <c r="K95">
        <v>0.48985905510069699</v>
      </c>
      <c r="L95">
        <v>4.8623091905193603E-3</v>
      </c>
      <c r="M95">
        <v>0.12846129786735599</v>
      </c>
      <c r="N95">
        <v>1.4046830119316899E-3</v>
      </c>
      <c r="O95">
        <v>0.20707801605052001</v>
      </c>
      <c r="P95">
        <v>0.16419671131895</v>
      </c>
      <c r="Q95">
        <v>0.731578380835058</v>
      </c>
      <c r="R95">
        <v>0.196371453529982</v>
      </c>
      <c r="S95">
        <v>38</v>
      </c>
      <c r="T95">
        <v>0.40155578114264201</v>
      </c>
      <c r="U95">
        <v>2.6253564732654298E-2</v>
      </c>
    </row>
    <row r="96" spans="1:21" x14ac:dyDescent="0.25">
      <c r="A96">
        <v>95</v>
      </c>
      <c r="B96">
        <v>103</v>
      </c>
      <c r="C96" t="s">
        <v>23</v>
      </c>
      <c r="D96">
        <v>23</v>
      </c>
      <c r="E96" t="s">
        <v>24</v>
      </c>
      <c r="F96" t="s">
        <v>25</v>
      </c>
      <c r="G96">
        <v>5064.7796567601499</v>
      </c>
      <c r="H96">
        <v>115499143.41011</v>
      </c>
      <c r="I96">
        <v>13402.411040790899</v>
      </c>
      <c r="J96">
        <v>47189085.331985302</v>
      </c>
      <c r="K96">
        <v>0.48173852736981398</v>
      </c>
      <c r="L96">
        <v>4.5565216934551197E-3</v>
      </c>
      <c r="M96">
        <v>0.12898708486430999</v>
      </c>
      <c r="N96">
        <v>9.7874817621266793E-4</v>
      </c>
      <c r="O96">
        <v>0.18214435208993601</v>
      </c>
      <c r="P96">
        <v>0.14896778709185499</v>
      </c>
      <c r="Q96">
        <v>0.67927281425666797</v>
      </c>
      <c r="R96">
        <v>0.21786125806843501</v>
      </c>
      <c r="S96">
        <v>23</v>
      </c>
      <c r="T96">
        <v>0.37934551054916699</v>
      </c>
      <c r="U96">
        <v>2.54582643062039E-2</v>
      </c>
    </row>
    <row r="97" spans="1:21" x14ac:dyDescent="0.25">
      <c r="A97">
        <v>96</v>
      </c>
      <c r="B97">
        <v>104</v>
      </c>
      <c r="C97" t="s">
        <v>23</v>
      </c>
      <c r="D97">
        <v>23</v>
      </c>
      <c r="E97" t="s">
        <v>24</v>
      </c>
      <c r="F97" t="s">
        <v>25</v>
      </c>
      <c r="G97">
        <v>5623.5157563653302</v>
      </c>
      <c r="H97">
        <v>106397250.292088</v>
      </c>
      <c r="I97">
        <v>13027.9407800103</v>
      </c>
      <c r="J97">
        <v>47021617.675528601</v>
      </c>
      <c r="K97">
        <v>0.478877161999757</v>
      </c>
      <c r="L97">
        <v>5.9274261684316102E-3</v>
      </c>
      <c r="M97">
        <v>0.132717815814239</v>
      </c>
      <c r="N97">
        <v>1.4027089877833301E-3</v>
      </c>
      <c r="O97">
        <v>0.204755013932574</v>
      </c>
      <c r="P97">
        <v>0.16283039820223999</v>
      </c>
      <c r="Q97">
        <v>0.89627290560260298</v>
      </c>
      <c r="R97">
        <v>9.2967784285161295E-2</v>
      </c>
      <c r="S97">
        <v>66</v>
      </c>
      <c r="T97">
        <v>0.39295773630796699</v>
      </c>
      <c r="U97">
        <v>2.90834469944929E-2</v>
      </c>
    </row>
    <row r="98" spans="1:21" x14ac:dyDescent="0.25">
      <c r="A98">
        <v>97</v>
      </c>
      <c r="B98">
        <v>105</v>
      </c>
      <c r="C98" t="s">
        <v>23</v>
      </c>
      <c r="D98">
        <v>23</v>
      </c>
      <c r="E98" t="s">
        <v>24</v>
      </c>
      <c r="F98" t="s">
        <v>25</v>
      </c>
      <c r="G98">
        <v>5611.8834110752296</v>
      </c>
      <c r="H98">
        <v>93168091.3213429</v>
      </c>
      <c r="I98">
        <v>13107.1369592008</v>
      </c>
      <c r="J98">
        <v>55493490.432200797</v>
      </c>
      <c r="K98">
        <v>0.46561331084754898</v>
      </c>
      <c r="L98">
        <v>8.3518437885234005E-3</v>
      </c>
      <c r="M98">
        <v>0.131697536462692</v>
      </c>
      <c r="N98">
        <v>1.77860056585464E-3</v>
      </c>
      <c r="O98">
        <v>0.220942470996292</v>
      </c>
      <c r="P98">
        <v>0.17212689550650101</v>
      </c>
      <c r="Q98">
        <v>0.857455537083328</v>
      </c>
      <c r="R98">
        <v>0.12222553900814601</v>
      </c>
      <c r="S98">
        <v>67</v>
      </c>
      <c r="T98">
        <v>0.40099857256757498</v>
      </c>
      <c r="U98">
        <v>3.2685462827659703E-2</v>
      </c>
    </row>
    <row r="99" spans="1:21" x14ac:dyDescent="0.25">
      <c r="A99">
        <v>98</v>
      </c>
      <c r="B99">
        <v>106</v>
      </c>
      <c r="C99" t="s">
        <v>23</v>
      </c>
      <c r="D99">
        <v>23</v>
      </c>
      <c r="E99" t="s">
        <v>24</v>
      </c>
      <c r="F99" t="s">
        <v>25</v>
      </c>
      <c r="G99">
        <v>6094.4029316000297</v>
      </c>
      <c r="H99">
        <v>125414289.84697799</v>
      </c>
      <c r="I99">
        <v>12397.7690357749</v>
      </c>
      <c r="J99">
        <v>53223118.427601703</v>
      </c>
      <c r="K99">
        <v>0.46562816450244698</v>
      </c>
      <c r="L99">
        <v>6.2993005229865203E-3</v>
      </c>
      <c r="M99">
        <v>0.13417703934319999</v>
      </c>
      <c r="N99">
        <v>1.79378271123455E-3</v>
      </c>
      <c r="O99">
        <v>0.20098769018482901</v>
      </c>
      <c r="P99">
        <v>0.160591638578754</v>
      </c>
      <c r="Q99">
        <v>0.64188788418007303</v>
      </c>
      <c r="R99">
        <v>0.22986782832275901</v>
      </c>
      <c r="S99">
        <v>24</v>
      </c>
      <c r="T99">
        <v>0.40902771596124099</v>
      </c>
      <c r="U99">
        <v>2.7816481581125201E-2</v>
      </c>
    </row>
    <row r="100" spans="1:21" x14ac:dyDescent="0.25">
      <c r="A100">
        <v>99</v>
      </c>
      <c r="B100">
        <v>107</v>
      </c>
      <c r="C100" t="s">
        <v>23</v>
      </c>
      <c r="D100">
        <v>23</v>
      </c>
      <c r="E100" t="s">
        <v>24</v>
      </c>
      <c r="F100" t="s">
        <v>25</v>
      </c>
      <c r="G100">
        <v>5420.7777806428303</v>
      </c>
      <c r="H100">
        <v>101332289.48779599</v>
      </c>
      <c r="I100">
        <v>11707.3631655152</v>
      </c>
      <c r="J100">
        <v>51299472.3135489</v>
      </c>
      <c r="K100">
        <v>0.47391606965571598</v>
      </c>
      <c r="L100">
        <v>6.5601507207249899E-3</v>
      </c>
      <c r="M100">
        <v>0.14209041178941201</v>
      </c>
      <c r="N100">
        <v>1.67619573752465E-3</v>
      </c>
      <c r="O100">
        <v>0.21046117349767299</v>
      </c>
      <c r="P100">
        <v>0.16616726794776401</v>
      </c>
      <c r="Q100">
        <v>0.83501166883711297</v>
      </c>
      <c r="R100">
        <v>0.13776718174279101</v>
      </c>
      <c r="S100">
        <v>43</v>
      </c>
      <c r="T100">
        <v>0.426129800586732</v>
      </c>
      <c r="U100">
        <v>2.5497377537088702E-2</v>
      </c>
    </row>
    <row r="101" spans="1:21" x14ac:dyDescent="0.25">
      <c r="A101">
        <v>100</v>
      </c>
      <c r="B101">
        <v>108</v>
      </c>
      <c r="C101" t="s">
        <v>23</v>
      </c>
      <c r="D101">
        <v>23</v>
      </c>
      <c r="E101" t="s">
        <v>24</v>
      </c>
      <c r="F101" t="s">
        <v>25</v>
      </c>
      <c r="G101">
        <v>6742.6327094420903</v>
      </c>
      <c r="H101">
        <v>139096506.324</v>
      </c>
      <c r="I101">
        <v>9874.7756232998199</v>
      </c>
      <c r="J101">
        <v>36796527.817587398</v>
      </c>
      <c r="K101">
        <v>0.503189099254858</v>
      </c>
      <c r="L101">
        <v>4.6891961629034404E-3</v>
      </c>
      <c r="M101">
        <v>0.14966539839356499</v>
      </c>
      <c r="N101">
        <v>1.62544079750112E-3</v>
      </c>
      <c r="O101">
        <v>0.25103151348442299</v>
      </c>
      <c r="P101">
        <v>0.188014692722211</v>
      </c>
      <c r="Q101">
        <v>0.86739221431561297</v>
      </c>
      <c r="R101">
        <v>0.11502296086050801</v>
      </c>
      <c r="S101">
        <v>229</v>
      </c>
      <c r="T101">
        <v>0.46008332935484098</v>
      </c>
      <c r="U101">
        <v>2.2977917061578802E-2</v>
      </c>
    </row>
    <row r="102" spans="1:21" x14ac:dyDescent="0.25">
      <c r="A102">
        <v>101</v>
      </c>
      <c r="B102">
        <v>109</v>
      </c>
      <c r="C102" t="s">
        <v>23</v>
      </c>
      <c r="D102">
        <v>23</v>
      </c>
      <c r="E102" t="s">
        <v>24</v>
      </c>
      <c r="F102" t="s">
        <v>25</v>
      </c>
      <c r="G102">
        <v>5678.8707721379697</v>
      </c>
      <c r="H102">
        <v>121627419.489314</v>
      </c>
      <c r="I102">
        <v>11362.753180833301</v>
      </c>
      <c r="J102">
        <v>43269625.025619499</v>
      </c>
      <c r="K102">
        <v>0.496556251958926</v>
      </c>
      <c r="L102">
        <v>5.3967227051141004E-3</v>
      </c>
      <c r="M102">
        <v>0.14410670732691999</v>
      </c>
      <c r="N102">
        <v>1.58509931707923E-3</v>
      </c>
      <c r="O102">
        <v>0.19911017557288399</v>
      </c>
      <c r="P102">
        <v>0.15946531355607399</v>
      </c>
      <c r="Q102">
        <v>0.87398344814389595</v>
      </c>
      <c r="R102">
        <v>0.110136380514308</v>
      </c>
      <c r="S102">
        <v>100</v>
      </c>
      <c r="T102">
        <v>0.42332248354208801</v>
      </c>
      <c r="U102">
        <v>2.4228578443890699E-2</v>
      </c>
    </row>
    <row r="103" spans="1:21" x14ac:dyDescent="0.25">
      <c r="A103">
        <v>102</v>
      </c>
      <c r="B103">
        <v>110</v>
      </c>
      <c r="C103" t="s">
        <v>23</v>
      </c>
      <c r="D103">
        <v>23</v>
      </c>
      <c r="E103" t="s">
        <v>24</v>
      </c>
      <c r="F103" t="s">
        <v>25</v>
      </c>
      <c r="G103">
        <v>5511.7399141220203</v>
      </c>
      <c r="H103">
        <v>117550162.678022</v>
      </c>
      <c r="I103">
        <v>12876.0307081384</v>
      </c>
      <c r="J103">
        <v>51353167.999584198</v>
      </c>
      <c r="K103">
        <v>0.48260438921397902</v>
      </c>
      <c r="L103">
        <v>5.7981088087043602E-3</v>
      </c>
      <c r="M103">
        <v>0.136113303183025</v>
      </c>
      <c r="N103">
        <v>1.6517514735252599E-3</v>
      </c>
      <c r="O103">
        <v>0.19007977800901801</v>
      </c>
      <c r="P103">
        <v>0.15394945600131599</v>
      </c>
      <c r="Q103">
        <v>0.76502176721044801</v>
      </c>
      <c r="R103">
        <v>0.179763462904553</v>
      </c>
      <c r="S103">
        <v>39</v>
      </c>
      <c r="T103">
        <v>0.39623735654874498</v>
      </c>
      <c r="U103">
        <v>2.6121889476454802E-2</v>
      </c>
    </row>
    <row r="104" spans="1:21" x14ac:dyDescent="0.25">
      <c r="A104">
        <v>103</v>
      </c>
      <c r="B104">
        <v>111</v>
      </c>
      <c r="C104" t="s">
        <v>23</v>
      </c>
      <c r="D104">
        <v>23</v>
      </c>
      <c r="E104" t="s">
        <v>24</v>
      </c>
      <c r="F104" t="s">
        <v>25</v>
      </c>
      <c r="G104">
        <v>6551.6873237732198</v>
      </c>
      <c r="H104">
        <v>120044036.52642401</v>
      </c>
      <c r="I104">
        <v>10514.642022850099</v>
      </c>
      <c r="J104">
        <v>47155938.531381696</v>
      </c>
      <c r="K104">
        <v>0.50431035325528895</v>
      </c>
      <c r="L104">
        <v>6.74642110489796E-3</v>
      </c>
      <c r="M104">
        <v>0.141253109066246</v>
      </c>
      <c r="N104">
        <v>1.50106449531621E-3</v>
      </c>
      <c r="O104">
        <v>0.23888182973316399</v>
      </c>
      <c r="P104">
        <v>0.18181730115675501</v>
      </c>
      <c r="Q104">
        <v>0.78277547859338303</v>
      </c>
      <c r="R104">
        <v>0.17003802870624901</v>
      </c>
      <c r="S104">
        <v>45</v>
      </c>
      <c r="T104">
        <v>0.43489791505647801</v>
      </c>
      <c r="U104">
        <v>2.9340162610293499E-2</v>
      </c>
    </row>
    <row r="105" spans="1:21" x14ac:dyDescent="0.25">
      <c r="A105">
        <v>104</v>
      </c>
      <c r="B105">
        <v>112</v>
      </c>
      <c r="C105" t="s">
        <v>23</v>
      </c>
      <c r="D105">
        <v>23</v>
      </c>
      <c r="E105" t="s">
        <v>24</v>
      </c>
      <c r="F105" t="s">
        <v>25</v>
      </c>
      <c r="G105">
        <v>6073.2151390568297</v>
      </c>
      <c r="H105">
        <v>135001150.691829</v>
      </c>
      <c r="I105">
        <v>11814.447595928599</v>
      </c>
      <c r="J105">
        <v>47177021.119439602</v>
      </c>
      <c r="K105">
        <v>0.49145941292680101</v>
      </c>
      <c r="L105">
        <v>5.2872760247778001E-3</v>
      </c>
      <c r="M105">
        <v>0.13942059703079701</v>
      </c>
      <c r="N105">
        <v>1.55370811777262E-3</v>
      </c>
      <c r="O105">
        <v>0.19661426844014501</v>
      </c>
      <c r="P105">
        <v>0.157957097886053</v>
      </c>
      <c r="Q105">
        <v>0.86231375773993801</v>
      </c>
      <c r="R105">
        <v>0.118728740952283</v>
      </c>
      <c r="S105">
        <v>43</v>
      </c>
      <c r="T105">
        <v>0.40841626401105502</v>
      </c>
      <c r="U105">
        <v>2.5228172750577701E-2</v>
      </c>
    </row>
    <row r="106" spans="1:21" x14ac:dyDescent="0.25">
      <c r="A106">
        <v>105</v>
      </c>
      <c r="B106">
        <v>201</v>
      </c>
      <c r="C106" t="s">
        <v>23</v>
      </c>
      <c r="D106">
        <v>23</v>
      </c>
      <c r="E106" t="s">
        <v>24</v>
      </c>
      <c r="F106" t="s">
        <v>25</v>
      </c>
      <c r="G106">
        <v>4289.74741990648</v>
      </c>
      <c r="H106">
        <v>68936703.777810097</v>
      </c>
      <c r="I106">
        <v>13871.8090300314</v>
      </c>
      <c r="J106">
        <v>38660023.670093298</v>
      </c>
      <c r="K106">
        <v>0.47180421010123602</v>
      </c>
      <c r="L106">
        <v>5.1979963084191703E-3</v>
      </c>
      <c r="M106">
        <v>0.12137291753289101</v>
      </c>
      <c r="N106">
        <v>1.6661744939430001E-3</v>
      </c>
      <c r="O106">
        <v>0.16187321366642399</v>
      </c>
      <c r="P106">
        <v>0.13567027636361001</v>
      </c>
      <c r="Q106">
        <v>0.90981498977480701</v>
      </c>
      <c r="R106">
        <v>8.2051674155904503E-2</v>
      </c>
      <c r="S106">
        <v>129</v>
      </c>
      <c r="T106">
        <v>0.39618126565408701</v>
      </c>
      <c r="U106">
        <v>1.8728349622289E-2</v>
      </c>
    </row>
    <row r="107" spans="1:21" x14ac:dyDescent="0.25">
      <c r="A107">
        <v>106</v>
      </c>
      <c r="B107">
        <v>202</v>
      </c>
      <c r="C107" t="s">
        <v>23</v>
      </c>
      <c r="D107">
        <v>23</v>
      </c>
      <c r="E107" t="s">
        <v>24</v>
      </c>
      <c r="F107" t="s">
        <v>25</v>
      </c>
      <c r="G107">
        <v>4504.66618033963</v>
      </c>
      <c r="H107">
        <v>101379621.68676899</v>
      </c>
      <c r="I107">
        <v>13111.1439962683</v>
      </c>
      <c r="J107">
        <v>42553864.901257098</v>
      </c>
      <c r="K107">
        <v>0.497834411023518</v>
      </c>
      <c r="L107">
        <v>5.0449269624731801E-3</v>
      </c>
      <c r="M107">
        <v>0.13628708476082699</v>
      </c>
      <c r="N107">
        <v>1.9362839610369601E-3</v>
      </c>
      <c r="O107">
        <v>0.18423822052140601</v>
      </c>
      <c r="P107">
        <v>0.15029449862050201</v>
      </c>
      <c r="Q107">
        <v>0.85324832230821701</v>
      </c>
      <c r="R107">
        <v>0.125215622786332</v>
      </c>
      <c r="S107">
        <v>141</v>
      </c>
      <c r="T107">
        <v>0.41151494786715298</v>
      </c>
      <c r="U107">
        <v>2.22893269623946E-2</v>
      </c>
    </row>
    <row r="108" spans="1:21" x14ac:dyDescent="0.25">
      <c r="A108">
        <v>107</v>
      </c>
      <c r="B108">
        <v>203</v>
      </c>
      <c r="C108" t="s">
        <v>23</v>
      </c>
      <c r="D108">
        <v>23</v>
      </c>
      <c r="E108" t="s">
        <v>24</v>
      </c>
      <c r="F108" t="s">
        <v>25</v>
      </c>
      <c r="G108">
        <v>5072.2318366753898</v>
      </c>
      <c r="H108">
        <v>127041583.353448</v>
      </c>
      <c r="I108">
        <v>13748.4148822305</v>
      </c>
      <c r="J108">
        <v>41619234.698792897</v>
      </c>
      <c r="K108">
        <v>0.499826210642355</v>
      </c>
      <c r="L108">
        <v>4.2019311623048301E-3</v>
      </c>
      <c r="M108">
        <v>0.13807091091683299</v>
      </c>
      <c r="N108">
        <v>1.3744019289951999E-3</v>
      </c>
      <c r="O108">
        <v>0.186646323743098</v>
      </c>
      <c r="P108">
        <v>0.15180947357650801</v>
      </c>
      <c r="Q108">
        <v>0.55817783321022496</v>
      </c>
      <c r="R108">
        <v>0.246615339723018</v>
      </c>
      <c r="S108">
        <v>18</v>
      </c>
      <c r="T108">
        <v>0.40493304899663701</v>
      </c>
      <c r="U108">
        <v>2.3512836337468101E-2</v>
      </c>
    </row>
    <row r="109" spans="1:21" x14ac:dyDescent="0.25">
      <c r="A109">
        <v>108</v>
      </c>
      <c r="B109">
        <v>204</v>
      </c>
      <c r="C109" t="s">
        <v>23</v>
      </c>
      <c r="D109">
        <v>23</v>
      </c>
      <c r="E109" t="s">
        <v>24</v>
      </c>
      <c r="F109" t="s">
        <v>25</v>
      </c>
      <c r="G109">
        <v>5460.6449834355899</v>
      </c>
      <c r="H109">
        <v>106640682.02470601</v>
      </c>
      <c r="I109">
        <v>12900.237180255201</v>
      </c>
      <c r="J109">
        <v>53617827.176119097</v>
      </c>
      <c r="K109">
        <v>0.51915650239179001</v>
      </c>
      <c r="L109">
        <v>6.6225690978410001E-3</v>
      </c>
      <c r="M109">
        <v>0.153368719953828</v>
      </c>
      <c r="N109">
        <v>1.19642042477884E-3</v>
      </c>
      <c r="O109">
        <v>0.23172233982753901</v>
      </c>
      <c r="P109">
        <v>0.17802709705263201</v>
      </c>
      <c r="Q109">
        <v>0.910015069246777</v>
      </c>
      <c r="R109">
        <v>8.1887642990432497E-2</v>
      </c>
      <c r="S109">
        <v>78</v>
      </c>
      <c r="T109">
        <v>0.41864625019935497</v>
      </c>
      <c r="U109">
        <v>3.1661784832552102E-2</v>
      </c>
    </row>
    <row r="110" spans="1:21" x14ac:dyDescent="0.25">
      <c r="A110">
        <v>109</v>
      </c>
      <c r="B110">
        <v>205</v>
      </c>
      <c r="C110" t="s">
        <v>23</v>
      </c>
      <c r="D110">
        <v>23</v>
      </c>
      <c r="E110" t="s">
        <v>24</v>
      </c>
      <c r="F110" t="s">
        <v>25</v>
      </c>
      <c r="G110">
        <v>6958.3316468599296</v>
      </c>
      <c r="H110">
        <v>164756666.53257999</v>
      </c>
      <c r="I110">
        <v>11403.3712429222</v>
      </c>
      <c r="J110">
        <v>69054867.083851099</v>
      </c>
      <c r="K110">
        <v>0.50891848393075401</v>
      </c>
      <c r="L110">
        <v>6.4817679947639997E-3</v>
      </c>
      <c r="M110">
        <v>0.15650297776289199</v>
      </c>
      <c r="N110">
        <v>1.5509898625733899E-3</v>
      </c>
      <c r="O110">
        <v>0.237357664959475</v>
      </c>
      <c r="P110">
        <v>0.18101900384470601</v>
      </c>
      <c r="Q110">
        <v>0.83750621581302798</v>
      </c>
      <c r="R110">
        <v>0.13608955428741201</v>
      </c>
      <c r="S110">
        <v>41</v>
      </c>
      <c r="T110">
        <v>0.424350856202728</v>
      </c>
      <c r="U110">
        <v>3.2672716836404297E-2</v>
      </c>
    </row>
    <row r="111" spans="1:21" x14ac:dyDescent="0.25">
      <c r="A111">
        <v>110</v>
      </c>
      <c r="B111">
        <v>206</v>
      </c>
      <c r="C111" t="s">
        <v>23</v>
      </c>
      <c r="D111">
        <v>23</v>
      </c>
      <c r="E111" t="s">
        <v>24</v>
      </c>
      <c r="F111" t="s">
        <v>25</v>
      </c>
      <c r="G111">
        <v>5979.5271435576697</v>
      </c>
      <c r="H111">
        <v>120404962.495738</v>
      </c>
      <c r="I111">
        <v>11081.6049111431</v>
      </c>
      <c r="J111">
        <v>49351759.313776799</v>
      </c>
      <c r="K111">
        <v>0.49532210577873598</v>
      </c>
      <c r="L111">
        <v>6.4344939865730302E-3</v>
      </c>
      <c r="M111">
        <v>0.149730684457208</v>
      </c>
      <c r="N111">
        <v>1.7590411640725199E-3</v>
      </c>
      <c r="O111">
        <v>0.242802980469077</v>
      </c>
      <c r="P111">
        <v>0.18384969314465399</v>
      </c>
      <c r="Q111">
        <v>0.74466049604171103</v>
      </c>
      <c r="R111">
        <v>0.190141241676658</v>
      </c>
      <c r="S111">
        <v>36</v>
      </c>
      <c r="T111">
        <v>0.43328270334525198</v>
      </c>
      <c r="U111">
        <v>2.7381249834913499E-2</v>
      </c>
    </row>
    <row r="112" spans="1:21" x14ac:dyDescent="0.25">
      <c r="A112">
        <v>111</v>
      </c>
      <c r="B112">
        <v>207</v>
      </c>
      <c r="C112" t="s">
        <v>23</v>
      </c>
      <c r="D112">
        <v>23</v>
      </c>
      <c r="E112" t="s">
        <v>24</v>
      </c>
      <c r="F112" t="s">
        <v>25</v>
      </c>
      <c r="G112">
        <v>5626.89041693953</v>
      </c>
      <c r="H112">
        <v>114237481.80882099</v>
      </c>
      <c r="I112">
        <v>11403.908071735499</v>
      </c>
      <c r="J112">
        <v>45039119.2368991</v>
      </c>
      <c r="K112">
        <v>0.45957981178970703</v>
      </c>
      <c r="L112">
        <v>6.4627950803484401E-3</v>
      </c>
      <c r="M112">
        <v>0.13706719299871201</v>
      </c>
      <c r="N112">
        <v>1.75852624959335E-3</v>
      </c>
      <c r="O112">
        <v>0.20828785563559599</v>
      </c>
      <c r="P112">
        <v>0.16490402483036501</v>
      </c>
      <c r="Q112">
        <v>0.73683827542295799</v>
      </c>
      <c r="R112">
        <v>0.19390763129494201</v>
      </c>
      <c r="S112">
        <v>43</v>
      </c>
      <c r="T112">
        <v>0.42310975832995301</v>
      </c>
      <c r="U112">
        <v>2.5314681506292801E-2</v>
      </c>
    </row>
    <row r="113" spans="1:21" x14ac:dyDescent="0.25">
      <c r="A113">
        <v>112</v>
      </c>
      <c r="B113">
        <v>208</v>
      </c>
      <c r="C113" t="s">
        <v>23</v>
      </c>
      <c r="D113">
        <v>23</v>
      </c>
      <c r="E113" t="s">
        <v>24</v>
      </c>
      <c r="F113" t="s">
        <v>25</v>
      </c>
      <c r="G113">
        <v>5676.8656563437999</v>
      </c>
      <c r="H113">
        <v>131173318.238388</v>
      </c>
      <c r="I113">
        <v>12043.166076003799</v>
      </c>
      <c r="J113">
        <v>47053650.841216199</v>
      </c>
      <c r="K113">
        <v>0.47295016103540299</v>
      </c>
      <c r="L113">
        <v>5.7037054179640998E-3</v>
      </c>
      <c r="M113">
        <v>0.134172465958323</v>
      </c>
      <c r="N113">
        <v>1.2773260535844399E-3</v>
      </c>
      <c r="O113">
        <v>0.21654830758718299</v>
      </c>
      <c r="P113">
        <v>0.16965513806850199</v>
      </c>
      <c r="Q113">
        <v>0.67660052232066603</v>
      </c>
      <c r="R113">
        <v>0.21881225551620401</v>
      </c>
      <c r="S113">
        <v>42</v>
      </c>
      <c r="T113">
        <v>0.42300941419467902</v>
      </c>
      <c r="U113">
        <v>2.64176868357829E-2</v>
      </c>
    </row>
    <row r="114" spans="1:21" x14ac:dyDescent="0.25">
      <c r="A114">
        <v>113</v>
      </c>
      <c r="B114">
        <v>209</v>
      </c>
      <c r="C114" t="s">
        <v>23</v>
      </c>
      <c r="D114">
        <v>23</v>
      </c>
      <c r="E114" t="s">
        <v>24</v>
      </c>
      <c r="F114" t="s">
        <v>25</v>
      </c>
      <c r="G114">
        <v>6916.6073248331504</v>
      </c>
      <c r="H114">
        <v>160191086.238244</v>
      </c>
      <c r="I114">
        <v>11696.5985231492</v>
      </c>
      <c r="J114">
        <v>63030350.906487502</v>
      </c>
      <c r="K114">
        <v>0.49942587734771599</v>
      </c>
      <c r="L114">
        <v>5.9933361875647998E-3</v>
      </c>
      <c r="M114">
        <v>0.13654984653353899</v>
      </c>
      <c r="N114">
        <v>1.36358063885836E-3</v>
      </c>
      <c r="O114">
        <v>0.24714733392340299</v>
      </c>
      <c r="P114">
        <v>0.18606552925815101</v>
      </c>
      <c r="Q114">
        <v>0.63870219330766098</v>
      </c>
      <c r="R114">
        <v>0.23076170157131701</v>
      </c>
      <c r="S114">
        <v>39</v>
      </c>
      <c r="T114">
        <v>0.434728427560165</v>
      </c>
      <c r="U114">
        <v>3.2178360755323598E-2</v>
      </c>
    </row>
    <row r="115" spans="1:21" x14ac:dyDescent="0.25">
      <c r="A115">
        <v>114</v>
      </c>
      <c r="B115">
        <v>210</v>
      </c>
      <c r="C115" t="s">
        <v>23</v>
      </c>
      <c r="D115">
        <v>23</v>
      </c>
      <c r="E115" t="s">
        <v>24</v>
      </c>
      <c r="F115" t="s">
        <v>25</v>
      </c>
      <c r="G115">
        <v>5574.4741340190603</v>
      </c>
      <c r="H115">
        <v>106477776.57424399</v>
      </c>
      <c r="I115">
        <v>13860.389040243999</v>
      </c>
      <c r="J115">
        <v>53657787.997057803</v>
      </c>
      <c r="K115">
        <v>0.48858998016988803</v>
      </c>
      <c r="L115">
        <v>5.7159551951923796E-3</v>
      </c>
      <c r="M115">
        <v>0.13192591944722801</v>
      </c>
      <c r="N115">
        <v>1.3159558591714601E-3</v>
      </c>
      <c r="O115">
        <v>0.19728482831644201</v>
      </c>
      <c r="P115">
        <v>0.158363524832494</v>
      </c>
      <c r="Q115">
        <v>0.88030299211010599</v>
      </c>
      <c r="R115">
        <v>0.105369634191991</v>
      </c>
      <c r="S115">
        <v>36</v>
      </c>
      <c r="T115">
        <v>0.39813105018233402</v>
      </c>
      <c r="U115">
        <v>2.7308194110279699E-2</v>
      </c>
    </row>
    <row r="116" spans="1:21" x14ac:dyDescent="0.25">
      <c r="A116">
        <v>115</v>
      </c>
      <c r="B116">
        <v>211</v>
      </c>
      <c r="C116" t="s">
        <v>23</v>
      </c>
      <c r="D116">
        <v>23</v>
      </c>
      <c r="E116" t="s">
        <v>24</v>
      </c>
      <c r="F116" t="s">
        <v>25</v>
      </c>
      <c r="G116">
        <v>4388.6596779356396</v>
      </c>
      <c r="H116">
        <v>84075086.667118907</v>
      </c>
      <c r="I116">
        <v>13712.6416199875</v>
      </c>
      <c r="J116">
        <v>41951368.998688199</v>
      </c>
      <c r="K116">
        <v>0.47984761160146</v>
      </c>
      <c r="L116">
        <v>5.3573365743837401E-3</v>
      </c>
      <c r="M116">
        <v>0.13092902719103999</v>
      </c>
      <c r="N116">
        <v>1.26124396016674E-3</v>
      </c>
      <c r="O116">
        <v>0.155541329131066</v>
      </c>
      <c r="P116">
        <v>0.13134822406312899</v>
      </c>
      <c r="Q116">
        <v>0.66419628457816804</v>
      </c>
      <c r="R116">
        <v>0.223039580130656</v>
      </c>
      <c r="S116">
        <v>29</v>
      </c>
      <c r="T116">
        <v>0.37878282978449002</v>
      </c>
      <c r="U116">
        <v>2.2338868297427698E-2</v>
      </c>
    </row>
    <row r="117" spans="1:21" x14ac:dyDescent="0.25">
      <c r="A117">
        <v>116</v>
      </c>
      <c r="B117">
        <v>212</v>
      </c>
      <c r="C117" t="s">
        <v>23</v>
      </c>
      <c r="D117">
        <v>23</v>
      </c>
      <c r="E117" t="s">
        <v>24</v>
      </c>
      <c r="F117" t="s">
        <v>25</v>
      </c>
      <c r="G117">
        <v>6463.9009411961697</v>
      </c>
      <c r="H117">
        <v>147479563.57100499</v>
      </c>
      <c r="I117">
        <v>12467.149086592301</v>
      </c>
      <c r="J117">
        <v>54477522.753889397</v>
      </c>
      <c r="K117">
        <v>0.49493087081987502</v>
      </c>
      <c r="L117">
        <v>5.6590179694935199E-3</v>
      </c>
      <c r="M117">
        <v>0.13509887046526201</v>
      </c>
      <c r="N117">
        <v>1.4692549792339701E-3</v>
      </c>
      <c r="O117">
        <v>0.204360357343602</v>
      </c>
      <c r="P117">
        <v>0.1625972016901</v>
      </c>
      <c r="Q117">
        <v>0.66604870347335199</v>
      </c>
      <c r="R117">
        <v>0.22242782807443101</v>
      </c>
      <c r="S117">
        <v>28</v>
      </c>
      <c r="T117">
        <v>0.40853222420928198</v>
      </c>
      <c r="U117">
        <v>2.7598997587559002E-2</v>
      </c>
    </row>
    <row r="118" spans="1:21" x14ac:dyDescent="0.25">
      <c r="A118">
        <v>117</v>
      </c>
      <c r="B118">
        <v>301</v>
      </c>
      <c r="C118" t="s">
        <v>23</v>
      </c>
      <c r="D118">
        <v>23</v>
      </c>
      <c r="E118" t="s">
        <v>24</v>
      </c>
      <c r="F118" t="s">
        <v>25</v>
      </c>
      <c r="G118">
        <v>6778.3733555209901</v>
      </c>
      <c r="H118">
        <v>137302517.35882699</v>
      </c>
      <c r="I118">
        <v>15637.2960102447</v>
      </c>
      <c r="J118">
        <v>74350564.824388698</v>
      </c>
      <c r="K118">
        <v>0.45388563852599301</v>
      </c>
      <c r="L118">
        <v>7.0874357646716797E-3</v>
      </c>
      <c r="M118">
        <v>0.12362201103769301</v>
      </c>
      <c r="N118">
        <v>1.5590734389056399E-3</v>
      </c>
      <c r="O118">
        <v>0.24009695040335699</v>
      </c>
      <c r="P118">
        <v>0.18245040481022401</v>
      </c>
      <c r="Q118">
        <v>0.430037380923671</v>
      </c>
      <c r="R118">
        <v>0.24510523193198</v>
      </c>
      <c r="S118">
        <v>13</v>
      </c>
      <c r="T118">
        <v>0.41014472914662198</v>
      </c>
      <c r="U118">
        <v>3.3406706502143502E-2</v>
      </c>
    </row>
    <row r="119" spans="1:21" x14ac:dyDescent="0.25">
      <c r="A119">
        <v>118</v>
      </c>
      <c r="B119">
        <v>302</v>
      </c>
      <c r="C119" t="s">
        <v>23</v>
      </c>
      <c r="D119">
        <v>23</v>
      </c>
      <c r="E119" t="s">
        <v>24</v>
      </c>
      <c r="F119" t="s">
        <v>25</v>
      </c>
      <c r="G119">
        <v>5315.9122083079201</v>
      </c>
      <c r="H119">
        <v>113639566.121372</v>
      </c>
      <c r="I119">
        <v>16624.997172784701</v>
      </c>
      <c r="J119">
        <v>51942306.974234499</v>
      </c>
      <c r="K119">
        <v>0.45707250556141299</v>
      </c>
      <c r="L119">
        <v>4.4887383305776598E-3</v>
      </c>
      <c r="M119">
        <v>0.12462099285113799</v>
      </c>
      <c r="N119">
        <v>1.2770456725706601E-3</v>
      </c>
      <c r="O119">
        <v>0.188799980862846</v>
      </c>
      <c r="P119">
        <v>0.15315454808904899</v>
      </c>
      <c r="Q119">
        <v>0.673794489092997</v>
      </c>
      <c r="R119">
        <v>0.219795475561161</v>
      </c>
      <c r="S119">
        <v>25</v>
      </c>
      <c r="T119">
        <v>0.39350894325281999</v>
      </c>
      <c r="U119">
        <v>2.5202228227240098E-2</v>
      </c>
    </row>
    <row r="120" spans="1:21" x14ac:dyDescent="0.25">
      <c r="A120">
        <v>119</v>
      </c>
      <c r="B120">
        <v>303</v>
      </c>
      <c r="C120" t="s">
        <v>23</v>
      </c>
      <c r="D120">
        <v>23</v>
      </c>
      <c r="E120" t="s">
        <v>24</v>
      </c>
      <c r="F120" t="s">
        <v>25</v>
      </c>
      <c r="G120">
        <v>8609.5085258525905</v>
      </c>
      <c r="H120">
        <v>194960545.875029</v>
      </c>
      <c r="I120">
        <v>12841.831359971</v>
      </c>
      <c r="J120">
        <v>78057020.100459799</v>
      </c>
      <c r="K120">
        <v>0.51255134599350205</v>
      </c>
      <c r="L120">
        <v>5.8970346268419696E-3</v>
      </c>
      <c r="M120">
        <v>0.14099908561322499</v>
      </c>
      <c r="N120">
        <v>1.4160359475033999E-3</v>
      </c>
      <c r="O120">
        <v>0.31133113311331101</v>
      </c>
      <c r="P120">
        <v>0.214404058667924</v>
      </c>
      <c r="Q120">
        <v>0.40279655036302497</v>
      </c>
      <c r="R120">
        <v>0.24055148937864701</v>
      </c>
      <c r="S120">
        <v>12</v>
      </c>
      <c r="T120">
        <v>0.470550344391575</v>
      </c>
      <c r="U120">
        <v>3.39952140761971E-2</v>
      </c>
    </row>
    <row r="121" spans="1:21" x14ac:dyDescent="0.25">
      <c r="A121">
        <v>120</v>
      </c>
      <c r="B121">
        <v>304</v>
      </c>
      <c r="C121" t="s">
        <v>23</v>
      </c>
      <c r="D121">
        <v>23</v>
      </c>
      <c r="E121" t="s">
        <v>24</v>
      </c>
      <c r="F121" t="s">
        <v>25</v>
      </c>
      <c r="G121">
        <v>8154.64126547455</v>
      </c>
      <c r="H121">
        <v>176912720.03572401</v>
      </c>
      <c r="I121">
        <v>13327.119373919701</v>
      </c>
      <c r="J121">
        <v>82436423.634433001</v>
      </c>
      <c r="K121">
        <v>0.541341577853236</v>
      </c>
      <c r="L121">
        <v>7.0016697902475604E-3</v>
      </c>
      <c r="M121">
        <v>0.15559317302131101</v>
      </c>
      <c r="N121">
        <v>1.83132365383318E-3</v>
      </c>
      <c r="O121">
        <v>0.32298307517493002</v>
      </c>
      <c r="P121">
        <v>0.21866500832531499</v>
      </c>
      <c r="Q121">
        <v>0.88734483006051301</v>
      </c>
      <c r="R121">
        <v>9.9963982625329795E-2</v>
      </c>
      <c r="S121">
        <v>59</v>
      </c>
      <c r="T121">
        <v>0.468683468032978</v>
      </c>
      <c r="U121">
        <v>4.5467957229655499E-2</v>
      </c>
    </row>
    <row r="122" spans="1:21" x14ac:dyDescent="0.25">
      <c r="A122">
        <v>121</v>
      </c>
      <c r="B122">
        <v>305</v>
      </c>
      <c r="C122" t="s">
        <v>23</v>
      </c>
      <c r="D122">
        <v>23</v>
      </c>
      <c r="E122" t="s">
        <v>24</v>
      </c>
      <c r="F122" t="s">
        <v>25</v>
      </c>
      <c r="G122">
        <v>7745.3971939141702</v>
      </c>
      <c r="H122">
        <v>174611766.19900101</v>
      </c>
      <c r="I122">
        <v>13014.7473163209</v>
      </c>
      <c r="J122">
        <v>78283312.949455202</v>
      </c>
      <c r="K122">
        <v>0.54055530251015005</v>
      </c>
      <c r="L122">
        <v>6.2556571996581602E-3</v>
      </c>
      <c r="M122">
        <v>0.15819314377479701</v>
      </c>
      <c r="N122">
        <v>2.04440738950934E-3</v>
      </c>
      <c r="O122">
        <v>0.287067604420841</v>
      </c>
      <c r="P122">
        <v>0.204659794912953</v>
      </c>
      <c r="Q122">
        <v>0.81324897744396896</v>
      </c>
      <c r="R122">
        <v>0.15187507813041801</v>
      </c>
      <c r="S122">
        <v>63</v>
      </c>
      <c r="T122">
        <v>0.45642330479408</v>
      </c>
      <c r="U122">
        <v>3.8126275894940102E-2</v>
      </c>
    </row>
    <row r="123" spans="1:21" x14ac:dyDescent="0.25">
      <c r="A123">
        <v>122</v>
      </c>
      <c r="B123">
        <v>306</v>
      </c>
      <c r="C123" t="s">
        <v>23</v>
      </c>
      <c r="D123">
        <v>23</v>
      </c>
      <c r="E123" t="s">
        <v>24</v>
      </c>
      <c r="F123" t="s">
        <v>25</v>
      </c>
      <c r="G123">
        <v>3709.9991269509101</v>
      </c>
      <c r="H123">
        <v>89395783.270094797</v>
      </c>
      <c r="I123">
        <v>14936.0537694989</v>
      </c>
      <c r="J123">
        <v>48522979.209199898</v>
      </c>
      <c r="K123">
        <v>0.48601775828844501</v>
      </c>
      <c r="L123">
        <v>5.8461904359904601E-3</v>
      </c>
      <c r="M123">
        <v>0.14735296591105099</v>
      </c>
      <c r="N123">
        <v>1.69142507181894E-3</v>
      </c>
      <c r="O123">
        <v>0.15956467141063199</v>
      </c>
      <c r="P123">
        <v>0.13410378704832099</v>
      </c>
      <c r="Q123">
        <v>0.81957998469192495</v>
      </c>
      <c r="R123">
        <v>0.14786863338445899</v>
      </c>
      <c r="S123">
        <v>54</v>
      </c>
      <c r="T123">
        <v>0.38272423959436702</v>
      </c>
      <c r="U123">
        <v>2.40617142142465E-2</v>
      </c>
    </row>
    <row r="124" spans="1:21" x14ac:dyDescent="0.25">
      <c r="A124">
        <v>123</v>
      </c>
      <c r="B124">
        <v>307</v>
      </c>
      <c r="C124" t="s">
        <v>23</v>
      </c>
      <c r="D124">
        <v>23</v>
      </c>
      <c r="E124" t="s">
        <v>24</v>
      </c>
      <c r="F124" t="s">
        <v>25</v>
      </c>
      <c r="G124">
        <v>5491.1564817029403</v>
      </c>
      <c r="H124">
        <v>129940206.859069</v>
      </c>
      <c r="I124">
        <v>13452.5592300465</v>
      </c>
      <c r="J124">
        <v>58171581.240570702</v>
      </c>
      <c r="K124">
        <v>0.47956622619519601</v>
      </c>
      <c r="L124">
        <v>6.2650891401737803E-3</v>
      </c>
      <c r="M124">
        <v>0.13802780208663101</v>
      </c>
      <c r="N124">
        <v>1.6825132159313499E-3</v>
      </c>
      <c r="O124">
        <v>0.21901458981104999</v>
      </c>
      <c r="P124">
        <v>0.17104719926096401</v>
      </c>
      <c r="Q124">
        <v>0.56379033994402095</v>
      </c>
      <c r="R124">
        <v>0.245930792529829</v>
      </c>
      <c r="S124">
        <v>19</v>
      </c>
      <c r="T124">
        <v>0.412261286776542</v>
      </c>
      <c r="U124">
        <v>2.9524517331377498E-2</v>
      </c>
    </row>
    <row r="125" spans="1:21" x14ac:dyDescent="0.25">
      <c r="A125">
        <v>124</v>
      </c>
      <c r="B125">
        <v>308</v>
      </c>
      <c r="C125" t="s">
        <v>23</v>
      </c>
      <c r="D125">
        <v>23</v>
      </c>
      <c r="E125" t="s">
        <v>24</v>
      </c>
      <c r="F125" t="s">
        <v>25</v>
      </c>
      <c r="G125">
        <v>9324.1306422676698</v>
      </c>
      <c r="H125">
        <v>240314611.02513599</v>
      </c>
      <c r="I125">
        <v>12390.882348403</v>
      </c>
      <c r="J125">
        <v>70004971.535695598</v>
      </c>
      <c r="K125">
        <v>0.495143822839266</v>
      </c>
      <c r="L125">
        <v>5.2369095785158E-3</v>
      </c>
      <c r="M125">
        <v>0.13852651213049599</v>
      </c>
      <c r="N125">
        <v>1.8879462335263601E-3</v>
      </c>
      <c r="O125">
        <v>0.30529840928118601</v>
      </c>
      <c r="P125">
        <v>0.21209129057128601</v>
      </c>
      <c r="Q125">
        <v>0.64613452914798197</v>
      </c>
      <c r="R125">
        <v>0.22864469939026799</v>
      </c>
      <c r="S125">
        <v>53</v>
      </c>
      <c r="T125">
        <v>0.46007061207473399</v>
      </c>
      <c r="U125">
        <v>3.5274793007338802E-2</v>
      </c>
    </row>
    <row r="126" spans="1:21" x14ac:dyDescent="0.25">
      <c r="A126">
        <v>125</v>
      </c>
      <c r="B126">
        <v>309</v>
      </c>
      <c r="C126" t="s">
        <v>23</v>
      </c>
      <c r="D126">
        <v>23</v>
      </c>
      <c r="E126" t="s">
        <v>24</v>
      </c>
      <c r="F126" t="s">
        <v>25</v>
      </c>
      <c r="G126">
        <v>3474.5821393546498</v>
      </c>
      <c r="H126">
        <v>95451564.3799043</v>
      </c>
      <c r="I126">
        <v>14614.1318695751</v>
      </c>
      <c r="J126">
        <v>41595133.944257297</v>
      </c>
      <c r="K126">
        <v>0.48294377882359502</v>
      </c>
      <c r="L126">
        <v>4.6576759637850396E-3</v>
      </c>
      <c r="M126">
        <v>0.150556825669384</v>
      </c>
      <c r="N126">
        <v>1.4040685742734899E-3</v>
      </c>
      <c r="O126">
        <v>0.146410888128782</v>
      </c>
      <c r="P126">
        <v>0.124974739966301</v>
      </c>
      <c r="Q126">
        <v>0.85745207543559598</v>
      </c>
      <c r="R126">
        <v>0.122228013766852</v>
      </c>
      <c r="S126">
        <v>54</v>
      </c>
      <c r="T126">
        <v>0.39368868123127898</v>
      </c>
      <c r="U126">
        <v>1.8723045218495799E-2</v>
      </c>
    </row>
    <row r="127" spans="1:21" x14ac:dyDescent="0.25">
      <c r="A127">
        <v>126</v>
      </c>
      <c r="B127">
        <v>310</v>
      </c>
      <c r="C127" t="s">
        <v>23</v>
      </c>
      <c r="D127">
        <v>23</v>
      </c>
      <c r="E127" t="s">
        <v>24</v>
      </c>
      <c r="F127" t="s">
        <v>25</v>
      </c>
      <c r="G127">
        <v>10256.980206427201</v>
      </c>
      <c r="H127">
        <v>251117680.885986</v>
      </c>
      <c r="I127">
        <v>12267.1116861094</v>
      </c>
      <c r="J127">
        <v>79046415.692941606</v>
      </c>
      <c r="K127">
        <v>0.49874494580942202</v>
      </c>
      <c r="L127">
        <v>5.6547333851717299E-3</v>
      </c>
      <c r="M127">
        <v>0.14269222458903499</v>
      </c>
      <c r="N127">
        <v>2.1035231643603998E-3</v>
      </c>
      <c r="O127">
        <v>0.32195950390489497</v>
      </c>
      <c r="P127">
        <v>0.218301581750215</v>
      </c>
      <c r="Q127">
        <v>0.80002152878278698</v>
      </c>
      <c r="R127">
        <v>0.15998708226695699</v>
      </c>
      <c r="S127">
        <v>41</v>
      </c>
      <c r="T127">
        <v>0.46572032509657402</v>
      </c>
      <c r="U127">
        <v>3.7452020756097902E-2</v>
      </c>
    </row>
    <row r="128" spans="1:21" x14ac:dyDescent="0.25">
      <c r="A128">
        <v>127</v>
      </c>
      <c r="B128">
        <v>311</v>
      </c>
      <c r="C128" t="s">
        <v>23</v>
      </c>
      <c r="D128">
        <v>23</v>
      </c>
      <c r="E128" t="s">
        <v>24</v>
      </c>
      <c r="F128" t="s">
        <v>25</v>
      </c>
      <c r="G128">
        <v>10401.646587074099</v>
      </c>
      <c r="H128">
        <v>261732872.99206501</v>
      </c>
      <c r="I128">
        <v>11503.030014775</v>
      </c>
      <c r="J128">
        <v>77085374.935224801</v>
      </c>
      <c r="K128">
        <v>0.51752265111622897</v>
      </c>
      <c r="L128">
        <v>5.1204316616192203E-3</v>
      </c>
      <c r="M128">
        <v>0.14702646267063199</v>
      </c>
      <c r="N128">
        <v>1.7627246154521699E-3</v>
      </c>
      <c r="O128">
        <v>0.31614471822041601</v>
      </c>
      <c r="P128">
        <v>0.21619723536193799</v>
      </c>
      <c r="Q128">
        <v>0.77012411990999496</v>
      </c>
      <c r="R128">
        <v>0.17703295984307499</v>
      </c>
      <c r="S128">
        <v>47</v>
      </c>
      <c r="T128">
        <v>0.47469034301866703</v>
      </c>
      <c r="U128">
        <v>3.5579418285432603E-2</v>
      </c>
    </row>
    <row r="129" spans="1:21" x14ac:dyDescent="0.25">
      <c r="A129">
        <v>128</v>
      </c>
      <c r="B129">
        <v>312</v>
      </c>
      <c r="C129" t="s">
        <v>23</v>
      </c>
      <c r="D129">
        <v>23</v>
      </c>
      <c r="E129" t="s">
        <v>24</v>
      </c>
      <c r="F129" t="s">
        <v>25</v>
      </c>
      <c r="G129">
        <v>7087.87856245889</v>
      </c>
      <c r="H129">
        <v>173339685.922849</v>
      </c>
      <c r="I129">
        <v>12792.1050387265</v>
      </c>
      <c r="J129">
        <v>62393832.935579598</v>
      </c>
      <c r="K129">
        <v>0.51835734530145505</v>
      </c>
      <c r="L129">
        <v>5.2501563759017001E-3</v>
      </c>
      <c r="M129">
        <v>0.14940209848406499</v>
      </c>
      <c r="N129">
        <v>1.6613612410919501E-3</v>
      </c>
      <c r="O129">
        <v>0.223452729773366</v>
      </c>
      <c r="P129">
        <v>0.17352160733011199</v>
      </c>
      <c r="Q129">
        <v>0.78782768848067397</v>
      </c>
      <c r="R129">
        <v>0.16715522174356201</v>
      </c>
      <c r="S129">
        <v>56</v>
      </c>
      <c r="T129">
        <v>0.43216524409676099</v>
      </c>
      <c r="U129">
        <v>2.87079307136257E-2</v>
      </c>
    </row>
    <row r="130" spans="1:21" x14ac:dyDescent="0.25">
      <c r="A130">
        <v>129</v>
      </c>
      <c r="B130">
        <v>401</v>
      </c>
      <c r="C130" t="s">
        <v>23</v>
      </c>
      <c r="D130">
        <v>23</v>
      </c>
      <c r="E130" t="s">
        <v>24</v>
      </c>
      <c r="F130" t="s">
        <v>25</v>
      </c>
      <c r="G130">
        <v>9311.4255217365298</v>
      </c>
      <c r="H130">
        <v>182771634.83164299</v>
      </c>
      <c r="I130">
        <v>14181.5844953085</v>
      </c>
      <c r="J130">
        <v>101861205.788625</v>
      </c>
      <c r="K130">
        <v>0.551757901266831</v>
      </c>
      <c r="L130">
        <v>7.3755497931269403E-3</v>
      </c>
      <c r="M130">
        <v>0.18287028032046199</v>
      </c>
      <c r="N130">
        <v>1.72840178349435E-3</v>
      </c>
      <c r="O130">
        <v>0.30487352747712698</v>
      </c>
      <c r="P130">
        <v>0.211925659721027</v>
      </c>
      <c r="Q130">
        <v>0.48110409491006501</v>
      </c>
      <c r="R130">
        <v>0.249642944770677</v>
      </c>
      <c r="S130">
        <v>18</v>
      </c>
      <c r="T130">
        <v>0.45199171419283901</v>
      </c>
      <c r="U130">
        <v>4.6277201141918099E-2</v>
      </c>
    </row>
    <row r="131" spans="1:21" x14ac:dyDescent="0.25">
      <c r="A131">
        <v>130</v>
      </c>
      <c r="B131">
        <v>402</v>
      </c>
      <c r="C131" t="s">
        <v>23</v>
      </c>
      <c r="D131">
        <v>23</v>
      </c>
      <c r="E131" t="s">
        <v>24</v>
      </c>
      <c r="F131" t="s">
        <v>25</v>
      </c>
      <c r="G131">
        <v>7144.5791532611902</v>
      </c>
      <c r="H131">
        <v>164490712.20749301</v>
      </c>
      <c r="I131">
        <v>14732.306426926199</v>
      </c>
      <c r="J131">
        <v>65636384.127639003</v>
      </c>
      <c r="K131">
        <v>0.53316555304771096</v>
      </c>
      <c r="L131">
        <v>4.7861882079296399E-3</v>
      </c>
      <c r="M131">
        <v>0.17515107105133601</v>
      </c>
      <c r="N131">
        <v>1.57919662359748E-3</v>
      </c>
      <c r="O131">
        <v>0.241432680120893</v>
      </c>
      <c r="P131">
        <v>0.18314294109062801</v>
      </c>
      <c r="Q131">
        <v>0.66602883642701305</v>
      </c>
      <c r="R131">
        <v>0.22243442547491599</v>
      </c>
      <c r="S131">
        <v>27</v>
      </c>
      <c r="T131">
        <v>0.43160594165240901</v>
      </c>
      <c r="U131">
        <v>3.1362468951145098E-2</v>
      </c>
    </row>
    <row r="132" spans="1:21" x14ac:dyDescent="0.25">
      <c r="A132">
        <v>131</v>
      </c>
      <c r="B132">
        <v>403</v>
      </c>
      <c r="C132" t="s">
        <v>23</v>
      </c>
      <c r="D132">
        <v>23</v>
      </c>
      <c r="E132" t="s">
        <v>24</v>
      </c>
      <c r="F132" t="s">
        <v>25</v>
      </c>
      <c r="G132">
        <v>5998.0364895411003</v>
      </c>
      <c r="H132">
        <v>138203075.077914</v>
      </c>
      <c r="I132">
        <v>14022.6871429241</v>
      </c>
      <c r="J132">
        <v>63194432.205838703</v>
      </c>
      <c r="K132">
        <v>0.54844805882940995</v>
      </c>
      <c r="L132">
        <v>5.3847187672017901E-3</v>
      </c>
      <c r="M132">
        <v>0.16528358996019499</v>
      </c>
      <c r="N132">
        <v>1.32127257011114E-3</v>
      </c>
      <c r="O132">
        <v>0.255187590446462</v>
      </c>
      <c r="P132">
        <v>0.19006688412873099</v>
      </c>
      <c r="Q132">
        <v>0.643960959739732</v>
      </c>
      <c r="R132">
        <v>0.229275242070892</v>
      </c>
      <c r="S132">
        <v>27</v>
      </c>
      <c r="T132">
        <v>0.44780360414745402</v>
      </c>
      <c r="U132">
        <v>3.1082786532674201E-2</v>
      </c>
    </row>
    <row r="133" spans="1:21" x14ac:dyDescent="0.25">
      <c r="A133">
        <v>132</v>
      </c>
      <c r="B133">
        <v>404</v>
      </c>
      <c r="C133" t="s">
        <v>23</v>
      </c>
      <c r="D133">
        <v>23</v>
      </c>
      <c r="E133" t="s">
        <v>24</v>
      </c>
      <c r="F133" t="s">
        <v>25</v>
      </c>
      <c r="G133">
        <v>7797.3286850445502</v>
      </c>
      <c r="H133">
        <v>190844318.104691</v>
      </c>
      <c r="I133">
        <v>13957.9150867117</v>
      </c>
      <c r="J133">
        <v>81065954.461289003</v>
      </c>
      <c r="K133">
        <v>0.53935747011584401</v>
      </c>
      <c r="L133">
        <v>5.8786492194946296E-3</v>
      </c>
      <c r="M133">
        <v>0.13659514149916499</v>
      </c>
      <c r="N133">
        <v>2.2431883041430498E-3</v>
      </c>
      <c r="O133">
        <v>0.28753214136219601</v>
      </c>
      <c r="P133">
        <v>0.20485740904594699</v>
      </c>
      <c r="Q133">
        <v>0.87041953693073104</v>
      </c>
      <c r="R133">
        <v>0.112789366660017</v>
      </c>
      <c r="S133">
        <v>56</v>
      </c>
      <c r="T133">
        <v>0.46588470545163901</v>
      </c>
      <c r="U133">
        <v>3.5608568823705999E-2</v>
      </c>
    </row>
    <row r="134" spans="1:21" x14ac:dyDescent="0.25">
      <c r="A134">
        <v>133</v>
      </c>
      <c r="B134">
        <v>405</v>
      </c>
      <c r="C134" t="s">
        <v>23</v>
      </c>
      <c r="D134">
        <v>23</v>
      </c>
      <c r="E134" t="s">
        <v>24</v>
      </c>
      <c r="F134" t="s">
        <v>25</v>
      </c>
      <c r="G134">
        <v>4596.2861841711801</v>
      </c>
      <c r="H134">
        <v>110938396.397305</v>
      </c>
      <c r="I134">
        <v>15245.351512672099</v>
      </c>
      <c r="J134">
        <v>55777669.479759097</v>
      </c>
      <c r="K134">
        <v>0.51152858258406597</v>
      </c>
      <c r="L134">
        <v>4.2480407742834601E-3</v>
      </c>
      <c r="M134">
        <v>0.114525325911343</v>
      </c>
      <c r="N134">
        <v>1.6874299829503999E-3</v>
      </c>
      <c r="O134">
        <v>0.188991352398723</v>
      </c>
      <c r="P134">
        <v>0.15327362111732101</v>
      </c>
      <c r="Q134">
        <v>0.69209792969824502</v>
      </c>
      <c r="R134">
        <v>0.21309838540585099</v>
      </c>
      <c r="S134">
        <v>34</v>
      </c>
      <c r="T134">
        <v>0.41654835944230201</v>
      </c>
      <c r="U134">
        <v>2.3394646756992401E-2</v>
      </c>
    </row>
    <row r="135" spans="1:21" x14ac:dyDescent="0.25">
      <c r="A135">
        <v>134</v>
      </c>
      <c r="B135">
        <v>406</v>
      </c>
      <c r="C135" t="s">
        <v>23</v>
      </c>
      <c r="D135">
        <v>23</v>
      </c>
      <c r="E135" t="s">
        <v>24</v>
      </c>
      <c r="F135" t="s">
        <v>25</v>
      </c>
      <c r="G135">
        <v>8288.1796668495299</v>
      </c>
      <c r="H135">
        <v>210113971.67217201</v>
      </c>
      <c r="I135">
        <v>13171.587788106601</v>
      </c>
      <c r="J135">
        <v>80894350.384198606</v>
      </c>
      <c r="K135">
        <v>0.498453655642697</v>
      </c>
      <c r="L135">
        <v>6.4417190541367804E-3</v>
      </c>
      <c r="M135">
        <v>0.122379730638444</v>
      </c>
      <c r="N135">
        <v>2.0047746442776598E-3</v>
      </c>
      <c r="O135">
        <v>0.28644456635579302</v>
      </c>
      <c r="P135">
        <v>0.204394076761058</v>
      </c>
      <c r="Q135">
        <v>0.65640974490686499</v>
      </c>
      <c r="R135">
        <v>0.22553599169827601</v>
      </c>
      <c r="S135">
        <v>21</v>
      </c>
      <c r="T135">
        <v>0.45341089216233399</v>
      </c>
      <c r="U135">
        <v>3.6369224965450503E-2</v>
      </c>
    </row>
    <row r="136" spans="1:21" x14ac:dyDescent="0.25">
      <c r="A136">
        <v>135</v>
      </c>
      <c r="B136">
        <v>407</v>
      </c>
      <c r="C136" t="s">
        <v>23</v>
      </c>
      <c r="D136">
        <v>23</v>
      </c>
      <c r="E136" t="s">
        <v>24</v>
      </c>
      <c r="F136" t="s">
        <v>25</v>
      </c>
      <c r="G136">
        <v>10491.334170493699</v>
      </c>
      <c r="H136">
        <v>255835796.67590901</v>
      </c>
      <c r="I136">
        <v>12270.633199613299</v>
      </c>
      <c r="J136">
        <v>96754933.294733196</v>
      </c>
      <c r="K136">
        <v>0.49740522971588502</v>
      </c>
      <c r="L136">
        <v>5.95009791806894E-3</v>
      </c>
      <c r="M136">
        <v>0.13164211065536</v>
      </c>
      <c r="N136">
        <v>1.7223645252885101E-3</v>
      </c>
      <c r="O136">
        <v>0.32225889781859901</v>
      </c>
      <c r="P136">
        <v>0.21840810059517701</v>
      </c>
      <c r="Q136">
        <v>0.52191539997847303</v>
      </c>
      <c r="R136">
        <v>0.24951971524373601</v>
      </c>
      <c r="S136">
        <v>31</v>
      </c>
      <c r="T136">
        <v>0.47535346158064801</v>
      </c>
      <c r="U136">
        <v>3.9800083307462097E-2</v>
      </c>
    </row>
    <row r="137" spans="1:21" x14ac:dyDescent="0.25">
      <c r="A137">
        <v>136</v>
      </c>
      <c r="B137">
        <v>408</v>
      </c>
      <c r="C137" t="s">
        <v>23</v>
      </c>
      <c r="D137">
        <v>23</v>
      </c>
      <c r="E137" t="s">
        <v>24</v>
      </c>
      <c r="F137" t="s">
        <v>25</v>
      </c>
      <c r="G137">
        <v>8073.3365767892201</v>
      </c>
      <c r="H137">
        <v>177144273.65435699</v>
      </c>
      <c r="I137">
        <v>13813.215859178101</v>
      </c>
      <c r="J137">
        <v>69860100.012079597</v>
      </c>
      <c r="K137">
        <v>0.486265063088615</v>
      </c>
      <c r="L137">
        <v>4.8475655620891797E-3</v>
      </c>
      <c r="M137">
        <v>0.13299879996845901</v>
      </c>
      <c r="N137">
        <v>1.32277785481477E-3</v>
      </c>
      <c r="O137">
        <v>0.28831031202206198</v>
      </c>
      <c r="P137">
        <v>0.20518747600395101</v>
      </c>
      <c r="Q137">
        <v>0.56903569192235404</v>
      </c>
      <c r="R137">
        <v>0.24523407324077301</v>
      </c>
      <c r="S137">
        <v>21</v>
      </c>
      <c r="T137">
        <v>0.45227135555405801</v>
      </c>
      <c r="U137">
        <v>3.2497607390329197E-2</v>
      </c>
    </row>
    <row r="138" spans="1:21" x14ac:dyDescent="0.25">
      <c r="A138">
        <v>137</v>
      </c>
      <c r="B138">
        <v>409</v>
      </c>
      <c r="C138" t="s">
        <v>23</v>
      </c>
      <c r="D138">
        <v>23</v>
      </c>
      <c r="E138" t="s">
        <v>24</v>
      </c>
      <c r="F138" t="s">
        <v>25</v>
      </c>
      <c r="G138">
        <v>6667.5344813153997</v>
      </c>
      <c r="H138">
        <v>179196321.69687</v>
      </c>
      <c r="I138">
        <v>13881.118677598801</v>
      </c>
      <c r="J138">
        <v>66303315.518685803</v>
      </c>
      <c r="K138">
        <v>0.462937063562674</v>
      </c>
      <c r="L138">
        <v>5.6375792367361101E-3</v>
      </c>
      <c r="M138">
        <v>0.13552366877914601</v>
      </c>
      <c r="N138">
        <v>1.69932747422859E-3</v>
      </c>
      <c r="O138">
        <v>0.22703736920777301</v>
      </c>
      <c r="P138">
        <v>0.17549140219098799</v>
      </c>
      <c r="Q138">
        <v>0.76389752667081301</v>
      </c>
      <c r="R138">
        <v>0.18035809541731601</v>
      </c>
      <c r="S138">
        <v>52</v>
      </c>
      <c r="T138">
        <v>0.42233225942794</v>
      </c>
      <c r="U138">
        <v>2.980120862071E-2</v>
      </c>
    </row>
    <row r="139" spans="1:21" x14ac:dyDescent="0.25">
      <c r="A139">
        <v>138</v>
      </c>
      <c r="B139">
        <v>410</v>
      </c>
      <c r="C139" t="s">
        <v>23</v>
      </c>
      <c r="D139">
        <v>23</v>
      </c>
      <c r="E139" t="s">
        <v>24</v>
      </c>
      <c r="F139" t="s">
        <v>25</v>
      </c>
      <c r="G139">
        <v>7554.5730175816298</v>
      </c>
      <c r="H139">
        <v>171921798.38058701</v>
      </c>
      <c r="I139">
        <v>13404.220522648</v>
      </c>
      <c r="J139">
        <v>64376994.130144201</v>
      </c>
      <c r="K139">
        <v>0.46858435779713697</v>
      </c>
      <c r="L139">
        <v>5.1949896258572997E-3</v>
      </c>
      <c r="M139">
        <v>0.135038550625809</v>
      </c>
      <c r="N139">
        <v>1.6888318062063599E-3</v>
      </c>
      <c r="O139">
        <v>0.25620141131443602</v>
      </c>
      <c r="P139">
        <v>0.19056224815512299</v>
      </c>
      <c r="Q139">
        <v>0.80266934557979297</v>
      </c>
      <c r="R139">
        <v>0.15839126724618999</v>
      </c>
      <c r="S139">
        <v>50</v>
      </c>
      <c r="T139">
        <v>0.43457204206232802</v>
      </c>
      <c r="U139">
        <v>3.0688382530314501E-2</v>
      </c>
    </row>
    <row r="140" spans="1:21" x14ac:dyDescent="0.25">
      <c r="A140">
        <v>139</v>
      </c>
      <c r="B140">
        <v>411</v>
      </c>
      <c r="C140" t="s">
        <v>23</v>
      </c>
      <c r="D140">
        <v>23</v>
      </c>
      <c r="E140" t="s">
        <v>24</v>
      </c>
      <c r="F140" t="s">
        <v>25</v>
      </c>
      <c r="G140">
        <v>10211.474637949301</v>
      </c>
      <c r="H140">
        <v>236897976.26645499</v>
      </c>
      <c r="I140">
        <v>12426.911904333199</v>
      </c>
      <c r="J140">
        <v>78781612.432521194</v>
      </c>
      <c r="K140">
        <v>0.49861659340280501</v>
      </c>
      <c r="L140">
        <v>4.9709970869077601E-3</v>
      </c>
      <c r="M140">
        <v>0.13645354836455501</v>
      </c>
      <c r="N140">
        <v>1.44727749333485E-3</v>
      </c>
      <c r="O140">
        <v>0.28577948831816102</v>
      </c>
      <c r="P140">
        <v>0.20410957237503999</v>
      </c>
      <c r="Q140">
        <v>0.65091523583974698</v>
      </c>
      <c r="R140">
        <v>0.22722459159129499</v>
      </c>
      <c r="S140">
        <v>26</v>
      </c>
      <c r="T140">
        <v>0.453369118879481</v>
      </c>
      <c r="U140">
        <v>3.4921783750387903E-2</v>
      </c>
    </row>
    <row r="141" spans="1:21" x14ac:dyDescent="0.25">
      <c r="A141">
        <v>140</v>
      </c>
      <c r="B141">
        <v>412</v>
      </c>
      <c r="C141" t="s">
        <v>23</v>
      </c>
      <c r="D141">
        <v>23</v>
      </c>
      <c r="E141" t="s">
        <v>24</v>
      </c>
      <c r="F141" t="s">
        <v>25</v>
      </c>
      <c r="G141">
        <v>7821.2676378075203</v>
      </c>
      <c r="H141">
        <v>189145529.18879801</v>
      </c>
      <c r="I141">
        <v>13470.348478695299</v>
      </c>
      <c r="J141">
        <v>77962426.980418593</v>
      </c>
      <c r="K141">
        <v>0.51340792931994705</v>
      </c>
      <c r="L141">
        <v>5.4177385667172201E-3</v>
      </c>
      <c r="M141">
        <v>0.14264536888118301</v>
      </c>
      <c r="N141">
        <v>1.4643448261756199E-3</v>
      </c>
      <c r="O141">
        <v>0.222692643488453</v>
      </c>
      <c r="P141">
        <v>0.17310063002434101</v>
      </c>
      <c r="Q141">
        <v>0.489941394570027</v>
      </c>
      <c r="R141">
        <v>0.249898824456708</v>
      </c>
      <c r="S141">
        <v>32</v>
      </c>
      <c r="T141">
        <v>0.42362421843347098</v>
      </c>
      <c r="U141">
        <v>3.2243993564754103E-2</v>
      </c>
    </row>
    <row r="142" spans="1:21" x14ac:dyDescent="0.25">
      <c r="A142">
        <v>141</v>
      </c>
      <c r="B142">
        <v>501</v>
      </c>
      <c r="C142" t="s">
        <v>23</v>
      </c>
      <c r="D142">
        <v>23</v>
      </c>
      <c r="E142" t="s">
        <v>24</v>
      </c>
      <c r="F142" t="s">
        <v>25</v>
      </c>
      <c r="G142">
        <v>8818.8522531572908</v>
      </c>
      <c r="H142">
        <v>166707233.80329999</v>
      </c>
      <c r="I142">
        <v>14890.386707916399</v>
      </c>
      <c r="J142">
        <v>80943731.265161902</v>
      </c>
      <c r="K142">
        <v>0.52413636551017995</v>
      </c>
      <c r="L142">
        <v>5.8188575092853797E-3</v>
      </c>
      <c r="M142">
        <v>0.15594655885179801</v>
      </c>
      <c r="N142">
        <v>1.8403155189032599E-3</v>
      </c>
      <c r="O142">
        <v>0.27366771909682402</v>
      </c>
      <c r="P142">
        <v>0.19877369862121899</v>
      </c>
      <c r="Q142">
        <v>0.80455219596210903</v>
      </c>
      <c r="R142">
        <v>0.15724795993434601</v>
      </c>
      <c r="S142">
        <v>54</v>
      </c>
      <c r="T142">
        <v>0.438902932604674</v>
      </c>
      <c r="U142">
        <v>3.5016430810642603E-2</v>
      </c>
    </row>
    <row r="143" spans="1:21" x14ac:dyDescent="0.25">
      <c r="A143">
        <v>142</v>
      </c>
      <c r="B143">
        <v>502</v>
      </c>
      <c r="C143" t="s">
        <v>23</v>
      </c>
      <c r="D143">
        <v>23</v>
      </c>
      <c r="E143" t="s">
        <v>24</v>
      </c>
      <c r="F143" t="s">
        <v>25</v>
      </c>
      <c r="G143">
        <v>7479.6652992884101</v>
      </c>
      <c r="H143">
        <v>166253273.96490201</v>
      </c>
      <c r="I143">
        <v>14754.3841900733</v>
      </c>
      <c r="J143">
        <v>74267350.771510005</v>
      </c>
      <c r="K143">
        <v>0.54371678883208996</v>
      </c>
      <c r="L143">
        <v>5.1246496257359702E-3</v>
      </c>
      <c r="M143">
        <v>0.17356203905649101</v>
      </c>
      <c r="N143">
        <v>1.5860228866122299E-3</v>
      </c>
      <c r="O143">
        <v>0.24065060096872601</v>
      </c>
      <c r="P143">
        <v>0.18273788922220699</v>
      </c>
      <c r="Q143">
        <v>0.48387212514800299</v>
      </c>
      <c r="R143">
        <v>0.249739891652937</v>
      </c>
      <c r="S143">
        <v>17</v>
      </c>
      <c r="T143">
        <v>0.43280237801357402</v>
      </c>
      <c r="U143">
        <v>3.3813220635454402E-2</v>
      </c>
    </row>
    <row r="144" spans="1:21" x14ac:dyDescent="0.25">
      <c r="A144">
        <v>143</v>
      </c>
      <c r="B144">
        <v>503</v>
      </c>
      <c r="C144" t="s">
        <v>23</v>
      </c>
      <c r="D144">
        <v>23</v>
      </c>
      <c r="E144" t="s">
        <v>24</v>
      </c>
      <c r="F144" t="s">
        <v>25</v>
      </c>
      <c r="G144">
        <v>6807.5073859218901</v>
      </c>
      <c r="H144">
        <v>146947794.896056</v>
      </c>
      <c r="I144">
        <v>14009.0201309983</v>
      </c>
      <c r="J144">
        <v>70098754.1676725</v>
      </c>
      <c r="K144">
        <v>0.54376330481399104</v>
      </c>
      <c r="L144">
        <v>6.3690821261721403E-3</v>
      </c>
      <c r="M144">
        <v>0.16461551318240999</v>
      </c>
      <c r="N144">
        <v>1.75910538446121E-3</v>
      </c>
      <c r="O144">
        <v>0.26807009150170402</v>
      </c>
      <c r="P144">
        <v>0.19620851754369101</v>
      </c>
      <c r="Q144">
        <v>0.73504334828101603</v>
      </c>
      <c r="R144">
        <v>0.19475462442859501</v>
      </c>
      <c r="S144">
        <v>39</v>
      </c>
      <c r="T144">
        <v>0.436591463271571</v>
      </c>
      <c r="U144">
        <v>4.0869636547315E-2</v>
      </c>
    </row>
    <row r="145" spans="1:21" x14ac:dyDescent="0.25">
      <c r="A145">
        <v>144</v>
      </c>
      <c r="B145">
        <v>504</v>
      </c>
      <c r="C145" t="s">
        <v>23</v>
      </c>
      <c r="D145">
        <v>23</v>
      </c>
      <c r="E145" t="s">
        <v>24</v>
      </c>
      <c r="F145" t="s">
        <v>25</v>
      </c>
      <c r="G145">
        <v>6187.7917219770598</v>
      </c>
      <c r="H145">
        <v>154507336.11026999</v>
      </c>
      <c r="I145">
        <v>13463.757215067801</v>
      </c>
      <c r="J145">
        <v>61810606.567364901</v>
      </c>
      <c r="K145">
        <v>0.52216600760689003</v>
      </c>
      <c r="L145">
        <v>3.344331975511E-3</v>
      </c>
      <c r="M145">
        <v>0.141365879104807</v>
      </c>
      <c r="N145">
        <v>1.1010390466076601E-3</v>
      </c>
      <c r="O145">
        <v>0.22095456774178099</v>
      </c>
      <c r="P145">
        <v>0.172133646735636</v>
      </c>
      <c r="Q145">
        <v>0.68127242286534295</v>
      </c>
      <c r="R145">
        <v>0.217140308708587</v>
      </c>
      <c r="S145">
        <v>32</v>
      </c>
      <c r="T145">
        <v>0.42878581950143801</v>
      </c>
      <c r="U145">
        <v>1.97033500651808E-2</v>
      </c>
    </row>
    <row r="146" spans="1:21" x14ac:dyDescent="0.25">
      <c r="A146">
        <v>145</v>
      </c>
      <c r="B146">
        <v>505</v>
      </c>
      <c r="C146" t="s">
        <v>23</v>
      </c>
      <c r="D146">
        <v>23</v>
      </c>
      <c r="E146" t="s">
        <v>24</v>
      </c>
      <c r="F146" t="s">
        <v>25</v>
      </c>
      <c r="G146">
        <v>6987.8426724395704</v>
      </c>
      <c r="H146">
        <v>176851861.221093</v>
      </c>
      <c r="I146">
        <v>11713.1697799513</v>
      </c>
      <c r="J146">
        <v>66151746.3805741</v>
      </c>
      <c r="K146">
        <v>0.49035852387397599</v>
      </c>
      <c r="L146">
        <v>4.5243465863683396E-3</v>
      </c>
      <c r="M146">
        <v>0.118956852439307</v>
      </c>
      <c r="N146">
        <v>1.3379631926512001E-3</v>
      </c>
      <c r="O146">
        <v>0.24012965111411499</v>
      </c>
      <c r="P146">
        <v>0.18246740177007201</v>
      </c>
      <c r="Q146">
        <v>0.40355199425940302</v>
      </c>
      <c r="R146">
        <v>0.24069778218877799</v>
      </c>
      <c r="S146">
        <v>10</v>
      </c>
      <c r="T146">
        <v>0.42082083069272702</v>
      </c>
      <c r="U146">
        <v>2.6242828423954399E-2</v>
      </c>
    </row>
    <row r="147" spans="1:21" x14ac:dyDescent="0.25">
      <c r="A147">
        <v>146</v>
      </c>
      <c r="B147">
        <v>506</v>
      </c>
      <c r="C147" t="s">
        <v>23</v>
      </c>
      <c r="D147">
        <v>23</v>
      </c>
      <c r="E147" t="s">
        <v>24</v>
      </c>
      <c r="F147" t="s">
        <v>25</v>
      </c>
      <c r="G147">
        <v>4816.8290158569098</v>
      </c>
      <c r="H147">
        <v>107044620.917807</v>
      </c>
      <c r="I147">
        <v>14062.533707115301</v>
      </c>
      <c r="J147">
        <v>51976622.043838002</v>
      </c>
      <c r="K147">
        <v>0.46067553728226102</v>
      </c>
      <c r="L147">
        <v>6.2401478251792796E-3</v>
      </c>
      <c r="M147">
        <v>0.118282312948103</v>
      </c>
      <c r="N147">
        <v>1.64252157908256E-3</v>
      </c>
      <c r="O147">
        <v>0.186913517626173</v>
      </c>
      <c r="P147">
        <v>0.15197685455469301</v>
      </c>
      <c r="Q147">
        <v>0.47128227423133601</v>
      </c>
      <c r="R147">
        <v>0.24917529222645199</v>
      </c>
      <c r="S147">
        <v>16</v>
      </c>
      <c r="T147">
        <v>0.38588237617001397</v>
      </c>
      <c r="U147">
        <v>2.63085092215899E-2</v>
      </c>
    </row>
    <row r="148" spans="1:21" x14ac:dyDescent="0.25">
      <c r="A148">
        <v>147</v>
      </c>
      <c r="B148">
        <v>507</v>
      </c>
      <c r="C148" t="s">
        <v>23</v>
      </c>
      <c r="D148">
        <v>23</v>
      </c>
      <c r="E148" t="s">
        <v>24</v>
      </c>
      <c r="F148" t="s">
        <v>25</v>
      </c>
      <c r="G148">
        <v>7628.8726292124102</v>
      </c>
      <c r="H148">
        <v>160883859.972974</v>
      </c>
      <c r="I148">
        <v>13182.6785598198</v>
      </c>
      <c r="J148">
        <v>73740346.577769801</v>
      </c>
      <c r="K148">
        <v>0.47999181063743601</v>
      </c>
      <c r="L148">
        <v>6.6674803006010804E-3</v>
      </c>
      <c r="M148">
        <v>0.12540555126116401</v>
      </c>
      <c r="N148">
        <v>1.70499905009603E-3</v>
      </c>
      <c r="O148">
        <v>0.26671210925354599</v>
      </c>
      <c r="P148">
        <v>0.195576760031029</v>
      </c>
      <c r="Q148">
        <v>0.45210870033251199</v>
      </c>
      <c r="R148">
        <v>0.24770642341576601</v>
      </c>
      <c r="S148">
        <v>16</v>
      </c>
      <c r="T148">
        <v>0.43915202570913497</v>
      </c>
      <c r="U148">
        <v>3.4246997478820401E-2</v>
      </c>
    </row>
    <row r="149" spans="1:21" x14ac:dyDescent="0.25">
      <c r="A149">
        <v>148</v>
      </c>
      <c r="B149">
        <v>508</v>
      </c>
      <c r="C149" t="s">
        <v>23</v>
      </c>
      <c r="D149">
        <v>23</v>
      </c>
      <c r="E149" t="s">
        <v>24</v>
      </c>
      <c r="F149" t="s">
        <v>25</v>
      </c>
      <c r="G149">
        <v>7563.47044823957</v>
      </c>
      <c r="H149">
        <v>179931906.508313</v>
      </c>
      <c r="I149">
        <v>13920.6278342532</v>
      </c>
      <c r="J149">
        <v>67167008.867045507</v>
      </c>
      <c r="K149">
        <v>0.47850394635676902</v>
      </c>
      <c r="L149">
        <v>4.1779124437867103E-3</v>
      </c>
      <c r="M149">
        <v>0.12849089972877101</v>
      </c>
      <c r="N149">
        <v>1.0487046020579299E-3</v>
      </c>
      <c r="O149">
        <v>0.236557596632224</v>
      </c>
      <c r="P149">
        <v>0.180598100108146</v>
      </c>
      <c r="Q149">
        <v>0.42273145877934698</v>
      </c>
      <c r="R149">
        <v>0.24402957253771099</v>
      </c>
      <c r="S149">
        <v>12</v>
      </c>
      <c r="T149">
        <v>0.433936362297973</v>
      </c>
      <c r="U149">
        <v>2.8799438606561999E-2</v>
      </c>
    </row>
    <row r="150" spans="1:21" x14ac:dyDescent="0.25">
      <c r="A150">
        <v>149</v>
      </c>
      <c r="B150">
        <v>509</v>
      </c>
      <c r="C150" t="s">
        <v>23</v>
      </c>
      <c r="D150">
        <v>23</v>
      </c>
      <c r="E150" t="s">
        <v>24</v>
      </c>
      <c r="F150" t="s">
        <v>25</v>
      </c>
      <c r="G150">
        <v>8684.7717852743899</v>
      </c>
      <c r="H150">
        <v>209016168.62041</v>
      </c>
      <c r="I150">
        <v>12955.230616037001</v>
      </c>
      <c r="J150">
        <v>73486155.294873297</v>
      </c>
      <c r="K150">
        <v>0.48251763472903703</v>
      </c>
      <c r="L150">
        <v>5.3332492938389601E-3</v>
      </c>
      <c r="M150">
        <v>0.134183875979621</v>
      </c>
      <c r="N150">
        <v>1.58689931484963E-3</v>
      </c>
      <c r="O150">
        <v>0.27827272401133701</v>
      </c>
      <c r="P150">
        <v>0.200837015082588</v>
      </c>
      <c r="Q150">
        <v>0.60068659465795904</v>
      </c>
      <c r="R150">
        <v>0.239862209656379</v>
      </c>
      <c r="S150">
        <v>38</v>
      </c>
      <c r="T150">
        <v>0.44516491783999101</v>
      </c>
      <c r="U150">
        <v>3.4989459182047003E-2</v>
      </c>
    </row>
    <row r="151" spans="1:21" x14ac:dyDescent="0.25">
      <c r="A151">
        <v>150</v>
      </c>
      <c r="B151">
        <v>510</v>
      </c>
      <c r="C151" t="s">
        <v>23</v>
      </c>
      <c r="D151">
        <v>23</v>
      </c>
      <c r="E151" t="s">
        <v>24</v>
      </c>
      <c r="F151" t="s">
        <v>25</v>
      </c>
      <c r="G151">
        <v>5448.5155595952801</v>
      </c>
      <c r="H151">
        <v>117661281.68705299</v>
      </c>
      <c r="I151">
        <v>14892.271248409899</v>
      </c>
      <c r="J151">
        <v>51311821.275187999</v>
      </c>
      <c r="K151">
        <v>0.45793561999531801</v>
      </c>
      <c r="L151">
        <v>4.51244631362583E-3</v>
      </c>
      <c r="M151">
        <v>0.13273023076329399</v>
      </c>
      <c r="N151">
        <v>1.2290886784856699E-3</v>
      </c>
      <c r="O151">
        <v>0.17309302269954799</v>
      </c>
      <c r="P151">
        <v>0.14313182819211201</v>
      </c>
      <c r="Q151">
        <v>0.78256605308168004</v>
      </c>
      <c r="R151">
        <v>0.17015642564602501</v>
      </c>
      <c r="S151">
        <v>42</v>
      </c>
      <c r="T151">
        <v>0.38720399038099201</v>
      </c>
      <c r="U151">
        <v>2.31204261715331E-2</v>
      </c>
    </row>
    <row r="152" spans="1:21" x14ac:dyDescent="0.25">
      <c r="A152">
        <v>151</v>
      </c>
      <c r="B152">
        <v>511</v>
      </c>
      <c r="C152" t="s">
        <v>23</v>
      </c>
      <c r="D152">
        <v>23</v>
      </c>
      <c r="E152" t="s">
        <v>24</v>
      </c>
      <c r="F152" t="s">
        <v>25</v>
      </c>
      <c r="G152">
        <v>6488.8339557151403</v>
      </c>
      <c r="H152">
        <v>129821143.17222901</v>
      </c>
      <c r="I152">
        <v>15153.6406752312</v>
      </c>
      <c r="J152">
        <v>54592885.651905701</v>
      </c>
      <c r="K152">
        <v>0.48357830070489799</v>
      </c>
      <c r="L152">
        <v>4.5562170546266604E-3</v>
      </c>
      <c r="M152">
        <v>0.12884302402623901</v>
      </c>
      <c r="N152">
        <v>1.4567386463649201E-3</v>
      </c>
      <c r="O152">
        <v>0.193620586475165</v>
      </c>
      <c r="P152">
        <v>0.15613165496797601</v>
      </c>
      <c r="Q152">
        <v>0.80507013932110905</v>
      </c>
      <c r="R152">
        <v>0.15693221009479899</v>
      </c>
      <c r="S152">
        <v>40</v>
      </c>
      <c r="T152">
        <v>0.39638996907795798</v>
      </c>
      <c r="U152">
        <v>2.5375959108196799E-2</v>
      </c>
    </row>
    <row r="153" spans="1:21" x14ac:dyDescent="0.25">
      <c r="A153">
        <v>152</v>
      </c>
      <c r="B153">
        <v>512</v>
      </c>
      <c r="C153" t="s">
        <v>23</v>
      </c>
      <c r="D153">
        <v>23</v>
      </c>
      <c r="E153" t="s">
        <v>24</v>
      </c>
      <c r="F153" t="s">
        <v>25</v>
      </c>
      <c r="G153">
        <v>4141.9975006876102</v>
      </c>
      <c r="H153">
        <v>74111432.723921001</v>
      </c>
      <c r="I153">
        <v>17687.5483146443</v>
      </c>
      <c r="J153">
        <v>35250913.483045302</v>
      </c>
      <c r="K153">
        <v>0.49001237752993598</v>
      </c>
      <c r="L153">
        <v>2.7601090326299098E-3</v>
      </c>
      <c r="M153">
        <v>0.12430409625665501</v>
      </c>
      <c r="N153">
        <v>9.67257692113128E-4</v>
      </c>
      <c r="O153">
        <v>9.8609234301567705E-2</v>
      </c>
      <c r="P153">
        <v>8.8885453212104795E-2</v>
      </c>
      <c r="Q153">
        <v>0.70503588516746396</v>
      </c>
      <c r="R153">
        <v>0.20796028579375</v>
      </c>
      <c r="S153">
        <v>36</v>
      </c>
      <c r="T153">
        <v>0.35437887310308203</v>
      </c>
      <c r="U153">
        <v>1.4658785523271999E-2</v>
      </c>
    </row>
    <row r="154" spans="1:21" x14ac:dyDescent="0.25">
      <c r="A154">
        <v>153</v>
      </c>
      <c r="B154">
        <v>601</v>
      </c>
      <c r="C154" t="s">
        <v>23</v>
      </c>
      <c r="D154">
        <v>23</v>
      </c>
      <c r="E154" t="s">
        <v>24</v>
      </c>
      <c r="F154" t="s">
        <v>25</v>
      </c>
      <c r="G154">
        <v>7289.4120003827102</v>
      </c>
      <c r="H154">
        <v>137388091.43464199</v>
      </c>
      <c r="I154">
        <v>14243.2196945454</v>
      </c>
      <c r="J154">
        <v>78758017.275190294</v>
      </c>
      <c r="K154">
        <v>0.49567952570923501</v>
      </c>
      <c r="L154">
        <v>6.22082905846876E-3</v>
      </c>
      <c r="M154">
        <v>0.14641937436077199</v>
      </c>
      <c r="N154">
        <v>1.51829507603513E-3</v>
      </c>
      <c r="O154">
        <v>0.24613103068864101</v>
      </c>
      <c r="P154">
        <v>0.18555054642060301</v>
      </c>
      <c r="Q154">
        <v>0.89701362228361603</v>
      </c>
      <c r="R154">
        <v>9.23801837211633E-2</v>
      </c>
      <c r="S154">
        <v>77</v>
      </c>
      <c r="T154">
        <v>0.446557394201052</v>
      </c>
      <c r="U154">
        <v>2.8809642492286999E-2</v>
      </c>
    </row>
    <row r="155" spans="1:21" x14ac:dyDescent="0.25">
      <c r="A155">
        <v>154</v>
      </c>
      <c r="B155">
        <v>602</v>
      </c>
      <c r="C155" t="s">
        <v>23</v>
      </c>
      <c r="D155">
        <v>23</v>
      </c>
      <c r="E155" t="s">
        <v>24</v>
      </c>
      <c r="F155" t="s">
        <v>25</v>
      </c>
      <c r="G155">
        <v>4855.8917923388799</v>
      </c>
      <c r="H155">
        <v>89353447.150494903</v>
      </c>
      <c r="I155">
        <v>15991.718654243101</v>
      </c>
      <c r="J155">
        <v>48582290.246202603</v>
      </c>
      <c r="K155">
        <v>0.47797629747899301</v>
      </c>
      <c r="L155">
        <v>4.24853647272569E-3</v>
      </c>
      <c r="M155">
        <v>0.14234047962281601</v>
      </c>
      <c r="N155">
        <v>1.1270957486772099E-3</v>
      </c>
      <c r="O155">
        <v>0.15169164165181701</v>
      </c>
      <c r="P155">
        <v>0.128681287504847</v>
      </c>
      <c r="Q155">
        <v>0.827943357412812</v>
      </c>
      <c r="R155">
        <v>0.142453154328679</v>
      </c>
      <c r="S155">
        <v>38</v>
      </c>
      <c r="T155">
        <v>0.40245273190696101</v>
      </c>
      <c r="U155">
        <v>1.8977468540038501E-2</v>
      </c>
    </row>
    <row r="156" spans="1:21" x14ac:dyDescent="0.25">
      <c r="A156">
        <v>155</v>
      </c>
      <c r="B156">
        <v>603</v>
      </c>
      <c r="C156" t="s">
        <v>23</v>
      </c>
      <c r="D156">
        <v>23</v>
      </c>
      <c r="E156" t="s">
        <v>24</v>
      </c>
      <c r="F156" t="s">
        <v>25</v>
      </c>
      <c r="G156">
        <v>5881.5647566765902</v>
      </c>
      <c r="H156">
        <v>121212606.455365</v>
      </c>
      <c r="I156">
        <v>14697.8379796876</v>
      </c>
      <c r="J156">
        <v>51624215.987371601</v>
      </c>
      <c r="K156">
        <v>0.49347430572378698</v>
      </c>
      <c r="L156">
        <v>4.0300250819481596E-3</v>
      </c>
      <c r="M156">
        <v>0.14069258090724901</v>
      </c>
      <c r="N156">
        <v>1.0958668968828801E-3</v>
      </c>
      <c r="O156">
        <v>0.20952483465489799</v>
      </c>
      <c r="P156">
        <v>0.165624178317865</v>
      </c>
      <c r="Q156">
        <v>0.69688669880036802</v>
      </c>
      <c r="R156">
        <v>0.21123562783543101</v>
      </c>
      <c r="S156">
        <v>58</v>
      </c>
      <c r="T156">
        <v>0.421668734035543</v>
      </c>
      <c r="U156">
        <v>2.26140636608149E-2</v>
      </c>
    </row>
    <row r="157" spans="1:21" x14ac:dyDescent="0.25">
      <c r="A157">
        <v>156</v>
      </c>
      <c r="B157">
        <v>604</v>
      </c>
      <c r="C157" t="s">
        <v>23</v>
      </c>
      <c r="D157">
        <v>23</v>
      </c>
      <c r="E157" t="s">
        <v>24</v>
      </c>
      <c r="F157" t="s">
        <v>25</v>
      </c>
      <c r="G157">
        <v>6388.8708635803696</v>
      </c>
      <c r="H157">
        <v>139366221.921471</v>
      </c>
      <c r="I157">
        <v>12837.3348666046</v>
      </c>
      <c r="J157">
        <v>61107033.508257501</v>
      </c>
      <c r="K157">
        <v>0.51306573776681197</v>
      </c>
      <c r="L157">
        <v>6.42172757994002E-3</v>
      </c>
      <c r="M157">
        <v>0.140620294807423</v>
      </c>
      <c r="N157">
        <v>1.2740233140833899E-3</v>
      </c>
      <c r="O157">
        <v>0.25296291423992701</v>
      </c>
      <c r="P157">
        <v>0.18897267825890701</v>
      </c>
      <c r="Q157">
        <v>0.80779304653582595</v>
      </c>
      <c r="R157">
        <v>0.15526344050396901</v>
      </c>
      <c r="S157">
        <v>34</v>
      </c>
      <c r="T157">
        <v>0.43779446806614303</v>
      </c>
      <c r="U157">
        <v>3.2740253498778099E-2</v>
      </c>
    </row>
    <row r="158" spans="1:21" x14ac:dyDescent="0.25">
      <c r="A158">
        <v>157</v>
      </c>
      <c r="B158">
        <v>605</v>
      </c>
      <c r="C158" t="s">
        <v>23</v>
      </c>
      <c r="D158">
        <v>23</v>
      </c>
      <c r="E158" t="s">
        <v>24</v>
      </c>
      <c r="F158" t="s">
        <v>25</v>
      </c>
      <c r="G158">
        <v>10126.555195426499</v>
      </c>
      <c r="H158">
        <v>255690499.54635599</v>
      </c>
      <c r="I158">
        <v>9717.9256291679103</v>
      </c>
      <c r="J158">
        <v>77122158.011017993</v>
      </c>
      <c r="K158">
        <v>0.52253425188317304</v>
      </c>
      <c r="L158">
        <v>6.2997598501344596E-3</v>
      </c>
      <c r="M158">
        <v>0.14220994735880299</v>
      </c>
      <c r="N158">
        <v>1.90003980993167E-3</v>
      </c>
      <c r="O158">
        <v>0.32232215471463399</v>
      </c>
      <c r="P158">
        <v>0.218430583294596</v>
      </c>
      <c r="Q158">
        <v>0.709930146882924</v>
      </c>
      <c r="R158">
        <v>0.20592933342985401</v>
      </c>
      <c r="S158">
        <v>48</v>
      </c>
      <c r="T158">
        <v>0.47399701568068298</v>
      </c>
      <c r="U158">
        <v>3.9865485440362301E-2</v>
      </c>
    </row>
    <row r="159" spans="1:21" x14ac:dyDescent="0.25">
      <c r="A159">
        <v>158</v>
      </c>
      <c r="B159">
        <v>606</v>
      </c>
      <c r="C159" t="s">
        <v>23</v>
      </c>
      <c r="D159">
        <v>23</v>
      </c>
      <c r="E159" t="s">
        <v>24</v>
      </c>
      <c r="F159" t="s">
        <v>25</v>
      </c>
      <c r="G159">
        <v>4154.6418276418899</v>
      </c>
      <c r="H159">
        <v>88418939.0798814</v>
      </c>
      <c r="I159">
        <v>14194.6220340945</v>
      </c>
      <c r="J159">
        <v>46415289.8394446</v>
      </c>
      <c r="K159">
        <v>0.45269467152463999</v>
      </c>
      <c r="L159">
        <v>6.5884416917722797E-3</v>
      </c>
      <c r="M159">
        <v>0.13038083127424099</v>
      </c>
      <c r="N159">
        <v>1.7770707604901901E-3</v>
      </c>
      <c r="O159">
        <v>0.15488308115543301</v>
      </c>
      <c r="P159">
        <v>0.13089431232718399</v>
      </c>
      <c r="Q159">
        <v>0.60444816453425798</v>
      </c>
      <c r="R159">
        <v>0.239090580925649</v>
      </c>
      <c r="S159">
        <v>22</v>
      </c>
      <c r="T159">
        <v>0.37058911806915001</v>
      </c>
      <c r="U159">
        <v>2.3283509703396699E-2</v>
      </c>
    </row>
    <row r="160" spans="1:21" x14ac:dyDescent="0.25">
      <c r="A160">
        <v>159</v>
      </c>
      <c r="B160">
        <v>607</v>
      </c>
      <c r="C160" t="s">
        <v>23</v>
      </c>
      <c r="D160">
        <v>23</v>
      </c>
      <c r="E160" t="s">
        <v>24</v>
      </c>
      <c r="F160" t="s">
        <v>25</v>
      </c>
      <c r="G160">
        <v>4958.0127248373501</v>
      </c>
      <c r="H160">
        <v>104853867.18781701</v>
      </c>
      <c r="I160">
        <v>14137.502134337699</v>
      </c>
      <c r="J160">
        <v>48667419.438479401</v>
      </c>
      <c r="K160">
        <v>0.46161961743184499</v>
      </c>
      <c r="L160">
        <v>5.9380624648656902E-3</v>
      </c>
      <c r="M160">
        <v>0.135477244257975</v>
      </c>
      <c r="N160">
        <v>1.76920546559562E-3</v>
      </c>
      <c r="O160">
        <v>0.16630788365863</v>
      </c>
      <c r="P160">
        <v>0.13864957149153201</v>
      </c>
      <c r="Q160">
        <v>0.75291542574186399</v>
      </c>
      <c r="R160">
        <v>0.18603378742211299</v>
      </c>
      <c r="S160">
        <v>33</v>
      </c>
      <c r="T160">
        <v>0.38959166451763699</v>
      </c>
      <c r="U160">
        <v>2.3736963799120599E-2</v>
      </c>
    </row>
    <row r="161" spans="1:21" x14ac:dyDescent="0.25">
      <c r="A161">
        <v>160</v>
      </c>
      <c r="B161">
        <v>608</v>
      </c>
      <c r="C161" t="s">
        <v>23</v>
      </c>
      <c r="D161">
        <v>23</v>
      </c>
      <c r="E161" t="s">
        <v>24</v>
      </c>
      <c r="F161" t="s">
        <v>25</v>
      </c>
      <c r="G161">
        <v>7999.0175331587197</v>
      </c>
      <c r="H161">
        <v>187709819.719735</v>
      </c>
      <c r="I161">
        <v>12920.6272134426</v>
      </c>
      <c r="J161">
        <v>61251954.537258796</v>
      </c>
      <c r="K161">
        <v>0.495976291214349</v>
      </c>
      <c r="L161">
        <v>4.3097008422387601E-3</v>
      </c>
      <c r="M161">
        <v>0.139222768272731</v>
      </c>
      <c r="N161">
        <v>1.5216685137939901E-3</v>
      </c>
      <c r="O161">
        <v>0.24991329099541901</v>
      </c>
      <c r="P161">
        <v>0.187456637979385</v>
      </c>
      <c r="Q161">
        <v>0.74303346329562003</v>
      </c>
      <c r="R161">
        <v>0.19093473571809</v>
      </c>
      <c r="S161">
        <v>59</v>
      </c>
      <c r="T161">
        <v>0.43738557269643003</v>
      </c>
      <c r="U161">
        <v>2.92204434642943E-2</v>
      </c>
    </row>
    <row r="162" spans="1:21" x14ac:dyDescent="0.25">
      <c r="A162">
        <v>161</v>
      </c>
      <c r="B162">
        <v>609</v>
      </c>
      <c r="C162" t="s">
        <v>23</v>
      </c>
      <c r="D162">
        <v>23</v>
      </c>
      <c r="E162" t="s">
        <v>24</v>
      </c>
      <c r="F162" t="s">
        <v>25</v>
      </c>
      <c r="G162">
        <v>6221.9852774090105</v>
      </c>
      <c r="H162">
        <v>144247379.332075</v>
      </c>
      <c r="I162">
        <v>13042.1125553491</v>
      </c>
      <c r="J162">
        <v>52378838.777750403</v>
      </c>
      <c r="K162">
        <v>0.49601076004281702</v>
      </c>
      <c r="L162">
        <v>5.1277428269359401E-3</v>
      </c>
      <c r="M162">
        <v>0.14352653306628099</v>
      </c>
      <c r="N162">
        <v>1.58160424929266E-3</v>
      </c>
      <c r="O162">
        <v>0.218698049346394</v>
      </c>
      <c r="P162">
        <v>0.17086921255861101</v>
      </c>
      <c r="Q162">
        <v>0.78743481796871295</v>
      </c>
      <c r="R162">
        <v>0.16738122541935299</v>
      </c>
      <c r="S162">
        <v>47</v>
      </c>
      <c r="T162">
        <v>0.41159819464039399</v>
      </c>
      <c r="U162">
        <v>2.8538819281968102E-2</v>
      </c>
    </row>
    <row r="163" spans="1:21" x14ac:dyDescent="0.25">
      <c r="A163">
        <v>162</v>
      </c>
      <c r="B163">
        <v>610</v>
      </c>
      <c r="C163" t="s">
        <v>23</v>
      </c>
      <c r="D163">
        <v>23</v>
      </c>
      <c r="E163" t="s">
        <v>24</v>
      </c>
      <c r="F163" t="s">
        <v>25</v>
      </c>
      <c r="G163">
        <v>6979.8778300128697</v>
      </c>
      <c r="H163">
        <v>142725980.48881799</v>
      </c>
      <c r="I163">
        <v>12907.5375387643</v>
      </c>
      <c r="J163">
        <v>61861403.478487097</v>
      </c>
      <c r="K163">
        <v>0.516447561667156</v>
      </c>
      <c r="L163">
        <v>6.1370637357264597E-3</v>
      </c>
      <c r="M163">
        <v>0.146790393051589</v>
      </c>
      <c r="N163">
        <v>1.4789306646328601E-3</v>
      </c>
      <c r="O163">
        <v>0.247622368373592</v>
      </c>
      <c r="P163">
        <v>0.18630553105442799</v>
      </c>
      <c r="Q163">
        <v>0.63741944791766902</v>
      </c>
      <c r="R163">
        <v>0.23111589533376301</v>
      </c>
      <c r="S163">
        <v>34</v>
      </c>
      <c r="T163">
        <v>0.431423094801689</v>
      </c>
      <c r="U163">
        <v>3.2618326155349202E-2</v>
      </c>
    </row>
    <row r="164" spans="1:21" x14ac:dyDescent="0.25">
      <c r="A164">
        <v>163</v>
      </c>
      <c r="B164">
        <v>611</v>
      </c>
      <c r="C164" t="s">
        <v>23</v>
      </c>
      <c r="D164">
        <v>23</v>
      </c>
      <c r="E164" t="s">
        <v>24</v>
      </c>
      <c r="F164" t="s">
        <v>25</v>
      </c>
      <c r="G164">
        <v>7779.3678060565499</v>
      </c>
      <c r="H164">
        <v>179805183.47844699</v>
      </c>
      <c r="I164">
        <v>13644.6717251635</v>
      </c>
      <c r="J164">
        <v>65567426.315878399</v>
      </c>
      <c r="K164">
        <v>0.509951569821819</v>
      </c>
      <c r="L164">
        <v>4.7989480851830402E-3</v>
      </c>
      <c r="M164">
        <v>0.13692152180338299</v>
      </c>
      <c r="N164">
        <v>1.7171421253844401E-3</v>
      </c>
      <c r="O164">
        <v>0.22151126632540799</v>
      </c>
      <c r="P164">
        <v>0.17244402521619001</v>
      </c>
      <c r="Q164">
        <v>0.64434185662688104</v>
      </c>
      <c r="R164">
        <v>0.229165428425402</v>
      </c>
      <c r="S164">
        <v>39</v>
      </c>
      <c r="T164">
        <v>0.42216227176660998</v>
      </c>
      <c r="U164">
        <v>2.8466609384961102E-2</v>
      </c>
    </row>
    <row r="165" spans="1:21" x14ac:dyDescent="0.25">
      <c r="A165">
        <v>164</v>
      </c>
      <c r="B165">
        <v>612</v>
      </c>
      <c r="C165" t="s">
        <v>23</v>
      </c>
      <c r="D165">
        <v>23</v>
      </c>
      <c r="E165" t="s">
        <v>24</v>
      </c>
      <c r="F165" t="s">
        <v>25</v>
      </c>
      <c r="G165">
        <v>4451.2114387245501</v>
      </c>
      <c r="H165">
        <v>98097634.852286905</v>
      </c>
      <c r="I165">
        <v>15270.8923491839</v>
      </c>
      <c r="J165">
        <v>38112390.935332298</v>
      </c>
      <c r="K165">
        <v>0.50864773441325795</v>
      </c>
      <c r="L165">
        <v>3.5968126779466199E-3</v>
      </c>
      <c r="M165">
        <v>0.14086730959476099</v>
      </c>
      <c r="N165">
        <v>1.53096557822115E-3</v>
      </c>
      <c r="O165">
        <v>0.13052247406838299</v>
      </c>
      <c r="P165">
        <v>0.113486357831436</v>
      </c>
      <c r="Q165">
        <v>0.82336134453781495</v>
      </c>
      <c r="R165">
        <v>0.14543744085899399</v>
      </c>
      <c r="S165">
        <v>68</v>
      </c>
      <c r="T165">
        <v>0.39525042354383999</v>
      </c>
      <c r="U165">
        <v>1.6120519048968201E-2</v>
      </c>
    </row>
    <row r="166" spans="1:21" x14ac:dyDescent="0.25">
      <c r="A166">
        <v>165</v>
      </c>
      <c r="C166" t="s">
        <v>23</v>
      </c>
      <c r="D166">
        <v>23</v>
      </c>
      <c r="E166" t="s">
        <v>24</v>
      </c>
      <c r="F166" t="s">
        <v>25</v>
      </c>
      <c r="G166">
        <v>1494.46639455782</v>
      </c>
      <c r="H166">
        <v>1690126.9193468699</v>
      </c>
      <c r="I166">
        <v>12902.6742351132</v>
      </c>
      <c r="J166">
        <v>14572176.964362999</v>
      </c>
      <c r="K166">
        <v>0.44224063069642</v>
      </c>
      <c r="L166">
        <v>2.0853729483017898E-3</v>
      </c>
      <c r="M166">
        <v>0.12980489677908</v>
      </c>
      <c r="N166">
        <v>6.8399826711188101E-4</v>
      </c>
      <c r="O166">
        <v>1.46938775510204E-2</v>
      </c>
      <c r="P166">
        <v>1.44779675135352E-2</v>
      </c>
      <c r="Q166">
        <v>0</v>
      </c>
      <c r="R166">
        <v>0</v>
      </c>
      <c r="S166">
        <v>0</v>
      </c>
      <c r="T166">
        <v>0.330846105886965</v>
      </c>
      <c r="U166">
        <v>2.8065782590108099E-3</v>
      </c>
    </row>
    <row r="167" spans="1:21" x14ac:dyDescent="0.25">
      <c r="A167">
        <v>166</v>
      </c>
      <c r="C167" t="s">
        <v>23</v>
      </c>
      <c r="D167">
        <v>23</v>
      </c>
      <c r="E167" t="s">
        <v>24</v>
      </c>
      <c r="F167" t="s">
        <v>25</v>
      </c>
      <c r="G167">
        <v>1229.18143459916</v>
      </c>
      <c r="H167">
        <v>5614366.9766454799</v>
      </c>
      <c r="I167">
        <v>15372.709542660001</v>
      </c>
      <c r="J167">
        <v>51026588.415633902</v>
      </c>
      <c r="K167">
        <v>0.35086734586417601</v>
      </c>
      <c r="L167">
        <v>2.6247518705776001E-2</v>
      </c>
      <c r="M167">
        <v>0.11071617230111901</v>
      </c>
      <c r="N167">
        <v>4.3926189811614204E-3</v>
      </c>
      <c r="O167">
        <v>7.2573839662447306E-2</v>
      </c>
      <c r="P167">
        <v>6.7306877459098996E-2</v>
      </c>
      <c r="Q167">
        <v>0</v>
      </c>
      <c r="R167">
        <v>0</v>
      </c>
      <c r="S167">
        <v>0</v>
      </c>
      <c r="T167">
        <v>0.27105726787041701</v>
      </c>
      <c r="U167">
        <v>3.2028407441709802E-2</v>
      </c>
    </row>
    <row r="168" spans="1:21" x14ac:dyDescent="0.25">
      <c r="A168">
        <v>167</v>
      </c>
      <c r="B168">
        <v>801</v>
      </c>
      <c r="C168" t="s">
        <v>26</v>
      </c>
      <c r="D168">
        <v>23</v>
      </c>
      <c r="E168" t="s">
        <v>27</v>
      </c>
      <c r="F168" t="s">
        <v>28</v>
      </c>
      <c r="G168">
        <v>16497.568693343499</v>
      </c>
      <c r="H168">
        <v>263655775.30323899</v>
      </c>
      <c r="I168">
        <v>5737.9146950844597</v>
      </c>
      <c r="J168">
        <v>102712753.06702299</v>
      </c>
      <c r="K168">
        <v>0.57322859300266704</v>
      </c>
      <c r="L168">
        <v>9.1469477425927294E-3</v>
      </c>
      <c r="M168">
        <v>0.151299851888716</v>
      </c>
      <c r="N168">
        <v>1.4982815190471501E-3</v>
      </c>
      <c r="O168">
        <v>0.49701021311200899</v>
      </c>
      <c r="P168">
        <v>0.249991061174407</v>
      </c>
      <c r="Q168">
        <v>0.46212909475799202</v>
      </c>
      <c r="R168">
        <v>0.24856579453604999</v>
      </c>
      <c r="S168">
        <v>16</v>
      </c>
      <c r="T168">
        <v>0.56071192431688799</v>
      </c>
      <c r="U168">
        <v>4.8321409054777303E-2</v>
      </c>
    </row>
    <row r="169" spans="1:21" x14ac:dyDescent="0.25">
      <c r="A169">
        <v>168</v>
      </c>
      <c r="B169">
        <v>802</v>
      </c>
      <c r="C169" t="s">
        <v>26</v>
      </c>
      <c r="D169">
        <v>23</v>
      </c>
      <c r="E169" t="s">
        <v>27</v>
      </c>
      <c r="F169" t="s">
        <v>28</v>
      </c>
      <c r="G169">
        <v>11486.2930507414</v>
      </c>
      <c r="H169">
        <v>189666641.34278601</v>
      </c>
      <c r="I169">
        <v>10008.804868745599</v>
      </c>
      <c r="J169">
        <v>79976204.094170794</v>
      </c>
      <c r="K169">
        <v>0.52513862286217095</v>
      </c>
      <c r="L169">
        <v>9.4918267265132906E-3</v>
      </c>
      <c r="M169">
        <v>0.13496505948446899</v>
      </c>
      <c r="N169">
        <v>1.53931956636654E-3</v>
      </c>
      <c r="O169">
        <v>0.34161371076449099</v>
      </c>
      <c r="P169">
        <v>0.22491378338211299</v>
      </c>
      <c r="Q169">
        <v>0.367588647360439</v>
      </c>
      <c r="R169">
        <v>0.23246723369212899</v>
      </c>
      <c r="S169">
        <v>11</v>
      </c>
      <c r="T169">
        <v>0.484738333810185</v>
      </c>
      <c r="U169">
        <v>4.3754451159377199E-2</v>
      </c>
    </row>
    <row r="170" spans="1:21" x14ac:dyDescent="0.25">
      <c r="A170">
        <v>169</v>
      </c>
      <c r="B170">
        <v>803</v>
      </c>
      <c r="C170" t="s">
        <v>26</v>
      </c>
      <c r="D170">
        <v>23</v>
      </c>
      <c r="E170" t="s">
        <v>27</v>
      </c>
      <c r="F170" t="s">
        <v>28</v>
      </c>
      <c r="G170">
        <v>19711.587105323899</v>
      </c>
      <c r="H170">
        <v>325395599.67662901</v>
      </c>
      <c r="I170">
        <v>5630.4222540502396</v>
      </c>
      <c r="J170">
        <v>92034635.368932694</v>
      </c>
      <c r="K170">
        <v>0.55169481188220104</v>
      </c>
      <c r="L170">
        <v>9.6730634573565406E-3</v>
      </c>
      <c r="M170">
        <v>0.12639985081411201</v>
      </c>
      <c r="N170">
        <v>2.1923586394526099E-3</v>
      </c>
      <c r="O170">
        <v>0.54021227705438202</v>
      </c>
      <c r="P170">
        <v>0.248382972773768</v>
      </c>
      <c r="Q170">
        <v>0.63561423985993604</v>
      </c>
      <c r="R170">
        <v>0.23160877794735901</v>
      </c>
      <c r="S170">
        <v>34</v>
      </c>
      <c r="T170">
        <v>0.59262028486168805</v>
      </c>
      <c r="U170">
        <v>4.8336931369314599E-2</v>
      </c>
    </row>
    <row r="171" spans="1:21" x14ac:dyDescent="0.25">
      <c r="A171">
        <v>170</v>
      </c>
      <c r="B171">
        <v>804</v>
      </c>
      <c r="C171" t="s">
        <v>26</v>
      </c>
      <c r="D171">
        <v>23</v>
      </c>
      <c r="E171" t="s">
        <v>27</v>
      </c>
      <c r="F171" t="s">
        <v>28</v>
      </c>
      <c r="G171">
        <v>26241.749562376001</v>
      </c>
      <c r="H171">
        <v>291015297.11676598</v>
      </c>
      <c r="I171">
        <v>2346.4175699694501</v>
      </c>
      <c r="J171">
        <v>99339395.915317595</v>
      </c>
      <c r="K171">
        <v>0.60266422118727703</v>
      </c>
      <c r="L171">
        <v>8.6978176183999893E-3</v>
      </c>
      <c r="M171">
        <v>0.12634844418805299</v>
      </c>
      <c r="N171">
        <v>4.1633992551879002E-3</v>
      </c>
      <c r="O171">
        <v>0.78713968957871405</v>
      </c>
      <c r="P171">
        <v>0.16755079866858599</v>
      </c>
      <c r="Q171">
        <v>0.62613427479356898</v>
      </c>
      <c r="R171">
        <v>0.23409014472222101</v>
      </c>
      <c r="S171">
        <v>23</v>
      </c>
      <c r="T171">
        <v>0.71299340947766898</v>
      </c>
      <c r="U171">
        <v>3.5952056542478399E-2</v>
      </c>
    </row>
    <row r="172" spans="1:21" x14ac:dyDescent="0.25">
      <c r="A172">
        <v>171</v>
      </c>
      <c r="B172">
        <v>805</v>
      </c>
      <c r="C172" t="s">
        <v>26</v>
      </c>
      <c r="D172">
        <v>23</v>
      </c>
      <c r="E172" t="s">
        <v>27</v>
      </c>
      <c r="F172" t="s">
        <v>28</v>
      </c>
      <c r="G172">
        <v>17057.403438374298</v>
      </c>
      <c r="H172">
        <v>300569588.64432299</v>
      </c>
      <c r="I172">
        <v>7832.6102559833798</v>
      </c>
      <c r="J172">
        <v>97804015.342564896</v>
      </c>
      <c r="K172">
        <v>0.55484449863488705</v>
      </c>
      <c r="L172">
        <v>8.7425460511102396E-3</v>
      </c>
      <c r="M172">
        <v>0.13059921583910999</v>
      </c>
      <c r="N172">
        <v>3.09991214675206E-3</v>
      </c>
      <c r="O172">
        <v>0.52853040789279904</v>
      </c>
      <c r="P172">
        <v>0.249186015825449</v>
      </c>
      <c r="Q172">
        <v>0.86357055214723899</v>
      </c>
      <c r="R172">
        <v>0.117816453611303</v>
      </c>
      <c r="S172">
        <v>72</v>
      </c>
      <c r="T172">
        <v>0.58682125126158502</v>
      </c>
      <c r="U172">
        <v>4.4993739284656997E-2</v>
      </c>
    </row>
    <row r="173" spans="1:21" x14ac:dyDescent="0.25">
      <c r="A173">
        <v>172</v>
      </c>
      <c r="B173">
        <v>806</v>
      </c>
      <c r="C173" t="s">
        <v>26</v>
      </c>
      <c r="D173">
        <v>23</v>
      </c>
      <c r="E173" t="s">
        <v>27</v>
      </c>
      <c r="F173" t="s">
        <v>28</v>
      </c>
      <c r="G173">
        <v>15179.3535627778</v>
      </c>
      <c r="H173">
        <v>296732083.17862701</v>
      </c>
      <c r="I173">
        <v>9786.8099879043202</v>
      </c>
      <c r="J173">
        <v>99140601.349221796</v>
      </c>
      <c r="K173">
        <v>0.52537440920846101</v>
      </c>
      <c r="L173">
        <v>9.2185562804582497E-3</v>
      </c>
      <c r="M173">
        <v>0.13117873657238999</v>
      </c>
      <c r="N173">
        <v>1.94580504362319E-3</v>
      </c>
      <c r="O173">
        <v>0.441028507546115</v>
      </c>
      <c r="P173">
        <v>0.24652236307766101</v>
      </c>
      <c r="Q173">
        <v>0.79433058291189795</v>
      </c>
      <c r="R173">
        <v>0.16336950796269201</v>
      </c>
      <c r="S173">
        <v>53</v>
      </c>
      <c r="T173">
        <v>0.52407464208728605</v>
      </c>
      <c r="U173">
        <v>5.0099963937959797E-2</v>
      </c>
    </row>
    <row r="174" spans="1:21" x14ac:dyDescent="0.25">
      <c r="A174">
        <v>173</v>
      </c>
      <c r="B174">
        <v>807</v>
      </c>
      <c r="C174" t="s">
        <v>26</v>
      </c>
      <c r="D174">
        <v>23</v>
      </c>
      <c r="E174" t="s">
        <v>27</v>
      </c>
      <c r="F174" t="s">
        <v>28</v>
      </c>
      <c r="G174">
        <v>19725.7207960247</v>
      </c>
      <c r="H174">
        <v>359444328.75275201</v>
      </c>
      <c r="I174">
        <v>6561.0171905009101</v>
      </c>
      <c r="J174">
        <v>102718020.017903</v>
      </c>
      <c r="K174">
        <v>0.55300296790985004</v>
      </c>
      <c r="L174">
        <v>8.3521870241107399E-3</v>
      </c>
      <c r="M174">
        <v>0.13971167944059201</v>
      </c>
      <c r="N174">
        <v>2.0368182769311201E-3</v>
      </c>
      <c r="O174">
        <v>0.54126523223462797</v>
      </c>
      <c r="P174">
        <v>0.24829718060853401</v>
      </c>
      <c r="Q174">
        <v>0.55649384576129102</v>
      </c>
      <c r="R174">
        <v>0.24680844539103</v>
      </c>
      <c r="S174">
        <v>27</v>
      </c>
      <c r="T174">
        <v>0.58468346749198596</v>
      </c>
      <c r="U174">
        <v>5.2373944504632702E-2</v>
      </c>
    </row>
    <row r="175" spans="1:21" x14ac:dyDescent="0.25">
      <c r="A175">
        <v>174</v>
      </c>
      <c r="B175">
        <v>808</v>
      </c>
      <c r="C175" t="s">
        <v>26</v>
      </c>
      <c r="D175">
        <v>23</v>
      </c>
      <c r="E175" t="s">
        <v>27</v>
      </c>
      <c r="F175" t="s">
        <v>28</v>
      </c>
      <c r="G175">
        <v>20324.906476119399</v>
      </c>
      <c r="H175">
        <v>335252223.02235299</v>
      </c>
      <c r="I175">
        <v>5976.4847962286703</v>
      </c>
      <c r="J175">
        <v>93007149.875509605</v>
      </c>
      <c r="K175">
        <v>0.56212348723560401</v>
      </c>
      <c r="L175">
        <v>7.5742883181527899E-3</v>
      </c>
      <c r="M175">
        <v>0.12745696339662499</v>
      </c>
      <c r="N175">
        <v>4.3218734716741801E-3</v>
      </c>
      <c r="O175">
        <v>0.61189034300918599</v>
      </c>
      <c r="P175">
        <v>0.237480551141657</v>
      </c>
      <c r="Q175">
        <v>0.73258935558043503</v>
      </c>
      <c r="R175">
        <v>0.19590219167071099</v>
      </c>
      <c r="S175">
        <v>47</v>
      </c>
      <c r="T175">
        <v>0.60778578660359495</v>
      </c>
      <c r="U175">
        <v>4.5193734970842198E-2</v>
      </c>
    </row>
    <row r="176" spans="1:21" x14ac:dyDescent="0.25">
      <c r="A176">
        <v>175</v>
      </c>
      <c r="B176">
        <v>809</v>
      </c>
      <c r="C176" t="s">
        <v>26</v>
      </c>
      <c r="D176">
        <v>23</v>
      </c>
      <c r="E176" t="s">
        <v>27</v>
      </c>
      <c r="F176" t="s">
        <v>28</v>
      </c>
      <c r="G176">
        <v>12753.046630946999</v>
      </c>
      <c r="H176">
        <v>282614578.959849</v>
      </c>
      <c r="I176">
        <v>10269.3835512721</v>
      </c>
      <c r="J176">
        <v>90883643.335726306</v>
      </c>
      <c r="K176">
        <v>0.52805869539238504</v>
      </c>
      <c r="L176">
        <v>7.0191057308515697E-3</v>
      </c>
      <c r="M176">
        <v>0.11707359354651101</v>
      </c>
      <c r="N176">
        <v>3.3917755600748598E-3</v>
      </c>
      <c r="O176">
        <v>0.39749324275838999</v>
      </c>
      <c r="P176">
        <v>0.23949236472007501</v>
      </c>
      <c r="Q176">
        <v>0.90600743903460002</v>
      </c>
      <c r="R176">
        <v>8.5157959448837806E-2</v>
      </c>
      <c r="S176">
        <v>98</v>
      </c>
      <c r="T176">
        <v>0.511083200186084</v>
      </c>
      <c r="U176">
        <v>4.1479980549743903E-2</v>
      </c>
    </row>
    <row r="177" spans="1:21" x14ac:dyDescent="0.25">
      <c r="A177">
        <v>176</v>
      </c>
      <c r="B177">
        <v>701</v>
      </c>
      <c r="C177" t="s">
        <v>26</v>
      </c>
      <c r="D177">
        <v>23</v>
      </c>
      <c r="E177" t="s">
        <v>27</v>
      </c>
      <c r="F177" t="s">
        <v>28</v>
      </c>
      <c r="G177">
        <v>17067.804898485301</v>
      </c>
      <c r="H177">
        <v>296024375.46916097</v>
      </c>
      <c r="I177">
        <v>7455.7957387594697</v>
      </c>
      <c r="J177">
        <v>91796646.871705905</v>
      </c>
      <c r="K177">
        <v>0.54498016233045399</v>
      </c>
      <c r="L177">
        <v>8.2794104319139205E-3</v>
      </c>
      <c r="M177">
        <v>0.13606735029841999</v>
      </c>
      <c r="N177">
        <v>1.7660806537606699E-3</v>
      </c>
      <c r="O177">
        <v>0.46651627457299399</v>
      </c>
      <c r="P177">
        <v>0.248878840131527</v>
      </c>
      <c r="Q177">
        <v>0.403490680347521</v>
      </c>
      <c r="R177">
        <v>0.240685951220072</v>
      </c>
      <c r="S177">
        <v>17</v>
      </c>
      <c r="T177">
        <v>0.53503317220851399</v>
      </c>
      <c r="U177">
        <v>4.7343456581705197E-2</v>
      </c>
    </row>
    <row r="178" spans="1:21" x14ac:dyDescent="0.25">
      <c r="A178">
        <v>177</v>
      </c>
      <c r="B178">
        <v>702</v>
      </c>
      <c r="C178" t="s">
        <v>26</v>
      </c>
      <c r="D178">
        <v>23</v>
      </c>
      <c r="E178" t="s">
        <v>27</v>
      </c>
      <c r="F178" t="s">
        <v>28</v>
      </c>
      <c r="G178">
        <v>14941.695506997299</v>
      </c>
      <c r="H178">
        <v>270317501.06613302</v>
      </c>
      <c r="I178">
        <v>8921.3837247338906</v>
      </c>
      <c r="J178">
        <v>81661192.517147794</v>
      </c>
      <c r="K178">
        <v>0.52859044965240398</v>
      </c>
      <c r="L178">
        <v>8.2933633489555708E-3</v>
      </c>
      <c r="M178">
        <v>0.13555542140903801</v>
      </c>
      <c r="N178">
        <v>1.78279135161965E-3</v>
      </c>
      <c r="O178">
        <v>0.41151485391603199</v>
      </c>
      <c r="P178">
        <v>0.24217037892267301</v>
      </c>
      <c r="Q178">
        <v>0.471690237674327</v>
      </c>
      <c r="R178">
        <v>0.249198557356962</v>
      </c>
      <c r="S178">
        <v>19</v>
      </c>
      <c r="T178">
        <v>0.51834418467121801</v>
      </c>
      <c r="U178">
        <v>4.4851338744204203E-2</v>
      </c>
    </row>
    <row r="179" spans="1:21" x14ac:dyDescent="0.25">
      <c r="A179">
        <v>178</v>
      </c>
      <c r="B179">
        <v>703</v>
      </c>
      <c r="C179" t="s">
        <v>26</v>
      </c>
      <c r="D179">
        <v>23</v>
      </c>
      <c r="E179" t="s">
        <v>27</v>
      </c>
      <c r="F179" t="s">
        <v>28</v>
      </c>
      <c r="G179">
        <v>25261.932718143202</v>
      </c>
      <c r="H179">
        <v>310243921.60635102</v>
      </c>
      <c r="I179">
        <v>2209.22072192826</v>
      </c>
      <c r="J179">
        <v>85428672.334700406</v>
      </c>
      <c r="K179">
        <v>0.59255937563275995</v>
      </c>
      <c r="L179">
        <v>8.7418167932763694E-3</v>
      </c>
      <c r="M179">
        <v>0.142331949841773</v>
      </c>
      <c r="N179">
        <v>2.76168939287749E-3</v>
      </c>
      <c r="O179">
        <v>0.74312774312774299</v>
      </c>
      <c r="P179">
        <v>0.19088890052204599</v>
      </c>
      <c r="Q179">
        <v>0.54312462006078999</v>
      </c>
      <c r="R179">
        <v>0.24814026714465301</v>
      </c>
      <c r="S179">
        <v>53</v>
      </c>
      <c r="T179">
        <v>0.679534057921791</v>
      </c>
      <c r="U179">
        <v>3.9101195074320701E-2</v>
      </c>
    </row>
    <row r="180" spans="1:21" x14ac:dyDescent="0.25">
      <c r="A180">
        <v>179</v>
      </c>
      <c r="B180">
        <v>704</v>
      </c>
      <c r="C180" t="s">
        <v>26</v>
      </c>
      <c r="D180">
        <v>23</v>
      </c>
      <c r="E180" t="s">
        <v>27</v>
      </c>
      <c r="F180" t="s">
        <v>28</v>
      </c>
      <c r="G180">
        <v>18355.993810537599</v>
      </c>
      <c r="H180">
        <v>312996246.46479499</v>
      </c>
      <c r="I180">
        <v>7705.4401500472704</v>
      </c>
      <c r="J180">
        <v>110321033.850872</v>
      </c>
      <c r="K180">
        <v>0.54762364807794395</v>
      </c>
      <c r="L180">
        <v>1.08706796788467E-2</v>
      </c>
      <c r="M180">
        <v>0.136266317034547</v>
      </c>
      <c r="N180">
        <v>2.9450486224864201E-3</v>
      </c>
      <c r="O180">
        <v>0.53892029833490795</v>
      </c>
      <c r="P180">
        <v>0.24848521037773599</v>
      </c>
      <c r="Q180">
        <v>0.58539989567326001</v>
      </c>
      <c r="R180">
        <v>0.24270685781906501</v>
      </c>
      <c r="S180">
        <v>20</v>
      </c>
      <c r="T180">
        <v>0.57861799485051302</v>
      </c>
      <c r="U180">
        <v>5.0964936041995201E-2</v>
      </c>
    </row>
    <row r="181" spans="1:21" x14ac:dyDescent="0.25">
      <c r="A181">
        <v>180</v>
      </c>
      <c r="B181">
        <v>705</v>
      </c>
      <c r="C181" t="s">
        <v>26</v>
      </c>
      <c r="D181">
        <v>23</v>
      </c>
      <c r="E181" t="s">
        <v>27</v>
      </c>
      <c r="F181" t="s">
        <v>28</v>
      </c>
      <c r="G181">
        <v>21052.341534757801</v>
      </c>
      <c r="H181">
        <v>319886657.06849098</v>
      </c>
      <c r="I181">
        <v>5565.4324366170304</v>
      </c>
      <c r="J181">
        <v>103170057.086615</v>
      </c>
      <c r="K181">
        <v>0.57104026486078696</v>
      </c>
      <c r="L181">
        <v>8.4935842200285702E-3</v>
      </c>
      <c r="M181">
        <v>0.141651320018883</v>
      </c>
      <c r="N181">
        <v>2.9134310624314499E-3</v>
      </c>
      <c r="O181">
        <v>0.63077941619018996</v>
      </c>
      <c r="P181">
        <v>0.232896744301058</v>
      </c>
      <c r="Q181">
        <v>0.69073356284758203</v>
      </c>
      <c r="R181">
        <v>0.213620708003398</v>
      </c>
      <c r="S181">
        <v>34</v>
      </c>
      <c r="T181">
        <v>0.63027486412434797</v>
      </c>
      <c r="U181">
        <v>4.3029748268832199E-2</v>
      </c>
    </row>
    <row r="182" spans="1:21" x14ac:dyDescent="0.25">
      <c r="A182">
        <v>181</v>
      </c>
      <c r="B182">
        <v>706</v>
      </c>
      <c r="C182" t="s">
        <v>26</v>
      </c>
      <c r="D182">
        <v>23</v>
      </c>
      <c r="E182" t="s">
        <v>27</v>
      </c>
      <c r="F182" t="s">
        <v>28</v>
      </c>
      <c r="G182">
        <v>18096.7401218911</v>
      </c>
      <c r="H182">
        <v>322651043.2683</v>
      </c>
      <c r="I182">
        <v>7810.8017823672399</v>
      </c>
      <c r="J182">
        <v>104031692.43624599</v>
      </c>
      <c r="K182">
        <v>0.56005937401849903</v>
      </c>
      <c r="L182">
        <v>9.12456709621998E-3</v>
      </c>
      <c r="M182">
        <v>0.15583920251705499</v>
      </c>
      <c r="N182">
        <v>2.5377304764966102E-3</v>
      </c>
      <c r="O182">
        <v>0.56021829809229595</v>
      </c>
      <c r="P182">
        <v>0.246373756574716</v>
      </c>
      <c r="Q182">
        <v>0.70659085718407</v>
      </c>
      <c r="R182">
        <v>0.207320217727756</v>
      </c>
      <c r="S182">
        <v>68</v>
      </c>
      <c r="T182">
        <v>0.59611592654193701</v>
      </c>
      <c r="U182">
        <v>4.6223097623236502E-2</v>
      </c>
    </row>
    <row r="183" spans="1:21" x14ac:dyDescent="0.25">
      <c r="A183">
        <v>182</v>
      </c>
      <c r="B183">
        <v>707</v>
      </c>
      <c r="C183" t="s">
        <v>26</v>
      </c>
      <c r="D183">
        <v>23</v>
      </c>
      <c r="E183" t="s">
        <v>27</v>
      </c>
      <c r="F183" t="s">
        <v>28</v>
      </c>
      <c r="G183">
        <v>17778.01963739</v>
      </c>
      <c r="H183">
        <v>331766380.27612001</v>
      </c>
      <c r="I183">
        <v>7679.1699241208198</v>
      </c>
      <c r="J183">
        <v>100537381.676745</v>
      </c>
      <c r="K183">
        <v>0.55876513782188597</v>
      </c>
      <c r="L183">
        <v>8.2714695167962794E-3</v>
      </c>
      <c r="M183">
        <v>0.16217709073022199</v>
      </c>
      <c r="N183">
        <v>2.5365859905630002E-3</v>
      </c>
      <c r="O183">
        <v>0.53207520091848404</v>
      </c>
      <c r="P183">
        <v>0.24897118148591901</v>
      </c>
      <c r="Q183">
        <v>0.68400468832225003</v>
      </c>
      <c r="R183">
        <v>0.216142274675239</v>
      </c>
      <c r="S183">
        <v>58</v>
      </c>
      <c r="T183">
        <v>0.58800748803902703</v>
      </c>
      <c r="U183">
        <v>4.6135568848828301E-2</v>
      </c>
    </row>
    <row r="184" spans="1:21" x14ac:dyDescent="0.25">
      <c r="A184">
        <v>183</v>
      </c>
      <c r="B184">
        <v>708</v>
      </c>
      <c r="C184" t="s">
        <v>26</v>
      </c>
      <c r="D184">
        <v>23</v>
      </c>
      <c r="E184" t="s">
        <v>27</v>
      </c>
      <c r="F184" t="s">
        <v>28</v>
      </c>
      <c r="G184">
        <v>16458.491707847101</v>
      </c>
      <c r="H184">
        <v>310396218.79095602</v>
      </c>
      <c r="I184">
        <v>9271.1397001293899</v>
      </c>
      <c r="J184">
        <v>95739337.061086997</v>
      </c>
      <c r="K184">
        <v>0.53969721184596098</v>
      </c>
      <c r="L184">
        <v>9.0960669259393303E-3</v>
      </c>
      <c r="M184">
        <v>0.14422676194026299</v>
      </c>
      <c r="N184">
        <v>1.8156180387306001E-3</v>
      </c>
      <c r="O184">
        <v>0.45996222607435799</v>
      </c>
      <c r="P184">
        <v>0.24839697665885499</v>
      </c>
      <c r="Q184">
        <v>0.48440431064595002</v>
      </c>
      <c r="R184">
        <v>0.24975677447359501</v>
      </c>
      <c r="S184">
        <v>20</v>
      </c>
      <c r="T184">
        <v>0.55292024570978304</v>
      </c>
      <c r="U184">
        <v>4.8357130381552399E-2</v>
      </c>
    </row>
    <row r="185" spans="1:21" x14ac:dyDescent="0.25">
      <c r="A185">
        <v>184</v>
      </c>
      <c r="B185">
        <v>709</v>
      </c>
      <c r="C185" t="s">
        <v>26</v>
      </c>
      <c r="D185">
        <v>23</v>
      </c>
      <c r="E185" t="s">
        <v>27</v>
      </c>
      <c r="F185" t="s">
        <v>28</v>
      </c>
      <c r="G185">
        <v>9026.1566596497905</v>
      </c>
      <c r="H185">
        <v>215429677.80927801</v>
      </c>
      <c r="I185">
        <v>12817.6265837998</v>
      </c>
      <c r="J185">
        <v>74887843.298248097</v>
      </c>
      <c r="K185">
        <v>0.51852416976663995</v>
      </c>
      <c r="L185">
        <v>6.6849331962603297E-3</v>
      </c>
      <c r="M185">
        <v>0.14275101174453</v>
      </c>
      <c r="N185">
        <v>1.9013702441395301E-3</v>
      </c>
      <c r="O185">
        <v>0.29835661659171397</v>
      </c>
      <c r="P185">
        <v>0.209339945927774</v>
      </c>
      <c r="Q185">
        <v>0.89821082593823998</v>
      </c>
      <c r="R185">
        <v>9.1428138105746307E-2</v>
      </c>
      <c r="S185">
        <v>84</v>
      </c>
      <c r="T185">
        <v>0.46430713024944598</v>
      </c>
      <c r="U185">
        <v>3.7765669084366599E-2</v>
      </c>
    </row>
    <row r="186" spans="1:21" x14ac:dyDescent="0.25">
      <c r="A186">
        <v>185</v>
      </c>
      <c r="B186">
        <v>601</v>
      </c>
      <c r="C186" t="s">
        <v>26</v>
      </c>
      <c r="D186">
        <v>23</v>
      </c>
      <c r="E186" t="s">
        <v>27</v>
      </c>
      <c r="F186" t="s">
        <v>28</v>
      </c>
      <c r="G186">
        <v>15520.704093779101</v>
      </c>
      <c r="H186">
        <v>245196658.46176299</v>
      </c>
      <c r="I186">
        <v>6931.8732614453702</v>
      </c>
      <c r="J186">
        <v>86275927.593254998</v>
      </c>
      <c r="K186">
        <v>0.57101089914555203</v>
      </c>
      <c r="L186">
        <v>1.0231854364728701E-2</v>
      </c>
      <c r="M186">
        <v>0.15620886356615701</v>
      </c>
      <c r="N186">
        <v>2.0247924087131702E-3</v>
      </c>
      <c r="O186">
        <v>0.53569765034675498</v>
      </c>
      <c r="P186">
        <v>0.24872567775964199</v>
      </c>
      <c r="Q186">
        <v>0.72026497263588296</v>
      </c>
      <c r="R186">
        <v>0.20148334182966701</v>
      </c>
      <c r="S186">
        <v>65</v>
      </c>
      <c r="T186">
        <v>0.58091411920955205</v>
      </c>
      <c r="U186">
        <v>4.3357788700945997E-2</v>
      </c>
    </row>
    <row r="187" spans="1:21" x14ac:dyDescent="0.25">
      <c r="A187">
        <v>186</v>
      </c>
      <c r="B187">
        <v>602</v>
      </c>
      <c r="C187" t="s">
        <v>26</v>
      </c>
      <c r="D187">
        <v>23</v>
      </c>
      <c r="E187" t="s">
        <v>27</v>
      </c>
      <c r="F187" t="s">
        <v>28</v>
      </c>
      <c r="G187">
        <v>18460.389306669898</v>
      </c>
      <c r="H187">
        <v>293967902.98029101</v>
      </c>
      <c r="I187">
        <v>4931.46207535543</v>
      </c>
      <c r="J187">
        <v>99143899.695322707</v>
      </c>
      <c r="K187">
        <v>0.59313745256520001</v>
      </c>
      <c r="L187">
        <v>9.8360948111228894E-3</v>
      </c>
      <c r="M187">
        <v>0.162924610696252</v>
      </c>
      <c r="N187">
        <v>2.3635198489758099E-3</v>
      </c>
      <c r="O187">
        <v>0.60075440067057795</v>
      </c>
      <c r="P187">
        <v>0.239848550745492</v>
      </c>
      <c r="Q187">
        <v>0.84300459814158402</v>
      </c>
      <c r="R187">
        <v>0.13234784565379801</v>
      </c>
      <c r="S187">
        <v>90</v>
      </c>
      <c r="T187">
        <v>0.62248918739992898</v>
      </c>
      <c r="U187">
        <v>4.3297388067983701E-2</v>
      </c>
    </row>
    <row r="188" spans="1:21" x14ac:dyDescent="0.25">
      <c r="A188">
        <v>187</v>
      </c>
      <c r="B188">
        <v>603</v>
      </c>
      <c r="C188" t="s">
        <v>26</v>
      </c>
      <c r="D188">
        <v>23</v>
      </c>
      <c r="E188" t="s">
        <v>27</v>
      </c>
      <c r="F188" t="s">
        <v>28</v>
      </c>
      <c r="G188">
        <v>15464.745173400101</v>
      </c>
      <c r="H188">
        <v>228162368.02655199</v>
      </c>
      <c r="I188">
        <v>6591.7370593512696</v>
      </c>
      <c r="J188">
        <v>110609408.955998</v>
      </c>
      <c r="K188">
        <v>0.57798086152346795</v>
      </c>
      <c r="L188">
        <v>1.14913528440184E-2</v>
      </c>
      <c r="M188">
        <v>0.17872475032844101</v>
      </c>
      <c r="N188">
        <v>1.9062860700584201E-3</v>
      </c>
      <c r="O188">
        <v>0.52479697635221401</v>
      </c>
      <c r="P188">
        <v>0.249385109963907</v>
      </c>
      <c r="Q188">
        <v>0.760296708628042</v>
      </c>
      <c r="R188">
        <v>0.18224562347700499</v>
      </c>
      <c r="S188">
        <v>71</v>
      </c>
      <c r="T188">
        <v>0.59248066914143105</v>
      </c>
      <c r="U188">
        <v>4.2577004877521099E-2</v>
      </c>
    </row>
    <row r="189" spans="1:21" x14ac:dyDescent="0.25">
      <c r="A189">
        <v>188</v>
      </c>
      <c r="B189">
        <v>604</v>
      </c>
      <c r="C189" t="s">
        <v>26</v>
      </c>
      <c r="D189">
        <v>23</v>
      </c>
      <c r="E189" t="s">
        <v>27</v>
      </c>
      <c r="F189" t="s">
        <v>28</v>
      </c>
      <c r="G189">
        <v>18078.087020342598</v>
      </c>
      <c r="H189">
        <v>268771407.15138501</v>
      </c>
      <c r="I189">
        <v>4440.1551628178904</v>
      </c>
      <c r="J189">
        <v>125806425.134831</v>
      </c>
      <c r="K189">
        <v>0.60689022701198603</v>
      </c>
      <c r="L189">
        <v>1.39408741835946E-2</v>
      </c>
      <c r="M189">
        <v>0.20584380749834999</v>
      </c>
      <c r="N189">
        <v>3.07666725284108E-3</v>
      </c>
      <c r="O189">
        <v>0.61326907897469995</v>
      </c>
      <c r="P189">
        <v>0.237170115748399</v>
      </c>
      <c r="Q189">
        <v>0.65818735719725796</v>
      </c>
      <c r="R189">
        <v>0.224976760022882</v>
      </c>
      <c r="S189">
        <v>31</v>
      </c>
      <c r="T189">
        <v>0.63428394621922402</v>
      </c>
      <c r="U189">
        <v>5.43333222342781E-2</v>
      </c>
    </row>
    <row r="190" spans="1:21" x14ac:dyDescent="0.25">
      <c r="A190">
        <v>189</v>
      </c>
      <c r="B190">
        <v>605</v>
      </c>
      <c r="C190" t="s">
        <v>26</v>
      </c>
      <c r="D190">
        <v>23</v>
      </c>
      <c r="E190" t="s">
        <v>27</v>
      </c>
      <c r="F190" t="s">
        <v>28</v>
      </c>
      <c r="G190">
        <v>13793.2898504652</v>
      </c>
      <c r="H190">
        <v>232888162.981341</v>
      </c>
      <c r="I190">
        <v>8131.5782928788403</v>
      </c>
      <c r="J190">
        <v>112605817.498289</v>
      </c>
      <c r="K190">
        <v>0.56936008583879605</v>
      </c>
      <c r="L190">
        <v>1.2765607548618199E-2</v>
      </c>
      <c r="M190">
        <v>0.19833922208773</v>
      </c>
      <c r="N190">
        <v>2.4460532054238499E-3</v>
      </c>
      <c r="O190">
        <v>0.48084658931126001</v>
      </c>
      <c r="P190">
        <v>0.24963314685919</v>
      </c>
      <c r="Q190">
        <v>0.81492033601936897</v>
      </c>
      <c r="R190">
        <v>0.15082518196167999</v>
      </c>
      <c r="S190">
        <v>55</v>
      </c>
      <c r="T190">
        <v>0.56836423123699997</v>
      </c>
      <c r="U190">
        <v>5.1057124386576599E-2</v>
      </c>
    </row>
    <row r="191" spans="1:21" x14ac:dyDescent="0.25">
      <c r="A191">
        <v>190</v>
      </c>
      <c r="B191">
        <v>606</v>
      </c>
      <c r="C191" t="s">
        <v>26</v>
      </c>
      <c r="D191">
        <v>23</v>
      </c>
      <c r="E191" t="s">
        <v>27</v>
      </c>
      <c r="F191" t="s">
        <v>28</v>
      </c>
      <c r="G191">
        <v>16635.197214572199</v>
      </c>
      <c r="H191">
        <v>240344055.32354</v>
      </c>
      <c r="I191">
        <v>6462.5401452401702</v>
      </c>
      <c r="J191">
        <v>130624717.371473</v>
      </c>
      <c r="K191">
        <v>0.59349493555670296</v>
      </c>
      <c r="L191">
        <v>1.19561502266116E-2</v>
      </c>
      <c r="M191">
        <v>0.20106661501029399</v>
      </c>
      <c r="N191">
        <v>2.2970133560282998E-3</v>
      </c>
      <c r="O191">
        <v>0.60116200415519205</v>
      </c>
      <c r="P191">
        <v>0.23976624891563</v>
      </c>
      <c r="Q191">
        <v>0.79805288142144504</v>
      </c>
      <c r="R191">
        <v>0.16116447987603</v>
      </c>
      <c r="S191">
        <v>72</v>
      </c>
      <c r="T191">
        <v>0.632949078593531</v>
      </c>
      <c r="U191">
        <v>4.2380452387160997E-2</v>
      </c>
    </row>
    <row r="192" spans="1:21" x14ac:dyDescent="0.25">
      <c r="A192">
        <v>191</v>
      </c>
      <c r="B192">
        <v>607</v>
      </c>
      <c r="C192" t="s">
        <v>26</v>
      </c>
      <c r="D192">
        <v>23</v>
      </c>
      <c r="E192" t="s">
        <v>27</v>
      </c>
      <c r="F192" t="s">
        <v>28</v>
      </c>
      <c r="G192">
        <v>20683.472386563699</v>
      </c>
      <c r="H192">
        <v>318885852.90665501</v>
      </c>
      <c r="I192">
        <v>4471.84094435719</v>
      </c>
      <c r="J192">
        <v>119185775.486394</v>
      </c>
      <c r="K192">
        <v>0.59553939852708404</v>
      </c>
      <c r="L192">
        <v>9.8914835016762001E-3</v>
      </c>
      <c r="M192">
        <v>0.191044374541397</v>
      </c>
      <c r="N192">
        <v>2.3166041223817999E-3</v>
      </c>
      <c r="O192">
        <v>0.67218364952082899</v>
      </c>
      <c r="P192">
        <v>0.22035279083772499</v>
      </c>
      <c r="Q192">
        <v>0.79618675140552397</v>
      </c>
      <c r="R192">
        <v>0.162273408291712</v>
      </c>
      <c r="S192">
        <v>54</v>
      </c>
      <c r="T192">
        <v>0.67135551324270504</v>
      </c>
      <c r="U192">
        <v>3.98718600448833E-2</v>
      </c>
    </row>
    <row r="193" spans="1:21" x14ac:dyDescent="0.25">
      <c r="A193">
        <v>192</v>
      </c>
      <c r="B193">
        <v>608</v>
      </c>
      <c r="C193" t="s">
        <v>26</v>
      </c>
      <c r="D193">
        <v>23</v>
      </c>
      <c r="E193" t="s">
        <v>27</v>
      </c>
      <c r="F193" t="s">
        <v>28</v>
      </c>
      <c r="G193">
        <v>15878.481403207001</v>
      </c>
      <c r="H193">
        <v>238928450.79574999</v>
      </c>
      <c r="I193">
        <v>7344.6600509587297</v>
      </c>
      <c r="J193">
        <v>113894139.012633</v>
      </c>
      <c r="K193">
        <v>0.56163100180827596</v>
      </c>
      <c r="L193">
        <v>1.28839438067604E-2</v>
      </c>
      <c r="M193">
        <v>0.164536510600097</v>
      </c>
      <c r="N193">
        <v>2.32538375448566E-3</v>
      </c>
      <c r="O193">
        <v>0.55677336118449305</v>
      </c>
      <c r="P193">
        <v>0.24677678545993401</v>
      </c>
      <c r="Q193">
        <v>0.77059372849700203</v>
      </c>
      <c r="R193">
        <v>0.17677903409788001</v>
      </c>
      <c r="S193">
        <v>54</v>
      </c>
      <c r="T193">
        <v>0.61243959640177903</v>
      </c>
      <c r="U193">
        <v>4.6055475759899801E-2</v>
      </c>
    </row>
    <row r="194" spans="1:21" x14ac:dyDescent="0.25">
      <c r="A194">
        <v>193</v>
      </c>
      <c r="B194">
        <v>609</v>
      </c>
      <c r="C194" t="s">
        <v>26</v>
      </c>
      <c r="D194">
        <v>23</v>
      </c>
      <c r="E194" t="s">
        <v>27</v>
      </c>
      <c r="F194" t="s">
        <v>28</v>
      </c>
      <c r="G194">
        <v>18704.0132945197</v>
      </c>
      <c r="H194">
        <v>294215336.121732</v>
      </c>
      <c r="I194">
        <v>5111.0571307044702</v>
      </c>
      <c r="J194">
        <v>115738717.19699199</v>
      </c>
      <c r="K194">
        <v>0.58397304856790699</v>
      </c>
      <c r="L194">
        <v>9.4790748920409607E-3</v>
      </c>
      <c r="M194">
        <v>0.16250536364916501</v>
      </c>
      <c r="N194">
        <v>2.9357258664439402E-3</v>
      </c>
      <c r="O194">
        <v>0.65817619462241195</v>
      </c>
      <c r="P194">
        <v>0.22498029145460599</v>
      </c>
      <c r="Q194">
        <v>0.92811289861475699</v>
      </c>
      <c r="R194">
        <v>6.6719346039705002E-2</v>
      </c>
      <c r="S194">
        <v>72</v>
      </c>
      <c r="T194">
        <v>0.65609175588060198</v>
      </c>
      <c r="U194">
        <v>4.0202211670166001E-2</v>
      </c>
    </row>
    <row r="195" spans="1:21" x14ac:dyDescent="0.25">
      <c r="A195">
        <v>194</v>
      </c>
      <c r="B195">
        <v>501</v>
      </c>
      <c r="C195" t="s">
        <v>26</v>
      </c>
      <c r="D195">
        <v>23</v>
      </c>
      <c r="E195" t="s">
        <v>27</v>
      </c>
      <c r="F195" t="s">
        <v>28</v>
      </c>
      <c r="G195">
        <v>16843.022358560502</v>
      </c>
      <c r="H195">
        <v>266896070.78364399</v>
      </c>
      <c r="I195">
        <v>7147.9745804095201</v>
      </c>
      <c r="J195">
        <v>109663166.59766699</v>
      </c>
      <c r="K195">
        <v>0.55656107698247304</v>
      </c>
      <c r="L195">
        <v>1.5047118113601E-2</v>
      </c>
      <c r="M195">
        <v>0.14822409228501801</v>
      </c>
      <c r="N195">
        <v>2.23512618470432E-3</v>
      </c>
      <c r="O195">
        <v>0.54673474429712599</v>
      </c>
      <c r="P195">
        <v>0.24781586367560099</v>
      </c>
      <c r="Q195">
        <v>0.77315894930420204</v>
      </c>
      <c r="R195">
        <v>0.17538418841489301</v>
      </c>
      <c r="S195">
        <v>73</v>
      </c>
      <c r="T195">
        <v>0.58001897763729304</v>
      </c>
      <c r="U195">
        <v>5.4505534051679197E-2</v>
      </c>
    </row>
    <row r="196" spans="1:21" x14ac:dyDescent="0.25">
      <c r="A196">
        <v>195</v>
      </c>
      <c r="B196">
        <v>502</v>
      </c>
      <c r="C196" t="s">
        <v>26</v>
      </c>
      <c r="D196">
        <v>23</v>
      </c>
      <c r="E196" t="s">
        <v>27</v>
      </c>
      <c r="F196" t="s">
        <v>28</v>
      </c>
      <c r="G196">
        <v>21432.4025078218</v>
      </c>
      <c r="H196">
        <v>301999841.72223502</v>
      </c>
      <c r="I196">
        <v>3660.9445894374198</v>
      </c>
      <c r="J196">
        <v>96914634.830680594</v>
      </c>
      <c r="K196">
        <v>0.59512217891010899</v>
      </c>
      <c r="L196">
        <v>1.0021720774789E-2</v>
      </c>
      <c r="M196">
        <v>0.159405328573474</v>
      </c>
      <c r="N196">
        <v>2.6759323407642499E-3</v>
      </c>
      <c r="O196">
        <v>0.68266872833138004</v>
      </c>
      <c r="P196">
        <v>0.21663213568995501</v>
      </c>
      <c r="Q196">
        <v>0.70196907465571401</v>
      </c>
      <c r="R196">
        <v>0.20920849288283999</v>
      </c>
      <c r="S196">
        <v>51</v>
      </c>
      <c r="T196">
        <v>0.65909980701272097</v>
      </c>
      <c r="U196">
        <v>4.0832606737062002E-2</v>
      </c>
    </row>
    <row r="197" spans="1:21" x14ac:dyDescent="0.25">
      <c r="A197">
        <v>196</v>
      </c>
      <c r="B197">
        <v>503</v>
      </c>
      <c r="C197" t="s">
        <v>26</v>
      </c>
      <c r="D197">
        <v>23</v>
      </c>
      <c r="E197" t="s">
        <v>27</v>
      </c>
      <c r="F197" t="s">
        <v>28</v>
      </c>
      <c r="G197">
        <v>20814.456340872399</v>
      </c>
      <c r="H197">
        <v>283459996.39103901</v>
      </c>
      <c r="I197">
        <v>4180.5382904521603</v>
      </c>
      <c r="J197">
        <v>111768852.417619</v>
      </c>
      <c r="K197">
        <v>0.59259612458002298</v>
      </c>
      <c r="L197">
        <v>1.0575206813063801E-2</v>
      </c>
      <c r="M197">
        <v>0.153185508015028</v>
      </c>
      <c r="N197">
        <v>1.8777980469830899E-3</v>
      </c>
      <c r="O197">
        <v>0.65329833064081899</v>
      </c>
      <c r="P197">
        <v>0.22649962182262601</v>
      </c>
      <c r="Q197">
        <v>0.745830023828435</v>
      </c>
      <c r="R197">
        <v>0.189567599384522</v>
      </c>
      <c r="S197">
        <v>38</v>
      </c>
      <c r="T197">
        <v>0.64969406443104905</v>
      </c>
      <c r="U197">
        <v>4.1061345590708002E-2</v>
      </c>
    </row>
    <row r="198" spans="1:21" x14ac:dyDescent="0.25">
      <c r="A198">
        <v>197</v>
      </c>
      <c r="B198">
        <v>504</v>
      </c>
      <c r="C198" t="s">
        <v>26</v>
      </c>
      <c r="D198">
        <v>23</v>
      </c>
      <c r="E198" t="s">
        <v>27</v>
      </c>
      <c r="F198" t="s">
        <v>28</v>
      </c>
      <c r="G198">
        <v>20798.470524672801</v>
      </c>
      <c r="H198">
        <v>256003968.65942299</v>
      </c>
      <c r="I198">
        <v>3364.3757549319998</v>
      </c>
      <c r="J198">
        <v>105748411.647443</v>
      </c>
      <c r="K198">
        <v>0.62012645801727395</v>
      </c>
      <c r="L198">
        <v>1.2367431890691701E-2</v>
      </c>
      <c r="M198">
        <v>0.16696894718055499</v>
      </c>
      <c r="N198">
        <v>6.4180085816792397E-3</v>
      </c>
      <c r="O198">
        <v>0.71289070316564596</v>
      </c>
      <c r="P198">
        <v>0.204677548505835</v>
      </c>
      <c r="Q198">
        <v>0.73279346825513303</v>
      </c>
      <c r="R198">
        <v>0.195807201137844</v>
      </c>
      <c r="S198">
        <v>36</v>
      </c>
      <c r="T198">
        <v>0.67592395638777403</v>
      </c>
      <c r="U198">
        <v>4.7798951742805698E-2</v>
      </c>
    </row>
    <row r="199" spans="1:21" x14ac:dyDescent="0.25">
      <c r="A199">
        <v>198</v>
      </c>
      <c r="B199">
        <v>505</v>
      </c>
      <c r="C199" t="s">
        <v>26</v>
      </c>
      <c r="D199">
        <v>23</v>
      </c>
      <c r="E199" t="s">
        <v>27</v>
      </c>
      <c r="F199" t="s">
        <v>28</v>
      </c>
      <c r="G199">
        <v>20861.483985552299</v>
      </c>
      <c r="H199">
        <v>286842216.179277</v>
      </c>
      <c r="I199">
        <v>4127.4807009681199</v>
      </c>
      <c r="J199">
        <v>121053150.201378</v>
      </c>
      <c r="K199">
        <v>0.63451561307047999</v>
      </c>
      <c r="L199">
        <v>1.19884478652962E-2</v>
      </c>
      <c r="M199">
        <v>0.17377030248165301</v>
      </c>
      <c r="N199">
        <v>5.3599286221772298E-3</v>
      </c>
      <c r="O199">
        <v>0.69582117399416399</v>
      </c>
      <c r="P199">
        <v>0.211654067815741</v>
      </c>
      <c r="Q199">
        <v>0.77269465374955104</v>
      </c>
      <c r="R199">
        <v>0.1756376258165</v>
      </c>
      <c r="S199">
        <v>65</v>
      </c>
      <c r="T199">
        <v>0.67819133358715</v>
      </c>
      <c r="U199">
        <v>4.9901071953704898E-2</v>
      </c>
    </row>
    <row r="200" spans="1:21" x14ac:dyDescent="0.25">
      <c r="A200">
        <v>199</v>
      </c>
      <c r="B200">
        <v>506</v>
      </c>
      <c r="C200" t="s">
        <v>26</v>
      </c>
      <c r="D200">
        <v>23</v>
      </c>
      <c r="E200" t="s">
        <v>27</v>
      </c>
      <c r="F200" t="s">
        <v>28</v>
      </c>
      <c r="G200">
        <v>21275.675775877498</v>
      </c>
      <c r="H200">
        <v>256461083.203949</v>
      </c>
      <c r="I200">
        <v>4261.9551036414196</v>
      </c>
      <c r="J200">
        <v>110126062.29717501</v>
      </c>
      <c r="K200">
        <v>0.63131355737671102</v>
      </c>
      <c r="L200">
        <v>8.5008221811952705E-3</v>
      </c>
      <c r="M200">
        <v>0.16583775465841299</v>
      </c>
      <c r="N200">
        <v>2.9622823521925699E-3</v>
      </c>
      <c r="O200">
        <v>0.75781857322250801</v>
      </c>
      <c r="P200">
        <v>0.18352958330135399</v>
      </c>
      <c r="Q200">
        <v>0.884022437239119</v>
      </c>
      <c r="R200">
        <v>0.10252676769701501</v>
      </c>
      <c r="S200">
        <v>140</v>
      </c>
      <c r="T200">
        <v>0.68597474612898401</v>
      </c>
      <c r="U200">
        <v>3.4391251903417797E-2</v>
      </c>
    </row>
    <row r="201" spans="1:21" x14ac:dyDescent="0.25">
      <c r="A201">
        <v>200</v>
      </c>
      <c r="B201">
        <v>507</v>
      </c>
      <c r="C201" t="s">
        <v>26</v>
      </c>
      <c r="D201">
        <v>23</v>
      </c>
      <c r="E201" t="s">
        <v>27</v>
      </c>
      <c r="F201" t="s">
        <v>28</v>
      </c>
      <c r="G201">
        <v>24215.121837019298</v>
      </c>
      <c r="H201">
        <v>295756480.87223703</v>
      </c>
      <c r="I201">
        <v>2648.4620110287701</v>
      </c>
      <c r="J201">
        <v>102778748.044901</v>
      </c>
      <c r="K201">
        <v>0.63434083665743202</v>
      </c>
      <c r="L201">
        <v>8.8643662676964902E-3</v>
      </c>
      <c r="M201">
        <v>0.16584613445117899</v>
      </c>
      <c r="N201">
        <v>2.47320838852061E-3</v>
      </c>
      <c r="O201">
        <v>0.77628760709304601</v>
      </c>
      <c r="P201">
        <v>0.17366515816671901</v>
      </c>
      <c r="Q201">
        <v>0.84911769467378995</v>
      </c>
      <c r="R201">
        <v>0.128116835265701</v>
      </c>
      <c r="S201">
        <v>71</v>
      </c>
      <c r="T201">
        <v>0.71215171086234297</v>
      </c>
      <c r="U201">
        <v>3.5494635437353997E-2</v>
      </c>
    </row>
    <row r="202" spans="1:21" x14ac:dyDescent="0.25">
      <c r="A202">
        <v>201</v>
      </c>
      <c r="B202">
        <v>508</v>
      </c>
      <c r="C202" t="s">
        <v>26</v>
      </c>
      <c r="D202">
        <v>23</v>
      </c>
      <c r="E202" t="s">
        <v>27</v>
      </c>
      <c r="F202" t="s">
        <v>28</v>
      </c>
      <c r="G202">
        <v>21452.978985767299</v>
      </c>
      <c r="H202">
        <v>312359073.72840899</v>
      </c>
      <c r="I202">
        <v>4062.0974212599599</v>
      </c>
      <c r="J202">
        <v>97848369.912677497</v>
      </c>
      <c r="K202">
        <v>0.60787416848874998</v>
      </c>
      <c r="L202">
        <v>9.74487834895129E-3</v>
      </c>
      <c r="M202">
        <v>0.16792109156541299</v>
      </c>
      <c r="N202">
        <v>2.9635839694079802E-3</v>
      </c>
      <c r="O202">
        <v>0.68555196746800595</v>
      </c>
      <c r="P202">
        <v>0.21557046736898999</v>
      </c>
      <c r="Q202">
        <v>0.80641033307420895</v>
      </c>
      <c r="R202">
        <v>0.15611270778521899</v>
      </c>
      <c r="S202">
        <v>84</v>
      </c>
      <c r="T202">
        <v>0.674855627692169</v>
      </c>
      <c r="U202">
        <v>4.1193750504022297E-2</v>
      </c>
    </row>
    <row r="203" spans="1:21" x14ac:dyDescent="0.25">
      <c r="A203">
        <v>202</v>
      </c>
      <c r="B203">
        <v>509</v>
      </c>
      <c r="C203" t="s">
        <v>26</v>
      </c>
      <c r="D203">
        <v>23</v>
      </c>
      <c r="E203" t="s">
        <v>27</v>
      </c>
      <c r="F203" t="s">
        <v>28</v>
      </c>
      <c r="G203">
        <v>24822.487142256199</v>
      </c>
      <c r="H203">
        <v>296173924.30327201</v>
      </c>
      <c r="I203">
        <v>1945.08537787878</v>
      </c>
      <c r="J203">
        <v>102609286.38864499</v>
      </c>
      <c r="K203">
        <v>0.63708861772928904</v>
      </c>
      <c r="L203">
        <v>8.6986455159428697E-3</v>
      </c>
      <c r="M203">
        <v>0.17737221414200499</v>
      </c>
      <c r="N203">
        <v>3.0159785767519E-3</v>
      </c>
      <c r="O203">
        <v>0.82486328045487201</v>
      </c>
      <c r="P203">
        <v>0.14446384901206299</v>
      </c>
      <c r="Q203">
        <v>0.82245260743896997</v>
      </c>
      <c r="R203">
        <v>0.14602431595573701</v>
      </c>
      <c r="S203">
        <v>65</v>
      </c>
      <c r="T203">
        <v>0.73163748859590405</v>
      </c>
      <c r="U203">
        <v>3.1702907577492202E-2</v>
      </c>
    </row>
    <row r="204" spans="1:21" x14ac:dyDescent="0.25">
      <c r="A204">
        <v>203</v>
      </c>
      <c r="B204">
        <v>401</v>
      </c>
      <c r="C204" t="s">
        <v>26</v>
      </c>
      <c r="D204">
        <v>23</v>
      </c>
      <c r="E204" t="s">
        <v>27</v>
      </c>
      <c r="F204" t="s">
        <v>28</v>
      </c>
      <c r="G204">
        <v>13057.8876764168</v>
      </c>
      <c r="H204">
        <v>217568065.598472</v>
      </c>
      <c r="I204">
        <v>9745.6579515547801</v>
      </c>
      <c r="J204">
        <v>96592051.133830205</v>
      </c>
      <c r="K204">
        <v>0.52641822004482497</v>
      </c>
      <c r="L204">
        <v>1.5913510715140501E-2</v>
      </c>
      <c r="M204">
        <v>0.153732739544342</v>
      </c>
      <c r="N204">
        <v>2.3314420019621201E-3</v>
      </c>
      <c r="O204">
        <v>0.44277549539275002</v>
      </c>
      <c r="P204">
        <v>0.24672535607224599</v>
      </c>
      <c r="Q204">
        <v>0.70994038361845502</v>
      </c>
      <c r="R204">
        <v>0.20592503532583101</v>
      </c>
      <c r="S204">
        <v>42</v>
      </c>
      <c r="T204">
        <v>0.52348301885408799</v>
      </c>
      <c r="U204">
        <v>5.5024408221112098E-2</v>
      </c>
    </row>
    <row r="205" spans="1:21" x14ac:dyDescent="0.25">
      <c r="A205">
        <v>204</v>
      </c>
      <c r="B205">
        <v>402</v>
      </c>
      <c r="C205" t="s">
        <v>26</v>
      </c>
      <c r="D205">
        <v>23</v>
      </c>
      <c r="E205" t="s">
        <v>27</v>
      </c>
      <c r="F205" t="s">
        <v>28</v>
      </c>
      <c r="G205">
        <v>22928.320761573501</v>
      </c>
      <c r="H205">
        <v>287389025.95910901</v>
      </c>
      <c r="I205">
        <v>2870.98933983899</v>
      </c>
      <c r="J205">
        <v>95302745.600948095</v>
      </c>
      <c r="K205">
        <v>0.601494970396661</v>
      </c>
      <c r="L205">
        <v>1.19368700972008E-2</v>
      </c>
      <c r="M205">
        <v>0.17500394290631199</v>
      </c>
      <c r="N205">
        <v>2.78485726557375E-3</v>
      </c>
      <c r="O205">
        <v>0.71958832461616296</v>
      </c>
      <c r="P205">
        <v>0.201780967692507</v>
      </c>
      <c r="Q205">
        <v>0.654770093312395</v>
      </c>
      <c r="R205">
        <v>0.226046218216228</v>
      </c>
      <c r="S205">
        <v>34</v>
      </c>
      <c r="T205">
        <v>0.67829271188454598</v>
      </c>
      <c r="U205">
        <v>4.40911689185799E-2</v>
      </c>
    </row>
    <row r="206" spans="1:21" x14ac:dyDescent="0.25">
      <c r="A206">
        <v>205</v>
      </c>
      <c r="B206">
        <v>403</v>
      </c>
      <c r="C206" t="s">
        <v>26</v>
      </c>
      <c r="D206">
        <v>23</v>
      </c>
      <c r="E206" t="s">
        <v>27</v>
      </c>
      <c r="F206" t="s">
        <v>28</v>
      </c>
      <c r="G206">
        <v>17188.391834196402</v>
      </c>
      <c r="H206">
        <v>247470821.57743099</v>
      </c>
      <c r="I206">
        <v>6797.4044859373998</v>
      </c>
      <c r="J206">
        <v>114642324.90032899</v>
      </c>
      <c r="K206">
        <v>0.57651382284917396</v>
      </c>
      <c r="L206">
        <v>1.32588270213202E-2</v>
      </c>
      <c r="M206">
        <v>0.16920798417260599</v>
      </c>
      <c r="N206">
        <v>2.4818984640066202E-3</v>
      </c>
      <c r="O206">
        <v>0.58373297296004401</v>
      </c>
      <c r="P206">
        <v>0.24298878923940201</v>
      </c>
      <c r="Q206">
        <v>0.61335422297701303</v>
      </c>
      <c r="R206">
        <v>0.23715082013349301</v>
      </c>
      <c r="S206">
        <v>30</v>
      </c>
      <c r="T206">
        <v>0.61052473600007195</v>
      </c>
      <c r="U206">
        <v>4.6707308940002697E-2</v>
      </c>
    </row>
    <row r="207" spans="1:21" x14ac:dyDescent="0.25">
      <c r="A207">
        <v>206</v>
      </c>
      <c r="B207">
        <v>404</v>
      </c>
      <c r="C207" t="s">
        <v>26</v>
      </c>
      <c r="D207">
        <v>23</v>
      </c>
      <c r="E207" t="s">
        <v>27</v>
      </c>
      <c r="F207" t="s">
        <v>28</v>
      </c>
      <c r="G207">
        <v>18932.999891465101</v>
      </c>
      <c r="H207">
        <v>247817023.14309201</v>
      </c>
      <c r="I207">
        <v>5660.8473503775003</v>
      </c>
      <c r="J207">
        <v>101444128.91534001</v>
      </c>
      <c r="K207">
        <v>0.59871105004705605</v>
      </c>
      <c r="L207">
        <v>1.28541266677153E-2</v>
      </c>
      <c r="M207">
        <v>0.182040909675483</v>
      </c>
      <c r="N207">
        <v>3.9771823505790997E-3</v>
      </c>
      <c r="O207">
        <v>0.65126375340867504</v>
      </c>
      <c r="P207">
        <v>0.22711927690500999</v>
      </c>
      <c r="Q207">
        <v>0.75453472438915203</v>
      </c>
      <c r="R207">
        <v>0.18521207408033899</v>
      </c>
      <c r="S207">
        <v>46</v>
      </c>
      <c r="T207">
        <v>0.63969485949852301</v>
      </c>
      <c r="U207">
        <v>4.9563821876428202E-2</v>
      </c>
    </row>
    <row r="208" spans="1:21" x14ac:dyDescent="0.25">
      <c r="A208">
        <v>207</v>
      </c>
      <c r="B208">
        <v>405</v>
      </c>
      <c r="C208" t="s">
        <v>26</v>
      </c>
      <c r="D208">
        <v>23</v>
      </c>
      <c r="E208" t="s">
        <v>27</v>
      </c>
      <c r="F208" t="s">
        <v>28</v>
      </c>
      <c r="G208">
        <v>20025.651996603599</v>
      </c>
      <c r="H208">
        <v>270643012.90386701</v>
      </c>
      <c r="I208">
        <v>4909.1336027807401</v>
      </c>
      <c r="J208">
        <v>109611303.56851</v>
      </c>
      <c r="K208">
        <v>0.61692136360767003</v>
      </c>
      <c r="L208">
        <v>1.42396193949016E-2</v>
      </c>
      <c r="M208">
        <v>0.17695781867232299</v>
      </c>
      <c r="N208">
        <v>3.4090272541355601E-3</v>
      </c>
      <c r="O208">
        <v>0.65411339799323098</v>
      </c>
      <c r="P208">
        <v>0.226249060558875</v>
      </c>
      <c r="Q208">
        <v>0.81446886884971403</v>
      </c>
      <c r="R208">
        <v>0.151109330524512</v>
      </c>
      <c r="S208">
        <v>69</v>
      </c>
      <c r="T208">
        <v>0.66112713280097202</v>
      </c>
      <c r="U208">
        <v>5.1427007154224602E-2</v>
      </c>
    </row>
    <row r="209" spans="1:21" x14ac:dyDescent="0.25">
      <c r="A209">
        <v>208</v>
      </c>
      <c r="B209">
        <v>406</v>
      </c>
      <c r="C209" t="s">
        <v>26</v>
      </c>
      <c r="D209">
        <v>23</v>
      </c>
      <c r="E209" t="s">
        <v>27</v>
      </c>
      <c r="F209" t="s">
        <v>28</v>
      </c>
      <c r="G209">
        <v>19085.1165897295</v>
      </c>
      <c r="H209">
        <v>254116959.83649701</v>
      </c>
      <c r="I209">
        <v>5630.5955478782898</v>
      </c>
      <c r="J209">
        <v>111626190.194886</v>
      </c>
      <c r="K209">
        <v>0.59780280614852799</v>
      </c>
      <c r="L209">
        <v>1.31078319033154E-2</v>
      </c>
      <c r="M209">
        <v>0.15232487238829401</v>
      </c>
      <c r="N209">
        <v>3.0117859120083498E-3</v>
      </c>
      <c r="O209">
        <v>0.63115597120237299</v>
      </c>
      <c r="P209">
        <v>0.232798111217836</v>
      </c>
      <c r="Q209">
        <v>0.85319268534797199</v>
      </c>
      <c r="R209">
        <v>0.12525492701674701</v>
      </c>
      <c r="S209">
        <v>57</v>
      </c>
      <c r="T209">
        <v>0.63765375744904695</v>
      </c>
      <c r="U209">
        <v>4.8090876842416801E-2</v>
      </c>
    </row>
    <row r="210" spans="1:21" x14ac:dyDescent="0.25">
      <c r="A210">
        <v>209</v>
      </c>
      <c r="B210">
        <v>407</v>
      </c>
      <c r="C210" t="s">
        <v>26</v>
      </c>
      <c r="D210">
        <v>23</v>
      </c>
      <c r="E210" t="s">
        <v>27</v>
      </c>
      <c r="F210" t="s">
        <v>28</v>
      </c>
      <c r="G210">
        <v>17186.892523816401</v>
      </c>
      <c r="H210">
        <v>266838052.19189399</v>
      </c>
      <c r="I210">
        <v>7327.2021085430397</v>
      </c>
      <c r="J210">
        <v>89703273.647525296</v>
      </c>
      <c r="K210">
        <v>0.55508574352826401</v>
      </c>
      <c r="L210">
        <v>9.5244613393655406E-3</v>
      </c>
      <c r="M210">
        <v>0.132889655335306</v>
      </c>
      <c r="N210">
        <v>2.3268964862089899E-3</v>
      </c>
      <c r="O210">
        <v>0.57352870061414996</v>
      </c>
      <c r="P210">
        <v>0.24459353018619201</v>
      </c>
      <c r="Q210">
        <v>0.76950513245233298</v>
      </c>
      <c r="R210">
        <v>0.17736698358200101</v>
      </c>
      <c r="S210">
        <v>61</v>
      </c>
      <c r="T210">
        <v>0.58994487684267405</v>
      </c>
      <c r="U210">
        <v>4.2712049234966701E-2</v>
      </c>
    </row>
    <row r="211" spans="1:21" x14ac:dyDescent="0.25">
      <c r="A211">
        <v>210</v>
      </c>
      <c r="B211">
        <v>408</v>
      </c>
      <c r="C211" t="s">
        <v>26</v>
      </c>
      <c r="D211">
        <v>23</v>
      </c>
      <c r="E211" t="s">
        <v>27</v>
      </c>
      <c r="F211" t="s">
        <v>28</v>
      </c>
      <c r="G211">
        <v>16943.1934145058</v>
      </c>
      <c r="H211">
        <v>307259003.909733</v>
      </c>
      <c r="I211">
        <v>7215.6844475542803</v>
      </c>
      <c r="J211">
        <v>92685279.804083198</v>
      </c>
      <c r="K211">
        <v>0.54866594508284605</v>
      </c>
      <c r="L211">
        <v>1.15393930684024E-2</v>
      </c>
      <c r="M211">
        <v>0.14089698934692199</v>
      </c>
      <c r="N211">
        <v>2.4981036763095802E-3</v>
      </c>
      <c r="O211">
        <v>0.51907712180652599</v>
      </c>
      <c r="P211">
        <v>0.249636063423433</v>
      </c>
      <c r="Q211">
        <v>0.72178104145238797</v>
      </c>
      <c r="R211">
        <v>0.200813169652551</v>
      </c>
      <c r="S211">
        <v>46</v>
      </c>
      <c r="T211">
        <v>0.57334699778517395</v>
      </c>
      <c r="U211">
        <v>5.14602345476508E-2</v>
      </c>
    </row>
    <row r="212" spans="1:21" x14ac:dyDescent="0.25">
      <c r="A212">
        <v>211</v>
      </c>
      <c r="B212">
        <v>409</v>
      </c>
      <c r="C212" t="s">
        <v>26</v>
      </c>
      <c r="D212">
        <v>23</v>
      </c>
      <c r="E212" t="s">
        <v>27</v>
      </c>
      <c r="F212" t="s">
        <v>28</v>
      </c>
      <c r="G212">
        <v>20043.071153741901</v>
      </c>
      <c r="H212">
        <v>290040035.94161099</v>
      </c>
      <c r="I212">
        <v>4252.8004196726997</v>
      </c>
      <c r="J212">
        <v>92123402.390371799</v>
      </c>
      <c r="K212">
        <v>0.60005847117664002</v>
      </c>
      <c r="L212">
        <v>1.1494918671521999E-2</v>
      </c>
      <c r="M212">
        <v>0.16353012372728301</v>
      </c>
      <c r="N212">
        <v>4.3588174069561798E-3</v>
      </c>
      <c r="O212">
        <v>0.690714247005907</v>
      </c>
      <c r="P212">
        <v>0.213628075989166</v>
      </c>
      <c r="Q212">
        <v>0.86284073050452503</v>
      </c>
      <c r="R212">
        <v>0.1183466042869</v>
      </c>
      <c r="S212">
        <v>86</v>
      </c>
      <c r="T212">
        <v>0.65432565772408002</v>
      </c>
      <c r="U212">
        <v>4.4853247244493299E-2</v>
      </c>
    </row>
    <row r="213" spans="1:21" x14ac:dyDescent="0.25">
      <c r="A213">
        <v>212</v>
      </c>
      <c r="B213">
        <v>301</v>
      </c>
      <c r="C213" t="s">
        <v>26</v>
      </c>
      <c r="D213">
        <v>23</v>
      </c>
      <c r="E213" t="s">
        <v>27</v>
      </c>
      <c r="F213" t="s">
        <v>28</v>
      </c>
      <c r="G213">
        <v>12780.8064325798</v>
      </c>
      <c r="H213">
        <v>204376323.91812301</v>
      </c>
      <c r="I213">
        <v>9301.8781881637206</v>
      </c>
      <c r="J213">
        <v>94646919.639605999</v>
      </c>
      <c r="K213">
        <v>0.56104014636925703</v>
      </c>
      <c r="L213">
        <v>1.3859379203166201E-2</v>
      </c>
      <c r="M213">
        <v>0.14868778592116999</v>
      </c>
      <c r="N213">
        <v>3.3493111398728102E-3</v>
      </c>
      <c r="O213">
        <v>0.474301148581318</v>
      </c>
      <c r="P213">
        <v>0.249339569035854</v>
      </c>
      <c r="Q213">
        <v>0.83956363827081204</v>
      </c>
      <c r="R213">
        <v>0.13469653556441</v>
      </c>
      <c r="S213">
        <v>82</v>
      </c>
      <c r="T213">
        <v>0.55405106121063497</v>
      </c>
      <c r="U213">
        <v>4.8790317937307898E-2</v>
      </c>
    </row>
    <row r="214" spans="1:21" x14ac:dyDescent="0.25">
      <c r="A214">
        <v>213</v>
      </c>
      <c r="B214">
        <v>302</v>
      </c>
      <c r="C214" t="s">
        <v>26</v>
      </c>
      <c r="D214">
        <v>23</v>
      </c>
      <c r="E214" t="s">
        <v>27</v>
      </c>
      <c r="F214" t="s">
        <v>28</v>
      </c>
      <c r="G214">
        <v>12272.561766357199</v>
      </c>
      <c r="H214">
        <v>187470261.721448</v>
      </c>
      <c r="I214">
        <v>10202.259366062401</v>
      </c>
      <c r="J214">
        <v>112832611.651647</v>
      </c>
      <c r="K214">
        <v>0.55383315658635301</v>
      </c>
      <c r="L214">
        <v>1.7582028173778401E-2</v>
      </c>
      <c r="M214">
        <v>0.142016074075862</v>
      </c>
      <c r="N214">
        <v>3.96451648701207E-3</v>
      </c>
      <c r="O214">
        <v>0.43930432057659902</v>
      </c>
      <c r="P214">
        <v>0.246316034499448</v>
      </c>
      <c r="Q214">
        <v>0.83720231878002904</v>
      </c>
      <c r="R214">
        <v>0.13629459620939</v>
      </c>
      <c r="S214">
        <v>47</v>
      </c>
      <c r="T214">
        <v>0.53483635903888105</v>
      </c>
      <c r="U214">
        <v>5.7796450495294499E-2</v>
      </c>
    </row>
    <row r="215" spans="1:21" x14ac:dyDescent="0.25">
      <c r="A215">
        <v>214</v>
      </c>
      <c r="B215">
        <v>303</v>
      </c>
      <c r="C215" t="s">
        <v>26</v>
      </c>
      <c r="D215">
        <v>23</v>
      </c>
      <c r="E215" t="s">
        <v>27</v>
      </c>
      <c r="F215" t="s">
        <v>28</v>
      </c>
      <c r="G215">
        <v>11418.1089381777</v>
      </c>
      <c r="H215">
        <v>172168830.25407499</v>
      </c>
      <c r="I215">
        <v>12007.367170912101</v>
      </c>
      <c r="J215">
        <v>115541991.274611</v>
      </c>
      <c r="K215">
        <v>0.53115070834299505</v>
      </c>
      <c r="L215">
        <v>1.9783889614018502E-2</v>
      </c>
      <c r="M215">
        <v>0.129859256913466</v>
      </c>
      <c r="N215">
        <v>3.9501742476914696E-3</v>
      </c>
      <c r="O215">
        <v>0.39419686375507001</v>
      </c>
      <c r="P215">
        <v>0.23880569636072699</v>
      </c>
      <c r="Q215">
        <v>0.76698678604953396</v>
      </c>
      <c r="R215">
        <v>0.17871805607487401</v>
      </c>
      <c r="S215">
        <v>55</v>
      </c>
      <c r="T215">
        <v>0.50172185697065996</v>
      </c>
      <c r="U215">
        <v>6.2981051221639495E-2</v>
      </c>
    </row>
    <row r="216" spans="1:21" x14ac:dyDescent="0.25">
      <c r="A216">
        <v>215</v>
      </c>
      <c r="B216">
        <v>304</v>
      </c>
      <c r="C216" t="s">
        <v>26</v>
      </c>
      <c r="D216">
        <v>23</v>
      </c>
      <c r="E216" t="s">
        <v>27</v>
      </c>
      <c r="F216" t="s">
        <v>28</v>
      </c>
      <c r="G216">
        <v>11711.0502563072</v>
      </c>
      <c r="H216">
        <v>158198656.38585499</v>
      </c>
      <c r="I216">
        <v>11543.723379915</v>
      </c>
      <c r="J216">
        <v>97211695.609732106</v>
      </c>
      <c r="K216">
        <v>0.53368202306220802</v>
      </c>
      <c r="L216">
        <v>1.2253381799064499E-2</v>
      </c>
      <c r="M216">
        <v>0.12981272867724</v>
      </c>
      <c r="N216">
        <v>3.6656807919294202E-3</v>
      </c>
      <c r="O216">
        <v>0.44805651680714498</v>
      </c>
      <c r="P216">
        <v>0.24730187455415401</v>
      </c>
      <c r="Q216">
        <v>0.84594730418551201</v>
      </c>
      <c r="R216">
        <v>0.13032046272683701</v>
      </c>
      <c r="S216">
        <v>37</v>
      </c>
      <c r="T216">
        <v>0.51571438230556299</v>
      </c>
      <c r="U216">
        <v>4.6677104477021898E-2</v>
      </c>
    </row>
    <row r="217" spans="1:21" x14ac:dyDescent="0.25">
      <c r="A217">
        <v>216</v>
      </c>
      <c r="B217">
        <v>305</v>
      </c>
      <c r="C217" t="s">
        <v>26</v>
      </c>
      <c r="D217">
        <v>23</v>
      </c>
      <c r="E217" t="s">
        <v>27</v>
      </c>
      <c r="F217" t="s">
        <v>28</v>
      </c>
      <c r="G217">
        <v>12987.3592801466</v>
      </c>
      <c r="H217">
        <v>200413397.98741999</v>
      </c>
      <c r="I217">
        <v>9488.0754307296902</v>
      </c>
      <c r="J217">
        <v>100959671.384964</v>
      </c>
      <c r="K217">
        <v>0.55949759509922103</v>
      </c>
      <c r="L217">
        <v>1.25285666917234E-2</v>
      </c>
      <c r="M217">
        <v>0.14053946780131699</v>
      </c>
      <c r="N217">
        <v>3.5946442526631301E-3</v>
      </c>
      <c r="O217">
        <v>0.48070452722200302</v>
      </c>
      <c r="P217">
        <v>0.249627684730413</v>
      </c>
      <c r="Q217">
        <v>0.79340980387461402</v>
      </c>
      <c r="R217">
        <v>0.163910686990414</v>
      </c>
      <c r="S217">
        <v>44</v>
      </c>
      <c r="T217">
        <v>0.55026773516793603</v>
      </c>
      <c r="U217">
        <v>4.9945282323840101E-2</v>
      </c>
    </row>
    <row r="218" spans="1:21" x14ac:dyDescent="0.25">
      <c r="A218">
        <v>217</v>
      </c>
      <c r="B218">
        <v>306</v>
      </c>
      <c r="C218" t="s">
        <v>26</v>
      </c>
      <c r="D218">
        <v>23</v>
      </c>
      <c r="E218" t="s">
        <v>27</v>
      </c>
      <c r="F218" t="s">
        <v>28</v>
      </c>
      <c r="G218">
        <v>13684.070647753901</v>
      </c>
      <c r="H218">
        <v>233956899.18384501</v>
      </c>
      <c r="I218">
        <v>8581.0032345680793</v>
      </c>
      <c r="J218">
        <v>97306289.655192003</v>
      </c>
      <c r="K218">
        <v>0.55756920597980797</v>
      </c>
      <c r="L218">
        <v>1.2189731548132E-2</v>
      </c>
      <c r="M218">
        <v>0.13731721224483601</v>
      </c>
      <c r="N218">
        <v>2.3346888629188801E-3</v>
      </c>
      <c r="O218">
        <v>0.47398698751375401</v>
      </c>
      <c r="P218">
        <v>0.24932332318116701</v>
      </c>
      <c r="Q218">
        <v>0.74335055491771895</v>
      </c>
      <c r="R218">
        <v>0.19078050742151201</v>
      </c>
      <c r="S218">
        <v>45</v>
      </c>
      <c r="T218">
        <v>0.54737487963186904</v>
      </c>
      <c r="U218">
        <v>5.1020571576557101E-2</v>
      </c>
    </row>
    <row r="219" spans="1:21" x14ac:dyDescent="0.25">
      <c r="A219">
        <v>218</v>
      </c>
      <c r="B219">
        <v>307</v>
      </c>
      <c r="C219" t="s">
        <v>26</v>
      </c>
      <c r="D219">
        <v>23</v>
      </c>
      <c r="E219" t="s">
        <v>27</v>
      </c>
      <c r="F219" t="s">
        <v>28</v>
      </c>
      <c r="G219">
        <v>11808.2023728235</v>
      </c>
      <c r="H219">
        <v>224002520.38903999</v>
      </c>
      <c r="I219">
        <v>9403.3725576574907</v>
      </c>
      <c r="J219">
        <v>90406849.844765499</v>
      </c>
      <c r="K219">
        <v>0.53506407430825598</v>
      </c>
      <c r="L219">
        <v>1.21464532014264E-2</v>
      </c>
      <c r="M219">
        <v>0.13156479212278299</v>
      </c>
      <c r="N219">
        <v>2.2112588530625102E-3</v>
      </c>
      <c r="O219">
        <v>0.414134516899966</v>
      </c>
      <c r="P219">
        <v>0.242627118812177</v>
      </c>
      <c r="Q219">
        <v>0.74373231879816604</v>
      </c>
      <c r="R219">
        <v>0.19059455677336101</v>
      </c>
      <c r="S219">
        <v>44</v>
      </c>
      <c r="T219">
        <v>0.50887381527473896</v>
      </c>
      <c r="U219">
        <v>4.9641564388600602E-2</v>
      </c>
    </row>
    <row r="220" spans="1:21" x14ac:dyDescent="0.25">
      <c r="A220">
        <v>219</v>
      </c>
      <c r="B220">
        <v>308</v>
      </c>
      <c r="C220" t="s">
        <v>26</v>
      </c>
      <c r="D220">
        <v>23</v>
      </c>
      <c r="E220" t="s">
        <v>27</v>
      </c>
      <c r="F220" t="s">
        <v>28</v>
      </c>
      <c r="G220">
        <v>15359.7190116251</v>
      </c>
      <c r="H220">
        <v>318333804.937783</v>
      </c>
      <c r="I220">
        <v>8340.7242976659199</v>
      </c>
      <c r="J220">
        <v>111574812.79117</v>
      </c>
      <c r="K220">
        <v>0.54579359681481399</v>
      </c>
      <c r="L220">
        <v>1.2922265191180201E-2</v>
      </c>
      <c r="M220">
        <v>0.13422038658608201</v>
      </c>
      <c r="N220">
        <v>2.2338805755191802E-3</v>
      </c>
      <c r="O220">
        <v>0.46109410132516898</v>
      </c>
      <c r="P220">
        <v>0.24848633104853099</v>
      </c>
      <c r="Q220">
        <v>0.58448051093755604</v>
      </c>
      <c r="R220">
        <v>0.24286304327163499</v>
      </c>
      <c r="S220">
        <v>27</v>
      </c>
      <c r="T220">
        <v>0.53339924219720702</v>
      </c>
      <c r="U220">
        <v>5.9422672583293798E-2</v>
      </c>
    </row>
    <row r="221" spans="1:21" x14ac:dyDescent="0.25">
      <c r="A221">
        <v>220</v>
      </c>
      <c r="B221">
        <v>309</v>
      </c>
      <c r="C221" t="s">
        <v>26</v>
      </c>
      <c r="D221">
        <v>23</v>
      </c>
      <c r="E221" t="s">
        <v>27</v>
      </c>
      <c r="F221" t="s">
        <v>28</v>
      </c>
      <c r="G221">
        <v>16389.105911163399</v>
      </c>
      <c r="H221">
        <v>304821582.10927999</v>
      </c>
      <c r="I221">
        <v>6502.5566500074801</v>
      </c>
      <c r="J221">
        <v>93396031.112539604</v>
      </c>
      <c r="K221">
        <v>0.56929534272749904</v>
      </c>
      <c r="L221">
        <v>1.0603779519038599E-2</v>
      </c>
      <c r="M221">
        <v>0.15161648889332399</v>
      </c>
      <c r="N221">
        <v>2.3560008961433002E-3</v>
      </c>
      <c r="O221">
        <v>0.55155524888040997</v>
      </c>
      <c r="P221">
        <v>0.24734205631301501</v>
      </c>
      <c r="Q221">
        <v>0.90563944363262405</v>
      </c>
      <c r="R221">
        <v>8.5456641769405095E-2</v>
      </c>
      <c r="S221">
        <v>74</v>
      </c>
      <c r="T221">
        <v>0.57578344025328998</v>
      </c>
      <c r="U221">
        <v>5.0294207131194799E-2</v>
      </c>
    </row>
    <row r="222" spans="1:21" x14ac:dyDescent="0.25">
      <c r="A222">
        <v>221</v>
      </c>
      <c r="B222">
        <v>201</v>
      </c>
      <c r="C222" t="s">
        <v>26</v>
      </c>
      <c r="D222">
        <v>23</v>
      </c>
      <c r="E222" t="s">
        <v>27</v>
      </c>
      <c r="F222" t="s">
        <v>28</v>
      </c>
      <c r="G222">
        <v>6311.7302206077802</v>
      </c>
      <c r="H222">
        <v>124791446.012411</v>
      </c>
      <c r="I222">
        <v>14789.941190109501</v>
      </c>
      <c r="J222">
        <v>62486840.2155632</v>
      </c>
      <c r="K222">
        <v>0.46998720579956899</v>
      </c>
      <c r="L222">
        <v>1.23184967706185E-2</v>
      </c>
      <c r="M222">
        <v>0.144945298860435</v>
      </c>
      <c r="N222">
        <v>1.71741475654743E-3</v>
      </c>
      <c r="O222">
        <v>0.238339935956663</v>
      </c>
      <c r="P222">
        <v>0.18153401088502999</v>
      </c>
      <c r="Q222">
        <v>0.87591453380927098</v>
      </c>
      <c r="R222">
        <v>0.108688263271202</v>
      </c>
      <c r="S222">
        <v>73</v>
      </c>
      <c r="T222">
        <v>0.41083738969981198</v>
      </c>
      <c r="U222">
        <v>3.9533153847409901E-2</v>
      </c>
    </row>
    <row r="223" spans="1:21" x14ac:dyDescent="0.25">
      <c r="A223">
        <v>222</v>
      </c>
      <c r="B223">
        <v>202</v>
      </c>
      <c r="C223" t="s">
        <v>26</v>
      </c>
      <c r="D223">
        <v>23</v>
      </c>
      <c r="E223" t="s">
        <v>27</v>
      </c>
      <c r="F223" t="s">
        <v>28</v>
      </c>
      <c r="G223">
        <v>10356.2783237436</v>
      </c>
      <c r="H223">
        <v>174888189.160557</v>
      </c>
      <c r="I223">
        <v>10994.6139649285</v>
      </c>
      <c r="J223">
        <v>93618625.396329701</v>
      </c>
      <c r="K223">
        <v>0.53495153066136403</v>
      </c>
      <c r="L223">
        <v>1.7618536543736501E-2</v>
      </c>
      <c r="M223">
        <v>0.17444023299740299</v>
      </c>
      <c r="N223">
        <v>2.7408040107476102E-3</v>
      </c>
      <c r="O223">
        <v>0.39359183257803299</v>
      </c>
      <c r="P223">
        <v>0.238677301906039</v>
      </c>
      <c r="Q223">
        <v>0.64593940936863503</v>
      </c>
      <c r="R223">
        <v>0.228701688793081</v>
      </c>
      <c r="S223">
        <v>35</v>
      </c>
      <c r="T223">
        <v>0.50893549646921799</v>
      </c>
      <c r="U223">
        <v>5.2461595685102898E-2</v>
      </c>
    </row>
    <row r="224" spans="1:21" x14ac:dyDescent="0.25">
      <c r="A224">
        <v>223</v>
      </c>
      <c r="B224">
        <v>203</v>
      </c>
      <c r="C224" t="s">
        <v>26</v>
      </c>
      <c r="D224">
        <v>23</v>
      </c>
      <c r="E224" t="s">
        <v>27</v>
      </c>
      <c r="F224" t="s">
        <v>28</v>
      </c>
      <c r="G224">
        <v>8932.2292282115995</v>
      </c>
      <c r="H224">
        <v>174217476.288367</v>
      </c>
      <c r="I224">
        <v>13190.5747234597</v>
      </c>
      <c r="J224">
        <v>89001068.275833398</v>
      </c>
      <c r="K224">
        <v>0.51152562759058795</v>
      </c>
      <c r="L224">
        <v>1.47988704432065E-2</v>
      </c>
      <c r="M224">
        <v>0.171566305079249</v>
      </c>
      <c r="N224">
        <v>2.3994620865810099E-3</v>
      </c>
      <c r="O224">
        <v>0.324526677111863</v>
      </c>
      <c r="P224">
        <v>0.219209112954631</v>
      </c>
      <c r="Q224">
        <v>0.50927531725053499</v>
      </c>
      <c r="R224">
        <v>0.249913968489655</v>
      </c>
      <c r="S224">
        <v>23</v>
      </c>
      <c r="T224">
        <v>0.46389033228427701</v>
      </c>
      <c r="U224">
        <v>4.9594913140243099E-2</v>
      </c>
    </row>
    <row r="225" spans="1:21" x14ac:dyDescent="0.25">
      <c r="A225">
        <v>224</v>
      </c>
      <c r="B225">
        <v>204</v>
      </c>
      <c r="C225" t="s">
        <v>26</v>
      </c>
      <c r="D225">
        <v>23</v>
      </c>
      <c r="E225" t="s">
        <v>27</v>
      </c>
      <c r="F225" t="s">
        <v>28</v>
      </c>
      <c r="G225">
        <v>9507.7382160414309</v>
      </c>
      <c r="H225">
        <v>148594978.482824</v>
      </c>
      <c r="I225">
        <v>11987.0296102918</v>
      </c>
      <c r="J225">
        <v>95799135.7793632</v>
      </c>
      <c r="K225">
        <v>0.52907779604821803</v>
      </c>
      <c r="L225">
        <v>1.7127875728310801E-2</v>
      </c>
      <c r="M225">
        <v>0.179071038024287</v>
      </c>
      <c r="N225">
        <v>3.2283986970345398E-3</v>
      </c>
      <c r="O225">
        <v>0.38707642156733901</v>
      </c>
      <c r="P225">
        <v>0.23724826543366201</v>
      </c>
      <c r="Q225">
        <v>0.72949031359251404</v>
      </c>
      <c r="R225">
        <v>0.19733419596735</v>
      </c>
      <c r="S225">
        <v>31</v>
      </c>
      <c r="T225">
        <v>0.48708194015788697</v>
      </c>
      <c r="U225">
        <v>5.5929020319993701E-2</v>
      </c>
    </row>
    <row r="226" spans="1:21" x14ac:dyDescent="0.25">
      <c r="A226">
        <v>225</v>
      </c>
      <c r="B226">
        <v>205</v>
      </c>
      <c r="C226" t="s">
        <v>26</v>
      </c>
      <c r="D226">
        <v>23</v>
      </c>
      <c r="E226" t="s">
        <v>27</v>
      </c>
      <c r="F226" t="s">
        <v>28</v>
      </c>
      <c r="G226">
        <v>8862.8904227890598</v>
      </c>
      <c r="H226">
        <v>151873550.04165</v>
      </c>
      <c r="I226">
        <v>12198.636159514699</v>
      </c>
      <c r="J226">
        <v>97080962.880865097</v>
      </c>
      <c r="K226">
        <v>0.52908753898799399</v>
      </c>
      <c r="L226">
        <v>1.5645344734670399E-2</v>
      </c>
      <c r="M226">
        <v>0.176104915260057</v>
      </c>
      <c r="N226">
        <v>2.98256242470779E-3</v>
      </c>
      <c r="O226">
        <v>0.355928809231771</v>
      </c>
      <c r="P226">
        <v>0.229243491990929</v>
      </c>
      <c r="Q226">
        <v>0.74717434568735697</v>
      </c>
      <c r="R226">
        <v>0.18890484283425801</v>
      </c>
      <c r="S226">
        <v>35</v>
      </c>
      <c r="T226">
        <v>0.47634890841545802</v>
      </c>
      <c r="U226">
        <v>5.35088072278911E-2</v>
      </c>
    </row>
    <row r="227" spans="1:21" x14ac:dyDescent="0.25">
      <c r="A227">
        <v>226</v>
      </c>
      <c r="B227">
        <v>206</v>
      </c>
      <c r="C227" t="s">
        <v>26</v>
      </c>
      <c r="D227">
        <v>23</v>
      </c>
      <c r="E227" t="s">
        <v>27</v>
      </c>
      <c r="F227" t="s">
        <v>28</v>
      </c>
      <c r="G227">
        <v>10082.2863140017</v>
      </c>
      <c r="H227">
        <v>203083867.62316999</v>
      </c>
      <c r="I227">
        <v>11119.8050617792</v>
      </c>
      <c r="J227">
        <v>86852058.771870106</v>
      </c>
      <c r="K227">
        <v>0.52788609089861005</v>
      </c>
      <c r="L227">
        <v>1.2345897667635801E-2</v>
      </c>
      <c r="M227">
        <v>0.14837704483015901</v>
      </c>
      <c r="N227">
        <v>3.0364650869613798E-3</v>
      </c>
      <c r="O227">
        <v>0.36417457033165501</v>
      </c>
      <c r="P227">
        <v>0.231551452654955</v>
      </c>
      <c r="Q227">
        <v>0.86847109760910901</v>
      </c>
      <c r="R227">
        <v>0.11422905022669699</v>
      </c>
      <c r="S227">
        <v>65</v>
      </c>
      <c r="T227">
        <v>0.47831814746429002</v>
      </c>
      <c r="U227">
        <v>5.1286577554905698E-2</v>
      </c>
    </row>
    <row r="228" spans="1:21" x14ac:dyDescent="0.25">
      <c r="A228">
        <v>227</v>
      </c>
      <c r="B228">
        <v>207</v>
      </c>
      <c r="C228" t="s">
        <v>26</v>
      </c>
      <c r="D228">
        <v>23</v>
      </c>
      <c r="E228" t="s">
        <v>27</v>
      </c>
      <c r="F228" t="s">
        <v>28</v>
      </c>
      <c r="G228">
        <v>10670.8618411266</v>
      </c>
      <c r="H228">
        <v>205155101.85601699</v>
      </c>
      <c r="I228">
        <v>9576.0879952064006</v>
      </c>
      <c r="J228">
        <v>90275721.118487805</v>
      </c>
      <c r="K228">
        <v>0.54450479797472495</v>
      </c>
      <c r="L228">
        <v>1.28029623475746E-2</v>
      </c>
      <c r="M228">
        <v>0.139623915284143</v>
      </c>
      <c r="N228">
        <v>2.7233090641325302E-3</v>
      </c>
      <c r="O228">
        <v>0.40005950314870797</v>
      </c>
      <c r="P228">
        <v>0.240011897089106</v>
      </c>
      <c r="Q228">
        <v>0.68743414609958997</v>
      </c>
      <c r="R228">
        <v>0.21486844087593299</v>
      </c>
      <c r="S228">
        <v>38</v>
      </c>
      <c r="T228">
        <v>0.49963899764158998</v>
      </c>
      <c r="U228">
        <v>5.2876645396599503E-2</v>
      </c>
    </row>
    <row r="229" spans="1:21" x14ac:dyDescent="0.25">
      <c r="A229">
        <v>228</v>
      </c>
      <c r="B229">
        <v>208</v>
      </c>
      <c r="C229" t="s">
        <v>26</v>
      </c>
      <c r="D229">
        <v>23</v>
      </c>
      <c r="E229" t="s">
        <v>27</v>
      </c>
      <c r="F229" t="s">
        <v>28</v>
      </c>
      <c r="G229">
        <v>15188.757543502999</v>
      </c>
      <c r="H229">
        <v>290350742.53911102</v>
      </c>
      <c r="I229">
        <v>6914.18913893632</v>
      </c>
      <c r="J229">
        <v>114609660.130218</v>
      </c>
      <c r="K229">
        <v>0.55929462348831005</v>
      </c>
      <c r="L229">
        <v>1.4885220113444401E-2</v>
      </c>
      <c r="M229">
        <v>0.14648578767118101</v>
      </c>
      <c r="N229">
        <v>3.3472552902048501E-3</v>
      </c>
      <c r="O229">
        <v>0.48808228188722103</v>
      </c>
      <c r="P229">
        <v>0.249857967995152</v>
      </c>
      <c r="Q229">
        <v>0.32247802427794098</v>
      </c>
      <c r="R229">
        <v>0.21848594813569999</v>
      </c>
      <c r="S229">
        <v>13</v>
      </c>
      <c r="T229">
        <v>0.560021437107733</v>
      </c>
      <c r="U229">
        <v>6.3600708711366999E-2</v>
      </c>
    </row>
    <row r="230" spans="1:21" x14ac:dyDescent="0.25">
      <c r="A230">
        <v>229</v>
      </c>
      <c r="B230">
        <v>209</v>
      </c>
      <c r="C230" t="s">
        <v>26</v>
      </c>
      <c r="D230">
        <v>23</v>
      </c>
      <c r="E230" t="s">
        <v>27</v>
      </c>
      <c r="F230" t="s">
        <v>28</v>
      </c>
      <c r="G230">
        <v>14336.1367675608</v>
      </c>
      <c r="H230">
        <v>282078819.05194598</v>
      </c>
      <c r="I230">
        <v>7396.08588325869</v>
      </c>
      <c r="J230">
        <v>107666100.086487</v>
      </c>
      <c r="K230">
        <v>0.54592798354364303</v>
      </c>
      <c r="L230">
        <v>1.0861822258234099E-2</v>
      </c>
      <c r="M230">
        <v>0.14363836914627401</v>
      </c>
      <c r="N230">
        <v>1.8197052486161401E-3</v>
      </c>
      <c r="O230">
        <v>0.49174254231263498</v>
      </c>
      <c r="P230">
        <v>0.249931814392712</v>
      </c>
      <c r="Q230">
        <v>0.85319169298497499</v>
      </c>
      <c r="R230">
        <v>0.125255628006433</v>
      </c>
      <c r="S230">
        <v>56</v>
      </c>
      <c r="T230">
        <v>0.55621381338869202</v>
      </c>
      <c r="U230">
        <v>4.7230941053615701E-2</v>
      </c>
    </row>
    <row r="231" spans="1:21" x14ac:dyDescent="0.25">
      <c r="A231">
        <v>230</v>
      </c>
      <c r="B231">
        <v>101</v>
      </c>
      <c r="C231" t="s">
        <v>26</v>
      </c>
      <c r="D231">
        <v>23</v>
      </c>
      <c r="E231" t="s">
        <v>27</v>
      </c>
      <c r="F231" t="s">
        <v>28</v>
      </c>
      <c r="G231">
        <v>4677.9952879268103</v>
      </c>
      <c r="H231">
        <v>67011939.514180198</v>
      </c>
      <c r="I231">
        <v>15617.907353802901</v>
      </c>
      <c r="J231">
        <v>33031405.300535399</v>
      </c>
      <c r="K231">
        <v>0.41684539780490298</v>
      </c>
      <c r="L231">
        <v>9.0758954929994907E-3</v>
      </c>
      <c r="M231">
        <v>0.10898725780825599</v>
      </c>
      <c r="N231">
        <v>9.76054360444968E-4</v>
      </c>
      <c r="O231">
        <v>0.19070740895772301</v>
      </c>
      <c r="P231">
        <v>0.15433809312615299</v>
      </c>
      <c r="Q231">
        <v>0.72599099099099096</v>
      </c>
      <c r="R231">
        <v>0.19892807199106899</v>
      </c>
      <c r="S231">
        <v>61</v>
      </c>
      <c r="T231">
        <v>0.35059320499947499</v>
      </c>
      <c r="U231">
        <v>2.9762270186815602E-2</v>
      </c>
    </row>
    <row r="232" spans="1:21" x14ac:dyDescent="0.25">
      <c r="A232">
        <v>231</v>
      </c>
      <c r="B232">
        <v>102</v>
      </c>
      <c r="C232" t="s">
        <v>26</v>
      </c>
      <c r="D232">
        <v>23</v>
      </c>
      <c r="E232" t="s">
        <v>27</v>
      </c>
      <c r="F232" t="s">
        <v>28</v>
      </c>
      <c r="G232">
        <v>7637.7372608640599</v>
      </c>
      <c r="H232">
        <v>135936502.464075</v>
      </c>
      <c r="I232">
        <v>12139.7484992067</v>
      </c>
      <c r="J232">
        <v>74193700.913730204</v>
      </c>
      <c r="K232">
        <v>0.44286670417743301</v>
      </c>
      <c r="L232">
        <v>1.6194539645201199E-2</v>
      </c>
      <c r="M232">
        <v>0.11881951838597</v>
      </c>
      <c r="N232">
        <v>2.3440856629145601E-3</v>
      </c>
      <c r="O232">
        <v>0.26968199670594201</v>
      </c>
      <c r="P232">
        <v>0.19695361735885</v>
      </c>
      <c r="Q232">
        <v>0.59674149901180795</v>
      </c>
      <c r="R232">
        <v>0.2406410823689</v>
      </c>
      <c r="S232">
        <v>18</v>
      </c>
      <c r="T232">
        <v>0.40707332568740401</v>
      </c>
      <c r="U232">
        <v>4.89895123276348E-2</v>
      </c>
    </row>
    <row r="233" spans="1:21" x14ac:dyDescent="0.25">
      <c r="A233">
        <v>232</v>
      </c>
      <c r="B233">
        <v>103</v>
      </c>
      <c r="C233" t="s">
        <v>26</v>
      </c>
      <c r="D233">
        <v>23</v>
      </c>
      <c r="E233" t="s">
        <v>27</v>
      </c>
      <c r="F233" t="s">
        <v>28</v>
      </c>
      <c r="G233">
        <v>5777.6712913681504</v>
      </c>
      <c r="H233">
        <v>123156324.106148</v>
      </c>
      <c r="I233">
        <v>14796.149139409699</v>
      </c>
      <c r="J233">
        <v>66762993.048713498</v>
      </c>
      <c r="K233">
        <v>0.40247115321738702</v>
      </c>
      <c r="L233">
        <v>1.38244705041085E-2</v>
      </c>
      <c r="M233">
        <v>0.113788377680285</v>
      </c>
      <c r="N233">
        <v>1.9106314978274599E-3</v>
      </c>
      <c r="O233">
        <v>0.18477675848293801</v>
      </c>
      <c r="P233">
        <v>0.15063430800738001</v>
      </c>
      <c r="Q233">
        <v>0.66119656483984401</v>
      </c>
      <c r="R233">
        <v>0.224015667483796</v>
      </c>
      <c r="S233">
        <v>28</v>
      </c>
      <c r="T233">
        <v>0.35176829661060099</v>
      </c>
      <c r="U233">
        <v>4.0693566654977503E-2</v>
      </c>
    </row>
    <row r="234" spans="1:21" x14ac:dyDescent="0.25">
      <c r="A234">
        <v>233</v>
      </c>
      <c r="B234">
        <v>104</v>
      </c>
      <c r="C234" t="s">
        <v>26</v>
      </c>
      <c r="D234">
        <v>23</v>
      </c>
      <c r="E234" t="s">
        <v>27</v>
      </c>
      <c r="F234" t="s">
        <v>28</v>
      </c>
      <c r="G234">
        <v>6263.2138636393001</v>
      </c>
      <c r="H234">
        <v>96934678.027938798</v>
      </c>
      <c r="I234">
        <v>14866.460718915299</v>
      </c>
      <c r="J234">
        <v>66890686.501165502</v>
      </c>
      <c r="K234">
        <v>0.41827589512945701</v>
      </c>
      <c r="L234">
        <v>1.44985400911209E-2</v>
      </c>
      <c r="M234">
        <v>0.119427489070555</v>
      </c>
      <c r="N234">
        <v>2.9881099693415901E-3</v>
      </c>
      <c r="O234">
        <v>0.228228965980941</v>
      </c>
      <c r="P234">
        <v>0.17614050506814299</v>
      </c>
      <c r="Q234">
        <v>0.68769153186702403</v>
      </c>
      <c r="R234">
        <v>0.21477188886533899</v>
      </c>
      <c r="S234">
        <v>21</v>
      </c>
      <c r="T234">
        <v>0.37715918008126798</v>
      </c>
      <c r="U234">
        <v>4.3636717941422397E-2</v>
      </c>
    </row>
    <row r="235" spans="1:21" x14ac:dyDescent="0.25">
      <c r="A235">
        <v>234</v>
      </c>
      <c r="B235">
        <v>105</v>
      </c>
      <c r="C235" t="s">
        <v>26</v>
      </c>
      <c r="D235">
        <v>23</v>
      </c>
      <c r="E235" t="s">
        <v>27</v>
      </c>
      <c r="F235" t="s">
        <v>28</v>
      </c>
      <c r="G235">
        <v>9232.8922605860007</v>
      </c>
      <c r="H235">
        <v>143719931.282509</v>
      </c>
      <c r="I235">
        <v>11731.5707543441</v>
      </c>
      <c r="J235">
        <v>87594452.073316902</v>
      </c>
      <c r="K235">
        <v>0.47919133516978002</v>
      </c>
      <c r="L235">
        <v>1.6784396863648299E-2</v>
      </c>
      <c r="M235">
        <v>0.14443674761507899</v>
      </c>
      <c r="N235">
        <v>2.97016897771214E-3</v>
      </c>
      <c r="O235">
        <v>0.34738990814269</v>
      </c>
      <c r="P235">
        <v>0.22671015986328899</v>
      </c>
      <c r="Q235">
        <v>0.82581311691706405</v>
      </c>
      <c r="R235">
        <v>0.14384581284478701</v>
      </c>
      <c r="S235">
        <v>39</v>
      </c>
      <c r="T235">
        <v>0.46454774602892102</v>
      </c>
      <c r="U235">
        <v>5.3954535308591497E-2</v>
      </c>
    </row>
    <row r="236" spans="1:21" x14ac:dyDescent="0.25">
      <c r="A236">
        <v>235</v>
      </c>
      <c r="B236">
        <v>106</v>
      </c>
      <c r="C236" t="s">
        <v>26</v>
      </c>
      <c r="D236">
        <v>23</v>
      </c>
      <c r="E236" t="s">
        <v>27</v>
      </c>
      <c r="F236" t="s">
        <v>28</v>
      </c>
      <c r="G236">
        <v>7432.4123718738401</v>
      </c>
      <c r="H236">
        <v>127133664.90866099</v>
      </c>
      <c r="I236">
        <v>12675.182523064101</v>
      </c>
      <c r="J236">
        <v>67834009.088803202</v>
      </c>
      <c r="K236">
        <v>0.48598545657048398</v>
      </c>
      <c r="L236">
        <v>1.2654371769509801E-2</v>
      </c>
      <c r="M236">
        <v>0.15750851645746</v>
      </c>
      <c r="N236">
        <v>2.13582062176406E-3</v>
      </c>
      <c r="O236">
        <v>0.27138226745924499</v>
      </c>
      <c r="P236">
        <v>0.19773393236811099</v>
      </c>
      <c r="Q236">
        <v>0.73295141961872401</v>
      </c>
      <c r="R236">
        <v>0.195733636097671</v>
      </c>
      <c r="S236">
        <v>34</v>
      </c>
      <c r="T236">
        <v>0.43701384190847098</v>
      </c>
      <c r="U236">
        <v>4.19169443260273E-2</v>
      </c>
    </row>
    <row r="237" spans="1:21" x14ac:dyDescent="0.25">
      <c r="A237">
        <v>236</v>
      </c>
      <c r="B237">
        <v>107</v>
      </c>
      <c r="C237" t="s">
        <v>26</v>
      </c>
      <c r="D237">
        <v>23</v>
      </c>
      <c r="E237" t="s">
        <v>27</v>
      </c>
      <c r="F237" t="s">
        <v>28</v>
      </c>
      <c r="G237">
        <v>7959.96874925252</v>
      </c>
      <c r="H237">
        <v>160666594.51508799</v>
      </c>
      <c r="I237">
        <v>11828.2190292126</v>
      </c>
      <c r="J237">
        <v>70421049.738454804</v>
      </c>
      <c r="K237">
        <v>0.51204125640128995</v>
      </c>
      <c r="L237">
        <v>1.14169209114117E-2</v>
      </c>
      <c r="M237">
        <v>0.174887966242668</v>
      </c>
      <c r="N237">
        <v>1.6296151854315599E-3</v>
      </c>
      <c r="O237">
        <v>0.29194871672208</v>
      </c>
      <c r="P237">
        <v>0.206714663526605</v>
      </c>
      <c r="Q237">
        <v>0.75026909369244399</v>
      </c>
      <c r="R237">
        <v>0.18736538074244699</v>
      </c>
      <c r="S237">
        <v>36</v>
      </c>
      <c r="T237">
        <v>0.44525184118290001</v>
      </c>
      <c r="U237">
        <v>4.3849273495401297E-2</v>
      </c>
    </row>
    <row r="238" spans="1:21" x14ac:dyDescent="0.25">
      <c r="A238">
        <v>237</v>
      </c>
      <c r="B238">
        <v>108</v>
      </c>
      <c r="C238" t="s">
        <v>26</v>
      </c>
      <c r="D238">
        <v>23</v>
      </c>
      <c r="E238" t="s">
        <v>27</v>
      </c>
      <c r="F238" t="s">
        <v>28</v>
      </c>
      <c r="G238">
        <v>11491.039347007099</v>
      </c>
      <c r="H238">
        <v>245346173.70694801</v>
      </c>
      <c r="I238">
        <v>9950.3346791690201</v>
      </c>
      <c r="J238">
        <v>110761929.790336</v>
      </c>
      <c r="K238">
        <v>0.53854524914883894</v>
      </c>
      <c r="L238">
        <v>1.41283365635892E-2</v>
      </c>
      <c r="M238">
        <v>0.168259699386162</v>
      </c>
      <c r="N238">
        <v>1.8831369764889E-3</v>
      </c>
      <c r="O238">
        <v>0.382610775578545</v>
      </c>
      <c r="P238">
        <v>0.236219769989683</v>
      </c>
      <c r="Q238">
        <v>0.40878863266672999</v>
      </c>
      <c r="R238">
        <v>0.24168048646892801</v>
      </c>
      <c r="S238">
        <v>12</v>
      </c>
      <c r="T238">
        <v>0.49782408681826101</v>
      </c>
      <c r="U238">
        <v>5.9124417836049402E-2</v>
      </c>
    </row>
    <row r="239" spans="1:21" x14ac:dyDescent="0.25">
      <c r="A239">
        <v>238</v>
      </c>
      <c r="B239">
        <v>109</v>
      </c>
      <c r="C239" t="s">
        <v>26</v>
      </c>
      <c r="D239">
        <v>23</v>
      </c>
      <c r="E239" t="s">
        <v>27</v>
      </c>
      <c r="F239" t="s">
        <v>28</v>
      </c>
      <c r="G239">
        <v>7888.4027541973201</v>
      </c>
      <c r="H239">
        <v>165097524.98832601</v>
      </c>
      <c r="I239">
        <v>11458.0759415711</v>
      </c>
      <c r="J239">
        <v>79596798.086468205</v>
      </c>
      <c r="K239">
        <v>0.50776785146546899</v>
      </c>
      <c r="L239">
        <v>1.0912010524696701E-2</v>
      </c>
      <c r="M239">
        <v>0.141327644737785</v>
      </c>
      <c r="N239">
        <v>2.7190119978893002E-3</v>
      </c>
      <c r="O239">
        <v>0.296497516191914</v>
      </c>
      <c r="P239">
        <v>0.20858673908427799</v>
      </c>
      <c r="Q239">
        <v>0.764307096319775</v>
      </c>
      <c r="R239">
        <v>0.180141758835211</v>
      </c>
      <c r="S239">
        <v>35</v>
      </c>
      <c r="T239">
        <v>0.44873637700653601</v>
      </c>
      <c r="U239">
        <v>4.36505155151772E-2</v>
      </c>
    </row>
    <row r="240" spans="1:21" x14ac:dyDescent="0.25">
      <c r="A240">
        <v>239</v>
      </c>
      <c r="B240">
        <v>55555</v>
      </c>
      <c r="C240" t="s">
        <v>26</v>
      </c>
      <c r="D240">
        <v>23</v>
      </c>
      <c r="E240" t="s">
        <v>27</v>
      </c>
      <c r="F240" t="s">
        <v>28</v>
      </c>
      <c r="G240">
        <v>1295.0128205128201</v>
      </c>
      <c r="H240">
        <v>6463991.9140806496</v>
      </c>
      <c r="I240">
        <v>15340.3338503791</v>
      </c>
      <c r="J240">
        <v>51808408.511524998</v>
      </c>
      <c r="K240">
        <v>0.34887974624153201</v>
      </c>
      <c r="L240">
        <v>2.6641065434846099E-2</v>
      </c>
      <c r="M240">
        <v>0.110800909693755</v>
      </c>
      <c r="N240">
        <v>4.4403410986629897E-3</v>
      </c>
      <c r="O240">
        <v>7.2934472934472902E-2</v>
      </c>
      <c r="P240">
        <v>6.7615035592243106E-2</v>
      </c>
      <c r="Q240">
        <v>0</v>
      </c>
      <c r="R240">
        <v>0</v>
      </c>
      <c r="S240">
        <v>0</v>
      </c>
      <c r="T240">
        <v>0.26944896118682898</v>
      </c>
      <c r="U240">
        <v>3.2830636004829702E-2</v>
      </c>
    </row>
    <row r="241" spans="1:21" x14ac:dyDescent="0.25">
      <c r="A241">
        <v>240</v>
      </c>
      <c r="B241">
        <v>66666</v>
      </c>
      <c r="C241" t="s">
        <v>26</v>
      </c>
      <c r="D241">
        <v>23</v>
      </c>
      <c r="E241" t="s">
        <v>27</v>
      </c>
      <c r="F241" t="s">
        <v>28</v>
      </c>
      <c r="G241">
        <v>277.57790209790198</v>
      </c>
      <c r="H241">
        <v>2627612.0984767298</v>
      </c>
      <c r="I241">
        <v>16652.961172515199</v>
      </c>
      <c r="J241">
        <v>41653263.928762399</v>
      </c>
      <c r="K241">
        <v>0.27680381492912298</v>
      </c>
      <c r="L241">
        <v>2.9614311757895698E-2</v>
      </c>
      <c r="M241">
        <v>7.8895962591819496E-2</v>
      </c>
      <c r="N241">
        <v>7.3920702349524704E-3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0.18578406283068</v>
      </c>
      <c r="U241">
        <v>1.8751956171852002E-2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8498-9071-40F2-A166-548E526AAB7D}">
  <dimension ref="A1:U241"/>
  <sheetViews>
    <sheetView workbookViewId="0">
      <selection sqref="A1:U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93</v>
      </c>
      <c r="T1" t="s">
        <v>94</v>
      </c>
      <c r="U1" t="s">
        <v>95</v>
      </c>
    </row>
    <row r="2" spans="1:21" x14ac:dyDescent="0.25">
      <c r="A2">
        <v>1</v>
      </c>
      <c r="B2">
        <v>101</v>
      </c>
      <c r="C2" t="s">
        <v>20</v>
      </c>
      <c r="D2">
        <v>30</v>
      </c>
      <c r="E2" t="s">
        <v>21</v>
      </c>
      <c r="F2" t="s">
        <v>22</v>
      </c>
      <c r="G2">
        <v>14080.1027615984</v>
      </c>
      <c r="H2">
        <v>155340077.417602</v>
      </c>
      <c r="I2">
        <v>6695.8811027319998</v>
      </c>
      <c r="J2">
        <v>82268524.862058297</v>
      </c>
      <c r="K2">
        <v>0.174533901977419</v>
      </c>
      <c r="L2">
        <v>3.0927930607544198E-2</v>
      </c>
      <c r="M2">
        <v>-2.9440246042030601E-2</v>
      </c>
      <c r="N2">
        <v>1.8020865973801001E-3</v>
      </c>
      <c r="O2">
        <v>0.47798734616258598</v>
      </c>
      <c r="P2">
        <v>0.24951544307099799</v>
      </c>
      <c r="Q2">
        <v>0.861590164326548</v>
      </c>
      <c r="R2">
        <v>0.119252553062567</v>
      </c>
      <c r="S2">
        <v>0.44310312050427803</v>
      </c>
      <c r="T2">
        <v>8.1810311871949606E-2</v>
      </c>
      <c r="U2">
        <v>44</v>
      </c>
    </row>
    <row r="3" spans="1:21" x14ac:dyDescent="0.25">
      <c r="A3">
        <v>2</v>
      </c>
      <c r="B3">
        <v>102</v>
      </c>
      <c r="C3" t="s">
        <v>20</v>
      </c>
      <c r="D3">
        <v>30</v>
      </c>
      <c r="E3" t="s">
        <v>21</v>
      </c>
      <c r="F3" t="s">
        <v>22</v>
      </c>
      <c r="G3">
        <v>12007.0765238397</v>
      </c>
      <c r="H3">
        <v>168169890.787642</v>
      </c>
      <c r="I3">
        <v>9752.58583747784</v>
      </c>
      <c r="J3">
        <v>86762604.081110403</v>
      </c>
      <c r="K3">
        <v>0.119420943962014</v>
      </c>
      <c r="L3">
        <v>3.1363637542321798E-2</v>
      </c>
      <c r="M3">
        <v>-3.5491387407844098E-2</v>
      </c>
      <c r="N3">
        <v>1.87961542849121E-3</v>
      </c>
      <c r="O3">
        <v>0.39365709570562402</v>
      </c>
      <c r="P3">
        <v>0.23869118670609801</v>
      </c>
      <c r="Q3">
        <v>0.76461794218602397</v>
      </c>
      <c r="R3">
        <v>0.17997734467339199</v>
      </c>
      <c r="S3">
        <v>0.368481154200895</v>
      </c>
      <c r="T3">
        <v>8.5904597889652698E-2</v>
      </c>
      <c r="U3">
        <v>25</v>
      </c>
    </row>
    <row r="4" spans="1:21" x14ac:dyDescent="0.25">
      <c r="A4">
        <v>3</v>
      </c>
      <c r="B4">
        <v>103</v>
      </c>
      <c r="C4" t="s">
        <v>20</v>
      </c>
      <c r="D4">
        <v>30</v>
      </c>
      <c r="E4" t="s">
        <v>21</v>
      </c>
      <c r="F4" t="s">
        <v>22</v>
      </c>
      <c r="G4">
        <v>13362.194661134199</v>
      </c>
      <c r="H4">
        <v>191953444.991124</v>
      </c>
      <c r="I4">
        <v>8844.4777708836009</v>
      </c>
      <c r="J4">
        <v>87585168.668763399</v>
      </c>
      <c r="K4">
        <v>0.13114312705514999</v>
      </c>
      <c r="L4">
        <v>2.6129457757092599E-2</v>
      </c>
      <c r="M4">
        <v>-3.1232622573413499E-2</v>
      </c>
      <c r="N4">
        <v>1.74421970048194E-3</v>
      </c>
      <c r="O4">
        <v>0.42215767634854801</v>
      </c>
      <c r="P4">
        <v>0.24394057264836899</v>
      </c>
      <c r="Q4">
        <v>0.70976574383936697</v>
      </c>
      <c r="R4">
        <v>0.205998332711296</v>
      </c>
      <c r="S4">
        <v>0.39429276350641101</v>
      </c>
      <c r="T4">
        <v>7.9617255114493996E-2</v>
      </c>
      <c r="U4">
        <v>20</v>
      </c>
    </row>
    <row r="5" spans="1:21" x14ac:dyDescent="0.25">
      <c r="A5">
        <v>4</v>
      </c>
      <c r="B5">
        <v>104</v>
      </c>
      <c r="C5" t="s">
        <v>20</v>
      </c>
      <c r="D5">
        <v>30</v>
      </c>
      <c r="E5" t="s">
        <v>21</v>
      </c>
      <c r="F5" t="s">
        <v>22</v>
      </c>
      <c r="G5">
        <v>14377.542386175801</v>
      </c>
      <c r="H5">
        <v>182713381.993274</v>
      </c>
      <c r="I5">
        <v>7378.1391498174498</v>
      </c>
      <c r="J5">
        <v>86929541.862550303</v>
      </c>
      <c r="K5">
        <v>0.15197530683860699</v>
      </c>
      <c r="L5">
        <v>3.3008439176236602E-2</v>
      </c>
      <c r="M5">
        <v>-3.0325308480116098E-2</v>
      </c>
      <c r="N5">
        <v>1.9858162734824399E-3</v>
      </c>
      <c r="O5">
        <v>0.47314436037601498</v>
      </c>
      <c r="P5">
        <v>0.24927877462043699</v>
      </c>
      <c r="Q5">
        <v>0.55731039308897001</v>
      </c>
      <c r="R5">
        <v>0.24671551884382101</v>
      </c>
      <c r="S5">
        <v>0.418106931395129</v>
      </c>
      <c r="T5">
        <v>9.1385641100266604E-2</v>
      </c>
      <c r="U5">
        <v>19</v>
      </c>
    </row>
    <row r="6" spans="1:21" x14ac:dyDescent="0.25">
      <c r="A6">
        <v>5</v>
      </c>
      <c r="B6">
        <v>105</v>
      </c>
      <c r="C6" t="s">
        <v>20</v>
      </c>
      <c r="D6">
        <v>30</v>
      </c>
      <c r="E6" t="s">
        <v>21</v>
      </c>
      <c r="F6" t="s">
        <v>22</v>
      </c>
      <c r="G6">
        <v>16661.516011837099</v>
      </c>
      <c r="H6">
        <v>206792042.37641299</v>
      </c>
      <c r="I6">
        <v>5826.0035752765898</v>
      </c>
      <c r="J6">
        <v>67051797.2333728</v>
      </c>
      <c r="K6">
        <v>0.169617765320207</v>
      </c>
      <c r="L6">
        <v>2.25967456755631E-2</v>
      </c>
      <c r="M6">
        <v>-2.74684482360712E-2</v>
      </c>
      <c r="N6">
        <v>1.89384379860222E-3</v>
      </c>
      <c r="O6">
        <v>0.51817845535973805</v>
      </c>
      <c r="P6">
        <v>0.249669543760623</v>
      </c>
      <c r="Q6">
        <v>0.58465339340212197</v>
      </c>
      <c r="R6">
        <v>0.242833802985361</v>
      </c>
      <c r="S6">
        <v>0.45436806663326501</v>
      </c>
      <c r="T6">
        <v>7.2561083209387006E-2</v>
      </c>
      <c r="U6">
        <v>18</v>
      </c>
    </row>
    <row r="7" spans="1:21" x14ac:dyDescent="0.25">
      <c r="A7">
        <v>6</v>
      </c>
      <c r="B7">
        <v>106</v>
      </c>
      <c r="C7" t="s">
        <v>20</v>
      </c>
      <c r="D7">
        <v>30</v>
      </c>
      <c r="E7" t="s">
        <v>21</v>
      </c>
      <c r="F7" t="s">
        <v>22</v>
      </c>
      <c r="G7">
        <v>14035.7354642754</v>
      </c>
      <c r="H7">
        <v>172412922.35273501</v>
      </c>
      <c r="I7">
        <v>7351.2892632216199</v>
      </c>
      <c r="J7">
        <v>88068191.288241193</v>
      </c>
      <c r="K7">
        <v>0.158457040784244</v>
      </c>
      <c r="L7">
        <v>2.9364759608696299E-2</v>
      </c>
      <c r="M7">
        <v>-2.8403257541830301E-2</v>
      </c>
      <c r="N7">
        <v>1.88356832530607E-3</v>
      </c>
      <c r="O7">
        <v>0.45248113182738597</v>
      </c>
      <c r="P7">
        <v>0.247741957167564</v>
      </c>
      <c r="Q7">
        <v>0.66691651215695602</v>
      </c>
      <c r="R7">
        <v>0.222138877969527</v>
      </c>
      <c r="S7">
        <v>0.41647561215318601</v>
      </c>
      <c r="T7">
        <v>8.30129592684168E-2</v>
      </c>
      <c r="U7">
        <v>24</v>
      </c>
    </row>
    <row r="8" spans="1:21" x14ac:dyDescent="0.25">
      <c r="A8">
        <v>7</v>
      </c>
      <c r="B8">
        <v>107</v>
      </c>
      <c r="C8" t="s">
        <v>20</v>
      </c>
      <c r="D8">
        <v>30</v>
      </c>
      <c r="E8" t="s">
        <v>21</v>
      </c>
      <c r="F8" t="s">
        <v>22</v>
      </c>
      <c r="G8">
        <v>16154.725996228</v>
      </c>
      <c r="H8">
        <v>173296470.83123001</v>
      </c>
      <c r="I8">
        <v>5173.77482775525</v>
      </c>
      <c r="J8">
        <v>75805266.382724807</v>
      </c>
      <c r="K8">
        <v>0.21094569264922</v>
      </c>
      <c r="L8">
        <v>2.7805847253860799E-2</v>
      </c>
      <c r="M8">
        <v>-1.3740552857776599E-2</v>
      </c>
      <c r="N8">
        <v>1.9364838004200899E-3</v>
      </c>
      <c r="O8">
        <v>0.53740950295066003</v>
      </c>
      <c r="P8">
        <v>0.24860052908904601</v>
      </c>
      <c r="Q8">
        <v>0.82586689378269895</v>
      </c>
      <c r="R8">
        <v>0.14381076753600699</v>
      </c>
      <c r="S8">
        <v>0.49100318237407597</v>
      </c>
      <c r="T8">
        <v>7.4196925011283499E-2</v>
      </c>
      <c r="U8">
        <v>41</v>
      </c>
    </row>
    <row r="9" spans="1:21" x14ac:dyDescent="0.25">
      <c r="A9">
        <v>8</v>
      </c>
      <c r="B9">
        <v>108</v>
      </c>
      <c r="C9" t="s">
        <v>20</v>
      </c>
      <c r="D9">
        <v>30</v>
      </c>
      <c r="E9" t="s">
        <v>21</v>
      </c>
      <c r="F9" t="s">
        <v>22</v>
      </c>
      <c r="G9">
        <v>17553.464102472099</v>
      </c>
      <c r="H9">
        <v>182888390.25631899</v>
      </c>
      <c r="I9">
        <v>4706.4170552640899</v>
      </c>
      <c r="J9">
        <v>80935378.892867893</v>
      </c>
      <c r="K9">
        <v>0.23225531488568801</v>
      </c>
      <c r="L9">
        <v>2.8099424235107799E-2</v>
      </c>
      <c r="M9">
        <v>-9.0537771568858696E-3</v>
      </c>
      <c r="N9">
        <v>1.88593831357651E-3</v>
      </c>
      <c r="O9">
        <v>0.57974238455742499</v>
      </c>
      <c r="P9">
        <v>0.24364115210515599</v>
      </c>
      <c r="Q9">
        <v>0.519272396761424</v>
      </c>
      <c r="R9">
        <v>0.24962857472304101</v>
      </c>
      <c r="S9">
        <v>0.52622037564051305</v>
      </c>
      <c r="T9">
        <v>7.3420659237853306E-2</v>
      </c>
      <c r="U9">
        <v>23</v>
      </c>
    </row>
    <row r="10" spans="1:21" x14ac:dyDescent="0.25">
      <c r="A10">
        <v>9</v>
      </c>
      <c r="B10">
        <v>109</v>
      </c>
      <c r="C10" t="s">
        <v>20</v>
      </c>
      <c r="D10">
        <v>30</v>
      </c>
      <c r="E10" t="s">
        <v>21</v>
      </c>
      <c r="F10" t="s">
        <v>22</v>
      </c>
      <c r="G10">
        <v>11069.6751743192</v>
      </c>
      <c r="H10">
        <v>149314815.97779</v>
      </c>
      <c r="I10">
        <v>10227.5943626681</v>
      </c>
      <c r="J10">
        <v>84015117.730847403</v>
      </c>
      <c r="K10">
        <v>0.13729395016227799</v>
      </c>
      <c r="L10">
        <v>2.9669973878528301E-2</v>
      </c>
      <c r="M10">
        <v>-3.09981230289289E-2</v>
      </c>
      <c r="N10">
        <v>2.0150959369663198E-3</v>
      </c>
      <c r="O10">
        <v>0.34966690985635901</v>
      </c>
      <c r="P10">
        <v>0.22739996200764001</v>
      </c>
      <c r="Q10">
        <v>0.69508694716195896</v>
      </c>
      <c r="R10">
        <v>0.21194108304686901</v>
      </c>
      <c r="S10">
        <v>0.372982982894764</v>
      </c>
      <c r="T10">
        <v>7.6103087925353502E-2</v>
      </c>
      <c r="U10">
        <v>40</v>
      </c>
    </row>
    <row r="11" spans="1:21" x14ac:dyDescent="0.25">
      <c r="A11">
        <v>10</v>
      </c>
      <c r="B11">
        <v>110</v>
      </c>
      <c r="C11" t="s">
        <v>20</v>
      </c>
      <c r="D11">
        <v>30</v>
      </c>
      <c r="E11" t="s">
        <v>21</v>
      </c>
      <c r="F11" t="s">
        <v>22</v>
      </c>
      <c r="G11">
        <v>13931.950534007899</v>
      </c>
      <c r="H11">
        <v>179325848.081893</v>
      </c>
      <c r="I11">
        <v>6036.522607246</v>
      </c>
      <c r="J11">
        <v>72783308.894424304</v>
      </c>
      <c r="K11">
        <v>0.208450657666505</v>
      </c>
      <c r="L11">
        <v>2.5970352273916999E-2</v>
      </c>
      <c r="M11">
        <v>-8.7464002228749508E-3</v>
      </c>
      <c r="N11">
        <v>2.03549887519175E-3</v>
      </c>
      <c r="O11">
        <v>0.47515338523913703</v>
      </c>
      <c r="P11">
        <v>0.24938264573473701</v>
      </c>
      <c r="Q11">
        <v>0.32442711572501598</v>
      </c>
      <c r="R11">
        <v>0.219174162307265</v>
      </c>
      <c r="S11">
        <v>0.46937636107407898</v>
      </c>
      <c r="T11">
        <v>7.2348430005609601E-2</v>
      </c>
      <c r="U11">
        <v>11</v>
      </c>
    </row>
    <row r="12" spans="1:21" x14ac:dyDescent="0.25">
      <c r="A12">
        <v>11</v>
      </c>
      <c r="B12">
        <v>201</v>
      </c>
      <c r="C12" t="s">
        <v>20</v>
      </c>
      <c r="D12">
        <v>30</v>
      </c>
      <c r="E12" t="s">
        <v>21</v>
      </c>
      <c r="F12" t="s">
        <v>22</v>
      </c>
      <c r="G12">
        <v>13045.239112151199</v>
      </c>
      <c r="H12">
        <v>156730029.26910099</v>
      </c>
      <c r="I12">
        <v>8103.0247679602498</v>
      </c>
      <c r="J12">
        <v>85041319.169520304</v>
      </c>
      <c r="K12">
        <v>0.112148593155126</v>
      </c>
      <c r="L12">
        <v>3.2876629008828699E-2</v>
      </c>
      <c r="M12">
        <v>-4.5431571691468497E-2</v>
      </c>
      <c r="N12">
        <v>1.5220109458511E-3</v>
      </c>
      <c r="O12">
        <v>0.42544581367852702</v>
      </c>
      <c r="P12">
        <v>0.244441673302217</v>
      </c>
      <c r="Q12">
        <v>0.84863626392375802</v>
      </c>
      <c r="R12">
        <v>0.12845275547717999</v>
      </c>
      <c r="S12">
        <v>0.36628876181319298</v>
      </c>
      <c r="T12">
        <v>9.1638626384372701E-2</v>
      </c>
      <c r="U12">
        <v>53</v>
      </c>
    </row>
    <row r="13" spans="1:21" x14ac:dyDescent="0.25">
      <c r="A13">
        <v>12</v>
      </c>
      <c r="B13">
        <v>202</v>
      </c>
      <c r="C13" t="s">
        <v>20</v>
      </c>
      <c r="D13">
        <v>30</v>
      </c>
      <c r="E13" t="s">
        <v>21</v>
      </c>
      <c r="F13" t="s">
        <v>22</v>
      </c>
      <c r="G13">
        <v>9089.4045637198597</v>
      </c>
      <c r="H13">
        <v>96909413.524474099</v>
      </c>
      <c r="I13">
        <v>9611.2096998362395</v>
      </c>
      <c r="J13">
        <v>86203122.154170394</v>
      </c>
      <c r="K13">
        <v>0.103918091230095</v>
      </c>
      <c r="L13">
        <v>4.4775901691958102E-2</v>
      </c>
      <c r="M13">
        <v>-3.4928895818562899E-2</v>
      </c>
      <c r="N13">
        <v>2.1538456718031402E-3</v>
      </c>
      <c r="O13">
        <v>0.372189533103712</v>
      </c>
      <c r="P13">
        <v>0.23366448455192099</v>
      </c>
      <c r="Q13">
        <v>0.73887201320289897</v>
      </c>
      <c r="R13">
        <v>0.19294016130868599</v>
      </c>
      <c r="S13">
        <v>0.31875177204119698</v>
      </c>
      <c r="T13">
        <v>0.102530838010698</v>
      </c>
      <c r="U13">
        <v>38</v>
      </c>
    </row>
    <row r="14" spans="1:21" x14ac:dyDescent="0.25">
      <c r="A14">
        <v>13</v>
      </c>
      <c r="B14">
        <v>203</v>
      </c>
      <c r="C14" t="s">
        <v>20</v>
      </c>
      <c r="D14">
        <v>30</v>
      </c>
      <c r="E14" t="s">
        <v>21</v>
      </c>
      <c r="F14" t="s">
        <v>22</v>
      </c>
      <c r="G14">
        <v>8259.6872137107894</v>
      </c>
      <c r="H14">
        <v>80134989.940400302</v>
      </c>
      <c r="I14">
        <v>9092.0306567095304</v>
      </c>
      <c r="J14">
        <v>81808228.957936794</v>
      </c>
      <c r="K14">
        <v>0.12262750802964199</v>
      </c>
      <c r="L14">
        <v>4.5441977431368401E-2</v>
      </c>
      <c r="M14">
        <v>-2.5118706934599E-2</v>
      </c>
      <c r="N14">
        <v>2.1083134031181501E-3</v>
      </c>
      <c r="O14">
        <v>0.36523028715630301</v>
      </c>
      <c r="P14">
        <v>0.231837124499957</v>
      </c>
      <c r="Q14">
        <v>0.72941908167781</v>
      </c>
      <c r="R14">
        <v>0.19736688496214899</v>
      </c>
      <c r="S14">
        <v>0.32431294279015699</v>
      </c>
      <c r="T14">
        <v>9.8941985849245198E-2</v>
      </c>
      <c r="U14">
        <v>33</v>
      </c>
    </row>
    <row r="15" spans="1:21" x14ac:dyDescent="0.25">
      <c r="A15">
        <v>14</v>
      </c>
      <c r="B15">
        <v>204</v>
      </c>
      <c r="C15" t="s">
        <v>20</v>
      </c>
      <c r="D15">
        <v>30</v>
      </c>
      <c r="E15" t="s">
        <v>21</v>
      </c>
      <c r="F15" t="s">
        <v>22</v>
      </c>
      <c r="G15">
        <v>7308.7499013287697</v>
      </c>
      <c r="H15">
        <v>88302913.313429698</v>
      </c>
      <c r="I15">
        <v>12097.644295226501</v>
      </c>
      <c r="J15">
        <v>72527642.204788893</v>
      </c>
      <c r="K15">
        <v>2.0156296586803599E-2</v>
      </c>
      <c r="L15">
        <v>3.4848805466936E-2</v>
      </c>
      <c r="M15">
        <v>-6.0482907471216901E-2</v>
      </c>
      <c r="N15">
        <v>1.8915931907785501E-3</v>
      </c>
      <c r="O15">
        <v>0.26303955221203001</v>
      </c>
      <c r="P15">
        <v>0.19384974618446299</v>
      </c>
      <c r="Q15">
        <v>0.92461788695672997</v>
      </c>
      <c r="R15">
        <v>6.9699650076420594E-2</v>
      </c>
      <c r="S15">
        <v>0.202323397011553</v>
      </c>
      <c r="T15">
        <v>9.3936297667297497E-2</v>
      </c>
      <c r="U15">
        <v>63</v>
      </c>
    </row>
    <row r="16" spans="1:21" x14ac:dyDescent="0.25">
      <c r="A16">
        <v>15</v>
      </c>
      <c r="B16">
        <v>205</v>
      </c>
      <c r="C16" t="s">
        <v>20</v>
      </c>
      <c r="D16">
        <v>30</v>
      </c>
      <c r="E16" t="s">
        <v>21</v>
      </c>
      <c r="F16" t="s">
        <v>22</v>
      </c>
      <c r="G16">
        <v>8966.0999875467005</v>
      </c>
      <c r="H16">
        <v>116180769.04807299</v>
      </c>
      <c r="I16">
        <v>10512.423370206699</v>
      </c>
      <c r="J16">
        <v>69209342.587951794</v>
      </c>
      <c r="K16">
        <v>4.7025447121073802E-2</v>
      </c>
      <c r="L16">
        <v>2.9754646503782199E-2</v>
      </c>
      <c r="M16">
        <v>-5.4894976459824399E-2</v>
      </c>
      <c r="N16">
        <v>1.83151525333279E-3</v>
      </c>
      <c r="O16">
        <v>0.29514321295143198</v>
      </c>
      <c r="P16">
        <v>0.208033696800136</v>
      </c>
      <c r="Q16">
        <v>0.80010460511568804</v>
      </c>
      <c r="R16">
        <v>0.15993722598855201</v>
      </c>
      <c r="S16">
        <v>0.238411802185617</v>
      </c>
      <c r="T16">
        <v>9.1293155922791497E-2</v>
      </c>
      <c r="U16">
        <v>90</v>
      </c>
    </row>
    <row r="17" spans="1:21" x14ac:dyDescent="0.25">
      <c r="A17">
        <v>16</v>
      </c>
      <c r="B17">
        <v>206</v>
      </c>
      <c r="C17" t="s">
        <v>20</v>
      </c>
      <c r="D17">
        <v>30</v>
      </c>
      <c r="E17" t="s">
        <v>21</v>
      </c>
      <c r="F17" t="s">
        <v>22</v>
      </c>
      <c r="G17">
        <v>7815.1452064297</v>
      </c>
      <c r="H17">
        <v>77408101.703295797</v>
      </c>
      <c r="I17">
        <v>9555.7484349507395</v>
      </c>
      <c r="J17">
        <v>80136620.706032604</v>
      </c>
      <c r="K17">
        <v>0.114676377937937</v>
      </c>
      <c r="L17">
        <v>4.4736217374546298E-2</v>
      </c>
      <c r="M17">
        <v>-3.2488442286366798E-2</v>
      </c>
      <c r="N17">
        <v>2.2733595190717799E-3</v>
      </c>
      <c r="O17">
        <v>0.346194326173277</v>
      </c>
      <c r="P17">
        <v>0.226343814698859</v>
      </c>
      <c r="Q17">
        <v>0.72191125463461303</v>
      </c>
      <c r="R17">
        <v>0.20075539506621201</v>
      </c>
      <c r="S17">
        <v>0.29729951254605302</v>
      </c>
      <c r="T17">
        <v>0.107223030907638</v>
      </c>
      <c r="U17">
        <v>28</v>
      </c>
    </row>
    <row r="18" spans="1:21" x14ac:dyDescent="0.25">
      <c r="A18">
        <v>17</v>
      </c>
      <c r="B18">
        <v>207</v>
      </c>
      <c r="C18" t="s">
        <v>20</v>
      </c>
      <c r="D18">
        <v>30</v>
      </c>
      <c r="E18" t="s">
        <v>21</v>
      </c>
      <c r="F18" t="s">
        <v>22</v>
      </c>
      <c r="G18">
        <v>8485.1165612348195</v>
      </c>
      <c r="H18">
        <v>89060703.278557107</v>
      </c>
      <c r="I18">
        <v>9970.3453713618201</v>
      </c>
      <c r="J18">
        <v>76740161.781782597</v>
      </c>
      <c r="K18">
        <v>9.1839819025344105E-2</v>
      </c>
      <c r="L18">
        <v>3.9394839850440899E-2</v>
      </c>
      <c r="M18">
        <v>-4.0803710021556201E-2</v>
      </c>
      <c r="N18">
        <v>2.1955945919077801E-3</v>
      </c>
      <c r="O18">
        <v>0.33775303643724702</v>
      </c>
      <c r="P18">
        <v>0.22367592281485599</v>
      </c>
      <c r="Q18">
        <v>0.85725672786163398</v>
      </c>
      <c r="R18">
        <v>0.122367630397501</v>
      </c>
      <c r="S18">
        <v>0.285399521119995</v>
      </c>
      <c r="T18">
        <v>9.4459995192745297E-2</v>
      </c>
      <c r="U18">
        <v>38</v>
      </c>
    </row>
    <row r="19" spans="1:21" x14ac:dyDescent="0.25">
      <c r="A19">
        <v>18</v>
      </c>
      <c r="B19">
        <v>208</v>
      </c>
      <c r="C19" t="s">
        <v>20</v>
      </c>
      <c r="D19">
        <v>30</v>
      </c>
      <c r="E19" t="s">
        <v>21</v>
      </c>
      <c r="F19" t="s">
        <v>22</v>
      </c>
      <c r="G19">
        <v>7889.5590451359803</v>
      </c>
      <c r="H19">
        <v>86293589.071494803</v>
      </c>
      <c r="I19">
        <v>11212.5855212237</v>
      </c>
      <c r="J19">
        <v>84128190.463532507</v>
      </c>
      <c r="K19">
        <v>8.5967167698887598E-2</v>
      </c>
      <c r="L19">
        <v>3.90107741054447E-2</v>
      </c>
      <c r="M19">
        <v>-4.0541664875489901E-2</v>
      </c>
      <c r="N19">
        <v>2.02803334749039E-3</v>
      </c>
      <c r="O19">
        <v>0.31167029444829802</v>
      </c>
      <c r="P19">
        <v>0.21453192200686999</v>
      </c>
      <c r="Q19">
        <v>0.67151006350231401</v>
      </c>
      <c r="R19">
        <v>0.22058429811737701</v>
      </c>
      <c r="S19">
        <v>0.27724887460221898</v>
      </c>
      <c r="T19">
        <v>9.3522107735467902E-2</v>
      </c>
      <c r="U19">
        <v>23</v>
      </c>
    </row>
    <row r="20" spans="1:21" x14ac:dyDescent="0.25">
      <c r="A20">
        <v>19</v>
      </c>
      <c r="B20">
        <v>209</v>
      </c>
      <c r="C20" t="s">
        <v>20</v>
      </c>
      <c r="D20">
        <v>30</v>
      </c>
      <c r="E20" t="s">
        <v>21</v>
      </c>
      <c r="F20" t="s">
        <v>22</v>
      </c>
      <c r="G20">
        <v>9951.1299278178794</v>
      </c>
      <c r="H20">
        <v>70832386.059916496</v>
      </c>
      <c r="I20">
        <v>6869.6188775466799</v>
      </c>
      <c r="J20">
        <v>84402047.109510303</v>
      </c>
      <c r="K20">
        <v>0.22859207918844399</v>
      </c>
      <c r="L20">
        <v>4.8696927569763501E-2</v>
      </c>
      <c r="M20">
        <v>-5.1229364045674204E-4</v>
      </c>
      <c r="N20">
        <v>3.0771119148809102E-3</v>
      </c>
      <c r="O20">
        <v>0.48959220186316199</v>
      </c>
      <c r="P20">
        <v>0.24989167773802101</v>
      </c>
      <c r="Q20">
        <v>0.41666255367454702</v>
      </c>
      <c r="R20">
        <v>0.24305487004009901</v>
      </c>
      <c r="S20">
        <v>0.453311287812242</v>
      </c>
      <c r="T20">
        <v>9.3133869575203296E-2</v>
      </c>
      <c r="U20">
        <v>11</v>
      </c>
    </row>
    <row r="21" spans="1:21" x14ac:dyDescent="0.25">
      <c r="A21">
        <v>20</v>
      </c>
      <c r="B21">
        <v>210</v>
      </c>
      <c r="C21" t="s">
        <v>20</v>
      </c>
      <c r="D21">
        <v>30</v>
      </c>
      <c r="E21" t="s">
        <v>21</v>
      </c>
      <c r="F21" t="s">
        <v>22</v>
      </c>
      <c r="G21">
        <v>9881.1373479566391</v>
      </c>
      <c r="H21">
        <v>83446764.575759903</v>
      </c>
      <c r="I21">
        <v>7110.9257815069896</v>
      </c>
      <c r="J21">
        <v>63384781.0985329</v>
      </c>
      <c r="K21">
        <v>0.19115052006639599</v>
      </c>
      <c r="L21">
        <v>3.39903867610237E-2</v>
      </c>
      <c r="M21">
        <v>-8.0685954448501702E-3</v>
      </c>
      <c r="N21">
        <v>2.1972322606284098E-3</v>
      </c>
      <c r="O21">
        <v>0.437961219400478</v>
      </c>
      <c r="P21">
        <v>0.24615118970167399</v>
      </c>
      <c r="Q21">
        <v>0.77116466067838896</v>
      </c>
      <c r="R21">
        <v>0.17646972679919301</v>
      </c>
      <c r="S21">
        <v>0.41821058183398202</v>
      </c>
      <c r="T21">
        <v>7.7179974403393303E-2</v>
      </c>
      <c r="U21">
        <v>34</v>
      </c>
    </row>
    <row r="22" spans="1:21" x14ac:dyDescent="0.25">
      <c r="A22">
        <v>21</v>
      </c>
      <c r="B22">
        <v>301</v>
      </c>
      <c r="C22" t="s">
        <v>20</v>
      </c>
      <c r="D22">
        <v>30</v>
      </c>
      <c r="E22" t="s">
        <v>21</v>
      </c>
      <c r="F22" t="s">
        <v>22</v>
      </c>
      <c r="G22">
        <v>10306.5576225229</v>
      </c>
      <c r="H22">
        <v>136079939.66496399</v>
      </c>
      <c r="I22">
        <v>10359.578195038301</v>
      </c>
      <c r="J22">
        <v>81830842.659866899</v>
      </c>
      <c r="K22">
        <v>7.1984881093258804E-2</v>
      </c>
      <c r="L22">
        <v>3.2502510842064999E-2</v>
      </c>
      <c r="M22">
        <v>-5.3071428518301801E-2</v>
      </c>
      <c r="N22">
        <v>1.72254443853939E-3</v>
      </c>
      <c r="O22">
        <v>0.32686263135884702</v>
      </c>
      <c r="P22">
        <v>0.22002345157978301</v>
      </c>
      <c r="Q22">
        <v>0.95648713902264704</v>
      </c>
      <c r="R22">
        <v>4.1619491906823597E-2</v>
      </c>
      <c r="S22">
        <v>0.290552468022438</v>
      </c>
      <c r="T22">
        <v>8.5688071032201996E-2</v>
      </c>
      <c r="U22">
        <v>96</v>
      </c>
    </row>
    <row r="23" spans="1:21" x14ac:dyDescent="0.25">
      <c r="A23">
        <v>22</v>
      </c>
      <c r="B23">
        <v>302</v>
      </c>
      <c r="C23" t="s">
        <v>20</v>
      </c>
      <c r="D23">
        <v>30</v>
      </c>
      <c r="E23" t="s">
        <v>21</v>
      </c>
      <c r="F23" t="s">
        <v>22</v>
      </c>
      <c r="G23">
        <v>13910.5045985672</v>
      </c>
      <c r="H23">
        <v>136067316.012144</v>
      </c>
      <c r="I23">
        <v>6336.9359457983101</v>
      </c>
      <c r="J23">
        <v>86722279.899181098</v>
      </c>
      <c r="K23">
        <v>0.15904834454039499</v>
      </c>
      <c r="L23">
        <v>4.7414371031846897E-2</v>
      </c>
      <c r="M23">
        <v>-2.53843391927745E-2</v>
      </c>
      <c r="N23">
        <v>2.5678875378436698E-3</v>
      </c>
      <c r="O23">
        <v>0.52072046212909495</v>
      </c>
      <c r="P23">
        <v>0.24957066244911699</v>
      </c>
      <c r="Q23">
        <v>0.85463982873476596</v>
      </c>
      <c r="R23">
        <v>0.124230591875263</v>
      </c>
      <c r="S23">
        <v>0.417579668150107</v>
      </c>
      <c r="T23">
        <v>0.108898924058737</v>
      </c>
      <c r="U23">
        <v>82</v>
      </c>
    </row>
    <row r="24" spans="1:21" x14ac:dyDescent="0.25">
      <c r="A24">
        <v>23</v>
      </c>
      <c r="B24">
        <v>303</v>
      </c>
      <c r="C24" t="s">
        <v>20</v>
      </c>
      <c r="D24">
        <v>30</v>
      </c>
      <c r="E24" t="s">
        <v>21</v>
      </c>
      <c r="F24" t="s">
        <v>22</v>
      </c>
      <c r="G24">
        <v>15452.609202666899</v>
      </c>
      <c r="H24">
        <v>170344312.19901699</v>
      </c>
      <c r="I24">
        <v>3936.72192425914</v>
      </c>
      <c r="J24">
        <v>92911192.536808297</v>
      </c>
      <c r="K24">
        <v>0.18889410955771299</v>
      </c>
      <c r="L24">
        <v>3.79889167493224E-2</v>
      </c>
      <c r="M24">
        <v>-1.9492555886949502E-2</v>
      </c>
      <c r="N24">
        <v>2.0643267475208998E-3</v>
      </c>
      <c r="O24">
        <v>0.53386868912186802</v>
      </c>
      <c r="P24">
        <v>0.24885291189720901</v>
      </c>
      <c r="Q24">
        <v>0.56118049360689903</v>
      </c>
      <c r="R24">
        <v>0.24625694720160901</v>
      </c>
      <c r="S24">
        <v>0.452817034833431</v>
      </c>
      <c r="T24">
        <v>0.100018868325261</v>
      </c>
      <c r="U24">
        <v>19</v>
      </c>
    </row>
    <row r="25" spans="1:21" x14ac:dyDescent="0.25">
      <c r="A25">
        <v>24</v>
      </c>
      <c r="B25">
        <v>304</v>
      </c>
      <c r="C25" t="s">
        <v>20</v>
      </c>
      <c r="D25">
        <v>30</v>
      </c>
      <c r="E25" t="s">
        <v>21</v>
      </c>
      <c r="F25" t="s">
        <v>22</v>
      </c>
      <c r="G25">
        <v>14695.766072218799</v>
      </c>
      <c r="H25">
        <v>175281266.48358199</v>
      </c>
      <c r="I25">
        <v>4132.1375916597099</v>
      </c>
      <c r="J25">
        <v>102144922.72287001</v>
      </c>
      <c r="K25">
        <v>0.17714405468715899</v>
      </c>
      <c r="L25">
        <v>4.2623323565674803E-2</v>
      </c>
      <c r="M25">
        <v>-2.48079121302421E-2</v>
      </c>
      <c r="N25">
        <v>2.4484670863498502E-3</v>
      </c>
      <c r="O25">
        <v>0.50502948317724605</v>
      </c>
      <c r="P25">
        <v>0.249974704298912</v>
      </c>
      <c r="Q25">
        <v>0.24966812174849001</v>
      </c>
      <c r="R25">
        <v>0.18733395073113299</v>
      </c>
      <c r="S25">
        <v>0.428225901682731</v>
      </c>
      <c r="T25">
        <v>0.11304856419999</v>
      </c>
      <c r="U25">
        <v>6</v>
      </c>
    </row>
    <row r="26" spans="1:21" x14ac:dyDescent="0.25">
      <c r="A26">
        <v>25</v>
      </c>
      <c r="B26">
        <v>305</v>
      </c>
      <c r="C26" t="s">
        <v>20</v>
      </c>
      <c r="D26">
        <v>30</v>
      </c>
      <c r="E26" t="s">
        <v>21</v>
      </c>
      <c r="F26" t="s">
        <v>22</v>
      </c>
      <c r="G26">
        <v>12741.142517104399</v>
      </c>
      <c r="H26">
        <v>190900287.18377501</v>
      </c>
      <c r="I26">
        <v>7412.2939325943598</v>
      </c>
      <c r="J26">
        <v>88391830.225501195</v>
      </c>
      <c r="K26">
        <v>8.5813540473875696E-2</v>
      </c>
      <c r="L26">
        <v>3.04556638065289E-2</v>
      </c>
      <c r="M26">
        <v>-4.84925979185932E-2</v>
      </c>
      <c r="N26">
        <v>1.90042551527244E-3</v>
      </c>
      <c r="O26">
        <v>0.37641739629682802</v>
      </c>
      <c r="P26">
        <v>0.23472734006204901</v>
      </c>
      <c r="Q26">
        <v>0.86901031075811597</v>
      </c>
      <c r="R26">
        <v>0.11383139055425801</v>
      </c>
      <c r="S26">
        <v>0.30731243837182298</v>
      </c>
      <c r="T26">
        <v>0.101390971244112</v>
      </c>
      <c r="U26">
        <v>48</v>
      </c>
    </row>
    <row r="27" spans="1:21" x14ac:dyDescent="0.25">
      <c r="A27">
        <v>26</v>
      </c>
      <c r="B27">
        <v>306</v>
      </c>
      <c r="C27" t="s">
        <v>20</v>
      </c>
      <c r="D27">
        <v>30</v>
      </c>
      <c r="E27" t="s">
        <v>21</v>
      </c>
      <c r="F27" t="s">
        <v>22</v>
      </c>
      <c r="G27">
        <v>14151.9308838257</v>
      </c>
      <c r="H27">
        <v>178535066.16501501</v>
      </c>
      <c r="I27">
        <v>5246.0227868573502</v>
      </c>
      <c r="J27">
        <v>89278197.623561502</v>
      </c>
      <c r="K27">
        <v>0.152426720809966</v>
      </c>
      <c r="L27">
        <v>3.5826741746758699E-2</v>
      </c>
      <c r="M27">
        <v>-3.3709415305102998E-2</v>
      </c>
      <c r="N27">
        <v>1.9577447185772801E-3</v>
      </c>
      <c r="O27">
        <v>0.46022784176264397</v>
      </c>
      <c r="P27">
        <v>0.24841817542907599</v>
      </c>
      <c r="Q27">
        <v>0.653561546070342</v>
      </c>
      <c r="R27">
        <v>0.22641885156876801</v>
      </c>
      <c r="S27">
        <v>0.39272846448919302</v>
      </c>
      <c r="T27">
        <v>0.105889069867471</v>
      </c>
      <c r="U27">
        <v>25</v>
      </c>
    </row>
    <row r="28" spans="1:21" x14ac:dyDescent="0.25">
      <c r="A28">
        <v>27</v>
      </c>
      <c r="B28">
        <v>307</v>
      </c>
      <c r="C28" t="s">
        <v>20</v>
      </c>
      <c r="D28">
        <v>30</v>
      </c>
      <c r="E28" t="s">
        <v>21</v>
      </c>
      <c r="F28" t="s">
        <v>22</v>
      </c>
      <c r="G28">
        <v>14213.766816257499</v>
      </c>
      <c r="H28">
        <v>156360564.67251101</v>
      </c>
      <c r="I28">
        <v>4418.6815569413902</v>
      </c>
      <c r="J28">
        <v>83057802.227373898</v>
      </c>
      <c r="K28">
        <v>0.18759921735562901</v>
      </c>
      <c r="L28">
        <v>3.9298844939251003E-2</v>
      </c>
      <c r="M28">
        <v>-1.9762293251000498E-2</v>
      </c>
      <c r="N28">
        <v>2.30354705452496E-3</v>
      </c>
      <c r="O28">
        <v>0.499523258622662</v>
      </c>
      <c r="P28">
        <v>0.24999977271787099</v>
      </c>
      <c r="Q28">
        <v>0.75387431825982998</v>
      </c>
      <c r="R28">
        <v>0.185547830528418</v>
      </c>
      <c r="S28">
        <v>0.42829870407178799</v>
      </c>
      <c r="T28">
        <v>0.102424210972381</v>
      </c>
      <c r="U28">
        <v>29</v>
      </c>
    </row>
    <row r="29" spans="1:21" x14ac:dyDescent="0.25">
      <c r="A29">
        <v>28</v>
      </c>
      <c r="B29">
        <v>308</v>
      </c>
      <c r="C29" t="s">
        <v>20</v>
      </c>
      <c r="D29">
        <v>30</v>
      </c>
      <c r="E29" t="s">
        <v>21</v>
      </c>
      <c r="F29" t="s">
        <v>22</v>
      </c>
      <c r="G29">
        <v>13823.1854898651</v>
      </c>
      <c r="H29">
        <v>155109369.34852999</v>
      </c>
      <c r="I29">
        <v>5902.6680134630797</v>
      </c>
      <c r="J29">
        <v>101881533.784788</v>
      </c>
      <c r="K29">
        <v>0.17302099946484001</v>
      </c>
      <c r="L29">
        <v>4.1152300815748798E-2</v>
      </c>
      <c r="M29">
        <v>-2.32812403313832E-2</v>
      </c>
      <c r="N29">
        <v>2.08218668832364E-3</v>
      </c>
      <c r="O29">
        <v>0.474961891684199</v>
      </c>
      <c r="P29">
        <v>0.24937309313191799</v>
      </c>
      <c r="Q29">
        <v>0.50763531902026005</v>
      </c>
      <c r="R29">
        <v>0.24994170190347201</v>
      </c>
      <c r="S29">
        <v>0.41242287970885799</v>
      </c>
      <c r="T29">
        <v>0.108103841882357</v>
      </c>
      <c r="U29">
        <v>13</v>
      </c>
    </row>
    <row r="30" spans="1:21" x14ac:dyDescent="0.25">
      <c r="A30">
        <v>29</v>
      </c>
      <c r="B30">
        <v>309</v>
      </c>
      <c r="C30" t="s">
        <v>20</v>
      </c>
      <c r="D30">
        <v>30</v>
      </c>
      <c r="E30" t="s">
        <v>21</v>
      </c>
      <c r="F30" t="s">
        <v>22</v>
      </c>
      <c r="G30">
        <v>18671.777177033498</v>
      </c>
      <c r="H30">
        <v>178800338.61482501</v>
      </c>
      <c r="I30">
        <v>2169.8170188080499</v>
      </c>
      <c r="J30">
        <v>91811143.182510093</v>
      </c>
      <c r="K30">
        <v>0.242862966480411</v>
      </c>
      <c r="L30">
        <v>2.9344481850958799E-2</v>
      </c>
      <c r="M30">
        <v>-8.0230078345853804E-3</v>
      </c>
      <c r="N30">
        <v>1.94885066176115E-3</v>
      </c>
      <c r="O30">
        <v>0.60224880382775103</v>
      </c>
      <c r="P30">
        <v>0.23954518211585701</v>
      </c>
      <c r="Q30">
        <v>0.52432038080202803</v>
      </c>
      <c r="R30">
        <v>0.24940851907779399</v>
      </c>
      <c r="S30">
        <v>0.52577186310137303</v>
      </c>
      <c r="T30">
        <v>7.7072334592670905E-2</v>
      </c>
      <c r="U30">
        <v>14</v>
      </c>
    </row>
    <row r="31" spans="1:21" x14ac:dyDescent="0.25">
      <c r="A31">
        <v>30</v>
      </c>
      <c r="B31">
        <v>310</v>
      </c>
      <c r="C31" t="s">
        <v>20</v>
      </c>
      <c r="D31">
        <v>30</v>
      </c>
      <c r="E31" t="s">
        <v>21</v>
      </c>
      <c r="F31" t="s">
        <v>22</v>
      </c>
      <c r="G31">
        <v>15997.5042669304</v>
      </c>
      <c r="H31">
        <v>173392185.28332299</v>
      </c>
      <c r="I31">
        <v>3413.0044274305601</v>
      </c>
      <c r="J31">
        <v>81099592.350094199</v>
      </c>
      <c r="K31">
        <v>0.228085393809731</v>
      </c>
      <c r="L31">
        <v>2.71275366436977E-2</v>
      </c>
      <c r="M31">
        <v>-9.4441132625884393E-3</v>
      </c>
      <c r="N31">
        <v>2.1195795867262998E-3</v>
      </c>
      <c r="O31">
        <v>0.54378639709922005</v>
      </c>
      <c r="P31">
        <v>0.24808275142918901</v>
      </c>
      <c r="Q31">
        <v>0.64185427552864205</v>
      </c>
      <c r="R31">
        <v>0.229877364514152</v>
      </c>
      <c r="S31">
        <v>0.50019395570464098</v>
      </c>
      <c r="T31">
        <v>7.5369087529947407E-2</v>
      </c>
      <c r="U31">
        <v>18</v>
      </c>
    </row>
    <row r="32" spans="1:21" x14ac:dyDescent="0.25">
      <c r="A32">
        <v>31</v>
      </c>
      <c r="B32">
        <v>401</v>
      </c>
      <c r="C32" t="s">
        <v>20</v>
      </c>
      <c r="D32">
        <v>30</v>
      </c>
      <c r="E32" t="s">
        <v>21</v>
      </c>
      <c r="F32" t="s">
        <v>22</v>
      </c>
      <c r="G32">
        <v>11098.513215806301</v>
      </c>
      <c r="H32">
        <v>132189360.540692</v>
      </c>
      <c r="I32">
        <v>8564.2836212133498</v>
      </c>
      <c r="J32">
        <v>85768842.123673201</v>
      </c>
      <c r="K32">
        <v>0.12190719873482</v>
      </c>
      <c r="L32">
        <v>3.47281828394592E-2</v>
      </c>
      <c r="M32">
        <v>-3.9215327126689098E-2</v>
      </c>
      <c r="N32">
        <v>1.83036678221745E-3</v>
      </c>
      <c r="O32">
        <v>0.39874659139836399</v>
      </c>
      <c r="P32">
        <v>0.239747747246597</v>
      </c>
      <c r="Q32">
        <v>0.90801009484851702</v>
      </c>
      <c r="R32">
        <v>8.3527762501595104E-2</v>
      </c>
      <c r="S32">
        <v>0.35446073905200898</v>
      </c>
      <c r="T32">
        <v>8.7955824406481503E-2</v>
      </c>
      <c r="U32">
        <v>72</v>
      </c>
    </row>
    <row r="33" spans="1:21" x14ac:dyDescent="0.25">
      <c r="A33">
        <v>32</v>
      </c>
      <c r="B33">
        <v>402</v>
      </c>
      <c r="C33" t="s">
        <v>20</v>
      </c>
      <c r="D33">
        <v>30</v>
      </c>
      <c r="E33" t="s">
        <v>21</v>
      </c>
      <c r="F33" t="s">
        <v>22</v>
      </c>
      <c r="G33">
        <v>4862.6783044481899</v>
      </c>
      <c r="H33">
        <v>63922140.060708202</v>
      </c>
      <c r="I33">
        <v>15519.1469100145</v>
      </c>
      <c r="J33">
        <v>54949620.183927797</v>
      </c>
      <c r="K33">
        <v>-5.74837365320977E-2</v>
      </c>
      <c r="L33">
        <v>2.5575063888874702E-2</v>
      </c>
      <c r="M33">
        <v>-7.5997690544037697E-2</v>
      </c>
      <c r="N33">
        <v>1.3633741068091801E-3</v>
      </c>
      <c r="O33">
        <v>0.15487937612879299</v>
      </c>
      <c r="P33">
        <v>0.130891754978846</v>
      </c>
      <c r="Q33">
        <v>0.77219564697440801</v>
      </c>
      <c r="R33">
        <v>0.17590952976791199</v>
      </c>
      <c r="S33">
        <v>0.10536337798085101</v>
      </c>
      <c r="T33">
        <v>6.3867058010701805E-2</v>
      </c>
      <c r="U33">
        <v>60</v>
      </c>
    </row>
    <row r="34" spans="1:21" x14ac:dyDescent="0.25">
      <c r="A34">
        <v>33</v>
      </c>
      <c r="B34">
        <v>403</v>
      </c>
      <c r="C34" t="s">
        <v>20</v>
      </c>
      <c r="D34">
        <v>30</v>
      </c>
      <c r="E34" t="s">
        <v>21</v>
      </c>
      <c r="F34" t="s">
        <v>22</v>
      </c>
      <c r="G34">
        <v>14114.4424611666</v>
      </c>
      <c r="H34">
        <v>132613399.99244</v>
      </c>
      <c r="I34">
        <v>4997.2169893248802</v>
      </c>
      <c r="J34">
        <v>70196133.208458304</v>
      </c>
      <c r="K34">
        <v>0.172738059653846</v>
      </c>
      <c r="L34">
        <v>3.0500295229800099E-2</v>
      </c>
      <c r="M34">
        <v>-2.4434492866909401E-2</v>
      </c>
      <c r="N34">
        <v>1.9732184373278902E-3</v>
      </c>
      <c r="O34">
        <v>0.52503713400971797</v>
      </c>
      <c r="P34">
        <v>0.24937314192058799</v>
      </c>
      <c r="Q34">
        <v>0.93545707417150203</v>
      </c>
      <c r="R34">
        <v>6.0377136553858901E-2</v>
      </c>
      <c r="S34">
        <v>0.42713499186319698</v>
      </c>
      <c r="T34">
        <v>8.2989884264777297E-2</v>
      </c>
      <c r="U34">
        <v>76</v>
      </c>
    </row>
    <row r="35" spans="1:21" x14ac:dyDescent="0.25">
      <c r="A35">
        <v>34</v>
      </c>
      <c r="B35">
        <v>404</v>
      </c>
      <c r="C35" t="s">
        <v>20</v>
      </c>
      <c r="D35">
        <v>30</v>
      </c>
      <c r="E35" t="s">
        <v>21</v>
      </c>
      <c r="F35" t="s">
        <v>22</v>
      </c>
      <c r="G35">
        <v>9626.3710082525995</v>
      </c>
      <c r="H35">
        <v>115008656.002288</v>
      </c>
      <c r="I35">
        <v>9578.7640821104396</v>
      </c>
      <c r="J35">
        <v>84708083.285072207</v>
      </c>
      <c r="K35">
        <v>4.59432090223885E-2</v>
      </c>
      <c r="L35">
        <v>3.9443690838101397E-2</v>
      </c>
      <c r="M35">
        <v>-5.9582911972080203E-2</v>
      </c>
      <c r="N35">
        <v>2.2289351070987101E-3</v>
      </c>
      <c r="O35">
        <v>0.32332256907068502</v>
      </c>
      <c r="P35">
        <v>0.21878508540021799</v>
      </c>
      <c r="Q35">
        <v>0.90253674755713997</v>
      </c>
      <c r="R35">
        <v>8.7964166866225393E-2</v>
      </c>
      <c r="S35">
        <v>0.24794810007879001</v>
      </c>
      <c r="T35">
        <v>0.107619110519696</v>
      </c>
      <c r="U35">
        <v>78</v>
      </c>
    </row>
    <row r="36" spans="1:21" x14ac:dyDescent="0.25">
      <c r="A36">
        <v>35</v>
      </c>
      <c r="B36">
        <v>405</v>
      </c>
      <c r="C36" t="s">
        <v>20</v>
      </c>
      <c r="D36">
        <v>30</v>
      </c>
      <c r="E36" t="s">
        <v>21</v>
      </c>
      <c r="F36" t="s">
        <v>22</v>
      </c>
      <c r="G36">
        <v>6492.2899261514203</v>
      </c>
      <c r="H36">
        <v>85018860.158825904</v>
      </c>
      <c r="I36">
        <v>13272.3920358045</v>
      </c>
      <c r="J36">
        <v>66063252.378365301</v>
      </c>
      <c r="K36">
        <v>-5.5870440237995499E-2</v>
      </c>
      <c r="L36">
        <v>3.12147132897675E-2</v>
      </c>
      <c r="M36">
        <v>-8.5411480030210499E-2</v>
      </c>
      <c r="N36">
        <v>1.5781888806336701E-3</v>
      </c>
      <c r="O36">
        <v>0.189342691245279</v>
      </c>
      <c r="P36">
        <v>0.15349203651712401</v>
      </c>
      <c r="Q36">
        <v>0.88692196022607195</v>
      </c>
      <c r="R36">
        <v>0.100291396694906</v>
      </c>
      <c r="S36">
        <v>9.4846786539028005E-2</v>
      </c>
      <c r="T36">
        <v>8.7058272913380003E-2</v>
      </c>
      <c r="U36">
        <v>62</v>
      </c>
    </row>
    <row r="37" spans="1:21" x14ac:dyDescent="0.25">
      <c r="A37">
        <v>36</v>
      </c>
      <c r="B37">
        <v>406</v>
      </c>
      <c r="C37" t="s">
        <v>20</v>
      </c>
      <c r="D37">
        <v>30</v>
      </c>
      <c r="E37" t="s">
        <v>21</v>
      </c>
      <c r="F37" t="s">
        <v>22</v>
      </c>
      <c r="G37">
        <v>13139.7172414705</v>
      </c>
      <c r="H37">
        <v>132622160.853333</v>
      </c>
      <c r="I37">
        <v>4397.0248253909103</v>
      </c>
      <c r="J37">
        <v>76101860.630072594</v>
      </c>
      <c r="K37">
        <v>0.155597420314499</v>
      </c>
      <c r="L37">
        <v>4.2472331108485403E-2</v>
      </c>
      <c r="M37">
        <v>-3.3926298081951203E-2</v>
      </c>
      <c r="N37">
        <v>2.6328070555211398E-3</v>
      </c>
      <c r="O37">
        <v>0.49990078183910802</v>
      </c>
      <c r="P37">
        <v>0.24999999015584501</v>
      </c>
      <c r="Q37">
        <v>0.91231365494252603</v>
      </c>
      <c r="R37">
        <v>7.9997449948011196E-2</v>
      </c>
      <c r="S37">
        <v>0.39452418196343902</v>
      </c>
      <c r="T37">
        <v>0.11113698281236201</v>
      </c>
      <c r="U37">
        <v>63</v>
      </c>
    </row>
    <row r="38" spans="1:21" x14ac:dyDescent="0.25">
      <c r="A38">
        <v>37</v>
      </c>
      <c r="B38">
        <v>407</v>
      </c>
      <c r="C38" t="s">
        <v>20</v>
      </c>
      <c r="D38">
        <v>30</v>
      </c>
      <c r="E38" t="s">
        <v>21</v>
      </c>
      <c r="F38" t="s">
        <v>22</v>
      </c>
      <c r="G38">
        <v>4258.0572092910597</v>
      </c>
      <c r="H38">
        <v>57170782.398330599</v>
      </c>
      <c r="I38">
        <v>14739.430087874</v>
      </c>
      <c r="J38">
        <v>38036619.361421302</v>
      </c>
      <c r="K38">
        <v>-7.61294879394981E-2</v>
      </c>
      <c r="L38">
        <v>1.8316268900626102E-2</v>
      </c>
      <c r="M38">
        <v>-7.9136302805358494E-2</v>
      </c>
      <c r="N38">
        <v>1.72603439386903E-3</v>
      </c>
      <c r="O38">
        <v>9.2232421827694006E-2</v>
      </c>
      <c r="P38">
        <v>8.3725602191308104E-2</v>
      </c>
      <c r="Q38">
        <v>0.90120242664955297</v>
      </c>
      <c r="R38">
        <v>8.9036612850542401E-2</v>
      </c>
      <c r="S38">
        <v>4.2092049211669098E-2</v>
      </c>
      <c r="T38">
        <v>5.00322695872518E-2</v>
      </c>
      <c r="U38">
        <v>74</v>
      </c>
    </row>
    <row r="39" spans="1:21" x14ac:dyDescent="0.25">
      <c r="A39">
        <v>38</v>
      </c>
      <c r="B39">
        <v>408</v>
      </c>
      <c r="C39" t="s">
        <v>20</v>
      </c>
      <c r="D39">
        <v>30</v>
      </c>
      <c r="E39" t="s">
        <v>21</v>
      </c>
      <c r="F39" t="s">
        <v>22</v>
      </c>
      <c r="G39">
        <v>15193.4073254465</v>
      </c>
      <c r="H39">
        <v>144360680.08191201</v>
      </c>
      <c r="I39">
        <v>3927.3498432872102</v>
      </c>
      <c r="J39">
        <v>76029114.005458295</v>
      </c>
      <c r="K39">
        <v>0.20880383351846099</v>
      </c>
      <c r="L39">
        <v>3.2398298187270101E-2</v>
      </c>
      <c r="M39">
        <v>-1.3734158992387399E-2</v>
      </c>
      <c r="N39">
        <v>2.6414193286978002E-3</v>
      </c>
      <c r="O39">
        <v>0.54704003636407095</v>
      </c>
      <c r="P39">
        <v>0.247787234978746</v>
      </c>
      <c r="Q39">
        <v>0.85609041439932998</v>
      </c>
      <c r="R39">
        <v>0.12319961677290001</v>
      </c>
      <c r="S39">
        <v>0.46817987567852098</v>
      </c>
      <c r="T39">
        <v>9.1785051807490498E-2</v>
      </c>
      <c r="U39">
        <v>57</v>
      </c>
    </row>
    <row r="40" spans="1:21" x14ac:dyDescent="0.25">
      <c r="A40">
        <v>39</v>
      </c>
      <c r="B40">
        <v>410</v>
      </c>
      <c r="C40" t="s">
        <v>20</v>
      </c>
      <c r="D40">
        <v>30</v>
      </c>
      <c r="E40" t="s">
        <v>21</v>
      </c>
      <c r="F40" t="s">
        <v>22</v>
      </c>
      <c r="G40">
        <v>10660.037240441399</v>
      </c>
      <c r="H40">
        <v>122263976.096709</v>
      </c>
      <c r="I40">
        <v>8022.10045593831</v>
      </c>
      <c r="J40">
        <v>62969588.6054428</v>
      </c>
      <c r="K40">
        <v>0.133669621977379</v>
      </c>
      <c r="L40">
        <v>2.4983484387916002E-2</v>
      </c>
      <c r="M40">
        <v>-2.69217788973104E-2</v>
      </c>
      <c r="N40">
        <v>1.8311547852439701E-3</v>
      </c>
      <c r="O40">
        <v>0.36313353208849802</v>
      </c>
      <c r="P40">
        <v>0.23126756996138001</v>
      </c>
      <c r="Q40">
        <v>0.94593357740585804</v>
      </c>
      <c r="R40">
        <v>5.1143244542113102E-2</v>
      </c>
      <c r="S40">
        <v>0.35438930295447002</v>
      </c>
      <c r="T40">
        <v>7.2476865693512096E-2</v>
      </c>
      <c r="U40">
        <v>67</v>
      </c>
    </row>
    <row r="41" spans="1:21" x14ac:dyDescent="0.25">
      <c r="A41">
        <v>40</v>
      </c>
      <c r="B41">
        <v>409</v>
      </c>
      <c r="C41" t="s">
        <v>20</v>
      </c>
      <c r="D41">
        <v>30</v>
      </c>
      <c r="E41" t="s">
        <v>21</v>
      </c>
      <c r="F41" t="s">
        <v>22</v>
      </c>
      <c r="G41">
        <v>18070.3297016086</v>
      </c>
      <c r="H41">
        <v>176723802.89336801</v>
      </c>
      <c r="I41">
        <v>2532.99736436188</v>
      </c>
      <c r="J41">
        <v>56882802.110611401</v>
      </c>
      <c r="K41">
        <v>0.24284499360839701</v>
      </c>
      <c r="L41">
        <v>1.95988268007724E-2</v>
      </c>
      <c r="M41">
        <v>-1.92448361791697E-3</v>
      </c>
      <c r="N41">
        <v>2.48979123825834E-3</v>
      </c>
      <c r="O41">
        <v>0.60240387490282798</v>
      </c>
      <c r="P41">
        <v>0.23951344640494601</v>
      </c>
      <c r="Q41">
        <v>0.89986843678985795</v>
      </c>
      <c r="R41">
        <v>9.01052332592788E-2</v>
      </c>
      <c r="S41">
        <v>0.52094799316515406</v>
      </c>
      <c r="T41">
        <v>5.9698526323863597E-2</v>
      </c>
      <c r="U41">
        <v>58</v>
      </c>
    </row>
    <row r="42" spans="1:21" x14ac:dyDescent="0.25">
      <c r="A42">
        <v>41</v>
      </c>
      <c r="B42">
        <v>501</v>
      </c>
      <c r="C42" t="s">
        <v>20</v>
      </c>
      <c r="D42">
        <v>30</v>
      </c>
      <c r="E42" t="s">
        <v>21</v>
      </c>
      <c r="F42" t="s">
        <v>22</v>
      </c>
      <c r="G42">
        <v>9875.9429063467996</v>
      </c>
      <c r="H42">
        <v>130003603.282363</v>
      </c>
      <c r="I42">
        <v>9560.2696388596505</v>
      </c>
      <c r="J42">
        <v>79056591.833518505</v>
      </c>
      <c r="K42">
        <v>0.102519516395326</v>
      </c>
      <c r="L42">
        <v>3.19410912135107E-2</v>
      </c>
      <c r="M42">
        <v>-3.9163785530744302E-2</v>
      </c>
      <c r="N42">
        <v>1.58080621153145E-3</v>
      </c>
      <c r="O42">
        <v>0.34827846012174601</v>
      </c>
      <c r="P42">
        <v>0.22698057433709501</v>
      </c>
      <c r="Q42">
        <v>0.81364528013013704</v>
      </c>
      <c r="R42">
        <v>0.151626638252403</v>
      </c>
      <c r="S42">
        <v>0.32151901840314101</v>
      </c>
      <c r="T42">
        <v>8.3899964994138404E-2</v>
      </c>
      <c r="U42">
        <v>52</v>
      </c>
    </row>
    <row r="43" spans="1:21" x14ac:dyDescent="0.25">
      <c r="A43">
        <v>42</v>
      </c>
      <c r="B43">
        <v>502</v>
      </c>
      <c r="C43" t="s">
        <v>20</v>
      </c>
      <c r="D43">
        <v>30</v>
      </c>
      <c r="E43" t="s">
        <v>21</v>
      </c>
      <c r="F43" t="s">
        <v>22</v>
      </c>
      <c r="G43">
        <v>15979.152907832</v>
      </c>
      <c r="H43">
        <v>152449801.01246199</v>
      </c>
      <c r="I43">
        <v>4069.0179093295701</v>
      </c>
      <c r="J43">
        <v>99060889.0928379</v>
      </c>
      <c r="K43">
        <v>0.21432666258167901</v>
      </c>
      <c r="L43">
        <v>3.8271389378827299E-2</v>
      </c>
      <c r="M43">
        <v>-1.79535644666854E-2</v>
      </c>
      <c r="N43">
        <v>1.99117188176258E-3</v>
      </c>
      <c r="O43">
        <v>0.57516832298879395</v>
      </c>
      <c r="P43">
        <v>0.24434972321926801</v>
      </c>
      <c r="Q43">
        <v>0.79384118631906198</v>
      </c>
      <c r="R43">
        <v>0.16365735722284699</v>
      </c>
      <c r="S43">
        <v>0.49054143824419599</v>
      </c>
      <c r="T43">
        <v>9.7062476113656301E-2</v>
      </c>
      <c r="U43">
        <v>32</v>
      </c>
    </row>
    <row r="44" spans="1:21" x14ac:dyDescent="0.25">
      <c r="A44">
        <v>43</v>
      </c>
      <c r="B44">
        <v>503</v>
      </c>
      <c r="C44" t="s">
        <v>20</v>
      </c>
      <c r="D44">
        <v>30</v>
      </c>
      <c r="E44" t="s">
        <v>21</v>
      </c>
      <c r="F44" t="s">
        <v>22</v>
      </c>
      <c r="G44">
        <v>17572.0566538696</v>
      </c>
      <c r="H44">
        <v>185171573.37079501</v>
      </c>
      <c r="I44">
        <v>4105.75846082508</v>
      </c>
      <c r="J44">
        <v>102690695.498307</v>
      </c>
      <c r="K44">
        <v>0.17878617981449099</v>
      </c>
      <c r="L44">
        <v>3.1639159585601602E-2</v>
      </c>
      <c r="M44">
        <v>-3.08136936884628E-2</v>
      </c>
      <c r="N44">
        <v>1.7914779379498301E-3</v>
      </c>
      <c r="O44">
        <v>0.54588401325152802</v>
      </c>
      <c r="P44">
        <v>0.24789465732801899</v>
      </c>
      <c r="Q44">
        <v>0.70935100351649405</v>
      </c>
      <c r="R44">
        <v>0.206172157326412</v>
      </c>
      <c r="S44">
        <v>0.456756943051633</v>
      </c>
      <c r="T44">
        <v>9.0975579079610694E-2</v>
      </c>
      <c r="U44">
        <v>36</v>
      </c>
    </row>
    <row r="45" spans="1:21" x14ac:dyDescent="0.25">
      <c r="A45">
        <v>44</v>
      </c>
      <c r="B45">
        <v>504</v>
      </c>
      <c r="C45" t="s">
        <v>20</v>
      </c>
      <c r="D45">
        <v>30</v>
      </c>
      <c r="E45" t="s">
        <v>21</v>
      </c>
      <c r="F45" t="s">
        <v>22</v>
      </c>
      <c r="G45">
        <v>14414.9172303135</v>
      </c>
      <c r="H45">
        <v>156632612.38581899</v>
      </c>
      <c r="I45">
        <v>5473.4292750346203</v>
      </c>
      <c r="J45">
        <v>113607912.405168</v>
      </c>
      <c r="K45">
        <v>0.15834584821344699</v>
      </c>
      <c r="L45">
        <v>4.0764880186688501E-2</v>
      </c>
      <c r="M45">
        <v>-3.7974626409700001E-2</v>
      </c>
      <c r="N45">
        <v>2.1388306803413301E-3</v>
      </c>
      <c r="O45">
        <v>0.48386818069612397</v>
      </c>
      <c r="P45">
        <v>0.24973976440613099</v>
      </c>
      <c r="Q45">
        <v>0.40287823060403299</v>
      </c>
      <c r="R45">
        <v>0.24056736190938799</v>
      </c>
      <c r="S45">
        <v>0.40295294845908503</v>
      </c>
      <c r="T45">
        <v>0.11300582083347099</v>
      </c>
      <c r="U45">
        <v>17</v>
      </c>
    </row>
    <row r="46" spans="1:21" x14ac:dyDescent="0.25">
      <c r="A46">
        <v>45</v>
      </c>
      <c r="B46">
        <v>505</v>
      </c>
      <c r="C46" t="s">
        <v>20</v>
      </c>
      <c r="D46">
        <v>30</v>
      </c>
      <c r="E46" t="s">
        <v>21</v>
      </c>
      <c r="F46" t="s">
        <v>22</v>
      </c>
      <c r="G46">
        <v>16540.341017674898</v>
      </c>
      <c r="H46">
        <v>160283671.30625799</v>
      </c>
      <c r="I46">
        <v>2740.5044500406402</v>
      </c>
      <c r="J46">
        <v>87818093.594166905</v>
      </c>
      <c r="K46">
        <v>0.200888558178761</v>
      </c>
      <c r="L46">
        <v>3.4160614737410097E-2</v>
      </c>
      <c r="M46">
        <v>-2.8577877926105399E-2</v>
      </c>
      <c r="N46">
        <v>2.2517487580165801E-3</v>
      </c>
      <c r="O46">
        <v>0.56239720126360904</v>
      </c>
      <c r="P46">
        <v>0.24610658927441001</v>
      </c>
      <c r="Q46">
        <v>0.631600245408383</v>
      </c>
      <c r="R46">
        <v>0.232681375408236</v>
      </c>
      <c r="S46">
        <v>0.46484643787010599</v>
      </c>
      <c r="T46">
        <v>9.7078166277592998E-2</v>
      </c>
      <c r="U46">
        <v>16</v>
      </c>
    </row>
    <row r="47" spans="1:21" x14ac:dyDescent="0.25">
      <c r="A47">
        <v>46</v>
      </c>
      <c r="B47">
        <v>506</v>
      </c>
      <c r="C47" t="s">
        <v>20</v>
      </c>
      <c r="D47">
        <v>30</v>
      </c>
      <c r="E47" t="s">
        <v>21</v>
      </c>
      <c r="F47" t="s">
        <v>22</v>
      </c>
      <c r="G47">
        <v>15079.8074172496</v>
      </c>
      <c r="H47">
        <v>152743391.06070399</v>
      </c>
      <c r="I47">
        <v>4588.5492164675197</v>
      </c>
      <c r="J47">
        <v>101033314.389678</v>
      </c>
      <c r="K47">
        <v>0.17427769873194701</v>
      </c>
      <c r="L47">
        <v>4.8731259127116303E-2</v>
      </c>
      <c r="M47">
        <v>-3.4215360650821099E-2</v>
      </c>
      <c r="N47">
        <v>2.6219455869398701E-3</v>
      </c>
      <c r="O47">
        <v>0.51798298748159999</v>
      </c>
      <c r="P47">
        <v>0.249676612161355</v>
      </c>
      <c r="Q47">
        <v>0.84859379681373504</v>
      </c>
      <c r="R47">
        <v>0.128482364823092</v>
      </c>
      <c r="S47">
        <v>0.42019710047962699</v>
      </c>
      <c r="T47">
        <v>0.12204405893498201</v>
      </c>
      <c r="U47">
        <v>55</v>
      </c>
    </row>
    <row r="48" spans="1:21" x14ac:dyDescent="0.25">
      <c r="A48">
        <v>47</v>
      </c>
      <c r="B48">
        <v>510</v>
      </c>
      <c r="C48" t="s">
        <v>20</v>
      </c>
      <c r="D48">
        <v>30</v>
      </c>
      <c r="E48" t="s">
        <v>21</v>
      </c>
      <c r="F48" t="s">
        <v>22</v>
      </c>
      <c r="G48">
        <v>16834.995532198001</v>
      </c>
      <c r="H48">
        <v>145748396.19462401</v>
      </c>
      <c r="I48">
        <v>2581.00183897227</v>
      </c>
      <c r="J48">
        <v>73697416.723740503</v>
      </c>
      <c r="K48">
        <v>0.24717970691454599</v>
      </c>
      <c r="L48">
        <v>2.9994073334157999E-2</v>
      </c>
      <c r="M48">
        <v>-9.7585612162392407E-3</v>
      </c>
      <c r="N48">
        <v>1.9866986638797999E-3</v>
      </c>
      <c r="O48">
        <v>0.60197180803389505</v>
      </c>
      <c r="P48">
        <v>0.23960175036637901</v>
      </c>
      <c r="Q48">
        <v>0.70968267546539598</v>
      </c>
      <c r="R48">
        <v>0.206033175609484</v>
      </c>
      <c r="S48">
        <v>0.53010770433551402</v>
      </c>
      <c r="T48">
        <v>7.6236207233164502E-2</v>
      </c>
      <c r="U48">
        <v>25</v>
      </c>
    </row>
    <row r="49" spans="1:21" x14ac:dyDescent="0.25">
      <c r="A49">
        <v>48</v>
      </c>
      <c r="B49">
        <v>509</v>
      </c>
      <c r="C49" t="s">
        <v>20</v>
      </c>
      <c r="D49">
        <v>30</v>
      </c>
      <c r="E49" t="s">
        <v>21</v>
      </c>
      <c r="F49" t="s">
        <v>22</v>
      </c>
      <c r="G49">
        <v>16783.5337355392</v>
      </c>
      <c r="H49">
        <v>153804198.37129</v>
      </c>
      <c r="I49">
        <v>4037.24261668494</v>
      </c>
      <c r="J49">
        <v>93418113.725356296</v>
      </c>
      <c r="K49">
        <v>0.21283676140098101</v>
      </c>
      <c r="L49">
        <v>4.01753636483606E-2</v>
      </c>
      <c r="M49">
        <v>-1.94740455885728E-2</v>
      </c>
      <c r="N49">
        <v>2.24569602746555E-3</v>
      </c>
      <c r="O49">
        <v>0.556698594352531</v>
      </c>
      <c r="P49">
        <v>0.246785269398479</v>
      </c>
      <c r="Q49">
        <v>0.52352816787531298</v>
      </c>
      <c r="R49">
        <v>0.24944642531650901</v>
      </c>
      <c r="S49">
        <v>0.47922604955773301</v>
      </c>
      <c r="T49">
        <v>9.1981373378896905E-2</v>
      </c>
      <c r="U49">
        <v>17</v>
      </c>
    </row>
    <row r="50" spans="1:21" x14ac:dyDescent="0.25">
      <c r="A50">
        <v>49</v>
      </c>
      <c r="B50">
        <v>508</v>
      </c>
      <c r="C50" t="s">
        <v>20</v>
      </c>
      <c r="D50">
        <v>30</v>
      </c>
      <c r="E50" t="s">
        <v>21</v>
      </c>
      <c r="F50" t="s">
        <v>22</v>
      </c>
      <c r="G50">
        <v>14357.7645616553</v>
      </c>
      <c r="H50">
        <v>165576848.26485699</v>
      </c>
      <c r="I50">
        <v>6297.1379625435202</v>
      </c>
      <c r="J50">
        <v>112451089.32852601</v>
      </c>
      <c r="K50">
        <v>0.13988677529744201</v>
      </c>
      <c r="L50">
        <v>4.9726990647201298E-2</v>
      </c>
      <c r="M50">
        <v>-3.5257909858380398E-2</v>
      </c>
      <c r="N50">
        <v>2.4155771872911599E-3</v>
      </c>
      <c r="O50">
        <v>0.46586532711398199</v>
      </c>
      <c r="P50">
        <v>0.24883482410728</v>
      </c>
      <c r="Q50">
        <v>0.460370994940978</v>
      </c>
      <c r="R50">
        <v>0.248429541957947</v>
      </c>
      <c r="S50">
        <v>0.38437001933189102</v>
      </c>
      <c r="T50">
        <v>0.12571976642774599</v>
      </c>
      <c r="U50">
        <v>19</v>
      </c>
    </row>
    <row r="51" spans="1:21" x14ac:dyDescent="0.25">
      <c r="A51">
        <v>50</v>
      </c>
      <c r="B51">
        <v>507</v>
      </c>
      <c r="C51" t="s">
        <v>20</v>
      </c>
      <c r="D51">
        <v>30</v>
      </c>
      <c r="E51" t="s">
        <v>21</v>
      </c>
      <c r="F51" t="s">
        <v>22</v>
      </c>
      <c r="G51">
        <v>15919.5218040952</v>
      </c>
      <c r="H51">
        <v>145539544.86324999</v>
      </c>
      <c r="I51">
        <v>3653.4302635386898</v>
      </c>
      <c r="J51">
        <v>78407188.173945695</v>
      </c>
      <c r="K51">
        <v>0.19163791203601699</v>
      </c>
      <c r="L51">
        <v>3.75602346539783E-2</v>
      </c>
      <c r="M51">
        <v>-2.8495551644224199E-2</v>
      </c>
      <c r="N51">
        <v>2.3534517080045099E-3</v>
      </c>
      <c r="O51">
        <v>0.55237963475373597</v>
      </c>
      <c r="P51">
        <v>0.247256373863182</v>
      </c>
      <c r="Q51">
        <v>0.87829143086438499</v>
      </c>
      <c r="R51">
        <v>0.106895593334442</v>
      </c>
      <c r="S51">
        <v>0.45115338319816001</v>
      </c>
      <c r="T51">
        <v>9.8824660059534303E-2</v>
      </c>
      <c r="U51">
        <v>41</v>
      </c>
    </row>
    <row r="52" spans="1:21" x14ac:dyDescent="0.25">
      <c r="A52">
        <v>51</v>
      </c>
      <c r="B52">
        <v>601</v>
      </c>
      <c r="C52" t="s">
        <v>20</v>
      </c>
      <c r="D52">
        <v>30</v>
      </c>
      <c r="E52" t="s">
        <v>21</v>
      </c>
      <c r="F52" t="s">
        <v>22</v>
      </c>
      <c r="G52">
        <v>8081.3145368653904</v>
      </c>
      <c r="H52">
        <v>114697477.12058499</v>
      </c>
      <c r="I52">
        <v>10532.374985759099</v>
      </c>
      <c r="J52">
        <v>67843007.486234307</v>
      </c>
      <c r="K52">
        <v>5.5565978673488801E-2</v>
      </c>
      <c r="L52">
        <v>2.7588032938802E-2</v>
      </c>
      <c r="M52">
        <v>-5.0168615368686997E-2</v>
      </c>
      <c r="N52">
        <v>1.4908188689619099E-3</v>
      </c>
      <c r="O52">
        <v>0.27267834718651002</v>
      </c>
      <c r="P52">
        <v>0.19832486616227199</v>
      </c>
      <c r="Q52">
        <v>0.779631423480309</v>
      </c>
      <c r="R52">
        <v>0.17180626700239099</v>
      </c>
      <c r="S52">
        <v>0.25518632169424199</v>
      </c>
      <c r="T52">
        <v>7.8438638318267501E-2</v>
      </c>
      <c r="U52">
        <v>55</v>
      </c>
    </row>
    <row r="53" spans="1:21" x14ac:dyDescent="0.25">
      <c r="A53">
        <v>52</v>
      </c>
      <c r="B53">
        <v>602</v>
      </c>
      <c r="C53" t="s">
        <v>20</v>
      </c>
      <c r="D53">
        <v>30</v>
      </c>
      <c r="E53" t="s">
        <v>21</v>
      </c>
      <c r="F53" t="s">
        <v>22</v>
      </c>
      <c r="G53">
        <v>10399.146852068399</v>
      </c>
      <c r="H53">
        <v>129360354.22557899</v>
      </c>
      <c r="I53">
        <v>10054.5467200291</v>
      </c>
      <c r="J53">
        <v>89861431.658117801</v>
      </c>
      <c r="K53">
        <v>6.9759930888202107E-2</v>
      </c>
      <c r="L53">
        <v>3.4102098465897998E-2</v>
      </c>
      <c r="M53">
        <v>-5.08132532130691E-2</v>
      </c>
      <c r="N53">
        <v>1.90787192631908E-3</v>
      </c>
      <c r="O53">
        <v>0.34491665917006198</v>
      </c>
      <c r="P53">
        <v>0.22594915739674201</v>
      </c>
      <c r="Q53">
        <v>0.75443376342980495</v>
      </c>
      <c r="R53">
        <v>0.18526346002657701</v>
      </c>
      <c r="S53">
        <v>0.286390438712749</v>
      </c>
      <c r="T53">
        <v>9.59332421203868E-2</v>
      </c>
      <c r="U53">
        <v>40</v>
      </c>
    </row>
    <row r="54" spans="1:21" x14ac:dyDescent="0.25">
      <c r="A54">
        <v>53</v>
      </c>
      <c r="B54">
        <v>603</v>
      </c>
      <c r="C54" t="s">
        <v>20</v>
      </c>
      <c r="D54">
        <v>30</v>
      </c>
      <c r="E54" t="s">
        <v>21</v>
      </c>
      <c r="F54" t="s">
        <v>22</v>
      </c>
      <c r="G54">
        <v>16415.529893070601</v>
      </c>
      <c r="H54">
        <v>169129556.80261499</v>
      </c>
      <c r="I54">
        <v>4514.8767822100499</v>
      </c>
      <c r="J54">
        <v>102192649.92964201</v>
      </c>
      <c r="K54">
        <v>0.182836471418933</v>
      </c>
      <c r="L54">
        <v>3.3902778836703999E-2</v>
      </c>
      <c r="M54">
        <v>-3.1111669252726799E-2</v>
      </c>
      <c r="N54">
        <v>1.9604109028874602E-3</v>
      </c>
      <c r="O54">
        <v>0.52961268368530401</v>
      </c>
      <c r="P54">
        <v>0.24912308896483801</v>
      </c>
      <c r="Q54">
        <v>0.54786664627618897</v>
      </c>
      <c r="R54">
        <v>0.24770878417407999</v>
      </c>
      <c r="S54">
        <v>0.44819571406467801</v>
      </c>
      <c r="T54">
        <v>9.6558289082041796E-2</v>
      </c>
      <c r="U54">
        <v>20</v>
      </c>
    </row>
    <row r="55" spans="1:21" x14ac:dyDescent="0.25">
      <c r="A55">
        <v>54</v>
      </c>
      <c r="B55">
        <v>604</v>
      </c>
      <c r="C55" t="s">
        <v>20</v>
      </c>
      <c r="D55">
        <v>30</v>
      </c>
      <c r="E55" t="s">
        <v>21</v>
      </c>
      <c r="F55" t="s">
        <v>22</v>
      </c>
      <c r="G55">
        <v>15837.232083851</v>
      </c>
      <c r="H55">
        <v>156941045.417427</v>
      </c>
      <c r="I55">
        <v>5194.4220767878496</v>
      </c>
      <c r="J55">
        <v>110539367.71371</v>
      </c>
      <c r="K55">
        <v>0.16362488510168699</v>
      </c>
      <c r="L55">
        <v>3.9315106892065001E-2</v>
      </c>
      <c r="M55">
        <v>-4.2163196309134197E-2</v>
      </c>
      <c r="N55">
        <v>2.2694332168625799E-3</v>
      </c>
      <c r="O55">
        <v>0.52687091913611295</v>
      </c>
      <c r="P55">
        <v>0.249277953704719</v>
      </c>
      <c r="Q55">
        <v>0.747961031579226</v>
      </c>
      <c r="R55">
        <v>0.18851532681781699</v>
      </c>
      <c r="S55">
        <v>0.42618328657301902</v>
      </c>
      <c r="T55">
        <v>0.111848853417607</v>
      </c>
      <c r="U55">
        <v>35</v>
      </c>
    </row>
    <row r="56" spans="1:21" x14ac:dyDescent="0.25">
      <c r="A56">
        <v>55</v>
      </c>
      <c r="B56">
        <v>605</v>
      </c>
      <c r="C56" t="s">
        <v>20</v>
      </c>
      <c r="D56">
        <v>30</v>
      </c>
      <c r="E56" t="s">
        <v>21</v>
      </c>
      <c r="F56" t="s">
        <v>22</v>
      </c>
      <c r="G56">
        <v>12714.2431214136</v>
      </c>
      <c r="H56">
        <v>140691908.942563</v>
      </c>
      <c r="I56">
        <v>6799.4495601725203</v>
      </c>
      <c r="J56">
        <v>97029970.048237607</v>
      </c>
      <c r="K56">
        <v>0.12786971927371099</v>
      </c>
      <c r="L56">
        <v>4.2617988985494799E-2</v>
      </c>
      <c r="M56">
        <v>-4.4592518310399697E-2</v>
      </c>
      <c r="N56">
        <v>2.21585580897875E-3</v>
      </c>
      <c r="O56">
        <v>0.42468666818260897</v>
      </c>
      <c r="P56">
        <v>0.24432790205072499</v>
      </c>
      <c r="Q56">
        <v>0.87896743128469201</v>
      </c>
      <c r="R56">
        <v>0.10638368602515599</v>
      </c>
      <c r="S56">
        <v>0.34795832273891902</v>
      </c>
      <c r="T56">
        <v>0.11561428127999</v>
      </c>
      <c r="U56">
        <v>69</v>
      </c>
    </row>
    <row r="57" spans="1:21" x14ac:dyDescent="0.25">
      <c r="A57">
        <v>56</v>
      </c>
      <c r="B57">
        <v>606</v>
      </c>
      <c r="C57" t="s">
        <v>20</v>
      </c>
      <c r="D57">
        <v>30</v>
      </c>
      <c r="E57" t="s">
        <v>21</v>
      </c>
      <c r="F57" t="s">
        <v>22</v>
      </c>
      <c r="G57">
        <v>18522.1377658807</v>
      </c>
      <c r="H57">
        <v>146335432.25436199</v>
      </c>
      <c r="I57">
        <v>1162.7858111205601</v>
      </c>
      <c r="J57">
        <v>77186611.942135796</v>
      </c>
      <c r="K57">
        <v>0.23337002030825801</v>
      </c>
      <c r="L57">
        <v>3.3706220512112299E-2</v>
      </c>
      <c r="M57">
        <v>-2.293586127596E-2</v>
      </c>
      <c r="N57">
        <v>2.4918764506897898E-3</v>
      </c>
      <c r="O57">
        <v>0.63691952394074203</v>
      </c>
      <c r="P57">
        <v>0.23125304396370799</v>
      </c>
      <c r="Q57">
        <v>0.83488405663967702</v>
      </c>
      <c r="R57">
        <v>0.13785266860867099</v>
      </c>
      <c r="S57">
        <v>0.52073175003637096</v>
      </c>
      <c r="T57">
        <v>8.8064913521301802E-2</v>
      </c>
      <c r="U57">
        <v>47</v>
      </c>
    </row>
    <row r="58" spans="1:21" x14ac:dyDescent="0.25">
      <c r="A58">
        <v>57</v>
      </c>
      <c r="B58">
        <v>607</v>
      </c>
      <c r="C58" t="s">
        <v>20</v>
      </c>
      <c r="D58">
        <v>30</v>
      </c>
      <c r="E58" t="s">
        <v>21</v>
      </c>
      <c r="F58" t="s">
        <v>22</v>
      </c>
      <c r="G58">
        <v>12293.0099637681</v>
      </c>
      <c r="H58">
        <v>167495513.758773</v>
      </c>
      <c r="I58">
        <v>8784.7533085932591</v>
      </c>
      <c r="J58">
        <v>93262398.414343402</v>
      </c>
      <c r="K58">
        <v>5.12116919205114E-2</v>
      </c>
      <c r="L58">
        <v>3.4728968619341397E-2</v>
      </c>
      <c r="M58">
        <v>-6.2310854870310899E-2</v>
      </c>
      <c r="N58">
        <v>1.90783187314075E-3</v>
      </c>
      <c r="O58">
        <v>0.35866820377689901</v>
      </c>
      <c r="P58">
        <v>0.23002532337607601</v>
      </c>
      <c r="Q58">
        <v>0.78721010017839999</v>
      </c>
      <c r="R58">
        <v>0.167510358355309</v>
      </c>
      <c r="S58">
        <v>0.26562248528561699</v>
      </c>
      <c r="T58">
        <v>0.105720126192192</v>
      </c>
      <c r="U58">
        <v>46</v>
      </c>
    </row>
    <row r="59" spans="1:21" x14ac:dyDescent="0.25">
      <c r="A59">
        <v>58</v>
      </c>
      <c r="B59">
        <v>608</v>
      </c>
      <c r="C59" t="s">
        <v>20</v>
      </c>
      <c r="D59">
        <v>30</v>
      </c>
      <c r="E59" t="s">
        <v>21</v>
      </c>
      <c r="F59" t="s">
        <v>22</v>
      </c>
      <c r="G59">
        <v>16047.057018711699</v>
      </c>
      <c r="H59">
        <v>175983330.19845101</v>
      </c>
      <c r="I59">
        <v>5772.9386665731899</v>
      </c>
      <c r="J59">
        <v>107174704.084557</v>
      </c>
      <c r="K59">
        <v>0.11796134622519</v>
      </c>
      <c r="L59">
        <v>4.2640242472857297E-2</v>
      </c>
      <c r="M59">
        <v>-4.5169017139509403E-2</v>
      </c>
      <c r="N59">
        <v>2.0034682391545299E-3</v>
      </c>
      <c r="O59">
        <v>0.50599114037423398</v>
      </c>
      <c r="P59">
        <v>0.249964106236887</v>
      </c>
      <c r="Q59">
        <v>0.60069225928256798</v>
      </c>
      <c r="R59">
        <v>0.239861068920589</v>
      </c>
      <c r="S59">
        <v>0.392183059000005</v>
      </c>
      <c r="T59">
        <v>0.11943077934541201</v>
      </c>
      <c r="U59">
        <v>21</v>
      </c>
    </row>
    <row r="60" spans="1:21" x14ac:dyDescent="0.25">
      <c r="A60">
        <v>59</v>
      </c>
      <c r="B60">
        <v>609</v>
      </c>
      <c r="C60" t="s">
        <v>20</v>
      </c>
      <c r="D60">
        <v>30</v>
      </c>
      <c r="E60" t="s">
        <v>21</v>
      </c>
      <c r="F60" t="s">
        <v>22</v>
      </c>
      <c r="G60">
        <v>17040.081879900899</v>
      </c>
      <c r="H60">
        <v>165429816.63308999</v>
      </c>
      <c r="I60">
        <v>4564.74094190702</v>
      </c>
      <c r="J60">
        <v>93527232.720773205</v>
      </c>
      <c r="K60">
        <v>0.17495932909971401</v>
      </c>
      <c r="L60">
        <v>4.0106545713870199E-2</v>
      </c>
      <c r="M60">
        <v>-3.4281423433242197E-2</v>
      </c>
      <c r="N60">
        <v>2.2460699295517401E-3</v>
      </c>
      <c r="O60">
        <v>0.54566922060087997</v>
      </c>
      <c r="P60">
        <v>0.24791432228954099</v>
      </c>
      <c r="Q60">
        <v>0.48752470672793102</v>
      </c>
      <c r="R60">
        <v>0.24984436705791399</v>
      </c>
      <c r="S60">
        <v>0.456611295582875</v>
      </c>
      <c r="T60">
        <v>9.5374033124889193E-2</v>
      </c>
      <c r="U60">
        <v>15</v>
      </c>
    </row>
    <row r="61" spans="1:21" x14ac:dyDescent="0.25">
      <c r="A61">
        <v>60</v>
      </c>
      <c r="B61">
        <v>610</v>
      </c>
      <c r="C61" t="s">
        <v>20</v>
      </c>
      <c r="D61">
        <v>30</v>
      </c>
      <c r="E61" t="s">
        <v>21</v>
      </c>
      <c r="F61" t="s">
        <v>22</v>
      </c>
      <c r="G61">
        <v>9343.5742279188798</v>
      </c>
      <c r="H61">
        <v>95280631.681393206</v>
      </c>
      <c r="I61">
        <v>9029.1067232837704</v>
      </c>
      <c r="J61">
        <v>67787619.091097698</v>
      </c>
      <c r="K61">
        <v>0.109068581268449</v>
      </c>
      <c r="L61">
        <v>3.27958979684232E-2</v>
      </c>
      <c r="M61">
        <v>-3.4343562471361402E-2</v>
      </c>
      <c r="N61">
        <v>1.9004974290887499E-3</v>
      </c>
      <c r="O61">
        <v>0.34214204710288298</v>
      </c>
      <c r="P61">
        <v>0.225080866706901</v>
      </c>
      <c r="Q61">
        <v>0.87422038792705603</v>
      </c>
      <c r="R61">
        <v>0.10995910125942</v>
      </c>
      <c r="S61">
        <v>0.33300210088721899</v>
      </c>
      <c r="T61">
        <v>8.1257329572169107E-2</v>
      </c>
      <c r="U61">
        <v>49</v>
      </c>
    </row>
    <row r="62" spans="1:21" x14ac:dyDescent="0.25">
      <c r="A62">
        <v>61</v>
      </c>
      <c r="B62">
        <v>701</v>
      </c>
      <c r="C62" t="s">
        <v>20</v>
      </c>
      <c r="D62">
        <v>30</v>
      </c>
      <c r="E62" t="s">
        <v>21</v>
      </c>
      <c r="F62" t="s">
        <v>22</v>
      </c>
      <c r="G62">
        <v>10646.143316748799</v>
      </c>
      <c r="H62">
        <v>125269019.28626899</v>
      </c>
      <c r="I62">
        <v>7081.5166167425496</v>
      </c>
      <c r="J62">
        <v>74978809.160774007</v>
      </c>
      <c r="K62">
        <v>0.152706287576026</v>
      </c>
      <c r="L62">
        <v>3.6568917424046499E-2</v>
      </c>
      <c r="M62">
        <v>-2.4756734552861499E-2</v>
      </c>
      <c r="N62">
        <v>1.7383752739547401E-3</v>
      </c>
      <c r="O62">
        <v>0.40896043630100898</v>
      </c>
      <c r="P62">
        <v>0.24171179784153199</v>
      </c>
      <c r="Q62">
        <v>0.79439587643661003</v>
      </c>
      <c r="R62">
        <v>0.163331067936861</v>
      </c>
      <c r="S62">
        <v>0.38297956340059103</v>
      </c>
      <c r="T62">
        <v>9.30961906241526E-2</v>
      </c>
      <c r="U62">
        <v>40</v>
      </c>
    </row>
    <row r="63" spans="1:21" x14ac:dyDescent="0.25">
      <c r="A63">
        <v>62</v>
      </c>
      <c r="B63">
        <v>702</v>
      </c>
      <c r="C63" t="s">
        <v>20</v>
      </c>
      <c r="D63">
        <v>30</v>
      </c>
      <c r="E63" t="s">
        <v>21</v>
      </c>
      <c r="F63" t="s">
        <v>22</v>
      </c>
      <c r="G63">
        <v>15767.968850318</v>
      </c>
      <c r="H63">
        <v>181332452.17255101</v>
      </c>
      <c r="I63">
        <v>5490.5527865929698</v>
      </c>
      <c r="J63">
        <v>93647908.784087107</v>
      </c>
      <c r="K63">
        <v>0.17877881965081499</v>
      </c>
      <c r="L63">
        <v>3.0130521209441801E-2</v>
      </c>
      <c r="M63">
        <v>-1.8347318341378101E-2</v>
      </c>
      <c r="N63">
        <v>1.8093014405179801E-3</v>
      </c>
      <c r="O63">
        <v>0.50366789947148105</v>
      </c>
      <c r="P63">
        <v>0.24998654651362401</v>
      </c>
      <c r="Q63">
        <v>0.60740921574610895</v>
      </c>
      <c r="R63">
        <v>0.23846326037290699</v>
      </c>
      <c r="S63">
        <v>0.44110554190434798</v>
      </c>
      <c r="T63">
        <v>9.0189953536648299E-2</v>
      </c>
      <c r="U63">
        <v>23</v>
      </c>
    </row>
    <row r="64" spans="1:21" x14ac:dyDescent="0.25">
      <c r="A64">
        <v>63</v>
      </c>
      <c r="B64">
        <v>703</v>
      </c>
      <c r="C64" t="s">
        <v>20</v>
      </c>
      <c r="D64">
        <v>30</v>
      </c>
      <c r="E64" t="s">
        <v>21</v>
      </c>
      <c r="F64" t="s">
        <v>22</v>
      </c>
      <c r="G64">
        <v>12791.766320270701</v>
      </c>
      <c r="H64">
        <v>149001231.59315699</v>
      </c>
      <c r="I64">
        <v>6673.5078341651897</v>
      </c>
      <c r="J64">
        <v>96573433.156417593</v>
      </c>
      <c r="K64">
        <v>0.162365789795646</v>
      </c>
      <c r="L64">
        <v>3.67545767883923E-2</v>
      </c>
      <c r="M64">
        <v>-2.0629464194059699E-2</v>
      </c>
      <c r="N64">
        <v>2.0356688348113802E-3</v>
      </c>
      <c r="O64">
        <v>0.419477894837545</v>
      </c>
      <c r="P64">
        <v>0.24351619058014001</v>
      </c>
      <c r="Q64">
        <v>0.58199976079416305</v>
      </c>
      <c r="R64">
        <v>0.24327603922994001</v>
      </c>
      <c r="S64">
        <v>0.382368301597311</v>
      </c>
      <c r="T64">
        <v>9.79331737703769E-2</v>
      </c>
      <c r="U64">
        <v>23</v>
      </c>
    </row>
    <row r="65" spans="1:21" x14ac:dyDescent="0.25">
      <c r="A65">
        <v>64</v>
      </c>
      <c r="B65">
        <v>704</v>
      </c>
      <c r="C65" t="s">
        <v>20</v>
      </c>
      <c r="D65">
        <v>30</v>
      </c>
      <c r="E65" t="s">
        <v>21</v>
      </c>
      <c r="F65" t="s">
        <v>22</v>
      </c>
      <c r="G65">
        <v>12010.8108301264</v>
      </c>
      <c r="H65">
        <v>131315804.795689</v>
      </c>
      <c r="I65">
        <v>8209.0498682868092</v>
      </c>
      <c r="J65">
        <v>106440511.706706</v>
      </c>
      <c r="K65">
        <v>0.11424851246278001</v>
      </c>
      <c r="L65">
        <v>4.3881416942981297E-2</v>
      </c>
      <c r="M65">
        <v>-4.3636133702752801E-2</v>
      </c>
      <c r="N65">
        <v>2.2232210864314901E-3</v>
      </c>
      <c r="O65">
        <v>0.41771577789994502</v>
      </c>
      <c r="P65">
        <v>0.24322930679354801</v>
      </c>
      <c r="Q65">
        <v>0.91900174529663203</v>
      </c>
      <c r="R65">
        <v>7.4437537438100401E-2</v>
      </c>
      <c r="S65">
        <v>0.33014252524754201</v>
      </c>
      <c r="T65">
        <v>0.12000704333425299</v>
      </c>
      <c r="U65">
        <v>40</v>
      </c>
    </row>
    <row r="66" spans="1:21" x14ac:dyDescent="0.25">
      <c r="A66">
        <v>65</v>
      </c>
      <c r="B66">
        <v>705</v>
      </c>
      <c r="C66" t="s">
        <v>20</v>
      </c>
      <c r="D66">
        <v>30</v>
      </c>
      <c r="E66" t="s">
        <v>21</v>
      </c>
      <c r="F66" t="s">
        <v>22</v>
      </c>
      <c r="G66">
        <v>15773.7160246312</v>
      </c>
      <c r="H66">
        <v>160881598.88720199</v>
      </c>
      <c r="I66">
        <v>4843.1848343233196</v>
      </c>
      <c r="J66">
        <v>85436113.481408894</v>
      </c>
      <c r="K66">
        <v>0.16223142191467399</v>
      </c>
      <c r="L66">
        <v>3.0909683719533902E-2</v>
      </c>
      <c r="M66">
        <v>-3.7273926265174902E-2</v>
      </c>
      <c r="N66">
        <v>1.80738671953157E-3</v>
      </c>
      <c r="O66">
        <v>0.502323825394139</v>
      </c>
      <c r="P66">
        <v>0.24999459983546801</v>
      </c>
      <c r="Q66">
        <v>0.95054093814688001</v>
      </c>
      <c r="R66">
        <v>4.7012863053835001E-2</v>
      </c>
      <c r="S66">
        <v>0.41195885401594201</v>
      </c>
      <c r="T66">
        <v>9.8245235025342395E-2</v>
      </c>
      <c r="U66">
        <v>58</v>
      </c>
    </row>
    <row r="67" spans="1:21" x14ac:dyDescent="0.25">
      <c r="A67">
        <v>66</v>
      </c>
      <c r="B67">
        <v>706</v>
      </c>
      <c r="C67" t="s">
        <v>20</v>
      </c>
      <c r="D67">
        <v>30</v>
      </c>
      <c r="E67" t="s">
        <v>21</v>
      </c>
      <c r="F67" t="s">
        <v>22</v>
      </c>
      <c r="G67">
        <v>16741.9945130837</v>
      </c>
      <c r="H67">
        <v>166494423.71674001</v>
      </c>
      <c r="I67">
        <v>3588.5772581953402</v>
      </c>
      <c r="J67">
        <v>91743924.592675894</v>
      </c>
      <c r="K67">
        <v>0.18285191107041701</v>
      </c>
      <c r="L67">
        <v>3.5262695125488297E-2</v>
      </c>
      <c r="M67">
        <v>-3.2404081256358602E-2</v>
      </c>
      <c r="N67">
        <v>1.9974098576269702E-3</v>
      </c>
      <c r="O67">
        <v>0.54338212000253405</v>
      </c>
      <c r="P67">
        <v>0.248117991664011</v>
      </c>
      <c r="Q67">
        <v>0.801041547876991</v>
      </c>
      <c r="R67">
        <v>0.15937398645152201</v>
      </c>
      <c r="S67">
        <v>0.44296248667284499</v>
      </c>
      <c r="T67">
        <v>9.9767925226263099E-2</v>
      </c>
      <c r="U67">
        <v>34</v>
      </c>
    </row>
    <row r="68" spans="1:21" x14ac:dyDescent="0.25">
      <c r="A68">
        <v>67</v>
      </c>
      <c r="B68">
        <v>707</v>
      </c>
      <c r="C68" t="s">
        <v>20</v>
      </c>
      <c r="D68">
        <v>30</v>
      </c>
      <c r="E68" t="s">
        <v>21</v>
      </c>
      <c r="F68" t="s">
        <v>22</v>
      </c>
      <c r="G68">
        <v>11913.2174750208</v>
      </c>
      <c r="H68">
        <v>139534694.75495201</v>
      </c>
      <c r="I68">
        <v>8305.4355153761408</v>
      </c>
      <c r="J68">
        <v>83929923.303096399</v>
      </c>
      <c r="K68">
        <v>8.4507943532983604E-2</v>
      </c>
      <c r="L68">
        <v>3.1973953663533901E-2</v>
      </c>
      <c r="M68">
        <v>-4.8288733794568502E-2</v>
      </c>
      <c r="N68">
        <v>1.88392995841313E-3</v>
      </c>
      <c r="O68">
        <v>0.36711594504579498</v>
      </c>
      <c r="P68">
        <v>0.23234182793890901</v>
      </c>
      <c r="Q68">
        <v>0.87646033356750697</v>
      </c>
      <c r="R68">
        <v>0.108277617250514</v>
      </c>
      <c r="S68">
        <v>0.29816688573380001</v>
      </c>
      <c r="T68">
        <v>9.4016288307586696E-2</v>
      </c>
      <c r="U68">
        <v>50</v>
      </c>
    </row>
    <row r="69" spans="1:21" x14ac:dyDescent="0.25">
      <c r="A69">
        <v>68</v>
      </c>
      <c r="B69">
        <v>708</v>
      </c>
      <c r="C69" t="s">
        <v>20</v>
      </c>
      <c r="D69">
        <v>30</v>
      </c>
      <c r="E69" t="s">
        <v>21</v>
      </c>
      <c r="F69" t="s">
        <v>22</v>
      </c>
      <c r="G69">
        <v>11807.2566436243</v>
      </c>
      <c r="H69">
        <v>148352334.89472601</v>
      </c>
      <c r="I69">
        <v>8338.2042894111091</v>
      </c>
      <c r="J69">
        <v>94373304.591921598</v>
      </c>
      <c r="K69">
        <v>8.4281520961253895E-2</v>
      </c>
      <c r="L69">
        <v>3.6622064478356899E-2</v>
      </c>
      <c r="M69">
        <v>-4.5762408329485901E-2</v>
      </c>
      <c r="N69">
        <v>1.7239581511854401E-3</v>
      </c>
      <c r="O69">
        <v>0.372126677350683</v>
      </c>
      <c r="P69">
        <v>0.233648413354345</v>
      </c>
      <c r="Q69">
        <v>0.61229518000239203</v>
      </c>
      <c r="R69">
        <v>0.237389792548338</v>
      </c>
      <c r="S69">
        <v>0.3119765450384</v>
      </c>
      <c r="T69">
        <v>0.10606040161868401</v>
      </c>
      <c r="U69">
        <v>16</v>
      </c>
    </row>
    <row r="70" spans="1:21" x14ac:dyDescent="0.25">
      <c r="A70">
        <v>69</v>
      </c>
      <c r="B70">
        <v>709</v>
      </c>
      <c r="C70" t="s">
        <v>20</v>
      </c>
      <c r="D70">
        <v>30</v>
      </c>
      <c r="E70" t="s">
        <v>21</v>
      </c>
      <c r="F70" t="s">
        <v>22</v>
      </c>
      <c r="G70">
        <v>11648.2920641288</v>
      </c>
      <c r="H70">
        <v>101429097.79158001</v>
      </c>
      <c r="I70">
        <v>6927.9983016306696</v>
      </c>
      <c r="J70">
        <v>78603183.564231396</v>
      </c>
      <c r="K70">
        <v>0.167299860184142</v>
      </c>
      <c r="L70">
        <v>4.4841900717036302E-2</v>
      </c>
      <c r="M70">
        <v>-2.29416417504647E-2</v>
      </c>
      <c r="N70">
        <v>2.48705919224659E-3</v>
      </c>
      <c r="O70">
        <v>0.45539441192323599</v>
      </c>
      <c r="P70">
        <v>0.24801034151208601</v>
      </c>
      <c r="Q70">
        <v>0.66196653506298198</v>
      </c>
      <c r="R70">
        <v>0.22376684151971701</v>
      </c>
      <c r="S70">
        <v>0.40099806593564502</v>
      </c>
      <c r="T70">
        <v>8.9506056955494906E-2</v>
      </c>
      <c r="U70">
        <v>21</v>
      </c>
    </row>
    <row r="71" spans="1:21" x14ac:dyDescent="0.25">
      <c r="A71">
        <v>70</v>
      </c>
      <c r="B71">
        <v>710</v>
      </c>
      <c r="C71" t="s">
        <v>20</v>
      </c>
      <c r="D71">
        <v>30</v>
      </c>
      <c r="E71" t="s">
        <v>21</v>
      </c>
      <c r="F71" t="s">
        <v>22</v>
      </c>
      <c r="G71">
        <v>10831.056371733501</v>
      </c>
      <c r="H71">
        <v>104923030.46226899</v>
      </c>
      <c r="I71">
        <v>6575.2025648986601</v>
      </c>
      <c r="J71">
        <v>66444192.542056799</v>
      </c>
      <c r="K71">
        <v>0.176404437311591</v>
      </c>
      <c r="L71">
        <v>3.6507102562470098E-2</v>
      </c>
      <c r="M71">
        <v>-1.6395559786257501E-2</v>
      </c>
      <c r="N71">
        <v>1.9302650467683E-3</v>
      </c>
      <c r="O71">
        <v>0.42898825215633102</v>
      </c>
      <c r="P71">
        <v>0.244957331668339</v>
      </c>
      <c r="Q71">
        <v>0.71122002405753304</v>
      </c>
      <c r="R71">
        <v>0.20538610143713501</v>
      </c>
      <c r="S71">
        <v>0.417964206901623</v>
      </c>
      <c r="T71">
        <v>8.2956392191274E-2</v>
      </c>
      <c r="U71">
        <v>25</v>
      </c>
    </row>
    <row r="72" spans="1:21" x14ac:dyDescent="0.25">
      <c r="A72">
        <v>71</v>
      </c>
      <c r="B72">
        <v>801</v>
      </c>
      <c r="C72" t="s">
        <v>20</v>
      </c>
      <c r="D72">
        <v>30</v>
      </c>
      <c r="E72" t="s">
        <v>21</v>
      </c>
      <c r="F72" t="s">
        <v>22</v>
      </c>
      <c r="G72">
        <v>12535.141728407199</v>
      </c>
      <c r="H72">
        <v>155339948.40999499</v>
      </c>
      <c r="I72">
        <v>6347.2919834212498</v>
      </c>
      <c r="J72">
        <v>70752916.327358797</v>
      </c>
      <c r="K72">
        <v>0.13419602925201801</v>
      </c>
      <c r="L72">
        <v>2.9184475713887201E-2</v>
      </c>
      <c r="M72">
        <v>-2.75607987628298E-2</v>
      </c>
      <c r="N72">
        <v>1.67730521286585E-3</v>
      </c>
      <c r="O72">
        <v>0.41722253673665299</v>
      </c>
      <c r="P72">
        <v>0.24314789157597599</v>
      </c>
      <c r="Q72">
        <v>0.87461999532301904</v>
      </c>
      <c r="R72">
        <v>0.109659859104455</v>
      </c>
      <c r="S72">
        <v>0.38569595487809999</v>
      </c>
      <c r="T72">
        <v>8.8331357768425503E-2</v>
      </c>
      <c r="U72">
        <v>62</v>
      </c>
    </row>
    <row r="73" spans="1:21" x14ac:dyDescent="0.25">
      <c r="A73">
        <v>72</v>
      </c>
      <c r="B73">
        <v>802</v>
      </c>
      <c r="C73" t="s">
        <v>20</v>
      </c>
      <c r="D73">
        <v>30</v>
      </c>
      <c r="E73" t="s">
        <v>21</v>
      </c>
      <c r="F73" t="s">
        <v>22</v>
      </c>
      <c r="G73">
        <v>11735.6163791497</v>
      </c>
      <c r="H73">
        <v>140864391.096075</v>
      </c>
      <c r="I73">
        <v>7497.9832237810497</v>
      </c>
      <c r="J73">
        <v>94750302.097231001</v>
      </c>
      <c r="K73">
        <v>0.14961376200304299</v>
      </c>
      <c r="L73">
        <v>4.1941354181642798E-2</v>
      </c>
      <c r="M73">
        <v>-1.8920930739874001E-2</v>
      </c>
      <c r="N73">
        <v>2.2024894329907298E-3</v>
      </c>
      <c r="O73">
        <v>0.39497249028155501</v>
      </c>
      <c r="P73">
        <v>0.238969222202355</v>
      </c>
      <c r="Q73">
        <v>0.70795350108050403</v>
      </c>
      <c r="R73">
        <v>0.20675534138842</v>
      </c>
      <c r="S73">
        <v>0.370885251590861</v>
      </c>
      <c r="T73">
        <v>0.103384751028093</v>
      </c>
      <c r="U73">
        <v>23</v>
      </c>
    </row>
    <row r="74" spans="1:21" x14ac:dyDescent="0.25">
      <c r="A74">
        <v>73</v>
      </c>
      <c r="B74">
        <v>803</v>
      </c>
      <c r="C74" t="s">
        <v>20</v>
      </c>
      <c r="D74">
        <v>30</v>
      </c>
      <c r="E74" t="s">
        <v>21</v>
      </c>
      <c r="F74" t="s">
        <v>22</v>
      </c>
      <c r="G74">
        <v>16107.0673795169</v>
      </c>
      <c r="H74">
        <v>189078914.66392899</v>
      </c>
      <c r="I74">
        <v>4246.3103952097099</v>
      </c>
      <c r="J74">
        <v>93396193.932799995</v>
      </c>
      <c r="K74">
        <v>0.193186689734474</v>
      </c>
      <c r="L74">
        <v>2.97318453905198E-2</v>
      </c>
      <c r="M74">
        <v>-1.3780329036106599E-2</v>
      </c>
      <c r="N74">
        <v>2.0675967808047699E-3</v>
      </c>
      <c r="O74">
        <v>0.496201923684576</v>
      </c>
      <c r="P74">
        <v>0.24998557461642801</v>
      </c>
      <c r="Q74">
        <v>0.65991733970348498</v>
      </c>
      <c r="R74">
        <v>0.22442644446191201</v>
      </c>
      <c r="S74">
        <v>0.45042812398948401</v>
      </c>
      <c r="T74">
        <v>8.8465381441842406E-2</v>
      </c>
      <c r="U74">
        <v>23</v>
      </c>
    </row>
    <row r="75" spans="1:21" x14ac:dyDescent="0.25">
      <c r="A75">
        <v>74</v>
      </c>
      <c r="B75">
        <v>804</v>
      </c>
      <c r="C75" t="s">
        <v>20</v>
      </c>
      <c r="D75">
        <v>30</v>
      </c>
      <c r="E75" t="s">
        <v>21</v>
      </c>
      <c r="F75" t="s">
        <v>22</v>
      </c>
      <c r="G75">
        <v>16657.0760487591</v>
      </c>
      <c r="H75">
        <v>218898838.78394201</v>
      </c>
      <c r="I75">
        <v>4815.5929244108102</v>
      </c>
      <c r="J75">
        <v>102863614.852062</v>
      </c>
      <c r="K75">
        <v>0.15329455687578</v>
      </c>
      <c r="L75">
        <v>3.45281881268754E-2</v>
      </c>
      <c r="M75">
        <v>-3.5153295398768103E-2</v>
      </c>
      <c r="N75">
        <v>2.8596927489633901E-3</v>
      </c>
      <c r="O75">
        <v>0.499396002635625</v>
      </c>
      <c r="P75">
        <v>0.249999635187244</v>
      </c>
      <c r="Q75">
        <v>0.85584460155123898</v>
      </c>
      <c r="R75">
        <v>0.123374619546847</v>
      </c>
      <c r="S75">
        <v>0.41733184595879003</v>
      </c>
      <c r="T75">
        <v>0.10710317495640601</v>
      </c>
      <c r="U75">
        <v>44</v>
      </c>
    </row>
    <row r="76" spans="1:21" x14ac:dyDescent="0.25">
      <c r="A76">
        <v>75</v>
      </c>
      <c r="B76">
        <v>805</v>
      </c>
      <c r="C76" t="s">
        <v>20</v>
      </c>
      <c r="D76">
        <v>30</v>
      </c>
      <c r="E76" t="s">
        <v>21</v>
      </c>
      <c r="F76" t="s">
        <v>22</v>
      </c>
      <c r="G76">
        <v>14831.6779949138</v>
      </c>
      <c r="H76">
        <v>193221375.66852501</v>
      </c>
      <c r="I76">
        <v>5096.1733064571399</v>
      </c>
      <c r="J76">
        <v>88113777.4996389</v>
      </c>
      <c r="K76">
        <v>0.15383213599619</v>
      </c>
      <c r="L76">
        <v>3.2647592241012803E-2</v>
      </c>
      <c r="M76">
        <v>-2.96067760489226E-2</v>
      </c>
      <c r="N76">
        <v>2.80478607457035E-3</v>
      </c>
      <c r="O76">
        <v>0.45134837419933899</v>
      </c>
      <c r="P76">
        <v>0.24763301930664899</v>
      </c>
      <c r="Q76">
        <v>0.75991024682124197</v>
      </c>
      <c r="R76">
        <v>0.18244666359752901</v>
      </c>
      <c r="S76">
        <v>0.39363956682118101</v>
      </c>
      <c r="T76">
        <v>0.101120763738157</v>
      </c>
      <c r="U76">
        <v>48</v>
      </c>
    </row>
    <row r="77" spans="1:21" x14ac:dyDescent="0.25">
      <c r="A77">
        <v>76</v>
      </c>
      <c r="B77">
        <v>806</v>
      </c>
      <c r="C77" t="s">
        <v>20</v>
      </c>
      <c r="D77">
        <v>30</v>
      </c>
      <c r="E77" t="s">
        <v>21</v>
      </c>
      <c r="F77" t="s">
        <v>22</v>
      </c>
      <c r="G77">
        <v>14261.233500749</v>
      </c>
      <c r="H77">
        <v>133409524.358527</v>
      </c>
      <c r="I77">
        <v>3684.9662136793199</v>
      </c>
      <c r="J77">
        <v>78464086.745303497</v>
      </c>
      <c r="K77">
        <v>0.22425766195362901</v>
      </c>
      <c r="L77">
        <v>3.9073816739617302E-2</v>
      </c>
      <c r="M77">
        <v>-8.6000862105561904E-3</v>
      </c>
      <c r="N77">
        <v>2.4710837282680902E-3</v>
      </c>
      <c r="O77">
        <v>0.52432561710912196</v>
      </c>
      <c r="P77">
        <v>0.24940826435195401</v>
      </c>
      <c r="Q77">
        <v>0.75120213489086396</v>
      </c>
      <c r="R77">
        <v>0.18689748742628401</v>
      </c>
      <c r="S77">
        <v>0.46359110566698303</v>
      </c>
      <c r="T77">
        <v>9.8889400664302907E-2</v>
      </c>
      <c r="U77">
        <v>30</v>
      </c>
    </row>
    <row r="78" spans="1:21" x14ac:dyDescent="0.25">
      <c r="A78">
        <v>77</v>
      </c>
      <c r="B78">
        <v>807</v>
      </c>
      <c r="C78" t="s">
        <v>20</v>
      </c>
      <c r="D78">
        <v>30</v>
      </c>
      <c r="E78" t="s">
        <v>21</v>
      </c>
      <c r="F78" t="s">
        <v>22</v>
      </c>
      <c r="G78">
        <v>17443.414180075099</v>
      </c>
      <c r="H78">
        <v>207265045.846071</v>
      </c>
      <c r="I78">
        <v>4447.2085355709696</v>
      </c>
      <c r="J78">
        <v>90287843.775900096</v>
      </c>
      <c r="K78">
        <v>0.15783218826796899</v>
      </c>
      <c r="L78">
        <v>2.8792798285478802E-2</v>
      </c>
      <c r="M78">
        <v>-3.02900618229895E-2</v>
      </c>
      <c r="N78">
        <v>2.1783365508114601E-3</v>
      </c>
      <c r="O78">
        <v>0.52143485315794003</v>
      </c>
      <c r="P78">
        <v>0.24954054707001699</v>
      </c>
      <c r="Q78">
        <v>0.76188588558828596</v>
      </c>
      <c r="R78">
        <v>0.18141578292968899</v>
      </c>
      <c r="S78">
        <v>0.43288679921307999</v>
      </c>
      <c r="T78">
        <v>9.5003935573835699E-2</v>
      </c>
      <c r="U78">
        <v>35</v>
      </c>
    </row>
    <row r="79" spans="1:21" x14ac:dyDescent="0.25">
      <c r="A79">
        <v>78</v>
      </c>
      <c r="B79">
        <v>808</v>
      </c>
      <c r="C79" t="s">
        <v>20</v>
      </c>
      <c r="D79">
        <v>30</v>
      </c>
      <c r="E79" t="s">
        <v>21</v>
      </c>
      <c r="F79" t="s">
        <v>22</v>
      </c>
      <c r="G79">
        <v>10603.4912635293</v>
      </c>
      <c r="H79">
        <v>136426225.37584701</v>
      </c>
      <c r="I79">
        <v>9732.2295588145698</v>
      </c>
      <c r="J79">
        <v>95445465.522945106</v>
      </c>
      <c r="K79">
        <v>8.0678312879002304E-2</v>
      </c>
      <c r="L79">
        <v>3.9021808544121503E-2</v>
      </c>
      <c r="M79">
        <v>-4.1384440157194502E-2</v>
      </c>
      <c r="N79">
        <v>1.9721696146847E-3</v>
      </c>
      <c r="O79">
        <v>0.33859953357651101</v>
      </c>
      <c r="P79">
        <v>0.223949889438294</v>
      </c>
      <c r="Q79">
        <v>0.706821688735781</v>
      </c>
      <c r="R79">
        <v>0.20722478906851299</v>
      </c>
      <c r="S79">
        <v>0.297732096068139</v>
      </c>
      <c r="T79">
        <v>0.109297779245366</v>
      </c>
      <c r="U79">
        <v>30</v>
      </c>
    </row>
    <row r="80" spans="1:21" x14ac:dyDescent="0.25">
      <c r="A80">
        <v>79</v>
      </c>
      <c r="B80">
        <v>809</v>
      </c>
      <c r="C80" t="s">
        <v>20</v>
      </c>
      <c r="D80">
        <v>30</v>
      </c>
      <c r="E80" t="s">
        <v>21</v>
      </c>
      <c r="F80" t="s">
        <v>22</v>
      </c>
      <c r="G80">
        <v>13081.4415559892</v>
      </c>
      <c r="H80">
        <v>146417841.34159201</v>
      </c>
      <c r="I80">
        <v>6913.35525088738</v>
      </c>
      <c r="J80">
        <v>84748963.207588896</v>
      </c>
      <c r="K80">
        <v>0.15206557354348799</v>
      </c>
      <c r="L80">
        <v>3.8265979227661298E-2</v>
      </c>
      <c r="M80">
        <v>-2.5620110422189299E-2</v>
      </c>
      <c r="N80">
        <v>2.3665391218956298E-3</v>
      </c>
      <c r="O80">
        <v>0.43952917479700399</v>
      </c>
      <c r="P80">
        <v>0.246343279299299</v>
      </c>
      <c r="Q80">
        <v>0.52329636297256799</v>
      </c>
      <c r="R80">
        <v>0.249457279472073</v>
      </c>
      <c r="S80">
        <v>0.40159261839973298</v>
      </c>
      <c r="T80">
        <v>9.0148128429142799E-2</v>
      </c>
      <c r="U80">
        <v>13</v>
      </c>
    </row>
    <row r="81" spans="1:21" x14ac:dyDescent="0.25">
      <c r="A81">
        <v>80</v>
      </c>
      <c r="B81">
        <v>901</v>
      </c>
      <c r="C81" t="s">
        <v>20</v>
      </c>
      <c r="D81">
        <v>30</v>
      </c>
      <c r="E81" t="s">
        <v>21</v>
      </c>
      <c r="F81" t="s">
        <v>22</v>
      </c>
      <c r="G81">
        <v>8968.9864375156994</v>
      </c>
      <c r="H81">
        <v>125278891.837304</v>
      </c>
      <c r="I81">
        <v>9485.7733609852003</v>
      </c>
      <c r="J81">
        <v>60872219.443017103</v>
      </c>
      <c r="K81">
        <v>9.3135503098735903E-2</v>
      </c>
      <c r="L81">
        <v>2.4616425227180799E-2</v>
      </c>
      <c r="M81">
        <v>-3.3819936542250101E-2</v>
      </c>
      <c r="N81">
        <v>1.4642334944975201E-3</v>
      </c>
      <c r="O81">
        <v>0.29880520971619201</v>
      </c>
      <c r="P81">
        <v>0.209520656363018</v>
      </c>
      <c r="Q81">
        <v>0.85296896489864305</v>
      </c>
      <c r="R81">
        <v>0.12541290981839701</v>
      </c>
      <c r="S81">
        <v>0.30905110704459998</v>
      </c>
      <c r="T81">
        <v>7.4443288809560304E-2</v>
      </c>
      <c r="U81">
        <v>51</v>
      </c>
    </row>
    <row r="82" spans="1:21" x14ac:dyDescent="0.25">
      <c r="A82">
        <v>81</v>
      </c>
      <c r="B82">
        <v>902</v>
      </c>
      <c r="C82" t="s">
        <v>20</v>
      </c>
      <c r="D82">
        <v>30</v>
      </c>
      <c r="E82" t="s">
        <v>21</v>
      </c>
      <c r="F82" t="s">
        <v>22</v>
      </c>
      <c r="G82">
        <v>13198.244184299499</v>
      </c>
      <c r="H82">
        <v>170893901.579528</v>
      </c>
      <c r="I82">
        <v>7597.82512781286</v>
      </c>
      <c r="J82">
        <v>103027874.817434</v>
      </c>
      <c r="K82">
        <v>0.12458042310456</v>
      </c>
      <c r="L82">
        <v>3.6927803892025997E-2</v>
      </c>
      <c r="M82">
        <v>-3.11379803571631E-2</v>
      </c>
      <c r="N82">
        <v>2.0017967567122802E-3</v>
      </c>
      <c r="O82">
        <v>0.43131338424940502</v>
      </c>
      <c r="P82">
        <v>0.245282148816653</v>
      </c>
      <c r="Q82">
        <v>0.50942097026604105</v>
      </c>
      <c r="R82">
        <v>0.24991124531954201</v>
      </c>
      <c r="S82">
        <v>0.376089974480738</v>
      </c>
      <c r="T82">
        <v>0.10303746292556901</v>
      </c>
      <c r="U82">
        <v>16</v>
      </c>
    </row>
    <row r="83" spans="1:21" x14ac:dyDescent="0.25">
      <c r="A83">
        <v>82</v>
      </c>
      <c r="B83">
        <v>903</v>
      </c>
      <c r="C83" t="s">
        <v>20</v>
      </c>
      <c r="D83">
        <v>30</v>
      </c>
      <c r="E83" t="s">
        <v>21</v>
      </c>
      <c r="F83" t="s">
        <v>22</v>
      </c>
      <c r="G83">
        <v>9152.3435354507492</v>
      </c>
      <c r="H83">
        <v>125841035.40449899</v>
      </c>
      <c r="I83">
        <v>10944.727511277</v>
      </c>
      <c r="J83">
        <v>79858037.690173104</v>
      </c>
      <c r="K83">
        <v>7.6353681224824096E-2</v>
      </c>
      <c r="L83">
        <v>2.7068984178351099E-2</v>
      </c>
      <c r="M83">
        <v>-3.9558520126922798E-2</v>
      </c>
      <c r="N83">
        <v>1.6730620785523401E-3</v>
      </c>
      <c r="O83">
        <v>0.27577799165864603</v>
      </c>
      <c r="P83">
        <v>0.19972449097536801</v>
      </c>
      <c r="Q83">
        <v>0.69887202125065795</v>
      </c>
      <c r="R83">
        <v>0.21044991916339501</v>
      </c>
      <c r="S83">
        <v>0.27225034839994999</v>
      </c>
      <c r="T83">
        <v>8.0330768144284595E-2</v>
      </c>
      <c r="U83">
        <v>27</v>
      </c>
    </row>
    <row r="84" spans="1:21" x14ac:dyDescent="0.25">
      <c r="A84">
        <v>83</v>
      </c>
      <c r="B84">
        <v>904</v>
      </c>
      <c r="C84" t="s">
        <v>20</v>
      </c>
      <c r="D84">
        <v>30</v>
      </c>
      <c r="E84" t="s">
        <v>21</v>
      </c>
      <c r="F84" t="s">
        <v>22</v>
      </c>
      <c r="G84">
        <v>10349.780250796901</v>
      </c>
      <c r="H84">
        <v>149373484.21948999</v>
      </c>
      <c r="I84">
        <v>9416.7255930842202</v>
      </c>
      <c r="J84">
        <v>83088256.064346999</v>
      </c>
      <c r="K84">
        <v>9.5070058377262706E-2</v>
      </c>
      <c r="L84">
        <v>2.8497149176520398E-2</v>
      </c>
      <c r="M84">
        <v>-3.6241505636186097E-2</v>
      </c>
      <c r="N84">
        <v>2.1193415488998698E-3</v>
      </c>
      <c r="O84">
        <v>0.30664344993189402</v>
      </c>
      <c r="P84">
        <v>0.212613244545725</v>
      </c>
      <c r="Q84">
        <v>0.59808478074671101</v>
      </c>
      <c r="R84">
        <v>0.24037937578611601</v>
      </c>
      <c r="S84">
        <v>0.30474600801038398</v>
      </c>
      <c r="T84">
        <v>8.11657228710604E-2</v>
      </c>
      <c r="U84">
        <v>19</v>
      </c>
    </row>
    <row r="85" spans="1:21" x14ac:dyDescent="0.25">
      <c r="A85">
        <v>84</v>
      </c>
      <c r="B85">
        <v>905</v>
      </c>
      <c r="C85" t="s">
        <v>20</v>
      </c>
      <c r="D85">
        <v>30</v>
      </c>
      <c r="E85" t="s">
        <v>21</v>
      </c>
      <c r="F85" t="s">
        <v>22</v>
      </c>
      <c r="G85">
        <v>12178.4178653994</v>
      </c>
      <c r="H85">
        <v>202716273.873384</v>
      </c>
      <c r="I85">
        <v>6311.8270412715501</v>
      </c>
      <c r="J85">
        <v>61451947.150622196</v>
      </c>
      <c r="K85">
        <v>0.14079865902750799</v>
      </c>
      <c r="L85">
        <v>1.8203652793326801E-2</v>
      </c>
      <c r="M85">
        <v>-2.2015255610913099E-2</v>
      </c>
      <c r="N85">
        <v>1.9951846230006399E-3</v>
      </c>
      <c r="O85">
        <v>0.35536861032622702</v>
      </c>
      <c r="P85">
        <v>0.22908176112098899</v>
      </c>
      <c r="Q85">
        <v>0.58506389263468805</v>
      </c>
      <c r="R85">
        <v>0.24276413416994599</v>
      </c>
      <c r="S85">
        <v>0.37419508554070902</v>
      </c>
      <c r="T85">
        <v>6.7632741062329998E-2</v>
      </c>
      <c r="U85">
        <v>25</v>
      </c>
    </row>
    <row r="86" spans="1:21" x14ac:dyDescent="0.25">
      <c r="A86">
        <v>85</v>
      </c>
      <c r="B86">
        <v>906</v>
      </c>
      <c r="C86" t="s">
        <v>20</v>
      </c>
      <c r="D86">
        <v>30</v>
      </c>
      <c r="E86" t="s">
        <v>21</v>
      </c>
      <c r="F86" t="s">
        <v>22</v>
      </c>
      <c r="G86">
        <v>14902.2698968241</v>
      </c>
      <c r="H86">
        <v>173620106.875099</v>
      </c>
      <c r="I86">
        <v>3914.4789429869502</v>
      </c>
      <c r="J86">
        <v>70255677.390280202</v>
      </c>
      <c r="K86">
        <v>0.22450686633554001</v>
      </c>
      <c r="L86">
        <v>2.6474189166158301E-2</v>
      </c>
      <c r="M86">
        <v>-2.4224990552149999E-3</v>
      </c>
      <c r="N86">
        <v>2.3233894130516601E-3</v>
      </c>
      <c r="O86">
        <v>0.50128156754576603</v>
      </c>
      <c r="P86">
        <v>0.24999835758446901</v>
      </c>
      <c r="Q86">
        <v>0.65558562543912102</v>
      </c>
      <c r="R86">
        <v>0.225793113156848</v>
      </c>
      <c r="S86">
        <v>0.48561845284052502</v>
      </c>
      <c r="T86">
        <v>7.2371848341080305E-2</v>
      </c>
      <c r="U86">
        <v>25</v>
      </c>
    </row>
    <row r="87" spans="1:21" x14ac:dyDescent="0.25">
      <c r="A87">
        <v>86</v>
      </c>
      <c r="B87">
        <v>907</v>
      </c>
      <c r="C87" t="s">
        <v>20</v>
      </c>
      <c r="D87">
        <v>30</v>
      </c>
      <c r="E87" t="s">
        <v>21</v>
      </c>
      <c r="F87" t="s">
        <v>22</v>
      </c>
      <c r="G87">
        <v>16190.474285292299</v>
      </c>
      <c r="H87">
        <v>188302014.450111</v>
      </c>
      <c r="I87">
        <v>2440.77835597284</v>
      </c>
      <c r="J87">
        <v>67352869.258451805</v>
      </c>
      <c r="K87">
        <v>0.26905200709694699</v>
      </c>
      <c r="L87">
        <v>2.38575047168781E-2</v>
      </c>
      <c r="M87">
        <v>1.26587226143172E-2</v>
      </c>
      <c r="N87">
        <v>2.6274260682140099E-3</v>
      </c>
      <c r="O87">
        <v>0.55138634209975801</v>
      </c>
      <c r="P87">
        <v>0.247359443845795</v>
      </c>
      <c r="Q87">
        <v>0.65045353287959495</v>
      </c>
      <c r="R87">
        <v>0.227363734444441</v>
      </c>
      <c r="S87">
        <v>0.54076732138249795</v>
      </c>
      <c r="T87">
        <v>6.65507870984684E-2</v>
      </c>
      <c r="U87">
        <v>75</v>
      </c>
    </row>
    <row r="88" spans="1:21" x14ac:dyDescent="0.25">
      <c r="A88">
        <v>87</v>
      </c>
      <c r="B88">
        <v>908</v>
      </c>
      <c r="C88" t="s">
        <v>20</v>
      </c>
      <c r="D88">
        <v>30</v>
      </c>
      <c r="E88" t="s">
        <v>21</v>
      </c>
      <c r="F88" t="s">
        <v>22</v>
      </c>
      <c r="G88">
        <v>12663.426046635799</v>
      </c>
      <c r="H88">
        <v>129192674.910566</v>
      </c>
      <c r="I88">
        <v>5787.1118916230498</v>
      </c>
      <c r="J88">
        <v>89629392.325071305</v>
      </c>
      <c r="K88">
        <v>0.24742779533766801</v>
      </c>
      <c r="L88">
        <v>4.1774501109228E-2</v>
      </c>
      <c r="M88">
        <v>8.2920385001201795E-3</v>
      </c>
      <c r="N88">
        <v>2.4392393874714102E-3</v>
      </c>
      <c r="O88">
        <v>0.48018401854751602</v>
      </c>
      <c r="P88">
        <v>0.24960732687925699</v>
      </c>
      <c r="Q88">
        <v>0.48574827619695099</v>
      </c>
      <c r="R88">
        <v>0.24979688836868599</v>
      </c>
      <c r="S88">
        <v>0.49146915186161699</v>
      </c>
      <c r="T88">
        <v>8.9718381791711405E-2</v>
      </c>
      <c r="U88">
        <v>15</v>
      </c>
    </row>
    <row r="89" spans="1:21" x14ac:dyDescent="0.25">
      <c r="A89">
        <v>88</v>
      </c>
      <c r="B89">
        <v>909</v>
      </c>
      <c r="C89" t="s">
        <v>20</v>
      </c>
      <c r="D89">
        <v>30</v>
      </c>
      <c r="E89" t="s">
        <v>21</v>
      </c>
      <c r="F89" t="s">
        <v>22</v>
      </c>
      <c r="G89">
        <v>13889.4088856256</v>
      </c>
      <c r="H89">
        <v>148235064.25790599</v>
      </c>
      <c r="I89">
        <v>3914.4383655536699</v>
      </c>
      <c r="J89">
        <v>62385799.244142801</v>
      </c>
      <c r="K89">
        <v>0.286780416075406</v>
      </c>
      <c r="L89">
        <v>2.3770652105764199E-2</v>
      </c>
      <c r="M89">
        <v>1.6665625441666301E-2</v>
      </c>
      <c r="N89">
        <v>2.1225926369075302E-3</v>
      </c>
      <c r="O89">
        <v>0.53903912224315598</v>
      </c>
      <c r="P89">
        <v>0.24847594693449901</v>
      </c>
      <c r="Q89">
        <v>0.60144325327571402</v>
      </c>
      <c r="R89">
        <v>0.23970926636481901</v>
      </c>
      <c r="S89">
        <v>0.54335443196412803</v>
      </c>
      <c r="T89">
        <v>6.0751540758245397E-2</v>
      </c>
      <c r="U89">
        <v>18</v>
      </c>
    </row>
    <row r="90" spans="1:21" x14ac:dyDescent="0.25">
      <c r="A90">
        <v>89</v>
      </c>
      <c r="B90">
        <v>910</v>
      </c>
      <c r="C90" t="s">
        <v>20</v>
      </c>
      <c r="D90">
        <v>30</v>
      </c>
      <c r="E90" t="s">
        <v>21</v>
      </c>
      <c r="F90" t="s">
        <v>22</v>
      </c>
      <c r="G90">
        <v>8042.9764112655303</v>
      </c>
      <c r="H90">
        <v>83907944.855894104</v>
      </c>
      <c r="I90">
        <v>9406.7908420133499</v>
      </c>
      <c r="J90">
        <v>74830061.247736901</v>
      </c>
      <c r="K90">
        <v>0.163763367024677</v>
      </c>
      <c r="L90">
        <v>4.3180542012958699E-2</v>
      </c>
      <c r="M90">
        <v>-6.7124448881574804E-3</v>
      </c>
      <c r="N90">
        <v>2.5161843370766299E-3</v>
      </c>
      <c r="O90">
        <v>0.34381994834583701</v>
      </c>
      <c r="P90">
        <v>0.225607791465395</v>
      </c>
      <c r="Q90">
        <v>0.52134881204191097</v>
      </c>
      <c r="R90">
        <v>0.24954422822465999</v>
      </c>
      <c r="S90">
        <v>0.38587957100316</v>
      </c>
      <c r="T90">
        <v>8.2974836740208099E-2</v>
      </c>
      <c r="U90">
        <v>19</v>
      </c>
    </row>
    <row r="91" spans="1:21" x14ac:dyDescent="0.25">
      <c r="A91">
        <v>90</v>
      </c>
      <c r="B91">
        <v>810</v>
      </c>
      <c r="C91" t="s">
        <v>20</v>
      </c>
      <c r="D91">
        <v>30</v>
      </c>
      <c r="E91" t="s">
        <v>21</v>
      </c>
      <c r="F91" t="s">
        <v>22</v>
      </c>
      <c r="G91">
        <v>10593.669644317501</v>
      </c>
      <c r="H91">
        <v>110172620.514221</v>
      </c>
      <c r="I91">
        <v>7535.7143243650798</v>
      </c>
      <c r="J91">
        <v>80685471.164360195</v>
      </c>
      <c r="K91">
        <v>0.16150171299025201</v>
      </c>
      <c r="L91">
        <v>4.2527690676188099E-2</v>
      </c>
      <c r="M91">
        <v>-2.0892174828723901E-2</v>
      </c>
      <c r="N91">
        <v>2.1129884738838901E-3</v>
      </c>
      <c r="O91">
        <v>0.40731747210024999</v>
      </c>
      <c r="P91">
        <v>0.241409949022107</v>
      </c>
      <c r="Q91">
        <v>0.535253264890164</v>
      </c>
      <c r="R91">
        <v>0.24875720731423501</v>
      </c>
      <c r="S91">
        <v>0.40956738394891501</v>
      </c>
      <c r="T91">
        <v>9.5182778837124504E-2</v>
      </c>
      <c r="U91">
        <v>20</v>
      </c>
    </row>
    <row r="92" spans="1:21" x14ac:dyDescent="0.25">
      <c r="A92">
        <v>91</v>
      </c>
      <c r="B92">
        <v>44444</v>
      </c>
      <c r="C92" t="s">
        <v>20</v>
      </c>
      <c r="D92">
        <v>30</v>
      </c>
      <c r="E92" t="s">
        <v>21</v>
      </c>
      <c r="F92" t="s">
        <v>22</v>
      </c>
      <c r="G92">
        <v>1057.6318283166099</v>
      </c>
      <c r="H92">
        <v>3244651.2733124602</v>
      </c>
      <c r="I92">
        <v>14961.271185323099</v>
      </c>
      <c r="J92">
        <v>28044032.3178128</v>
      </c>
      <c r="K92">
        <v>-7.6849250574191605E-2</v>
      </c>
      <c r="L92">
        <v>1.4190437067698101E-2</v>
      </c>
      <c r="M92">
        <v>-7.4387977385733606E-2</v>
      </c>
      <c r="N92">
        <v>2.7090342450248801E-3</v>
      </c>
      <c r="O92">
        <v>0</v>
      </c>
      <c r="P92">
        <v>0</v>
      </c>
      <c r="Q92">
        <v>0</v>
      </c>
      <c r="R92">
        <v>0</v>
      </c>
      <c r="S92">
        <v>7.0555876437103301E-2</v>
      </c>
      <c r="T92">
        <v>1.38263265133269E-2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30</v>
      </c>
      <c r="E93" t="s">
        <v>21</v>
      </c>
      <c r="F93" t="s">
        <v>22</v>
      </c>
      <c r="G93">
        <v>898.09530542986397</v>
      </c>
      <c r="H93">
        <v>5350392.1880322704</v>
      </c>
      <c r="I93">
        <v>12167.152927581001</v>
      </c>
      <c r="J93">
        <v>38840893.042398401</v>
      </c>
      <c r="K93">
        <v>-4.9517035630479198E-2</v>
      </c>
      <c r="L93">
        <v>4.5685974595884603E-2</v>
      </c>
      <c r="M93">
        <v>-4.0782367618479302E-2</v>
      </c>
      <c r="N93">
        <v>8.6930089661205797E-3</v>
      </c>
      <c r="O93">
        <v>6.9570135746606296E-2</v>
      </c>
      <c r="P93">
        <v>6.4730131958803797E-2</v>
      </c>
      <c r="Q93">
        <v>0</v>
      </c>
      <c r="R93">
        <v>0</v>
      </c>
      <c r="S93">
        <v>0.198172136782306</v>
      </c>
      <c r="T93">
        <v>3.6817084938145297E-2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30</v>
      </c>
      <c r="E94" t="s">
        <v>24</v>
      </c>
      <c r="F94" t="s">
        <v>25</v>
      </c>
      <c r="G94">
        <v>5988.4379177977398</v>
      </c>
      <c r="H94">
        <v>71516397.064054593</v>
      </c>
      <c r="I94">
        <v>11473.976627967901</v>
      </c>
      <c r="J94">
        <v>52384928.912241898</v>
      </c>
      <c r="K94">
        <v>0.116325976826523</v>
      </c>
      <c r="L94">
        <v>2.49872474771747E-2</v>
      </c>
      <c r="M94">
        <v>-2.9542908857608501E-2</v>
      </c>
      <c r="N94">
        <v>1.8082741525656E-3</v>
      </c>
      <c r="O94">
        <v>0.23995790631764</v>
      </c>
      <c r="P94">
        <v>0.1823781095135</v>
      </c>
      <c r="Q94">
        <v>0.93256545504563004</v>
      </c>
      <c r="R94">
        <v>6.2887127101186796E-2</v>
      </c>
      <c r="S94">
        <v>0.31502311023327301</v>
      </c>
      <c r="T94">
        <v>5.6204376744874898E-2</v>
      </c>
      <c r="U94">
        <v>67</v>
      </c>
    </row>
    <row r="95" spans="1:21" x14ac:dyDescent="0.25">
      <c r="A95">
        <v>94</v>
      </c>
      <c r="B95">
        <v>102</v>
      </c>
      <c r="C95" t="s">
        <v>23</v>
      </c>
      <c r="D95">
        <v>30</v>
      </c>
      <c r="E95" t="s">
        <v>24</v>
      </c>
      <c r="F95" t="s">
        <v>25</v>
      </c>
      <c r="G95">
        <v>9302.0113617336792</v>
      </c>
      <c r="H95">
        <v>139750619.52975699</v>
      </c>
      <c r="I95">
        <v>10481.951315193901</v>
      </c>
      <c r="J95">
        <v>72228252.635866404</v>
      </c>
      <c r="K95">
        <v>0.132121656200239</v>
      </c>
      <c r="L95">
        <v>2.2241958403807702E-2</v>
      </c>
      <c r="M95">
        <v>-3.3274828630794999E-2</v>
      </c>
      <c r="N95">
        <v>1.3751371002091201E-3</v>
      </c>
      <c r="O95">
        <v>0.31501901595426601</v>
      </c>
      <c r="P95">
        <v>0.21578203554139</v>
      </c>
      <c r="Q95">
        <v>0.80017222408266797</v>
      </c>
      <c r="R95">
        <v>0.159896635889509</v>
      </c>
      <c r="S95">
        <v>0.36050203526243801</v>
      </c>
      <c r="T95">
        <v>6.4016759726719594E-2</v>
      </c>
      <c r="U95">
        <v>34</v>
      </c>
    </row>
    <row r="96" spans="1:21" x14ac:dyDescent="0.25">
      <c r="A96">
        <v>95</v>
      </c>
      <c r="B96">
        <v>103</v>
      </c>
      <c r="C96" t="s">
        <v>23</v>
      </c>
      <c r="D96">
        <v>30</v>
      </c>
      <c r="E96" t="s">
        <v>24</v>
      </c>
      <c r="F96" t="s">
        <v>25</v>
      </c>
      <c r="G96">
        <v>8311.0516785667296</v>
      </c>
      <c r="H96">
        <v>137473520.031762</v>
      </c>
      <c r="I96">
        <v>11772.9425887459</v>
      </c>
      <c r="J96">
        <v>66461283.818332002</v>
      </c>
      <c r="K96">
        <v>9.5824947323168805E-2</v>
      </c>
      <c r="L96">
        <v>1.82068542055101E-2</v>
      </c>
      <c r="M96">
        <v>-3.7844038941302602E-2</v>
      </c>
      <c r="N96">
        <v>1.24221035483142E-3</v>
      </c>
      <c r="O96">
        <v>0.26232762847882501</v>
      </c>
      <c r="P96">
        <v>0.193511843815666</v>
      </c>
      <c r="Q96">
        <v>0.73642854580029404</v>
      </c>
      <c r="R96">
        <v>0.19410154273056199</v>
      </c>
      <c r="S96">
        <v>0.31847010808253101</v>
      </c>
      <c r="T96">
        <v>5.8158616232590603E-2</v>
      </c>
      <c r="U96">
        <v>31</v>
      </c>
    </row>
    <row r="97" spans="1:21" x14ac:dyDescent="0.25">
      <c r="A97">
        <v>96</v>
      </c>
      <c r="B97">
        <v>104</v>
      </c>
      <c r="C97" t="s">
        <v>23</v>
      </c>
      <c r="D97">
        <v>30</v>
      </c>
      <c r="E97" t="s">
        <v>24</v>
      </c>
      <c r="F97" t="s">
        <v>25</v>
      </c>
      <c r="G97">
        <v>7462.9955391846197</v>
      </c>
      <c r="H97">
        <v>126152614.19930699</v>
      </c>
      <c r="I97">
        <v>11403.049123086499</v>
      </c>
      <c r="J97">
        <v>54821374.604708202</v>
      </c>
      <c r="K97">
        <v>9.2164095987737102E-2</v>
      </c>
      <c r="L97">
        <v>1.5182087111373499E-2</v>
      </c>
      <c r="M97">
        <v>-3.3716324594686098E-2</v>
      </c>
      <c r="N97">
        <v>1.15328740607303E-3</v>
      </c>
      <c r="O97">
        <v>0.24675604243156299</v>
      </c>
      <c r="P97">
        <v>0.18586749795504401</v>
      </c>
      <c r="Q97">
        <v>0.68222756467759904</v>
      </c>
      <c r="R97">
        <v>0.21679311467164</v>
      </c>
      <c r="S97">
        <v>0.31353764241134802</v>
      </c>
      <c r="T97">
        <v>5.1918793886526197E-2</v>
      </c>
      <c r="U97">
        <v>26</v>
      </c>
    </row>
    <row r="98" spans="1:21" x14ac:dyDescent="0.25">
      <c r="A98">
        <v>97</v>
      </c>
      <c r="B98">
        <v>105</v>
      </c>
      <c r="C98" t="s">
        <v>23</v>
      </c>
      <c r="D98">
        <v>30</v>
      </c>
      <c r="E98" t="s">
        <v>24</v>
      </c>
      <c r="F98" t="s">
        <v>25</v>
      </c>
      <c r="G98">
        <v>6595.5187900679402</v>
      </c>
      <c r="H98">
        <v>96596148.193409905</v>
      </c>
      <c r="I98">
        <v>10828.2443485432</v>
      </c>
      <c r="J98">
        <v>44984986.098748602</v>
      </c>
      <c r="K98">
        <v>0.10638564444944799</v>
      </c>
      <c r="L98">
        <v>1.80959653034099E-2</v>
      </c>
      <c r="M98">
        <v>-2.43806941667962E-2</v>
      </c>
      <c r="N98">
        <v>1.22620376960939E-3</v>
      </c>
      <c r="O98">
        <v>0.24754808152329899</v>
      </c>
      <c r="P98">
        <v>0.186268028857238</v>
      </c>
      <c r="Q98">
        <v>0.70836871628652398</v>
      </c>
      <c r="R98">
        <v>0.206582478073223</v>
      </c>
      <c r="S98">
        <v>0.32521935799162599</v>
      </c>
      <c r="T98">
        <v>5.0763494085881003E-2</v>
      </c>
      <c r="U98">
        <v>27</v>
      </c>
    </row>
    <row r="99" spans="1:21" x14ac:dyDescent="0.25">
      <c r="A99">
        <v>98</v>
      </c>
      <c r="B99">
        <v>106</v>
      </c>
      <c r="C99" t="s">
        <v>23</v>
      </c>
      <c r="D99">
        <v>30</v>
      </c>
      <c r="E99" t="s">
        <v>24</v>
      </c>
      <c r="F99" t="s">
        <v>25</v>
      </c>
      <c r="G99">
        <v>6846.1075297449697</v>
      </c>
      <c r="H99">
        <v>124222846.812121</v>
      </c>
      <c r="I99">
        <v>10329.8466506723</v>
      </c>
      <c r="J99">
        <v>32664219.0376793</v>
      </c>
      <c r="K99">
        <v>8.9495744041735797E-2</v>
      </c>
      <c r="L99">
        <v>1.07073471695379E-2</v>
      </c>
      <c r="M99">
        <v>-2.87527782149266E-2</v>
      </c>
      <c r="N99">
        <v>1.13321514660047E-3</v>
      </c>
      <c r="O99">
        <v>0.20488023336036501</v>
      </c>
      <c r="P99">
        <v>0.162904323338709</v>
      </c>
      <c r="Q99">
        <v>0.82765632943568901</v>
      </c>
      <c r="R99">
        <v>0.14264132978084601</v>
      </c>
      <c r="S99">
        <v>0.31303102708464797</v>
      </c>
      <c r="T99">
        <v>3.9233693154451597E-2</v>
      </c>
      <c r="U99">
        <v>42</v>
      </c>
    </row>
    <row r="100" spans="1:21" x14ac:dyDescent="0.25">
      <c r="A100">
        <v>99</v>
      </c>
      <c r="B100">
        <v>107</v>
      </c>
      <c r="C100" t="s">
        <v>23</v>
      </c>
      <c r="D100">
        <v>30</v>
      </c>
      <c r="E100" t="s">
        <v>24</v>
      </c>
      <c r="F100" t="s">
        <v>25</v>
      </c>
      <c r="G100">
        <v>7240.7251195832996</v>
      </c>
      <c r="H100">
        <v>109284754.453445</v>
      </c>
      <c r="I100">
        <v>9663.3719628442304</v>
      </c>
      <c r="J100">
        <v>39332184.167542301</v>
      </c>
      <c r="K100">
        <v>0.10615901857689899</v>
      </c>
      <c r="L100">
        <v>1.5434633054901E-2</v>
      </c>
      <c r="M100">
        <v>-2.9271552329655399E-2</v>
      </c>
      <c r="N100">
        <v>1.4333621029707999E-3</v>
      </c>
      <c r="O100">
        <v>0.245252124134552</v>
      </c>
      <c r="P100">
        <v>0.18510351974196501</v>
      </c>
      <c r="Q100">
        <v>0.83059348367049601</v>
      </c>
      <c r="R100">
        <v>0.140707948554808</v>
      </c>
      <c r="S100">
        <v>0.33879032669361098</v>
      </c>
      <c r="T100">
        <v>4.6355972724553801E-2</v>
      </c>
      <c r="U100">
        <v>35</v>
      </c>
    </row>
    <row r="101" spans="1:21" x14ac:dyDescent="0.25">
      <c r="A101">
        <v>100</v>
      </c>
      <c r="B101">
        <v>108</v>
      </c>
      <c r="C101" t="s">
        <v>23</v>
      </c>
      <c r="D101">
        <v>30</v>
      </c>
      <c r="E101" t="s">
        <v>24</v>
      </c>
      <c r="F101" t="s">
        <v>25</v>
      </c>
      <c r="G101">
        <v>9101.6803530635898</v>
      </c>
      <c r="H101">
        <v>138863146.33217001</v>
      </c>
      <c r="I101">
        <v>8751.5271651742005</v>
      </c>
      <c r="J101">
        <v>40709963.191056304</v>
      </c>
      <c r="K101">
        <v>0.121642796172588</v>
      </c>
      <c r="L101">
        <v>1.4355962310260701E-2</v>
      </c>
      <c r="M101">
        <v>-2.9602390064975899E-2</v>
      </c>
      <c r="N101">
        <v>1.6989974778245001E-3</v>
      </c>
      <c r="O101">
        <v>0.27704488643838698</v>
      </c>
      <c r="P101">
        <v>0.200291017336726</v>
      </c>
      <c r="Q101">
        <v>0.60209511737201504</v>
      </c>
      <c r="R101">
        <v>0.239576587008932</v>
      </c>
      <c r="S101">
        <v>0.37158087070680501</v>
      </c>
      <c r="T101">
        <v>4.6237419098414403E-2</v>
      </c>
      <c r="U101">
        <v>22</v>
      </c>
    </row>
    <row r="102" spans="1:21" x14ac:dyDescent="0.25">
      <c r="A102">
        <v>101</v>
      </c>
      <c r="B102">
        <v>109</v>
      </c>
      <c r="C102" t="s">
        <v>23</v>
      </c>
      <c r="D102">
        <v>30</v>
      </c>
      <c r="E102" t="s">
        <v>24</v>
      </c>
      <c r="F102" t="s">
        <v>25</v>
      </c>
      <c r="G102">
        <v>5824.1761828445697</v>
      </c>
      <c r="H102">
        <v>94764457.536140203</v>
      </c>
      <c r="I102">
        <v>10942.277072590899</v>
      </c>
      <c r="J102">
        <v>36412011.031871699</v>
      </c>
      <c r="K102">
        <v>7.58663731426341E-2</v>
      </c>
      <c r="L102">
        <v>1.3102862804479301E-2</v>
      </c>
      <c r="M102">
        <v>-4.0554539869682299E-2</v>
      </c>
      <c r="N102">
        <v>1.2765387812784599E-3</v>
      </c>
      <c r="O102">
        <v>0.189745491077836</v>
      </c>
      <c r="P102">
        <v>0.15374213969348099</v>
      </c>
      <c r="Q102">
        <v>0.62843542947353304</v>
      </c>
      <c r="R102">
        <v>0.233504340456024</v>
      </c>
      <c r="S102">
        <v>0.29217727143998301</v>
      </c>
      <c r="T102">
        <v>4.0200446131377097E-2</v>
      </c>
      <c r="U102">
        <v>19</v>
      </c>
    </row>
    <row r="103" spans="1:21" x14ac:dyDescent="0.25">
      <c r="A103">
        <v>102</v>
      </c>
      <c r="B103">
        <v>110</v>
      </c>
      <c r="C103" t="s">
        <v>23</v>
      </c>
      <c r="D103">
        <v>30</v>
      </c>
      <c r="E103" t="s">
        <v>24</v>
      </c>
      <c r="F103" t="s">
        <v>25</v>
      </c>
      <c r="G103">
        <v>5459.0355596488298</v>
      </c>
      <c r="H103">
        <v>79711270.624396205</v>
      </c>
      <c r="I103">
        <v>11348.636767088999</v>
      </c>
      <c r="J103">
        <v>38228302.498982601</v>
      </c>
      <c r="K103">
        <v>8.0733650641557894E-2</v>
      </c>
      <c r="L103">
        <v>1.5872481292997599E-2</v>
      </c>
      <c r="M103">
        <v>-3.3768975999851798E-2</v>
      </c>
      <c r="N103">
        <v>1.36836158200088E-3</v>
      </c>
      <c r="O103">
        <v>0.199949764370978</v>
      </c>
      <c r="P103">
        <v>0.15996985609870901</v>
      </c>
      <c r="Q103">
        <v>0.84626976343674498</v>
      </c>
      <c r="R103">
        <v>0.130097250929362</v>
      </c>
      <c r="S103">
        <v>0.29684730530286701</v>
      </c>
      <c r="T103">
        <v>4.1831630894151199E-2</v>
      </c>
      <c r="U103">
        <v>53</v>
      </c>
    </row>
    <row r="104" spans="1:21" x14ac:dyDescent="0.25">
      <c r="A104">
        <v>103</v>
      </c>
      <c r="B104">
        <v>111</v>
      </c>
      <c r="C104" t="s">
        <v>23</v>
      </c>
      <c r="D104">
        <v>30</v>
      </c>
      <c r="E104" t="s">
        <v>24</v>
      </c>
      <c r="F104" t="s">
        <v>25</v>
      </c>
      <c r="G104">
        <v>6479.6090471234602</v>
      </c>
      <c r="H104">
        <v>80830356.000241905</v>
      </c>
      <c r="I104">
        <v>9539.4745755750191</v>
      </c>
      <c r="J104">
        <v>42342882.994811103</v>
      </c>
      <c r="K104">
        <v>0.11177516624768</v>
      </c>
      <c r="L104">
        <v>2.2492516656913899E-2</v>
      </c>
      <c r="M104">
        <v>-2.8577074344313301E-2</v>
      </c>
      <c r="N104">
        <v>1.3251043269191601E-3</v>
      </c>
      <c r="O104">
        <v>0.26136941210639703</v>
      </c>
      <c r="P104">
        <v>0.19305544252147999</v>
      </c>
      <c r="Q104">
        <v>0.75029950989290295</v>
      </c>
      <c r="R104">
        <v>0.187350155347381</v>
      </c>
      <c r="S104">
        <v>0.339641200058732</v>
      </c>
      <c r="T104">
        <v>5.3422449555936398E-2</v>
      </c>
      <c r="U104">
        <v>40</v>
      </c>
    </row>
    <row r="105" spans="1:21" x14ac:dyDescent="0.25">
      <c r="A105">
        <v>104</v>
      </c>
      <c r="B105">
        <v>112</v>
      </c>
      <c r="C105" t="s">
        <v>23</v>
      </c>
      <c r="D105">
        <v>30</v>
      </c>
      <c r="E105" t="s">
        <v>24</v>
      </c>
      <c r="F105" t="s">
        <v>25</v>
      </c>
      <c r="G105">
        <v>6303.5229561915803</v>
      </c>
      <c r="H105">
        <v>96561350.255688503</v>
      </c>
      <c r="I105">
        <v>11019.068266177201</v>
      </c>
      <c r="J105">
        <v>49340876.758995898</v>
      </c>
      <c r="K105">
        <v>8.3004470606799594E-2</v>
      </c>
      <c r="L105">
        <v>1.67143762073379E-2</v>
      </c>
      <c r="M105">
        <v>-3.6362078656073597E-2</v>
      </c>
      <c r="N105">
        <v>1.1619051858511699E-3</v>
      </c>
      <c r="O105">
        <v>0.22617622519679301</v>
      </c>
      <c r="P105">
        <v>0.17502054035277101</v>
      </c>
      <c r="Q105">
        <v>0.73198606777447195</v>
      </c>
      <c r="R105">
        <v>0.19618246435853301</v>
      </c>
      <c r="S105">
        <v>0.30387203017281</v>
      </c>
      <c r="T105">
        <v>4.9951958340627899E-2</v>
      </c>
      <c r="U105">
        <v>34</v>
      </c>
    </row>
    <row r="106" spans="1:21" x14ac:dyDescent="0.25">
      <c r="A106">
        <v>105</v>
      </c>
      <c r="B106">
        <v>201</v>
      </c>
      <c r="C106" t="s">
        <v>23</v>
      </c>
      <c r="D106">
        <v>30</v>
      </c>
      <c r="E106" t="s">
        <v>24</v>
      </c>
      <c r="F106" t="s">
        <v>25</v>
      </c>
      <c r="G106">
        <v>5764.9121959386703</v>
      </c>
      <c r="H106">
        <v>83710645.717970595</v>
      </c>
      <c r="I106">
        <v>13157.872959111601</v>
      </c>
      <c r="J106">
        <v>53145243.9810628</v>
      </c>
      <c r="K106">
        <v>5.0872195622138502E-2</v>
      </c>
      <c r="L106">
        <v>1.77606720553002E-2</v>
      </c>
      <c r="M106">
        <v>-5.6253398232734203E-2</v>
      </c>
      <c r="N106">
        <v>1.5370772093553601E-3</v>
      </c>
      <c r="O106">
        <v>0.17605061111244</v>
      </c>
      <c r="P106">
        <v>0.14505679343915101</v>
      </c>
      <c r="Q106">
        <v>0.83803499037346196</v>
      </c>
      <c r="R106">
        <v>0.135732345283443</v>
      </c>
      <c r="S106">
        <v>0.23279139521518299</v>
      </c>
      <c r="T106">
        <v>5.0703343442888599E-2</v>
      </c>
      <c r="U106">
        <v>47</v>
      </c>
    </row>
    <row r="107" spans="1:21" x14ac:dyDescent="0.25">
      <c r="A107">
        <v>106</v>
      </c>
      <c r="B107">
        <v>202</v>
      </c>
      <c r="C107" t="s">
        <v>23</v>
      </c>
      <c r="D107">
        <v>30</v>
      </c>
      <c r="E107" t="s">
        <v>24</v>
      </c>
      <c r="F107" t="s">
        <v>25</v>
      </c>
      <c r="G107">
        <v>8633.2814260258092</v>
      </c>
      <c r="H107">
        <v>136244810.88971701</v>
      </c>
      <c r="I107">
        <v>10768.2830551595</v>
      </c>
      <c r="J107">
        <v>68313657.740019605</v>
      </c>
      <c r="K107">
        <v>0.10529864158511</v>
      </c>
      <c r="L107">
        <v>1.91172710023449E-2</v>
      </c>
      <c r="M107">
        <v>-4.4945295289190799E-2</v>
      </c>
      <c r="N107">
        <v>1.7507090881083299E-3</v>
      </c>
      <c r="O107">
        <v>0.28543238815073502</v>
      </c>
      <c r="P107">
        <v>0.20396073994524599</v>
      </c>
      <c r="Q107">
        <v>0.85390301667424195</v>
      </c>
      <c r="R107">
        <v>0.124752654788926</v>
      </c>
      <c r="S107">
        <v>0.315758128773381</v>
      </c>
      <c r="T107">
        <v>6.4251056147498098E-2</v>
      </c>
      <c r="U107">
        <v>49</v>
      </c>
    </row>
    <row r="108" spans="1:21" x14ac:dyDescent="0.25">
      <c r="A108">
        <v>107</v>
      </c>
      <c r="B108">
        <v>203</v>
      </c>
      <c r="C108" t="s">
        <v>23</v>
      </c>
      <c r="D108">
        <v>30</v>
      </c>
      <c r="E108" t="s">
        <v>24</v>
      </c>
      <c r="F108" t="s">
        <v>25</v>
      </c>
      <c r="G108">
        <v>7053.8071781458902</v>
      </c>
      <c r="H108">
        <v>129274423.37476499</v>
      </c>
      <c r="I108">
        <v>14104.764318796</v>
      </c>
      <c r="J108">
        <v>65519024.142329998</v>
      </c>
      <c r="K108">
        <v>3.9508810557650598E-2</v>
      </c>
      <c r="L108">
        <v>1.7169499071568801E-2</v>
      </c>
      <c r="M108">
        <v>-6.1189193024333698E-2</v>
      </c>
      <c r="N108">
        <v>1.2208221925260701E-3</v>
      </c>
      <c r="O108">
        <v>0.21021021021021</v>
      </c>
      <c r="P108">
        <v>0.16602187773357999</v>
      </c>
      <c r="Q108">
        <v>0.74878308672172</v>
      </c>
      <c r="R108">
        <v>0.18810697576115901</v>
      </c>
      <c r="S108">
        <v>0.23418823031383501</v>
      </c>
      <c r="T108">
        <v>5.9520842099768198E-2</v>
      </c>
      <c r="U108">
        <v>28</v>
      </c>
    </row>
    <row r="109" spans="1:21" x14ac:dyDescent="0.25">
      <c r="A109">
        <v>108</v>
      </c>
      <c r="B109">
        <v>204</v>
      </c>
      <c r="C109" t="s">
        <v>23</v>
      </c>
      <c r="D109">
        <v>30</v>
      </c>
      <c r="E109" t="s">
        <v>24</v>
      </c>
      <c r="F109" t="s">
        <v>25</v>
      </c>
      <c r="G109">
        <v>6750.9214696630797</v>
      </c>
      <c r="H109">
        <v>102890043.49602801</v>
      </c>
      <c r="I109">
        <v>11719.3196555132</v>
      </c>
      <c r="J109">
        <v>62651735.358207002</v>
      </c>
      <c r="K109">
        <v>7.5253866379305298E-2</v>
      </c>
      <c r="L109">
        <v>2.2202126953200198E-2</v>
      </c>
      <c r="M109">
        <v>-4.8656849123265199E-2</v>
      </c>
      <c r="N109">
        <v>1.4170441555116399E-3</v>
      </c>
      <c r="O109">
        <v>0.24543421320161199</v>
      </c>
      <c r="P109">
        <v>0.18519626019187199</v>
      </c>
      <c r="Q109">
        <v>0.70888997859133396</v>
      </c>
      <c r="R109">
        <v>0.20636497684458599</v>
      </c>
      <c r="S109">
        <v>0.27539059984423497</v>
      </c>
      <c r="T109">
        <v>6.5740769004344904E-2</v>
      </c>
      <c r="U109">
        <v>39</v>
      </c>
    </row>
    <row r="110" spans="1:21" x14ac:dyDescent="0.25">
      <c r="A110">
        <v>109</v>
      </c>
      <c r="B110">
        <v>205</v>
      </c>
      <c r="C110" t="s">
        <v>23</v>
      </c>
      <c r="D110">
        <v>30</v>
      </c>
      <c r="E110" t="s">
        <v>24</v>
      </c>
      <c r="F110" t="s">
        <v>25</v>
      </c>
      <c r="G110">
        <v>8153.5666621085702</v>
      </c>
      <c r="H110">
        <v>141385810.17917401</v>
      </c>
      <c r="I110">
        <v>9553.4293096798592</v>
      </c>
      <c r="J110">
        <v>57769616.740877703</v>
      </c>
      <c r="K110">
        <v>8.9894179097477295E-2</v>
      </c>
      <c r="L110">
        <v>1.9814046002569301E-2</v>
      </c>
      <c r="M110">
        <v>-3.5186997476461999E-2</v>
      </c>
      <c r="N110">
        <v>1.4692172946739E-3</v>
      </c>
      <c r="O110">
        <v>0.26763049612769302</v>
      </c>
      <c r="P110">
        <v>0.19600441366999799</v>
      </c>
      <c r="Q110">
        <v>0.62145228061015201</v>
      </c>
      <c r="R110">
        <v>0.235249343534852</v>
      </c>
      <c r="S110">
        <v>0.31151968429663002</v>
      </c>
      <c r="T110">
        <v>6.3000084718594196E-2</v>
      </c>
      <c r="U110">
        <v>32</v>
      </c>
    </row>
    <row r="111" spans="1:21" x14ac:dyDescent="0.25">
      <c r="A111">
        <v>110</v>
      </c>
      <c r="B111">
        <v>206</v>
      </c>
      <c r="C111" t="s">
        <v>23</v>
      </c>
      <c r="D111">
        <v>30</v>
      </c>
      <c r="E111" t="s">
        <v>24</v>
      </c>
      <c r="F111" t="s">
        <v>25</v>
      </c>
      <c r="G111">
        <v>6220.8628339751704</v>
      </c>
      <c r="H111">
        <v>95496874.753723502</v>
      </c>
      <c r="I111">
        <v>10340.3519376369</v>
      </c>
      <c r="J111">
        <v>39833267.421774097</v>
      </c>
      <c r="K111">
        <v>8.4865984850198001E-2</v>
      </c>
      <c r="L111">
        <v>1.7017628204366801E-2</v>
      </c>
      <c r="M111">
        <v>-3.5162385395601799E-2</v>
      </c>
      <c r="N111">
        <v>1.38349473864075E-3</v>
      </c>
      <c r="O111">
        <v>0.22907647044753299</v>
      </c>
      <c r="P111">
        <v>0.17660044113450801</v>
      </c>
      <c r="Q111">
        <v>0.97169303627166104</v>
      </c>
      <c r="R111">
        <v>2.7505679532773501E-2</v>
      </c>
      <c r="S111">
        <v>0.29395025474643499</v>
      </c>
      <c r="T111">
        <v>5.1533695297418199E-2</v>
      </c>
      <c r="U111">
        <v>85</v>
      </c>
    </row>
    <row r="112" spans="1:21" x14ac:dyDescent="0.25">
      <c r="A112">
        <v>111</v>
      </c>
      <c r="B112">
        <v>207</v>
      </c>
      <c r="C112" t="s">
        <v>23</v>
      </c>
      <c r="D112">
        <v>30</v>
      </c>
      <c r="E112" t="s">
        <v>24</v>
      </c>
      <c r="F112" t="s">
        <v>25</v>
      </c>
      <c r="G112">
        <v>6894.1378795963901</v>
      </c>
      <c r="H112">
        <v>110017307.278809</v>
      </c>
      <c r="I112">
        <v>10544.839719961799</v>
      </c>
      <c r="J112">
        <v>42086719.717400298</v>
      </c>
      <c r="K112">
        <v>6.3636917165072304E-2</v>
      </c>
      <c r="L112">
        <v>1.6844155902766798E-2</v>
      </c>
      <c r="M112">
        <v>-4.1371593283266901E-2</v>
      </c>
      <c r="N112">
        <v>1.24870107027769E-3</v>
      </c>
      <c r="O112">
        <v>0.232038905598137</v>
      </c>
      <c r="P112">
        <v>0.17819685188678699</v>
      </c>
      <c r="Q112">
        <v>0.86715177975865598</v>
      </c>
      <c r="R112">
        <v>0.11519957061994</v>
      </c>
      <c r="S112">
        <v>0.28301998976959503</v>
      </c>
      <c r="T112">
        <v>5.3910761736573699E-2</v>
      </c>
      <c r="U112">
        <v>49</v>
      </c>
    </row>
    <row r="113" spans="1:21" x14ac:dyDescent="0.25">
      <c r="A113">
        <v>112</v>
      </c>
      <c r="B113">
        <v>208</v>
      </c>
      <c r="C113" t="s">
        <v>23</v>
      </c>
      <c r="D113">
        <v>30</v>
      </c>
      <c r="E113" t="s">
        <v>24</v>
      </c>
      <c r="F113" t="s">
        <v>25</v>
      </c>
      <c r="G113">
        <v>6802.6818459135602</v>
      </c>
      <c r="H113">
        <v>112054098.511951</v>
      </c>
      <c r="I113">
        <v>11544.1920998604</v>
      </c>
      <c r="J113">
        <v>52293355.350028902</v>
      </c>
      <c r="K113">
        <v>6.1304365122207903E-2</v>
      </c>
      <c r="L113">
        <v>1.7494656840855601E-2</v>
      </c>
      <c r="M113">
        <v>-4.2453277592973203E-2</v>
      </c>
      <c r="N113">
        <v>1.30644265032547E-3</v>
      </c>
      <c r="O113">
        <v>0.22150230617175501</v>
      </c>
      <c r="P113">
        <v>0.172439034532202</v>
      </c>
      <c r="Q113">
        <v>0.77085672443251196</v>
      </c>
      <c r="R113">
        <v>0.17663663482941899</v>
      </c>
      <c r="S113">
        <v>0.27467177295332801</v>
      </c>
      <c r="T113">
        <v>5.6404798127914497E-2</v>
      </c>
      <c r="U113">
        <v>34</v>
      </c>
    </row>
    <row r="114" spans="1:21" x14ac:dyDescent="0.25">
      <c r="A114">
        <v>113</v>
      </c>
      <c r="B114">
        <v>209</v>
      </c>
      <c r="C114" t="s">
        <v>23</v>
      </c>
      <c r="D114">
        <v>30</v>
      </c>
      <c r="E114" t="s">
        <v>24</v>
      </c>
      <c r="F114" t="s">
        <v>25</v>
      </c>
      <c r="G114">
        <v>6882.5375608472596</v>
      </c>
      <c r="H114">
        <v>104694713.16059899</v>
      </c>
      <c r="I114">
        <v>11353.241582532401</v>
      </c>
      <c r="J114">
        <v>59525984.060327701</v>
      </c>
      <c r="K114">
        <v>8.2350761953462401E-2</v>
      </c>
      <c r="L114">
        <v>2.0803277399470001E-2</v>
      </c>
      <c r="M114">
        <v>-4.07739097300958E-2</v>
      </c>
      <c r="N114">
        <v>1.2964828320945301E-3</v>
      </c>
      <c r="O114">
        <v>0.25390199854086198</v>
      </c>
      <c r="P114">
        <v>0.189435773677986</v>
      </c>
      <c r="Q114">
        <v>0.78326696085817804</v>
      </c>
      <c r="R114">
        <v>0.16975982888607499</v>
      </c>
      <c r="S114">
        <v>0.29616347451759201</v>
      </c>
      <c r="T114">
        <v>6.22575610610882E-2</v>
      </c>
      <c r="U114">
        <v>29</v>
      </c>
    </row>
    <row r="115" spans="1:21" x14ac:dyDescent="0.25">
      <c r="A115">
        <v>114</v>
      </c>
      <c r="B115">
        <v>210</v>
      </c>
      <c r="C115" t="s">
        <v>23</v>
      </c>
      <c r="D115">
        <v>30</v>
      </c>
      <c r="E115" t="s">
        <v>24</v>
      </c>
      <c r="F115" t="s">
        <v>25</v>
      </c>
      <c r="G115">
        <v>7432.27320282858</v>
      </c>
      <c r="H115">
        <v>95712345.822302699</v>
      </c>
      <c r="I115">
        <v>11206.0860646079</v>
      </c>
      <c r="J115">
        <v>59260179.969454803</v>
      </c>
      <c r="K115">
        <v>0.101106010258914</v>
      </c>
      <c r="L115">
        <v>1.9972074676004401E-2</v>
      </c>
      <c r="M115">
        <v>-3.2781348726912199E-2</v>
      </c>
      <c r="N115">
        <v>1.3020017295137601E-3</v>
      </c>
      <c r="O115">
        <v>0.27082046563220902</v>
      </c>
      <c r="P115">
        <v>0.197476741027099</v>
      </c>
      <c r="Q115">
        <v>0.86003806258901205</v>
      </c>
      <c r="R115">
        <v>0.12037259348717699</v>
      </c>
      <c r="S115">
        <v>0.32269349336013198</v>
      </c>
      <c r="T115">
        <v>5.7083014275642503E-2</v>
      </c>
      <c r="U115">
        <v>39</v>
      </c>
    </row>
    <row r="116" spans="1:21" x14ac:dyDescent="0.25">
      <c r="A116">
        <v>115</v>
      </c>
      <c r="B116">
        <v>211</v>
      </c>
      <c r="C116" t="s">
        <v>23</v>
      </c>
      <c r="D116">
        <v>30</v>
      </c>
      <c r="E116" t="s">
        <v>24</v>
      </c>
      <c r="F116" t="s">
        <v>25</v>
      </c>
      <c r="G116">
        <v>5144.4586708689303</v>
      </c>
      <c r="H116">
        <v>66975806.471175998</v>
      </c>
      <c r="I116">
        <v>11999.616283498999</v>
      </c>
      <c r="J116">
        <v>48838701.404668599</v>
      </c>
      <c r="K116">
        <v>8.0885819920856999E-2</v>
      </c>
      <c r="L116">
        <v>2.1632291461402699E-2</v>
      </c>
      <c r="M116">
        <v>-3.34135801786637E-2</v>
      </c>
      <c r="N116">
        <v>1.20847922398934E-3</v>
      </c>
      <c r="O116">
        <v>0.21160712087262701</v>
      </c>
      <c r="P116">
        <v>0.16682954726878901</v>
      </c>
      <c r="Q116">
        <v>0.83373342689367402</v>
      </c>
      <c r="R116">
        <v>0.13862199977377401</v>
      </c>
      <c r="S116">
        <v>0.283422676526082</v>
      </c>
      <c r="T116">
        <v>5.4582308465095798E-2</v>
      </c>
      <c r="U116">
        <v>45</v>
      </c>
    </row>
    <row r="117" spans="1:21" x14ac:dyDescent="0.25">
      <c r="A117">
        <v>116</v>
      </c>
      <c r="B117">
        <v>212</v>
      </c>
      <c r="C117" t="s">
        <v>23</v>
      </c>
      <c r="D117">
        <v>30</v>
      </c>
      <c r="E117" t="s">
        <v>24</v>
      </c>
      <c r="F117" t="s">
        <v>25</v>
      </c>
      <c r="G117">
        <v>5914.6687436464699</v>
      </c>
      <c r="H117">
        <v>87510108.211074293</v>
      </c>
      <c r="I117">
        <v>11704.9977184446</v>
      </c>
      <c r="J117">
        <v>52874966.527311198</v>
      </c>
      <c r="K117">
        <v>7.2032289993988502E-2</v>
      </c>
      <c r="L117">
        <v>1.7932065278926899E-2</v>
      </c>
      <c r="M117">
        <v>-4.0674948005112302E-2</v>
      </c>
      <c r="N117">
        <v>1.2435436645395299E-3</v>
      </c>
      <c r="O117">
        <v>0.22308198289780501</v>
      </c>
      <c r="P117">
        <v>0.17331641180405899</v>
      </c>
      <c r="Q117">
        <v>0.78665231431646898</v>
      </c>
      <c r="R117">
        <v>0.16783045069713501</v>
      </c>
      <c r="S117">
        <v>0.28052704413145102</v>
      </c>
      <c r="T117">
        <v>5.3774511523625501E-2</v>
      </c>
      <c r="U117">
        <v>44</v>
      </c>
    </row>
    <row r="118" spans="1:21" x14ac:dyDescent="0.25">
      <c r="A118">
        <v>117</v>
      </c>
      <c r="B118">
        <v>301</v>
      </c>
      <c r="C118" t="s">
        <v>23</v>
      </c>
      <c r="D118">
        <v>30</v>
      </c>
      <c r="E118" t="s">
        <v>24</v>
      </c>
      <c r="F118" t="s">
        <v>25</v>
      </c>
      <c r="G118">
        <v>7267.5983021416196</v>
      </c>
      <c r="H118">
        <v>103560045.230088</v>
      </c>
      <c r="I118">
        <v>13537.674313399601</v>
      </c>
      <c r="J118">
        <v>84358221.075011402</v>
      </c>
      <c r="K118">
        <v>7.1522191808848598E-2</v>
      </c>
      <c r="L118">
        <v>2.60546065544177E-2</v>
      </c>
      <c r="M118">
        <v>-4.77942785248332E-2</v>
      </c>
      <c r="N118">
        <v>1.6558225149034701E-3</v>
      </c>
      <c r="O118">
        <v>0.25459434690333799</v>
      </c>
      <c r="P118">
        <v>0.18977606542806999</v>
      </c>
      <c r="Q118">
        <v>0.63264764752694902</v>
      </c>
      <c r="R118">
        <v>0.232404601605851</v>
      </c>
      <c r="S118">
        <v>0.26882132446023199</v>
      </c>
      <c r="T118">
        <v>6.9881048933390005E-2</v>
      </c>
      <c r="U118">
        <v>19</v>
      </c>
    </row>
    <row r="119" spans="1:21" x14ac:dyDescent="0.25">
      <c r="A119">
        <v>118</v>
      </c>
      <c r="B119">
        <v>302</v>
      </c>
      <c r="C119" t="s">
        <v>23</v>
      </c>
      <c r="D119">
        <v>30</v>
      </c>
      <c r="E119" t="s">
        <v>24</v>
      </c>
      <c r="F119" t="s">
        <v>25</v>
      </c>
      <c r="G119">
        <v>7293.2512199789498</v>
      </c>
      <c r="H119">
        <v>114894351.551278</v>
      </c>
      <c r="I119">
        <v>14369.8921477734</v>
      </c>
      <c r="J119">
        <v>78244721.302253306</v>
      </c>
      <c r="K119">
        <v>5.3828810224390899E-2</v>
      </c>
      <c r="L119">
        <v>2.0003360423324099E-2</v>
      </c>
      <c r="M119">
        <v>-5.7007182253151101E-2</v>
      </c>
      <c r="N119">
        <v>1.1479315431832901E-3</v>
      </c>
      <c r="O119">
        <v>0.22672471533824501</v>
      </c>
      <c r="P119">
        <v>0.175320618792903</v>
      </c>
      <c r="Q119">
        <v>0.74252535399923503</v>
      </c>
      <c r="R119">
        <v>0.19118145266748299</v>
      </c>
      <c r="S119">
        <v>0.24893109130295901</v>
      </c>
      <c r="T119">
        <v>6.2683600420336702E-2</v>
      </c>
      <c r="U119">
        <v>30</v>
      </c>
    </row>
    <row r="120" spans="1:21" x14ac:dyDescent="0.25">
      <c r="A120">
        <v>119</v>
      </c>
      <c r="B120">
        <v>303</v>
      </c>
      <c r="C120" t="s">
        <v>23</v>
      </c>
      <c r="D120">
        <v>30</v>
      </c>
      <c r="E120" t="s">
        <v>24</v>
      </c>
      <c r="F120" t="s">
        <v>25</v>
      </c>
      <c r="G120">
        <v>9115.6886778915105</v>
      </c>
      <c r="H120">
        <v>142933183.05327299</v>
      </c>
      <c r="I120">
        <v>11763.984019396599</v>
      </c>
      <c r="J120">
        <v>98362939.488609105</v>
      </c>
      <c r="K120">
        <v>9.4467781481521504E-2</v>
      </c>
      <c r="L120">
        <v>2.6599814375673402E-2</v>
      </c>
      <c r="M120">
        <v>-4.5399084263165003E-2</v>
      </c>
      <c r="N120">
        <v>1.3977902420713301E-3</v>
      </c>
      <c r="O120">
        <v>0.30896632545680702</v>
      </c>
      <c r="P120">
        <v>0.21350613519070599</v>
      </c>
      <c r="Q120">
        <v>0.48092817415226402</v>
      </c>
      <c r="R120">
        <v>0.24963626545873099</v>
      </c>
      <c r="S120">
        <v>0.314038398542899</v>
      </c>
      <c r="T120">
        <v>8.0416557634677005E-2</v>
      </c>
      <c r="U120">
        <v>13</v>
      </c>
    </row>
    <row r="121" spans="1:21" x14ac:dyDescent="0.25">
      <c r="A121">
        <v>120</v>
      </c>
      <c r="B121">
        <v>304</v>
      </c>
      <c r="C121" t="s">
        <v>23</v>
      </c>
      <c r="D121">
        <v>30</v>
      </c>
      <c r="E121" t="s">
        <v>24</v>
      </c>
      <c r="F121" t="s">
        <v>25</v>
      </c>
      <c r="G121">
        <v>8915.3033717272501</v>
      </c>
      <c r="H121">
        <v>146184548.12160701</v>
      </c>
      <c r="I121">
        <v>11476.848345694299</v>
      </c>
      <c r="J121">
        <v>93807047.235201895</v>
      </c>
      <c r="K121">
        <v>9.4847278012108793E-2</v>
      </c>
      <c r="L121">
        <v>2.5466360753903398E-2</v>
      </c>
      <c r="M121">
        <v>-4.1476848292626399E-2</v>
      </c>
      <c r="N121">
        <v>1.5069529627847701E-3</v>
      </c>
      <c r="O121">
        <v>0.31105051012474999</v>
      </c>
      <c r="P121">
        <v>0.214298090276138</v>
      </c>
      <c r="Q121">
        <v>0.567871409094171</v>
      </c>
      <c r="R121">
        <v>0.24539347182723301</v>
      </c>
      <c r="S121">
        <v>0.31233215558884703</v>
      </c>
      <c r="T121">
        <v>7.9711752477788E-2</v>
      </c>
      <c r="U121">
        <v>23</v>
      </c>
    </row>
    <row r="122" spans="1:21" x14ac:dyDescent="0.25">
      <c r="A122">
        <v>121</v>
      </c>
      <c r="B122">
        <v>305</v>
      </c>
      <c r="C122" t="s">
        <v>23</v>
      </c>
      <c r="D122">
        <v>30</v>
      </c>
      <c r="E122" t="s">
        <v>24</v>
      </c>
      <c r="F122" t="s">
        <v>25</v>
      </c>
      <c r="G122">
        <v>7367.3356936951996</v>
      </c>
      <c r="H122">
        <v>123993871.705942</v>
      </c>
      <c r="I122">
        <v>11465.0556237325</v>
      </c>
      <c r="J122">
        <v>66047204.372960903</v>
      </c>
      <c r="K122">
        <v>8.8696808757266807E-2</v>
      </c>
      <c r="L122">
        <v>1.9344170865131498E-2</v>
      </c>
      <c r="M122">
        <v>-3.3211632573734197E-2</v>
      </c>
      <c r="N122">
        <v>1.34301325133108E-3</v>
      </c>
      <c r="O122">
        <v>0.25670131454612899</v>
      </c>
      <c r="P122">
        <v>0.190805749656761</v>
      </c>
      <c r="Q122">
        <v>0.45495861838013701</v>
      </c>
      <c r="R122">
        <v>0.24797127394146301</v>
      </c>
      <c r="S122">
        <v>0.29041205205516102</v>
      </c>
      <c r="T122">
        <v>6.2235748122933303E-2</v>
      </c>
      <c r="U122">
        <v>11</v>
      </c>
    </row>
    <row r="123" spans="1:21" x14ac:dyDescent="0.25">
      <c r="A123">
        <v>122</v>
      </c>
      <c r="B123">
        <v>306</v>
      </c>
      <c r="C123" t="s">
        <v>23</v>
      </c>
      <c r="D123">
        <v>30</v>
      </c>
      <c r="E123" t="s">
        <v>24</v>
      </c>
      <c r="F123" t="s">
        <v>25</v>
      </c>
      <c r="G123">
        <v>4728.4552782329001</v>
      </c>
      <c r="H123">
        <v>89807106.000825301</v>
      </c>
      <c r="I123">
        <v>12338.1348802213</v>
      </c>
      <c r="J123">
        <v>43435179.247354098</v>
      </c>
      <c r="K123">
        <v>5.3431040347490702E-2</v>
      </c>
      <c r="L123">
        <v>1.38755310493164E-2</v>
      </c>
      <c r="M123">
        <v>-3.6744528810703801E-2</v>
      </c>
      <c r="N123">
        <v>1.07569485183441E-3</v>
      </c>
      <c r="O123">
        <v>0.15974024420871399</v>
      </c>
      <c r="P123">
        <v>0.13422329858874699</v>
      </c>
      <c r="Q123">
        <v>0.79016479705326603</v>
      </c>
      <c r="R123">
        <v>0.165804390551059</v>
      </c>
      <c r="S123">
        <v>0.22670802595010001</v>
      </c>
      <c r="T123">
        <v>4.5168804831667797E-2</v>
      </c>
      <c r="U123">
        <v>29</v>
      </c>
    </row>
    <row r="124" spans="1:21" x14ac:dyDescent="0.25">
      <c r="A124">
        <v>123</v>
      </c>
      <c r="B124">
        <v>307</v>
      </c>
      <c r="C124" t="s">
        <v>23</v>
      </c>
      <c r="D124">
        <v>30</v>
      </c>
      <c r="E124" t="s">
        <v>24</v>
      </c>
      <c r="F124" t="s">
        <v>25</v>
      </c>
      <c r="G124">
        <v>5809.3185003587696</v>
      </c>
      <c r="H124">
        <v>94139863.535019904</v>
      </c>
      <c r="I124">
        <v>12039.584615117899</v>
      </c>
      <c r="J124">
        <v>55604570.438143201</v>
      </c>
      <c r="K124">
        <v>6.2573273660173706E-2</v>
      </c>
      <c r="L124">
        <v>2.0772654269349499E-2</v>
      </c>
      <c r="M124">
        <v>-4.1335748495742203E-2</v>
      </c>
      <c r="N124">
        <v>1.29198735559685E-3</v>
      </c>
      <c r="O124">
        <v>0.221549868452523</v>
      </c>
      <c r="P124">
        <v>0.17246552424109701</v>
      </c>
      <c r="Q124">
        <v>0.79446238488219101</v>
      </c>
      <c r="R124">
        <v>0.16329190388960799</v>
      </c>
      <c r="S124">
        <v>0.25266401788927501</v>
      </c>
      <c r="T124">
        <v>6.2133081728519203E-2</v>
      </c>
      <c r="U124">
        <v>28</v>
      </c>
    </row>
    <row r="125" spans="1:21" x14ac:dyDescent="0.25">
      <c r="A125">
        <v>124</v>
      </c>
      <c r="B125">
        <v>308</v>
      </c>
      <c r="C125" t="s">
        <v>23</v>
      </c>
      <c r="D125">
        <v>30</v>
      </c>
      <c r="E125" t="s">
        <v>24</v>
      </c>
      <c r="F125" t="s">
        <v>25</v>
      </c>
      <c r="G125">
        <v>8857.1840732944202</v>
      </c>
      <c r="H125">
        <v>156405177.98963201</v>
      </c>
      <c r="I125">
        <v>11767.453946133999</v>
      </c>
      <c r="J125">
        <v>75329385.096775994</v>
      </c>
      <c r="K125">
        <v>7.5971563288622507E-2</v>
      </c>
      <c r="L125">
        <v>2.0164076964511501E-2</v>
      </c>
      <c r="M125">
        <v>-4.3691176861092001E-2</v>
      </c>
      <c r="N125">
        <v>1.52384720935492E-3</v>
      </c>
      <c r="O125">
        <v>0.28128887187828899</v>
      </c>
      <c r="P125">
        <v>0.20216544243589399</v>
      </c>
      <c r="Q125">
        <v>0.505434977578475</v>
      </c>
      <c r="R125">
        <v>0.24997046101867901</v>
      </c>
      <c r="S125">
        <v>0.29561752896996502</v>
      </c>
      <c r="T125">
        <v>7.1294655897268397E-2</v>
      </c>
      <c r="U125">
        <v>14</v>
      </c>
    </row>
    <row r="126" spans="1:21" x14ac:dyDescent="0.25">
      <c r="A126">
        <v>125</v>
      </c>
      <c r="B126">
        <v>309</v>
      </c>
      <c r="C126" t="s">
        <v>23</v>
      </c>
      <c r="D126">
        <v>30</v>
      </c>
      <c r="E126" t="s">
        <v>24</v>
      </c>
      <c r="F126" t="s">
        <v>25</v>
      </c>
      <c r="G126">
        <v>4646.3678136175004</v>
      </c>
      <c r="H126">
        <v>82516253.364503801</v>
      </c>
      <c r="I126">
        <v>13733.1608505031</v>
      </c>
      <c r="J126">
        <v>41615477.582728699</v>
      </c>
      <c r="K126">
        <v>4.8103507319065202E-2</v>
      </c>
      <c r="L126">
        <v>1.14301047671658E-2</v>
      </c>
      <c r="M126">
        <v>-4.20954901889109E-2</v>
      </c>
      <c r="N126">
        <v>1.0953962251378699E-3</v>
      </c>
      <c r="O126">
        <v>0.14422398430866001</v>
      </c>
      <c r="P126">
        <v>0.1234234266587</v>
      </c>
      <c r="Q126">
        <v>0.77418891931645595</v>
      </c>
      <c r="R126">
        <v>0.17482043652432</v>
      </c>
      <c r="S126">
        <v>0.217521522718503</v>
      </c>
      <c r="T126">
        <v>4.0937237287382897E-2</v>
      </c>
      <c r="U126">
        <v>45</v>
      </c>
    </row>
    <row r="127" spans="1:21" x14ac:dyDescent="0.25">
      <c r="A127">
        <v>126</v>
      </c>
      <c r="B127">
        <v>310</v>
      </c>
      <c r="C127" t="s">
        <v>23</v>
      </c>
      <c r="D127">
        <v>30</v>
      </c>
      <c r="E127" t="s">
        <v>24</v>
      </c>
      <c r="F127" t="s">
        <v>25</v>
      </c>
      <c r="G127">
        <v>11317.6495126473</v>
      </c>
      <c r="H127">
        <v>172630197.64999801</v>
      </c>
      <c r="I127">
        <v>9857.86047556823</v>
      </c>
      <c r="J127">
        <v>66548665.768041402</v>
      </c>
      <c r="K127">
        <v>0.11670826486713</v>
      </c>
      <c r="L127">
        <v>1.6007848490718599E-2</v>
      </c>
      <c r="M127">
        <v>-2.9755044468136298E-2</v>
      </c>
      <c r="N127">
        <v>1.5241956215278701E-3</v>
      </c>
      <c r="O127">
        <v>0.35913412665191702</v>
      </c>
      <c r="P127">
        <v>0.230156805725896</v>
      </c>
      <c r="Q127">
        <v>0.67149486878932096</v>
      </c>
      <c r="R127">
        <v>0.220589509978838</v>
      </c>
      <c r="S127">
        <v>0.36115199376303703</v>
      </c>
      <c r="T127">
        <v>6.17756640828869E-2</v>
      </c>
      <c r="U127">
        <v>31</v>
      </c>
    </row>
    <row r="128" spans="1:21" x14ac:dyDescent="0.25">
      <c r="A128">
        <v>127</v>
      </c>
      <c r="B128">
        <v>311</v>
      </c>
      <c r="C128" t="s">
        <v>23</v>
      </c>
      <c r="D128">
        <v>30</v>
      </c>
      <c r="E128" t="s">
        <v>24</v>
      </c>
      <c r="F128" t="s">
        <v>25</v>
      </c>
      <c r="G128">
        <v>9542.6025498354902</v>
      </c>
      <c r="H128">
        <v>153137188.361316</v>
      </c>
      <c r="I128">
        <v>10648.9042203513</v>
      </c>
      <c r="J128">
        <v>80632679.312087104</v>
      </c>
      <c r="K128">
        <v>0.116586114270674</v>
      </c>
      <c r="L128">
        <v>2.20221209932135E-2</v>
      </c>
      <c r="M128">
        <v>-2.7472767692483999E-2</v>
      </c>
      <c r="N128">
        <v>1.3646025077836499E-3</v>
      </c>
      <c r="O128">
        <v>0.319636636346042</v>
      </c>
      <c r="P128">
        <v>0.217469057051247</v>
      </c>
      <c r="Q128">
        <v>0.66942888595865102</v>
      </c>
      <c r="R128">
        <v>0.22129385260298301</v>
      </c>
      <c r="S128">
        <v>0.34442260265049102</v>
      </c>
      <c r="T128">
        <v>7.08941418358216E-2</v>
      </c>
      <c r="U128">
        <v>29</v>
      </c>
    </row>
    <row r="129" spans="1:21" x14ac:dyDescent="0.25">
      <c r="A129">
        <v>128</v>
      </c>
      <c r="B129">
        <v>312</v>
      </c>
      <c r="C129" t="s">
        <v>23</v>
      </c>
      <c r="D129">
        <v>30</v>
      </c>
      <c r="E129" t="s">
        <v>24</v>
      </c>
      <c r="F129" t="s">
        <v>25</v>
      </c>
      <c r="G129">
        <v>5905.1084122655902</v>
      </c>
      <c r="H129">
        <v>91538789.980843902</v>
      </c>
      <c r="I129">
        <v>11888.1270090534</v>
      </c>
      <c r="J129">
        <v>60023480.835556</v>
      </c>
      <c r="K129">
        <v>9.1121312108963695E-2</v>
      </c>
      <c r="L129">
        <v>1.8946685717615201E-2</v>
      </c>
      <c r="M129">
        <v>-3.01616778629255E-2</v>
      </c>
      <c r="N129">
        <v>1.5625388424453E-3</v>
      </c>
      <c r="O129">
        <v>0.21836729812476099</v>
      </c>
      <c r="P129">
        <v>0.17068302123412299</v>
      </c>
      <c r="Q129">
        <v>0.71542702689773097</v>
      </c>
      <c r="R129">
        <v>0.203591196082094</v>
      </c>
      <c r="S129">
        <v>0.28244924900193802</v>
      </c>
      <c r="T129">
        <v>5.5505609428676501E-2</v>
      </c>
      <c r="U129">
        <v>33</v>
      </c>
    </row>
    <row r="130" spans="1:21" x14ac:dyDescent="0.25">
      <c r="A130">
        <v>129</v>
      </c>
      <c r="B130">
        <v>401</v>
      </c>
      <c r="C130" t="s">
        <v>23</v>
      </c>
      <c r="D130">
        <v>30</v>
      </c>
      <c r="E130" t="s">
        <v>24</v>
      </c>
      <c r="F130" t="s">
        <v>25</v>
      </c>
      <c r="G130">
        <v>7877.2016384620001</v>
      </c>
      <c r="H130">
        <v>102920489.998282</v>
      </c>
      <c r="I130">
        <v>13425.965420979201</v>
      </c>
      <c r="J130">
        <v>99130415.333584398</v>
      </c>
      <c r="K130">
        <v>7.5147010914076606E-2</v>
      </c>
      <c r="L130">
        <v>3.0811269198109701E-2</v>
      </c>
      <c r="M130">
        <v>-5.0455598776343299E-2</v>
      </c>
      <c r="N130">
        <v>1.86443472028778E-3</v>
      </c>
      <c r="O130">
        <v>0.28473360043054502</v>
      </c>
      <c r="P130">
        <v>0.203660377216586</v>
      </c>
      <c r="Q130">
        <v>0.56295596431219697</v>
      </c>
      <c r="R130">
        <v>0.246036546557858</v>
      </c>
      <c r="S130">
        <v>0.29063568575976101</v>
      </c>
      <c r="T130">
        <v>7.9960718778159703E-2</v>
      </c>
      <c r="U130">
        <v>13</v>
      </c>
    </row>
    <row r="131" spans="1:21" x14ac:dyDescent="0.25">
      <c r="A131">
        <v>130</v>
      </c>
      <c r="B131">
        <v>402</v>
      </c>
      <c r="C131" t="s">
        <v>23</v>
      </c>
      <c r="D131">
        <v>30</v>
      </c>
      <c r="E131" t="s">
        <v>24</v>
      </c>
      <c r="F131" t="s">
        <v>25</v>
      </c>
      <c r="G131">
        <v>8582.7815706729707</v>
      </c>
      <c r="H131">
        <v>126749719.890781</v>
      </c>
      <c r="I131">
        <v>12398.3389044714</v>
      </c>
      <c r="J131">
        <v>79307295.703893006</v>
      </c>
      <c r="K131">
        <v>8.7489392860634202E-2</v>
      </c>
      <c r="L131">
        <v>2.06707015787428E-2</v>
      </c>
      <c r="M131">
        <v>-4.8025413171742401E-2</v>
      </c>
      <c r="N131">
        <v>1.27869460722621E-3</v>
      </c>
      <c r="O131">
        <v>0.28388622126891999</v>
      </c>
      <c r="P131">
        <v>0.203294834642615</v>
      </c>
      <c r="Q131">
        <v>0.743598493619822</v>
      </c>
      <c r="R131">
        <v>0.190659773906101</v>
      </c>
      <c r="S131">
        <v>0.30689865888521201</v>
      </c>
      <c r="T131">
        <v>6.7039541053938903E-2</v>
      </c>
      <c r="U131">
        <v>30</v>
      </c>
    </row>
    <row r="132" spans="1:21" x14ac:dyDescent="0.25">
      <c r="A132">
        <v>131</v>
      </c>
      <c r="B132">
        <v>403</v>
      </c>
      <c r="C132" t="s">
        <v>23</v>
      </c>
      <c r="D132">
        <v>30</v>
      </c>
      <c r="E132" t="s">
        <v>24</v>
      </c>
      <c r="F132" t="s">
        <v>25</v>
      </c>
      <c r="G132">
        <v>7469.93606410333</v>
      </c>
      <c r="H132">
        <v>108233314.83152699</v>
      </c>
      <c r="I132">
        <v>13564.578845296101</v>
      </c>
      <c r="J132">
        <v>87435404.302618593</v>
      </c>
      <c r="K132">
        <v>6.9486991707655404E-2</v>
      </c>
      <c r="L132">
        <v>2.45348219471101E-2</v>
      </c>
      <c r="M132">
        <v>-5.1358198838392502E-2</v>
      </c>
      <c r="N132">
        <v>1.34964307149901E-3</v>
      </c>
      <c r="O132">
        <v>0.25509776953895802</v>
      </c>
      <c r="P132">
        <v>0.19002289751509799</v>
      </c>
      <c r="Q132">
        <v>0.63881014747568998</v>
      </c>
      <c r="R132">
        <v>0.23073174295785201</v>
      </c>
      <c r="S132">
        <v>0.27704709158567298</v>
      </c>
      <c r="T132">
        <v>7.1087905415404301E-2</v>
      </c>
      <c r="U132">
        <v>26</v>
      </c>
    </row>
    <row r="133" spans="1:21" x14ac:dyDescent="0.25">
      <c r="A133">
        <v>132</v>
      </c>
      <c r="B133">
        <v>404</v>
      </c>
      <c r="C133" t="s">
        <v>23</v>
      </c>
      <c r="D133">
        <v>30</v>
      </c>
      <c r="E133" t="s">
        <v>24</v>
      </c>
      <c r="F133" t="s">
        <v>25</v>
      </c>
      <c r="G133">
        <v>9359.0184064488294</v>
      </c>
      <c r="H133">
        <v>153103817.46678501</v>
      </c>
      <c r="I133">
        <v>10883.9892210286</v>
      </c>
      <c r="J133">
        <v>83641534.063400105</v>
      </c>
      <c r="K133">
        <v>0.101681205034671</v>
      </c>
      <c r="L133">
        <v>1.9985390025236999E-2</v>
      </c>
      <c r="M133">
        <v>-3.9242675995075603E-2</v>
      </c>
      <c r="N133">
        <v>1.38880823026133E-3</v>
      </c>
      <c r="O133">
        <v>0.30788642778548497</v>
      </c>
      <c r="P133">
        <v>0.213092375370872</v>
      </c>
      <c r="Q133">
        <v>0.63340309753034696</v>
      </c>
      <c r="R133">
        <v>0.23220361356880501</v>
      </c>
      <c r="S133">
        <v>0.327475879804836</v>
      </c>
      <c r="T133">
        <v>7.1602152260096197E-2</v>
      </c>
      <c r="U133">
        <v>20</v>
      </c>
    </row>
    <row r="134" spans="1:21" x14ac:dyDescent="0.25">
      <c r="A134">
        <v>133</v>
      </c>
      <c r="B134">
        <v>405</v>
      </c>
      <c r="C134" t="s">
        <v>23</v>
      </c>
      <c r="D134">
        <v>30</v>
      </c>
      <c r="E134" t="s">
        <v>24</v>
      </c>
      <c r="F134" t="s">
        <v>25</v>
      </c>
      <c r="G134">
        <v>6736.6756853739098</v>
      </c>
      <c r="H134">
        <v>111758415.614858</v>
      </c>
      <c r="I134">
        <v>14241.0847753705</v>
      </c>
      <c r="J134">
        <v>68818485.771343097</v>
      </c>
      <c r="K134">
        <v>5.0668053527665499E-2</v>
      </c>
      <c r="L134">
        <v>1.5665761144681101E-2</v>
      </c>
      <c r="M134">
        <v>-4.6333825241702403E-2</v>
      </c>
      <c r="N134">
        <v>1.19751641664987E-3</v>
      </c>
      <c r="O134">
        <v>0.20859049806229399</v>
      </c>
      <c r="P134">
        <v>0.165080502180322</v>
      </c>
      <c r="Q134">
        <v>0.73466971259074998</v>
      </c>
      <c r="R134">
        <v>0.194930125992376</v>
      </c>
      <c r="S134">
        <v>0.24409682421537399</v>
      </c>
      <c r="T134">
        <v>5.5276451479005E-2</v>
      </c>
      <c r="U134">
        <v>27</v>
      </c>
    </row>
    <row r="135" spans="1:21" x14ac:dyDescent="0.25">
      <c r="A135">
        <v>134</v>
      </c>
      <c r="B135">
        <v>406</v>
      </c>
      <c r="C135" t="s">
        <v>23</v>
      </c>
      <c r="D135">
        <v>30</v>
      </c>
      <c r="E135" t="s">
        <v>24</v>
      </c>
      <c r="F135" t="s">
        <v>25</v>
      </c>
      <c r="G135">
        <v>7548.4275098498802</v>
      </c>
      <c r="H135">
        <v>136918417.12327799</v>
      </c>
      <c r="I135">
        <v>11352.885098049899</v>
      </c>
      <c r="J135">
        <v>64247831.086659998</v>
      </c>
      <c r="K135">
        <v>9.2439205392088497E-2</v>
      </c>
      <c r="L135">
        <v>1.6983091850341699E-2</v>
      </c>
      <c r="M135">
        <v>-3.2506943275633297E-2</v>
      </c>
      <c r="N135">
        <v>1.21121431794094E-3</v>
      </c>
      <c r="O135">
        <v>0.26064784798763202</v>
      </c>
      <c r="P135">
        <v>0.192710547327094</v>
      </c>
      <c r="Q135">
        <v>0.65041643808288896</v>
      </c>
      <c r="R135">
        <v>0.22737489515429599</v>
      </c>
      <c r="S135">
        <v>0.29676771043899902</v>
      </c>
      <c r="T135">
        <v>6.2061556042077498E-2</v>
      </c>
      <c r="U135">
        <v>16</v>
      </c>
    </row>
    <row r="136" spans="1:21" x14ac:dyDescent="0.25">
      <c r="A136">
        <v>135</v>
      </c>
      <c r="B136">
        <v>407</v>
      </c>
      <c r="C136" t="s">
        <v>23</v>
      </c>
      <c r="D136">
        <v>30</v>
      </c>
      <c r="E136" t="s">
        <v>24</v>
      </c>
      <c r="F136" t="s">
        <v>25</v>
      </c>
      <c r="G136">
        <v>9156.8195462645199</v>
      </c>
      <c r="H136">
        <v>143223237.174786</v>
      </c>
      <c r="I136">
        <v>11316.729210281301</v>
      </c>
      <c r="J136">
        <v>80628935.911541104</v>
      </c>
      <c r="K136">
        <v>9.4862292422380104E-2</v>
      </c>
      <c r="L136">
        <v>2.2169146396560001E-2</v>
      </c>
      <c r="M136">
        <v>-3.8830353058209803E-2</v>
      </c>
      <c r="N136">
        <v>1.3675941237184901E-3</v>
      </c>
      <c r="O136">
        <v>0.31693315952497703</v>
      </c>
      <c r="P136">
        <v>0.21648653191842901</v>
      </c>
      <c r="Q136">
        <v>0.65787239131734698</v>
      </c>
      <c r="R136">
        <v>0.22507630806000001</v>
      </c>
      <c r="S136">
        <v>0.31671207437757298</v>
      </c>
      <c r="T136">
        <v>7.5053263077000706E-2</v>
      </c>
      <c r="U136">
        <v>26</v>
      </c>
    </row>
    <row r="137" spans="1:21" x14ac:dyDescent="0.25">
      <c r="A137">
        <v>136</v>
      </c>
      <c r="B137">
        <v>408</v>
      </c>
      <c r="C137" t="s">
        <v>23</v>
      </c>
      <c r="D137">
        <v>30</v>
      </c>
      <c r="E137" t="s">
        <v>24</v>
      </c>
      <c r="F137" t="s">
        <v>25</v>
      </c>
      <c r="G137">
        <v>8963.5333092485507</v>
      </c>
      <c r="H137">
        <v>126957312.216859</v>
      </c>
      <c r="I137">
        <v>11702.903857933001</v>
      </c>
      <c r="J137">
        <v>75371768.302524701</v>
      </c>
      <c r="K137">
        <v>9.6418371620950197E-2</v>
      </c>
      <c r="L137">
        <v>1.9774057423132901E-2</v>
      </c>
      <c r="M137">
        <v>-4.1960115135309999E-2</v>
      </c>
      <c r="N137">
        <v>1.3288176999021199E-3</v>
      </c>
      <c r="O137">
        <v>0.30092726396917102</v>
      </c>
      <c r="P137">
        <v>0.210370045769118</v>
      </c>
      <c r="Q137">
        <v>0.68889691714836199</v>
      </c>
      <c r="R137">
        <v>0.214317954691953</v>
      </c>
      <c r="S137">
        <v>0.314930082312596</v>
      </c>
      <c r="T137">
        <v>6.7800038618681002E-2</v>
      </c>
      <c r="U137">
        <v>27</v>
      </c>
    </row>
    <row r="138" spans="1:21" x14ac:dyDescent="0.25">
      <c r="A138">
        <v>137</v>
      </c>
      <c r="B138">
        <v>409</v>
      </c>
      <c r="C138" t="s">
        <v>23</v>
      </c>
      <c r="D138">
        <v>30</v>
      </c>
      <c r="E138" t="s">
        <v>24</v>
      </c>
      <c r="F138" t="s">
        <v>25</v>
      </c>
      <c r="G138">
        <v>7232.8452956089204</v>
      </c>
      <c r="H138">
        <v>128541583.947833</v>
      </c>
      <c r="I138">
        <v>11946.9637012486</v>
      </c>
      <c r="J138">
        <v>67758605.468408898</v>
      </c>
      <c r="K138">
        <v>7.6361874832103799E-2</v>
      </c>
      <c r="L138">
        <v>1.74705168772013E-2</v>
      </c>
      <c r="M138">
        <v>-3.9499204087285203E-2</v>
      </c>
      <c r="N138">
        <v>1.28330310028616E-3</v>
      </c>
      <c r="O138">
        <v>0.23997895341050399</v>
      </c>
      <c r="P138">
        <v>0.18238905533056701</v>
      </c>
      <c r="Q138">
        <v>0.71423787197397404</v>
      </c>
      <c r="R138">
        <v>0.20410213421218701</v>
      </c>
      <c r="S138">
        <v>0.274951018896817</v>
      </c>
      <c r="T138">
        <v>6.1003454173749E-2</v>
      </c>
      <c r="U138">
        <v>23</v>
      </c>
    </row>
    <row r="139" spans="1:21" x14ac:dyDescent="0.25">
      <c r="A139">
        <v>138</v>
      </c>
      <c r="B139">
        <v>410</v>
      </c>
      <c r="C139" t="s">
        <v>23</v>
      </c>
      <c r="D139">
        <v>30</v>
      </c>
      <c r="E139" t="s">
        <v>24</v>
      </c>
      <c r="F139" t="s">
        <v>25</v>
      </c>
      <c r="G139">
        <v>10277.881986389</v>
      </c>
      <c r="H139">
        <v>147832565.722884</v>
      </c>
      <c r="I139">
        <v>10326.165421863399</v>
      </c>
      <c r="J139">
        <v>68952689.577901199</v>
      </c>
      <c r="K139">
        <v>0.11245037265586701</v>
      </c>
      <c r="L139">
        <v>1.7565892018888099E-2</v>
      </c>
      <c r="M139">
        <v>-3.2723501207993798E-2</v>
      </c>
      <c r="N139">
        <v>1.4597219813530201E-3</v>
      </c>
      <c r="O139">
        <v>0.342092358478154</v>
      </c>
      <c r="P139">
        <v>0.22506517674889701</v>
      </c>
      <c r="Q139">
        <v>0.77728876397775504</v>
      </c>
      <c r="R139">
        <v>0.17311094137177599</v>
      </c>
      <c r="S139">
        <v>0.34975205631810702</v>
      </c>
      <c r="T139">
        <v>6.2507462295330704E-2</v>
      </c>
      <c r="U139">
        <v>43</v>
      </c>
    </row>
    <row r="140" spans="1:21" x14ac:dyDescent="0.25">
      <c r="A140">
        <v>139</v>
      </c>
      <c r="B140">
        <v>411</v>
      </c>
      <c r="C140" t="s">
        <v>23</v>
      </c>
      <c r="D140">
        <v>30</v>
      </c>
      <c r="E140" t="s">
        <v>24</v>
      </c>
      <c r="F140" t="s">
        <v>25</v>
      </c>
      <c r="G140">
        <v>9158.4863074531895</v>
      </c>
      <c r="H140">
        <v>137663610.23856401</v>
      </c>
      <c r="I140">
        <v>10996.861798591301</v>
      </c>
      <c r="J140">
        <v>75181265.621314302</v>
      </c>
      <c r="K140">
        <v>0.102699591056034</v>
      </c>
      <c r="L140">
        <v>2.1099432383574201E-2</v>
      </c>
      <c r="M140">
        <v>-3.2423592122393902E-2</v>
      </c>
      <c r="N140">
        <v>1.3083453205448301E-3</v>
      </c>
      <c r="O140">
        <v>0.30577554091727699</v>
      </c>
      <c r="P140">
        <v>0.21227685949393199</v>
      </c>
      <c r="Q140">
        <v>0.67536296241473304</v>
      </c>
      <c r="R140">
        <v>0.21924783141280399</v>
      </c>
      <c r="S140">
        <v>0.32784148620326797</v>
      </c>
      <c r="T140">
        <v>6.8465280293137296E-2</v>
      </c>
      <c r="U140">
        <v>24</v>
      </c>
    </row>
    <row r="141" spans="1:21" x14ac:dyDescent="0.25">
      <c r="A141">
        <v>140</v>
      </c>
      <c r="B141">
        <v>412</v>
      </c>
      <c r="C141" t="s">
        <v>23</v>
      </c>
      <c r="D141">
        <v>30</v>
      </c>
      <c r="E141" t="s">
        <v>24</v>
      </c>
      <c r="F141" t="s">
        <v>25</v>
      </c>
      <c r="G141">
        <v>5701.8696182548802</v>
      </c>
      <c r="H141">
        <v>80314877.560090795</v>
      </c>
      <c r="I141">
        <v>12596.6874498414</v>
      </c>
      <c r="J141">
        <v>63660138.648969002</v>
      </c>
      <c r="K141">
        <v>7.3283522542643198E-2</v>
      </c>
      <c r="L141">
        <v>2.0840491422527301E-2</v>
      </c>
      <c r="M141">
        <v>-3.6836694974553497E-2</v>
      </c>
      <c r="N141">
        <v>1.47522596463897E-3</v>
      </c>
      <c r="O141">
        <v>0.21023488327592799</v>
      </c>
      <c r="P141">
        <v>0.16603617712972099</v>
      </c>
      <c r="Q141">
        <v>0.490987596732331</v>
      </c>
      <c r="R141">
        <v>0.24991877658742501</v>
      </c>
      <c r="S141">
        <v>0.26011135557103798</v>
      </c>
      <c r="T141">
        <v>5.9320164343512102E-2</v>
      </c>
      <c r="U141">
        <v>24</v>
      </c>
    </row>
    <row r="142" spans="1:21" x14ac:dyDescent="0.25">
      <c r="A142">
        <v>141</v>
      </c>
      <c r="B142">
        <v>501</v>
      </c>
      <c r="C142" t="s">
        <v>23</v>
      </c>
      <c r="D142">
        <v>30</v>
      </c>
      <c r="E142" t="s">
        <v>24</v>
      </c>
      <c r="F142" t="s">
        <v>25</v>
      </c>
      <c r="G142">
        <v>6805.8565859025603</v>
      </c>
      <c r="H142">
        <v>86026070.774524495</v>
      </c>
      <c r="I142">
        <v>14582.0897918793</v>
      </c>
      <c r="J142">
        <v>75567544.150146797</v>
      </c>
      <c r="K142">
        <v>5.8599477243987799E-2</v>
      </c>
      <c r="L142">
        <v>2.2667033684932301E-2</v>
      </c>
      <c r="M142">
        <v>-4.8872300493660599E-2</v>
      </c>
      <c r="N142">
        <v>1.5145429822943099E-3</v>
      </c>
      <c r="O142">
        <v>0.235977899495324</v>
      </c>
      <c r="P142">
        <v>0.18029233044514301</v>
      </c>
      <c r="Q142">
        <v>0.73548865525613905</v>
      </c>
      <c r="R142">
        <v>0.19454509324567301</v>
      </c>
      <c r="S142">
        <v>0.27393534129904401</v>
      </c>
      <c r="T142">
        <v>6.0273423139332698E-2</v>
      </c>
      <c r="U142">
        <v>21</v>
      </c>
    </row>
    <row r="143" spans="1:21" x14ac:dyDescent="0.25">
      <c r="A143">
        <v>142</v>
      </c>
      <c r="B143">
        <v>502</v>
      </c>
      <c r="C143" t="s">
        <v>23</v>
      </c>
      <c r="D143">
        <v>30</v>
      </c>
      <c r="E143" t="s">
        <v>24</v>
      </c>
      <c r="F143" t="s">
        <v>25</v>
      </c>
      <c r="G143">
        <v>6714.9432152510299</v>
      </c>
      <c r="H143">
        <v>93705248.053608805</v>
      </c>
      <c r="I143">
        <v>13302.853819243501</v>
      </c>
      <c r="J143">
        <v>78778629.753408894</v>
      </c>
      <c r="K143">
        <v>7.4646329957803501E-2</v>
      </c>
      <c r="L143">
        <v>2.3842856653845699E-2</v>
      </c>
      <c r="M143">
        <v>-4.7793596301191801E-2</v>
      </c>
      <c r="N143">
        <v>1.21838448507901E-3</v>
      </c>
      <c r="O143">
        <v>0.24891764537039299</v>
      </c>
      <c r="P143">
        <v>0.18695765119361199</v>
      </c>
      <c r="Q143">
        <v>0.53908623370410202</v>
      </c>
      <c r="R143">
        <v>0.24847226633471101</v>
      </c>
      <c r="S143">
        <v>0.29183830823707901</v>
      </c>
      <c r="T143">
        <v>6.5484012011390397E-2</v>
      </c>
      <c r="U143">
        <v>14</v>
      </c>
    </row>
    <row r="144" spans="1:21" x14ac:dyDescent="0.25">
      <c r="A144">
        <v>143</v>
      </c>
      <c r="B144">
        <v>503</v>
      </c>
      <c r="C144" t="s">
        <v>23</v>
      </c>
      <c r="D144">
        <v>30</v>
      </c>
      <c r="E144" t="s">
        <v>24</v>
      </c>
      <c r="F144" t="s">
        <v>25</v>
      </c>
      <c r="G144">
        <v>6589.7043921343502</v>
      </c>
      <c r="H144">
        <v>84143330.704157293</v>
      </c>
      <c r="I144">
        <v>14040.417226343699</v>
      </c>
      <c r="J144">
        <v>79846904.770152107</v>
      </c>
      <c r="K144">
        <v>5.9221633826072102E-2</v>
      </c>
      <c r="L144">
        <v>2.54319513296258E-2</v>
      </c>
      <c r="M144">
        <v>-5.0646241218229297E-2</v>
      </c>
      <c r="N144">
        <v>1.4435979936187201E-3</v>
      </c>
      <c r="O144">
        <v>0.22744127075259599</v>
      </c>
      <c r="P144">
        <v>0.175711739111202</v>
      </c>
      <c r="Q144">
        <v>0.70315228050034695</v>
      </c>
      <c r="R144">
        <v>0.208729150927429</v>
      </c>
      <c r="S144">
        <v>0.269261198701233</v>
      </c>
      <c r="T144">
        <v>6.5281855643866404E-2</v>
      </c>
      <c r="U144">
        <v>21</v>
      </c>
    </row>
    <row r="145" spans="1:21" x14ac:dyDescent="0.25">
      <c r="A145">
        <v>144</v>
      </c>
      <c r="B145">
        <v>504</v>
      </c>
      <c r="C145" t="s">
        <v>23</v>
      </c>
      <c r="D145">
        <v>30</v>
      </c>
      <c r="E145" t="s">
        <v>24</v>
      </c>
      <c r="F145" t="s">
        <v>25</v>
      </c>
      <c r="G145">
        <v>7346.2330618444503</v>
      </c>
      <c r="H145">
        <v>125807824.380532</v>
      </c>
      <c r="I145">
        <v>12164.1614118179</v>
      </c>
      <c r="J145">
        <v>72294429.047948599</v>
      </c>
      <c r="K145">
        <v>8.0101069563320901E-2</v>
      </c>
      <c r="L145">
        <v>1.7021739482831401E-2</v>
      </c>
      <c r="M145">
        <v>-3.8571675305009601E-2</v>
      </c>
      <c r="N145">
        <v>1.3396330376385E-3</v>
      </c>
      <c r="O145">
        <v>0.237941468431942</v>
      </c>
      <c r="P145">
        <v>0.181325326032302</v>
      </c>
      <c r="Q145">
        <v>0.472208935233904</v>
      </c>
      <c r="R145">
        <v>0.24922765671928199</v>
      </c>
      <c r="S145">
        <v>0.29188401684398102</v>
      </c>
      <c r="T145">
        <v>5.8848916701988899E-2</v>
      </c>
      <c r="U145">
        <v>12</v>
      </c>
    </row>
    <row r="146" spans="1:21" x14ac:dyDescent="0.25">
      <c r="A146">
        <v>145</v>
      </c>
      <c r="B146">
        <v>505</v>
      </c>
      <c r="C146" t="s">
        <v>23</v>
      </c>
      <c r="D146">
        <v>30</v>
      </c>
      <c r="E146" t="s">
        <v>24</v>
      </c>
      <c r="F146" t="s">
        <v>25</v>
      </c>
      <c r="G146">
        <v>7858.1958856596102</v>
      </c>
      <c r="H146">
        <v>139281453.76014701</v>
      </c>
      <c r="I146">
        <v>11308.031048778999</v>
      </c>
      <c r="J146">
        <v>69715081.802727699</v>
      </c>
      <c r="K146">
        <v>9.3791736127346204E-2</v>
      </c>
      <c r="L146">
        <v>1.7220804760610501E-2</v>
      </c>
      <c r="M146">
        <v>-2.90522660190588E-2</v>
      </c>
      <c r="N146">
        <v>1.44459658268677E-3</v>
      </c>
      <c r="O146">
        <v>0.26037555316349698</v>
      </c>
      <c r="P146">
        <v>0.192580124478474</v>
      </c>
      <c r="Q146">
        <v>0.40735779553174201</v>
      </c>
      <c r="R146">
        <v>0.241417421951098</v>
      </c>
      <c r="S146">
        <v>0.31096343040684299</v>
      </c>
      <c r="T146">
        <v>6.1064520234773198E-2</v>
      </c>
      <c r="U146">
        <v>8</v>
      </c>
    </row>
    <row r="147" spans="1:21" x14ac:dyDescent="0.25">
      <c r="A147">
        <v>146</v>
      </c>
      <c r="B147">
        <v>506</v>
      </c>
      <c r="C147" t="s">
        <v>23</v>
      </c>
      <c r="D147">
        <v>30</v>
      </c>
      <c r="E147" t="s">
        <v>24</v>
      </c>
      <c r="F147" t="s">
        <v>25</v>
      </c>
      <c r="G147">
        <v>5190.2110983636303</v>
      </c>
      <c r="H147">
        <v>87752971.008248299</v>
      </c>
      <c r="I147">
        <v>13132.925799424</v>
      </c>
      <c r="J147">
        <v>53564431.242472403</v>
      </c>
      <c r="K147">
        <v>6.6106601454724107E-2</v>
      </c>
      <c r="L147">
        <v>1.7156548858291699E-2</v>
      </c>
      <c r="M147">
        <v>-3.3337710957316601E-2</v>
      </c>
      <c r="N147">
        <v>1.1843372978425899E-3</v>
      </c>
      <c r="O147">
        <v>0.19455346899341799</v>
      </c>
      <c r="P147">
        <v>0.15670241669604801</v>
      </c>
      <c r="Q147">
        <v>0.62309336618238498</v>
      </c>
      <c r="R147">
        <v>0.234848023201744</v>
      </c>
      <c r="S147">
        <v>0.25413049204283</v>
      </c>
      <c r="T147">
        <v>5.21498889517579E-2</v>
      </c>
      <c r="U147">
        <v>19</v>
      </c>
    </row>
    <row r="148" spans="1:21" x14ac:dyDescent="0.25">
      <c r="A148">
        <v>147</v>
      </c>
      <c r="B148">
        <v>507</v>
      </c>
      <c r="C148" t="s">
        <v>23</v>
      </c>
      <c r="D148">
        <v>30</v>
      </c>
      <c r="E148" t="s">
        <v>24</v>
      </c>
      <c r="F148" t="s">
        <v>25</v>
      </c>
      <c r="G148">
        <v>6996.2584637830196</v>
      </c>
      <c r="H148">
        <v>105402932.019025</v>
      </c>
      <c r="I148">
        <v>12395.954021224299</v>
      </c>
      <c r="J148">
        <v>72751158.730618596</v>
      </c>
      <c r="K148">
        <v>8.5026346131137506E-2</v>
      </c>
      <c r="L148">
        <v>2.2245451522253299E-2</v>
      </c>
      <c r="M148">
        <v>-3.6413335047155902E-2</v>
      </c>
      <c r="N148">
        <v>1.3567447920566299E-3</v>
      </c>
      <c r="O148">
        <v>0.26079573312923798</v>
      </c>
      <c r="P148">
        <v>0.192781318710981</v>
      </c>
      <c r="Q148">
        <v>0.50971808580621203</v>
      </c>
      <c r="R148">
        <v>0.24990555880802101</v>
      </c>
      <c r="S148">
        <v>0.29143421134595399</v>
      </c>
      <c r="T148">
        <v>6.6790483452268706E-2</v>
      </c>
      <c r="U148">
        <v>11</v>
      </c>
    </row>
    <row r="149" spans="1:21" x14ac:dyDescent="0.25">
      <c r="A149">
        <v>148</v>
      </c>
      <c r="B149">
        <v>508</v>
      </c>
      <c r="C149" t="s">
        <v>23</v>
      </c>
      <c r="D149">
        <v>30</v>
      </c>
      <c r="E149" t="s">
        <v>24</v>
      </c>
      <c r="F149" t="s">
        <v>25</v>
      </c>
      <c r="G149">
        <v>6979.2167288557202</v>
      </c>
      <c r="H149">
        <v>112729256.84623</v>
      </c>
      <c r="I149">
        <v>12948.9854284127</v>
      </c>
      <c r="J149">
        <v>70570786.766994298</v>
      </c>
      <c r="K149">
        <v>7.2392648993470296E-2</v>
      </c>
      <c r="L149">
        <v>1.74644203283114E-2</v>
      </c>
      <c r="M149">
        <v>-4.0340883658880999E-2</v>
      </c>
      <c r="N149">
        <v>1.13353331795849E-3</v>
      </c>
      <c r="O149">
        <v>0.22671498277841601</v>
      </c>
      <c r="P149">
        <v>0.17531529936207799</v>
      </c>
      <c r="Q149">
        <v>0.413143574717455</v>
      </c>
      <c r="R149">
        <v>0.242455961387295</v>
      </c>
      <c r="S149">
        <v>0.27368001665122799</v>
      </c>
      <c r="T149">
        <v>6.0120041700832502E-2</v>
      </c>
      <c r="U149">
        <v>6</v>
      </c>
    </row>
    <row r="150" spans="1:21" x14ac:dyDescent="0.25">
      <c r="A150">
        <v>149</v>
      </c>
      <c r="B150">
        <v>509</v>
      </c>
      <c r="C150" t="s">
        <v>23</v>
      </c>
      <c r="D150">
        <v>30</v>
      </c>
      <c r="E150" t="s">
        <v>24</v>
      </c>
      <c r="F150" t="s">
        <v>25</v>
      </c>
      <c r="G150">
        <v>8027.7717135237899</v>
      </c>
      <c r="H150">
        <v>131515062.268251</v>
      </c>
      <c r="I150">
        <v>11704.4962124954</v>
      </c>
      <c r="J150">
        <v>67504320.557727203</v>
      </c>
      <c r="K150">
        <v>8.9703266549461105E-2</v>
      </c>
      <c r="L150">
        <v>1.7391354168082199E-2</v>
      </c>
      <c r="M150">
        <v>-3.8807443596188797E-2</v>
      </c>
      <c r="N150">
        <v>1.31133075330835E-3</v>
      </c>
      <c r="O150">
        <v>0.27298709685134498</v>
      </c>
      <c r="P150">
        <v>0.19846514180434999</v>
      </c>
      <c r="Q150">
        <v>0.49394146003038197</v>
      </c>
      <c r="R150">
        <v>0.249963294093933</v>
      </c>
      <c r="S150">
        <v>0.30239382493288097</v>
      </c>
      <c r="T150">
        <v>6.2427627250233E-2</v>
      </c>
      <c r="U150">
        <v>19</v>
      </c>
    </row>
    <row r="151" spans="1:21" x14ac:dyDescent="0.25">
      <c r="A151">
        <v>150</v>
      </c>
      <c r="B151">
        <v>510</v>
      </c>
      <c r="C151" t="s">
        <v>23</v>
      </c>
      <c r="D151">
        <v>30</v>
      </c>
      <c r="E151" t="s">
        <v>24</v>
      </c>
      <c r="F151" t="s">
        <v>25</v>
      </c>
      <c r="G151">
        <v>8189.5488662456901</v>
      </c>
      <c r="H151">
        <v>120953549.331256</v>
      </c>
      <c r="I151">
        <v>11941.9506393926</v>
      </c>
      <c r="J151">
        <v>60271316.243636303</v>
      </c>
      <c r="K151">
        <v>7.8123685238029497E-2</v>
      </c>
      <c r="L151">
        <v>1.41234826565819E-2</v>
      </c>
      <c r="M151">
        <v>-4.0135632481401E-2</v>
      </c>
      <c r="N151">
        <v>1.3317728753334101E-3</v>
      </c>
      <c r="O151">
        <v>0.25681687715269802</v>
      </c>
      <c r="P151">
        <v>0.19086196876219599</v>
      </c>
      <c r="Q151">
        <v>0.85360923389749399</v>
      </c>
      <c r="R151">
        <v>0.124960509702349</v>
      </c>
      <c r="S151">
        <v>0.29504015673887002</v>
      </c>
      <c r="T151">
        <v>5.3238465470487099E-2</v>
      </c>
      <c r="U151">
        <v>50</v>
      </c>
    </row>
    <row r="152" spans="1:21" x14ac:dyDescent="0.25">
      <c r="A152">
        <v>151</v>
      </c>
      <c r="B152">
        <v>511</v>
      </c>
      <c r="C152" t="s">
        <v>23</v>
      </c>
      <c r="D152">
        <v>30</v>
      </c>
      <c r="E152" t="s">
        <v>24</v>
      </c>
      <c r="F152" t="s">
        <v>25</v>
      </c>
      <c r="G152">
        <v>5859.1058489820798</v>
      </c>
      <c r="H152">
        <v>88581829.775949597</v>
      </c>
      <c r="I152">
        <v>12850.5553649431</v>
      </c>
      <c r="J152">
        <v>52047925.097838402</v>
      </c>
      <c r="K152">
        <v>6.0451401447310101E-2</v>
      </c>
      <c r="L152">
        <v>1.44997162938324E-2</v>
      </c>
      <c r="M152">
        <v>-4.0635530588694201E-2</v>
      </c>
      <c r="N152">
        <v>1.15312264926293E-3</v>
      </c>
      <c r="O152">
        <v>0.18644453221308599</v>
      </c>
      <c r="P152">
        <v>0.15168296862104599</v>
      </c>
      <c r="Q152">
        <v>0.86511460889341096</v>
      </c>
      <c r="R152">
        <v>0.116691322372768</v>
      </c>
      <c r="S152">
        <v>0.250234166923816</v>
      </c>
      <c r="T152">
        <v>4.7737088558109701E-2</v>
      </c>
      <c r="U152">
        <v>28</v>
      </c>
    </row>
    <row r="153" spans="1:21" x14ac:dyDescent="0.25">
      <c r="A153">
        <v>152</v>
      </c>
      <c r="B153">
        <v>512</v>
      </c>
      <c r="C153" t="s">
        <v>23</v>
      </c>
      <c r="D153">
        <v>30</v>
      </c>
      <c r="E153" t="s">
        <v>24</v>
      </c>
      <c r="F153" t="s">
        <v>25</v>
      </c>
      <c r="G153">
        <v>4284.35544048886</v>
      </c>
      <c r="H153">
        <v>57733781.512386203</v>
      </c>
      <c r="I153">
        <v>16317.725577098499</v>
      </c>
      <c r="J153">
        <v>41755445.654510997</v>
      </c>
      <c r="K153">
        <v>3.63275601707544E-3</v>
      </c>
      <c r="L153">
        <v>1.0120384072447201E-2</v>
      </c>
      <c r="M153">
        <v>-6.00486262600885E-2</v>
      </c>
      <c r="N153">
        <v>9.2721307519740297E-4</v>
      </c>
      <c r="O153">
        <v>0.112062470851321</v>
      </c>
      <c r="P153">
        <v>9.95044734782181E-2</v>
      </c>
      <c r="Q153">
        <v>0.76532858065596499</v>
      </c>
      <c r="R153">
        <v>0.179600744287258</v>
      </c>
      <c r="S153">
        <v>0.16792049985968599</v>
      </c>
      <c r="T153">
        <v>3.5098942501124199E-2</v>
      </c>
      <c r="U153">
        <v>37</v>
      </c>
    </row>
    <row r="154" spans="1:21" x14ac:dyDescent="0.25">
      <c r="A154">
        <v>153</v>
      </c>
      <c r="B154">
        <v>601</v>
      </c>
      <c r="C154" t="s">
        <v>23</v>
      </c>
      <c r="D154">
        <v>30</v>
      </c>
      <c r="E154" t="s">
        <v>24</v>
      </c>
      <c r="F154" t="s">
        <v>25</v>
      </c>
      <c r="G154">
        <v>5320.08192603932</v>
      </c>
      <c r="H154">
        <v>59484441.168597303</v>
      </c>
      <c r="I154">
        <v>15150.2088109831</v>
      </c>
      <c r="J154">
        <v>60586220.466328599</v>
      </c>
      <c r="K154">
        <v>4.7358909505472599E-2</v>
      </c>
      <c r="L154">
        <v>2.08515930976239E-2</v>
      </c>
      <c r="M154">
        <v>-5.1364081323495403E-2</v>
      </c>
      <c r="N154">
        <v>1.2638807765453599E-3</v>
      </c>
      <c r="O154">
        <v>0.18539204898818401</v>
      </c>
      <c r="P154">
        <v>0.15102183716009701</v>
      </c>
      <c r="Q154">
        <v>0.81954743338276803</v>
      </c>
      <c r="R154">
        <v>0.14788943781807901</v>
      </c>
      <c r="S154">
        <v>0.25232845344349902</v>
      </c>
      <c r="T154">
        <v>5.0338678831053398E-2</v>
      </c>
      <c r="U154">
        <v>33</v>
      </c>
    </row>
    <row r="155" spans="1:21" x14ac:dyDescent="0.25">
      <c r="A155">
        <v>154</v>
      </c>
      <c r="B155">
        <v>602</v>
      </c>
      <c r="C155" t="s">
        <v>23</v>
      </c>
      <c r="D155">
        <v>30</v>
      </c>
      <c r="E155" t="s">
        <v>24</v>
      </c>
      <c r="F155" t="s">
        <v>25</v>
      </c>
      <c r="G155">
        <v>3660.5250550133901</v>
      </c>
      <c r="H155">
        <v>42293537.578041799</v>
      </c>
      <c r="I155">
        <v>15941.6019308958</v>
      </c>
      <c r="J155">
        <v>42565042.902387299</v>
      </c>
      <c r="K155">
        <v>1.74663897593853E-2</v>
      </c>
      <c r="L155">
        <v>1.4455513681682099E-2</v>
      </c>
      <c r="M155">
        <v>-5.8385103310436497E-2</v>
      </c>
      <c r="N155">
        <v>9.963585986370821E-4</v>
      </c>
      <c r="O155">
        <v>0.124378109452736</v>
      </c>
      <c r="P155">
        <v>0.108908195341838</v>
      </c>
      <c r="Q155">
        <v>0.79199406790810001</v>
      </c>
      <c r="R155">
        <v>0.164739464305934</v>
      </c>
      <c r="S155">
        <v>0.20769486949472099</v>
      </c>
      <c r="T155">
        <v>3.6163048731833299E-2</v>
      </c>
      <c r="U155">
        <v>54</v>
      </c>
    </row>
    <row r="156" spans="1:21" x14ac:dyDescent="0.25">
      <c r="A156">
        <v>155</v>
      </c>
      <c r="B156">
        <v>603</v>
      </c>
      <c r="C156" t="s">
        <v>23</v>
      </c>
      <c r="D156">
        <v>30</v>
      </c>
      <c r="E156" t="s">
        <v>24</v>
      </c>
      <c r="F156" t="s">
        <v>25</v>
      </c>
      <c r="G156">
        <v>6030.1445912814697</v>
      </c>
      <c r="H156">
        <v>77785062.137917802</v>
      </c>
      <c r="I156">
        <v>15262.7504759206</v>
      </c>
      <c r="J156">
        <v>61905428.416992903</v>
      </c>
      <c r="K156">
        <v>2.4373120359110802E-2</v>
      </c>
      <c r="L156">
        <v>1.6535497320641499E-2</v>
      </c>
      <c r="M156">
        <v>-5.8587793942904101E-2</v>
      </c>
      <c r="N156">
        <v>1.1050400396289599E-3</v>
      </c>
      <c r="O156">
        <v>0.18159421156491101</v>
      </c>
      <c r="P156">
        <v>0.148617753891085</v>
      </c>
      <c r="Q156">
        <v>0.69357365833821705</v>
      </c>
      <c r="R156">
        <v>0.21252923879764901</v>
      </c>
      <c r="S156">
        <v>0.23374217966503999</v>
      </c>
      <c r="T156">
        <v>4.8343252137694102E-2</v>
      </c>
      <c r="U156">
        <v>27</v>
      </c>
    </row>
    <row r="157" spans="1:21" x14ac:dyDescent="0.25">
      <c r="A157">
        <v>156</v>
      </c>
      <c r="B157">
        <v>604</v>
      </c>
      <c r="C157" t="s">
        <v>23</v>
      </c>
      <c r="D157">
        <v>30</v>
      </c>
      <c r="E157" t="s">
        <v>24</v>
      </c>
      <c r="F157" t="s">
        <v>25</v>
      </c>
      <c r="G157">
        <v>6709.5601200727097</v>
      </c>
      <c r="H157">
        <v>94895551.665994406</v>
      </c>
      <c r="I157">
        <v>12392.8603669237</v>
      </c>
      <c r="J157">
        <v>68831085.908222094</v>
      </c>
      <c r="K157">
        <v>8.63283578894639E-2</v>
      </c>
      <c r="L157">
        <v>2.0908121968534098E-2</v>
      </c>
      <c r="M157">
        <v>-3.6312979321889698E-2</v>
      </c>
      <c r="N157">
        <v>1.45516452571229E-3</v>
      </c>
      <c r="O157">
        <v>0.244486701109835</v>
      </c>
      <c r="P157">
        <v>0.18471295409039001</v>
      </c>
      <c r="Q157">
        <v>0.61772409256712302</v>
      </c>
      <c r="R157">
        <v>0.23614103802895101</v>
      </c>
      <c r="S157">
        <v>0.29569409868047403</v>
      </c>
      <c r="T157">
        <v>5.8617040898384501E-2</v>
      </c>
      <c r="U157">
        <v>28</v>
      </c>
    </row>
    <row r="158" spans="1:21" x14ac:dyDescent="0.25">
      <c r="A158">
        <v>157</v>
      </c>
      <c r="B158">
        <v>605</v>
      </c>
      <c r="C158" t="s">
        <v>23</v>
      </c>
      <c r="D158">
        <v>30</v>
      </c>
      <c r="E158" t="s">
        <v>24</v>
      </c>
      <c r="F158" t="s">
        <v>25</v>
      </c>
      <c r="G158">
        <v>9743.5605573162702</v>
      </c>
      <c r="H158">
        <v>155740778.36102399</v>
      </c>
      <c r="I158">
        <v>10295.5450386784</v>
      </c>
      <c r="J158">
        <v>73022347.851823106</v>
      </c>
      <c r="K158">
        <v>0.10839496936694901</v>
      </c>
      <c r="L158">
        <v>1.8923065127471401E-2</v>
      </c>
      <c r="M158">
        <v>-2.8866297786088301E-2</v>
      </c>
      <c r="N158">
        <v>1.4748137942199599E-3</v>
      </c>
      <c r="O158">
        <v>0.31568498475154</v>
      </c>
      <c r="P158">
        <v>0.21602797515376099</v>
      </c>
      <c r="Q158">
        <v>0.439404813166834</v>
      </c>
      <c r="R158">
        <v>0.24632822333283</v>
      </c>
      <c r="S158">
        <v>0.34505451411846499</v>
      </c>
      <c r="T158">
        <v>6.4691336156423307E-2</v>
      </c>
      <c r="U158">
        <v>13</v>
      </c>
    </row>
    <row r="159" spans="1:21" x14ac:dyDescent="0.25">
      <c r="A159">
        <v>158</v>
      </c>
      <c r="B159">
        <v>606</v>
      </c>
      <c r="C159" t="s">
        <v>23</v>
      </c>
      <c r="D159">
        <v>30</v>
      </c>
      <c r="E159" t="s">
        <v>24</v>
      </c>
      <c r="F159" t="s">
        <v>25</v>
      </c>
      <c r="G159">
        <v>4271.9512451855198</v>
      </c>
      <c r="H159">
        <v>63318012.716793001</v>
      </c>
      <c r="I159">
        <v>13631.356181945201</v>
      </c>
      <c r="J159">
        <v>43328378.140329301</v>
      </c>
      <c r="K159">
        <v>4.3945438054009502E-2</v>
      </c>
      <c r="L159">
        <v>1.47719596137198E-2</v>
      </c>
      <c r="M159">
        <v>-3.9236844739048399E-2</v>
      </c>
      <c r="N159">
        <v>1.11633061890405E-3</v>
      </c>
      <c r="O159">
        <v>0.15762780794717801</v>
      </c>
      <c r="P159">
        <v>0.13278128210880999</v>
      </c>
      <c r="Q159">
        <v>0.81451718983557597</v>
      </c>
      <c r="R159">
        <v>0.15107893729830299</v>
      </c>
      <c r="S159">
        <v>0.23312019756319599</v>
      </c>
      <c r="T159">
        <v>4.0882773777994097E-2</v>
      </c>
      <c r="U159">
        <v>53</v>
      </c>
    </row>
    <row r="160" spans="1:21" x14ac:dyDescent="0.25">
      <c r="A160">
        <v>159</v>
      </c>
      <c r="B160">
        <v>607</v>
      </c>
      <c r="C160" t="s">
        <v>23</v>
      </c>
      <c r="D160">
        <v>30</v>
      </c>
      <c r="E160" t="s">
        <v>24</v>
      </c>
      <c r="F160" t="s">
        <v>25</v>
      </c>
      <c r="G160">
        <v>4396.0516307272801</v>
      </c>
      <c r="H160">
        <v>71748455.358354896</v>
      </c>
      <c r="I160">
        <v>13322.349443954299</v>
      </c>
      <c r="J160">
        <v>43291155.889412098</v>
      </c>
      <c r="K160">
        <v>5.1255877361558802E-2</v>
      </c>
      <c r="L160">
        <v>1.5680581400951899E-2</v>
      </c>
      <c r="M160">
        <v>-3.9669596027375E-2</v>
      </c>
      <c r="N160">
        <v>1.19585019998353E-3</v>
      </c>
      <c r="O160">
        <v>0.16327604559099701</v>
      </c>
      <c r="P160">
        <v>0.13661697852705701</v>
      </c>
      <c r="Q160">
        <v>0.86107290233837697</v>
      </c>
      <c r="R160">
        <v>0.119626359196962</v>
      </c>
      <c r="S160">
        <v>0.23408674234783899</v>
      </c>
      <c r="T160">
        <v>4.4784809518154202E-2</v>
      </c>
      <c r="U160">
        <v>29</v>
      </c>
    </row>
    <row r="161" spans="1:21" x14ac:dyDescent="0.25">
      <c r="A161">
        <v>160</v>
      </c>
      <c r="B161">
        <v>608</v>
      </c>
      <c r="C161" t="s">
        <v>23</v>
      </c>
      <c r="D161">
        <v>30</v>
      </c>
      <c r="E161" t="s">
        <v>24</v>
      </c>
      <c r="F161" t="s">
        <v>25</v>
      </c>
      <c r="G161">
        <v>7482.8574828670899</v>
      </c>
      <c r="H161">
        <v>115883143.831192</v>
      </c>
      <c r="I161">
        <v>12636.795343083</v>
      </c>
      <c r="J161">
        <v>69067319.794278398</v>
      </c>
      <c r="K161">
        <v>7.2901554378108593E-2</v>
      </c>
      <c r="L161">
        <v>1.9893335652813701E-2</v>
      </c>
      <c r="M161">
        <v>-4.2780659613905397E-2</v>
      </c>
      <c r="N161">
        <v>1.3039269487925499E-3</v>
      </c>
      <c r="O161">
        <v>0.24970398631759</v>
      </c>
      <c r="P161">
        <v>0.18735190553440201</v>
      </c>
      <c r="Q161">
        <v>0.69680081325121102</v>
      </c>
      <c r="R161">
        <v>0.21126943990354899</v>
      </c>
      <c r="S161">
        <v>0.285840521994144</v>
      </c>
      <c r="T161">
        <v>6.13987294208823E-2</v>
      </c>
      <c r="U161">
        <v>24</v>
      </c>
    </row>
    <row r="162" spans="1:21" x14ac:dyDescent="0.25">
      <c r="A162">
        <v>161</v>
      </c>
      <c r="B162">
        <v>609</v>
      </c>
      <c r="C162" t="s">
        <v>23</v>
      </c>
      <c r="D162">
        <v>30</v>
      </c>
      <c r="E162" t="s">
        <v>24</v>
      </c>
      <c r="F162" t="s">
        <v>25</v>
      </c>
      <c r="G162">
        <v>5380.29598756204</v>
      </c>
      <c r="H162">
        <v>91542521.191768199</v>
      </c>
      <c r="I162">
        <v>13068.8336170413</v>
      </c>
      <c r="J162">
        <v>48638892.439288199</v>
      </c>
      <c r="K162">
        <v>5.3093696641155097E-2</v>
      </c>
      <c r="L162">
        <v>1.5418626204180099E-2</v>
      </c>
      <c r="M162">
        <v>-4.61495844892163E-2</v>
      </c>
      <c r="N162">
        <v>1.3562079222756401E-3</v>
      </c>
      <c r="O162">
        <v>0.18868624050708599</v>
      </c>
      <c r="P162">
        <v>0.15308374315064199</v>
      </c>
      <c r="Q162">
        <v>0.71512462325981896</v>
      </c>
      <c r="R162">
        <v>0.20372139646717599</v>
      </c>
      <c r="S162">
        <v>0.241077735288871</v>
      </c>
      <c r="T162">
        <v>4.8519342538147499E-2</v>
      </c>
      <c r="U162">
        <v>27</v>
      </c>
    </row>
    <row r="163" spans="1:21" x14ac:dyDescent="0.25">
      <c r="A163">
        <v>162</v>
      </c>
      <c r="B163">
        <v>610</v>
      </c>
      <c r="C163" t="s">
        <v>23</v>
      </c>
      <c r="D163">
        <v>30</v>
      </c>
      <c r="E163" t="s">
        <v>24</v>
      </c>
      <c r="F163" t="s">
        <v>25</v>
      </c>
      <c r="G163">
        <v>7524.5796111718901</v>
      </c>
      <c r="H163">
        <v>111472935.28356799</v>
      </c>
      <c r="I163">
        <v>11262.2233778671</v>
      </c>
      <c r="J163">
        <v>65542810.3120097</v>
      </c>
      <c r="K163">
        <v>9.3739456775671803E-2</v>
      </c>
      <c r="L163">
        <v>2.0204959380296601E-2</v>
      </c>
      <c r="M163">
        <v>-3.66701535119138E-2</v>
      </c>
      <c r="N163">
        <v>1.39736828301674E-3</v>
      </c>
      <c r="O163">
        <v>0.26149110889351102</v>
      </c>
      <c r="P163">
        <v>0.193113508862959</v>
      </c>
      <c r="Q163">
        <v>0.554783403267887</v>
      </c>
      <c r="R163">
        <v>0.24699877872651199</v>
      </c>
      <c r="S163">
        <v>0.29899749633908401</v>
      </c>
      <c r="T163">
        <v>6.1387925645652403E-2</v>
      </c>
      <c r="U163">
        <v>13</v>
      </c>
    </row>
    <row r="164" spans="1:21" x14ac:dyDescent="0.25">
      <c r="A164">
        <v>163</v>
      </c>
      <c r="B164">
        <v>611</v>
      </c>
      <c r="C164" t="s">
        <v>23</v>
      </c>
      <c r="D164">
        <v>30</v>
      </c>
      <c r="E164" t="s">
        <v>24</v>
      </c>
      <c r="F164" t="s">
        <v>25</v>
      </c>
      <c r="G164">
        <v>6932.0895185016898</v>
      </c>
      <c r="H164">
        <v>111101690.38353699</v>
      </c>
      <c r="I164">
        <v>12635.221805294999</v>
      </c>
      <c r="J164">
        <v>70328127.774329901</v>
      </c>
      <c r="K164">
        <v>6.4893608113221701E-2</v>
      </c>
      <c r="L164">
        <v>1.8661732510191799E-2</v>
      </c>
      <c r="M164">
        <v>-4.3875122663692603E-2</v>
      </c>
      <c r="N164">
        <v>1.22111499488511E-3</v>
      </c>
      <c r="O164">
        <v>0.21416270002631099</v>
      </c>
      <c r="P164">
        <v>0.16829703794387699</v>
      </c>
      <c r="Q164">
        <v>0.56746639238386798</v>
      </c>
      <c r="R164">
        <v>0.24544828589879</v>
      </c>
      <c r="S164">
        <v>0.26018730907993198</v>
      </c>
      <c r="T164">
        <v>5.7989075021768602E-2</v>
      </c>
      <c r="U164">
        <v>17</v>
      </c>
    </row>
    <row r="165" spans="1:21" x14ac:dyDescent="0.25">
      <c r="A165">
        <v>164</v>
      </c>
      <c r="B165">
        <v>612</v>
      </c>
      <c r="C165" t="s">
        <v>23</v>
      </c>
      <c r="D165">
        <v>30</v>
      </c>
      <c r="E165" t="s">
        <v>24</v>
      </c>
      <c r="F165" t="s">
        <v>25</v>
      </c>
      <c r="G165">
        <v>4602.5078572371804</v>
      </c>
      <c r="H165">
        <v>73736095.831758201</v>
      </c>
      <c r="I165">
        <v>14690.441273094</v>
      </c>
      <c r="J165">
        <v>46283629.270364903</v>
      </c>
      <c r="K165">
        <v>2.5808795742429599E-2</v>
      </c>
      <c r="L165">
        <v>1.27286842586744E-2</v>
      </c>
      <c r="M165">
        <v>-5.1473823719860402E-2</v>
      </c>
      <c r="N165">
        <v>1.0469088003245801E-3</v>
      </c>
      <c r="O165">
        <v>0.13270267350148299</v>
      </c>
      <c r="P165">
        <v>0.115092673947053</v>
      </c>
      <c r="Q165">
        <v>0.62857897453750899</v>
      </c>
      <c r="R165">
        <v>0.23346744730699601</v>
      </c>
      <c r="S165">
        <v>0.19167654279016799</v>
      </c>
      <c r="T165">
        <v>4.0880058038130197E-2</v>
      </c>
      <c r="U165">
        <v>33</v>
      </c>
    </row>
    <row r="166" spans="1:21" x14ac:dyDescent="0.25">
      <c r="A166">
        <v>165</v>
      </c>
      <c r="C166" t="s">
        <v>23</v>
      </c>
      <c r="D166">
        <v>30</v>
      </c>
      <c r="E166" t="s">
        <v>24</v>
      </c>
      <c r="F166" t="s">
        <v>25</v>
      </c>
      <c r="G166">
        <v>3881.7002991569202</v>
      </c>
      <c r="H166">
        <v>31314102.472594399</v>
      </c>
      <c r="I166">
        <v>16203.769815679399</v>
      </c>
      <c r="J166">
        <v>23112671.3839803</v>
      </c>
      <c r="K166">
        <v>-6.5753606663167097E-2</v>
      </c>
      <c r="L166">
        <v>6.9135681239033296E-3</v>
      </c>
      <c r="M166">
        <v>-8.8642520050381798E-2</v>
      </c>
      <c r="N166">
        <v>7.8452857236771902E-4</v>
      </c>
      <c r="O166">
        <v>4.9224911612727802E-2</v>
      </c>
      <c r="P166">
        <v>4.6801819689446203E-2</v>
      </c>
      <c r="Q166">
        <v>0</v>
      </c>
      <c r="R166">
        <v>0</v>
      </c>
      <c r="S166">
        <v>9.3870435927273302E-2</v>
      </c>
      <c r="T166">
        <v>2.26120216125614E-2</v>
      </c>
      <c r="U166">
        <v>0</v>
      </c>
    </row>
    <row r="167" spans="1:21" x14ac:dyDescent="0.25">
      <c r="A167">
        <v>166</v>
      </c>
      <c r="C167" t="s">
        <v>23</v>
      </c>
      <c r="D167">
        <v>30</v>
      </c>
      <c r="E167" t="s">
        <v>24</v>
      </c>
      <c r="F167" t="s">
        <v>25</v>
      </c>
      <c r="G167">
        <v>794.45385481148003</v>
      </c>
      <c r="H167">
        <v>4321586.48760051</v>
      </c>
      <c r="I167">
        <v>12410.0229483611</v>
      </c>
      <c r="J167">
        <v>39164801.035781898</v>
      </c>
      <c r="K167">
        <v>-5.3895287950524097E-2</v>
      </c>
      <c r="L167">
        <v>4.47637961799471E-2</v>
      </c>
      <c r="M167">
        <v>-4.3945138706064903E-2</v>
      </c>
      <c r="N167">
        <v>8.6922288394282593E-3</v>
      </c>
      <c r="O167">
        <v>5.9088351153629697E-2</v>
      </c>
      <c r="P167">
        <v>5.5596917911575901E-2</v>
      </c>
      <c r="Q167">
        <v>0</v>
      </c>
      <c r="R167">
        <v>0</v>
      </c>
      <c r="S167">
        <v>0.194518759149576</v>
      </c>
      <c r="T167">
        <v>3.5055638225788797E-2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30</v>
      </c>
      <c r="E168" t="s">
        <v>27</v>
      </c>
      <c r="F168" t="s">
        <v>28</v>
      </c>
      <c r="G168">
        <v>12533.3334290122</v>
      </c>
      <c r="H168">
        <v>108994877.816983</v>
      </c>
      <c r="I168">
        <v>5773.4543637341203</v>
      </c>
      <c r="J168">
        <v>81127695.539981395</v>
      </c>
      <c r="K168">
        <v>0.21980646524966399</v>
      </c>
      <c r="L168">
        <v>3.4933532549061203E-2</v>
      </c>
      <c r="M168">
        <v>-1.55228534672838E-2</v>
      </c>
      <c r="N168">
        <v>1.75714247004459E-3</v>
      </c>
      <c r="O168">
        <v>0.49965914391302801</v>
      </c>
      <c r="P168">
        <v>0.249999883817175</v>
      </c>
      <c r="Q168">
        <v>0.445308201975746</v>
      </c>
      <c r="R168">
        <v>0.24700880722868301</v>
      </c>
      <c r="S168">
        <v>0.46911109210846602</v>
      </c>
      <c r="T168">
        <v>8.3978925098239204E-2</v>
      </c>
      <c r="U168">
        <v>14</v>
      </c>
    </row>
    <row r="169" spans="1:21" x14ac:dyDescent="0.25">
      <c r="A169">
        <v>168</v>
      </c>
      <c r="B169">
        <v>802</v>
      </c>
      <c r="C169" t="s">
        <v>26</v>
      </c>
      <c r="D169">
        <v>30</v>
      </c>
      <c r="E169" t="s">
        <v>27</v>
      </c>
      <c r="F169" t="s">
        <v>28</v>
      </c>
      <c r="G169">
        <v>11538.9020400794</v>
      </c>
      <c r="H169">
        <v>132915534.70103601</v>
      </c>
      <c r="I169">
        <v>9232.8005739902801</v>
      </c>
      <c r="J169">
        <v>95187061.755409598</v>
      </c>
      <c r="K169">
        <v>0.14788330050450499</v>
      </c>
      <c r="L169">
        <v>3.3632619052477497E-2</v>
      </c>
      <c r="M169">
        <v>-3.3641363172114101E-2</v>
      </c>
      <c r="N169">
        <v>1.63619716168083E-3</v>
      </c>
      <c r="O169">
        <v>0.38872239273033599</v>
      </c>
      <c r="P169">
        <v>0.23761729412025001</v>
      </c>
      <c r="Q169">
        <v>0.61183125714629605</v>
      </c>
      <c r="R169">
        <v>0.23749376992486501</v>
      </c>
      <c r="S169">
        <v>0.38045289415010503</v>
      </c>
      <c r="T169">
        <v>8.8080400039533796E-2</v>
      </c>
      <c r="U169">
        <v>17</v>
      </c>
    </row>
    <row r="170" spans="1:21" x14ac:dyDescent="0.25">
      <c r="A170">
        <v>169</v>
      </c>
      <c r="B170">
        <v>803</v>
      </c>
      <c r="C170" t="s">
        <v>26</v>
      </c>
      <c r="D170">
        <v>30</v>
      </c>
      <c r="E170" t="s">
        <v>27</v>
      </c>
      <c r="F170" t="s">
        <v>28</v>
      </c>
      <c r="G170">
        <v>18950.725076593899</v>
      </c>
      <c r="H170">
        <v>195946668.92146501</v>
      </c>
      <c r="I170">
        <v>3799.7780844454301</v>
      </c>
      <c r="J170">
        <v>78300629.601550594</v>
      </c>
      <c r="K170">
        <v>0.22024475155459899</v>
      </c>
      <c r="L170">
        <v>2.5066106916703801E-2</v>
      </c>
      <c r="M170">
        <v>-1.2842816503610299E-2</v>
      </c>
      <c r="N170">
        <v>1.8279776324325999E-3</v>
      </c>
      <c r="O170">
        <v>0.58821669989787495</v>
      </c>
      <c r="P170">
        <v>0.242217813859186</v>
      </c>
      <c r="Q170">
        <v>0.63736717971162504</v>
      </c>
      <c r="R170">
        <v>0.23113025793788</v>
      </c>
      <c r="S170">
        <v>0.51743846910929803</v>
      </c>
      <c r="T170">
        <v>7.1545221236034504E-2</v>
      </c>
      <c r="U170">
        <v>24</v>
      </c>
    </row>
    <row r="171" spans="1:21" x14ac:dyDescent="0.25">
      <c r="A171">
        <v>170</v>
      </c>
      <c r="B171">
        <v>804</v>
      </c>
      <c r="C171" t="s">
        <v>26</v>
      </c>
      <c r="D171">
        <v>30</v>
      </c>
      <c r="E171" t="s">
        <v>27</v>
      </c>
      <c r="F171" t="s">
        <v>28</v>
      </c>
      <c r="G171">
        <v>21384.1651859308</v>
      </c>
      <c r="H171">
        <v>149407867.454748</v>
      </c>
      <c r="I171">
        <v>2165.8648940052099</v>
      </c>
      <c r="J171">
        <v>59124449.732886396</v>
      </c>
      <c r="K171">
        <v>0.24558085671086599</v>
      </c>
      <c r="L171">
        <v>2.1930643334711699E-2</v>
      </c>
      <c r="M171">
        <v>-1.54196143413127E-2</v>
      </c>
      <c r="N171">
        <v>1.8457689631560699E-3</v>
      </c>
      <c r="O171">
        <v>0.73431368258275298</v>
      </c>
      <c r="P171">
        <v>0.19509709815465801</v>
      </c>
      <c r="Q171">
        <v>0.91938495652681296</v>
      </c>
      <c r="R171">
        <v>7.41162582389637E-2</v>
      </c>
      <c r="S171">
        <v>0.57531858286912696</v>
      </c>
      <c r="T171">
        <v>5.9146013373222103E-2</v>
      </c>
      <c r="U171">
        <v>63</v>
      </c>
    </row>
    <row r="172" spans="1:21" x14ac:dyDescent="0.25">
      <c r="A172">
        <v>171</v>
      </c>
      <c r="B172">
        <v>805</v>
      </c>
      <c r="C172" t="s">
        <v>26</v>
      </c>
      <c r="D172">
        <v>30</v>
      </c>
      <c r="E172" t="s">
        <v>27</v>
      </c>
      <c r="F172" t="s">
        <v>28</v>
      </c>
      <c r="G172">
        <v>16433.657500797599</v>
      </c>
      <c r="H172">
        <v>182506118.971324</v>
      </c>
      <c r="I172">
        <v>5155.0157560877497</v>
      </c>
      <c r="J172">
        <v>84245011.731568396</v>
      </c>
      <c r="K172">
        <v>0.180315928878646</v>
      </c>
      <c r="L172">
        <v>3.00850565018713E-2</v>
      </c>
      <c r="M172">
        <v>-1.7948837022372301E-2</v>
      </c>
      <c r="N172">
        <v>1.91707460533969E-3</v>
      </c>
      <c r="O172">
        <v>0.53508061547522601</v>
      </c>
      <c r="P172">
        <v>0.24876935041756901</v>
      </c>
      <c r="Q172">
        <v>0.52249300544838795</v>
      </c>
      <c r="R172">
        <v>0.24949406470552701</v>
      </c>
      <c r="S172">
        <v>0.454695085853905</v>
      </c>
      <c r="T172">
        <v>8.53135192142771E-2</v>
      </c>
      <c r="U172">
        <v>11</v>
      </c>
    </row>
    <row r="173" spans="1:21" x14ac:dyDescent="0.25">
      <c r="A173">
        <v>172</v>
      </c>
      <c r="B173">
        <v>806</v>
      </c>
      <c r="C173" t="s">
        <v>26</v>
      </c>
      <c r="D173">
        <v>30</v>
      </c>
      <c r="E173" t="s">
        <v>27</v>
      </c>
      <c r="F173" t="s">
        <v>28</v>
      </c>
      <c r="G173">
        <v>13771.146214550899</v>
      </c>
      <c r="H173">
        <v>193448339.726024</v>
      </c>
      <c r="I173">
        <v>7987.3574038000097</v>
      </c>
      <c r="J173">
        <v>76587759.046982005</v>
      </c>
      <c r="K173">
        <v>0.100449914681178</v>
      </c>
      <c r="L173">
        <v>2.56206632525143E-2</v>
      </c>
      <c r="M173">
        <v>-4.0193540177642199E-2</v>
      </c>
      <c r="N173">
        <v>1.62295813154903E-3</v>
      </c>
      <c r="O173">
        <v>0.39852015490464798</v>
      </c>
      <c r="P173">
        <v>0.23970184103960901</v>
      </c>
      <c r="Q173">
        <v>0.673826253593101</v>
      </c>
      <c r="R173">
        <v>0.219784433561833</v>
      </c>
      <c r="S173">
        <v>0.352954079056917</v>
      </c>
      <c r="T173">
        <v>8.5120618456952804E-2</v>
      </c>
      <c r="U173">
        <v>21</v>
      </c>
    </row>
    <row r="174" spans="1:21" x14ac:dyDescent="0.25">
      <c r="A174">
        <v>173</v>
      </c>
      <c r="B174">
        <v>807</v>
      </c>
      <c r="C174" t="s">
        <v>26</v>
      </c>
      <c r="D174">
        <v>30</v>
      </c>
      <c r="E174" t="s">
        <v>27</v>
      </c>
      <c r="F174" t="s">
        <v>28</v>
      </c>
      <c r="G174">
        <v>18847.240876178399</v>
      </c>
      <c r="H174">
        <v>189969779.52963099</v>
      </c>
      <c r="I174">
        <v>3518.0894800081201</v>
      </c>
      <c r="J174">
        <v>77715205.295178294</v>
      </c>
      <c r="K174">
        <v>0.20476578545226501</v>
      </c>
      <c r="L174">
        <v>3.0653553481864E-2</v>
      </c>
      <c r="M174">
        <v>-2.2593980082552801E-2</v>
      </c>
      <c r="N174">
        <v>2.2192587672384399E-3</v>
      </c>
      <c r="O174">
        <v>0.61118670424725396</v>
      </c>
      <c r="P174">
        <v>0.23763751679877701</v>
      </c>
      <c r="Q174">
        <v>0.72682428984521197</v>
      </c>
      <c r="R174">
        <v>0.198550741536133</v>
      </c>
      <c r="S174">
        <v>0.50820305251814202</v>
      </c>
      <c r="T174">
        <v>8.0569706361358906E-2</v>
      </c>
      <c r="U174">
        <v>32</v>
      </c>
    </row>
    <row r="175" spans="1:21" x14ac:dyDescent="0.25">
      <c r="A175">
        <v>174</v>
      </c>
      <c r="B175">
        <v>808</v>
      </c>
      <c r="C175" t="s">
        <v>26</v>
      </c>
      <c r="D175">
        <v>30</v>
      </c>
      <c r="E175" t="s">
        <v>27</v>
      </c>
      <c r="F175" t="s">
        <v>28</v>
      </c>
      <c r="G175">
        <v>16486.9981341038</v>
      </c>
      <c r="H175">
        <v>175984770.52626199</v>
      </c>
      <c r="I175">
        <v>5815.6539952687999</v>
      </c>
      <c r="J175">
        <v>72311029.402984798</v>
      </c>
      <c r="K175">
        <v>0.168982142920409</v>
      </c>
      <c r="L175">
        <v>2.79537679586375E-2</v>
      </c>
      <c r="M175">
        <v>-3.23516076371737E-2</v>
      </c>
      <c r="N175">
        <v>2.1047508034771102E-3</v>
      </c>
      <c r="O175">
        <v>0.546105693993018</v>
      </c>
      <c r="P175">
        <v>0.24787426498151499</v>
      </c>
      <c r="Q175">
        <v>0.83111410753413095</v>
      </c>
      <c r="R175">
        <v>0.14036344779200099</v>
      </c>
      <c r="S175">
        <v>0.45900862592618102</v>
      </c>
      <c r="T175">
        <v>7.8625350513170905E-2</v>
      </c>
      <c r="U175">
        <v>44</v>
      </c>
    </row>
    <row r="176" spans="1:21" x14ac:dyDescent="0.25">
      <c r="A176">
        <v>175</v>
      </c>
      <c r="B176">
        <v>809</v>
      </c>
      <c r="C176" t="s">
        <v>26</v>
      </c>
      <c r="D176">
        <v>30</v>
      </c>
      <c r="E176" t="s">
        <v>27</v>
      </c>
      <c r="F176" t="s">
        <v>28</v>
      </c>
      <c r="G176">
        <v>11971.4430399426</v>
      </c>
      <c r="H176">
        <v>185534742.21599501</v>
      </c>
      <c r="I176">
        <v>7916.9460528703703</v>
      </c>
      <c r="J176">
        <v>66507565.054403499</v>
      </c>
      <c r="K176">
        <v>0.11190979217442699</v>
      </c>
      <c r="L176">
        <v>2.37936604663294E-2</v>
      </c>
      <c r="M176">
        <v>-3.8072897205942299E-2</v>
      </c>
      <c r="N176">
        <v>1.55274152077816E-3</v>
      </c>
      <c r="O176">
        <v>0.36682611815355198</v>
      </c>
      <c r="P176">
        <v>0.23226471719370001</v>
      </c>
      <c r="Q176">
        <v>0.82447705500340895</v>
      </c>
      <c r="R176">
        <v>0.14471464077627499</v>
      </c>
      <c r="S176">
        <v>0.346111969091149</v>
      </c>
      <c r="T176">
        <v>7.9950022810186899E-2</v>
      </c>
      <c r="U176">
        <v>32</v>
      </c>
    </row>
    <row r="177" spans="1:21" x14ac:dyDescent="0.25">
      <c r="A177">
        <v>176</v>
      </c>
      <c r="B177">
        <v>701</v>
      </c>
      <c r="C177" t="s">
        <v>26</v>
      </c>
      <c r="D177">
        <v>30</v>
      </c>
      <c r="E177" t="s">
        <v>27</v>
      </c>
      <c r="F177" t="s">
        <v>28</v>
      </c>
      <c r="G177">
        <v>14081.5706385831</v>
      </c>
      <c r="H177">
        <v>174225266.756414</v>
      </c>
      <c r="I177">
        <v>7557.4760796505398</v>
      </c>
      <c r="J177">
        <v>77556146.930979103</v>
      </c>
      <c r="K177">
        <v>0.12618609348081</v>
      </c>
      <c r="L177">
        <v>2.7416520901696599E-2</v>
      </c>
      <c r="M177">
        <v>-4.6610695436012803E-2</v>
      </c>
      <c r="N177">
        <v>1.5144859275715199E-3</v>
      </c>
      <c r="O177">
        <v>0.44372115806027501</v>
      </c>
      <c r="P177">
        <v>0.24683269195000401</v>
      </c>
      <c r="Q177">
        <v>0.56292056616907704</v>
      </c>
      <c r="R177">
        <v>0.24604100235294701</v>
      </c>
      <c r="S177">
        <v>0.38155945004210301</v>
      </c>
      <c r="T177">
        <v>8.4138744700571894E-2</v>
      </c>
      <c r="U177">
        <v>19</v>
      </c>
    </row>
    <row r="178" spans="1:21" x14ac:dyDescent="0.25">
      <c r="A178">
        <v>177</v>
      </c>
      <c r="B178">
        <v>702</v>
      </c>
      <c r="C178" t="s">
        <v>26</v>
      </c>
      <c r="D178">
        <v>30</v>
      </c>
      <c r="E178" t="s">
        <v>27</v>
      </c>
      <c r="F178" t="s">
        <v>28</v>
      </c>
      <c r="G178">
        <v>14786.6646452246</v>
      </c>
      <c r="H178">
        <v>191172166.16055399</v>
      </c>
      <c r="I178">
        <v>8348.5653781218898</v>
      </c>
      <c r="J178">
        <v>85985786.3277805</v>
      </c>
      <c r="K178">
        <v>0.111325375231502</v>
      </c>
      <c r="L178">
        <v>2.59515882305127E-2</v>
      </c>
      <c r="M178">
        <v>-4.3743669669074003E-2</v>
      </c>
      <c r="N178">
        <v>1.55711392396028E-3</v>
      </c>
      <c r="O178">
        <v>0.42715443162288202</v>
      </c>
      <c r="P178">
        <v>0.24469352316760901</v>
      </c>
      <c r="Q178">
        <v>0.87939457920062802</v>
      </c>
      <c r="R178">
        <v>0.10605975327329099</v>
      </c>
      <c r="S178">
        <v>0.36414058311911801</v>
      </c>
      <c r="T178">
        <v>9.1081823868743597E-2</v>
      </c>
      <c r="U178">
        <v>42</v>
      </c>
    </row>
    <row r="179" spans="1:21" x14ac:dyDescent="0.25">
      <c r="A179">
        <v>178</v>
      </c>
      <c r="B179">
        <v>703</v>
      </c>
      <c r="C179" t="s">
        <v>26</v>
      </c>
      <c r="D179">
        <v>30</v>
      </c>
      <c r="E179" t="s">
        <v>27</v>
      </c>
      <c r="F179" t="s">
        <v>28</v>
      </c>
      <c r="G179">
        <v>21528.204442661201</v>
      </c>
      <c r="H179">
        <v>167385933.57457</v>
      </c>
      <c r="I179">
        <v>2688.0143610240898</v>
      </c>
      <c r="J179">
        <v>72112134.974948004</v>
      </c>
      <c r="K179">
        <v>0.20645281057714199</v>
      </c>
      <c r="L179">
        <v>2.7485598885743201E-2</v>
      </c>
      <c r="M179">
        <v>-3.1325362720402997E-2</v>
      </c>
      <c r="N179">
        <v>2.05184202928229E-3</v>
      </c>
      <c r="O179">
        <v>0.69505641474564706</v>
      </c>
      <c r="P179">
        <v>0.21195299506687701</v>
      </c>
      <c r="Q179">
        <v>0.87308206686930101</v>
      </c>
      <c r="R179">
        <v>0.11080977138051</v>
      </c>
      <c r="S179">
        <v>0.53140282291528396</v>
      </c>
      <c r="T179">
        <v>7.7840883937450395E-2</v>
      </c>
      <c r="U179">
        <v>58</v>
      </c>
    </row>
    <row r="180" spans="1:21" x14ac:dyDescent="0.25">
      <c r="A180">
        <v>179</v>
      </c>
      <c r="B180">
        <v>704</v>
      </c>
      <c r="C180" t="s">
        <v>26</v>
      </c>
      <c r="D180">
        <v>30</v>
      </c>
      <c r="E180" t="s">
        <v>27</v>
      </c>
      <c r="F180" t="s">
        <v>28</v>
      </c>
      <c r="G180">
        <v>16385.089772326799</v>
      </c>
      <c r="H180">
        <v>205443813.21288899</v>
      </c>
      <c r="I180">
        <v>7269.3795952662704</v>
      </c>
      <c r="J180">
        <v>84404120.235548899</v>
      </c>
      <c r="K180">
        <v>9.6595443985937807E-2</v>
      </c>
      <c r="L180">
        <v>2.7883027292771E-2</v>
      </c>
      <c r="M180">
        <v>-4.9022256200620201E-2</v>
      </c>
      <c r="N180">
        <v>1.76263575704656E-3</v>
      </c>
      <c r="O180">
        <v>0.44800169168957499</v>
      </c>
      <c r="P180">
        <v>0.24729617593301301</v>
      </c>
      <c r="Q180">
        <v>0.87149302128859396</v>
      </c>
      <c r="R180">
        <v>0.111992935133823</v>
      </c>
      <c r="S180">
        <v>0.352155104051458</v>
      </c>
      <c r="T180">
        <v>9.7506509771293007E-2</v>
      </c>
      <c r="U180">
        <v>56</v>
      </c>
    </row>
    <row r="181" spans="1:21" x14ac:dyDescent="0.25">
      <c r="A181">
        <v>180</v>
      </c>
      <c r="B181">
        <v>705</v>
      </c>
      <c r="C181" t="s">
        <v>26</v>
      </c>
      <c r="D181">
        <v>30</v>
      </c>
      <c r="E181" t="s">
        <v>27</v>
      </c>
      <c r="F181" t="s">
        <v>28</v>
      </c>
      <c r="G181">
        <v>18162.8841621225</v>
      </c>
      <c r="H181">
        <v>170027872.31488299</v>
      </c>
      <c r="I181">
        <v>4930.43485739486</v>
      </c>
      <c r="J181">
        <v>83837135.216153398</v>
      </c>
      <c r="K181">
        <v>0.152130779449731</v>
      </c>
      <c r="L181">
        <v>3.0665776973738498E-2</v>
      </c>
      <c r="M181">
        <v>-3.9455103460096702E-2</v>
      </c>
      <c r="N181">
        <v>2.0793637269539401E-3</v>
      </c>
      <c r="O181">
        <v>0.59499476364161596</v>
      </c>
      <c r="P181">
        <v>0.24097599488077201</v>
      </c>
      <c r="Q181">
        <v>0.96878611325115604</v>
      </c>
      <c r="R181">
        <v>3.02395800228927E-2</v>
      </c>
      <c r="S181">
        <v>0.44311360398666699</v>
      </c>
      <c r="T181">
        <v>0.10013461850052</v>
      </c>
      <c r="U181">
        <v>67</v>
      </c>
    </row>
    <row r="182" spans="1:21" x14ac:dyDescent="0.25">
      <c r="A182">
        <v>181</v>
      </c>
      <c r="B182">
        <v>706</v>
      </c>
      <c r="C182" t="s">
        <v>26</v>
      </c>
      <c r="D182">
        <v>30</v>
      </c>
      <c r="E182" t="s">
        <v>27</v>
      </c>
      <c r="F182" t="s">
        <v>28</v>
      </c>
      <c r="G182">
        <v>15809.332888552301</v>
      </c>
      <c r="H182">
        <v>203457797.157529</v>
      </c>
      <c r="I182">
        <v>6956.1161598093604</v>
      </c>
      <c r="J182">
        <v>77076212.698470205</v>
      </c>
      <c r="K182">
        <v>9.8366641548143494E-2</v>
      </c>
      <c r="L182">
        <v>2.6063025599920801E-2</v>
      </c>
      <c r="M182">
        <v>-4.6414604966676903E-2</v>
      </c>
      <c r="N182">
        <v>1.87341313433918E-3</v>
      </c>
      <c r="O182">
        <v>0.46111772272109802</v>
      </c>
      <c r="P182">
        <v>0.24848816851370201</v>
      </c>
      <c r="Q182">
        <v>0.97051221945736699</v>
      </c>
      <c r="R182">
        <v>2.8618251341281101E-2</v>
      </c>
      <c r="S182">
        <v>0.354784301851582</v>
      </c>
      <c r="T182">
        <v>9.8087886365092705E-2</v>
      </c>
      <c r="U182">
        <v>72</v>
      </c>
    </row>
    <row r="183" spans="1:21" x14ac:dyDescent="0.25">
      <c r="A183">
        <v>182</v>
      </c>
      <c r="B183">
        <v>707</v>
      </c>
      <c r="C183" t="s">
        <v>26</v>
      </c>
      <c r="D183">
        <v>30</v>
      </c>
      <c r="E183" t="s">
        <v>27</v>
      </c>
      <c r="F183" t="s">
        <v>28</v>
      </c>
      <c r="G183">
        <v>17937.5689152015</v>
      </c>
      <c r="H183">
        <v>193458920.138515</v>
      </c>
      <c r="I183">
        <v>5319.2423685218801</v>
      </c>
      <c r="J183">
        <v>80648940.250281394</v>
      </c>
      <c r="K183">
        <v>0.12829416469753499</v>
      </c>
      <c r="L183">
        <v>3.1393846568264397E-2</v>
      </c>
      <c r="M183">
        <v>-4.8104793914354203E-2</v>
      </c>
      <c r="N183">
        <v>2.0185013353010901E-3</v>
      </c>
      <c r="O183">
        <v>0.53097715584260297</v>
      </c>
      <c r="P183">
        <v>0.249040415815828</v>
      </c>
      <c r="Q183">
        <v>0.89532853349917496</v>
      </c>
      <c r="R183">
        <v>9.3715350601461203E-2</v>
      </c>
      <c r="S183">
        <v>0.41040781044697799</v>
      </c>
      <c r="T183">
        <v>9.6710132231981799E-2</v>
      </c>
      <c r="U183">
        <v>54</v>
      </c>
    </row>
    <row r="184" spans="1:21" x14ac:dyDescent="0.25">
      <c r="A184">
        <v>183</v>
      </c>
      <c r="B184">
        <v>708</v>
      </c>
      <c r="C184" t="s">
        <v>26</v>
      </c>
      <c r="D184">
        <v>30</v>
      </c>
      <c r="E184" t="s">
        <v>27</v>
      </c>
      <c r="F184" t="s">
        <v>28</v>
      </c>
      <c r="G184">
        <v>14128.165396706299</v>
      </c>
      <c r="H184">
        <v>203356671.91511199</v>
      </c>
      <c r="I184">
        <v>7949.0483093318298</v>
      </c>
      <c r="J184">
        <v>78926315.806847706</v>
      </c>
      <c r="K184">
        <v>7.7786458015933396E-2</v>
      </c>
      <c r="L184">
        <v>2.9247299118531699E-2</v>
      </c>
      <c r="M184">
        <v>-5.4529780883237601E-2</v>
      </c>
      <c r="N184">
        <v>1.57307943791955E-3</v>
      </c>
      <c r="O184">
        <v>0.40358866220779099</v>
      </c>
      <c r="P184">
        <v>0.24070485394517099</v>
      </c>
      <c r="Q184">
        <v>0.63616842377595195</v>
      </c>
      <c r="R184">
        <v>0.23145816036653499</v>
      </c>
      <c r="S184">
        <v>0.32246526119528501</v>
      </c>
      <c r="T184">
        <v>0.10057641475052501</v>
      </c>
      <c r="U184">
        <v>16</v>
      </c>
    </row>
    <row r="185" spans="1:21" x14ac:dyDescent="0.25">
      <c r="A185">
        <v>184</v>
      </c>
      <c r="B185">
        <v>709</v>
      </c>
      <c r="C185" t="s">
        <v>26</v>
      </c>
      <c r="D185">
        <v>30</v>
      </c>
      <c r="E185" t="s">
        <v>27</v>
      </c>
      <c r="F185" t="s">
        <v>28</v>
      </c>
      <c r="G185">
        <v>8729.57987705702</v>
      </c>
      <c r="H185">
        <v>149754590.58671099</v>
      </c>
      <c r="I185">
        <v>10927.423118573401</v>
      </c>
      <c r="J185">
        <v>55301275.465974703</v>
      </c>
      <c r="K185">
        <v>2.2086929745639101E-2</v>
      </c>
      <c r="L185">
        <v>1.92695949507703E-2</v>
      </c>
      <c r="M185">
        <v>-6.3312760622027897E-2</v>
      </c>
      <c r="N185">
        <v>1.1993827113211601E-3</v>
      </c>
      <c r="O185">
        <v>0.233017604286261</v>
      </c>
      <c r="P185">
        <v>0.178720400379107</v>
      </c>
      <c r="Q185">
        <v>0.79989714395062905</v>
      </c>
      <c r="R185">
        <v>0.16006170305027401</v>
      </c>
      <c r="S185">
        <v>0.20096950726899401</v>
      </c>
      <c r="T185">
        <v>7.6220417635528906E-2</v>
      </c>
      <c r="U185">
        <v>30</v>
      </c>
    </row>
    <row r="186" spans="1:21" x14ac:dyDescent="0.25">
      <c r="A186">
        <v>185</v>
      </c>
      <c r="B186">
        <v>601</v>
      </c>
      <c r="C186" t="s">
        <v>26</v>
      </c>
      <c r="D186">
        <v>30</v>
      </c>
      <c r="E186" t="s">
        <v>27</v>
      </c>
      <c r="F186" t="s">
        <v>28</v>
      </c>
      <c r="G186">
        <v>14026.473974304199</v>
      </c>
      <c r="H186">
        <v>148780046.41726601</v>
      </c>
      <c r="I186">
        <v>5863.53223580964</v>
      </c>
      <c r="J186">
        <v>75941665.2900794</v>
      </c>
      <c r="K186">
        <v>0.168237906156324</v>
      </c>
      <c r="L186">
        <v>3.1917075801559801E-2</v>
      </c>
      <c r="M186">
        <v>-3.3213250082458297E-2</v>
      </c>
      <c r="N186">
        <v>1.8673496145427001E-3</v>
      </c>
      <c r="O186">
        <v>0.49210107518534302</v>
      </c>
      <c r="P186">
        <v>0.24993760698668199</v>
      </c>
      <c r="Q186">
        <v>0.65878714952968698</v>
      </c>
      <c r="R186">
        <v>0.22478664114420399</v>
      </c>
      <c r="S186">
        <v>0.426865072336016</v>
      </c>
      <c r="T186">
        <v>8.8768102239798599E-2</v>
      </c>
      <c r="U186">
        <v>25</v>
      </c>
    </row>
    <row r="187" spans="1:21" x14ac:dyDescent="0.25">
      <c r="A187">
        <v>186</v>
      </c>
      <c r="B187">
        <v>602</v>
      </c>
      <c r="C187" t="s">
        <v>26</v>
      </c>
      <c r="D187">
        <v>30</v>
      </c>
      <c r="E187" t="s">
        <v>27</v>
      </c>
      <c r="F187" t="s">
        <v>28</v>
      </c>
      <c r="G187">
        <v>15863.819292111701</v>
      </c>
      <c r="H187">
        <v>171003277.61821499</v>
      </c>
      <c r="I187">
        <v>5763.4907989016401</v>
      </c>
      <c r="J187">
        <v>80136796.677308097</v>
      </c>
      <c r="K187">
        <v>0.15886612554250201</v>
      </c>
      <c r="L187">
        <v>3.2975038699263701E-2</v>
      </c>
      <c r="M187">
        <v>-3.6668439765673397E-2</v>
      </c>
      <c r="N187">
        <v>2.1556939344379998E-3</v>
      </c>
      <c r="O187">
        <v>0.52385171703625699</v>
      </c>
      <c r="P187">
        <v>0.24943109559430299</v>
      </c>
      <c r="Q187">
        <v>0.74981439348581003</v>
      </c>
      <c r="R187">
        <v>0.18759276880725401</v>
      </c>
      <c r="S187">
        <v>0.42977548104364099</v>
      </c>
      <c r="T187">
        <v>9.6474738270334995E-2</v>
      </c>
      <c r="U187">
        <v>35</v>
      </c>
    </row>
    <row r="188" spans="1:21" x14ac:dyDescent="0.25">
      <c r="A188">
        <v>187</v>
      </c>
      <c r="B188">
        <v>603</v>
      </c>
      <c r="C188" t="s">
        <v>26</v>
      </c>
      <c r="D188">
        <v>30</v>
      </c>
      <c r="E188" t="s">
        <v>27</v>
      </c>
      <c r="F188" t="s">
        <v>28</v>
      </c>
      <c r="G188">
        <v>13630.2514841625</v>
      </c>
      <c r="H188">
        <v>118819479.19026899</v>
      </c>
      <c r="I188">
        <v>5390.1503425009696</v>
      </c>
      <c r="J188">
        <v>94819965.060001105</v>
      </c>
      <c r="K188">
        <v>0.17345052462164601</v>
      </c>
      <c r="L188">
        <v>4.76145402583373E-2</v>
      </c>
      <c r="M188">
        <v>-2.9232296252104301E-2</v>
      </c>
      <c r="N188">
        <v>2.2255994369023801E-3</v>
      </c>
      <c r="O188">
        <v>0.49883182044505697</v>
      </c>
      <c r="P188">
        <v>0.24999863535651001</v>
      </c>
      <c r="Q188">
        <v>0.73919816138917305</v>
      </c>
      <c r="R188">
        <v>0.192784239587834</v>
      </c>
      <c r="S188">
        <v>0.40871590354581799</v>
      </c>
      <c r="T188">
        <v>0.111683831717933</v>
      </c>
      <c r="U188">
        <v>39</v>
      </c>
    </row>
    <row r="189" spans="1:21" x14ac:dyDescent="0.25">
      <c r="A189">
        <v>188</v>
      </c>
      <c r="B189">
        <v>604</v>
      </c>
      <c r="C189" t="s">
        <v>26</v>
      </c>
      <c r="D189">
        <v>30</v>
      </c>
      <c r="E189" t="s">
        <v>27</v>
      </c>
      <c r="F189" t="s">
        <v>28</v>
      </c>
      <c r="G189">
        <v>16295.9525438281</v>
      </c>
      <c r="H189">
        <v>135345913.379017</v>
      </c>
      <c r="I189">
        <v>3355.3654582722002</v>
      </c>
      <c r="J189">
        <v>88796268.3688685</v>
      </c>
      <c r="K189">
        <v>0.19602868456380901</v>
      </c>
      <c r="L189">
        <v>4.2407840766096799E-2</v>
      </c>
      <c r="M189">
        <v>-2.8913881731234301E-2</v>
      </c>
      <c r="N189">
        <v>2.5680479598734198E-3</v>
      </c>
      <c r="O189">
        <v>0.57992909962057204</v>
      </c>
      <c r="P189">
        <v>0.24361133903381699</v>
      </c>
      <c r="Q189">
        <v>0.911319134793807</v>
      </c>
      <c r="R189">
        <v>8.0816569352500298E-2</v>
      </c>
      <c r="S189">
        <v>0.45506872474760401</v>
      </c>
      <c r="T189">
        <v>0.106831889344203</v>
      </c>
      <c r="U189">
        <v>53</v>
      </c>
    </row>
    <row r="190" spans="1:21" x14ac:dyDescent="0.25">
      <c r="A190">
        <v>189</v>
      </c>
      <c r="B190">
        <v>605</v>
      </c>
      <c r="C190" t="s">
        <v>26</v>
      </c>
      <c r="D190">
        <v>30</v>
      </c>
      <c r="E190" t="s">
        <v>27</v>
      </c>
      <c r="F190" t="s">
        <v>28</v>
      </c>
      <c r="G190">
        <v>13099.869532788</v>
      </c>
      <c r="H190">
        <v>138078592.37587199</v>
      </c>
      <c r="I190">
        <v>7268.4420499113303</v>
      </c>
      <c r="J190">
        <v>108351109.363694</v>
      </c>
      <c r="K190">
        <v>0.11405094321645801</v>
      </c>
      <c r="L190">
        <v>4.7160009504977597E-2</v>
      </c>
      <c r="M190">
        <v>-4.5122799817410901E-2</v>
      </c>
      <c r="N190">
        <v>2.3221634802665001E-3</v>
      </c>
      <c r="O190">
        <v>0.45367619187361702</v>
      </c>
      <c r="P190">
        <v>0.24785410480047701</v>
      </c>
      <c r="Q190">
        <v>0.85560228884432898</v>
      </c>
      <c r="R190">
        <v>0.123547012168588</v>
      </c>
      <c r="S190">
        <v>0.33585780808083698</v>
      </c>
      <c r="T190">
        <v>0.129236809196941</v>
      </c>
      <c r="U190">
        <v>38</v>
      </c>
    </row>
    <row r="191" spans="1:21" x14ac:dyDescent="0.25">
      <c r="A191">
        <v>190</v>
      </c>
      <c r="B191">
        <v>606</v>
      </c>
      <c r="C191" t="s">
        <v>26</v>
      </c>
      <c r="D191">
        <v>30</v>
      </c>
      <c r="E191" t="s">
        <v>27</v>
      </c>
      <c r="F191" t="s">
        <v>28</v>
      </c>
      <c r="G191">
        <v>14312.1658452916</v>
      </c>
      <c r="H191">
        <v>134833702.29208201</v>
      </c>
      <c r="I191">
        <v>5197.5395156578197</v>
      </c>
      <c r="J191">
        <v>92658555.070848003</v>
      </c>
      <c r="K191">
        <v>0.156877821977666</v>
      </c>
      <c r="L191">
        <v>4.4578868985496199E-2</v>
      </c>
      <c r="M191">
        <v>-3.3027167130142303E-2</v>
      </c>
      <c r="N191">
        <v>2.3452724213406302E-3</v>
      </c>
      <c r="O191">
        <v>0.51395129728946198</v>
      </c>
      <c r="P191">
        <v>0.24980536130382699</v>
      </c>
      <c r="Q191">
        <v>0.772032178576605</v>
      </c>
      <c r="R191">
        <v>0.17599849381872301</v>
      </c>
      <c r="S191">
        <v>0.394996948731895</v>
      </c>
      <c r="T191">
        <v>0.120877829629688</v>
      </c>
      <c r="U191">
        <v>40</v>
      </c>
    </row>
    <row r="192" spans="1:21" x14ac:dyDescent="0.25">
      <c r="A192">
        <v>191</v>
      </c>
      <c r="B192">
        <v>607</v>
      </c>
      <c r="C192" t="s">
        <v>26</v>
      </c>
      <c r="D192">
        <v>30</v>
      </c>
      <c r="E192" t="s">
        <v>27</v>
      </c>
      <c r="F192" t="s">
        <v>28</v>
      </c>
      <c r="G192">
        <v>17705.0329145176</v>
      </c>
      <c r="H192">
        <v>144621917.54946899</v>
      </c>
      <c r="I192">
        <v>2950.7970497371398</v>
      </c>
      <c r="J192">
        <v>83910673.994039401</v>
      </c>
      <c r="K192">
        <v>0.20585308998440499</v>
      </c>
      <c r="L192">
        <v>3.9496992484430803E-2</v>
      </c>
      <c r="M192">
        <v>-2.36203720518528E-2</v>
      </c>
      <c r="N192">
        <v>2.29052267934026E-3</v>
      </c>
      <c r="O192">
        <v>0.60428023173384804</v>
      </c>
      <c r="P192">
        <v>0.23912563326957001</v>
      </c>
      <c r="Q192">
        <v>0.75366110065276404</v>
      </c>
      <c r="R192">
        <v>0.18565604601539601</v>
      </c>
      <c r="S192">
        <v>0.470863165248676</v>
      </c>
      <c r="T192">
        <v>9.9139799583383106E-2</v>
      </c>
      <c r="U192">
        <v>34</v>
      </c>
    </row>
    <row r="193" spans="1:21" x14ac:dyDescent="0.25">
      <c r="A193">
        <v>192</v>
      </c>
      <c r="B193">
        <v>608</v>
      </c>
      <c r="C193" t="s">
        <v>26</v>
      </c>
      <c r="D193">
        <v>30</v>
      </c>
      <c r="E193" t="s">
        <v>27</v>
      </c>
      <c r="F193" t="s">
        <v>28</v>
      </c>
      <c r="G193">
        <v>13945.340795714201</v>
      </c>
      <c r="H193">
        <v>133396233.494781</v>
      </c>
      <c r="I193">
        <v>5526.7706267575104</v>
      </c>
      <c r="J193">
        <v>92525673.438011706</v>
      </c>
      <c r="K193">
        <v>0.16173561891528701</v>
      </c>
      <c r="L193">
        <v>4.7549152694819297E-2</v>
      </c>
      <c r="M193">
        <v>-3.2112567784650499E-2</v>
      </c>
      <c r="N193">
        <v>2.43431398754045E-3</v>
      </c>
      <c r="O193">
        <v>0.49858698056176698</v>
      </c>
      <c r="P193">
        <v>0.24999800337585301</v>
      </c>
      <c r="Q193">
        <v>0.85224047475703102</v>
      </c>
      <c r="R193">
        <v>0.12592664794293301</v>
      </c>
      <c r="S193">
        <v>0.39550440743738402</v>
      </c>
      <c r="T193">
        <v>0.115557821032462</v>
      </c>
      <c r="U193">
        <v>48</v>
      </c>
    </row>
    <row r="194" spans="1:21" x14ac:dyDescent="0.25">
      <c r="A194">
        <v>193</v>
      </c>
      <c r="B194">
        <v>609</v>
      </c>
      <c r="C194" t="s">
        <v>26</v>
      </c>
      <c r="D194">
        <v>30</v>
      </c>
      <c r="E194" t="s">
        <v>27</v>
      </c>
      <c r="F194" t="s">
        <v>28</v>
      </c>
      <c r="G194">
        <v>15870.325579582101</v>
      </c>
      <c r="H194">
        <v>138090889.29674301</v>
      </c>
      <c r="I194">
        <v>3155.31237735064</v>
      </c>
      <c r="J194">
        <v>70635353.193647698</v>
      </c>
      <c r="K194">
        <v>0.20951207659179</v>
      </c>
      <c r="L194">
        <v>3.2383145099846598E-2</v>
      </c>
      <c r="M194">
        <v>-2.3882282025082999E-2</v>
      </c>
      <c r="N194">
        <v>1.9023772252307299E-3</v>
      </c>
      <c r="O194">
        <v>0.56757459195342597</v>
      </c>
      <c r="P194">
        <v>0.245433674522261</v>
      </c>
      <c r="Q194">
        <v>0.83400262518356805</v>
      </c>
      <c r="R194">
        <v>0.138442246370507</v>
      </c>
      <c r="S194">
        <v>0.470781804589682</v>
      </c>
      <c r="T194">
        <v>9.1480669159492295E-2</v>
      </c>
      <c r="U194">
        <v>70</v>
      </c>
    </row>
    <row r="195" spans="1:21" x14ac:dyDescent="0.25">
      <c r="A195">
        <v>194</v>
      </c>
      <c r="B195">
        <v>501</v>
      </c>
      <c r="C195" t="s">
        <v>26</v>
      </c>
      <c r="D195">
        <v>30</v>
      </c>
      <c r="E195" t="s">
        <v>27</v>
      </c>
      <c r="F195" t="s">
        <v>28</v>
      </c>
      <c r="G195">
        <v>15962.966964494</v>
      </c>
      <c r="H195">
        <v>161432356.07852799</v>
      </c>
      <c r="I195">
        <v>5241.5256080868203</v>
      </c>
      <c r="J195">
        <v>87497548.650234401</v>
      </c>
      <c r="K195">
        <v>0.17130139411199699</v>
      </c>
      <c r="L195">
        <v>3.7300198733823099E-2</v>
      </c>
      <c r="M195">
        <v>-3.4909015719230801E-2</v>
      </c>
      <c r="N195">
        <v>2.0913284946694499E-3</v>
      </c>
      <c r="O195">
        <v>0.53949300723295002</v>
      </c>
      <c r="P195">
        <v>0.24844030237942399</v>
      </c>
      <c r="Q195">
        <v>0.75317046390337605</v>
      </c>
      <c r="R195">
        <v>0.18590471620688301</v>
      </c>
      <c r="S195">
        <v>0.44639595956873601</v>
      </c>
      <c r="T195">
        <v>9.5883334071345999E-2</v>
      </c>
      <c r="U195">
        <v>44</v>
      </c>
    </row>
    <row r="196" spans="1:21" x14ac:dyDescent="0.25">
      <c r="A196">
        <v>195</v>
      </c>
      <c r="B196">
        <v>502</v>
      </c>
      <c r="C196" t="s">
        <v>26</v>
      </c>
      <c r="D196">
        <v>30</v>
      </c>
      <c r="E196" t="s">
        <v>27</v>
      </c>
      <c r="F196" t="s">
        <v>28</v>
      </c>
      <c r="G196">
        <v>16321.818628813</v>
      </c>
      <c r="H196">
        <v>174988092.484734</v>
      </c>
      <c r="I196">
        <v>5433.2045357849302</v>
      </c>
      <c r="J196">
        <v>86180096.970938906</v>
      </c>
      <c r="K196">
        <v>0.155778096158152</v>
      </c>
      <c r="L196">
        <v>3.7075535469835399E-2</v>
      </c>
      <c r="M196">
        <v>-4.0874035971072399E-2</v>
      </c>
      <c r="N196">
        <v>2.10589305769789E-3</v>
      </c>
      <c r="O196">
        <v>0.54302627604953202</v>
      </c>
      <c r="P196">
        <v>0.24814873956917799</v>
      </c>
      <c r="Q196">
        <v>0.50700686189233601</v>
      </c>
      <c r="R196">
        <v>0.24995090388617899</v>
      </c>
      <c r="S196">
        <v>0.43502996920433601</v>
      </c>
      <c r="T196">
        <v>0.10583708218685001</v>
      </c>
      <c r="U196">
        <v>21</v>
      </c>
    </row>
    <row r="197" spans="1:21" x14ac:dyDescent="0.25">
      <c r="A197">
        <v>196</v>
      </c>
      <c r="B197">
        <v>503</v>
      </c>
      <c r="C197" t="s">
        <v>26</v>
      </c>
      <c r="D197">
        <v>30</v>
      </c>
      <c r="E197" t="s">
        <v>27</v>
      </c>
      <c r="F197" t="s">
        <v>28</v>
      </c>
      <c r="G197">
        <v>16810.730555929498</v>
      </c>
      <c r="H197">
        <v>156802597.19291401</v>
      </c>
      <c r="I197">
        <v>4370.4259327774398</v>
      </c>
      <c r="J197">
        <v>98071276.123765796</v>
      </c>
      <c r="K197">
        <v>0.171518851021426</v>
      </c>
      <c r="L197">
        <v>4.31788940713137E-2</v>
      </c>
      <c r="M197">
        <v>-3.7007099216768903E-2</v>
      </c>
      <c r="N197">
        <v>2.1644366594336102E-3</v>
      </c>
      <c r="O197">
        <v>0.57577062861757999</v>
      </c>
      <c r="P197">
        <v>0.24425881183899001</v>
      </c>
      <c r="Q197">
        <v>0.68318524501884803</v>
      </c>
      <c r="R197">
        <v>0.216443166007668</v>
      </c>
      <c r="S197">
        <v>0.44243803099982099</v>
      </c>
      <c r="T197">
        <v>0.112380012593356</v>
      </c>
      <c r="U197">
        <v>27</v>
      </c>
    </row>
    <row r="198" spans="1:21" x14ac:dyDescent="0.25">
      <c r="A198">
        <v>197</v>
      </c>
      <c r="B198">
        <v>504</v>
      </c>
      <c r="C198" t="s">
        <v>26</v>
      </c>
      <c r="D198">
        <v>30</v>
      </c>
      <c r="E198" t="s">
        <v>27</v>
      </c>
      <c r="F198" t="s">
        <v>28</v>
      </c>
      <c r="G198">
        <v>16235.4537668263</v>
      </c>
      <c r="H198">
        <v>168077268.76701501</v>
      </c>
      <c r="I198">
        <v>4873.27578796333</v>
      </c>
      <c r="J198">
        <v>85571267.141405493</v>
      </c>
      <c r="K198">
        <v>0.14288064150091401</v>
      </c>
      <c r="L198">
        <v>3.6087342494742998E-2</v>
      </c>
      <c r="M198">
        <v>-4.6904326780482397E-2</v>
      </c>
      <c r="N198">
        <v>2.0508270011465701E-3</v>
      </c>
      <c r="O198">
        <v>0.51863068159077896</v>
      </c>
      <c r="P198">
        <v>0.24965289770332799</v>
      </c>
      <c r="Q198">
        <v>0.86669957047194701</v>
      </c>
      <c r="R198">
        <v>0.11553142501558999</v>
      </c>
      <c r="S198">
        <v>0.39948939547183998</v>
      </c>
      <c r="T198">
        <v>0.10495926150764399</v>
      </c>
      <c r="U198">
        <v>53</v>
      </c>
    </row>
    <row r="199" spans="1:21" x14ac:dyDescent="0.25">
      <c r="A199">
        <v>198</v>
      </c>
      <c r="B199">
        <v>505</v>
      </c>
      <c r="C199" t="s">
        <v>26</v>
      </c>
      <c r="D199">
        <v>30</v>
      </c>
      <c r="E199" t="s">
        <v>27</v>
      </c>
      <c r="F199" t="s">
        <v>28</v>
      </c>
      <c r="G199">
        <v>18616.9524606829</v>
      </c>
      <c r="H199">
        <v>176667817.35540199</v>
      </c>
      <c r="I199">
        <v>3673.9959680930301</v>
      </c>
      <c r="J199">
        <v>98705422.708119497</v>
      </c>
      <c r="K199">
        <v>0.17661812045414799</v>
      </c>
      <c r="L199">
        <v>4.22828018979182E-2</v>
      </c>
      <c r="M199">
        <v>-3.9466949506499503E-2</v>
      </c>
      <c r="N199">
        <v>2.6563531019799099E-3</v>
      </c>
      <c r="O199">
        <v>0.61585839861268898</v>
      </c>
      <c r="P199">
        <v>0.23657683147094899</v>
      </c>
      <c r="Q199">
        <v>0.80635516701149301</v>
      </c>
      <c r="R199">
        <v>0.15614651164516</v>
      </c>
      <c r="S199">
        <v>0.45403206235653798</v>
      </c>
      <c r="T199">
        <v>0.115467767961162</v>
      </c>
      <c r="U199">
        <v>36</v>
      </c>
    </row>
    <row r="200" spans="1:21" x14ac:dyDescent="0.25">
      <c r="A200">
        <v>199</v>
      </c>
      <c r="B200">
        <v>506</v>
      </c>
      <c r="C200" t="s">
        <v>26</v>
      </c>
      <c r="D200">
        <v>30</v>
      </c>
      <c r="E200" t="s">
        <v>27</v>
      </c>
      <c r="F200" t="s">
        <v>28</v>
      </c>
      <c r="G200">
        <v>19044.8833821683</v>
      </c>
      <c r="H200">
        <v>167791267.59865901</v>
      </c>
      <c r="I200">
        <v>3015.33005266399</v>
      </c>
      <c r="J200">
        <v>73222625.7285759</v>
      </c>
      <c r="K200">
        <v>0.17665988181765799</v>
      </c>
      <c r="L200">
        <v>3.21409667476752E-2</v>
      </c>
      <c r="M200">
        <v>-3.72908068074813E-2</v>
      </c>
      <c r="N200">
        <v>2.4831399930648999E-3</v>
      </c>
      <c r="O200">
        <v>0.62615559409196897</v>
      </c>
      <c r="P200">
        <v>0.23408476607942999</v>
      </c>
      <c r="Q200">
        <v>0.73410591274397197</v>
      </c>
      <c r="R200">
        <v>0.19519442161817799</v>
      </c>
      <c r="S200">
        <v>0.46397829227149201</v>
      </c>
      <c r="T200">
        <v>9.38306305748976E-2</v>
      </c>
      <c r="U200">
        <v>43</v>
      </c>
    </row>
    <row r="201" spans="1:21" x14ac:dyDescent="0.25">
      <c r="A201">
        <v>200</v>
      </c>
      <c r="B201">
        <v>507</v>
      </c>
      <c r="C201" t="s">
        <v>26</v>
      </c>
      <c r="D201">
        <v>30</v>
      </c>
      <c r="E201" t="s">
        <v>27</v>
      </c>
      <c r="F201" t="s">
        <v>28</v>
      </c>
      <c r="G201">
        <v>18408.066997086</v>
      </c>
      <c r="H201">
        <v>182488562.329849</v>
      </c>
      <c r="I201">
        <v>4017.6525262179498</v>
      </c>
      <c r="J201">
        <v>94695750.630007401</v>
      </c>
      <c r="K201">
        <v>0.15810559801821999</v>
      </c>
      <c r="L201">
        <v>4.3040994461863803E-2</v>
      </c>
      <c r="M201">
        <v>-4.2303625525638898E-2</v>
      </c>
      <c r="N201">
        <v>2.5923096631144601E-3</v>
      </c>
      <c r="O201">
        <v>0.59451819381833604</v>
      </c>
      <c r="P201">
        <v>0.241066311037442</v>
      </c>
      <c r="Q201">
        <v>0.77472944868553795</v>
      </c>
      <c r="R201">
        <v>0.17452373002462601</v>
      </c>
      <c r="S201">
        <v>0.43347493074619398</v>
      </c>
      <c r="T201">
        <v>0.11536842955276901</v>
      </c>
      <c r="U201">
        <v>38</v>
      </c>
    </row>
    <row r="202" spans="1:21" x14ac:dyDescent="0.25">
      <c r="A202">
        <v>201</v>
      </c>
      <c r="B202">
        <v>508</v>
      </c>
      <c r="C202" t="s">
        <v>26</v>
      </c>
      <c r="D202">
        <v>30</v>
      </c>
      <c r="E202" t="s">
        <v>27</v>
      </c>
      <c r="F202" t="s">
        <v>28</v>
      </c>
      <c r="G202">
        <v>19780.1707308322</v>
      </c>
      <c r="H202">
        <v>193403113.73618299</v>
      </c>
      <c r="I202">
        <v>2752.70523910867</v>
      </c>
      <c r="J202">
        <v>79547724.250835493</v>
      </c>
      <c r="K202">
        <v>0.18619942296491601</v>
      </c>
      <c r="L202">
        <v>3.4017073502211302E-2</v>
      </c>
      <c r="M202">
        <v>-3.5247031393344001E-2</v>
      </c>
      <c r="N202">
        <v>2.4458210677162301E-3</v>
      </c>
      <c r="O202">
        <v>0.62588947223650704</v>
      </c>
      <c r="P202">
        <v>0.234151840779909</v>
      </c>
      <c r="Q202">
        <v>0.85558970924182798</v>
      </c>
      <c r="R202">
        <v>0.123555958681332</v>
      </c>
      <c r="S202">
        <v>0.480099972373557</v>
      </c>
      <c r="T202">
        <v>9.6150326364571201E-2</v>
      </c>
      <c r="U202">
        <v>47</v>
      </c>
    </row>
    <row r="203" spans="1:21" x14ac:dyDescent="0.25">
      <c r="A203">
        <v>202</v>
      </c>
      <c r="B203">
        <v>509</v>
      </c>
      <c r="C203" t="s">
        <v>26</v>
      </c>
      <c r="D203">
        <v>30</v>
      </c>
      <c r="E203" t="s">
        <v>27</v>
      </c>
      <c r="F203" t="s">
        <v>28</v>
      </c>
      <c r="G203">
        <v>19935.384336662701</v>
      </c>
      <c r="H203">
        <v>159629128.23952401</v>
      </c>
      <c r="I203">
        <v>1055.9644942770899</v>
      </c>
      <c r="J203">
        <v>73832201.634059802</v>
      </c>
      <c r="K203">
        <v>0.25152125851072099</v>
      </c>
      <c r="L203">
        <v>3.3632207112761901E-2</v>
      </c>
      <c r="M203">
        <v>-1.9469941982675501E-2</v>
      </c>
      <c r="N203">
        <v>2.6624528870354898E-3</v>
      </c>
      <c r="O203">
        <v>0.71572033438280303</v>
      </c>
      <c r="P203">
        <v>0.203464737333902</v>
      </c>
      <c r="Q203">
        <v>0.87382105877403704</v>
      </c>
      <c r="R203">
        <v>0.110257816017057</v>
      </c>
      <c r="S203">
        <v>0.55249866601136099</v>
      </c>
      <c r="T203">
        <v>8.5222003029989293E-2</v>
      </c>
      <c r="U203">
        <v>48</v>
      </c>
    </row>
    <row r="204" spans="1:21" x14ac:dyDescent="0.25">
      <c r="A204">
        <v>203</v>
      </c>
      <c r="B204">
        <v>401</v>
      </c>
      <c r="C204" t="s">
        <v>26</v>
      </c>
      <c r="D204">
        <v>30</v>
      </c>
      <c r="E204" t="s">
        <v>27</v>
      </c>
      <c r="F204" t="s">
        <v>28</v>
      </c>
      <c r="G204">
        <v>10500.48749352</v>
      </c>
      <c r="H204">
        <v>125038587.776567</v>
      </c>
      <c r="I204">
        <v>9045.6469379726695</v>
      </c>
      <c r="J204">
        <v>96732809.211996302</v>
      </c>
      <c r="K204">
        <v>9.0685850252433295E-2</v>
      </c>
      <c r="L204">
        <v>4.9411084314513597E-2</v>
      </c>
      <c r="M204">
        <v>-4.8873961678035899E-2</v>
      </c>
      <c r="N204">
        <v>2.6940224104303702E-3</v>
      </c>
      <c r="O204">
        <v>0.39581389320891702</v>
      </c>
      <c r="P204">
        <v>0.23914525515170501</v>
      </c>
      <c r="Q204">
        <v>0.56696648435677399</v>
      </c>
      <c r="R204">
        <v>0.24551548997292799</v>
      </c>
      <c r="S204">
        <v>0.31573933157112999</v>
      </c>
      <c r="T204">
        <v>0.111708303853297</v>
      </c>
      <c r="U204">
        <v>34</v>
      </c>
    </row>
    <row r="205" spans="1:21" x14ac:dyDescent="0.25">
      <c r="A205">
        <v>204</v>
      </c>
      <c r="B205">
        <v>402</v>
      </c>
      <c r="C205" t="s">
        <v>26</v>
      </c>
      <c r="D205">
        <v>30</v>
      </c>
      <c r="E205" t="s">
        <v>27</v>
      </c>
      <c r="F205" t="s">
        <v>28</v>
      </c>
      <c r="G205">
        <v>18336.2637432517</v>
      </c>
      <c r="H205">
        <v>142117854.16246501</v>
      </c>
      <c r="I205">
        <v>2904.2057251658798</v>
      </c>
      <c r="J205">
        <v>85762817.816254795</v>
      </c>
      <c r="K205">
        <v>0.21387252620659</v>
      </c>
      <c r="L205">
        <v>4.39972337833111E-2</v>
      </c>
      <c r="M205">
        <v>-2.7017222653534199E-2</v>
      </c>
      <c r="N205">
        <v>2.7117015203822598E-3</v>
      </c>
      <c r="O205">
        <v>0.67343230897009998</v>
      </c>
      <c r="P205">
        <v>0.21992123420554499</v>
      </c>
      <c r="Q205">
        <v>0.80829829206250303</v>
      </c>
      <c r="R205">
        <v>0.15495216311138599</v>
      </c>
      <c r="S205">
        <v>0.52267249974774899</v>
      </c>
      <c r="T205">
        <v>0.101561029658323</v>
      </c>
      <c r="U205">
        <v>50</v>
      </c>
    </row>
    <row r="206" spans="1:21" x14ac:dyDescent="0.25">
      <c r="A206">
        <v>205</v>
      </c>
      <c r="B206">
        <v>403</v>
      </c>
      <c r="C206" t="s">
        <v>26</v>
      </c>
      <c r="D206">
        <v>30</v>
      </c>
      <c r="E206" t="s">
        <v>27</v>
      </c>
      <c r="F206" t="s">
        <v>28</v>
      </c>
      <c r="G206">
        <v>13812.3515763288</v>
      </c>
      <c r="H206">
        <v>141785607.62114701</v>
      </c>
      <c r="I206">
        <v>6918.7738129057198</v>
      </c>
      <c r="J206">
        <v>108977239.966581</v>
      </c>
      <c r="K206">
        <v>0.127495766412971</v>
      </c>
      <c r="L206">
        <v>5.3180601517518598E-2</v>
      </c>
      <c r="M206">
        <v>-4.3466702058969298E-2</v>
      </c>
      <c r="N206">
        <v>2.57689732070046E-3</v>
      </c>
      <c r="O206">
        <v>0.49714155862794801</v>
      </c>
      <c r="P206">
        <v>0.24999182931323599</v>
      </c>
      <c r="Q206">
        <v>0.70767206840877805</v>
      </c>
      <c r="R206">
        <v>0.20687231200275999</v>
      </c>
      <c r="S206">
        <v>0.37432042769245899</v>
      </c>
      <c r="T206">
        <v>0.12507926187819601</v>
      </c>
      <c r="U206">
        <v>21</v>
      </c>
    </row>
    <row r="207" spans="1:21" x14ac:dyDescent="0.25">
      <c r="A207">
        <v>206</v>
      </c>
      <c r="B207">
        <v>404</v>
      </c>
      <c r="C207" t="s">
        <v>26</v>
      </c>
      <c r="D207">
        <v>30</v>
      </c>
      <c r="E207" t="s">
        <v>27</v>
      </c>
      <c r="F207" t="s">
        <v>28</v>
      </c>
      <c r="G207">
        <v>15988.0932560947</v>
      </c>
      <c r="H207">
        <v>173261020.976693</v>
      </c>
      <c r="I207">
        <v>6088.8685155823696</v>
      </c>
      <c r="J207">
        <v>89743749.984415606</v>
      </c>
      <c r="K207">
        <v>0.115290290307515</v>
      </c>
      <c r="L207">
        <v>3.7939897511104798E-2</v>
      </c>
      <c r="M207">
        <v>-4.9942727683718997E-2</v>
      </c>
      <c r="N207">
        <v>2.0936989303178E-3</v>
      </c>
      <c r="O207">
        <v>0.498229572248375</v>
      </c>
      <c r="P207">
        <v>0.24999686558565401</v>
      </c>
      <c r="Q207">
        <v>0.98097874014679698</v>
      </c>
      <c r="R207">
        <v>1.8659451526807602E-2</v>
      </c>
      <c r="S207">
        <v>0.37275197001793497</v>
      </c>
      <c r="T207">
        <v>0.10518352221430501</v>
      </c>
      <c r="U207">
        <v>102</v>
      </c>
    </row>
    <row r="208" spans="1:21" x14ac:dyDescent="0.25">
      <c r="A208">
        <v>207</v>
      </c>
      <c r="B208">
        <v>405</v>
      </c>
      <c r="C208" t="s">
        <v>26</v>
      </c>
      <c r="D208">
        <v>30</v>
      </c>
      <c r="E208" t="s">
        <v>27</v>
      </c>
      <c r="F208" t="s">
        <v>28</v>
      </c>
      <c r="G208">
        <v>17175.784641327999</v>
      </c>
      <c r="H208">
        <v>168319299.39482701</v>
      </c>
      <c r="I208">
        <v>3780.0553654994401</v>
      </c>
      <c r="J208">
        <v>100421021.89080501</v>
      </c>
      <c r="K208">
        <v>0.173293201585624</v>
      </c>
      <c r="L208">
        <v>4.7396155095532702E-2</v>
      </c>
      <c r="M208">
        <v>-3.3745566034865601E-2</v>
      </c>
      <c r="N208">
        <v>2.44384823814074E-3</v>
      </c>
      <c r="O208">
        <v>0.58939890448967902</v>
      </c>
      <c r="P208">
        <v>0.24200783587603</v>
      </c>
      <c r="Q208">
        <v>0.64045494773602496</v>
      </c>
      <c r="R208">
        <v>0.230272407656651</v>
      </c>
      <c r="S208">
        <v>0.44519932857823002</v>
      </c>
      <c r="T208">
        <v>0.12195032858443</v>
      </c>
      <c r="U208">
        <v>22</v>
      </c>
    </row>
    <row r="209" spans="1:21" x14ac:dyDescent="0.25">
      <c r="A209">
        <v>208</v>
      </c>
      <c r="B209">
        <v>406</v>
      </c>
      <c r="C209" t="s">
        <v>26</v>
      </c>
      <c r="D209">
        <v>30</v>
      </c>
      <c r="E209" t="s">
        <v>27</v>
      </c>
      <c r="F209" t="s">
        <v>28</v>
      </c>
      <c r="G209">
        <v>15780.341797132</v>
      </c>
      <c r="H209">
        <v>163607585.70773399</v>
      </c>
      <c r="I209">
        <v>4953.9315771886204</v>
      </c>
      <c r="J209">
        <v>94235081.206479102</v>
      </c>
      <c r="K209">
        <v>0.13619446626548101</v>
      </c>
      <c r="L209">
        <v>4.3661482689545499E-2</v>
      </c>
      <c r="M209">
        <v>-4.3650024813138698E-2</v>
      </c>
      <c r="N209">
        <v>2.29424541851819E-3</v>
      </c>
      <c r="O209">
        <v>0.53878078243293304</v>
      </c>
      <c r="P209">
        <v>0.24849605091392901</v>
      </c>
      <c r="Q209">
        <v>0.67892508610792202</v>
      </c>
      <c r="R209">
        <v>0.21798581356129201</v>
      </c>
      <c r="S209">
        <v>0.39509302771157701</v>
      </c>
      <c r="T209">
        <v>0.119647187460362</v>
      </c>
      <c r="U209">
        <v>30</v>
      </c>
    </row>
    <row r="210" spans="1:21" x14ac:dyDescent="0.25">
      <c r="A210">
        <v>209</v>
      </c>
      <c r="B210">
        <v>407</v>
      </c>
      <c r="C210" t="s">
        <v>26</v>
      </c>
      <c r="D210">
        <v>30</v>
      </c>
      <c r="E210" t="s">
        <v>27</v>
      </c>
      <c r="F210" t="s">
        <v>28</v>
      </c>
      <c r="G210">
        <v>13099.5536506632</v>
      </c>
      <c r="H210">
        <v>148146808.78405201</v>
      </c>
      <c r="I210">
        <v>7786.2916936628499</v>
      </c>
      <c r="J210">
        <v>86572204.870238796</v>
      </c>
      <c r="K210">
        <v>7.0866935317009105E-2</v>
      </c>
      <c r="L210">
        <v>4.0459268941188002E-2</v>
      </c>
      <c r="M210">
        <v>-6.08318977958252E-2</v>
      </c>
      <c r="N210">
        <v>2.2654222850368999E-3</v>
      </c>
      <c r="O210">
        <v>0.404456481000109</v>
      </c>
      <c r="P210">
        <v>0.24087143597733099</v>
      </c>
      <c r="Q210">
        <v>0.89778030321348301</v>
      </c>
      <c r="R210">
        <v>9.1770830375322396E-2</v>
      </c>
      <c r="S210">
        <v>0.296882228396254</v>
      </c>
      <c r="T210">
        <v>0.109802654266896</v>
      </c>
      <c r="U210">
        <v>54</v>
      </c>
    </row>
    <row r="211" spans="1:21" x14ac:dyDescent="0.25">
      <c r="A211">
        <v>210</v>
      </c>
      <c r="B211">
        <v>408</v>
      </c>
      <c r="C211" t="s">
        <v>26</v>
      </c>
      <c r="D211">
        <v>30</v>
      </c>
      <c r="E211" t="s">
        <v>27</v>
      </c>
      <c r="F211" t="s">
        <v>28</v>
      </c>
      <c r="G211">
        <v>15033.255537217799</v>
      </c>
      <c r="H211">
        <v>179354353.74702001</v>
      </c>
      <c r="I211">
        <v>5936.2932951836501</v>
      </c>
      <c r="J211">
        <v>87001596.323593497</v>
      </c>
      <c r="K211">
        <v>0.108504952126628</v>
      </c>
      <c r="L211">
        <v>4.0504219886693997E-2</v>
      </c>
      <c r="M211">
        <v>-4.9217873141809303E-2</v>
      </c>
      <c r="N211">
        <v>2.11220936898893E-3</v>
      </c>
      <c r="O211">
        <v>0.48407003444316898</v>
      </c>
      <c r="P211">
        <v>0.249746236197567</v>
      </c>
      <c r="Q211">
        <v>0.86859227365147695</v>
      </c>
      <c r="R211">
        <v>0.11413973580466499</v>
      </c>
      <c r="S211">
        <v>0.35928447588106199</v>
      </c>
      <c r="T211">
        <v>0.113312004232606</v>
      </c>
      <c r="U211">
        <v>49</v>
      </c>
    </row>
    <row r="212" spans="1:21" x14ac:dyDescent="0.25">
      <c r="A212">
        <v>211</v>
      </c>
      <c r="B212">
        <v>409</v>
      </c>
      <c r="C212" t="s">
        <v>26</v>
      </c>
      <c r="D212">
        <v>30</v>
      </c>
      <c r="E212" t="s">
        <v>27</v>
      </c>
      <c r="F212" t="s">
        <v>28</v>
      </c>
      <c r="G212">
        <v>15793.939031825401</v>
      </c>
      <c r="H212">
        <v>158938246.481401</v>
      </c>
      <c r="I212">
        <v>4268.3258889749704</v>
      </c>
      <c r="J212">
        <v>75622279.625489503</v>
      </c>
      <c r="K212">
        <v>0.17154986709949299</v>
      </c>
      <c r="L212">
        <v>3.7589112715671301E-2</v>
      </c>
      <c r="M212">
        <v>-3.4372987410513402E-2</v>
      </c>
      <c r="N212">
        <v>2.6407360844414199E-3</v>
      </c>
      <c r="O212">
        <v>0.57047243561083305</v>
      </c>
      <c r="P212">
        <v>0.24503363581878501</v>
      </c>
      <c r="Q212">
        <v>0.934493971006639</v>
      </c>
      <c r="R212">
        <v>6.1214989158967198E-2</v>
      </c>
      <c r="S212">
        <v>0.44130222222680399</v>
      </c>
      <c r="T212">
        <v>9.7838882501618193E-2</v>
      </c>
      <c r="U212">
        <v>80</v>
      </c>
    </row>
    <row r="213" spans="1:21" x14ac:dyDescent="0.25">
      <c r="A213">
        <v>212</v>
      </c>
      <c r="B213">
        <v>301</v>
      </c>
      <c r="C213" t="s">
        <v>26</v>
      </c>
      <c r="D213">
        <v>30</v>
      </c>
      <c r="E213" t="s">
        <v>27</v>
      </c>
      <c r="F213" t="s">
        <v>28</v>
      </c>
      <c r="G213">
        <v>10452.217688323601</v>
      </c>
      <c r="H213">
        <v>91758337.940862507</v>
      </c>
      <c r="I213">
        <v>7297.0273011850804</v>
      </c>
      <c r="J213">
        <v>91185544.9876737</v>
      </c>
      <c r="K213">
        <v>0.18071290756664199</v>
      </c>
      <c r="L213">
        <v>5.7174049749364499E-2</v>
      </c>
      <c r="M213">
        <v>-2.24912181509077E-2</v>
      </c>
      <c r="N213">
        <v>2.7680074641349799E-3</v>
      </c>
      <c r="O213">
        <v>0.46684586638693998</v>
      </c>
      <c r="P213">
        <v>0.248900803424388</v>
      </c>
      <c r="Q213">
        <v>0.70306947959143495</v>
      </c>
      <c r="R213">
        <v>0.208762786458492</v>
      </c>
      <c r="S213">
        <v>0.40977145524742797</v>
      </c>
      <c r="T213">
        <v>0.107877109729453</v>
      </c>
      <c r="U213">
        <v>27</v>
      </c>
    </row>
    <row r="214" spans="1:21" x14ac:dyDescent="0.25">
      <c r="A214">
        <v>213</v>
      </c>
      <c r="B214">
        <v>302</v>
      </c>
      <c r="C214" t="s">
        <v>26</v>
      </c>
      <c r="D214">
        <v>30</v>
      </c>
      <c r="E214" t="s">
        <v>27</v>
      </c>
      <c r="F214" t="s">
        <v>28</v>
      </c>
      <c r="G214">
        <v>11602.158557123599</v>
      </c>
      <c r="H214">
        <v>92743953.032460198</v>
      </c>
      <c r="I214">
        <v>5985.4779828027504</v>
      </c>
      <c r="J214">
        <v>90828302.706215397</v>
      </c>
      <c r="K214">
        <v>0.18737717917500701</v>
      </c>
      <c r="L214">
        <v>5.9973945336021697E-2</v>
      </c>
      <c r="M214">
        <v>-2.4222895980541899E-2</v>
      </c>
      <c r="N214">
        <v>3.00933732611893E-3</v>
      </c>
      <c r="O214">
        <v>0.51141689622308995</v>
      </c>
      <c r="P214">
        <v>0.249869654480607</v>
      </c>
      <c r="Q214">
        <v>0.74136985585962001</v>
      </c>
      <c r="R214">
        <v>0.191740592682277</v>
      </c>
      <c r="S214">
        <v>0.43113058058881798</v>
      </c>
      <c r="T214">
        <v>0.11399713006763</v>
      </c>
      <c r="U214">
        <v>32</v>
      </c>
    </row>
    <row r="215" spans="1:21" x14ac:dyDescent="0.25">
      <c r="A215">
        <v>214</v>
      </c>
      <c r="B215">
        <v>303</v>
      </c>
      <c r="C215" t="s">
        <v>26</v>
      </c>
      <c r="D215">
        <v>30</v>
      </c>
      <c r="E215" t="s">
        <v>27</v>
      </c>
      <c r="F215" t="s">
        <v>28</v>
      </c>
      <c r="G215">
        <v>8488.2002840225305</v>
      </c>
      <c r="H215">
        <v>75800032.424266204</v>
      </c>
      <c r="I215">
        <v>9616.8987601161207</v>
      </c>
      <c r="J215">
        <v>96157094.527084902</v>
      </c>
      <c r="K215">
        <v>9.4131528206551698E-2</v>
      </c>
      <c r="L215">
        <v>6.5242427876714706E-2</v>
      </c>
      <c r="M215">
        <v>-4.2862357800709301E-2</v>
      </c>
      <c r="N215">
        <v>3.31969170609234E-3</v>
      </c>
      <c r="O215">
        <v>0.36845905743031798</v>
      </c>
      <c r="P215">
        <v>0.232696980428275</v>
      </c>
      <c r="Q215">
        <v>0.83651265510476702</v>
      </c>
      <c r="R215">
        <v>0.136759232954418</v>
      </c>
      <c r="S215">
        <v>0.29928847178317802</v>
      </c>
      <c r="T215">
        <v>0.123620887801349</v>
      </c>
      <c r="U215">
        <v>57</v>
      </c>
    </row>
    <row r="216" spans="1:21" x14ac:dyDescent="0.25">
      <c r="A216">
        <v>215</v>
      </c>
      <c r="B216">
        <v>304</v>
      </c>
      <c r="C216" t="s">
        <v>26</v>
      </c>
      <c r="D216">
        <v>30</v>
      </c>
      <c r="E216" t="s">
        <v>27</v>
      </c>
      <c r="F216" t="s">
        <v>28</v>
      </c>
      <c r="G216">
        <v>9248.8097549068898</v>
      </c>
      <c r="H216">
        <v>84908149.3027298</v>
      </c>
      <c r="I216">
        <v>9764.7410371689803</v>
      </c>
      <c r="J216">
        <v>81769563.316414505</v>
      </c>
      <c r="K216">
        <v>6.4105226003802598E-2</v>
      </c>
      <c r="L216">
        <v>5.3177244823579599E-2</v>
      </c>
      <c r="M216">
        <v>-6.0306193493974501E-2</v>
      </c>
      <c r="N216">
        <v>2.6792930852589801E-3</v>
      </c>
      <c r="O216">
        <v>0.36831450026562501</v>
      </c>
      <c r="P216">
        <v>0.23265892915981001</v>
      </c>
      <c r="Q216">
        <v>0.908623610831921</v>
      </c>
      <c r="R216">
        <v>8.3026744670658306E-2</v>
      </c>
      <c r="S216">
        <v>0.274663867137171</v>
      </c>
      <c r="T216">
        <v>0.11198926265511901</v>
      </c>
      <c r="U216">
        <v>108</v>
      </c>
    </row>
    <row r="217" spans="1:21" x14ac:dyDescent="0.25">
      <c r="A217">
        <v>216</v>
      </c>
      <c r="B217">
        <v>305</v>
      </c>
      <c r="C217" t="s">
        <v>26</v>
      </c>
      <c r="D217">
        <v>30</v>
      </c>
      <c r="E217" t="s">
        <v>27</v>
      </c>
      <c r="F217" t="s">
        <v>28</v>
      </c>
      <c r="G217">
        <v>10624.3849368377</v>
      </c>
      <c r="H217">
        <v>92745850.119751498</v>
      </c>
      <c r="I217">
        <v>6976.7591495570396</v>
      </c>
      <c r="J217">
        <v>91729757.312314302</v>
      </c>
      <c r="K217">
        <v>0.13592894815874601</v>
      </c>
      <c r="L217">
        <v>6.0394401763333702E-2</v>
      </c>
      <c r="M217">
        <v>-3.59340352748014E-2</v>
      </c>
      <c r="N217">
        <v>2.89344012633975E-3</v>
      </c>
      <c r="O217">
        <v>0.46050410105968997</v>
      </c>
      <c r="P217">
        <v>0.24844007396689899</v>
      </c>
      <c r="Q217">
        <v>0.83118811288449301</v>
      </c>
      <c r="R217">
        <v>0.14031443388399401</v>
      </c>
      <c r="S217">
        <v>0.36182234276770397</v>
      </c>
      <c r="T217">
        <v>0.12563136317561299</v>
      </c>
      <c r="U217">
        <v>44</v>
      </c>
    </row>
    <row r="218" spans="1:21" x14ac:dyDescent="0.25">
      <c r="A218">
        <v>217</v>
      </c>
      <c r="B218">
        <v>306</v>
      </c>
      <c r="C218" t="s">
        <v>26</v>
      </c>
      <c r="D218">
        <v>30</v>
      </c>
      <c r="E218" t="s">
        <v>27</v>
      </c>
      <c r="F218" t="s">
        <v>28</v>
      </c>
      <c r="G218">
        <v>10425.4401358754</v>
      </c>
      <c r="H218">
        <v>101440737.79934201</v>
      </c>
      <c r="I218">
        <v>7778.5640312785799</v>
      </c>
      <c r="J218">
        <v>89529156.752714694</v>
      </c>
      <c r="K218">
        <v>0.10369247322443</v>
      </c>
      <c r="L218">
        <v>5.8133921437098203E-2</v>
      </c>
      <c r="M218">
        <v>-4.7083251948772803E-2</v>
      </c>
      <c r="N218">
        <v>2.77189221472882E-3</v>
      </c>
      <c r="O218">
        <v>0.42572303423199298</v>
      </c>
      <c r="P218">
        <v>0.244482932356582</v>
      </c>
      <c r="Q218">
        <v>0.78826005836482804</v>
      </c>
      <c r="R218">
        <v>0.16690613875157601</v>
      </c>
      <c r="S218">
        <v>0.32090942564223801</v>
      </c>
      <c r="T218">
        <v>0.12459294045495301</v>
      </c>
      <c r="U218">
        <v>50</v>
      </c>
    </row>
    <row r="219" spans="1:21" x14ac:dyDescent="0.25">
      <c r="A219">
        <v>218</v>
      </c>
      <c r="B219">
        <v>307</v>
      </c>
      <c r="C219" t="s">
        <v>26</v>
      </c>
      <c r="D219">
        <v>30</v>
      </c>
      <c r="E219" t="s">
        <v>27</v>
      </c>
      <c r="F219" t="s">
        <v>28</v>
      </c>
      <c r="G219">
        <v>8888.9323025898593</v>
      </c>
      <c r="H219">
        <v>91387644.129225895</v>
      </c>
      <c r="I219">
        <v>9026.9453594446695</v>
      </c>
      <c r="J219">
        <v>82985244.452470794</v>
      </c>
      <c r="K219">
        <v>6.5336853808661305E-2</v>
      </c>
      <c r="L219">
        <v>5.3661154749262197E-2</v>
      </c>
      <c r="M219">
        <v>-5.5906842337006102E-2</v>
      </c>
      <c r="N219">
        <v>2.9544395941931401E-3</v>
      </c>
      <c r="O219">
        <v>0.35135102180168798</v>
      </c>
      <c r="P219">
        <v>0.22790348128086299</v>
      </c>
      <c r="Q219">
        <v>0.73798636768238401</v>
      </c>
      <c r="R219">
        <v>0.19336248879708301</v>
      </c>
      <c r="S219">
        <v>0.26711182377621101</v>
      </c>
      <c r="T219">
        <v>0.11710446384664699</v>
      </c>
      <c r="U219">
        <v>26</v>
      </c>
    </row>
    <row r="220" spans="1:21" x14ac:dyDescent="0.25">
      <c r="A220">
        <v>219</v>
      </c>
      <c r="B220">
        <v>308</v>
      </c>
      <c r="C220" t="s">
        <v>26</v>
      </c>
      <c r="D220">
        <v>30</v>
      </c>
      <c r="E220" t="s">
        <v>27</v>
      </c>
      <c r="F220" t="s">
        <v>28</v>
      </c>
      <c r="G220">
        <v>11628.6907997034</v>
      </c>
      <c r="H220">
        <v>136963583.581296</v>
      </c>
      <c r="I220">
        <v>6857.8004886197896</v>
      </c>
      <c r="J220">
        <v>88809961.674108893</v>
      </c>
      <c r="K220">
        <v>0.115180157053656</v>
      </c>
      <c r="L220">
        <v>5.1375426679123398E-2</v>
      </c>
      <c r="M220">
        <v>-4.3203071580043897E-2</v>
      </c>
      <c r="N220">
        <v>2.51703631625102E-3</v>
      </c>
      <c r="O220">
        <v>0.43737291581943899</v>
      </c>
      <c r="P220">
        <v>0.24607784832690399</v>
      </c>
      <c r="Q220">
        <v>0.85690195421819304</v>
      </c>
      <c r="R220">
        <v>0.12262099507497901</v>
      </c>
      <c r="S220">
        <v>0.33938026312661601</v>
      </c>
      <c r="T220">
        <v>0.12189001158183101</v>
      </c>
      <c r="U220">
        <v>58</v>
      </c>
    </row>
    <row r="221" spans="1:21" x14ac:dyDescent="0.25">
      <c r="A221">
        <v>220</v>
      </c>
      <c r="B221">
        <v>309</v>
      </c>
      <c r="C221" t="s">
        <v>26</v>
      </c>
      <c r="D221">
        <v>30</v>
      </c>
      <c r="E221" t="s">
        <v>27</v>
      </c>
      <c r="F221" t="s">
        <v>28</v>
      </c>
      <c r="G221">
        <v>11819.216876598201</v>
      </c>
      <c r="H221">
        <v>124772691.59981801</v>
      </c>
      <c r="I221">
        <v>5886.4377446901399</v>
      </c>
      <c r="J221">
        <v>79625452.323662505</v>
      </c>
      <c r="K221">
        <v>0.15156250883298999</v>
      </c>
      <c r="L221">
        <v>4.9677368439164898E-2</v>
      </c>
      <c r="M221">
        <v>-3.3339948461478003E-2</v>
      </c>
      <c r="N221">
        <v>2.7144573722008899E-3</v>
      </c>
      <c r="O221">
        <v>0.46512792066348302</v>
      </c>
      <c r="P221">
        <v>0.24878393808279201</v>
      </c>
      <c r="Q221">
        <v>0.88580125820198896</v>
      </c>
      <c r="R221">
        <v>0.101157389169744</v>
      </c>
      <c r="S221">
        <v>0.38290115043337097</v>
      </c>
      <c r="T221">
        <v>0.11485575511916001</v>
      </c>
      <c r="U221">
        <v>77</v>
      </c>
    </row>
    <row r="222" spans="1:21" x14ac:dyDescent="0.25">
      <c r="A222">
        <v>221</v>
      </c>
      <c r="B222">
        <v>201</v>
      </c>
      <c r="C222" t="s">
        <v>26</v>
      </c>
      <c r="D222">
        <v>30</v>
      </c>
      <c r="E222" t="s">
        <v>27</v>
      </c>
      <c r="F222" t="s">
        <v>28</v>
      </c>
      <c r="G222">
        <v>6059.0899724057599</v>
      </c>
      <c r="H222">
        <v>66374651.432729401</v>
      </c>
      <c r="I222">
        <v>13486.1552658243</v>
      </c>
      <c r="J222">
        <v>71662624.428893507</v>
      </c>
      <c r="K222">
        <v>2.13663921416937E-2</v>
      </c>
      <c r="L222">
        <v>4.3253507397320597E-2</v>
      </c>
      <c r="M222">
        <v>-6.2271905900163398E-2</v>
      </c>
      <c r="N222">
        <v>2.4386427399705202E-3</v>
      </c>
      <c r="O222">
        <v>0.222943722943723</v>
      </c>
      <c r="P222">
        <v>0.17323981934369401</v>
      </c>
      <c r="Q222">
        <v>0.89864702383212502</v>
      </c>
      <c r="R222">
        <v>9.1080550389775097E-2</v>
      </c>
      <c r="S222">
        <v>0.21746470028883799</v>
      </c>
      <c r="T222">
        <v>8.2948810752160804E-2</v>
      </c>
      <c r="U222">
        <v>61</v>
      </c>
    </row>
    <row r="223" spans="1:21" x14ac:dyDescent="0.25">
      <c r="A223">
        <v>222</v>
      </c>
      <c r="B223">
        <v>202</v>
      </c>
      <c r="C223" t="s">
        <v>26</v>
      </c>
      <c r="D223">
        <v>30</v>
      </c>
      <c r="E223" t="s">
        <v>27</v>
      </c>
      <c r="F223" t="s">
        <v>28</v>
      </c>
      <c r="G223">
        <v>8968.0550067469503</v>
      </c>
      <c r="H223">
        <v>67732290.395923302</v>
      </c>
      <c r="I223">
        <v>7251.0627876920598</v>
      </c>
      <c r="J223">
        <v>76060009.738282695</v>
      </c>
      <c r="K223">
        <v>0.163487073215732</v>
      </c>
      <c r="L223">
        <v>6.1132495487859297E-2</v>
      </c>
      <c r="M223">
        <v>-2.54141011717747E-2</v>
      </c>
      <c r="N223">
        <v>3.40311877141078E-3</v>
      </c>
      <c r="O223">
        <v>0.43600580492400098</v>
      </c>
      <c r="P223">
        <v>0.245904742996467</v>
      </c>
      <c r="Q223">
        <v>0.84100253306347905</v>
      </c>
      <c r="R223">
        <v>0.13371727244425299</v>
      </c>
      <c r="S223">
        <v>0.39629161132310498</v>
      </c>
      <c r="T223">
        <v>0.108580035234626</v>
      </c>
      <c r="U223">
        <v>45</v>
      </c>
    </row>
    <row r="224" spans="1:21" x14ac:dyDescent="0.25">
      <c r="A224">
        <v>223</v>
      </c>
      <c r="B224">
        <v>203</v>
      </c>
      <c r="C224" t="s">
        <v>26</v>
      </c>
      <c r="D224">
        <v>30</v>
      </c>
      <c r="E224" t="s">
        <v>27</v>
      </c>
      <c r="F224" t="s">
        <v>28</v>
      </c>
      <c r="G224">
        <v>7847.0495018717202</v>
      </c>
      <c r="H224">
        <v>80271082.041455597</v>
      </c>
      <c r="I224">
        <v>10164.8294861185</v>
      </c>
      <c r="J224">
        <v>82355810.651192293</v>
      </c>
      <c r="K224">
        <v>7.1271598800707603E-2</v>
      </c>
      <c r="L224">
        <v>5.4076053780242501E-2</v>
      </c>
      <c r="M224">
        <v>-5.2465284178849998E-2</v>
      </c>
      <c r="N224">
        <v>2.52421959970259E-3</v>
      </c>
      <c r="O224">
        <v>0.33116859818449301</v>
      </c>
      <c r="P224">
        <v>0.22149595776112299</v>
      </c>
      <c r="Q224">
        <v>0.70512467858637795</v>
      </c>
      <c r="R224">
        <v>0.20792386623477499</v>
      </c>
      <c r="S224">
        <v>0.28590478513227602</v>
      </c>
      <c r="T224">
        <v>0.10606928819398601</v>
      </c>
      <c r="U224">
        <v>32</v>
      </c>
    </row>
    <row r="225" spans="1:21" x14ac:dyDescent="0.25">
      <c r="A225">
        <v>224</v>
      </c>
      <c r="B225">
        <v>204</v>
      </c>
      <c r="C225" t="s">
        <v>26</v>
      </c>
      <c r="D225">
        <v>30</v>
      </c>
      <c r="E225" t="s">
        <v>27</v>
      </c>
      <c r="F225" t="s">
        <v>28</v>
      </c>
      <c r="G225">
        <v>8314.2064451687493</v>
      </c>
      <c r="H225">
        <v>70427499.114514798</v>
      </c>
      <c r="I225">
        <v>8395.7226946382198</v>
      </c>
      <c r="J225">
        <v>79527431.642316401</v>
      </c>
      <c r="K225">
        <v>0.118079422977794</v>
      </c>
      <c r="L225">
        <v>5.998589282307E-2</v>
      </c>
      <c r="M225">
        <v>-4.0909464674023899E-2</v>
      </c>
      <c r="N225">
        <v>2.8954769947306001E-3</v>
      </c>
      <c r="O225">
        <v>0.39324203553779802</v>
      </c>
      <c r="P225">
        <v>0.238602737023968</v>
      </c>
      <c r="Q225">
        <v>0.84713258586469298</v>
      </c>
      <c r="R225">
        <v>0.12949896783099499</v>
      </c>
      <c r="S225">
        <v>0.33798510886911198</v>
      </c>
      <c r="T225">
        <v>0.11168271691727</v>
      </c>
      <c r="U225">
        <v>37</v>
      </c>
    </row>
    <row r="226" spans="1:21" x14ac:dyDescent="0.25">
      <c r="A226">
        <v>225</v>
      </c>
      <c r="B226">
        <v>205</v>
      </c>
      <c r="C226" t="s">
        <v>26</v>
      </c>
      <c r="D226">
        <v>30</v>
      </c>
      <c r="E226" t="s">
        <v>27</v>
      </c>
      <c r="F226" t="s">
        <v>28</v>
      </c>
      <c r="G226">
        <v>8426.7844698107492</v>
      </c>
      <c r="H226">
        <v>75416876.527542695</v>
      </c>
      <c r="I226">
        <v>8209.5788820322996</v>
      </c>
      <c r="J226">
        <v>77607159.742360204</v>
      </c>
      <c r="K226">
        <v>0.109326040732546</v>
      </c>
      <c r="L226">
        <v>6.1000433086943702E-2</v>
      </c>
      <c r="M226">
        <v>-4.2353074492053902E-2</v>
      </c>
      <c r="N226">
        <v>2.9126972782247199E-3</v>
      </c>
      <c r="O226">
        <v>0.38610193251226599</v>
      </c>
      <c r="P226">
        <v>0.23702723022247099</v>
      </c>
      <c r="Q226">
        <v>0.81267600345436097</v>
      </c>
      <c r="R226">
        <v>0.15223371686377801</v>
      </c>
      <c r="S226">
        <v>0.33226626659088998</v>
      </c>
      <c r="T226">
        <v>0.116301387629564</v>
      </c>
      <c r="U226">
        <v>34</v>
      </c>
    </row>
    <row r="227" spans="1:21" x14ac:dyDescent="0.25">
      <c r="A227">
        <v>226</v>
      </c>
      <c r="B227">
        <v>206</v>
      </c>
      <c r="C227" t="s">
        <v>26</v>
      </c>
      <c r="D227">
        <v>30</v>
      </c>
      <c r="E227" t="s">
        <v>27</v>
      </c>
      <c r="F227" t="s">
        <v>28</v>
      </c>
      <c r="G227">
        <v>8847.9274847506294</v>
      </c>
      <c r="H227">
        <v>94988539.940644398</v>
      </c>
      <c r="I227">
        <v>9377.05786575204</v>
      </c>
      <c r="J227">
        <v>81476776.034924194</v>
      </c>
      <c r="K227">
        <v>7.3623000438463801E-2</v>
      </c>
      <c r="L227">
        <v>5.1784595837351101E-2</v>
      </c>
      <c r="M227">
        <v>-5.4603162952247798E-2</v>
      </c>
      <c r="N227">
        <v>2.38217790864483E-3</v>
      </c>
      <c r="O227">
        <v>0.34409759598134199</v>
      </c>
      <c r="P227">
        <v>0.225694440421357</v>
      </c>
      <c r="Q227">
        <v>0.84415475692160502</v>
      </c>
      <c r="R227">
        <v>0.13155750328825</v>
      </c>
      <c r="S227">
        <v>0.29548046453403598</v>
      </c>
      <c r="T227">
        <v>0.10775329820594701</v>
      </c>
      <c r="U227">
        <v>59</v>
      </c>
    </row>
    <row r="228" spans="1:21" x14ac:dyDescent="0.25">
      <c r="A228">
        <v>227</v>
      </c>
      <c r="B228">
        <v>207</v>
      </c>
      <c r="C228" t="s">
        <v>26</v>
      </c>
      <c r="D228">
        <v>30</v>
      </c>
      <c r="E228" t="s">
        <v>27</v>
      </c>
      <c r="F228" t="s">
        <v>28</v>
      </c>
      <c r="G228">
        <v>9285.0012024445605</v>
      </c>
      <c r="H228">
        <v>83741280.068340003</v>
      </c>
      <c r="I228">
        <v>8242.32122412836</v>
      </c>
      <c r="J228">
        <v>75193858.364261299</v>
      </c>
      <c r="K228">
        <v>0.12848478409446601</v>
      </c>
      <c r="L228">
        <v>5.3693369923023301E-2</v>
      </c>
      <c r="M228">
        <v>-3.9464244482069297E-2</v>
      </c>
      <c r="N228">
        <v>2.9854220700486602E-3</v>
      </c>
      <c r="O228">
        <v>0.40286851206783297</v>
      </c>
      <c r="P228">
        <v>0.24056547405186901</v>
      </c>
      <c r="Q228">
        <v>0.69261477045908204</v>
      </c>
      <c r="R228">
        <v>0.21289955020081799</v>
      </c>
      <c r="S228">
        <v>0.35339000482660299</v>
      </c>
      <c r="T228">
        <v>0.10614483868298701</v>
      </c>
      <c r="U228">
        <v>32</v>
      </c>
    </row>
    <row r="229" spans="1:21" x14ac:dyDescent="0.25">
      <c r="A229">
        <v>228</v>
      </c>
      <c r="B229">
        <v>208</v>
      </c>
      <c r="C229" t="s">
        <v>26</v>
      </c>
      <c r="D229">
        <v>30</v>
      </c>
      <c r="E229" t="s">
        <v>27</v>
      </c>
      <c r="F229" t="s">
        <v>28</v>
      </c>
      <c r="G229">
        <v>13411.588497691901</v>
      </c>
      <c r="H229">
        <v>119325358.31789</v>
      </c>
      <c r="I229">
        <v>4211.1873449915502</v>
      </c>
      <c r="J229">
        <v>82261589.608297497</v>
      </c>
      <c r="K229">
        <v>0.226817122140302</v>
      </c>
      <c r="L229">
        <v>5.4847842635842102E-2</v>
      </c>
      <c r="M229">
        <v>-1.18040139882594E-2</v>
      </c>
      <c r="N229">
        <v>2.80954569155124E-3</v>
      </c>
      <c r="O229">
        <v>0.56016647133392306</v>
      </c>
      <c r="P229">
        <v>0.24637999572697</v>
      </c>
      <c r="Q229">
        <v>0.489858642875936</v>
      </c>
      <c r="R229">
        <v>0.24989715287544201</v>
      </c>
      <c r="S229">
        <v>0.48264381149505098</v>
      </c>
      <c r="T229">
        <v>0.10976465722629999</v>
      </c>
      <c r="U229">
        <v>13</v>
      </c>
    </row>
    <row r="230" spans="1:21" x14ac:dyDescent="0.25">
      <c r="A230">
        <v>229</v>
      </c>
      <c r="B230">
        <v>209</v>
      </c>
      <c r="C230" t="s">
        <v>26</v>
      </c>
      <c r="D230">
        <v>30</v>
      </c>
      <c r="E230" t="s">
        <v>27</v>
      </c>
      <c r="F230" t="s">
        <v>28</v>
      </c>
      <c r="G230">
        <v>12249.0720643124</v>
      </c>
      <c r="H230">
        <v>122339011.740578</v>
      </c>
      <c r="I230">
        <v>4919.4425642308597</v>
      </c>
      <c r="J230">
        <v>73713242.365685999</v>
      </c>
      <c r="K230">
        <v>0.200755008379156</v>
      </c>
      <c r="L230">
        <v>4.6547449010073703E-2</v>
      </c>
      <c r="M230">
        <v>-1.9179978341264201E-2</v>
      </c>
      <c r="N230">
        <v>2.33614891289437E-3</v>
      </c>
      <c r="O230">
        <v>0.49265138154026999</v>
      </c>
      <c r="P230">
        <v>0.249945997806717</v>
      </c>
      <c r="Q230">
        <v>0.81644064089243695</v>
      </c>
      <c r="R230">
        <v>0.14986532079152701</v>
      </c>
      <c r="S230">
        <v>0.44466713269014801</v>
      </c>
      <c r="T230">
        <v>0.10268958474074399</v>
      </c>
      <c r="U230">
        <v>37</v>
      </c>
    </row>
    <row r="231" spans="1:21" x14ac:dyDescent="0.25">
      <c r="A231">
        <v>230</v>
      </c>
      <c r="B231">
        <v>101</v>
      </c>
      <c r="C231" t="s">
        <v>26</v>
      </c>
      <c r="D231">
        <v>30</v>
      </c>
      <c r="E231" t="s">
        <v>27</v>
      </c>
      <c r="F231" t="s">
        <v>28</v>
      </c>
      <c r="G231">
        <v>3744.2535191054199</v>
      </c>
      <c r="H231">
        <v>22670476.597212099</v>
      </c>
      <c r="I231">
        <v>14817.571091478199</v>
      </c>
      <c r="J231">
        <v>33546105.084640902</v>
      </c>
      <c r="K231">
        <v>-8.2102920133691106E-3</v>
      </c>
      <c r="L231">
        <v>2.5432729662150599E-2</v>
      </c>
      <c r="M231">
        <v>-6.7531713048468903E-2</v>
      </c>
      <c r="N231">
        <v>1.4722391031966201E-3</v>
      </c>
      <c r="O231">
        <v>0.134820307361119</v>
      </c>
      <c r="P231">
        <v>0.116643792084151</v>
      </c>
      <c r="Q231">
        <v>0.98356734518142896</v>
      </c>
      <c r="R231">
        <v>1.61626226742205E-2</v>
      </c>
      <c r="S231">
        <v>0.19153198302409299</v>
      </c>
      <c r="T231">
        <v>4.3359417394486802E-2</v>
      </c>
      <c r="U231">
        <v>132</v>
      </c>
    </row>
    <row r="232" spans="1:21" x14ac:dyDescent="0.25">
      <c r="A232">
        <v>231</v>
      </c>
      <c r="B232">
        <v>102</v>
      </c>
      <c r="C232" t="s">
        <v>26</v>
      </c>
      <c r="D232">
        <v>30</v>
      </c>
      <c r="E232" t="s">
        <v>27</v>
      </c>
      <c r="F232" t="s">
        <v>28</v>
      </c>
      <c r="G232">
        <v>5145.4576275481104</v>
      </c>
      <c r="H232">
        <v>40497129.562998801</v>
      </c>
      <c r="I232">
        <v>10959.2376323022</v>
      </c>
      <c r="J232">
        <v>59086235.014965303</v>
      </c>
      <c r="K232">
        <v>5.6332790290305301E-2</v>
      </c>
      <c r="L232">
        <v>4.9750196154855202E-2</v>
      </c>
      <c r="M232">
        <v>-5.1735308635910103E-2</v>
      </c>
      <c r="N232">
        <v>2.86430794071849E-3</v>
      </c>
      <c r="O232">
        <v>0.268728383018079</v>
      </c>
      <c r="P232">
        <v>0.196513439178477</v>
      </c>
      <c r="Q232">
        <v>0.81320630416054296</v>
      </c>
      <c r="R232">
        <v>0.151901811034201</v>
      </c>
      <c r="S232">
        <v>0.26958874698704499</v>
      </c>
      <c r="T232">
        <v>8.2487419959070593E-2</v>
      </c>
      <c r="U232">
        <v>42</v>
      </c>
    </row>
    <row r="233" spans="1:21" x14ac:dyDescent="0.25">
      <c r="A233">
        <v>232</v>
      </c>
      <c r="B233">
        <v>103</v>
      </c>
      <c r="C233" t="s">
        <v>26</v>
      </c>
      <c r="D233">
        <v>30</v>
      </c>
      <c r="E233" t="s">
        <v>27</v>
      </c>
      <c r="F233" t="s">
        <v>28</v>
      </c>
      <c r="G233">
        <v>3902.5603367857102</v>
      </c>
      <c r="H233">
        <v>34684667.385332502</v>
      </c>
      <c r="I233">
        <v>13364.6350577346</v>
      </c>
      <c r="J233">
        <v>53161811.730842702</v>
      </c>
      <c r="K233">
        <v>-1.1944662560987701E-2</v>
      </c>
      <c r="L233">
        <v>4.5267421784406701E-2</v>
      </c>
      <c r="M233">
        <v>-6.5704974217334497E-2</v>
      </c>
      <c r="N233">
        <v>2.76885491753314E-3</v>
      </c>
      <c r="O233">
        <v>0.17931207692491699</v>
      </c>
      <c r="P233">
        <v>0.14715925599403401</v>
      </c>
      <c r="Q233">
        <v>0.72028607649436704</v>
      </c>
      <c r="R233">
        <v>0.201474044502676</v>
      </c>
      <c r="S233">
        <v>0.17693216034383</v>
      </c>
      <c r="T233">
        <v>7.8236825215410102E-2</v>
      </c>
      <c r="U233">
        <v>44</v>
      </c>
    </row>
    <row r="234" spans="1:21" x14ac:dyDescent="0.25">
      <c r="A234">
        <v>233</v>
      </c>
      <c r="B234">
        <v>104</v>
      </c>
      <c r="C234" t="s">
        <v>26</v>
      </c>
      <c r="D234">
        <v>30</v>
      </c>
      <c r="E234" t="s">
        <v>27</v>
      </c>
      <c r="F234" t="s">
        <v>28</v>
      </c>
      <c r="G234">
        <v>5182.2071422106701</v>
      </c>
      <c r="H234">
        <v>40239663.488024697</v>
      </c>
      <c r="I234">
        <v>11694.775930393</v>
      </c>
      <c r="J234">
        <v>54249424.244723</v>
      </c>
      <c r="K234">
        <v>4.7754249114406302E-2</v>
      </c>
      <c r="L234">
        <v>4.6274107834757203E-2</v>
      </c>
      <c r="M234">
        <v>-5.44999910109778E-2</v>
      </c>
      <c r="N234">
        <v>2.33368723968853E-3</v>
      </c>
      <c r="O234">
        <v>0.24706825439923499</v>
      </c>
      <c r="P234">
        <v>0.18602553206769701</v>
      </c>
      <c r="Q234">
        <v>0.81411706900787395</v>
      </c>
      <c r="R234">
        <v>0.15133046695792499</v>
      </c>
      <c r="S234">
        <v>0.24948283629887399</v>
      </c>
      <c r="T234">
        <v>8.1218415938294E-2</v>
      </c>
      <c r="U234">
        <v>48</v>
      </c>
    </row>
    <row r="235" spans="1:21" x14ac:dyDescent="0.25">
      <c r="A235">
        <v>234</v>
      </c>
      <c r="B235">
        <v>105</v>
      </c>
      <c r="C235" t="s">
        <v>26</v>
      </c>
      <c r="D235">
        <v>30</v>
      </c>
      <c r="E235" t="s">
        <v>27</v>
      </c>
      <c r="F235" t="s">
        <v>28</v>
      </c>
      <c r="G235">
        <v>8138.3195419467302</v>
      </c>
      <c r="H235">
        <v>63336338.854976602</v>
      </c>
      <c r="I235">
        <v>8637.5016985523598</v>
      </c>
      <c r="J235">
        <v>66733264.027300902</v>
      </c>
      <c r="K235">
        <v>0.123643795789405</v>
      </c>
      <c r="L235">
        <v>5.2703469775079101E-2</v>
      </c>
      <c r="M235">
        <v>-3.6410155996518603E-2</v>
      </c>
      <c r="N235">
        <v>2.8025877441240801E-3</v>
      </c>
      <c r="O235">
        <v>0.38964401294498402</v>
      </c>
      <c r="P235">
        <v>0.237821556121186</v>
      </c>
      <c r="Q235">
        <v>0.91203744041025103</v>
      </c>
      <c r="R235">
        <v>8.0225147700090704E-2</v>
      </c>
      <c r="S235">
        <v>0.35868890797685299</v>
      </c>
      <c r="T235">
        <v>9.4989473809455105E-2</v>
      </c>
      <c r="U235">
        <v>45</v>
      </c>
    </row>
    <row r="236" spans="1:21" x14ac:dyDescent="0.25">
      <c r="A236">
        <v>235</v>
      </c>
      <c r="B236">
        <v>106</v>
      </c>
      <c r="C236" t="s">
        <v>26</v>
      </c>
      <c r="D236">
        <v>30</v>
      </c>
      <c r="E236" t="s">
        <v>27</v>
      </c>
      <c r="F236" t="s">
        <v>28</v>
      </c>
      <c r="G236">
        <v>5488.0364058220603</v>
      </c>
      <c r="H236">
        <v>46957443.242332101</v>
      </c>
      <c r="I236">
        <v>11490.9950614838</v>
      </c>
      <c r="J236">
        <v>58574183.949044697</v>
      </c>
      <c r="K236">
        <v>5.3287429623782398E-2</v>
      </c>
      <c r="L236">
        <v>4.7045197038190698E-2</v>
      </c>
      <c r="M236">
        <v>-5.4046442766410401E-2</v>
      </c>
      <c r="N236">
        <v>2.27061007454503E-3</v>
      </c>
      <c r="O236">
        <v>0.25589322234580703</v>
      </c>
      <c r="P236">
        <v>0.190411881103242</v>
      </c>
      <c r="Q236">
        <v>0.80363101431595596</v>
      </c>
      <c r="R236">
        <v>0.157808207145478</v>
      </c>
      <c r="S236">
        <v>0.261480174666196</v>
      </c>
      <c r="T236">
        <v>8.0858112377314606E-2</v>
      </c>
      <c r="U236">
        <v>40</v>
      </c>
    </row>
    <row r="237" spans="1:21" x14ac:dyDescent="0.25">
      <c r="A237">
        <v>236</v>
      </c>
      <c r="B237">
        <v>107</v>
      </c>
      <c r="C237" t="s">
        <v>26</v>
      </c>
      <c r="D237">
        <v>30</v>
      </c>
      <c r="E237" t="s">
        <v>27</v>
      </c>
      <c r="F237" t="s">
        <v>28</v>
      </c>
      <c r="G237">
        <v>6184.2160762551703</v>
      </c>
      <c r="H237">
        <v>48702903.651746698</v>
      </c>
      <c r="I237">
        <v>10762.6781343415</v>
      </c>
      <c r="J237">
        <v>52131315.466159701</v>
      </c>
      <c r="K237">
        <v>7.5677903139241401E-2</v>
      </c>
      <c r="L237">
        <v>4.26483542702027E-2</v>
      </c>
      <c r="M237">
        <v>-4.8262781974748002E-2</v>
      </c>
      <c r="N237">
        <v>2.4574194813321401E-3</v>
      </c>
      <c r="O237">
        <v>0.274296170497764</v>
      </c>
      <c r="P237">
        <v>0.19905778134820401</v>
      </c>
      <c r="Q237">
        <v>0.85051546391752597</v>
      </c>
      <c r="R237">
        <v>0.12713890955454499</v>
      </c>
      <c r="S237">
        <v>0.28940255988709301</v>
      </c>
      <c r="T237">
        <v>7.5528761779922696E-2</v>
      </c>
      <c r="U237">
        <v>56</v>
      </c>
    </row>
    <row r="238" spans="1:21" x14ac:dyDescent="0.25">
      <c r="A238">
        <v>237</v>
      </c>
      <c r="B238">
        <v>108</v>
      </c>
      <c r="C238" t="s">
        <v>26</v>
      </c>
      <c r="D238">
        <v>30</v>
      </c>
      <c r="E238" t="s">
        <v>27</v>
      </c>
      <c r="F238" t="s">
        <v>28</v>
      </c>
      <c r="G238">
        <v>8560.8056236619595</v>
      </c>
      <c r="H238">
        <v>80145235.543563396</v>
      </c>
      <c r="I238">
        <v>7929.1831683678702</v>
      </c>
      <c r="J238">
        <v>71973232.6139265</v>
      </c>
      <c r="K238">
        <v>0.15346283038027</v>
      </c>
      <c r="L238">
        <v>5.4111149182630297E-2</v>
      </c>
      <c r="M238">
        <v>-2.3207606852609901E-2</v>
      </c>
      <c r="N238">
        <v>3.0603014003737802E-3</v>
      </c>
      <c r="O238">
        <v>0.40910884931408498</v>
      </c>
      <c r="P238">
        <v>0.24173879872659301</v>
      </c>
      <c r="Q238">
        <v>0.73643234710229899</v>
      </c>
      <c r="R238">
        <v>0.194099745243627</v>
      </c>
      <c r="S238">
        <v>0.384024157711228</v>
      </c>
      <c r="T238">
        <v>9.9248139769695307E-2</v>
      </c>
      <c r="U238">
        <v>35</v>
      </c>
    </row>
    <row r="239" spans="1:21" x14ac:dyDescent="0.25">
      <c r="A239">
        <v>238</v>
      </c>
      <c r="B239">
        <v>109</v>
      </c>
      <c r="C239" t="s">
        <v>26</v>
      </c>
      <c r="D239">
        <v>30</v>
      </c>
      <c r="E239" t="s">
        <v>27</v>
      </c>
      <c r="F239" t="s">
        <v>28</v>
      </c>
      <c r="G239">
        <v>5871.38896435489</v>
      </c>
      <c r="H239">
        <v>48819857.827286601</v>
      </c>
      <c r="I239">
        <v>9922.5023497732709</v>
      </c>
      <c r="J239">
        <v>51231821.696774602</v>
      </c>
      <c r="K239">
        <v>0.10773610522472001</v>
      </c>
      <c r="L239">
        <v>4.1337792287713199E-2</v>
      </c>
      <c r="M239">
        <v>-3.1405749275170397E-2</v>
      </c>
      <c r="N239">
        <v>2.3666215627160098E-3</v>
      </c>
      <c r="O239">
        <v>0.27460820567001198</v>
      </c>
      <c r="P239">
        <v>0.199198539048559</v>
      </c>
      <c r="Q239">
        <v>0.88721624850657099</v>
      </c>
      <c r="R239">
        <v>0.100063576892487</v>
      </c>
      <c r="S239">
        <v>0.30923772559988999</v>
      </c>
      <c r="T239">
        <v>7.4547260555978004E-2</v>
      </c>
      <c r="U239">
        <v>70</v>
      </c>
    </row>
    <row r="240" spans="1:21" x14ac:dyDescent="0.25">
      <c r="A240">
        <v>239</v>
      </c>
      <c r="B240">
        <v>55555</v>
      </c>
      <c r="C240" t="s">
        <v>26</v>
      </c>
      <c r="D240">
        <v>30</v>
      </c>
      <c r="E240" t="s">
        <v>27</v>
      </c>
      <c r="F240" t="s">
        <v>28</v>
      </c>
      <c r="G240">
        <v>838.60199430199395</v>
      </c>
      <c r="H240">
        <v>4773187.9233578397</v>
      </c>
      <c r="I240">
        <v>12308.5290464754</v>
      </c>
      <c r="J240">
        <v>39340495.314566404</v>
      </c>
      <c r="K240">
        <v>-5.5041836710114297E-2</v>
      </c>
      <c r="L240">
        <v>4.4944807822004502E-2</v>
      </c>
      <c r="M240">
        <v>-4.2845675543437302E-2</v>
      </c>
      <c r="N240">
        <v>8.76741631520459E-3</v>
      </c>
      <c r="O240">
        <v>6.15384615384615E-2</v>
      </c>
      <c r="P240">
        <v>5.77514792899421E-2</v>
      </c>
      <c r="Q240">
        <v>0</v>
      </c>
      <c r="R240">
        <v>0</v>
      </c>
      <c r="S240">
        <v>0.19306330162471</v>
      </c>
      <c r="T240">
        <v>3.5555624353496698E-2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30</v>
      </c>
      <c r="E241" t="s">
        <v>27</v>
      </c>
      <c r="F241" t="s">
        <v>28</v>
      </c>
      <c r="G241">
        <v>594.37426573426603</v>
      </c>
      <c r="H241">
        <v>1674934.4439811001</v>
      </c>
      <c r="I241">
        <v>17032.5931263317</v>
      </c>
      <c r="J241">
        <v>35327502.341930397</v>
      </c>
      <c r="K241">
        <v>-4.2580643944675103E-2</v>
      </c>
      <c r="L241">
        <v>1.6407104276546701E-2</v>
      </c>
      <c r="M241">
        <v>-6.1714697812587802E-2</v>
      </c>
      <c r="N241">
        <v>4.1226002651491497E-3</v>
      </c>
      <c r="O241">
        <v>0</v>
      </c>
      <c r="P241">
        <v>0</v>
      </c>
      <c r="Q241">
        <v>0</v>
      </c>
      <c r="R241">
        <v>0</v>
      </c>
      <c r="S241">
        <v>0.15152790308924499</v>
      </c>
      <c r="T241">
        <v>8.3907117533395404E-3</v>
      </c>
      <c r="U2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5142-1140-4AB8-A849-4D13595919C8}">
  <dimension ref="A1:U241"/>
  <sheetViews>
    <sheetView topLeftCell="A189" workbookViewId="0">
      <selection sqref="A1:U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</row>
    <row r="2" spans="1:21" x14ac:dyDescent="0.25">
      <c r="A2">
        <v>1</v>
      </c>
      <c r="B2">
        <v>101</v>
      </c>
      <c r="C2" t="s">
        <v>20</v>
      </c>
      <c r="D2">
        <v>37</v>
      </c>
      <c r="E2" t="s">
        <v>21</v>
      </c>
      <c r="F2" t="s">
        <v>22</v>
      </c>
      <c r="G2">
        <v>14885.9210180113</v>
      </c>
      <c r="H2">
        <v>128411818.468825</v>
      </c>
      <c r="I2">
        <v>6270.0539478119199</v>
      </c>
      <c r="J2">
        <v>119462923.70824599</v>
      </c>
      <c r="K2">
        <v>0.21365269510651999</v>
      </c>
      <c r="L2">
        <v>5.4471821858598703E-2</v>
      </c>
      <c r="M2">
        <v>-2.0035710756721298E-2</v>
      </c>
      <c r="N2">
        <v>2.9523454443369499E-3</v>
      </c>
      <c r="O2">
        <v>0.470806800502372</v>
      </c>
      <c r="P2">
        <v>0.111388046794079</v>
      </c>
      <c r="Q2">
        <v>0.54147630779534495</v>
      </c>
      <c r="R2">
        <v>0.248279715891744</v>
      </c>
      <c r="S2">
        <v>0.70672375439519697</v>
      </c>
      <c r="T2">
        <v>0.20726528936897401</v>
      </c>
      <c r="U2">
        <v>28</v>
      </c>
    </row>
    <row r="3" spans="1:21" x14ac:dyDescent="0.25">
      <c r="A3">
        <v>2</v>
      </c>
      <c r="B3">
        <v>102</v>
      </c>
      <c r="C3" t="s">
        <v>20</v>
      </c>
      <c r="D3">
        <v>37</v>
      </c>
      <c r="E3" t="s">
        <v>21</v>
      </c>
      <c r="F3" t="s">
        <v>22</v>
      </c>
      <c r="G3">
        <v>17006.2459810535</v>
      </c>
      <c r="H3">
        <v>198330148.598445</v>
      </c>
      <c r="I3">
        <v>7749.3463472274598</v>
      </c>
      <c r="J3">
        <v>136294133.52824199</v>
      </c>
      <c r="K3">
        <v>0.15057383520862999</v>
      </c>
      <c r="L3">
        <v>4.8530858162421399E-2</v>
      </c>
      <c r="M3">
        <v>-3.9852083671124403E-2</v>
      </c>
      <c r="N3">
        <v>3.1209739570936799E-3</v>
      </c>
      <c r="O3">
        <v>0.41903021330743501</v>
      </c>
      <c r="P3">
        <v>0.116839668813774</v>
      </c>
      <c r="Q3">
        <v>0.50606430314339002</v>
      </c>
      <c r="R3">
        <v>0.249963224227715</v>
      </c>
      <c r="S3">
        <v>0.62086742261135797</v>
      </c>
      <c r="T3">
        <v>0.23539106615138</v>
      </c>
      <c r="U3">
        <v>18</v>
      </c>
    </row>
    <row r="4" spans="1:21" x14ac:dyDescent="0.25">
      <c r="A4">
        <v>3</v>
      </c>
      <c r="B4">
        <v>103</v>
      </c>
      <c r="C4" t="s">
        <v>20</v>
      </c>
      <c r="D4">
        <v>37</v>
      </c>
      <c r="E4" t="s">
        <v>21</v>
      </c>
      <c r="F4" t="s">
        <v>22</v>
      </c>
      <c r="G4">
        <v>22873.364443583901</v>
      </c>
      <c r="H4">
        <v>243848973.98413599</v>
      </c>
      <c r="I4">
        <v>4102.1584021693898</v>
      </c>
      <c r="J4">
        <v>108365696.579501</v>
      </c>
      <c r="K4">
        <v>0.186562974669406</v>
      </c>
      <c r="L4">
        <v>3.1758141331478702E-2</v>
      </c>
      <c r="M4">
        <v>-4.1519541567520198E-2</v>
      </c>
      <c r="N4">
        <v>2.5342149201401701E-3</v>
      </c>
      <c r="O4">
        <v>0.50747505697563</v>
      </c>
      <c r="P4">
        <v>8.7298679455456205E-2</v>
      </c>
      <c r="Q4">
        <v>0.63922159829603598</v>
      </c>
      <c r="R4">
        <v>0.23061734656805799</v>
      </c>
      <c r="S4">
        <v>0.527910707864236</v>
      </c>
      <c r="T4">
        <v>0.249220992386292</v>
      </c>
      <c r="U4">
        <v>16</v>
      </c>
    </row>
    <row r="5" spans="1:21" x14ac:dyDescent="0.25">
      <c r="A5">
        <v>4</v>
      </c>
      <c r="B5">
        <v>104</v>
      </c>
      <c r="C5" t="s">
        <v>20</v>
      </c>
      <c r="D5">
        <v>37</v>
      </c>
      <c r="E5" t="s">
        <v>21</v>
      </c>
      <c r="F5" t="s">
        <v>22</v>
      </c>
      <c r="G5">
        <v>26032.366930083899</v>
      </c>
      <c r="H5">
        <v>203474491.51713201</v>
      </c>
      <c r="I5">
        <v>506.81071699808598</v>
      </c>
      <c r="J5">
        <v>82900304.397112101</v>
      </c>
      <c r="K5">
        <v>0.220809895524194</v>
      </c>
      <c r="L5">
        <v>3.0532242906198201E-2</v>
      </c>
      <c r="M5">
        <v>-4.1568217519357402E-2</v>
      </c>
      <c r="N5">
        <v>3.1551324546823401E-3</v>
      </c>
      <c r="O5">
        <v>0.57137774508282502</v>
      </c>
      <c r="P5">
        <v>8.0999849775069702E-2</v>
      </c>
      <c r="Q5">
        <v>0.76285214453761196</v>
      </c>
      <c r="R5">
        <v>0.18090875011173299</v>
      </c>
      <c r="S5">
        <v>0.73597152681426103</v>
      </c>
      <c r="T5">
        <v>0.19431743853330799</v>
      </c>
      <c r="U5">
        <v>29</v>
      </c>
    </row>
    <row r="6" spans="1:21" x14ac:dyDescent="0.25">
      <c r="A6">
        <v>5</v>
      </c>
      <c r="B6">
        <v>105</v>
      </c>
      <c r="C6" t="s">
        <v>20</v>
      </c>
      <c r="D6">
        <v>37</v>
      </c>
      <c r="E6" t="s">
        <v>21</v>
      </c>
      <c r="F6" t="s">
        <v>22</v>
      </c>
      <c r="G6">
        <v>27760.2200338168</v>
      </c>
      <c r="H6">
        <v>186550356.35819301</v>
      </c>
      <c r="I6">
        <v>-467.078840667968</v>
      </c>
      <c r="J6">
        <v>57311500.839602403</v>
      </c>
      <c r="K6">
        <v>0.23215359226837401</v>
      </c>
      <c r="L6">
        <v>2.0171278422950599E-2</v>
      </c>
      <c r="M6">
        <v>-3.7239318760165001E-2</v>
      </c>
      <c r="N6">
        <v>3.1034688194152898E-3</v>
      </c>
      <c r="O6">
        <v>0.59617849219593599</v>
      </c>
      <c r="P6">
        <v>5.3700455829941901E-2</v>
      </c>
      <c r="Q6">
        <v>0.79423264907135904</v>
      </c>
      <c r="R6">
        <v>0.16342714822038801</v>
      </c>
      <c r="S6">
        <v>0.70934717708911299</v>
      </c>
      <c r="T6">
        <v>0.20617375944490801</v>
      </c>
      <c r="U6">
        <v>33</v>
      </c>
    </row>
    <row r="7" spans="1:21" x14ac:dyDescent="0.25">
      <c r="A7">
        <v>6</v>
      </c>
      <c r="B7">
        <v>106</v>
      </c>
      <c r="C7" t="s">
        <v>20</v>
      </c>
      <c r="D7">
        <v>37</v>
      </c>
      <c r="E7" t="s">
        <v>21</v>
      </c>
      <c r="F7" t="s">
        <v>22</v>
      </c>
      <c r="G7">
        <v>25863.980697925199</v>
      </c>
      <c r="H7">
        <v>194586143.32547399</v>
      </c>
      <c r="I7">
        <v>795.64105127070695</v>
      </c>
      <c r="J7">
        <v>101725434.97269499</v>
      </c>
      <c r="K7">
        <v>0.229517255907946</v>
      </c>
      <c r="L7">
        <v>3.6099232661912201E-2</v>
      </c>
      <c r="M7">
        <v>-3.2041404722477997E-2</v>
      </c>
      <c r="N7">
        <v>3.2222479669910902E-3</v>
      </c>
      <c r="O7">
        <v>0.57098012542259302</v>
      </c>
      <c r="P7">
        <v>8.7398896282158994E-2</v>
      </c>
      <c r="Q7">
        <v>0.76707339521918605</v>
      </c>
      <c r="R7">
        <v>0.17867180156614501</v>
      </c>
      <c r="S7">
        <v>0.53260840981407898</v>
      </c>
      <c r="T7">
        <v>0.24893669160955201</v>
      </c>
      <c r="U7">
        <v>23</v>
      </c>
    </row>
    <row r="8" spans="1:21" x14ac:dyDescent="0.25">
      <c r="A8">
        <v>7</v>
      </c>
      <c r="B8">
        <v>107</v>
      </c>
      <c r="C8" t="s">
        <v>20</v>
      </c>
      <c r="D8">
        <v>37</v>
      </c>
      <c r="E8" t="s">
        <v>21</v>
      </c>
      <c r="F8" t="s">
        <v>22</v>
      </c>
      <c r="G8">
        <v>27357.4100826225</v>
      </c>
      <c r="H8">
        <v>189198928.89276999</v>
      </c>
      <c r="I8">
        <v>195.44607095847601</v>
      </c>
      <c r="J8">
        <v>80894736.370218605</v>
      </c>
      <c r="K8">
        <v>0.25547541211104502</v>
      </c>
      <c r="L8">
        <v>2.8894850024168701E-2</v>
      </c>
      <c r="M8">
        <v>-1.6845556723176999E-2</v>
      </c>
      <c r="N8">
        <v>3.3907562270569002E-3</v>
      </c>
      <c r="O8">
        <v>0.61100096497263801</v>
      </c>
      <c r="P8">
        <v>6.5707080975623403E-2</v>
      </c>
      <c r="Q8">
        <v>0.81505457465837605</v>
      </c>
      <c r="R8">
        <v>0.15074061498680499</v>
      </c>
      <c r="S8">
        <v>0.83330696876406996</v>
      </c>
      <c r="T8">
        <v>0.13890646457354</v>
      </c>
      <c r="U8">
        <v>55</v>
      </c>
    </row>
    <row r="9" spans="1:21" x14ac:dyDescent="0.25">
      <c r="A9">
        <v>8</v>
      </c>
      <c r="B9">
        <v>108</v>
      </c>
      <c r="C9" t="s">
        <v>20</v>
      </c>
      <c r="D9">
        <v>37</v>
      </c>
      <c r="E9" t="s">
        <v>21</v>
      </c>
      <c r="F9" t="s">
        <v>22</v>
      </c>
      <c r="G9">
        <v>26268.2089338037</v>
      </c>
      <c r="H9">
        <v>190313891.808265</v>
      </c>
      <c r="I9">
        <v>864.75489597520095</v>
      </c>
      <c r="J9">
        <v>88363672.0400704</v>
      </c>
      <c r="K9">
        <v>0.26033691404574399</v>
      </c>
      <c r="L9">
        <v>3.2146934237391997E-2</v>
      </c>
      <c r="M9">
        <v>-9.2681291449360909E-3</v>
      </c>
      <c r="N9">
        <v>2.8162037616249599E-3</v>
      </c>
      <c r="O9">
        <v>0.60256091014315105</v>
      </c>
      <c r="P9">
        <v>7.8629348127848803E-2</v>
      </c>
      <c r="Q9">
        <v>0.76827124319799101</v>
      </c>
      <c r="R9">
        <v>0.17803054007279701</v>
      </c>
      <c r="S9">
        <v>0.47206840877832901</v>
      </c>
      <c r="T9">
        <v>0.249219826211766</v>
      </c>
      <c r="U9">
        <v>12</v>
      </c>
    </row>
    <row r="10" spans="1:21" x14ac:dyDescent="0.25">
      <c r="A10">
        <v>9</v>
      </c>
      <c r="B10">
        <v>109</v>
      </c>
      <c r="C10" t="s">
        <v>20</v>
      </c>
      <c r="D10">
        <v>37</v>
      </c>
      <c r="E10" t="s">
        <v>21</v>
      </c>
      <c r="F10" t="s">
        <v>22</v>
      </c>
      <c r="G10">
        <v>22658.070528997399</v>
      </c>
      <c r="H10">
        <v>222397341.53151101</v>
      </c>
      <c r="I10">
        <v>3862.7650813687301</v>
      </c>
      <c r="J10">
        <v>113110634.53594001</v>
      </c>
      <c r="K10">
        <v>0.20691822458996201</v>
      </c>
      <c r="L10">
        <v>3.2495201350824399E-2</v>
      </c>
      <c r="M10">
        <v>-2.60272310805734E-2</v>
      </c>
      <c r="N10">
        <v>2.4826531136584299E-3</v>
      </c>
      <c r="O10">
        <v>0.52766892405397703</v>
      </c>
      <c r="P10">
        <v>8.6481031690552101E-2</v>
      </c>
      <c r="Q10">
        <v>0.63873174582291803</v>
      </c>
      <c r="R10">
        <v>0.230753502700726</v>
      </c>
      <c r="S10">
        <v>0.66650321129994905</v>
      </c>
      <c r="T10">
        <v>0.222276680627125</v>
      </c>
      <c r="U10">
        <v>28</v>
      </c>
    </row>
    <row r="11" spans="1:21" x14ac:dyDescent="0.25">
      <c r="A11">
        <v>10</v>
      </c>
      <c r="B11">
        <v>110</v>
      </c>
      <c r="C11" t="s">
        <v>20</v>
      </c>
      <c r="D11">
        <v>37</v>
      </c>
      <c r="E11" t="s">
        <v>21</v>
      </c>
      <c r="F11" t="s">
        <v>22</v>
      </c>
      <c r="G11">
        <v>25664.568079889999</v>
      </c>
      <c r="H11">
        <v>221128350.60233399</v>
      </c>
      <c r="I11">
        <v>1175.7113724594501</v>
      </c>
      <c r="J11">
        <v>77379060.630131394</v>
      </c>
      <c r="K11">
        <v>0.23872950998574199</v>
      </c>
      <c r="L11">
        <v>2.3038864190565601E-2</v>
      </c>
      <c r="M11">
        <v>-2.5479131052919001E-2</v>
      </c>
      <c r="N11">
        <v>2.9811563683697401E-3</v>
      </c>
      <c r="O11">
        <v>0.59133670785731796</v>
      </c>
      <c r="P11">
        <v>6.3119258047218005E-2</v>
      </c>
      <c r="Q11">
        <v>0.74319201100281096</v>
      </c>
      <c r="R11">
        <v>0.190857645784276</v>
      </c>
      <c r="S11">
        <v>0.62485200023919196</v>
      </c>
      <c r="T11">
        <v>0.234411978036453</v>
      </c>
      <c r="U11">
        <v>27</v>
      </c>
    </row>
    <row r="12" spans="1:21" x14ac:dyDescent="0.25">
      <c r="A12">
        <v>11</v>
      </c>
      <c r="B12">
        <v>201</v>
      </c>
      <c r="C12" t="s">
        <v>20</v>
      </c>
      <c r="D12">
        <v>37</v>
      </c>
      <c r="E12" t="s">
        <v>21</v>
      </c>
      <c r="F12" t="s">
        <v>22</v>
      </c>
      <c r="G12">
        <v>15782.3849959785</v>
      </c>
      <c r="H12">
        <v>145055679.69096401</v>
      </c>
      <c r="I12">
        <v>6565.1861278958604</v>
      </c>
      <c r="J12">
        <v>112498146.896089</v>
      </c>
      <c r="K12">
        <v>0.15188512751914601</v>
      </c>
      <c r="L12">
        <v>4.9748901582064402E-2</v>
      </c>
      <c r="M12">
        <v>-4.8697651426565798E-2</v>
      </c>
      <c r="N12">
        <v>2.1310333987634598E-3</v>
      </c>
      <c r="O12">
        <v>0.421816029938409</v>
      </c>
      <c r="P12">
        <v>0.120601902312757</v>
      </c>
      <c r="Q12">
        <v>0.52640815033269195</v>
      </c>
      <c r="R12">
        <v>0.24930260959614101</v>
      </c>
      <c r="S12">
        <v>0.79479148894684204</v>
      </c>
      <c r="T12">
        <v>0.16309797804425899</v>
      </c>
      <c r="U12">
        <v>34</v>
      </c>
    </row>
    <row r="13" spans="1:21" x14ac:dyDescent="0.25">
      <c r="A13">
        <v>12</v>
      </c>
      <c r="B13">
        <v>202</v>
      </c>
      <c r="C13" t="s">
        <v>20</v>
      </c>
      <c r="D13">
        <v>37</v>
      </c>
      <c r="E13" t="s">
        <v>21</v>
      </c>
      <c r="F13" t="s">
        <v>22</v>
      </c>
      <c r="G13">
        <v>13521.4191264412</v>
      </c>
      <c r="H13">
        <v>116459722.26759499</v>
      </c>
      <c r="I13">
        <v>7371.3929806348397</v>
      </c>
      <c r="J13">
        <v>119082110.251314</v>
      </c>
      <c r="K13">
        <v>0.14506562886458199</v>
      </c>
      <c r="L13">
        <v>5.8976252613917701E-2</v>
      </c>
      <c r="M13">
        <v>-3.5044425119332499E-2</v>
      </c>
      <c r="N13">
        <v>3.45334101814884E-3</v>
      </c>
      <c r="O13">
        <v>0.37780254279518499</v>
      </c>
      <c r="P13">
        <v>0.12920326274664001</v>
      </c>
      <c r="Q13">
        <v>0.49367315696311498</v>
      </c>
      <c r="R13">
        <v>0.249959971057087</v>
      </c>
      <c r="S13">
        <v>0.48931971487346299</v>
      </c>
      <c r="T13">
        <v>0.24988593150955399</v>
      </c>
      <c r="U13">
        <v>14</v>
      </c>
    </row>
    <row r="14" spans="1:21" x14ac:dyDescent="0.25">
      <c r="A14">
        <v>13</v>
      </c>
      <c r="B14">
        <v>203</v>
      </c>
      <c r="C14" t="s">
        <v>20</v>
      </c>
      <c r="D14">
        <v>37</v>
      </c>
      <c r="E14" t="s">
        <v>21</v>
      </c>
      <c r="F14" t="s">
        <v>22</v>
      </c>
      <c r="G14">
        <v>12085.8081246562</v>
      </c>
      <c r="H14">
        <v>102552205.133414</v>
      </c>
      <c r="I14">
        <v>7037.6020173365796</v>
      </c>
      <c r="J14">
        <v>109092542.96080101</v>
      </c>
      <c r="K14">
        <v>0.14733734515657501</v>
      </c>
      <c r="L14">
        <v>6.15138120308443E-2</v>
      </c>
      <c r="M14">
        <v>-3.33480326111016E-2</v>
      </c>
      <c r="N14">
        <v>4.0215803156323201E-3</v>
      </c>
      <c r="O14">
        <v>0.35576885729046198</v>
      </c>
      <c r="P14">
        <v>0.129308708614219</v>
      </c>
      <c r="Q14">
        <v>0.47946712587596602</v>
      </c>
      <c r="R14">
        <v>0.24957840108031201</v>
      </c>
      <c r="S14">
        <v>0.69979192078639596</v>
      </c>
      <c r="T14">
        <v>0.21008318838833701</v>
      </c>
      <c r="U14">
        <v>34</v>
      </c>
    </row>
    <row r="15" spans="1:21" x14ac:dyDescent="0.25">
      <c r="A15">
        <v>14</v>
      </c>
      <c r="B15">
        <v>204</v>
      </c>
      <c r="C15" t="s">
        <v>20</v>
      </c>
      <c r="D15">
        <v>37</v>
      </c>
      <c r="E15" t="s">
        <v>21</v>
      </c>
      <c r="F15" t="s">
        <v>22</v>
      </c>
      <c r="G15">
        <v>12533.346776218999</v>
      </c>
      <c r="H15">
        <v>144892537.72863001</v>
      </c>
      <c r="I15">
        <v>8968.3651292411996</v>
      </c>
      <c r="J15">
        <v>103478197.474023</v>
      </c>
      <c r="K15">
        <v>2.8189663813355598E-2</v>
      </c>
      <c r="L15">
        <v>4.6280918883341703E-2</v>
      </c>
      <c r="M15">
        <v>-7.1088575105703003E-2</v>
      </c>
      <c r="N15">
        <v>2.0587871644983302E-3</v>
      </c>
      <c r="O15">
        <v>0.22122667162920101</v>
      </c>
      <c r="P15">
        <v>0.13549616756904301</v>
      </c>
      <c r="Q15">
        <v>0.36990659347230698</v>
      </c>
      <c r="R15">
        <v>0.23307570557818499</v>
      </c>
      <c r="S15">
        <v>0.77178189994378898</v>
      </c>
      <c r="T15">
        <v>0.176134598863392</v>
      </c>
      <c r="U15">
        <v>49</v>
      </c>
    </row>
    <row r="16" spans="1:21" x14ac:dyDescent="0.25">
      <c r="A16">
        <v>15</v>
      </c>
      <c r="B16">
        <v>205</v>
      </c>
      <c r="C16" t="s">
        <v>20</v>
      </c>
      <c r="D16">
        <v>37</v>
      </c>
      <c r="E16" t="s">
        <v>21</v>
      </c>
      <c r="F16" t="s">
        <v>22</v>
      </c>
      <c r="G16">
        <v>12982.7886150512</v>
      </c>
      <c r="H16">
        <v>149961964.08779699</v>
      </c>
      <c r="I16">
        <v>8763.8823240541406</v>
      </c>
      <c r="J16">
        <v>97521167.111430705</v>
      </c>
      <c r="K16">
        <v>3.1619250253708299E-2</v>
      </c>
      <c r="L16">
        <v>4.2239875130393303E-2</v>
      </c>
      <c r="M16">
        <v>-7.0315827926052704E-2</v>
      </c>
      <c r="N16">
        <v>2.1646224091886402E-3</v>
      </c>
      <c r="O16">
        <v>0.22512723399882101</v>
      </c>
      <c r="P16">
        <v>0.12892666008351</v>
      </c>
      <c r="Q16">
        <v>0.37381536507303997</v>
      </c>
      <c r="R16">
        <v>0.234077437908185</v>
      </c>
      <c r="S16">
        <v>0.92799412196914</v>
      </c>
      <c r="T16">
        <v>6.6821031559794103E-2</v>
      </c>
      <c r="U16">
        <v>75</v>
      </c>
    </row>
    <row r="17" spans="1:21" x14ac:dyDescent="0.25">
      <c r="A17">
        <v>16</v>
      </c>
      <c r="B17">
        <v>206</v>
      </c>
      <c r="C17" t="s">
        <v>20</v>
      </c>
      <c r="D17">
        <v>37</v>
      </c>
      <c r="E17" t="s">
        <v>21</v>
      </c>
      <c r="F17" t="s">
        <v>22</v>
      </c>
      <c r="G17">
        <v>13765.8764066443</v>
      </c>
      <c r="H17">
        <v>111864253.618129</v>
      </c>
      <c r="I17">
        <v>5979.6612215446503</v>
      </c>
      <c r="J17">
        <v>118559337.713798</v>
      </c>
      <c r="K17">
        <v>0.153670252656819</v>
      </c>
      <c r="L17">
        <v>5.5838216251303099E-2</v>
      </c>
      <c r="M17">
        <v>-3.1495211899748798E-2</v>
      </c>
      <c r="N17">
        <v>3.5944755246849801E-3</v>
      </c>
      <c r="O17">
        <v>0.37366652083048202</v>
      </c>
      <c r="P17">
        <v>0.13814280676690599</v>
      </c>
      <c r="Q17">
        <v>0.52520299924660097</v>
      </c>
      <c r="R17">
        <v>0.24936480882877499</v>
      </c>
      <c r="S17">
        <v>0.78066514392317699</v>
      </c>
      <c r="T17">
        <v>0.171227076986428</v>
      </c>
      <c r="U17">
        <v>37</v>
      </c>
    </row>
    <row r="18" spans="1:21" x14ac:dyDescent="0.25">
      <c r="A18">
        <v>17</v>
      </c>
      <c r="B18">
        <v>207</v>
      </c>
      <c r="C18" t="s">
        <v>20</v>
      </c>
      <c r="D18">
        <v>37</v>
      </c>
      <c r="E18" t="s">
        <v>21</v>
      </c>
      <c r="F18" t="s">
        <v>22</v>
      </c>
      <c r="G18">
        <v>15074.9727763792</v>
      </c>
      <c r="H18">
        <v>160275792.87825701</v>
      </c>
      <c r="I18">
        <v>7276.9428963365499</v>
      </c>
      <c r="J18">
        <v>131705233.607556</v>
      </c>
      <c r="K18">
        <v>0.103309126152626</v>
      </c>
      <c r="L18">
        <v>4.7398252661617499E-2</v>
      </c>
      <c r="M18">
        <v>-4.5106229061060502E-2</v>
      </c>
      <c r="N18">
        <v>2.9181965749874501E-3</v>
      </c>
      <c r="O18">
        <v>0.327613985360307</v>
      </c>
      <c r="P18">
        <v>0.13398741881095699</v>
      </c>
      <c r="Q18">
        <v>0.47368088147857701</v>
      </c>
      <c r="R18">
        <v>0.24930730400057399</v>
      </c>
      <c r="S18">
        <v>0.56749611000771705</v>
      </c>
      <c r="T18">
        <v>0.24544427513377601</v>
      </c>
      <c r="U18">
        <v>20</v>
      </c>
    </row>
    <row r="19" spans="1:21" x14ac:dyDescent="0.25">
      <c r="A19">
        <v>18</v>
      </c>
      <c r="B19">
        <v>208</v>
      </c>
      <c r="C19" t="s">
        <v>20</v>
      </c>
      <c r="D19">
        <v>37</v>
      </c>
      <c r="E19" t="s">
        <v>21</v>
      </c>
      <c r="F19" t="s">
        <v>22</v>
      </c>
      <c r="G19">
        <v>14505.8546654866</v>
      </c>
      <c r="H19">
        <v>154892945.17776799</v>
      </c>
      <c r="I19">
        <v>8040.3801862884502</v>
      </c>
      <c r="J19">
        <v>132013228.73795199</v>
      </c>
      <c r="K19">
        <v>0.100082903197553</v>
      </c>
      <c r="L19">
        <v>5.2885887054124101E-2</v>
      </c>
      <c r="M19">
        <v>-4.5242595954416501E-2</v>
      </c>
      <c r="N19">
        <v>2.9602737489624401E-3</v>
      </c>
      <c r="O19">
        <v>0.31560505935187</v>
      </c>
      <c r="P19">
        <v>0.13640379733606101</v>
      </c>
      <c r="Q19">
        <v>0.45843997416700599</v>
      </c>
      <c r="R19">
        <v>0.24827276425258901</v>
      </c>
      <c r="S19">
        <v>0.61787499701006998</v>
      </c>
      <c r="T19">
        <v>0.23610548507972801</v>
      </c>
      <c r="U19">
        <v>21</v>
      </c>
    </row>
    <row r="20" spans="1:21" x14ac:dyDescent="0.25">
      <c r="A20">
        <v>19</v>
      </c>
      <c r="B20">
        <v>209</v>
      </c>
      <c r="C20" t="s">
        <v>20</v>
      </c>
      <c r="D20">
        <v>37</v>
      </c>
      <c r="E20" t="s">
        <v>21</v>
      </c>
      <c r="F20" t="s">
        <v>22</v>
      </c>
      <c r="G20">
        <v>16020.9260456508</v>
      </c>
      <c r="H20">
        <v>95122798.078725502</v>
      </c>
      <c r="I20">
        <v>2872.4664286582802</v>
      </c>
      <c r="J20">
        <v>79698593.401697606</v>
      </c>
      <c r="K20">
        <v>0.27733913679579503</v>
      </c>
      <c r="L20">
        <v>3.6851290750038797E-2</v>
      </c>
      <c r="M20">
        <v>4.0664249829839103E-3</v>
      </c>
      <c r="N20">
        <v>2.58070344096855E-3</v>
      </c>
      <c r="O20">
        <v>0.53895262968530699</v>
      </c>
      <c r="P20">
        <v>8.4313948608560799E-2</v>
      </c>
      <c r="Q20">
        <v>0.66810610734114695</v>
      </c>
      <c r="R20">
        <v>0.22174033667485701</v>
      </c>
      <c r="S20">
        <v>0.684318322023442</v>
      </c>
      <c r="T20">
        <v>0.216026756166774</v>
      </c>
      <c r="U20">
        <v>29</v>
      </c>
    </row>
    <row r="21" spans="1:21" x14ac:dyDescent="0.25">
      <c r="A21">
        <v>20</v>
      </c>
      <c r="B21">
        <v>210</v>
      </c>
      <c r="C21" t="s">
        <v>20</v>
      </c>
      <c r="D21">
        <v>37</v>
      </c>
      <c r="E21" t="s">
        <v>21</v>
      </c>
      <c r="F21" t="s">
        <v>22</v>
      </c>
      <c r="G21">
        <v>16215.968928530499</v>
      </c>
      <c r="H21">
        <v>143482031.75486499</v>
      </c>
      <c r="I21">
        <v>4371.6950170396103</v>
      </c>
      <c r="J21">
        <v>84347448.193936497</v>
      </c>
      <c r="K21">
        <v>0.18963076726710701</v>
      </c>
      <c r="L21">
        <v>3.2518207774964697E-2</v>
      </c>
      <c r="M21">
        <v>-2.7823735509486001E-2</v>
      </c>
      <c r="N21">
        <v>2.1020193455136798E-3</v>
      </c>
      <c r="O21">
        <v>0.44738899752489902</v>
      </c>
      <c r="P21">
        <v>9.0600129644337404E-2</v>
      </c>
      <c r="Q21">
        <v>0.56536841703459595</v>
      </c>
      <c r="R21">
        <v>0.245726970054224</v>
      </c>
      <c r="S21">
        <v>0.75490183604137795</v>
      </c>
      <c r="T21">
        <v>0.18502505398299701</v>
      </c>
      <c r="U21">
        <v>30</v>
      </c>
    </row>
    <row r="22" spans="1:21" x14ac:dyDescent="0.25">
      <c r="A22">
        <v>21</v>
      </c>
      <c r="B22">
        <v>301</v>
      </c>
      <c r="C22" t="s">
        <v>20</v>
      </c>
      <c r="D22">
        <v>37</v>
      </c>
      <c r="E22" t="s">
        <v>21</v>
      </c>
      <c r="F22" t="s">
        <v>22</v>
      </c>
      <c r="G22">
        <v>16529.195402608999</v>
      </c>
      <c r="H22">
        <v>193447009.50376499</v>
      </c>
      <c r="I22">
        <v>7214.4705157723502</v>
      </c>
      <c r="J22">
        <v>117419948.843151</v>
      </c>
      <c r="K22">
        <v>0.104939374383097</v>
      </c>
      <c r="L22">
        <v>4.2009675164541502E-2</v>
      </c>
      <c r="M22">
        <v>-6.2663936423459493E-2</v>
      </c>
      <c r="N22">
        <v>2.1285397050681601E-3</v>
      </c>
      <c r="O22">
        <v>0.37577504322941402</v>
      </c>
      <c r="P22">
        <v>0.11369288833281201</v>
      </c>
      <c r="Q22">
        <v>0.47148889098733299</v>
      </c>
      <c r="R22">
        <v>0.249187116662626</v>
      </c>
      <c r="S22">
        <v>0.81783107825547396</v>
      </c>
      <c r="T22">
        <v>0.14898340569481999</v>
      </c>
      <c r="U22">
        <v>37</v>
      </c>
    </row>
    <row r="23" spans="1:21" x14ac:dyDescent="0.25">
      <c r="A23">
        <v>22</v>
      </c>
      <c r="B23">
        <v>302</v>
      </c>
      <c r="C23" t="s">
        <v>20</v>
      </c>
      <c r="D23">
        <v>37</v>
      </c>
      <c r="E23" t="s">
        <v>21</v>
      </c>
      <c r="F23" t="s">
        <v>22</v>
      </c>
      <c r="G23">
        <v>18655.815454904299</v>
      </c>
      <c r="H23">
        <v>170411488.047369</v>
      </c>
      <c r="I23">
        <v>4434.96436265588</v>
      </c>
      <c r="J23">
        <v>109193570.913866</v>
      </c>
      <c r="K23">
        <v>0.174184952813872</v>
      </c>
      <c r="L23">
        <v>5.6910868579190102E-2</v>
      </c>
      <c r="M23">
        <v>-3.11522878747151E-2</v>
      </c>
      <c r="N23">
        <v>4.4080967008183697E-3</v>
      </c>
      <c r="O23">
        <v>0.46038507751899599</v>
      </c>
      <c r="P23">
        <v>0.123742445342748</v>
      </c>
      <c r="Q23">
        <v>0.61979883029744898</v>
      </c>
      <c r="R23">
        <v>0.23564824025946901</v>
      </c>
      <c r="S23">
        <v>0.77046082453265696</v>
      </c>
      <c r="T23">
        <v>0.17685094239313301</v>
      </c>
      <c r="U23">
        <v>35</v>
      </c>
    </row>
    <row r="24" spans="1:21" x14ac:dyDescent="0.25">
      <c r="A24">
        <v>23</v>
      </c>
      <c r="B24">
        <v>303</v>
      </c>
      <c r="C24" t="s">
        <v>20</v>
      </c>
      <c r="D24">
        <v>37</v>
      </c>
      <c r="E24" t="s">
        <v>21</v>
      </c>
      <c r="F24" t="s">
        <v>22</v>
      </c>
      <c r="G24">
        <v>20487.319991077598</v>
      </c>
      <c r="H24">
        <v>181568924.82971999</v>
      </c>
      <c r="I24">
        <v>1527.4516175751301</v>
      </c>
      <c r="J24">
        <v>102469957.538158</v>
      </c>
      <c r="K24">
        <v>0.21437356547886199</v>
      </c>
      <c r="L24">
        <v>4.6350653186872003E-2</v>
      </c>
      <c r="M24">
        <v>-2.4186586725335E-2</v>
      </c>
      <c r="N24">
        <v>3.2537002508779898E-3</v>
      </c>
      <c r="O24">
        <v>0.50692104202816402</v>
      </c>
      <c r="P24">
        <v>0.115371222686789</v>
      </c>
      <c r="Q24">
        <v>0.66252354515713296</v>
      </c>
      <c r="R24">
        <v>0.223586097269589</v>
      </c>
      <c r="S24">
        <v>0.49045801526717597</v>
      </c>
      <c r="T24">
        <v>0.24990895052743201</v>
      </c>
      <c r="U24">
        <v>13</v>
      </c>
    </row>
    <row r="25" spans="1:21" x14ac:dyDescent="0.25">
      <c r="A25">
        <v>24</v>
      </c>
      <c r="B25">
        <v>304</v>
      </c>
      <c r="C25" t="s">
        <v>20</v>
      </c>
      <c r="D25">
        <v>37</v>
      </c>
      <c r="E25" t="s">
        <v>21</v>
      </c>
      <c r="F25" t="s">
        <v>22</v>
      </c>
      <c r="G25">
        <v>19980.318961393099</v>
      </c>
      <c r="H25">
        <v>174469471.350914</v>
      </c>
      <c r="I25">
        <v>1526.6561952263401</v>
      </c>
      <c r="J25">
        <v>100880176.126799</v>
      </c>
      <c r="K25">
        <v>0.195394619326486</v>
      </c>
      <c r="L25">
        <v>5.0240255002421103E-2</v>
      </c>
      <c r="M25">
        <v>-2.9261418105815999E-2</v>
      </c>
      <c r="N25">
        <v>3.6446748835785498E-3</v>
      </c>
      <c r="O25">
        <v>0.48097295292453901</v>
      </c>
      <c r="P25">
        <v>0.12305504714879401</v>
      </c>
      <c r="Q25">
        <v>0.65057647227670701</v>
      </c>
      <c r="R25">
        <v>0.22732672599659501</v>
      </c>
      <c r="S25">
        <v>0.39253934841888699</v>
      </c>
      <c r="T25">
        <v>0.23845220836206699</v>
      </c>
      <c r="U25">
        <v>10</v>
      </c>
    </row>
    <row r="26" spans="1:21" x14ac:dyDescent="0.25">
      <c r="A26">
        <v>25</v>
      </c>
      <c r="B26">
        <v>305</v>
      </c>
      <c r="C26" t="s">
        <v>20</v>
      </c>
      <c r="D26">
        <v>37</v>
      </c>
      <c r="E26" t="s">
        <v>21</v>
      </c>
      <c r="F26" t="s">
        <v>22</v>
      </c>
      <c r="G26">
        <v>17348.811322560199</v>
      </c>
      <c r="H26">
        <v>195446753.06486401</v>
      </c>
      <c r="I26">
        <v>4976.6964341779803</v>
      </c>
      <c r="J26">
        <v>130676152.602516</v>
      </c>
      <c r="K26">
        <v>9.9231670961559507E-2</v>
      </c>
      <c r="L26">
        <v>5.3474881798746002E-2</v>
      </c>
      <c r="M26">
        <v>-5.8313814065184301E-2</v>
      </c>
      <c r="N26">
        <v>2.9214521116428999E-3</v>
      </c>
      <c r="O26">
        <v>0.34632447204160099</v>
      </c>
      <c r="P26">
        <v>0.15010951175488399</v>
      </c>
      <c r="Q26">
        <v>0.51541212635910205</v>
      </c>
      <c r="R26">
        <v>0.24976246636121699</v>
      </c>
      <c r="S26">
        <v>0.71859861488224097</v>
      </c>
      <c r="T26">
        <v>0.20221464557158</v>
      </c>
      <c r="U26">
        <v>41</v>
      </c>
    </row>
    <row r="27" spans="1:21" x14ac:dyDescent="0.25">
      <c r="A27">
        <v>26</v>
      </c>
      <c r="B27">
        <v>306</v>
      </c>
      <c r="C27" t="s">
        <v>20</v>
      </c>
      <c r="D27">
        <v>37</v>
      </c>
      <c r="E27" t="s">
        <v>21</v>
      </c>
      <c r="F27" t="s">
        <v>22</v>
      </c>
      <c r="G27">
        <v>19869.3994942477</v>
      </c>
      <c r="H27">
        <v>178358563.591436</v>
      </c>
      <c r="I27">
        <v>1679.70834325135</v>
      </c>
      <c r="J27">
        <v>122735429.774571</v>
      </c>
      <c r="K27">
        <v>0.190387126263875</v>
      </c>
      <c r="L27">
        <v>5.3671136387374897E-2</v>
      </c>
      <c r="M27">
        <v>-3.2960502724463402E-2</v>
      </c>
      <c r="N27">
        <v>3.55383976723431E-3</v>
      </c>
      <c r="O27">
        <v>0.47241937628033998</v>
      </c>
      <c r="P27">
        <v>0.13701842701057099</v>
      </c>
      <c r="Q27">
        <v>0.64350721698526603</v>
      </c>
      <c r="R27">
        <v>0.22940567867323999</v>
      </c>
      <c r="S27">
        <v>0.70154354602471203</v>
      </c>
      <c r="T27">
        <v>0.209380199055896</v>
      </c>
      <c r="U27">
        <v>28</v>
      </c>
    </row>
    <row r="28" spans="1:21" x14ac:dyDescent="0.25">
      <c r="A28">
        <v>27</v>
      </c>
      <c r="B28">
        <v>307</v>
      </c>
      <c r="C28" t="s">
        <v>20</v>
      </c>
      <c r="D28">
        <v>37</v>
      </c>
      <c r="E28" t="s">
        <v>21</v>
      </c>
      <c r="F28" t="s">
        <v>22</v>
      </c>
      <c r="G28">
        <v>19897.171321781399</v>
      </c>
      <c r="H28">
        <v>197509557.571228</v>
      </c>
      <c r="I28">
        <v>2580.0685632693298</v>
      </c>
      <c r="J28">
        <v>112809362.011813</v>
      </c>
      <c r="K28">
        <v>0.17285851529582799</v>
      </c>
      <c r="L28">
        <v>4.73769265859409E-2</v>
      </c>
      <c r="M28">
        <v>-2.9772422947125201E-2</v>
      </c>
      <c r="N28">
        <v>3.5286910071718899E-3</v>
      </c>
      <c r="O28">
        <v>0.447276263540062</v>
      </c>
      <c r="P28">
        <v>0.12586778875504701</v>
      </c>
      <c r="Q28">
        <v>0.60556325404594502</v>
      </c>
      <c r="R28">
        <v>0.23885639939505501</v>
      </c>
      <c r="S28">
        <v>0.75008581344792102</v>
      </c>
      <c r="T28">
        <v>0.187457085912004</v>
      </c>
      <c r="U28">
        <v>27</v>
      </c>
    </row>
    <row r="29" spans="1:21" x14ac:dyDescent="0.25">
      <c r="A29">
        <v>28</v>
      </c>
      <c r="B29">
        <v>308</v>
      </c>
      <c r="C29" t="s">
        <v>20</v>
      </c>
      <c r="D29">
        <v>37</v>
      </c>
      <c r="E29" t="s">
        <v>21</v>
      </c>
      <c r="F29" t="s">
        <v>22</v>
      </c>
      <c r="G29">
        <v>19501.817677887499</v>
      </c>
      <c r="H29">
        <v>211231158.37756401</v>
      </c>
      <c r="I29">
        <v>4264.0687562739904</v>
      </c>
      <c r="J29">
        <v>138631924.689307</v>
      </c>
      <c r="K29">
        <v>0.15607279065822499</v>
      </c>
      <c r="L29">
        <v>5.5849142576793E-2</v>
      </c>
      <c r="M29">
        <v>-3.2577310797066897E-2</v>
      </c>
      <c r="N29">
        <v>3.35072787371742E-3</v>
      </c>
      <c r="O29">
        <v>0.415646079824326</v>
      </c>
      <c r="P29">
        <v>0.146128588381432</v>
      </c>
      <c r="Q29">
        <v>0.57173452932876401</v>
      </c>
      <c r="R29">
        <v>0.244854157302339</v>
      </c>
      <c r="S29">
        <v>0.36516075388026598</v>
      </c>
      <c r="T29">
        <v>0.23181837770622801</v>
      </c>
      <c r="U29">
        <v>10</v>
      </c>
    </row>
    <row r="30" spans="1:21" x14ac:dyDescent="0.25">
      <c r="A30">
        <v>29</v>
      </c>
      <c r="B30">
        <v>309</v>
      </c>
      <c r="C30" t="s">
        <v>20</v>
      </c>
      <c r="D30">
        <v>37</v>
      </c>
      <c r="E30" t="s">
        <v>21</v>
      </c>
      <c r="F30" t="s">
        <v>22</v>
      </c>
      <c r="G30">
        <v>26747.7461631398</v>
      </c>
      <c r="H30">
        <v>141678464.96414399</v>
      </c>
      <c r="I30">
        <v>-1816.3518047868999</v>
      </c>
      <c r="J30">
        <v>63873602.637371503</v>
      </c>
      <c r="K30">
        <v>0.28563923776622402</v>
      </c>
      <c r="L30">
        <v>2.5734867582951799E-2</v>
      </c>
      <c r="M30">
        <v>-1.51548642378448E-2</v>
      </c>
      <c r="N30">
        <v>2.7017495509798501E-3</v>
      </c>
      <c r="O30">
        <v>0.640370419443546</v>
      </c>
      <c r="P30">
        <v>5.83549689821301E-2</v>
      </c>
      <c r="Q30">
        <v>0.84451595152936099</v>
      </c>
      <c r="R30">
        <v>0.131308759141924</v>
      </c>
      <c r="S30">
        <v>0.79690658755696997</v>
      </c>
      <c r="T30">
        <v>0.161846478265153</v>
      </c>
      <c r="U30">
        <v>35</v>
      </c>
    </row>
    <row r="31" spans="1:21" x14ac:dyDescent="0.25">
      <c r="A31">
        <v>30</v>
      </c>
      <c r="B31">
        <v>310</v>
      </c>
      <c r="C31" t="s">
        <v>20</v>
      </c>
      <c r="D31">
        <v>37</v>
      </c>
      <c r="E31" t="s">
        <v>21</v>
      </c>
      <c r="F31" t="s">
        <v>22</v>
      </c>
      <c r="G31">
        <v>24212.4560148448</v>
      </c>
      <c r="H31">
        <v>180445938.144346</v>
      </c>
      <c r="I31">
        <v>-102.665837214172</v>
      </c>
      <c r="J31">
        <v>73716800.078042805</v>
      </c>
      <c r="K31">
        <v>0.230915198527854</v>
      </c>
      <c r="L31">
        <v>2.7654561603162101E-2</v>
      </c>
      <c r="M31">
        <v>-3.5238698137613197E-2</v>
      </c>
      <c r="N31">
        <v>2.6755598902002999E-3</v>
      </c>
      <c r="O31">
        <v>0.569526870715101</v>
      </c>
      <c r="P31">
        <v>7.5063156255507496E-2</v>
      </c>
      <c r="Q31">
        <v>0.74608735991405595</v>
      </c>
      <c r="R31">
        <v>0.189441011290338</v>
      </c>
      <c r="S31">
        <v>0.74019093195302399</v>
      </c>
      <c r="T31">
        <v>0.19230831620795799</v>
      </c>
      <c r="U31">
        <v>32</v>
      </c>
    </row>
    <row r="32" spans="1:21" x14ac:dyDescent="0.25">
      <c r="A32">
        <v>31</v>
      </c>
      <c r="B32">
        <v>401</v>
      </c>
      <c r="C32" t="s">
        <v>20</v>
      </c>
      <c r="D32">
        <v>37</v>
      </c>
      <c r="E32" t="s">
        <v>21</v>
      </c>
      <c r="F32" t="s">
        <v>22</v>
      </c>
      <c r="G32">
        <v>14752.336490850401</v>
      </c>
      <c r="H32">
        <v>150014156.78669101</v>
      </c>
      <c r="I32">
        <v>6197.8211114205196</v>
      </c>
      <c r="J32">
        <v>118513609.18678699</v>
      </c>
      <c r="K32">
        <v>0.15539448276613099</v>
      </c>
      <c r="L32">
        <v>4.8235046554776E-2</v>
      </c>
      <c r="M32">
        <v>-3.8731737027481401E-2</v>
      </c>
      <c r="N32">
        <v>2.4125327454428899E-3</v>
      </c>
      <c r="O32">
        <v>0.41634722196540502</v>
      </c>
      <c r="P32">
        <v>0.11986503404583899</v>
      </c>
      <c r="Q32">
        <v>0.51001076426264802</v>
      </c>
      <c r="R32">
        <v>0.24989978459885701</v>
      </c>
      <c r="S32">
        <v>0.67190527448869797</v>
      </c>
      <c r="T32">
        <v>0.22044857660303499</v>
      </c>
      <c r="U32">
        <v>24</v>
      </c>
    </row>
    <row r="33" spans="1:21" x14ac:dyDescent="0.25">
      <c r="A33">
        <v>32</v>
      </c>
      <c r="B33">
        <v>402</v>
      </c>
      <c r="C33" t="s">
        <v>20</v>
      </c>
      <c r="D33">
        <v>37</v>
      </c>
      <c r="E33" t="s">
        <v>21</v>
      </c>
      <c r="F33" t="s">
        <v>22</v>
      </c>
      <c r="G33">
        <v>9685.2617213663798</v>
      </c>
      <c r="H33">
        <v>125096767.528035</v>
      </c>
      <c r="I33">
        <v>14007.3504445653</v>
      </c>
      <c r="J33">
        <v>110112796.15686999</v>
      </c>
      <c r="K33">
        <v>-5.4726079115063199E-2</v>
      </c>
      <c r="L33">
        <v>4.67473805144826E-2</v>
      </c>
      <c r="M33">
        <v>-9.0051041655030806E-2</v>
      </c>
      <c r="N33">
        <v>2.7658104963350998E-3</v>
      </c>
      <c r="O33">
        <v>0.132194256924134</v>
      </c>
      <c r="P33">
        <v>0.11726921344362901</v>
      </c>
      <c r="Q33">
        <v>0.26613481963448499</v>
      </c>
      <c r="R33">
        <v>0.195307077412605</v>
      </c>
      <c r="S33">
        <v>0.76826380250693704</v>
      </c>
      <c r="T33">
        <v>0.178034532264679</v>
      </c>
      <c r="U33">
        <v>49</v>
      </c>
    </row>
    <row r="34" spans="1:21" x14ac:dyDescent="0.25">
      <c r="A34">
        <v>33</v>
      </c>
      <c r="B34">
        <v>403</v>
      </c>
      <c r="C34" t="s">
        <v>20</v>
      </c>
      <c r="D34">
        <v>37</v>
      </c>
      <c r="E34" t="s">
        <v>21</v>
      </c>
      <c r="F34" t="s">
        <v>22</v>
      </c>
      <c r="G34">
        <v>20981.385223510501</v>
      </c>
      <c r="H34">
        <v>168422385.16694799</v>
      </c>
      <c r="I34">
        <v>1716.46606679108</v>
      </c>
      <c r="J34">
        <v>85761159.199607104</v>
      </c>
      <c r="K34">
        <v>0.18957429526010999</v>
      </c>
      <c r="L34">
        <v>3.4510558010685803E-2</v>
      </c>
      <c r="M34">
        <v>-3.2859251619460898E-2</v>
      </c>
      <c r="N34">
        <v>3.3968840906940202E-3</v>
      </c>
      <c r="O34">
        <v>0.50901741602735395</v>
      </c>
      <c r="P34">
        <v>9.3540678875246794E-2</v>
      </c>
      <c r="Q34">
        <v>0.69276281833402598</v>
      </c>
      <c r="R34">
        <v>0.212842495868067</v>
      </c>
      <c r="S34">
        <v>0.76264209373465797</v>
      </c>
      <c r="T34">
        <v>0.181019130598638</v>
      </c>
      <c r="U34">
        <v>32</v>
      </c>
    </row>
    <row r="35" spans="1:21" x14ac:dyDescent="0.25">
      <c r="A35">
        <v>34</v>
      </c>
      <c r="B35">
        <v>404</v>
      </c>
      <c r="C35" t="s">
        <v>20</v>
      </c>
      <c r="D35">
        <v>37</v>
      </c>
      <c r="E35" t="s">
        <v>21</v>
      </c>
      <c r="F35" t="s">
        <v>22</v>
      </c>
      <c r="G35">
        <v>16455.219940437</v>
      </c>
      <c r="H35">
        <v>175827005.27884299</v>
      </c>
      <c r="I35">
        <v>5839.9000862604298</v>
      </c>
      <c r="J35">
        <v>121756239.827821</v>
      </c>
      <c r="K35">
        <v>6.5761877261507104E-2</v>
      </c>
      <c r="L35">
        <v>5.2206453641643703E-2</v>
      </c>
      <c r="M35">
        <v>-6.5650878839183399E-2</v>
      </c>
      <c r="N35">
        <v>3.2907339874061201E-3</v>
      </c>
      <c r="O35">
        <v>0.31969321006503298</v>
      </c>
      <c r="P35">
        <v>0.146219718390007</v>
      </c>
      <c r="Q35">
        <v>0.475798060017462</v>
      </c>
      <c r="R35">
        <v>0.24941426610133999</v>
      </c>
      <c r="S35">
        <v>0.76606585415445705</v>
      </c>
      <c r="T35">
        <v>0.179208961253252</v>
      </c>
      <c r="U35">
        <v>54</v>
      </c>
    </row>
    <row r="36" spans="1:21" x14ac:dyDescent="0.25">
      <c r="A36">
        <v>35</v>
      </c>
      <c r="B36">
        <v>405</v>
      </c>
      <c r="C36" t="s">
        <v>20</v>
      </c>
      <c r="D36">
        <v>37</v>
      </c>
      <c r="E36" t="s">
        <v>21</v>
      </c>
      <c r="F36" t="s">
        <v>22</v>
      </c>
      <c r="G36">
        <v>9582.5694837864103</v>
      </c>
      <c r="H36">
        <v>122201964.15661401</v>
      </c>
      <c r="I36">
        <v>13013.8126967632</v>
      </c>
      <c r="J36">
        <v>109874765.16278701</v>
      </c>
      <c r="K36">
        <v>-8.6424406355284894E-2</v>
      </c>
      <c r="L36">
        <v>5.1966023259233399E-2</v>
      </c>
      <c r="M36">
        <v>-0.10150358647287699</v>
      </c>
      <c r="N36">
        <v>2.98692992911687E-3</v>
      </c>
      <c r="O36">
        <v>7.1527764595755605E-2</v>
      </c>
      <c r="P36">
        <v>0.14554359216380899</v>
      </c>
      <c r="Q36">
        <v>0.26119308332981001</v>
      </c>
      <c r="R36">
        <v>0.19297125655042099</v>
      </c>
      <c r="S36">
        <v>0.85106892712693205</v>
      </c>
      <c r="T36">
        <v>0.126750608405964</v>
      </c>
      <c r="U36">
        <v>78</v>
      </c>
    </row>
    <row r="37" spans="1:21" x14ac:dyDescent="0.25">
      <c r="A37">
        <v>36</v>
      </c>
      <c r="B37">
        <v>406</v>
      </c>
      <c r="C37" t="s">
        <v>20</v>
      </c>
      <c r="D37">
        <v>37</v>
      </c>
      <c r="E37" t="s">
        <v>21</v>
      </c>
      <c r="F37" t="s">
        <v>22</v>
      </c>
      <c r="G37">
        <v>19302.0078849538</v>
      </c>
      <c r="H37">
        <v>164628113.902172</v>
      </c>
      <c r="I37">
        <v>1596.17844715569</v>
      </c>
      <c r="J37">
        <v>95732668.787299797</v>
      </c>
      <c r="K37">
        <v>0.169911924201889</v>
      </c>
      <c r="L37">
        <v>4.2123244387100203E-2</v>
      </c>
      <c r="M37">
        <v>-3.3189433518530903E-2</v>
      </c>
      <c r="N37">
        <v>3.4958303550723102E-3</v>
      </c>
      <c r="O37">
        <v>0.46377239756807698</v>
      </c>
      <c r="P37">
        <v>0.118324195349419</v>
      </c>
      <c r="Q37">
        <v>0.64892111077301695</v>
      </c>
      <c r="R37">
        <v>0.22782250276625701</v>
      </c>
      <c r="S37">
        <v>0.88355140434201695</v>
      </c>
      <c r="T37">
        <v>0.102888320227337</v>
      </c>
      <c r="U37">
        <v>41</v>
      </c>
    </row>
    <row r="38" spans="1:21" x14ac:dyDescent="0.25">
      <c r="A38">
        <v>37</v>
      </c>
      <c r="B38">
        <v>407</v>
      </c>
      <c r="C38" t="s">
        <v>20</v>
      </c>
      <c r="D38">
        <v>37</v>
      </c>
      <c r="E38" t="s">
        <v>21</v>
      </c>
      <c r="F38" t="s">
        <v>22</v>
      </c>
      <c r="G38">
        <v>7443.1403400421405</v>
      </c>
      <c r="H38">
        <v>109632461.650978</v>
      </c>
      <c r="I38">
        <v>15735.4534281712</v>
      </c>
      <c r="J38">
        <v>79950338.265194505</v>
      </c>
      <c r="K38">
        <v>-0.13341958605927601</v>
      </c>
      <c r="L38">
        <v>3.1902398932567397E-2</v>
      </c>
      <c r="M38">
        <v>-0.10439259424703901</v>
      </c>
      <c r="N38">
        <v>2.3204922799178701E-3</v>
      </c>
      <c r="O38">
        <v>-1.71491221766846E-2</v>
      </c>
      <c r="P38">
        <v>9.2541048167982407E-2</v>
      </c>
      <c r="Q38">
        <v>0.13679188161495801</v>
      </c>
      <c r="R38">
        <v>0.118079862739459</v>
      </c>
      <c r="S38">
        <v>0.72240790525321497</v>
      </c>
      <c r="T38">
        <v>0.20053472368087399</v>
      </c>
      <c r="U38">
        <v>65</v>
      </c>
    </row>
    <row r="39" spans="1:21" x14ac:dyDescent="0.25">
      <c r="A39">
        <v>38</v>
      </c>
      <c r="B39">
        <v>408</v>
      </c>
      <c r="C39" t="s">
        <v>20</v>
      </c>
      <c r="D39">
        <v>37</v>
      </c>
      <c r="E39" t="s">
        <v>21</v>
      </c>
      <c r="F39" t="s">
        <v>22</v>
      </c>
      <c r="G39">
        <v>21879.6932397196</v>
      </c>
      <c r="H39">
        <v>180073310.77943701</v>
      </c>
      <c r="I39">
        <v>553.18584280290099</v>
      </c>
      <c r="J39">
        <v>96806474.454741493</v>
      </c>
      <c r="K39">
        <v>0.22593191326499201</v>
      </c>
      <c r="L39">
        <v>4.4351703832871098E-2</v>
      </c>
      <c r="M39">
        <v>-1.20192111634856E-2</v>
      </c>
      <c r="N39">
        <v>4.0911202846152604E-3</v>
      </c>
      <c r="O39">
        <v>0.52659932060064296</v>
      </c>
      <c r="P39">
        <v>0.105735226471185</v>
      </c>
      <c r="Q39">
        <v>0.70644451355165905</v>
      </c>
      <c r="R39">
        <v>0.20738066282446599</v>
      </c>
      <c r="S39">
        <v>0.66880367437743704</v>
      </c>
      <c r="T39">
        <v>0.22150531951673999</v>
      </c>
      <c r="U39">
        <v>24</v>
      </c>
    </row>
    <row r="40" spans="1:21" x14ac:dyDescent="0.25">
      <c r="A40">
        <v>39</v>
      </c>
      <c r="B40">
        <v>410</v>
      </c>
      <c r="C40" t="s">
        <v>20</v>
      </c>
      <c r="D40">
        <v>37</v>
      </c>
      <c r="E40" t="s">
        <v>21</v>
      </c>
      <c r="F40" t="s">
        <v>22</v>
      </c>
      <c r="G40">
        <v>18811.803124999999</v>
      </c>
      <c r="H40">
        <v>192787687.97063601</v>
      </c>
      <c r="I40">
        <v>3436.3338517459301</v>
      </c>
      <c r="J40">
        <v>93484016.553933993</v>
      </c>
      <c r="K40">
        <v>0.161419915737538</v>
      </c>
      <c r="L40">
        <v>3.1938586638650603E-2</v>
      </c>
      <c r="M40">
        <v>-4.2603682045507102E-2</v>
      </c>
      <c r="N40">
        <v>2.60368788648667E-3</v>
      </c>
      <c r="O40">
        <v>0.44416917779994702</v>
      </c>
      <c r="P40">
        <v>9.7276617909939203E-2</v>
      </c>
      <c r="Q40">
        <v>0.56566422594142296</v>
      </c>
      <c r="R40">
        <v>0.24568820943181</v>
      </c>
      <c r="S40">
        <v>0.82502615062761497</v>
      </c>
      <c r="T40">
        <v>0.14435800140805699</v>
      </c>
      <c r="U40">
        <v>43</v>
      </c>
    </row>
    <row r="41" spans="1:21" x14ac:dyDescent="0.25">
      <c r="A41">
        <v>40</v>
      </c>
      <c r="B41">
        <v>409</v>
      </c>
      <c r="C41" t="s">
        <v>20</v>
      </c>
      <c r="D41">
        <v>37</v>
      </c>
      <c r="E41" t="s">
        <v>21</v>
      </c>
      <c r="F41" t="s">
        <v>22</v>
      </c>
      <c r="G41">
        <v>25515.897984811301</v>
      </c>
      <c r="H41">
        <v>152109533.669339</v>
      </c>
      <c r="I41">
        <v>-877.07451378691303</v>
      </c>
      <c r="J41">
        <v>52600336.598922201</v>
      </c>
      <c r="K41">
        <v>0.26598731634697798</v>
      </c>
      <c r="L41">
        <v>2.4200935123910802E-2</v>
      </c>
      <c r="M41">
        <v>-1.0387854410733E-2</v>
      </c>
      <c r="N41">
        <v>3.3282371428457799E-3</v>
      </c>
      <c r="O41">
        <v>0.61585715576977096</v>
      </c>
      <c r="P41">
        <v>5.060010042562E-2</v>
      </c>
      <c r="Q41">
        <v>0.84551814865753705</v>
      </c>
      <c r="R41">
        <v>0.13061720894824</v>
      </c>
      <c r="S41">
        <v>0.76797225378221601</v>
      </c>
      <c r="T41">
        <v>0.17819087120291</v>
      </c>
      <c r="U41">
        <v>51</v>
      </c>
    </row>
    <row r="42" spans="1:21" x14ac:dyDescent="0.25">
      <c r="A42">
        <v>41</v>
      </c>
      <c r="B42">
        <v>501</v>
      </c>
      <c r="C42" t="s">
        <v>20</v>
      </c>
      <c r="D42">
        <v>37</v>
      </c>
      <c r="E42" t="s">
        <v>21</v>
      </c>
      <c r="F42" t="s">
        <v>22</v>
      </c>
      <c r="G42">
        <v>15407.3874192777</v>
      </c>
      <c r="H42">
        <v>187682633.02998501</v>
      </c>
      <c r="I42">
        <v>6912.7920280631997</v>
      </c>
      <c r="J42">
        <v>120567933.770283</v>
      </c>
      <c r="K42">
        <v>0.12574410901172101</v>
      </c>
      <c r="L42">
        <v>4.1405794512918197E-2</v>
      </c>
      <c r="M42">
        <v>-4.7963713138999303E-2</v>
      </c>
      <c r="N42">
        <v>2.0877489977789098E-3</v>
      </c>
      <c r="O42">
        <v>0.38690071157921302</v>
      </c>
      <c r="P42">
        <v>0.116899777183429</v>
      </c>
      <c r="Q42">
        <v>0.475173403491988</v>
      </c>
      <c r="R42">
        <v>0.24938364010591699</v>
      </c>
      <c r="S42">
        <v>0.447476680220043</v>
      </c>
      <c r="T42">
        <v>0.247241300879152</v>
      </c>
      <c r="U42">
        <v>9</v>
      </c>
    </row>
    <row r="43" spans="1:21" x14ac:dyDescent="0.25">
      <c r="A43">
        <v>42</v>
      </c>
      <c r="B43">
        <v>502</v>
      </c>
      <c r="C43" t="s">
        <v>20</v>
      </c>
      <c r="D43">
        <v>37</v>
      </c>
      <c r="E43" t="s">
        <v>21</v>
      </c>
      <c r="F43" t="s">
        <v>22</v>
      </c>
      <c r="G43">
        <v>24324.9489684865</v>
      </c>
      <c r="H43">
        <v>178984041.50919199</v>
      </c>
      <c r="I43">
        <v>556.65273721884103</v>
      </c>
      <c r="J43">
        <v>110726628.677743</v>
      </c>
      <c r="K43">
        <v>0.23535151226065401</v>
      </c>
      <c r="L43">
        <v>4.0103782286128799E-2</v>
      </c>
      <c r="M43">
        <v>-3.0825058686371198E-2</v>
      </c>
      <c r="N43">
        <v>2.8497910790653501E-3</v>
      </c>
      <c r="O43">
        <v>0.56490135380698603</v>
      </c>
      <c r="P43">
        <v>9.39661249395978E-2</v>
      </c>
      <c r="Q43">
        <v>0.72659211863899997</v>
      </c>
      <c r="R43">
        <v>0.198656011770621</v>
      </c>
      <c r="S43">
        <v>0.63679961729354795</v>
      </c>
      <c r="T43">
        <v>0.23128586470857301</v>
      </c>
      <c r="U43">
        <v>16</v>
      </c>
    </row>
    <row r="44" spans="1:21" x14ac:dyDescent="0.25">
      <c r="A44">
        <v>43</v>
      </c>
      <c r="B44">
        <v>503</v>
      </c>
      <c r="C44" t="s">
        <v>20</v>
      </c>
      <c r="D44">
        <v>37</v>
      </c>
      <c r="E44" t="s">
        <v>21</v>
      </c>
      <c r="F44" t="s">
        <v>22</v>
      </c>
      <c r="G44">
        <v>27274.4034804449</v>
      </c>
      <c r="H44">
        <v>192880206.09220901</v>
      </c>
      <c r="I44">
        <v>-1140.1839336912301</v>
      </c>
      <c r="J44">
        <v>89603849.316657707</v>
      </c>
      <c r="K44">
        <v>0.230704168237132</v>
      </c>
      <c r="L44">
        <v>2.72029990039796E-2</v>
      </c>
      <c r="M44">
        <v>-3.3661771979450097E-2</v>
      </c>
      <c r="N44">
        <v>2.8752256686996398E-3</v>
      </c>
      <c r="O44">
        <v>0.59645920179812495</v>
      </c>
      <c r="P44">
        <v>7.5239060259731996E-2</v>
      </c>
      <c r="Q44">
        <v>0.78711876569788297</v>
      </c>
      <c r="R44">
        <v>0.167562814384073</v>
      </c>
      <c r="S44">
        <v>0.64924052146872402</v>
      </c>
      <c r="T44">
        <v>0.227727266751691</v>
      </c>
      <c r="U44">
        <v>32</v>
      </c>
    </row>
    <row r="45" spans="1:21" x14ac:dyDescent="0.25">
      <c r="A45">
        <v>44</v>
      </c>
      <c r="B45">
        <v>504</v>
      </c>
      <c r="C45" t="s">
        <v>20</v>
      </c>
      <c r="D45">
        <v>37</v>
      </c>
      <c r="E45" t="s">
        <v>21</v>
      </c>
      <c r="F45" t="s">
        <v>22</v>
      </c>
      <c r="G45">
        <v>21896.832183454098</v>
      </c>
      <c r="H45">
        <v>187006870.65652001</v>
      </c>
      <c r="I45">
        <v>1380.41349124209</v>
      </c>
      <c r="J45">
        <v>118038373.27093101</v>
      </c>
      <c r="K45">
        <v>0.20276454912424699</v>
      </c>
      <c r="L45">
        <v>4.4816240803151997E-2</v>
      </c>
      <c r="M45">
        <v>-3.0173586577754302E-2</v>
      </c>
      <c r="N45">
        <v>3.5822114398693199E-3</v>
      </c>
      <c r="O45">
        <v>0.49978683522587902</v>
      </c>
      <c r="P45">
        <v>0.111901480024405</v>
      </c>
      <c r="Q45">
        <v>0.67440109598509101</v>
      </c>
      <c r="R45">
        <v>0.21958425771905499</v>
      </c>
      <c r="S45">
        <v>0.44375053997013197</v>
      </c>
      <c r="T45">
        <v>0.24683599824640401</v>
      </c>
      <c r="U45">
        <v>22</v>
      </c>
    </row>
    <row r="46" spans="1:21" x14ac:dyDescent="0.25">
      <c r="A46">
        <v>45</v>
      </c>
      <c r="B46">
        <v>505</v>
      </c>
      <c r="C46" t="s">
        <v>20</v>
      </c>
      <c r="D46">
        <v>37</v>
      </c>
      <c r="E46" t="s">
        <v>21</v>
      </c>
      <c r="F46" t="s">
        <v>22</v>
      </c>
      <c r="G46">
        <v>24399.680478316499</v>
      </c>
      <c r="H46">
        <v>162077788.543686</v>
      </c>
      <c r="I46">
        <v>-1565.5092433465099</v>
      </c>
      <c r="J46">
        <v>84895249.995834604</v>
      </c>
      <c r="K46">
        <v>0.24499748776907199</v>
      </c>
      <c r="L46">
        <v>3.64793981046714E-2</v>
      </c>
      <c r="M46">
        <v>-2.1351569084479001E-2</v>
      </c>
      <c r="N46">
        <v>3.3072995548626598E-3</v>
      </c>
      <c r="O46">
        <v>0.57484256830237301</v>
      </c>
      <c r="P46">
        <v>8.9218960412843606E-2</v>
      </c>
      <c r="Q46">
        <v>0.77751233649252005</v>
      </c>
      <c r="R46">
        <v>0.172986903094555</v>
      </c>
      <c r="S46">
        <v>0.75594631993942696</v>
      </c>
      <c r="T46">
        <v>0.184491481309151</v>
      </c>
      <c r="U46">
        <v>30</v>
      </c>
    </row>
    <row r="47" spans="1:21" x14ac:dyDescent="0.25">
      <c r="A47">
        <v>46</v>
      </c>
      <c r="B47">
        <v>506</v>
      </c>
      <c r="C47" t="s">
        <v>20</v>
      </c>
      <c r="D47">
        <v>37</v>
      </c>
      <c r="E47" t="s">
        <v>21</v>
      </c>
      <c r="F47" t="s">
        <v>22</v>
      </c>
      <c r="G47">
        <v>21004.484212171701</v>
      </c>
      <c r="H47">
        <v>185829181.55021599</v>
      </c>
      <c r="I47">
        <v>1577.75882619451</v>
      </c>
      <c r="J47">
        <v>123988936.75199901</v>
      </c>
      <c r="K47">
        <v>0.19507777384684799</v>
      </c>
      <c r="L47">
        <v>5.3441190193063197E-2</v>
      </c>
      <c r="M47">
        <v>-3.1525179511040897E-2</v>
      </c>
      <c r="N47">
        <v>3.50259338356196E-3</v>
      </c>
      <c r="O47">
        <v>0.481998400175355</v>
      </c>
      <c r="P47">
        <v>0.13726336111529899</v>
      </c>
      <c r="Q47">
        <v>0.65768288870362601</v>
      </c>
      <c r="R47">
        <v>0.22513610661</v>
      </c>
      <c r="S47">
        <v>0.75295696123384703</v>
      </c>
      <c r="T47">
        <v>0.18601277576334899</v>
      </c>
      <c r="U47">
        <v>24</v>
      </c>
    </row>
    <row r="48" spans="1:21" x14ac:dyDescent="0.25">
      <c r="A48">
        <v>47</v>
      </c>
      <c r="B48">
        <v>510</v>
      </c>
      <c r="C48" t="s">
        <v>20</v>
      </c>
      <c r="D48">
        <v>37</v>
      </c>
      <c r="E48" t="s">
        <v>21</v>
      </c>
      <c r="F48" t="s">
        <v>22</v>
      </c>
      <c r="G48">
        <v>22609.4675719718</v>
      </c>
      <c r="H48">
        <v>154948264.385369</v>
      </c>
      <c r="I48">
        <v>-16.252404557384999</v>
      </c>
      <c r="J48">
        <v>72440857.150352105</v>
      </c>
      <c r="K48">
        <v>0.25740847460118899</v>
      </c>
      <c r="L48">
        <v>2.9577559116744902E-2</v>
      </c>
      <c r="M48">
        <v>-2.60206498359591E-2</v>
      </c>
      <c r="N48">
        <v>2.7293542489085299E-3</v>
      </c>
      <c r="O48">
        <v>0.58393925429739801</v>
      </c>
      <c r="P48">
        <v>7.6812213393088705E-2</v>
      </c>
      <c r="Q48">
        <v>0.7393536121673</v>
      </c>
      <c r="R48">
        <v>0.192709848342282</v>
      </c>
      <c r="S48">
        <v>0.73193916349809895</v>
      </c>
      <c r="T48">
        <v>0.19620422443602101</v>
      </c>
      <c r="U48">
        <v>30</v>
      </c>
    </row>
    <row r="49" spans="1:21" x14ac:dyDescent="0.25">
      <c r="A49">
        <v>48</v>
      </c>
      <c r="B49">
        <v>509</v>
      </c>
      <c r="C49" t="s">
        <v>20</v>
      </c>
      <c r="D49">
        <v>37</v>
      </c>
      <c r="E49" t="s">
        <v>21</v>
      </c>
      <c r="F49" t="s">
        <v>22</v>
      </c>
      <c r="G49">
        <v>21693.141607891401</v>
      </c>
      <c r="H49">
        <v>130831425.566864</v>
      </c>
      <c r="I49">
        <v>290.60005028840698</v>
      </c>
      <c r="J49">
        <v>84376078.962021694</v>
      </c>
      <c r="K49">
        <v>0.28275774647771201</v>
      </c>
      <c r="L49">
        <v>4.13867255089371E-2</v>
      </c>
      <c r="M49">
        <v>-1.01916765346114E-2</v>
      </c>
      <c r="N49">
        <v>3.0324253617287299E-3</v>
      </c>
      <c r="O49">
        <v>0.59028839981709902</v>
      </c>
      <c r="P49">
        <v>9.2550310280446205E-2</v>
      </c>
      <c r="Q49">
        <v>0.748491746588548</v>
      </c>
      <c r="R49">
        <v>0.188251851877271</v>
      </c>
      <c r="S49">
        <v>0.67363262056697903</v>
      </c>
      <c r="T49">
        <v>0.21985171307490001</v>
      </c>
      <c r="U49">
        <v>39</v>
      </c>
    </row>
    <row r="50" spans="1:21" x14ac:dyDescent="0.25">
      <c r="A50">
        <v>49</v>
      </c>
      <c r="B50">
        <v>508</v>
      </c>
      <c r="C50" t="s">
        <v>20</v>
      </c>
      <c r="D50">
        <v>37</v>
      </c>
      <c r="E50" t="s">
        <v>21</v>
      </c>
      <c r="F50" t="s">
        <v>22</v>
      </c>
      <c r="G50">
        <v>21681.0561542418</v>
      </c>
      <c r="H50">
        <v>194838573.843142</v>
      </c>
      <c r="I50">
        <v>2439.8641779719901</v>
      </c>
      <c r="J50">
        <v>125110167.67700399</v>
      </c>
      <c r="K50">
        <v>0.17573920478784799</v>
      </c>
      <c r="L50">
        <v>5.7762137534916699E-2</v>
      </c>
      <c r="M50">
        <v>-3.7511807996294902E-2</v>
      </c>
      <c r="N50">
        <v>3.7915922616844301E-3</v>
      </c>
      <c r="O50">
        <v>0.46220702076921999</v>
      </c>
      <c r="P50">
        <v>0.13850651624559801</v>
      </c>
      <c r="Q50">
        <v>0.64150988529942998</v>
      </c>
      <c r="R50">
        <v>0.229974952362417</v>
      </c>
      <c r="S50">
        <v>0.58636032006123695</v>
      </c>
      <c r="T50">
        <v>0.24254189511896501</v>
      </c>
      <c r="U50">
        <v>26</v>
      </c>
    </row>
    <row r="51" spans="1:21" x14ac:dyDescent="0.25">
      <c r="A51">
        <v>50</v>
      </c>
      <c r="B51">
        <v>507</v>
      </c>
      <c r="C51" t="s">
        <v>20</v>
      </c>
      <c r="D51">
        <v>37</v>
      </c>
      <c r="E51" t="s">
        <v>21</v>
      </c>
      <c r="F51" t="s">
        <v>22</v>
      </c>
      <c r="G51">
        <v>20705.569463853299</v>
      </c>
      <c r="H51">
        <v>171422952.017654</v>
      </c>
      <c r="I51">
        <v>1584.6958922409799</v>
      </c>
      <c r="J51">
        <v>111419841.744992</v>
      </c>
      <c r="K51">
        <v>0.20362979827108099</v>
      </c>
      <c r="L51">
        <v>5.4632195337376503E-2</v>
      </c>
      <c r="M51">
        <v>-2.8689024060863801E-2</v>
      </c>
      <c r="N51">
        <v>3.7265023679307402E-3</v>
      </c>
      <c r="O51">
        <v>0.485671634766912</v>
      </c>
      <c r="P51">
        <v>0.130237056921472</v>
      </c>
      <c r="Q51">
        <v>0.67028709789000396</v>
      </c>
      <c r="R51">
        <v>0.221002304292365</v>
      </c>
      <c r="S51">
        <v>0.55157384987893499</v>
      </c>
      <c r="T51">
        <v>0.24734013800849899</v>
      </c>
      <c r="U51">
        <v>14</v>
      </c>
    </row>
    <row r="52" spans="1:21" x14ac:dyDescent="0.25">
      <c r="A52">
        <v>51</v>
      </c>
      <c r="B52">
        <v>601</v>
      </c>
      <c r="C52" t="s">
        <v>20</v>
      </c>
      <c r="D52">
        <v>37</v>
      </c>
      <c r="E52" t="s">
        <v>21</v>
      </c>
      <c r="F52" t="s">
        <v>22</v>
      </c>
      <c r="G52">
        <v>11388.9607348315</v>
      </c>
      <c r="H52">
        <v>153621774.74004599</v>
      </c>
      <c r="I52">
        <v>9754.9951195806498</v>
      </c>
      <c r="J52">
        <v>113356528.005878</v>
      </c>
      <c r="K52">
        <v>6.81213318739287E-2</v>
      </c>
      <c r="L52">
        <v>4.4406301098840098E-2</v>
      </c>
      <c r="M52">
        <v>-5.9116912038102702E-2</v>
      </c>
      <c r="N52">
        <v>2.1919431340845499E-3</v>
      </c>
      <c r="O52">
        <v>0.28312335979244702</v>
      </c>
      <c r="P52">
        <v>0.122230755399893</v>
      </c>
      <c r="Q52">
        <v>0.354642331750607</v>
      </c>
      <c r="R52">
        <v>0.22887114828126501</v>
      </c>
      <c r="S52">
        <v>0.53787181112533</v>
      </c>
      <c r="T52">
        <v>0.24856572592204501</v>
      </c>
      <c r="U52">
        <v>15</v>
      </c>
    </row>
    <row r="53" spans="1:21" x14ac:dyDescent="0.25">
      <c r="A53">
        <v>52</v>
      </c>
      <c r="B53">
        <v>602</v>
      </c>
      <c r="C53" t="s">
        <v>20</v>
      </c>
      <c r="D53">
        <v>37</v>
      </c>
      <c r="E53" t="s">
        <v>21</v>
      </c>
      <c r="F53" t="s">
        <v>22</v>
      </c>
      <c r="G53">
        <v>16525.5272965609</v>
      </c>
      <c r="H53">
        <v>175311047.26853099</v>
      </c>
      <c r="I53">
        <v>6242.09673781528</v>
      </c>
      <c r="J53">
        <v>129816264.646455</v>
      </c>
      <c r="K53">
        <v>0.127896488513534</v>
      </c>
      <c r="L53">
        <v>4.9684517786044401E-2</v>
      </c>
      <c r="M53">
        <v>-4.8409860043991199E-2</v>
      </c>
      <c r="N53">
        <v>2.8480268986002099E-3</v>
      </c>
      <c r="O53">
        <v>0.38320639936147899</v>
      </c>
      <c r="P53">
        <v>0.12760838458638299</v>
      </c>
      <c r="Q53">
        <v>0.51046111139670003</v>
      </c>
      <c r="R53">
        <v>0.249890565148424</v>
      </c>
      <c r="S53">
        <v>0.40758494833701697</v>
      </c>
      <c r="T53">
        <v>0.24145945822588599</v>
      </c>
      <c r="U53">
        <v>12</v>
      </c>
    </row>
    <row r="54" spans="1:21" x14ac:dyDescent="0.25">
      <c r="A54">
        <v>53</v>
      </c>
      <c r="B54">
        <v>603</v>
      </c>
      <c r="C54" t="s">
        <v>20</v>
      </c>
      <c r="D54">
        <v>37</v>
      </c>
      <c r="E54" t="s">
        <v>21</v>
      </c>
      <c r="F54" t="s">
        <v>22</v>
      </c>
      <c r="G54">
        <v>25481.593951135001</v>
      </c>
      <c r="H54">
        <v>168098163.773783</v>
      </c>
      <c r="I54">
        <v>-954.26098828526403</v>
      </c>
      <c r="J54">
        <v>94265383.008951604</v>
      </c>
      <c r="K54">
        <v>0.24373218681259101</v>
      </c>
      <c r="L54">
        <v>2.9947045347602699E-2</v>
      </c>
      <c r="M54">
        <v>-3.0237386557578402E-2</v>
      </c>
      <c r="N54">
        <v>2.7206010793828801E-3</v>
      </c>
      <c r="O54">
        <v>0.597623592720126</v>
      </c>
      <c r="P54">
        <v>8.4720141938329399E-2</v>
      </c>
      <c r="Q54">
        <v>0.75921795541734105</v>
      </c>
      <c r="R54">
        <v>0.18280605158919699</v>
      </c>
      <c r="S54">
        <v>0.56628133722486296</v>
      </c>
      <c r="T54">
        <v>0.245606784335651</v>
      </c>
      <c r="U54">
        <v>23</v>
      </c>
    </row>
    <row r="55" spans="1:21" x14ac:dyDescent="0.25">
      <c r="A55">
        <v>54</v>
      </c>
      <c r="B55">
        <v>604</v>
      </c>
      <c r="C55" t="s">
        <v>20</v>
      </c>
      <c r="D55">
        <v>37</v>
      </c>
      <c r="E55" t="s">
        <v>21</v>
      </c>
      <c r="F55" t="s">
        <v>22</v>
      </c>
      <c r="G55">
        <v>24815.265192566902</v>
      </c>
      <c r="H55">
        <v>170069168.40316099</v>
      </c>
      <c r="I55">
        <v>-372.895226245598</v>
      </c>
      <c r="J55">
        <v>99241463.798444495</v>
      </c>
      <c r="K55">
        <v>0.21951114572373501</v>
      </c>
      <c r="L55">
        <v>3.69131270744643E-2</v>
      </c>
      <c r="M55">
        <v>-3.3340082367962001E-2</v>
      </c>
      <c r="N55">
        <v>3.3163245720867198E-3</v>
      </c>
      <c r="O55">
        <v>0.55237928175325002</v>
      </c>
      <c r="P55">
        <v>9.4777830120966494E-2</v>
      </c>
      <c r="Q55">
        <v>0.74096640321429497</v>
      </c>
      <c r="R55">
        <v>0.19193519252204799</v>
      </c>
      <c r="S55">
        <v>0.75839919642621101</v>
      </c>
      <c r="T55">
        <v>0.18322985528623101</v>
      </c>
      <c r="U55">
        <v>31</v>
      </c>
    </row>
    <row r="56" spans="1:21" x14ac:dyDescent="0.25">
      <c r="A56">
        <v>55</v>
      </c>
      <c r="B56">
        <v>605</v>
      </c>
      <c r="C56" t="s">
        <v>20</v>
      </c>
      <c r="D56">
        <v>37</v>
      </c>
      <c r="E56" t="s">
        <v>21</v>
      </c>
      <c r="F56" t="s">
        <v>22</v>
      </c>
      <c r="G56">
        <v>19526.0338670198</v>
      </c>
      <c r="H56">
        <v>177110729.479076</v>
      </c>
      <c r="I56">
        <v>3000.1162982640699</v>
      </c>
      <c r="J56">
        <v>120668770.082738</v>
      </c>
      <c r="K56">
        <v>0.166587710574713</v>
      </c>
      <c r="L56">
        <v>5.1268808848735102E-2</v>
      </c>
      <c r="M56">
        <v>-4.1064332728674303E-2</v>
      </c>
      <c r="N56">
        <v>3.1267060499978101E-3</v>
      </c>
      <c r="O56">
        <v>0.44799475953635398</v>
      </c>
      <c r="P56">
        <v>0.143978398374696</v>
      </c>
      <c r="Q56">
        <v>0.61670879980739102</v>
      </c>
      <c r="R56">
        <v>0.23637905604784001</v>
      </c>
      <c r="S56">
        <v>0.87784064309885901</v>
      </c>
      <c r="T56">
        <v>0.107236448422391</v>
      </c>
      <c r="U56">
        <v>49</v>
      </c>
    </row>
    <row r="57" spans="1:21" x14ac:dyDescent="0.25">
      <c r="A57">
        <v>56</v>
      </c>
      <c r="B57">
        <v>606</v>
      </c>
      <c r="C57" t="s">
        <v>20</v>
      </c>
      <c r="D57">
        <v>37</v>
      </c>
      <c r="E57" t="s">
        <v>21</v>
      </c>
      <c r="F57" t="s">
        <v>22</v>
      </c>
      <c r="G57">
        <v>23768.752532542501</v>
      </c>
      <c r="H57">
        <v>177967650.67982501</v>
      </c>
      <c r="I57">
        <v>-503.31348396935198</v>
      </c>
      <c r="J57">
        <v>96738372.721100003</v>
      </c>
      <c r="K57">
        <v>0.215552270328047</v>
      </c>
      <c r="L57">
        <v>3.8467756180814203E-2</v>
      </c>
      <c r="M57">
        <v>-2.8236446477010999E-2</v>
      </c>
      <c r="N57">
        <v>3.4975894557938299E-3</v>
      </c>
      <c r="O57">
        <v>0.54893076006346497</v>
      </c>
      <c r="P57">
        <v>0.10303880625375</v>
      </c>
      <c r="Q57">
        <v>0.74692945622506801</v>
      </c>
      <c r="R57">
        <v>0.189025843648397</v>
      </c>
      <c r="S57">
        <v>0.63394919168591202</v>
      </c>
      <c r="T57">
        <v>0.232057614046877</v>
      </c>
      <c r="U57">
        <v>24</v>
      </c>
    </row>
    <row r="58" spans="1:21" x14ac:dyDescent="0.25">
      <c r="A58">
        <v>57</v>
      </c>
      <c r="B58">
        <v>607</v>
      </c>
      <c r="C58" t="s">
        <v>20</v>
      </c>
      <c r="D58">
        <v>37</v>
      </c>
      <c r="E58" t="s">
        <v>21</v>
      </c>
      <c r="F58" t="s">
        <v>22</v>
      </c>
      <c r="G58">
        <v>17780.335318658399</v>
      </c>
      <c r="H58">
        <v>204404777.60845199</v>
      </c>
      <c r="I58">
        <v>6027.7460578882801</v>
      </c>
      <c r="J58">
        <v>124569423.044503</v>
      </c>
      <c r="K58">
        <v>5.7484997918497899E-2</v>
      </c>
      <c r="L58">
        <v>4.8030551483504803E-2</v>
      </c>
      <c r="M58">
        <v>-6.9282633224351506E-2</v>
      </c>
      <c r="N58">
        <v>2.6854523905307302E-3</v>
      </c>
      <c r="O58">
        <v>0.30567679094947398</v>
      </c>
      <c r="P58">
        <v>0.140701157675097</v>
      </c>
      <c r="Q58">
        <v>0.47348630400175701</v>
      </c>
      <c r="R58">
        <v>0.24929702392452999</v>
      </c>
      <c r="S58">
        <v>0.74448317505626604</v>
      </c>
      <c r="T58">
        <v>0.19022797711424899</v>
      </c>
      <c r="U58">
        <v>26</v>
      </c>
    </row>
    <row r="59" spans="1:21" x14ac:dyDescent="0.25">
      <c r="A59">
        <v>58</v>
      </c>
      <c r="B59">
        <v>608</v>
      </c>
      <c r="C59" t="s">
        <v>20</v>
      </c>
      <c r="D59">
        <v>37</v>
      </c>
      <c r="E59" t="s">
        <v>21</v>
      </c>
      <c r="F59" t="s">
        <v>22</v>
      </c>
      <c r="G59">
        <v>20351.376933504402</v>
      </c>
      <c r="H59">
        <v>195269398.152289</v>
      </c>
      <c r="I59">
        <v>4294.7690914163704</v>
      </c>
      <c r="J59">
        <v>125323126.213851</v>
      </c>
      <c r="K59">
        <v>0.116883551443206</v>
      </c>
      <c r="L59">
        <v>5.2453493664372401E-2</v>
      </c>
      <c r="M59">
        <v>-5.1106219214929298E-2</v>
      </c>
      <c r="N59">
        <v>2.7391545444297302E-3</v>
      </c>
      <c r="O59">
        <v>0.399008041643169</v>
      </c>
      <c r="P59">
        <v>0.13577799723161699</v>
      </c>
      <c r="Q59">
        <v>0.57938563578707802</v>
      </c>
      <c r="R59">
        <v>0.24369792083080799</v>
      </c>
      <c r="S59">
        <v>0.42253879112100901</v>
      </c>
      <c r="T59">
        <v>0.243999761119464</v>
      </c>
      <c r="U59">
        <v>11</v>
      </c>
    </row>
    <row r="60" spans="1:21" x14ac:dyDescent="0.25">
      <c r="A60">
        <v>59</v>
      </c>
      <c r="B60">
        <v>609</v>
      </c>
      <c r="C60" t="s">
        <v>20</v>
      </c>
      <c r="D60">
        <v>37</v>
      </c>
      <c r="E60" t="s">
        <v>21</v>
      </c>
      <c r="F60" t="s">
        <v>22</v>
      </c>
      <c r="G60">
        <v>22489.4738253828</v>
      </c>
      <c r="H60">
        <v>156276993.05189201</v>
      </c>
      <c r="I60">
        <v>665.15368723158599</v>
      </c>
      <c r="J60">
        <v>82456881.445805401</v>
      </c>
      <c r="K60">
        <v>0.232601776463394</v>
      </c>
      <c r="L60">
        <v>3.6161720805958003E-2</v>
      </c>
      <c r="M60">
        <v>-3.0423596058128499E-2</v>
      </c>
      <c r="N60">
        <v>2.05146388694364E-3</v>
      </c>
      <c r="O60">
        <v>0.55789366065259904</v>
      </c>
      <c r="P60">
        <v>9.0146511910225199E-2</v>
      </c>
      <c r="Q60">
        <v>0.69999614984791902</v>
      </c>
      <c r="R60">
        <v>0.21000154004577101</v>
      </c>
      <c r="S60">
        <v>0.48848162835765302</v>
      </c>
      <c r="T60">
        <v>0.24986732711441001</v>
      </c>
      <c r="U60">
        <v>19</v>
      </c>
    </row>
    <row r="61" spans="1:21" x14ac:dyDescent="0.25">
      <c r="A61">
        <v>60</v>
      </c>
      <c r="B61">
        <v>610</v>
      </c>
      <c r="C61" t="s">
        <v>20</v>
      </c>
      <c r="D61">
        <v>37</v>
      </c>
      <c r="E61" t="s">
        <v>21</v>
      </c>
      <c r="F61" t="s">
        <v>22</v>
      </c>
      <c r="G61">
        <v>13670.7250669234</v>
      </c>
      <c r="H61">
        <v>133379865.857646</v>
      </c>
      <c r="I61">
        <v>6549.4545756749903</v>
      </c>
      <c r="J61">
        <v>103427597.38228799</v>
      </c>
      <c r="K61">
        <v>0.14009703337371901</v>
      </c>
      <c r="L61">
        <v>4.9405746528039099E-2</v>
      </c>
      <c r="M61">
        <v>-4.4651283481953498E-2</v>
      </c>
      <c r="N61">
        <v>2.43169546177292E-3</v>
      </c>
      <c r="O61">
        <v>0.37819209939505899</v>
      </c>
      <c r="P61">
        <v>0.120762063399248</v>
      </c>
      <c r="Q61">
        <v>0.46667018316564002</v>
      </c>
      <c r="R61">
        <v>0.24888912330943999</v>
      </c>
      <c r="S61">
        <v>0.83645642398428099</v>
      </c>
      <c r="T61">
        <v>0.136797074759859</v>
      </c>
      <c r="U61">
        <v>33</v>
      </c>
    </row>
    <row r="62" spans="1:21" x14ac:dyDescent="0.25">
      <c r="A62">
        <v>61</v>
      </c>
      <c r="B62">
        <v>701</v>
      </c>
      <c r="C62" t="s">
        <v>20</v>
      </c>
      <c r="D62">
        <v>37</v>
      </c>
      <c r="E62" t="s">
        <v>21</v>
      </c>
      <c r="F62" t="s">
        <v>22</v>
      </c>
      <c r="G62">
        <v>15140.6876793915</v>
      </c>
      <c r="H62">
        <v>146719834.38684699</v>
      </c>
      <c r="I62">
        <v>4130.87290214312</v>
      </c>
      <c r="J62">
        <v>99257512.291117996</v>
      </c>
      <c r="K62">
        <v>0.217550624061499</v>
      </c>
      <c r="L62">
        <v>4.8313412185695799E-2</v>
      </c>
      <c r="M62">
        <v>-1.8057775812773399E-2</v>
      </c>
      <c r="N62">
        <v>2.38747795868832E-3</v>
      </c>
      <c r="O62">
        <v>0.47959492616195099</v>
      </c>
      <c r="P62">
        <v>0.117374327817864</v>
      </c>
      <c r="Q62">
        <v>0.55335103329506297</v>
      </c>
      <c r="R62">
        <v>0.24715366724617099</v>
      </c>
      <c r="S62">
        <v>0.51773584003061601</v>
      </c>
      <c r="T62">
        <v>0.24968543997871101</v>
      </c>
      <c r="U62">
        <v>13</v>
      </c>
    </row>
    <row r="63" spans="1:21" x14ac:dyDescent="0.25">
      <c r="A63">
        <v>62</v>
      </c>
      <c r="B63">
        <v>702</v>
      </c>
      <c r="C63" t="s">
        <v>20</v>
      </c>
      <c r="D63">
        <v>37</v>
      </c>
      <c r="E63" t="s">
        <v>21</v>
      </c>
      <c r="F63" t="s">
        <v>22</v>
      </c>
      <c r="G63">
        <v>21793.027695725399</v>
      </c>
      <c r="H63">
        <v>172741948.54964301</v>
      </c>
      <c r="I63">
        <v>1239.28821760695</v>
      </c>
      <c r="J63">
        <v>87812306.267697394</v>
      </c>
      <c r="K63">
        <v>0.25334218165296402</v>
      </c>
      <c r="L63">
        <v>3.5342246541153997E-2</v>
      </c>
      <c r="M63">
        <v>-8.8279416551163697E-3</v>
      </c>
      <c r="N63">
        <v>2.6050008428814501E-3</v>
      </c>
      <c r="O63">
        <v>0.54752081379704198</v>
      </c>
      <c r="P63">
        <v>8.6612116180151799E-2</v>
      </c>
      <c r="Q63">
        <v>0.67571955179064003</v>
      </c>
      <c r="R63">
        <v>0.219122639118353</v>
      </c>
      <c r="S63">
        <v>0.416546639650416</v>
      </c>
      <c r="T63">
        <v>0.243035536646486</v>
      </c>
      <c r="U63">
        <v>14</v>
      </c>
    </row>
    <row r="64" spans="1:21" x14ac:dyDescent="0.25">
      <c r="A64">
        <v>63</v>
      </c>
      <c r="B64">
        <v>703</v>
      </c>
      <c r="C64" t="s">
        <v>20</v>
      </c>
      <c r="D64">
        <v>37</v>
      </c>
      <c r="E64" t="s">
        <v>21</v>
      </c>
      <c r="F64" t="s">
        <v>22</v>
      </c>
      <c r="G64">
        <v>20375.849683676799</v>
      </c>
      <c r="H64">
        <v>164412120.80722499</v>
      </c>
      <c r="I64">
        <v>2404.8624997936099</v>
      </c>
      <c r="J64">
        <v>119466107.464496</v>
      </c>
      <c r="K64">
        <v>0.22765673491650401</v>
      </c>
      <c r="L64">
        <v>4.5870154709113098E-2</v>
      </c>
      <c r="M64">
        <v>-2.0512846547557299E-2</v>
      </c>
      <c r="N64">
        <v>3.3036595179572899E-3</v>
      </c>
      <c r="O64">
        <v>0.52427795099172703</v>
      </c>
      <c r="P64">
        <v>0.12068032360813399</v>
      </c>
      <c r="Q64">
        <v>0.64796632263774101</v>
      </c>
      <c r="R64">
        <v>0.22810596736504099</v>
      </c>
      <c r="S64">
        <v>0.59882559766554599</v>
      </c>
      <c r="T64">
        <v>0.24023350124604601</v>
      </c>
      <c r="U64">
        <v>17</v>
      </c>
    </row>
    <row r="65" spans="1:21" x14ac:dyDescent="0.25">
      <c r="A65">
        <v>64</v>
      </c>
      <c r="B65">
        <v>704</v>
      </c>
      <c r="C65" t="s">
        <v>20</v>
      </c>
      <c r="D65">
        <v>37</v>
      </c>
      <c r="E65" t="s">
        <v>21</v>
      </c>
      <c r="F65" t="s">
        <v>22</v>
      </c>
      <c r="G65">
        <v>19693.3558047802</v>
      </c>
      <c r="H65">
        <v>135625459.676202</v>
      </c>
      <c r="I65">
        <v>2043.56782627143</v>
      </c>
      <c r="J65">
        <v>112944958.43494099</v>
      </c>
      <c r="K65">
        <v>0.21954730493242899</v>
      </c>
      <c r="L65">
        <v>5.2744869575896303E-2</v>
      </c>
      <c r="M65">
        <v>-2.41841260193301E-2</v>
      </c>
      <c r="N65">
        <v>3.8180755655571798E-3</v>
      </c>
      <c r="O65">
        <v>0.51113290188146399</v>
      </c>
      <c r="P65">
        <v>0.12500408561597101</v>
      </c>
      <c r="Q65">
        <v>0.67320881265547905</v>
      </c>
      <c r="R65">
        <v>0.21999870721873199</v>
      </c>
      <c r="S65">
        <v>0.80029961929108395</v>
      </c>
      <c r="T65">
        <v>0.15982013865351499</v>
      </c>
      <c r="U65">
        <v>31</v>
      </c>
    </row>
    <row r="66" spans="1:21" x14ac:dyDescent="0.25">
      <c r="A66">
        <v>65</v>
      </c>
      <c r="B66">
        <v>705</v>
      </c>
      <c r="C66" t="s">
        <v>20</v>
      </c>
      <c r="D66">
        <v>37</v>
      </c>
      <c r="E66" t="s">
        <v>21</v>
      </c>
      <c r="F66" t="s">
        <v>22</v>
      </c>
      <c r="G66">
        <v>22919.101800382701</v>
      </c>
      <c r="H66">
        <v>176558128.938178</v>
      </c>
      <c r="I66">
        <v>652.29162517737404</v>
      </c>
      <c r="J66">
        <v>111126113.81849501</v>
      </c>
      <c r="K66">
        <v>0.19320482633946501</v>
      </c>
      <c r="L66">
        <v>3.5437079443909197E-2</v>
      </c>
      <c r="M66">
        <v>-4.2386502312295203E-2</v>
      </c>
      <c r="N66">
        <v>2.44365666197833E-3</v>
      </c>
      <c r="O66">
        <v>0.51115146512373799</v>
      </c>
      <c r="P66">
        <v>0.108320400736042</v>
      </c>
      <c r="Q66">
        <v>0.69368759519377199</v>
      </c>
      <c r="R66">
        <v>0.212485115468171</v>
      </c>
      <c r="S66">
        <v>0.83368264837210504</v>
      </c>
      <c r="T66">
        <v>0.138655890175226</v>
      </c>
      <c r="U66">
        <v>45</v>
      </c>
    </row>
    <row r="67" spans="1:21" x14ac:dyDescent="0.25">
      <c r="A67">
        <v>66</v>
      </c>
      <c r="B67">
        <v>706</v>
      </c>
      <c r="C67" t="s">
        <v>20</v>
      </c>
      <c r="D67">
        <v>37</v>
      </c>
      <c r="E67" t="s">
        <v>21</v>
      </c>
      <c r="F67" t="s">
        <v>22</v>
      </c>
      <c r="G67">
        <v>23609.969828678601</v>
      </c>
      <c r="H67">
        <v>195486097.859079</v>
      </c>
      <c r="I67">
        <v>504.13401456404</v>
      </c>
      <c r="J67">
        <v>109738442.76702701</v>
      </c>
      <c r="K67">
        <v>0.19378002962692101</v>
      </c>
      <c r="L67">
        <v>3.5831280316462398E-2</v>
      </c>
      <c r="M67">
        <v>-3.8356193925144597E-2</v>
      </c>
      <c r="N67">
        <v>3.17300720374427E-3</v>
      </c>
      <c r="O67">
        <v>0.52544710999996003</v>
      </c>
      <c r="P67">
        <v>0.104670757181654</v>
      </c>
      <c r="Q67">
        <v>0.70614324091438996</v>
      </c>
      <c r="R67">
        <v>0.207504964225247</v>
      </c>
      <c r="S67">
        <v>0.56140706574078802</v>
      </c>
      <c r="T67">
        <v>0.24622917227725</v>
      </c>
      <c r="U67">
        <v>18</v>
      </c>
    </row>
    <row r="68" spans="1:21" x14ac:dyDescent="0.25">
      <c r="A68">
        <v>67</v>
      </c>
      <c r="B68">
        <v>707</v>
      </c>
      <c r="C68" t="s">
        <v>20</v>
      </c>
      <c r="D68">
        <v>37</v>
      </c>
      <c r="E68" t="s">
        <v>21</v>
      </c>
      <c r="F68" t="s">
        <v>22</v>
      </c>
      <c r="G68">
        <v>17422.916788093298</v>
      </c>
      <c r="H68">
        <v>176482120.97814101</v>
      </c>
      <c r="I68">
        <v>5295.0836327155002</v>
      </c>
      <c r="J68">
        <v>114273984.155228</v>
      </c>
      <c r="K68">
        <v>9.3476319734598606E-2</v>
      </c>
      <c r="L68">
        <v>5.00664082026391E-2</v>
      </c>
      <c r="M68">
        <v>-5.79611658549085E-2</v>
      </c>
      <c r="N68">
        <v>2.8609453321108598E-3</v>
      </c>
      <c r="O68">
        <v>0.34731522024601702</v>
      </c>
      <c r="P68">
        <v>0.13190881727249401</v>
      </c>
      <c r="Q68">
        <v>0.50714248542880902</v>
      </c>
      <c r="R68">
        <v>0.24994898490185699</v>
      </c>
      <c r="S68">
        <v>0.65351790174854296</v>
      </c>
      <c r="T68">
        <v>0.22643225384259599</v>
      </c>
      <c r="U68">
        <v>18</v>
      </c>
    </row>
    <row r="69" spans="1:21" x14ac:dyDescent="0.25">
      <c r="A69">
        <v>68</v>
      </c>
      <c r="B69">
        <v>708</v>
      </c>
      <c r="C69" t="s">
        <v>20</v>
      </c>
      <c r="D69">
        <v>37</v>
      </c>
      <c r="E69" t="s">
        <v>21</v>
      </c>
      <c r="F69" t="s">
        <v>22</v>
      </c>
      <c r="G69">
        <v>17515.776807711602</v>
      </c>
      <c r="H69">
        <v>198506048.86235201</v>
      </c>
      <c r="I69">
        <v>5770.5359533578503</v>
      </c>
      <c r="J69">
        <v>118655851.770564</v>
      </c>
      <c r="K69">
        <v>8.5616335029184698E-2</v>
      </c>
      <c r="L69">
        <v>4.6125410342181303E-2</v>
      </c>
      <c r="M69">
        <v>-5.8428885137245402E-2</v>
      </c>
      <c r="N69">
        <v>2.2284148387253801E-3</v>
      </c>
      <c r="O69">
        <v>0.35001858850266399</v>
      </c>
      <c r="P69">
        <v>0.12632082924396301</v>
      </c>
      <c r="Q69">
        <v>0.49064749922261802</v>
      </c>
      <c r="R69">
        <v>0.24991253072918701</v>
      </c>
      <c r="S69">
        <v>0.54987203099959303</v>
      </c>
      <c r="T69">
        <v>0.24751278052387299</v>
      </c>
      <c r="U69">
        <v>17</v>
      </c>
    </row>
    <row r="70" spans="1:21" x14ac:dyDescent="0.25">
      <c r="A70">
        <v>69</v>
      </c>
      <c r="B70">
        <v>709</v>
      </c>
      <c r="C70" t="s">
        <v>20</v>
      </c>
      <c r="D70">
        <v>37</v>
      </c>
      <c r="E70" t="s">
        <v>21</v>
      </c>
      <c r="F70" t="s">
        <v>22</v>
      </c>
      <c r="G70">
        <v>15568.1190067313</v>
      </c>
      <c r="H70">
        <v>114924313.355354</v>
      </c>
      <c r="I70">
        <v>4307.5869334864401</v>
      </c>
      <c r="J70">
        <v>94118305.932491496</v>
      </c>
      <c r="K70">
        <v>0.197878439684125</v>
      </c>
      <c r="L70">
        <v>5.56211423975577E-2</v>
      </c>
      <c r="M70">
        <v>-2.8303358914138502E-2</v>
      </c>
      <c r="N70">
        <v>2.6624767460708401E-3</v>
      </c>
      <c r="O70">
        <v>0.46460083015707399</v>
      </c>
      <c r="P70">
        <v>0.11794661508650001</v>
      </c>
      <c r="Q70">
        <v>0.57245822730862295</v>
      </c>
      <c r="R70">
        <v>0.24474980529534199</v>
      </c>
      <c r="S70">
        <v>0.71188437770284696</v>
      </c>
      <c r="T70">
        <v>0.205105010485468</v>
      </c>
      <c r="U70">
        <v>28</v>
      </c>
    </row>
    <row r="71" spans="1:21" x14ac:dyDescent="0.25">
      <c r="A71">
        <v>70</v>
      </c>
      <c r="B71">
        <v>710</v>
      </c>
      <c r="C71" t="s">
        <v>20</v>
      </c>
      <c r="D71">
        <v>37</v>
      </c>
      <c r="E71" t="s">
        <v>21</v>
      </c>
      <c r="F71" t="s">
        <v>22</v>
      </c>
      <c r="G71">
        <v>14130.9491061259</v>
      </c>
      <c r="H71">
        <v>127326016.544778</v>
      </c>
      <c r="I71">
        <v>5925.9249743424598</v>
      </c>
      <c r="J71">
        <v>93623958.836282402</v>
      </c>
      <c r="K71">
        <v>0.15764703821185599</v>
      </c>
      <c r="L71">
        <v>4.9911751244310701E-2</v>
      </c>
      <c r="M71">
        <v>-4.1665769567752697E-2</v>
      </c>
      <c r="N71">
        <v>2.4563089018635998E-3</v>
      </c>
      <c r="O71">
        <v>0.410340291939017</v>
      </c>
      <c r="P71">
        <v>0.115309138570956</v>
      </c>
      <c r="Q71">
        <v>0.498061246688763</v>
      </c>
      <c r="R71">
        <v>0.249996241235589</v>
      </c>
      <c r="S71">
        <v>0.71829850402467299</v>
      </c>
      <c r="T71">
        <v>0.20234576314021599</v>
      </c>
      <c r="U71">
        <v>28</v>
      </c>
    </row>
    <row r="72" spans="1:21" x14ac:dyDescent="0.25">
      <c r="A72">
        <v>71</v>
      </c>
      <c r="B72">
        <v>801</v>
      </c>
      <c r="C72" t="s">
        <v>20</v>
      </c>
      <c r="D72">
        <v>37</v>
      </c>
      <c r="E72" t="s">
        <v>21</v>
      </c>
      <c r="F72" t="s">
        <v>22</v>
      </c>
      <c r="G72">
        <v>17899.8539394984</v>
      </c>
      <c r="H72">
        <v>188558984.348813</v>
      </c>
      <c r="I72">
        <v>3403.6839621961099</v>
      </c>
      <c r="J72">
        <v>90120012.039060101</v>
      </c>
      <c r="K72">
        <v>0.20748907440414199</v>
      </c>
      <c r="L72">
        <v>3.5049605945989597E-2</v>
      </c>
      <c r="M72">
        <v>-2.6473416061641299E-2</v>
      </c>
      <c r="N72">
        <v>2.2411719209328401E-3</v>
      </c>
      <c r="O72">
        <v>0.505405430422048</v>
      </c>
      <c r="P72">
        <v>0.10214491262266299</v>
      </c>
      <c r="Q72">
        <v>0.58285130578186894</v>
      </c>
      <c r="R72">
        <v>0.243135661130089</v>
      </c>
      <c r="S72">
        <v>0.52743249563098404</v>
      </c>
      <c r="T72">
        <v>0.24924745818322</v>
      </c>
      <c r="U72">
        <v>16</v>
      </c>
    </row>
    <row r="73" spans="1:21" x14ac:dyDescent="0.25">
      <c r="A73">
        <v>72</v>
      </c>
      <c r="B73">
        <v>802</v>
      </c>
      <c r="C73" t="s">
        <v>20</v>
      </c>
      <c r="D73">
        <v>37</v>
      </c>
      <c r="E73" t="s">
        <v>21</v>
      </c>
      <c r="F73" t="s">
        <v>22</v>
      </c>
      <c r="G73">
        <v>17055.616677223399</v>
      </c>
      <c r="H73">
        <v>168963982.53247401</v>
      </c>
      <c r="I73">
        <v>4585.5205942639004</v>
      </c>
      <c r="J73">
        <v>109354068.641785</v>
      </c>
      <c r="K73">
        <v>0.20665845524370699</v>
      </c>
      <c r="L73">
        <v>5.1406684120268303E-2</v>
      </c>
      <c r="M73">
        <v>-2.0639292490950801E-2</v>
      </c>
      <c r="N73">
        <v>3.3408900299912599E-3</v>
      </c>
      <c r="O73">
        <v>0.46691565154369902</v>
      </c>
      <c r="P73">
        <v>0.118428930607006</v>
      </c>
      <c r="Q73">
        <v>0.55805606269483499</v>
      </c>
      <c r="R73">
        <v>0.24662949358469999</v>
      </c>
      <c r="S73">
        <v>0.62959375038811705</v>
      </c>
      <c r="T73">
        <v>0.23320545986043001</v>
      </c>
      <c r="U73">
        <v>25</v>
      </c>
    </row>
    <row r="74" spans="1:21" x14ac:dyDescent="0.25">
      <c r="A74">
        <v>73</v>
      </c>
      <c r="B74">
        <v>803</v>
      </c>
      <c r="C74" t="s">
        <v>20</v>
      </c>
      <c r="D74">
        <v>37</v>
      </c>
      <c r="E74" t="s">
        <v>21</v>
      </c>
      <c r="F74" t="s">
        <v>22</v>
      </c>
      <c r="G74">
        <v>24801.1248593784</v>
      </c>
      <c r="H74">
        <v>174428684.95100299</v>
      </c>
      <c r="I74">
        <v>-895.46233320153306</v>
      </c>
      <c r="J74">
        <v>82273846.946472004</v>
      </c>
      <c r="K74">
        <v>0.27104231441965498</v>
      </c>
      <c r="L74">
        <v>2.3126124286724101E-2</v>
      </c>
      <c r="M74">
        <v>-1.6586878799277401E-2</v>
      </c>
      <c r="N74">
        <v>2.7658382804248501E-3</v>
      </c>
      <c r="O74">
        <v>0.62001406043651297</v>
      </c>
      <c r="P74">
        <v>6.7137208856953401E-2</v>
      </c>
      <c r="Q74">
        <v>0.75639907474119294</v>
      </c>
      <c r="R74">
        <v>0.18425951447160099</v>
      </c>
      <c r="S74">
        <v>0.442392527144717</v>
      </c>
      <c r="T74">
        <v>0.246681379071164</v>
      </c>
      <c r="U74">
        <v>13</v>
      </c>
    </row>
    <row r="75" spans="1:21" x14ac:dyDescent="0.25">
      <c r="A75">
        <v>74</v>
      </c>
      <c r="B75">
        <v>804</v>
      </c>
      <c r="C75" t="s">
        <v>20</v>
      </c>
      <c r="D75">
        <v>37</v>
      </c>
      <c r="E75" t="s">
        <v>21</v>
      </c>
      <c r="F75" t="s">
        <v>22</v>
      </c>
      <c r="G75">
        <v>24287.8550485917</v>
      </c>
      <c r="H75">
        <v>223049636.16931799</v>
      </c>
      <c r="I75">
        <v>1485.9714263743101</v>
      </c>
      <c r="J75">
        <v>116980161.643857</v>
      </c>
      <c r="K75">
        <v>0.191362592265725</v>
      </c>
      <c r="L75">
        <v>4.1260707635838903E-2</v>
      </c>
      <c r="M75">
        <v>-4.1658649659747901E-2</v>
      </c>
      <c r="N75">
        <v>3.2577658954867001E-3</v>
      </c>
      <c r="O75">
        <v>0.52163851018590002</v>
      </c>
      <c r="P75">
        <v>0.11448049674585301</v>
      </c>
      <c r="Q75">
        <v>0.67696151100862001</v>
      </c>
      <c r="R75">
        <v>0.21868462362194699</v>
      </c>
      <c r="S75">
        <v>0.56462416954922301</v>
      </c>
      <c r="T75">
        <v>0.245823716710103</v>
      </c>
      <c r="U75">
        <v>17</v>
      </c>
    </row>
    <row r="76" spans="1:21" x14ac:dyDescent="0.25">
      <c r="A76">
        <v>75</v>
      </c>
      <c r="B76">
        <v>805</v>
      </c>
      <c r="C76" t="s">
        <v>20</v>
      </c>
      <c r="D76">
        <v>37</v>
      </c>
      <c r="E76" t="s">
        <v>21</v>
      </c>
      <c r="F76" t="s">
        <v>22</v>
      </c>
      <c r="G76">
        <v>21581.927198792298</v>
      </c>
      <c r="H76">
        <v>201432150.787761</v>
      </c>
      <c r="I76">
        <v>1722.69614989875</v>
      </c>
      <c r="J76">
        <v>102967977.184728</v>
      </c>
      <c r="K76">
        <v>0.19435995978110401</v>
      </c>
      <c r="L76">
        <v>3.82717661766247E-2</v>
      </c>
      <c r="M76">
        <v>-3.5465142417707103E-2</v>
      </c>
      <c r="N76">
        <v>3.0071656334332E-3</v>
      </c>
      <c r="O76">
        <v>0.50460446682086302</v>
      </c>
      <c r="P76">
        <v>0.114218978556728</v>
      </c>
      <c r="Q76">
        <v>0.65914129119123099</v>
      </c>
      <c r="R76">
        <v>0.22467404943818101</v>
      </c>
      <c r="S76">
        <v>0.88992098355750804</v>
      </c>
      <c r="T76">
        <v>9.7961626581257594E-2</v>
      </c>
      <c r="U76">
        <v>38</v>
      </c>
    </row>
    <row r="77" spans="1:21" x14ac:dyDescent="0.25">
      <c r="A77">
        <v>76</v>
      </c>
      <c r="B77">
        <v>806</v>
      </c>
      <c r="C77" t="s">
        <v>20</v>
      </c>
      <c r="D77">
        <v>37</v>
      </c>
      <c r="E77" t="s">
        <v>21</v>
      </c>
      <c r="F77" t="s">
        <v>22</v>
      </c>
      <c r="G77">
        <v>20102.901453835999</v>
      </c>
      <c r="H77">
        <v>148691937.55291599</v>
      </c>
      <c r="I77">
        <v>475.86299338618301</v>
      </c>
      <c r="J77">
        <v>94552844.683661401</v>
      </c>
      <c r="K77">
        <v>0.26904049535004798</v>
      </c>
      <c r="L77">
        <v>3.9523663509169402E-2</v>
      </c>
      <c r="M77">
        <v>-8.1345654967067797E-3</v>
      </c>
      <c r="N77">
        <v>3.0492811169186801E-3</v>
      </c>
      <c r="O77">
        <v>0.57538139389966103</v>
      </c>
      <c r="P77">
        <v>0.104363674584253</v>
      </c>
      <c r="Q77">
        <v>0.71375165208634905</v>
      </c>
      <c r="R77">
        <v>0.20431023123047701</v>
      </c>
      <c r="S77">
        <v>0.42603058719869102</v>
      </c>
      <c r="T77">
        <v>0.24452852596984101</v>
      </c>
      <c r="U77">
        <v>20</v>
      </c>
    </row>
    <row r="78" spans="1:21" x14ac:dyDescent="0.25">
      <c r="A78">
        <v>77</v>
      </c>
      <c r="B78">
        <v>807</v>
      </c>
      <c r="C78" t="s">
        <v>20</v>
      </c>
      <c r="D78">
        <v>37</v>
      </c>
      <c r="E78" t="s">
        <v>21</v>
      </c>
      <c r="F78" t="s">
        <v>22</v>
      </c>
      <c r="G78">
        <v>23728.7664152205</v>
      </c>
      <c r="H78">
        <v>239464374.37391001</v>
      </c>
      <c r="I78">
        <v>2713.42622078253</v>
      </c>
      <c r="J78">
        <v>94862791.583541706</v>
      </c>
      <c r="K78">
        <v>0.141722469504101</v>
      </c>
      <c r="L78">
        <v>3.2876650007345298E-2</v>
      </c>
      <c r="M78">
        <v>-5.0281129574632197E-2</v>
      </c>
      <c r="N78">
        <v>2.3535647752582498E-3</v>
      </c>
      <c r="O78">
        <v>0.46159759407394202</v>
      </c>
      <c r="P78">
        <v>0.102955574238702</v>
      </c>
      <c r="Q78">
        <v>0.62810746534874196</v>
      </c>
      <c r="R78">
        <v>0.233588477321717</v>
      </c>
      <c r="S78">
        <v>0.327511674284369</v>
      </c>
      <c r="T78">
        <v>0.220247777491865</v>
      </c>
      <c r="U78">
        <v>6</v>
      </c>
    </row>
    <row r="79" spans="1:21" x14ac:dyDescent="0.25">
      <c r="A79">
        <v>78</v>
      </c>
      <c r="B79">
        <v>808</v>
      </c>
      <c r="C79" t="s">
        <v>20</v>
      </c>
      <c r="D79">
        <v>37</v>
      </c>
      <c r="E79" t="s">
        <v>21</v>
      </c>
      <c r="F79" t="s">
        <v>22</v>
      </c>
      <c r="G79">
        <v>15520.6740851471</v>
      </c>
      <c r="H79">
        <v>166398865.44686401</v>
      </c>
      <c r="I79">
        <v>6780.67873523053</v>
      </c>
      <c r="J79">
        <v>129487660.41913</v>
      </c>
      <c r="K79">
        <v>0.117416869823239</v>
      </c>
      <c r="L79">
        <v>5.5348645889170899E-2</v>
      </c>
      <c r="M79">
        <v>-4.7793045174099401E-2</v>
      </c>
      <c r="N79">
        <v>2.7918559322347102E-3</v>
      </c>
      <c r="O79">
        <v>0.37106539597120097</v>
      </c>
      <c r="P79">
        <v>0.13610115201768799</v>
      </c>
      <c r="Q79">
        <v>0.47653671370485501</v>
      </c>
      <c r="R79">
        <v>0.249449474196374</v>
      </c>
      <c r="S79">
        <v>0.43364027744558697</v>
      </c>
      <c r="T79">
        <v>0.24559638722235699</v>
      </c>
      <c r="U79">
        <v>10</v>
      </c>
    </row>
    <row r="80" spans="1:21" x14ac:dyDescent="0.25">
      <c r="A80">
        <v>79</v>
      </c>
      <c r="B80">
        <v>809</v>
      </c>
      <c r="C80" t="s">
        <v>20</v>
      </c>
      <c r="D80">
        <v>37</v>
      </c>
      <c r="E80" t="s">
        <v>21</v>
      </c>
      <c r="F80" t="s">
        <v>22</v>
      </c>
      <c r="G80">
        <v>17817.533247727701</v>
      </c>
      <c r="H80">
        <v>158864434.779347</v>
      </c>
      <c r="I80">
        <v>3561.2525939671</v>
      </c>
      <c r="J80">
        <v>101908264.50417</v>
      </c>
      <c r="K80">
        <v>0.19978788080087101</v>
      </c>
      <c r="L80">
        <v>4.9899198769164897E-2</v>
      </c>
      <c r="M80">
        <v>-2.8879600955821001E-2</v>
      </c>
      <c r="N80">
        <v>2.5806534400350102E-3</v>
      </c>
      <c r="O80">
        <v>0.49034139813126199</v>
      </c>
      <c r="P80">
        <v>0.11142366548735599</v>
      </c>
      <c r="Q80">
        <v>0.59727572575974996</v>
      </c>
      <c r="R80">
        <v>0.24053743317777401</v>
      </c>
      <c r="S80">
        <v>0.62140896845179605</v>
      </c>
      <c r="T80">
        <v>0.235259862379601</v>
      </c>
      <c r="U80">
        <v>19</v>
      </c>
    </row>
    <row r="81" spans="1:21" x14ac:dyDescent="0.25">
      <c r="A81">
        <v>80</v>
      </c>
      <c r="B81">
        <v>901</v>
      </c>
      <c r="C81" t="s">
        <v>20</v>
      </c>
      <c r="D81">
        <v>37</v>
      </c>
      <c r="E81" t="s">
        <v>21</v>
      </c>
      <c r="F81" t="s">
        <v>22</v>
      </c>
      <c r="G81">
        <v>14052.5091313552</v>
      </c>
      <c r="H81">
        <v>164770392.827867</v>
      </c>
      <c r="I81">
        <v>6497.1905061964699</v>
      </c>
      <c r="J81">
        <v>91235068.080982804</v>
      </c>
      <c r="K81">
        <v>0.165909314882595</v>
      </c>
      <c r="L81">
        <v>3.4938983644785898E-2</v>
      </c>
      <c r="M81">
        <v>-3.0518810196932599E-2</v>
      </c>
      <c r="N81">
        <v>1.59863559734508E-3</v>
      </c>
      <c r="O81">
        <v>0.43126473280198102</v>
      </c>
      <c r="P81">
        <v>9.3317746126323098E-2</v>
      </c>
      <c r="Q81">
        <v>0.46727183571932601</v>
      </c>
      <c r="R81">
        <v>0.24892886726275601</v>
      </c>
      <c r="S81">
        <v>0.39036991855333503</v>
      </c>
      <c r="T81">
        <v>0.237981245242115</v>
      </c>
      <c r="U81">
        <v>12</v>
      </c>
    </row>
    <row r="82" spans="1:21" x14ac:dyDescent="0.25">
      <c r="A82">
        <v>81</v>
      </c>
      <c r="B82">
        <v>902</v>
      </c>
      <c r="C82" t="s">
        <v>20</v>
      </c>
      <c r="D82">
        <v>37</v>
      </c>
      <c r="E82" t="s">
        <v>21</v>
      </c>
      <c r="F82" t="s">
        <v>22</v>
      </c>
      <c r="G82">
        <v>20991.101071687899</v>
      </c>
      <c r="H82">
        <v>223275597.65106499</v>
      </c>
      <c r="I82">
        <v>4248.3005389318196</v>
      </c>
      <c r="J82">
        <v>103468808.15170901</v>
      </c>
      <c r="K82">
        <v>0.18859223641363199</v>
      </c>
      <c r="L82">
        <v>3.3212286813955598E-2</v>
      </c>
      <c r="M82">
        <v>-3.0391114664852E-2</v>
      </c>
      <c r="N82">
        <v>2.2899672372697398E-3</v>
      </c>
      <c r="O82">
        <v>0.49688404515224899</v>
      </c>
      <c r="P82">
        <v>9.1473251980758702E-2</v>
      </c>
      <c r="Q82">
        <v>0.60362571049402802</v>
      </c>
      <c r="R82">
        <v>0.23926171212448</v>
      </c>
      <c r="S82">
        <v>0.34952550266670002</v>
      </c>
      <c r="T82">
        <v>0.22735742565219799</v>
      </c>
      <c r="U82">
        <v>7</v>
      </c>
    </row>
    <row r="83" spans="1:21" x14ac:dyDescent="0.25">
      <c r="A83">
        <v>82</v>
      </c>
      <c r="B83">
        <v>903</v>
      </c>
      <c r="C83" t="s">
        <v>20</v>
      </c>
      <c r="D83">
        <v>37</v>
      </c>
      <c r="E83" t="s">
        <v>21</v>
      </c>
      <c r="F83" t="s">
        <v>22</v>
      </c>
      <c r="G83">
        <v>14288.355346234801</v>
      </c>
      <c r="H83">
        <v>170335541.07744199</v>
      </c>
      <c r="I83">
        <v>8684.8762908880599</v>
      </c>
      <c r="J83">
        <v>146438948.135555</v>
      </c>
      <c r="K83">
        <v>0.13668780601271599</v>
      </c>
      <c r="L83">
        <v>4.8710842151748097E-2</v>
      </c>
      <c r="M83">
        <v>-3.5378912144641103E-2</v>
      </c>
      <c r="N83">
        <v>3.1107019311998199E-3</v>
      </c>
      <c r="O83">
        <v>0.38098181684766902</v>
      </c>
      <c r="P83">
        <v>0.124424906854173</v>
      </c>
      <c r="Q83">
        <v>0.44322673374056798</v>
      </c>
      <c r="R83">
        <v>0.246776796238284</v>
      </c>
      <c r="S83">
        <v>0.42511934705610599</v>
      </c>
      <c r="T83">
        <v>0.24439288781465099</v>
      </c>
      <c r="U83">
        <v>8</v>
      </c>
    </row>
    <row r="84" spans="1:21" x14ac:dyDescent="0.25">
      <c r="A84">
        <v>83</v>
      </c>
      <c r="B84">
        <v>904</v>
      </c>
      <c r="C84" t="s">
        <v>20</v>
      </c>
      <c r="D84">
        <v>37</v>
      </c>
      <c r="E84" t="s">
        <v>21</v>
      </c>
      <c r="F84" t="s">
        <v>22</v>
      </c>
      <c r="G84">
        <v>14595.7569229905</v>
      </c>
      <c r="H84">
        <v>159733794.827167</v>
      </c>
      <c r="I84">
        <v>8521.3527673519802</v>
      </c>
      <c r="J84">
        <v>142218263.98733801</v>
      </c>
      <c r="K84">
        <v>0.12947076607139901</v>
      </c>
      <c r="L84">
        <v>5.2928277907569703E-2</v>
      </c>
      <c r="M84">
        <v>-3.9846967991728897E-2</v>
      </c>
      <c r="N84">
        <v>3.4795243894016501E-3</v>
      </c>
      <c r="O84">
        <v>0.37769628373707398</v>
      </c>
      <c r="P84">
        <v>0.12505808950667699</v>
      </c>
      <c r="Q84">
        <v>0.46247823400550497</v>
      </c>
      <c r="R84">
        <v>0.24859211707682599</v>
      </c>
      <c r="S84">
        <v>0.72569229905072197</v>
      </c>
      <c r="T84">
        <v>0.19906298614915599</v>
      </c>
      <c r="U84">
        <v>36</v>
      </c>
    </row>
    <row r="85" spans="1:21" x14ac:dyDescent="0.25">
      <c r="A85">
        <v>84</v>
      </c>
      <c r="B85">
        <v>905</v>
      </c>
      <c r="C85" t="s">
        <v>20</v>
      </c>
      <c r="D85">
        <v>37</v>
      </c>
      <c r="E85" t="s">
        <v>21</v>
      </c>
      <c r="F85" t="s">
        <v>22</v>
      </c>
      <c r="G85">
        <v>17593.455939583098</v>
      </c>
      <c r="H85">
        <v>241052315.69531599</v>
      </c>
      <c r="I85">
        <v>5605.7908982044901</v>
      </c>
      <c r="J85">
        <v>95977448.622306302</v>
      </c>
      <c r="K85">
        <v>0.15019131175480599</v>
      </c>
      <c r="L85">
        <v>2.53173955316419E-2</v>
      </c>
      <c r="M85">
        <v>-3.4628681756316899E-2</v>
      </c>
      <c r="N85">
        <v>2.3271744575890699E-3</v>
      </c>
      <c r="O85">
        <v>0.42802761895740998</v>
      </c>
      <c r="P85">
        <v>9.3302829133576307E-2</v>
      </c>
      <c r="Q85">
        <v>0.49897892343852301</v>
      </c>
      <c r="R85">
        <v>0.24999895740269801</v>
      </c>
      <c r="S85">
        <v>0.45369193028423199</v>
      </c>
      <c r="T85">
        <v>0.24785556267893</v>
      </c>
      <c r="U85">
        <v>12</v>
      </c>
    </row>
    <row r="86" spans="1:21" x14ac:dyDescent="0.25">
      <c r="A86">
        <v>85</v>
      </c>
      <c r="B86">
        <v>906</v>
      </c>
      <c r="C86" t="s">
        <v>20</v>
      </c>
      <c r="D86">
        <v>37</v>
      </c>
      <c r="E86" t="s">
        <v>21</v>
      </c>
      <c r="F86" t="s">
        <v>22</v>
      </c>
      <c r="G86">
        <v>19468.9326801723</v>
      </c>
      <c r="H86">
        <v>178022908.986635</v>
      </c>
      <c r="I86">
        <v>3115.2223759467302</v>
      </c>
      <c r="J86">
        <v>107641963.16608</v>
      </c>
      <c r="K86">
        <v>0.25049963760567301</v>
      </c>
      <c r="L86">
        <v>3.2604067108609497E-2</v>
      </c>
      <c r="M86">
        <v>-8.9511503960492903E-3</v>
      </c>
      <c r="N86">
        <v>2.9467653419810499E-3</v>
      </c>
      <c r="O86">
        <v>0.54814849041595304</v>
      </c>
      <c r="P86">
        <v>8.7997634491215601E-2</v>
      </c>
      <c r="Q86">
        <v>0.63417775869471904</v>
      </c>
      <c r="R86">
        <v>0.23199632907161899</v>
      </c>
      <c r="S86">
        <v>0.52450655112741895</v>
      </c>
      <c r="T86">
        <v>0.24939942895186001</v>
      </c>
      <c r="U86">
        <v>24</v>
      </c>
    </row>
    <row r="87" spans="1:21" x14ac:dyDescent="0.25">
      <c r="A87">
        <v>86</v>
      </c>
      <c r="B87">
        <v>907</v>
      </c>
      <c r="C87" t="s">
        <v>20</v>
      </c>
      <c r="D87">
        <v>37</v>
      </c>
      <c r="E87" t="s">
        <v>21</v>
      </c>
      <c r="F87" t="s">
        <v>22</v>
      </c>
      <c r="G87">
        <v>22316.020687957702</v>
      </c>
      <c r="H87">
        <v>188203416.90855199</v>
      </c>
      <c r="I87">
        <v>368.72920020995599</v>
      </c>
      <c r="J87">
        <v>80799242.784583494</v>
      </c>
      <c r="K87">
        <v>0.295866931912589</v>
      </c>
      <c r="L87">
        <v>2.81532109143466E-2</v>
      </c>
      <c r="M87">
        <v>4.5904753920251798E-3</v>
      </c>
      <c r="N87">
        <v>2.9192052701834999E-3</v>
      </c>
      <c r="O87">
        <v>0.60530259852029</v>
      </c>
      <c r="P87">
        <v>6.7578054856760494E-2</v>
      </c>
      <c r="Q87">
        <v>0.709790166758969</v>
      </c>
      <c r="R87">
        <v>0.20598808593109699</v>
      </c>
      <c r="S87">
        <v>0.41106393452710599</v>
      </c>
      <c r="T87">
        <v>0.24209037625853999</v>
      </c>
      <c r="U87">
        <v>16</v>
      </c>
    </row>
    <row r="88" spans="1:21" x14ac:dyDescent="0.25">
      <c r="A88">
        <v>87</v>
      </c>
      <c r="B88">
        <v>908</v>
      </c>
      <c r="C88" t="s">
        <v>20</v>
      </c>
      <c r="D88">
        <v>37</v>
      </c>
      <c r="E88" t="s">
        <v>21</v>
      </c>
      <c r="F88" t="s">
        <v>22</v>
      </c>
      <c r="G88">
        <v>16926.621176442</v>
      </c>
      <c r="H88">
        <v>147666305.978156</v>
      </c>
      <c r="I88">
        <v>3831.9131595690001</v>
      </c>
      <c r="J88">
        <v>107548516.815503</v>
      </c>
      <c r="K88">
        <v>0.28441842495807901</v>
      </c>
      <c r="L88">
        <v>4.7160482777938197E-2</v>
      </c>
      <c r="M88">
        <v>1.0739003379573901E-2</v>
      </c>
      <c r="N88">
        <v>2.9920539220469602E-3</v>
      </c>
      <c r="O88">
        <v>0.55492356020478495</v>
      </c>
      <c r="P88">
        <v>9.3722838694204294E-2</v>
      </c>
      <c r="Q88">
        <v>0.610786074966013</v>
      </c>
      <c r="R88">
        <v>0.237726445593679</v>
      </c>
      <c r="S88">
        <v>0.37973392891823698</v>
      </c>
      <c r="T88">
        <v>0.23553607214639199</v>
      </c>
      <c r="U88">
        <v>8</v>
      </c>
    </row>
    <row r="89" spans="1:21" x14ac:dyDescent="0.25">
      <c r="A89">
        <v>88</v>
      </c>
      <c r="B89">
        <v>909</v>
      </c>
      <c r="C89" t="s">
        <v>20</v>
      </c>
      <c r="D89">
        <v>37</v>
      </c>
      <c r="E89" t="s">
        <v>21</v>
      </c>
      <c r="F89" t="s">
        <v>22</v>
      </c>
      <c r="G89">
        <v>19753.5526202779</v>
      </c>
      <c r="H89">
        <v>148651691.336014</v>
      </c>
      <c r="I89">
        <v>1253.4733986767301</v>
      </c>
      <c r="J89">
        <v>80168395.488361105</v>
      </c>
      <c r="K89">
        <v>0.32425098146060299</v>
      </c>
      <c r="L89">
        <v>3.6202764258991299E-2</v>
      </c>
      <c r="M89">
        <v>1.30164455627572E-2</v>
      </c>
      <c r="N89">
        <v>2.76654492468815E-3</v>
      </c>
      <c r="O89">
        <v>0.626002102334699</v>
      </c>
      <c r="P89">
        <v>7.4881945563387606E-2</v>
      </c>
      <c r="Q89">
        <v>0.72353747904747401</v>
      </c>
      <c r="R89">
        <v>0.200030995460864</v>
      </c>
      <c r="S89">
        <v>0.58353997257123902</v>
      </c>
      <c r="T89">
        <v>0.243021072982577</v>
      </c>
      <c r="U89">
        <v>23</v>
      </c>
    </row>
    <row r="90" spans="1:21" x14ac:dyDescent="0.25">
      <c r="A90">
        <v>89</v>
      </c>
      <c r="B90">
        <v>910</v>
      </c>
      <c r="C90" t="s">
        <v>20</v>
      </c>
      <c r="D90">
        <v>37</v>
      </c>
      <c r="E90" t="s">
        <v>21</v>
      </c>
      <c r="F90" t="s">
        <v>22</v>
      </c>
      <c r="G90">
        <v>12041.0691372906</v>
      </c>
      <c r="H90">
        <v>117274456.443362</v>
      </c>
      <c r="I90">
        <v>7051.1934458260903</v>
      </c>
      <c r="J90">
        <v>111982958.354307</v>
      </c>
      <c r="K90">
        <v>0.200955799018461</v>
      </c>
      <c r="L90">
        <v>6.3472315255420297E-2</v>
      </c>
      <c r="M90">
        <v>-9.7013073722163005E-3</v>
      </c>
      <c r="N90">
        <v>3.8716695424515801E-3</v>
      </c>
      <c r="O90">
        <v>0.44697812579782698</v>
      </c>
      <c r="P90">
        <v>0.11992571710990101</v>
      </c>
      <c r="Q90">
        <v>0.47922560330619202</v>
      </c>
      <c r="R90">
        <v>0.24956842444219801</v>
      </c>
      <c r="S90">
        <v>0.41727140783744598</v>
      </c>
      <c r="T90">
        <v>0.24315598003879599</v>
      </c>
      <c r="U90">
        <v>10</v>
      </c>
    </row>
    <row r="91" spans="1:21" x14ac:dyDescent="0.25">
      <c r="A91">
        <v>90</v>
      </c>
      <c r="B91">
        <v>810</v>
      </c>
      <c r="C91" t="s">
        <v>20</v>
      </c>
      <c r="D91">
        <v>37</v>
      </c>
      <c r="E91" t="s">
        <v>21</v>
      </c>
      <c r="F91" t="s">
        <v>22</v>
      </c>
      <c r="G91">
        <v>15140.7415986211</v>
      </c>
      <c r="H91">
        <v>152654964.97534001</v>
      </c>
      <c r="I91">
        <v>5785.6806878057296</v>
      </c>
      <c r="J91">
        <v>108807053.690944</v>
      </c>
      <c r="K91">
        <v>0.16010781154634701</v>
      </c>
      <c r="L91">
        <v>5.1813177148605699E-2</v>
      </c>
      <c r="M91">
        <v>-4.1695503036658497E-2</v>
      </c>
      <c r="N91">
        <v>2.49895340470737E-3</v>
      </c>
      <c r="O91">
        <v>0.437480771169238</v>
      </c>
      <c r="P91">
        <v>0.11824076676938899</v>
      </c>
      <c r="Q91">
        <v>0.51372026018796901</v>
      </c>
      <c r="R91">
        <v>0.24981175446015799</v>
      </c>
      <c r="S91">
        <v>0.489890665693688</v>
      </c>
      <c r="T91">
        <v>0.249897801359931</v>
      </c>
      <c r="U91">
        <v>15</v>
      </c>
    </row>
    <row r="92" spans="1:21" x14ac:dyDescent="0.25">
      <c r="A92">
        <v>91</v>
      </c>
      <c r="B92">
        <v>44444</v>
      </c>
      <c r="C92" t="s">
        <v>20</v>
      </c>
      <c r="D92">
        <v>37</v>
      </c>
      <c r="E92" t="s">
        <v>21</v>
      </c>
      <c r="F92" t="s">
        <v>22</v>
      </c>
      <c r="G92">
        <v>639.22423398328704</v>
      </c>
      <c r="H92">
        <v>3476996.5711675799</v>
      </c>
      <c r="I92">
        <v>18316.370857634101</v>
      </c>
      <c r="J92">
        <v>27366667.921249501</v>
      </c>
      <c r="K92">
        <v>-0.22797329564216101</v>
      </c>
      <c r="L92">
        <v>1.7984071141671502E-2</v>
      </c>
      <c r="M92">
        <v>-0.12689981437794101</v>
      </c>
      <c r="N92">
        <v>4.0746379242168904E-3</v>
      </c>
      <c r="O92">
        <v>-0.12821594033780101</v>
      </c>
      <c r="P92">
        <v>1.40248246049282E-2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37</v>
      </c>
      <c r="E93" t="s">
        <v>21</v>
      </c>
      <c r="F93" t="s">
        <v>22</v>
      </c>
      <c r="G93">
        <v>2268.6942008486599</v>
      </c>
      <c r="H93">
        <v>16540903.3240258</v>
      </c>
      <c r="I93">
        <v>14382.5931540612</v>
      </c>
      <c r="J93">
        <v>51780411.077656597</v>
      </c>
      <c r="K93">
        <v>-4.4015364459251399E-3</v>
      </c>
      <c r="L93">
        <v>4.9267386941293199E-2</v>
      </c>
      <c r="M93">
        <v>-2.14692270130422E-2</v>
      </c>
      <c r="N93">
        <v>6.9746323507883304E-3</v>
      </c>
      <c r="O93">
        <v>0.290900191349518</v>
      </c>
      <c r="P93">
        <v>4.1279533742606497E-2</v>
      </c>
      <c r="Q93">
        <v>0.15106082036775101</v>
      </c>
      <c r="R93">
        <v>0.128241448917571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37</v>
      </c>
      <c r="E94" t="s">
        <v>24</v>
      </c>
      <c r="F94" t="s">
        <v>25</v>
      </c>
      <c r="G94">
        <v>9742.0803961201309</v>
      </c>
      <c r="H94">
        <v>115032258.641683</v>
      </c>
      <c r="I94">
        <v>10132.654422052499</v>
      </c>
      <c r="J94">
        <v>75357668.590863302</v>
      </c>
      <c r="K94">
        <v>0.14709825373915</v>
      </c>
      <c r="L94">
        <v>3.24548589201216E-2</v>
      </c>
      <c r="M94">
        <v>9.4673849731157899E-3</v>
      </c>
      <c r="N94">
        <v>3.3690905981230502E-3</v>
      </c>
      <c r="O94">
        <v>0.355611167656327</v>
      </c>
      <c r="P94">
        <v>8.3139655305150204E-2</v>
      </c>
      <c r="Q94">
        <v>0.34972671060027999</v>
      </c>
      <c r="R94">
        <v>0.22741793849299499</v>
      </c>
      <c r="S94">
        <v>0.73148269964478396</v>
      </c>
      <c r="T94">
        <v>0.19641575976528999</v>
      </c>
      <c r="U94">
        <v>35</v>
      </c>
    </row>
    <row r="95" spans="1:21" x14ac:dyDescent="0.25">
      <c r="A95">
        <v>94</v>
      </c>
      <c r="B95">
        <v>102</v>
      </c>
      <c r="C95" t="s">
        <v>23</v>
      </c>
      <c r="D95">
        <v>37</v>
      </c>
      <c r="E95" t="s">
        <v>24</v>
      </c>
      <c r="F95" t="s">
        <v>25</v>
      </c>
      <c r="G95">
        <v>12413.536288393499</v>
      </c>
      <c r="H95">
        <v>157149603.773204</v>
      </c>
      <c r="I95">
        <v>8381.0594567941407</v>
      </c>
      <c r="J95">
        <v>91551626.977823898</v>
      </c>
      <c r="K95">
        <v>0.15823433021330099</v>
      </c>
      <c r="L95">
        <v>3.1026911409216099E-2</v>
      </c>
      <c r="M95">
        <v>-6.4840965535106296E-3</v>
      </c>
      <c r="N95">
        <v>2.07709798574206E-3</v>
      </c>
      <c r="O95">
        <v>0.39458853998990601</v>
      </c>
      <c r="P95">
        <v>8.4472054471410804E-2</v>
      </c>
      <c r="Q95">
        <v>0.39095541096545799</v>
      </c>
      <c r="R95">
        <v>0.23810927760204201</v>
      </c>
      <c r="S95">
        <v>0.60292077313175796</v>
      </c>
      <c r="T95">
        <v>0.23940731445756699</v>
      </c>
      <c r="U95">
        <v>22</v>
      </c>
    </row>
    <row r="96" spans="1:21" x14ac:dyDescent="0.25">
      <c r="A96">
        <v>95</v>
      </c>
      <c r="B96">
        <v>103</v>
      </c>
      <c r="C96" t="s">
        <v>23</v>
      </c>
      <c r="D96">
        <v>37</v>
      </c>
      <c r="E96" t="s">
        <v>24</v>
      </c>
      <c r="F96" t="s">
        <v>25</v>
      </c>
      <c r="G96">
        <v>12225.4209682821</v>
      </c>
      <c r="H96">
        <v>170358533.76963499</v>
      </c>
      <c r="I96">
        <v>8989.0155247662606</v>
      </c>
      <c r="J96">
        <v>101433294.438875</v>
      </c>
      <c r="K96">
        <v>0.13362383034449599</v>
      </c>
      <c r="L96">
        <v>3.40745819985259E-2</v>
      </c>
      <c r="M96">
        <v>-2.3010061521992101E-2</v>
      </c>
      <c r="N96">
        <v>1.68731882752299E-3</v>
      </c>
      <c r="O96">
        <v>0.37331942390927902</v>
      </c>
      <c r="P96">
        <v>9.2510256321613707E-2</v>
      </c>
      <c r="Q96">
        <v>0.37170501841840897</v>
      </c>
      <c r="R96">
        <v>0.23354039770118001</v>
      </c>
      <c r="S96">
        <v>0.56655743194756703</v>
      </c>
      <c r="T96">
        <v>0.245570108252398</v>
      </c>
      <c r="U96">
        <v>19</v>
      </c>
    </row>
    <row r="97" spans="1:21" x14ac:dyDescent="0.25">
      <c r="A97">
        <v>96</v>
      </c>
      <c r="B97">
        <v>104</v>
      </c>
      <c r="C97" t="s">
        <v>23</v>
      </c>
      <c r="D97">
        <v>37</v>
      </c>
      <c r="E97" t="s">
        <v>24</v>
      </c>
      <c r="F97" t="s">
        <v>25</v>
      </c>
      <c r="G97">
        <v>11828.7313887992</v>
      </c>
      <c r="H97">
        <v>175559821.91931999</v>
      </c>
      <c r="I97">
        <v>8608.78701362229</v>
      </c>
      <c r="J97">
        <v>89585971.475148797</v>
      </c>
      <c r="K97">
        <v>0.128204198719956</v>
      </c>
      <c r="L97">
        <v>3.0463369470145898E-2</v>
      </c>
      <c r="M97">
        <v>-2.7696278560092401E-2</v>
      </c>
      <c r="N97">
        <v>1.43930507255699E-3</v>
      </c>
      <c r="O97">
        <v>0.37099533005441399</v>
      </c>
      <c r="P97">
        <v>8.5350914881457005E-2</v>
      </c>
      <c r="Q97">
        <v>0.36172401009339999</v>
      </c>
      <c r="R97">
        <v>0.23087975061524699</v>
      </c>
      <c r="S97">
        <v>0.46416484291847498</v>
      </c>
      <c r="T97">
        <v>0.24871584151694101</v>
      </c>
      <c r="U97">
        <v>15</v>
      </c>
    </row>
    <row r="98" spans="1:21" x14ac:dyDescent="0.25">
      <c r="A98">
        <v>97</v>
      </c>
      <c r="B98">
        <v>105</v>
      </c>
      <c r="C98" t="s">
        <v>23</v>
      </c>
      <c r="D98">
        <v>37</v>
      </c>
      <c r="E98" t="s">
        <v>24</v>
      </c>
      <c r="F98" t="s">
        <v>25</v>
      </c>
      <c r="G98">
        <v>11899.6575016444</v>
      </c>
      <c r="H98">
        <v>155257234.37526301</v>
      </c>
      <c r="I98">
        <v>7473.3918496513897</v>
      </c>
      <c r="J98">
        <v>82881272.636705294</v>
      </c>
      <c r="K98">
        <v>0.149876917506758</v>
      </c>
      <c r="L98">
        <v>3.5756937169399601E-2</v>
      </c>
      <c r="M98">
        <v>-2.4671696598923001E-2</v>
      </c>
      <c r="N98">
        <v>1.6878474885880499E-3</v>
      </c>
      <c r="O98">
        <v>0.39920962927648601</v>
      </c>
      <c r="P98">
        <v>8.9513388812874198E-2</v>
      </c>
      <c r="Q98">
        <v>0.40330084315015202</v>
      </c>
      <c r="R98">
        <v>0.24064927306456901</v>
      </c>
      <c r="S98">
        <v>0.32901991269509101</v>
      </c>
      <c r="T98">
        <v>0.220765809745367</v>
      </c>
      <c r="U98">
        <v>8</v>
      </c>
    </row>
    <row r="99" spans="1:21" x14ac:dyDescent="0.25">
      <c r="A99">
        <v>98</v>
      </c>
      <c r="B99">
        <v>106</v>
      </c>
      <c r="C99" t="s">
        <v>23</v>
      </c>
      <c r="D99">
        <v>37</v>
      </c>
      <c r="E99" t="s">
        <v>24</v>
      </c>
      <c r="F99" t="s">
        <v>25</v>
      </c>
      <c r="G99">
        <v>11181.5590670314</v>
      </c>
      <c r="H99">
        <v>196763750.51410601</v>
      </c>
      <c r="I99">
        <v>9172.1905740530201</v>
      </c>
      <c r="J99">
        <v>71087311.064039707</v>
      </c>
      <c r="K99">
        <v>8.0080820452363394E-2</v>
      </c>
      <c r="L99">
        <v>2.1409396422097701E-2</v>
      </c>
      <c r="M99">
        <v>-4.1622910167000697E-2</v>
      </c>
      <c r="N99">
        <v>1.36566717118264E-3</v>
      </c>
      <c r="O99">
        <v>0.31565703896536401</v>
      </c>
      <c r="P99">
        <v>7.4144546507746406E-2</v>
      </c>
      <c r="Q99">
        <v>0.305623471882641</v>
      </c>
      <c r="R99">
        <v>0.21221776531727901</v>
      </c>
      <c r="S99">
        <v>0.51045776949333099</v>
      </c>
      <c r="T99">
        <v>0.24989063505710599</v>
      </c>
      <c r="U99">
        <v>14</v>
      </c>
    </row>
    <row r="100" spans="1:21" x14ac:dyDescent="0.25">
      <c r="A100">
        <v>99</v>
      </c>
      <c r="B100">
        <v>107</v>
      </c>
      <c r="C100" t="s">
        <v>23</v>
      </c>
      <c r="D100">
        <v>37</v>
      </c>
      <c r="E100" t="s">
        <v>24</v>
      </c>
      <c r="F100" t="s">
        <v>25</v>
      </c>
      <c r="G100">
        <v>11611.417926997499</v>
      </c>
      <c r="H100">
        <v>156318434.70066801</v>
      </c>
      <c r="I100">
        <v>6973.2037025213003</v>
      </c>
      <c r="J100">
        <v>71559736.782600001</v>
      </c>
      <c r="K100">
        <v>0.143367432375335</v>
      </c>
      <c r="L100">
        <v>3.1325304049704197E-2</v>
      </c>
      <c r="M100">
        <v>-2.6245445384279299E-2</v>
      </c>
      <c r="N100">
        <v>1.6897733971542E-3</v>
      </c>
      <c r="O100">
        <v>0.391482040434806</v>
      </c>
      <c r="P100">
        <v>8.4152732003322406E-2</v>
      </c>
      <c r="Q100">
        <v>0.389819363323405</v>
      </c>
      <c r="R100">
        <v>0.23786022730149201</v>
      </c>
      <c r="S100">
        <v>0.56840598769968698</v>
      </c>
      <c r="T100">
        <v>0.245320620846569</v>
      </c>
      <c r="U100">
        <v>22</v>
      </c>
    </row>
    <row r="101" spans="1:21" x14ac:dyDescent="0.25">
      <c r="A101">
        <v>100</v>
      </c>
      <c r="B101">
        <v>108</v>
      </c>
      <c r="C101" t="s">
        <v>23</v>
      </c>
      <c r="D101">
        <v>37</v>
      </c>
      <c r="E101" t="s">
        <v>24</v>
      </c>
      <c r="F101" t="s">
        <v>25</v>
      </c>
      <c r="G101">
        <v>13528.101619307299</v>
      </c>
      <c r="H101">
        <v>188945778.302333</v>
      </c>
      <c r="I101">
        <v>6241.0390094557197</v>
      </c>
      <c r="J101">
        <v>75947827.330729902</v>
      </c>
      <c r="K101">
        <v>0.1588678698008</v>
      </c>
      <c r="L101">
        <v>2.81366173069789E-2</v>
      </c>
      <c r="M101">
        <v>-2.39264665712231E-2</v>
      </c>
      <c r="N101">
        <v>1.7043618714656799E-3</v>
      </c>
      <c r="O101">
        <v>0.42213196761710903</v>
      </c>
      <c r="P101">
        <v>7.8569759958890401E-2</v>
      </c>
      <c r="Q101">
        <v>0.40829506314580899</v>
      </c>
      <c r="R101">
        <v>0.24159020455625399</v>
      </c>
      <c r="S101">
        <v>0.49534778032912402</v>
      </c>
      <c r="T101">
        <v>0.24997835685204001</v>
      </c>
      <c r="U101">
        <v>15</v>
      </c>
    </row>
    <row r="102" spans="1:21" x14ac:dyDescent="0.25">
      <c r="A102">
        <v>101</v>
      </c>
      <c r="B102">
        <v>109</v>
      </c>
      <c r="C102" t="s">
        <v>23</v>
      </c>
      <c r="D102">
        <v>37</v>
      </c>
      <c r="E102" t="s">
        <v>24</v>
      </c>
      <c r="F102" t="s">
        <v>25</v>
      </c>
      <c r="G102">
        <v>9906.4718982860304</v>
      </c>
      <c r="H102">
        <v>160883628.297126</v>
      </c>
      <c r="I102">
        <v>9769.1002655918601</v>
      </c>
      <c r="J102">
        <v>75116121.750036001</v>
      </c>
      <c r="K102">
        <v>9.0601478178892594E-2</v>
      </c>
      <c r="L102">
        <v>2.4853250027872802E-2</v>
      </c>
      <c r="M102">
        <v>-3.8804682102720797E-2</v>
      </c>
      <c r="N102">
        <v>1.5740543815805301E-3</v>
      </c>
      <c r="O102">
        <v>0.31551487267672101</v>
      </c>
      <c r="P102">
        <v>7.3034884840022005E-2</v>
      </c>
      <c r="Q102">
        <v>0.28415084861315398</v>
      </c>
      <c r="R102">
        <v>0.20340914384557099</v>
      </c>
      <c r="S102">
        <v>0.45450739770593401</v>
      </c>
      <c r="T102">
        <v>0.247930423136211</v>
      </c>
      <c r="U102">
        <v>9</v>
      </c>
    </row>
    <row r="103" spans="1:21" x14ac:dyDescent="0.25">
      <c r="A103">
        <v>102</v>
      </c>
      <c r="B103">
        <v>110</v>
      </c>
      <c r="C103" t="s">
        <v>23</v>
      </c>
      <c r="D103">
        <v>37</v>
      </c>
      <c r="E103" t="s">
        <v>24</v>
      </c>
      <c r="F103" t="s">
        <v>25</v>
      </c>
      <c r="G103">
        <v>13876.848446432399</v>
      </c>
      <c r="H103">
        <v>203316483.83097699</v>
      </c>
      <c r="I103">
        <v>7343.6748974432303</v>
      </c>
      <c r="J103">
        <v>89370280.749653995</v>
      </c>
      <c r="K103">
        <v>0.147368827905003</v>
      </c>
      <c r="L103">
        <v>3.0141609271332099E-2</v>
      </c>
      <c r="M103">
        <v>-3.0438537985327099E-2</v>
      </c>
      <c r="N103">
        <v>1.90444987777077E-3</v>
      </c>
      <c r="O103">
        <v>0.41536340236744701</v>
      </c>
      <c r="P103">
        <v>8.3019132244215796E-2</v>
      </c>
      <c r="Q103">
        <v>0.43503480278422302</v>
      </c>
      <c r="R103">
        <v>0.24577952315111301</v>
      </c>
      <c r="S103">
        <v>0.66555839931112004</v>
      </c>
      <c r="T103">
        <v>0.22259041641743299</v>
      </c>
      <c r="U103">
        <v>27</v>
      </c>
    </row>
    <row r="104" spans="1:21" x14ac:dyDescent="0.25">
      <c r="A104">
        <v>103</v>
      </c>
      <c r="B104">
        <v>111</v>
      </c>
      <c r="C104" t="s">
        <v>23</v>
      </c>
      <c r="D104">
        <v>37</v>
      </c>
      <c r="E104" t="s">
        <v>24</v>
      </c>
      <c r="F104" t="s">
        <v>25</v>
      </c>
      <c r="G104">
        <v>11893.597069109501</v>
      </c>
      <c r="H104">
        <v>147330771.98892099</v>
      </c>
      <c r="I104">
        <v>6312.7277106993197</v>
      </c>
      <c r="J104">
        <v>82831050.005260095</v>
      </c>
      <c r="K104">
        <v>0.19058777253915599</v>
      </c>
      <c r="L104">
        <v>4.1504381818889602E-2</v>
      </c>
      <c r="M104">
        <v>-1.2729672919233E-2</v>
      </c>
      <c r="N104">
        <v>1.66408345836808E-3</v>
      </c>
      <c r="O104">
        <v>0.44332427305236199</v>
      </c>
      <c r="P104">
        <v>8.9954114131062093E-2</v>
      </c>
      <c r="Q104">
        <v>0.42788339363723299</v>
      </c>
      <c r="R104">
        <v>0.24479919508672099</v>
      </c>
      <c r="S104">
        <v>0.26151723804107102</v>
      </c>
      <c r="T104">
        <v>0.19312597224877301</v>
      </c>
      <c r="U104">
        <v>7</v>
      </c>
    </row>
    <row r="105" spans="1:21" x14ac:dyDescent="0.25">
      <c r="A105">
        <v>104</v>
      </c>
      <c r="B105">
        <v>112</v>
      </c>
      <c r="C105" t="s">
        <v>23</v>
      </c>
      <c r="D105">
        <v>37</v>
      </c>
      <c r="E105" t="s">
        <v>24</v>
      </c>
      <c r="F105" t="s">
        <v>25</v>
      </c>
      <c r="G105">
        <v>11765.5299459486</v>
      </c>
      <c r="H105">
        <v>169615172.08876199</v>
      </c>
      <c r="I105">
        <v>8208.0758700430997</v>
      </c>
      <c r="J105">
        <v>93286585.696180403</v>
      </c>
      <c r="K105">
        <v>0.14121340935610999</v>
      </c>
      <c r="L105">
        <v>3.5584163996240703E-2</v>
      </c>
      <c r="M105">
        <v>-2.92294869878435E-2</v>
      </c>
      <c r="N105">
        <v>1.73563414418786E-3</v>
      </c>
      <c r="O105">
        <v>0.39205528176398502</v>
      </c>
      <c r="P105">
        <v>8.7747261203748497E-2</v>
      </c>
      <c r="Q105">
        <v>0.382120702789635</v>
      </c>
      <c r="R105">
        <v>0.23610447128902801</v>
      </c>
      <c r="S105">
        <v>0.48582207765511098</v>
      </c>
      <c r="T105">
        <v>0.24979898651757901</v>
      </c>
      <c r="U105">
        <v>11</v>
      </c>
    </row>
    <row r="106" spans="1:21" x14ac:dyDescent="0.25">
      <c r="A106">
        <v>105</v>
      </c>
      <c r="B106">
        <v>201</v>
      </c>
      <c r="C106" t="s">
        <v>23</v>
      </c>
      <c r="D106">
        <v>37</v>
      </c>
      <c r="E106" t="s">
        <v>24</v>
      </c>
      <c r="F106" t="s">
        <v>25</v>
      </c>
      <c r="G106">
        <v>8556.6303835619692</v>
      </c>
      <c r="H106">
        <v>114095216.636417</v>
      </c>
      <c r="I106">
        <v>12071.9726987102</v>
      </c>
      <c r="J106">
        <v>73825069.206987798</v>
      </c>
      <c r="K106">
        <v>7.6899980102682397E-2</v>
      </c>
      <c r="L106">
        <v>2.6633615729218799E-2</v>
      </c>
      <c r="M106">
        <v>-1.9641618616974901E-2</v>
      </c>
      <c r="N106">
        <v>2.7316050039105002E-3</v>
      </c>
      <c r="O106">
        <v>0.24320511918323801</v>
      </c>
      <c r="P106">
        <v>8.1473757323470203E-2</v>
      </c>
      <c r="Q106">
        <v>0.25715515901017799</v>
      </c>
      <c r="R106">
        <v>0.19102638320433099</v>
      </c>
      <c r="S106">
        <v>0.72064680484625199</v>
      </c>
      <c r="T106">
        <v>0.20131498751119201</v>
      </c>
      <c r="U106">
        <v>31</v>
      </c>
    </row>
    <row r="107" spans="1:21" x14ac:dyDescent="0.25">
      <c r="A107">
        <v>106</v>
      </c>
      <c r="B107">
        <v>202</v>
      </c>
      <c r="C107" t="s">
        <v>23</v>
      </c>
      <c r="D107">
        <v>37</v>
      </c>
      <c r="E107" t="s">
        <v>24</v>
      </c>
      <c r="F107" t="s">
        <v>25</v>
      </c>
      <c r="G107">
        <v>12912.529539094499</v>
      </c>
      <c r="H107">
        <v>171651916.57644901</v>
      </c>
      <c r="I107">
        <v>8662.3338306404894</v>
      </c>
      <c r="J107">
        <v>101343113.860292</v>
      </c>
      <c r="K107">
        <v>0.12770610101931801</v>
      </c>
      <c r="L107">
        <v>3.00872077019061E-2</v>
      </c>
      <c r="M107">
        <v>-2.1665967049480001E-2</v>
      </c>
      <c r="N107">
        <v>2.1920514163661299E-3</v>
      </c>
      <c r="O107">
        <v>0.34321928210645503</v>
      </c>
      <c r="P107">
        <v>9.5113891369290507E-2</v>
      </c>
      <c r="Q107">
        <v>0.385515080485063</v>
      </c>
      <c r="R107">
        <v>0.23689320320339399</v>
      </c>
      <c r="S107">
        <v>0.77498863880982605</v>
      </c>
      <c r="T107">
        <v>0.17438124852537901</v>
      </c>
      <c r="U107">
        <v>34</v>
      </c>
    </row>
    <row r="108" spans="1:21" x14ac:dyDescent="0.25">
      <c r="A108">
        <v>107</v>
      </c>
      <c r="B108">
        <v>203</v>
      </c>
      <c r="C108" t="s">
        <v>23</v>
      </c>
      <c r="D108">
        <v>37</v>
      </c>
      <c r="E108" t="s">
        <v>24</v>
      </c>
      <c r="F108" t="s">
        <v>25</v>
      </c>
      <c r="G108">
        <v>13105.240875735601</v>
      </c>
      <c r="H108">
        <v>195661374.00719801</v>
      </c>
      <c r="I108">
        <v>9581.9647282711394</v>
      </c>
      <c r="J108">
        <v>112394700.913554</v>
      </c>
      <c r="K108">
        <v>9.7859386525806905E-2</v>
      </c>
      <c r="L108">
        <v>3.2013181240870603E-2</v>
      </c>
      <c r="M108">
        <v>-4.1507680093031102E-2</v>
      </c>
      <c r="N108">
        <v>1.5267781949704E-3</v>
      </c>
      <c r="O108">
        <v>0.31432073073631001</v>
      </c>
      <c r="P108">
        <v>0.102192085260459</v>
      </c>
      <c r="Q108">
        <v>0.36503112058317799</v>
      </c>
      <c r="R108">
        <v>0.23178340158884</v>
      </c>
      <c r="S108">
        <v>0.61088372768884303</v>
      </c>
      <c r="T108">
        <v>0.237704798934151</v>
      </c>
      <c r="U108">
        <v>16</v>
      </c>
    </row>
    <row r="109" spans="1:21" x14ac:dyDescent="0.25">
      <c r="A109">
        <v>108</v>
      </c>
      <c r="B109">
        <v>204</v>
      </c>
      <c r="C109" t="s">
        <v>23</v>
      </c>
      <c r="D109">
        <v>37</v>
      </c>
      <c r="E109" t="s">
        <v>24</v>
      </c>
      <c r="F109" t="s">
        <v>25</v>
      </c>
      <c r="G109">
        <v>11478.753770346701</v>
      </c>
      <c r="H109">
        <v>146100805.93994701</v>
      </c>
      <c r="I109">
        <v>8683.17852216545</v>
      </c>
      <c r="J109">
        <v>98562411.531042695</v>
      </c>
      <c r="K109">
        <v>0.119322604129819</v>
      </c>
      <c r="L109">
        <v>3.9768122269901202E-2</v>
      </c>
      <c r="M109">
        <v>-3.82130755907788E-2</v>
      </c>
      <c r="N109">
        <v>1.88501814603504E-3</v>
      </c>
      <c r="O109">
        <v>0.33071541752190198</v>
      </c>
      <c r="P109">
        <v>0.107159064785169</v>
      </c>
      <c r="Q109">
        <v>0.37921136665351102</v>
      </c>
      <c r="R109">
        <v>0.235410106053971</v>
      </c>
      <c r="S109">
        <v>0.62151818497123701</v>
      </c>
      <c r="T109">
        <v>0.23523333072125899</v>
      </c>
      <c r="U109">
        <v>34</v>
      </c>
    </row>
    <row r="110" spans="1:21" x14ac:dyDescent="0.25">
      <c r="A110">
        <v>109</v>
      </c>
      <c r="B110">
        <v>205</v>
      </c>
      <c r="C110" t="s">
        <v>23</v>
      </c>
      <c r="D110">
        <v>37</v>
      </c>
      <c r="E110" t="s">
        <v>24</v>
      </c>
      <c r="F110" t="s">
        <v>25</v>
      </c>
      <c r="G110">
        <v>12818.9831054202</v>
      </c>
      <c r="H110">
        <v>195971671.381951</v>
      </c>
      <c r="I110">
        <v>7055.9971415074597</v>
      </c>
      <c r="J110">
        <v>90953732.0528263</v>
      </c>
      <c r="K110">
        <v>0.112522553674123</v>
      </c>
      <c r="L110">
        <v>3.38295059984908E-2</v>
      </c>
      <c r="M110">
        <v>-3.80631978814703E-2</v>
      </c>
      <c r="N110">
        <v>1.89905066547217E-3</v>
      </c>
      <c r="O110">
        <v>0.33861294465148201</v>
      </c>
      <c r="P110">
        <v>0.10049682053060301</v>
      </c>
      <c r="Q110">
        <v>0.38306812531079099</v>
      </c>
      <c r="R110">
        <v>0.236326936681796</v>
      </c>
      <c r="S110">
        <v>0.37350820487319703</v>
      </c>
      <c r="T110">
        <v>0.233999825765242</v>
      </c>
      <c r="U110">
        <v>9</v>
      </c>
    </row>
    <row r="111" spans="1:21" x14ac:dyDescent="0.25">
      <c r="A111">
        <v>110</v>
      </c>
      <c r="B111">
        <v>206</v>
      </c>
      <c r="C111" t="s">
        <v>23</v>
      </c>
      <c r="D111">
        <v>37</v>
      </c>
      <c r="E111" t="s">
        <v>24</v>
      </c>
      <c r="F111" t="s">
        <v>25</v>
      </c>
      <c r="G111">
        <v>11773.8063655718</v>
      </c>
      <c r="H111">
        <v>168238360.553193</v>
      </c>
      <c r="I111">
        <v>7672.1302759404098</v>
      </c>
      <c r="J111">
        <v>72442266.650577307</v>
      </c>
      <c r="K111">
        <v>9.7308369696239294E-2</v>
      </c>
      <c r="L111">
        <v>2.6583488808984E-2</v>
      </c>
      <c r="M111">
        <v>-4.6776231295431299E-2</v>
      </c>
      <c r="N111">
        <v>1.60611273157922E-3</v>
      </c>
      <c r="O111">
        <v>0.32176758813165801</v>
      </c>
      <c r="P111">
        <v>9.1880162275648006E-2</v>
      </c>
      <c r="Q111">
        <v>0.36760519579934497</v>
      </c>
      <c r="R111">
        <v>0.23247161582070899</v>
      </c>
      <c r="S111">
        <v>0.68157787718584795</v>
      </c>
      <c r="T111">
        <v>0.21702947451697399</v>
      </c>
      <c r="U111">
        <v>23</v>
      </c>
    </row>
    <row r="112" spans="1:21" x14ac:dyDescent="0.25">
      <c r="A112">
        <v>111</v>
      </c>
      <c r="B112">
        <v>207</v>
      </c>
      <c r="C112" t="s">
        <v>23</v>
      </c>
      <c r="D112">
        <v>37</v>
      </c>
      <c r="E112" t="s">
        <v>24</v>
      </c>
      <c r="F112" t="s">
        <v>25</v>
      </c>
      <c r="G112">
        <v>11358.1512273808</v>
      </c>
      <c r="H112">
        <v>173928434.300502</v>
      </c>
      <c r="I112">
        <v>7902.3855452681701</v>
      </c>
      <c r="J112">
        <v>74394160.544571504</v>
      </c>
      <c r="K112">
        <v>8.6499575834314099E-2</v>
      </c>
      <c r="L112">
        <v>2.8497080406261401E-2</v>
      </c>
      <c r="M112">
        <v>-4.4596236367223201E-2</v>
      </c>
      <c r="N112">
        <v>1.60547661748677E-3</v>
      </c>
      <c r="O112">
        <v>0.30729934444685097</v>
      </c>
      <c r="P112">
        <v>9.56988241032036E-2</v>
      </c>
      <c r="Q112">
        <v>0.33930044146897598</v>
      </c>
      <c r="R112">
        <v>0.22417565188782801</v>
      </c>
      <c r="S112">
        <v>0.74591277349245599</v>
      </c>
      <c r="T112">
        <v>0.189526907833377</v>
      </c>
      <c r="U112">
        <v>29</v>
      </c>
    </row>
    <row r="113" spans="1:21" x14ac:dyDescent="0.25">
      <c r="A113">
        <v>112</v>
      </c>
      <c r="B113">
        <v>208</v>
      </c>
      <c r="C113" t="s">
        <v>23</v>
      </c>
      <c r="D113">
        <v>37</v>
      </c>
      <c r="E113" t="s">
        <v>24</v>
      </c>
      <c r="F113" t="s">
        <v>25</v>
      </c>
      <c r="G113">
        <v>11563.232763039099</v>
      </c>
      <c r="H113">
        <v>178472230.25582999</v>
      </c>
      <c r="I113">
        <v>9074.3111106631295</v>
      </c>
      <c r="J113">
        <v>89234751.208983496</v>
      </c>
      <c r="K113">
        <v>8.0570700061009096E-2</v>
      </c>
      <c r="L113">
        <v>3.0848698678943801E-2</v>
      </c>
      <c r="M113">
        <v>-4.8911899847530402E-2</v>
      </c>
      <c r="N113">
        <v>1.6154256136912801E-3</v>
      </c>
      <c r="O113">
        <v>0.29743510133926099</v>
      </c>
      <c r="P113">
        <v>9.7081348462140005E-2</v>
      </c>
      <c r="Q113">
        <v>0.34077319210211598</v>
      </c>
      <c r="R113">
        <v>0.22464682364646699</v>
      </c>
      <c r="S113">
        <v>0.60809557513484502</v>
      </c>
      <c r="T113">
        <v>0.23831534663627801</v>
      </c>
      <c r="U113">
        <v>20</v>
      </c>
    </row>
    <row r="114" spans="1:21" x14ac:dyDescent="0.25">
      <c r="A114">
        <v>113</v>
      </c>
      <c r="B114">
        <v>209</v>
      </c>
      <c r="C114" t="s">
        <v>23</v>
      </c>
      <c r="D114">
        <v>37</v>
      </c>
      <c r="E114" t="s">
        <v>24</v>
      </c>
      <c r="F114" t="s">
        <v>25</v>
      </c>
      <c r="G114">
        <v>12650.292825873699</v>
      </c>
      <c r="H114">
        <v>181246802.24901301</v>
      </c>
      <c r="I114">
        <v>8343.23361735447</v>
      </c>
      <c r="J114">
        <v>100521882.32778101</v>
      </c>
      <c r="K114">
        <v>0.112018965959518</v>
      </c>
      <c r="L114">
        <v>3.2624975856203303E-2</v>
      </c>
      <c r="M114">
        <v>-4.0288869952319298E-2</v>
      </c>
      <c r="N114">
        <v>1.7042910994276099E-3</v>
      </c>
      <c r="O114">
        <v>0.34287699674926703</v>
      </c>
      <c r="P114">
        <v>9.8122316377612206E-2</v>
      </c>
      <c r="Q114">
        <v>0.37857330813578</v>
      </c>
      <c r="R114">
        <v>0.23525555850291699</v>
      </c>
      <c r="S114">
        <v>0.341075999330192</v>
      </c>
      <c r="T114">
        <v>0.22474316201087599</v>
      </c>
      <c r="U114">
        <v>10</v>
      </c>
    </row>
    <row r="115" spans="1:21" x14ac:dyDescent="0.25">
      <c r="A115">
        <v>114</v>
      </c>
      <c r="B115">
        <v>210</v>
      </c>
      <c r="C115" t="s">
        <v>23</v>
      </c>
      <c r="D115">
        <v>37</v>
      </c>
      <c r="E115" t="s">
        <v>24</v>
      </c>
      <c r="F115" t="s">
        <v>25</v>
      </c>
      <c r="G115">
        <v>13889.234508924101</v>
      </c>
      <c r="H115">
        <v>145284654.65082499</v>
      </c>
      <c r="I115">
        <v>6174.4587097202502</v>
      </c>
      <c r="J115">
        <v>95641664.117155999</v>
      </c>
      <c r="K115">
        <v>0.18914780112541199</v>
      </c>
      <c r="L115">
        <v>3.7179008776290899E-2</v>
      </c>
      <c r="M115">
        <v>-1.9492601867876901E-2</v>
      </c>
      <c r="N115">
        <v>2.0942076821605102E-3</v>
      </c>
      <c r="O115">
        <v>0.44478264555464198</v>
      </c>
      <c r="P115">
        <v>9.4926867356598096E-2</v>
      </c>
      <c r="Q115">
        <v>0.49098769789250801</v>
      </c>
      <c r="R115">
        <v>0.24991877841070501</v>
      </c>
      <c r="S115">
        <v>0.75777704951094105</v>
      </c>
      <c r="T115">
        <v>0.18355099274546799</v>
      </c>
      <c r="U115">
        <v>25</v>
      </c>
    </row>
    <row r="116" spans="1:21" x14ac:dyDescent="0.25">
      <c r="A116">
        <v>115</v>
      </c>
      <c r="B116">
        <v>211</v>
      </c>
      <c r="C116" t="s">
        <v>23</v>
      </c>
      <c r="D116">
        <v>37</v>
      </c>
      <c r="E116" t="s">
        <v>24</v>
      </c>
      <c r="F116" t="s">
        <v>25</v>
      </c>
      <c r="G116">
        <v>9680.9297014465992</v>
      </c>
      <c r="H116">
        <v>115484834.87402201</v>
      </c>
      <c r="I116">
        <v>8728.6686266956094</v>
      </c>
      <c r="J116">
        <v>92124094.137202293</v>
      </c>
      <c r="K116">
        <v>0.146081203842167</v>
      </c>
      <c r="L116">
        <v>4.3890715159265202E-2</v>
      </c>
      <c r="M116">
        <v>-2.0410532396420499E-2</v>
      </c>
      <c r="N116">
        <v>2.0181300466286202E-3</v>
      </c>
      <c r="O116">
        <v>0.36497596654798897</v>
      </c>
      <c r="P116">
        <v>9.7424408697865603E-2</v>
      </c>
      <c r="Q116">
        <v>0.369676823638042</v>
      </c>
      <c r="R116">
        <v>0.233015869703009</v>
      </c>
      <c r="S116">
        <v>0.65941520467836301</v>
      </c>
      <c r="T116">
        <v>0.22458679251744701</v>
      </c>
      <c r="U116">
        <v>26</v>
      </c>
    </row>
    <row r="117" spans="1:21" x14ac:dyDescent="0.25">
      <c r="A117">
        <v>116</v>
      </c>
      <c r="B117">
        <v>212</v>
      </c>
      <c r="C117" t="s">
        <v>23</v>
      </c>
      <c r="D117">
        <v>37</v>
      </c>
      <c r="E117" t="s">
        <v>24</v>
      </c>
      <c r="F117" t="s">
        <v>25</v>
      </c>
      <c r="G117">
        <v>10686.4095670892</v>
      </c>
      <c r="H117">
        <v>147100544.80740601</v>
      </c>
      <c r="I117">
        <v>8826.0279597567005</v>
      </c>
      <c r="J117">
        <v>92542755.777624801</v>
      </c>
      <c r="K117">
        <v>0.114136053984299</v>
      </c>
      <c r="L117">
        <v>3.5068355144270001E-2</v>
      </c>
      <c r="M117">
        <v>-3.6893686795555797E-2</v>
      </c>
      <c r="N117">
        <v>1.66155326128294E-3</v>
      </c>
      <c r="O117">
        <v>0.34768899500266998</v>
      </c>
      <c r="P117">
        <v>9.2594888689527505E-2</v>
      </c>
      <c r="Q117">
        <v>0.36414733317388198</v>
      </c>
      <c r="R117">
        <v>0.23154405291614699</v>
      </c>
      <c r="S117">
        <v>0.39319540779717799</v>
      </c>
      <c r="T117">
        <v>0.23859277908433199</v>
      </c>
      <c r="U117">
        <v>12</v>
      </c>
    </row>
    <row r="118" spans="1:21" x14ac:dyDescent="0.25">
      <c r="A118">
        <v>117</v>
      </c>
      <c r="B118">
        <v>301</v>
      </c>
      <c r="C118" t="s">
        <v>23</v>
      </c>
      <c r="D118">
        <v>37</v>
      </c>
      <c r="E118" t="s">
        <v>24</v>
      </c>
      <c r="F118" t="s">
        <v>25</v>
      </c>
      <c r="G118">
        <v>14536.5264395538</v>
      </c>
      <c r="H118">
        <v>172304548.72001499</v>
      </c>
      <c r="I118">
        <v>8454.19908307271</v>
      </c>
      <c r="J118">
        <v>96146133.600029007</v>
      </c>
      <c r="K118">
        <v>0.132726484503838</v>
      </c>
      <c r="L118">
        <v>2.8359410475745001E-2</v>
      </c>
      <c r="M118">
        <v>-5.7611364525537497E-3</v>
      </c>
      <c r="N118">
        <v>2.8047411017731098E-3</v>
      </c>
      <c r="O118">
        <v>0.37123273040174298</v>
      </c>
      <c r="P118">
        <v>9.9955042329713903E-2</v>
      </c>
      <c r="Q118">
        <v>0.46315345191438001</v>
      </c>
      <c r="R118">
        <v>0.24864233189395499</v>
      </c>
      <c r="S118">
        <v>0.54435936086825398</v>
      </c>
      <c r="T118">
        <v>0.24803224710333299</v>
      </c>
      <c r="U118">
        <v>15</v>
      </c>
    </row>
    <row r="119" spans="1:21" x14ac:dyDescent="0.25">
      <c r="A119">
        <v>118</v>
      </c>
      <c r="B119">
        <v>302</v>
      </c>
      <c r="C119" t="s">
        <v>23</v>
      </c>
      <c r="D119">
        <v>37</v>
      </c>
      <c r="E119" t="s">
        <v>24</v>
      </c>
      <c r="F119" t="s">
        <v>25</v>
      </c>
      <c r="G119">
        <v>14845.796100944901</v>
      </c>
      <c r="H119">
        <v>227926129.05824399</v>
      </c>
      <c r="I119">
        <v>9868.3373846076593</v>
      </c>
      <c r="J119">
        <v>111726609.248697</v>
      </c>
      <c r="K119">
        <v>7.4789437111366402E-2</v>
      </c>
      <c r="L119">
        <v>2.5126474730987499E-2</v>
      </c>
      <c r="M119">
        <v>-4.4763367401408502E-2</v>
      </c>
      <c r="N119">
        <v>1.7718067413238501E-3</v>
      </c>
      <c r="O119">
        <v>0.30456567454910799</v>
      </c>
      <c r="P119">
        <v>0.100953345269751</v>
      </c>
      <c r="Q119">
        <v>0.393780648247817</v>
      </c>
      <c r="R119">
        <v>0.23871744931321101</v>
      </c>
      <c r="S119">
        <v>0.50074153809352995</v>
      </c>
      <c r="T119">
        <v>0.24999945012116601</v>
      </c>
      <c r="U119">
        <v>19</v>
      </c>
    </row>
    <row r="120" spans="1:21" x14ac:dyDescent="0.25">
      <c r="A120">
        <v>119</v>
      </c>
      <c r="B120">
        <v>303</v>
      </c>
      <c r="C120" t="s">
        <v>23</v>
      </c>
      <c r="D120">
        <v>37</v>
      </c>
      <c r="E120" t="s">
        <v>24</v>
      </c>
      <c r="F120" t="s">
        <v>25</v>
      </c>
      <c r="G120">
        <v>19065.576991616101</v>
      </c>
      <c r="H120">
        <v>225500813.48849401</v>
      </c>
      <c r="I120">
        <v>5227.5632709261299</v>
      </c>
      <c r="J120">
        <v>110894977.60584</v>
      </c>
      <c r="K120">
        <v>0.152843677424291</v>
      </c>
      <c r="L120">
        <v>2.6348540015347002E-2</v>
      </c>
      <c r="M120">
        <v>-3.3225637339128901E-2</v>
      </c>
      <c r="N120">
        <v>1.631181686938E-3</v>
      </c>
      <c r="O120">
        <v>0.43851943944879601</v>
      </c>
      <c r="P120">
        <v>9.7724488602477996E-2</v>
      </c>
      <c r="Q120">
        <v>0.54102830899501297</v>
      </c>
      <c r="R120">
        <v>0.24831667786108699</v>
      </c>
      <c r="S120">
        <v>0.31272648989989599</v>
      </c>
      <c r="T120">
        <v>0.21492863241467</v>
      </c>
      <c r="U120">
        <v>7</v>
      </c>
    </row>
    <row r="121" spans="1:21" x14ac:dyDescent="0.25">
      <c r="A121">
        <v>120</v>
      </c>
      <c r="B121">
        <v>304</v>
      </c>
      <c r="C121" t="s">
        <v>23</v>
      </c>
      <c r="D121">
        <v>37</v>
      </c>
      <c r="E121" t="s">
        <v>24</v>
      </c>
      <c r="F121" t="s">
        <v>25</v>
      </c>
      <c r="G121">
        <v>17667.538984104998</v>
      </c>
      <c r="H121">
        <v>244595339.20251501</v>
      </c>
      <c r="I121">
        <v>6782.0713959598997</v>
      </c>
      <c r="J121">
        <v>117837230.099608</v>
      </c>
      <c r="K121">
        <v>0.11544743760179101</v>
      </c>
      <c r="L121">
        <v>2.9710563969835398E-2</v>
      </c>
      <c r="M121">
        <v>-4.9111776759475603E-2</v>
      </c>
      <c r="N121">
        <v>1.79599603026684E-3</v>
      </c>
      <c r="O121">
        <v>0.38440591728104201</v>
      </c>
      <c r="P121">
        <v>0.108860078229681</v>
      </c>
      <c r="Q121">
        <v>0.49285381110141002</v>
      </c>
      <c r="R121">
        <v>0.249948931983972</v>
      </c>
      <c r="S121">
        <v>0.39267560488452502</v>
      </c>
      <c r="T121">
        <v>0.23848147421326801</v>
      </c>
      <c r="U121">
        <v>11</v>
      </c>
    </row>
    <row r="122" spans="1:21" x14ac:dyDescent="0.25">
      <c r="A122">
        <v>121</v>
      </c>
      <c r="B122">
        <v>305</v>
      </c>
      <c r="C122" t="s">
        <v>23</v>
      </c>
      <c r="D122">
        <v>37</v>
      </c>
      <c r="E122" t="s">
        <v>24</v>
      </c>
      <c r="F122" t="s">
        <v>25</v>
      </c>
      <c r="G122">
        <v>15950.755998086401</v>
      </c>
      <c r="H122">
        <v>253569996.321123</v>
      </c>
      <c r="I122">
        <v>7254.00330510001</v>
      </c>
      <c r="J122">
        <v>105164629.258231</v>
      </c>
      <c r="K122">
        <v>9.3208670871204297E-2</v>
      </c>
      <c r="L122">
        <v>2.56549745896705E-2</v>
      </c>
      <c r="M122">
        <v>-5.2461559865420303E-2</v>
      </c>
      <c r="N122">
        <v>1.81357365608899E-3</v>
      </c>
      <c r="O122">
        <v>0.344108249770193</v>
      </c>
      <c r="P122">
        <v>0.103125089880118</v>
      </c>
      <c r="Q122">
        <v>0.431288123430212</v>
      </c>
      <c r="R122">
        <v>0.24527867801828401</v>
      </c>
      <c r="S122">
        <v>0.51013036718095905</v>
      </c>
      <c r="T122">
        <v>0.249897375660976</v>
      </c>
      <c r="U122">
        <v>12</v>
      </c>
    </row>
    <row r="123" spans="1:21" x14ac:dyDescent="0.25">
      <c r="A123">
        <v>122</v>
      </c>
      <c r="B123">
        <v>306</v>
      </c>
      <c r="C123" t="s">
        <v>23</v>
      </c>
      <c r="D123">
        <v>37</v>
      </c>
      <c r="E123" t="s">
        <v>24</v>
      </c>
      <c r="F123" t="s">
        <v>25</v>
      </c>
      <c r="G123">
        <v>12476.6405224068</v>
      </c>
      <c r="H123">
        <v>224971268.35795999</v>
      </c>
      <c r="I123">
        <v>8667.7234061995296</v>
      </c>
      <c r="J123">
        <v>85820863.646481201</v>
      </c>
      <c r="K123">
        <v>5.4563435515646998E-2</v>
      </c>
      <c r="L123">
        <v>2.2514399231027198E-2</v>
      </c>
      <c r="M123">
        <v>-5.6799784564291599E-2</v>
      </c>
      <c r="N123">
        <v>1.83737725978013E-3</v>
      </c>
      <c r="O123">
        <v>0.27120829143757902</v>
      </c>
      <c r="P123">
        <v>9.57564898372356E-2</v>
      </c>
      <c r="Q123">
        <v>0.34402545058782702</v>
      </c>
      <c r="R123">
        <v>0.225671939935741</v>
      </c>
      <c r="S123">
        <v>0.69333716048939797</v>
      </c>
      <c r="T123">
        <v>0.21262074237372799</v>
      </c>
      <c r="U123">
        <v>27</v>
      </c>
    </row>
    <row r="124" spans="1:21" x14ac:dyDescent="0.25">
      <c r="A124">
        <v>123</v>
      </c>
      <c r="B124">
        <v>307</v>
      </c>
      <c r="C124" t="s">
        <v>23</v>
      </c>
      <c r="D124">
        <v>37</v>
      </c>
      <c r="E124" t="s">
        <v>24</v>
      </c>
      <c r="F124" t="s">
        <v>25</v>
      </c>
      <c r="G124">
        <v>14348.429321375201</v>
      </c>
      <c r="H124">
        <v>223557685.48353499</v>
      </c>
      <c r="I124">
        <v>7508.17589409631</v>
      </c>
      <c r="J124">
        <v>94486816.441020906</v>
      </c>
      <c r="K124">
        <v>8.1677586645186706E-2</v>
      </c>
      <c r="L124">
        <v>2.7305935859870699E-2</v>
      </c>
      <c r="M124">
        <v>-5.5445108255111702E-2</v>
      </c>
      <c r="N124">
        <v>1.6954598420181701E-3</v>
      </c>
      <c r="O124">
        <v>0.32399240014545799</v>
      </c>
      <c r="P124">
        <v>0.105203574135464</v>
      </c>
      <c r="Q124">
        <v>0.411204783258595</v>
      </c>
      <c r="R124">
        <v>0.24211540948385599</v>
      </c>
      <c r="S124">
        <v>0.58075934230194304</v>
      </c>
      <c r="T124">
        <v>0.243477928630846</v>
      </c>
      <c r="U124">
        <v>25</v>
      </c>
    </row>
    <row r="125" spans="1:21" x14ac:dyDescent="0.25">
      <c r="A125">
        <v>124</v>
      </c>
      <c r="B125">
        <v>308</v>
      </c>
      <c r="C125" t="s">
        <v>23</v>
      </c>
      <c r="D125">
        <v>37</v>
      </c>
      <c r="E125" t="s">
        <v>24</v>
      </c>
      <c r="F125" t="s">
        <v>25</v>
      </c>
      <c r="G125">
        <v>16819.600258329901</v>
      </c>
      <c r="H125">
        <v>243905384.029935</v>
      </c>
      <c r="I125">
        <v>7509.0463955596797</v>
      </c>
      <c r="J125">
        <v>100744623.000726</v>
      </c>
      <c r="K125">
        <v>8.8188733869478203E-2</v>
      </c>
      <c r="L125">
        <v>2.6016308014780599E-2</v>
      </c>
      <c r="M125">
        <v>-5.5782947674469799E-2</v>
      </c>
      <c r="N125">
        <v>1.81200189193354E-3</v>
      </c>
      <c r="O125">
        <v>0.35065267105598902</v>
      </c>
      <c r="P125">
        <v>9.9736052797364805E-2</v>
      </c>
      <c r="Q125">
        <v>0.45625134546846202</v>
      </c>
      <c r="R125">
        <v>0.24808605522670599</v>
      </c>
      <c r="S125">
        <v>0.66452986342000098</v>
      </c>
      <c r="T125">
        <v>0.22292992404275799</v>
      </c>
      <c r="U125">
        <v>23</v>
      </c>
    </row>
    <row r="126" spans="1:21" x14ac:dyDescent="0.25">
      <c r="A126">
        <v>125</v>
      </c>
      <c r="B126">
        <v>309</v>
      </c>
      <c r="C126" t="s">
        <v>23</v>
      </c>
      <c r="D126">
        <v>37</v>
      </c>
      <c r="E126" t="s">
        <v>24</v>
      </c>
      <c r="F126" t="s">
        <v>25</v>
      </c>
      <c r="G126">
        <v>9112.47144651079</v>
      </c>
      <c r="H126">
        <v>149491878.935377</v>
      </c>
      <c r="I126">
        <v>11997.4974567427</v>
      </c>
      <c r="J126">
        <v>83960213.954121396</v>
      </c>
      <c r="K126">
        <v>4.4189658753193299E-2</v>
      </c>
      <c r="L126">
        <v>2.5013316642443599E-2</v>
      </c>
      <c r="M126">
        <v>-5.1655229897191998E-2</v>
      </c>
      <c r="N126">
        <v>1.6203098961108801E-3</v>
      </c>
      <c r="O126">
        <v>0.22764592433323699</v>
      </c>
      <c r="P126">
        <v>8.6132099934373693E-2</v>
      </c>
      <c r="Q126">
        <v>0.25628176762542598</v>
      </c>
      <c r="R126">
        <v>0.19060142320850801</v>
      </c>
      <c r="S126">
        <v>0.60034682772229897</v>
      </c>
      <c r="T126">
        <v>0.239930514166218</v>
      </c>
      <c r="U126">
        <v>25</v>
      </c>
    </row>
    <row r="127" spans="1:21" x14ac:dyDescent="0.25">
      <c r="A127">
        <v>126</v>
      </c>
      <c r="B127">
        <v>310</v>
      </c>
      <c r="C127" t="s">
        <v>23</v>
      </c>
      <c r="D127">
        <v>37</v>
      </c>
      <c r="E127" t="s">
        <v>24</v>
      </c>
      <c r="F127" t="s">
        <v>25</v>
      </c>
      <c r="G127">
        <v>19508.035736497201</v>
      </c>
      <c r="H127">
        <v>215830257.45229399</v>
      </c>
      <c r="I127">
        <v>4105.4027811726301</v>
      </c>
      <c r="J127">
        <v>92727005.034212396</v>
      </c>
      <c r="K127">
        <v>0.171953118841568</v>
      </c>
      <c r="L127">
        <v>2.5746185310291402E-2</v>
      </c>
      <c r="M127">
        <v>-3.2003938919459497E-2</v>
      </c>
      <c r="N127">
        <v>1.9728423029662201E-3</v>
      </c>
      <c r="O127">
        <v>0.48093415380419602</v>
      </c>
      <c r="P127">
        <v>8.87980879832026E-2</v>
      </c>
      <c r="Q127">
        <v>0.59022628330861604</v>
      </c>
      <c r="R127">
        <v>0.24185921780005701</v>
      </c>
      <c r="S127">
        <v>0.74387647706070903</v>
      </c>
      <c r="T127">
        <v>0.19052426393663</v>
      </c>
      <c r="U127">
        <v>26</v>
      </c>
    </row>
    <row r="128" spans="1:21" x14ac:dyDescent="0.25">
      <c r="A128">
        <v>127</v>
      </c>
      <c r="B128">
        <v>311</v>
      </c>
      <c r="C128" t="s">
        <v>23</v>
      </c>
      <c r="D128">
        <v>37</v>
      </c>
      <c r="E128" t="s">
        <v>24</v>
      </c>
      <c r="F128" t="s">
        <v>25</v>
      </c>
      <c r="G128">
        <v>13458.231687695799</v>
      </c>
      <c r="H128">
        <v>188862229.834831</v>
      </c>
      <c r="I128">
        <v>8833.1680419147997</v>
      </c>
      <c r="J128">
        <v>107363893.52744199</v>
      </c>
      <c r="K128">
        <v>0.11818643060964699</v>
      </c>
      <c r="L128">
        <v>3.2428801278305899E-2</v>
      </c>
      <c r="M128">
        <v>-3.5705254791949699E-2</v>
      </c>
      <c r="N128">
        <v>1.80620222676809E-3</v>
      </c>
      <c r="O128">
        <v>0.36172037962339298</v>
      </c>
      <c r="P128">
        <v>9.74386922219726E-2</v>
      </c>
      <c r="Q128">
        <v>0.40600994398945101</v>
      </c>
      <c r="R128">
        <v>0.24116586937092799</v>
      </c>
      <c r="S128">
        <v>0.59480057583199297</v>
      </c>
      <c r="T128">
        <v>0.241012850821542</v>
      </c>
      <c r="U128">
        <v>23</v>
      </c>
    </row>
    <row r="129" spans="1:21" x14ac:dyDescent="0.25">
      <c r="A129">
        <v>128</v>
      </c>
      <c r="B129">
        <v>312</v>
      </c>
      <c r="C129" t="s">
        <v>23</v>
      </c>
      <c r="D129">
        <v>37</v>
      </c>
      <c r="E129" t="s">
        <v>24</v>
      </c>
      <c r="F129" t="s">
        <v>25</v>
      </c>
      <c r="G129">
        <v>10426.211918232601</v>
      </c>
      <c r="H129">
        <v>138919746.46826801</v>
      </c>
      <c r="I129">
        <v>9467.2774740867007</v>
      </c>
      <c r="J129">
        <v>94132262.897527799</v>
      </c>
      <c r="K129">
        <v>0.11186499917454799</v>
      </c>
      <c r="L129">
        <v>3.2974709916980101E-2</v>
      </c>
      <c r="M129">
        <v>-3.8403847310919101E-2</v>
      </c>
      <c r="N129">
        <v>1.8794180698349899E-3</v>
      </c>
      <c r="O129">
        <v>0.33430437000892199</v>
      </c>
      <c r="P129">
        <v>9.1919326278271707E-2</v>
      </c>
      <c r="Q129">
        <v>0.35516668062150902</v>
      </c>
      <c r="R129">
        <v>0.229023309598097</v>
      </c>
      <c r="S129">
        <v>0.69572862217862996</v>
      </c>
      <c r="T129">
        <v>0.21169030646018999</v>
      </c>
      <c r="U129">
        <v>26</v>
      </c>
    </row>
    <row r="130" spans="1:21" x14ac:dyDescent="0.25">
      <c r="A130">
        <v>129</v>
      </c>
      <c r="B130">
        <v>401</v>
      </c>
      <c r="C130" t="s">
        <v>23</v>
      </c>
      <c r="D130">
        <v>37</v>
      </c>
      <c r="E130" t="s">
        <v>24</v>
      </c>
      <c r="F130" t="s">
        <v>25</v>
      </c>
      <c r="G130">
        <v>12717.8710398852</v>
      </c>
      <c r="H130">
        <v>145191826.46659601</v>
      </c>
      <c r="I130">
        <v>10293.4059072912</v>
      </c>
      <c r="J130">
        <v>118618517.747233</v>
      </c>
      <c r="K130">
        <v>0.10837824183811801</v>
      </c>
      <c r="L130">
        <v>3.8242927514482002E-2</v>
      </c>
      <c r="M130">
        <v>-4.2781808610073196E-3</v>
      </c>
      <c r="N130">
        <v>4.0624261625243603E-3</v>
      </c>
      <c r="O130">
        <v>0.339271634665676</v>
      </c>
      <c r="P130">
        <v>0.109493199345174</v>
      </c>
      <c r="Q130">
        <v>0.42694492614961399</v>
      </c>
      <c r="R130">
        <v>0.24466295618495301</v>
      </c>
      <c r="S130">
        <v>0.50459845721461505</v>
      </c>
      <c r="T130">
        <v>0.24997885419132501</v>
      </c>
      <c r="U130">
        <v>16</v>
      </c>
    </row>
    <row r="131" spans="1:21" x14ac:dyDescent="0.25">
      <c r="A131">
        <v>130</v>
      </c>
      <c r="B131">
        <v>402</v>
      </c>
      <c r="C131" t="s">
        <v>23</v>
      </c>
      <c r="D131">
        <v>37</v>
      </c>
      <c r="E131" t="s">
        <v>24</v>
      </c>
      <c r="F131" t="s">
        <v>25</v>
      </c>
      <c r="G131">
        <v>12422.0822293452</v>
      </c>
      <c r="H131">
        <v>173120135.00554901</v>
      </c>
      <c r="I131">
        <v>10207.888447163201</v>
      </c>
      <c r="J131">
        <v>102003716.130171</v>
      </c>
      <c r="K131">
        <v>8.9716510737538294E-2</v>
      </c>
      <c r="L131">
        <v>2.9724103878630701E-2</v>
      </c>
      <c r="M131">
        <v>-2.7489601020688099E-2</v>
      </c>
      <c r="N131">
        <v>2.1536778926524599E-3</v>
      </c>
      <c r="O131">
        <v>0.30955715172561998</v>
      </c>
      <c r="P131">
        <v>9.6898106676383794E-2</v>
      </c>
      <c r="Q131">
        <v>0.36905095611266198</v>
      </c>
      <c r="R131">
        <v>0.232852347905248</v>
      </c>
      <c r="S131">
        <v>0.78547488756992601</v>
      </c>
      <c r="T131">
        <v>0.168504088567105</v>
      </c>
      <c r="U131">
        <v>31</v>
      </c>
    </row>
    <row r="132" spans="1:21" x14ac:dyDescent="0.25">
      <c r="A132">
        <v>131</v>
      </c>
      <c r="B132">
        <v>403</v>
      </c>
      <c r="C132" t="s">
        <v>23</v>
      </c>
      <c r="D132">
        <v>37</v>
      </c>
      <c r="E132" t="s">
        <v>24</v>
      </c>
      <c r="F132" t="s">
        <v>25</v>
      </c>
      <c r="G132">
        <v>15874.635612375499</v>
      </c>
      <c r="H132">
        <v>213420804.402603</v>
      </c>
      <c r="I132">
        <v>8065.1896000136303</v>
      </c>
      <c r="J132">
        <v>126343401.87158599</v>
      </c>
      <c r="K132">
        <v>0.107533257011537</v>
      </c>
      <c r="L132">
        <v>3.05355414022906E-2</v>
      </c>
      <c r="M132">
        <v>-3.8241631499746402E-2</v>
      </c>
      <c r="N132">
        <v>1.73475631250338E-3</v>
      </c>
      <c r="O132">
        <v>0.36325624578082499</v>
      </c>
      <c r="P132">
        <v>0.10413046337556001</v>
      </c>
      <c r="Q132">
        <v>0.44529222526519702</v>
      </c>
      <c r="R132">
        <v>0.24700705938377299</v>
      </c>
      <c r="S132">
        <v>0.56584187426001897</v>
      </c>
      <c r="T132">
        <v>0.245664847594286</v>
      </c>
      <c r="U132">
        <v>12</v>
      </c>
    </row>
    <row r="133" spans="1:21" x14ac:dyDescent="0.25">
      <c r="A133">
        <v>132</v>
      </c>
      <c r="B133">
        <v>404</v>
      </c>
      <c r="C133" t="s">
        <v>23</v>
      </c>
      <c r="D133">
        <v>37</v>
      </c>
      <c r="E133" t="s">
        <v>24</v>
      </c>
      <c r="F133" t="s">
        <v>25</v>
      </c>
      <c r="G133">
        <v>18701.251402260401</v>
      </c>
      <c r="H133">
        <v>247465249.64691001</v>
      </c>
      <c r="I133">
        <v>5463.5354404543205</v>
      </c>
      <c r="J133">
        <v>115301082.31701</v>
      </c>
      <c r="K133">
        <v>0.13376735677609999</v>
      </c>
      <c r="L133">
        <v>2.7234493523229399E-2</v>
      </c>
      <c r="M133">
        <v>-3.9969456687935098E-2</v>
      </c>
      <c r="N133">
        <v>1.63856493745965E-3</v>
      </c>
      <c r="O133">
        <v>0.42444576436995102</v>
      </c>
      <c r="P133">
        <v>0.10011192015100399</v>
      </c>
      <c r="Q133">
        <v>0.53480834778448805</v>
      </c>
      <c r="R133">
        <v>0.24878837892431699</v>
      </c>
      <c r="S133">
        <v>0.41095497219398402</v>
      </c>
      <c r="T133">
        <v>0.242070983023184</v>
      </c>
      <c r="U133">
        <v>14</v>
      </c>
    </row>
    <row r="134" spans="1:21" x14ac:dyDescent="0.25">
      <c r="A134">
        <v>133</v>
      </c>
      <c r="B134">
        <v>405</v>
      </c>
      <c r="C134" t="s">
        <v>23</v>
      </c>
      <c r="D134">
        <v>37</v>
      </c>
      <c r="E134" t="s">
        <v>24</v>
      </c>
      <c r="F134" t="s">
        <v>25</v>
      </c>
      <c r="G134">
        <v>12067.510638552299</v>
      </c>
      <c r="H134">
        <v>187127147.83967599</v>
      </c>
      <c r="I134">
        <v>11085.775190116299</v>
      </c>
      <c r="J134">
        <v>124469761.042776</v>
      </c>
      <c r="K134">
        <v>5.48416203273537E-2</v>
      </c>
      <c r="L134">
        <v>3.1952735235630997E-2</v>
      </c>
      <c r="M134">
        <v>-5.5158172801850702E-2</v>
      </c>
      <c r="N134">
        <v>1.81906494786792E-3</v>
      </c>
      <c r="O134">
        <v>0.270867283256368</v>
      </c>
      <c r="P134">
        <v>0.10245291109962899</v>
      </c>
      <c r="Q134">
        <v>0.33255193694609603</v>
      </c>
      <c r="R134">
        <v>0.22196114617919799</v>
      </c>
      <c r="S134">
        <v>0.648311824999103</v>
      </c>
      <c r="T134">
        <v>0.22800360256555199</v>
      </c>
      <c r="U134">
        <v>18</v>
      </c>
    </row>
    <row r="135" spans="1:21" x14ac:dyDescent="0.25">
      <c r="A135">
        <v>134</v>
      </c>
      <c r="B135">
        <v>406</v>
      </c>
      <c r="C135" t="s">
        <v>23</v>
      </c>
      <c r="D135">
        <v>37</v>
      </c>
      <c r="E135" t="s">
        <v>24</v>
      </c>
      <c r="F135" t="s">
        <v>25</v>
      </c>
      <c r="G135">
        <v>16369.847914718501</v>
      </c>
      <c r="H135">
        <v>252187779.803689</v>
      </c>
      <c r="I135">
        <v>7181.2698365362703</v>
      </c>
      <c r="J135">
        <v>93844738.484814197</v>
      </c>
      <c r="K135">
        <v>9.1454629211257105E-2</v>
      </c>
      <c r="L135">
        <v>2.1016229536417599E-2</v>
      </c>
      <c r="M135">
        <v>-4.9997276687130901E-2</v>
      </c>
      <c r="N135">
        <v>1.7487001837892199E-3</v>
      </c>
      <c r="O135">
        <v>0.35678488992012702</v>
      </c>
      <c r="P135">
        <v>9.3430364825313306E-2</v>
      </c>
      <c r="Q135">
        <v>0.442391372108971</v>
      </c>
      <c r="R135">
        <v>0.24668124599267799</v>
      </c>
      <c r="S135">
        <v>0.40572283523471098</v>
      </c>
      <c r="T135">
        <v>0.24111181620366601</v>
      </c>
      <c r="U135">
        <v>10</v>
      </c>
    </row>
    <row r="136" spans="1:21" x14ac:dyDescent="0.25">
      <c r="A136">
        <v>135</v>
      </c>
      <c r="B136">
        <v>407</v>
      </c>
      <c r="C136" t="s">
        <v>23</v>
      </c>
      <c r="D136">
        <v>37</v>
      </c>
      <c r="E136" t="s">
        <v>24</v>
      </c>
      <c r="F136" t="s">
        <v>25</v>
      </c>
      <c r="G136">
        <v>18343.503869108099</v>
      </c>
      <c r="H136">
        <v>238761102.49677199</v>
      </c>
      <c r="I136">
        <v>6117.8834388887399</v>
      </c>
      <c r="J136">
        <v>118528684.664965</v>
      </c>
      <c r="K136">
        <v>0.115274576724431</v>
      </c>
      <c r="L136">
        <v>2.7593438042502E-2</v>
      </c>
      <c r="M136">
        <v>-5.0591907311951199E-2</v>
      </c>
      <c r="N136">
        <v>1.7038356944909601E-3</v>
      </c>
      <c r="O136">
        <v>0.40365562026723001</v>
      </c>
      <c r="P136">
        <v>0.105389393587577</v>
      </c>
      <c r="Q136">
        <v>0.50809104065254596</v>
      </c>
      <c r="R136">
        <v>0.24993453506143701</v>
      </c>
      <c r="S136">
        <v>0.59971774048869197</v>
      </c>
      <c r="T136">
        <v>0.240056372231787</v>
      </c>
      <c r="U136">
        <v>18</v>
      </c>
    </row>
    <row r="137" spans="1:21" x14ac:dyDescent="0.25">
      <c r="A137">
        <v>136</v>
      </c>
      <c r="B137">
        <v>408</v>
      </c>
      <c r="C137" t="s">
        <v>23</v>
      </c>
      <c r="D137">
        <v>37</v>
      </c>
      <c r="E137" t="s">
        <v>24</v>
      </c>
      <c r="F137" t="s">
        <v>25</v>
      </c>
      <c r="G137">
        <v>16020.5109280734</v>
      </c>
      <c r="H137">
        <v>170950537.74881399</v>
      </c>
      <c r="I137">
        <v>6782.2437723328503</v>
      </c>
      <c r="J137">
        <v>97623688.129859105</v>
      </c>
      <c r="K137">
        <v>0.145048276771959</v>
      </c>
      <c r="L137">
        <v>2.8576188810576799E-2</v>
      </c>
      <c r="M137">
        <v>-4.0383603757103301E-2</v>
      </c>
      <c r="N137">
        <v>1.8368194404043299E-3</v>
      </c>
      <c r="O137">
        <v>0.41340826188761698</v>
      </c>
      <c r="P137">
        <v>8.9033816249698194E-2</v>
      </c>
      <c r="Q137">
        <v>0.51172284238286203</v>
      </c>
      <c r="R137">
        <v>0.249862574966352</v>
      </c>
      <c r="S137">
        <v>0.85437664824247705</v>
      </c>
      <c r="T137">
        <v>0.12441719118078901</v>
      </c>
      <c r="U137">
        <v>56</v>
      </c>
    </row>
    <row r="138" spans="1:21" x14ac:dyDescent="0.25">
      <c r="A138">
        <v>137</v>
      </c>
      <c r="B138">
        <v>409</v>
      </c>
      <c r="C138" t="s">
        <v>23</v>
      </c>
      <c r="D138">
        <v>37</v>
      </c>
      <c r="E138" t="s">
        <v>24</v>
      </c>
      <c r="F138" t="s">
        <v>25</v>
      </c>
      <c r="G138">
        <v>14852.251629492301</v>
      </c>
      <c r="H138">
        <v>209325732.618929</v>
      </c>
      <c r="I138">
        <v>7645.5439319319803</v>
      </c>
      <c r="J138">
        <v>109645235.64332201</v>
      </c>
      <c r="K138">
        <v>0.107487392857124</v>
      </c>
      <c r="L138">
        <v>2.7573636793441599E-2</v>
      </c>
      <c r="M138">
        <v>-4.2913717254228101E-2</v>
      </c>
      <c r="N138">
        <v>1.8059827027554699E-3</v>
      </c>
      <c r="O138">
        <v>0.36552889724558002</v>
      </c>
      <c r="P138">
        <v>9.7718046059721897E-2</v>
      </c>
      <c r="Q138">
        <v>0.44340130359385299</v>
      </c>
      <c r="R138">
        <v>0.24679658756501299</v>
      </c>
      <c r="S138">
        <v>0.547939962925312</v>
      </c>
      <c r="T138">
        <v>0.24770175995452201</v>
      </c>
      <c r="U138">
        <v>16</v>
      </c>
    </row>
    <row r="139" spans="1:21" x14ac:dyDescent="0.25">
      <c r="A139">
        <v>138</v>
      </c>
      <c r="B139">
        <v>410</v>
      </c>
      <c r="C139" t="s">
        <v>23</v>
      </c>
      <c r="D139">
        <v>37</v>
      </c>
      <c r="E139" t="s">
        <v>24</v>
      </c>
      <c r="F139" t="s">
        <v>25</v>
      </c>
      <c r="G139">
        <v>13105.77326812</v>
      </c>
      <c r="H139">
        <v>136699437.596917</v>
      </c>
      <c r="I139">
        <v>7873.7693929951402</v>
      </c>
      <c r="J139">
        <v>82726548.236339599</v>
      </c>
      <c r="K139">
        <v>0.14838939444355401</v>
      </c>
      <c r="L139">
        <v>3.1660474569235403E-2</v>
      </c>
      <c r="M139">
        <v>-2.6113153990719701E-2</v>
      </c>
      <c r="N139">
        <v>2.0956526191541701E-3</v>
      </c>
      <c r="O139">
        <v>0.39858748669387301</v>
      </c>
      <c r="P139">
        <v>8.6474286568537395E-2</v>
      </c>
      <c r="Q139">
        <v>0.45241141791133999</v>
      </c>
      <c r="R139">
        <v>0.24773532685458699</v>
      </c>
      <c r="S139">
        <v>0.67507743085036398</v>
      </c>
      <c r="T139">
        <v>0.21934789320690901</v>
      </c>
      <c r="U139">
        <v>32</v>
      </c>
    </row>
    <row r="140" spans="1:21" x14ac:dyDescent="0.25">
      <c r="A140">
        <v>139</v>
      </c>
      <c r="B140">
        <v>411</v>
      </c>
      <c r="C140" t="s">
        <v>23</v>
      </c>
      <c r="D140">
        <v>37</v>
      </c>
      <c r="E140" t="s">
        <v>24</v>
      </c>
      <c r="F140" t="s">
        <v>25</v>
      </c>
      <c r="G140">
        <v>10236.6818249112</v>
      </c>
      <c r="H140">
        <v>113497707.566846</v>
      </c>
      <c r="I140">
        <v>10344.4319083308</v>
      </c>
      <c r="J140">
        <v>84885759.433198094</v>
      </c>
      <c r="K140">
        <v>0.116624481642621</v>
      </c>
      <c r="L140">
        <v>3.2779934866670302E-2</v>
      </c>
      <c r="M140">
        <v>-2.7323652310624901E-2</v>
      </c>
      <c r="N140">
        <v>1.9377254563448601E-3</v>
      </c>
      <c r="O140">
        <v>0.33739199183107599</v>
      </c>
      <c r="P140">
        <v>8.3759403998854495E-2</v>
      </c>
      <c r="Q140">
        <v>0.35523588630082897</v>
      </c>
      <c r="R140">
        <v>0.229043351384767</v>
      </c>
      <c r="S140">
        <v>0.82842726016581103</v>
      </c>
      <c r="T140">
        <v>0.142135534779809</v>
      </c>
      <c r="U140">
        <v>36</v>
      </c>
    </row>
    <row r="141" spans="1:21" x14ac:dyDescent="0.25">
      <c r="A141">
        <v>140</v>
      </c>
      <c r="B141">
        <v>412</v>
      </c>
      <c r="C141" t="s">
        <v>23</v>
      </c>
      <c r="D141">
        <v>37</v>
      </c>
      <c r="E141" t="s">
        <v>24</v>
      </c>
      <c r="F141" t="s">
        <v>25</v>
      </c>
      <c r="G141">
        <v>8066.0498164029304</v>
      </c>
      <c r="H141">
        <v>95525762.621424496</v>
      </c>
      <c r="I141">
        <v>11736.3272283481</v>
      </c>
      <c r="J141">
        <v>88127944.558181897</v>
      </c>
      <c r="K141">
        <v>8.8127985961120897E-2</v>
      </c>
      <c r="L141">
        <v>3.4903949431368202E-2</v>
      </c>
      <c r="M141">
        <v>-4.0570110826675498E-2</v>
      </c>
      <c r="N141">
        <v>2.0686192493490699E-3</v>
      </c>
      <c r="O141">
        <v>0.28659384676378002</v>
      </c>
      <c r="P141">
        <v>8.7052802798357004E-2</v>
      </c>
      <c r="Q141">
        <v>0.292654921238652</v>
      </c>
      <c r="R141">
        <v>0.20700801831364701</v>
      </c>
      <c r="S141">
        <v>0.53540971449759001</v>
      </c>
      <c r="T141">
        <v>0.24874615211930701</v>
      </c>
      <c r="U141">
        <v>24</v>
      </c>
    </row>
    <row r="142" spans="1:21" x14ac:dyDescent="0.25">
      <c r="A142">
        <v>141</v>
      </c>
      <c r="B142">
        <v>501</v>
      </c>
      <c r="C142" t="s">
        <v>23</v>
      </c>
      <c r="D142">
        <v>37</v>
      </c>
      <c r="E142" t="s">
        <v>24</v>
      </c>
      <c r="F142" t="s">
        <v>25</v>
      </c>
      <c r="G142">
        <v>10360.211519602</v>
      </c>
      <c r="H142">
        <v>134724887.90450299</v>
      </c>
      <c r="I142">
        <v>13232.8457542628</v>
      </c>
      <c r="J142">
        <v>102750945.857365</v>
      </c>
      <c r="K142">
        <v>7.1067565866846302E-2</v>
      </c>
      <c r="L142">
        <v>3.0201620910913399E-2</v>
      </c>
      <c r="M142">
        <v>-1.78852712575128E-2</v>
      </c>
      <c r="N142">
        <v>3.2504393657660602E-3</v>
      </c>
      <c r="O142">
        <v>0.28268655100484702</v>
      </c>
      <c r="P142">
        <v>9.2288757850504E-2</v>
      </c>
      <c r="Q142">
        <v>0.33060253067668099</v>
      </c>
      <c r="R142">
        <v>0.221304497386974</v>
      </c>
      <c r="S142">
        <v>0.65625373741239501</v>
      </c>
      <c r="T142">
        <v>0.22558476954446899</v>
      </c>
      <c r="U142">
        <v>19</v>
      </c>
    </row>
    <row r="143" spans="1:21" x14ac:dyDescent="0.25">
      <c r="A143">
        <v>142</v>
      </c>
      <c r="B143">
        <v>502</v>
      </c>
      <c r="C143" t="s">
        <v>23</v>
      </c>
      <c r="D143">
        <v>37</v>
      </c>
      <c r="E143" t="s">
        <v>24</v>
      </c>
      <c r="F143" t="s">
        <v>25</v>
      </c>
      <c r="G143">
        <v>10378.828535549799</v>
      </c>
      <c r="H143">
        <v>133680714.39568099</v>
      </c>
      <c r="I143">
        <v>11108.8865100529</v>
      </c>
      <c r="J143">
        <v>107770378.94031</v>
      </c>
      <c r="K143">
        <v>8.4720644807023293E-2</v>
      </c>
      <c r="L143">
        <v>3.58340084019904E-2</v>
      </c>
      <c r="M143">
        <v>-2.6251411181258101E-2</v>
      </c>
      <c r="N143">
        <v>2.42175808558054E-3</v>
      </c>
      <c r="O143">
        <v>0.30060944804763901</v>
      </c>
      <c r="P143">
        <v>0.103051671146662</v>
      </c>
      <c r="Q143">
        <v>0.345344734796388</v>
      </c>
      <c r="R143">
        <v>0.22608174894514799</v>
      </c>
      <c r="S143">
        <v>0.61136159779943799</v>
      </c>
      <c r="T143">
        <v>0.23759859453542401</v>
      </c>
      <c r="U143">
        <v>19</v>
      </c>
    </row>
    <row r="144" spans="1:21" x14ac:dyDescent="0.25">
      <c r="A144">
        <v>143</v>
      </c>
      <c r="B144">
        <v>503</v>
      </c>
      <c r="C144" t="s">
        <v>23</v>
      </c>
      <c r="D144">
        <v>37</v>
      </c>
      <c r="E144" t="s">
        <v>24</v>
      </c>
      <c r="F144" t="s">
        <v>25</v>
      </c>
      <c r="G144">
        <v>8990.4386407674101</v>
      </c>
      <c r="H144">
        <v>98515029.408496603</v>
      </c>
      <c r="I144">
        <v>12464.1007609234</v>
      </c>
      <c r="J144">
        <v>111074455.682164</v>
      </c>
      <c r="K144">
        <v>7.0028649340227303E-2</v>
      </c>
      <c r="L144">
        <v>4.2449813106624101E-2</v>
      </c>
      <c r="M144">
        <v>-3.7754408475090602E-2</v>
      </c>
      <c r="N144">
        <v>2.6125716754346702E-3</v>
      </c>
      <c r="O144">
        <v>0.27163945608607698</v>
      </c>
      <c r="P144">
        <v>0.104713567064345</v>
      </c>
      <c r="Q144">
        <v>0.31496543310288699</v>
      </c>
      <c r="R144">
        <v>0.21576220905350199</v>
      </c>
      <c r="S144">
        <v>0.625612994282707</v>
      </c>
      <c r="T144">
        <v>0.234221375667133</v>
      </c>
      <c r="U144">
        <v>21</v>
      </c>
    </row>
    <row r="145" spans="1:21" x14ac:dyDescent="0.25">
      <c r="A145">
        <v>144</v>
      </c>
      <c r="B145">
        <v>504</v>
      </c>
      <c r="C145" t="s">
        <v>23</v>
      </c>
      <c r="D145">
        <v>37</v>
      </c>
      <c r="E145" t="s">
        <v>24</v>
      </c>
      <c r="F145" t="s">
        <v>25</v>
      </c>
      <c r="G145">
        <v>14730.006314732</v>
      </c>
      <c r="H145">
        <v>234978004.48835</v>
      </c>
      <c r="I145">
        <v>8406.8479295099696</v>
      </c>
      <c r="J145">
        <v>110167808.581517</v>
      </c>
      <c r="K145">
        <v>9.5379582918095507E-2</v>
      </c>
      <c r="L145">
        <v>2.4656101444819601E-2</v>
      </c>
      <c r="M145">
        <v>-4.0761959534864403E-2</v>
      </c>
      <c r="N145">
        <v>1.55168502132631E-3</v>
      </c>
      <c r="O145">
        <v>0.35197392983812698</v>
      </c>
      <c r="P145">
        <v>9.3963374821857099E-2</v>
      </c>
      <c r="Q145">
        <v>0.40672614633913001</v>
      </c>
      <c r="R145">
        <v>0.24129998822316401</v>
      </c>
      <c r="S145">
        <v>0.47716889516109701</v>
      </c>
      <c r="T145">
        <v>0.24947874065187101</v>
      </c>
      <c r="U145">
        <v>9</v>
      </c>
    </row>
    <row r="146" spans="1:21" x14ac:dyDescent="0.25">
      <c r="A146">
        <v>145</v>
      </c>
      <c r="B146">
        <v>505</v>
      </c>
      <c r="C146" t="s">
        <v>23</v>
      </c>
      <c r="D146">
        <v>37</v>
      </c>
      <c r="E146" t="s">
        <v>24</v>
      </c>
      <c r="F146" t="s">
        <v>25</v>
      </c>
      <c r="G146">
        <v>17003.191616336801</v>
      </c>
      <c r="H146">
        <v>263354620.92425901</v>
      </c>
      <c r="I146">
        <v>6707.15288420451</v>
      </c>
      <c r="J146">
        <v>108102915.120782</v>
      </c>
      <c r="K146">
        <v>0.119300349309437</v>
      </c>
      <c r="L146">
        <v>2.4222461803521101E-2</v>
      </c>
      <c r="M146">
        <v>-3.7489174131466602E-2</v>
      </c>
      <c r="N146">
        <v>1.8778756454081601E-3</v>
      </c>
      <c r="O146">
        <v>0.39971318475162199</v>
      </c>
      <c r="P146">
        <v>9.2732376733515198E-2</v>
      </c>
      <c r="Q146">
        <v>0.46728457812593399</v>
      </c>
      <c r="R146">
        <v>0.24892970117139701</v>
      </c>
      <c r="S146">
        <v>0.37437062727979398</v>
      </c>
      <c r="T146">
        <v>0.23421726071021101</v>
      </c>
      <c r="U146">
        <v>7</v>
      </c>
    </row>
    <row r="147" spans="1:21" x14ac:dyDescent="0.25">
      <c r="A147">
        <v>146</v>
      </c>
      <c r="B147">
        <v>506</v>
      </c>
      <c r="C147" t="s">
        <v>23</v>
      </c>
      <c r="D147">
        <v>37</v>
      </c>
      <c r="E147" t="s">
        <v>24</v>
      </c>
      <c r="F147" t="s">
        <v>25</v>
      </c>
      <c r="G147">
        <v>12907.1953961909</v>
      </c>
      <c r="H147">
        <v>209129549.354931</v>
      </c>
      <c r="I147">
        <v>9242.5914809403203</v>
      </c>
      <c r="J147">
        <v>95077350.062906101</v>
      </c>
      <c r="K147">
        <v>7.2645308079354695E-2</v>
      </c>
      <c r="L147">
        <v>2.4422942191081001E-2</v>
      </c>
      <c r="M147">
        <v>-4.8190457862671898E-2</v>
      </c>
      <c r="N147">
        <v>1.6869890813437801E-3</v>
      </c>
      <c r="O147">
        <v>0.313721034494164</v>
      </c>
      <c r="P147">
        <v>9.2786829627591105E-2</v>
      </c>
      <c r="Q147">
        <v>0.36648108114636302</v>
      </c>
      <c r="R147">
        <v>0.232172698308166</v>
      </c>
      <c r="S147">
        <v>0.38161374862622399</v>
      </c>
      <c r="T147">
        <v>0.23598469548603601</v>
      </c>
      <c r="U147">
        <v>13</v>
      </c>
    </row>
    <row r="148" spans="1:21" x14ac:dyDescent="0.25">
      <c r="A148">
        <v>147</v>
      </c>
      <c r="B148">
        <v>507</v>
      </c>
      <c r="C148" t="s">
        <v>23</v>
      </c>
      <c r="D148">
        <v>37</v>
      </c>
      <c r="E148" t="s">
        <v>24</v>
      </c>
      <c r="F148" t="s">
        <v>25</v>
      </c>
      <c r="G148">
        <v>14523.1315839832</v>
      </c>
      <c r="H148">
        <v>193657688.10558599</v>
      </c>
      <c r="I148">
        <v>7920.8698695304502</v>
      </c>
      <c r="J148">
        <v>109681093.80968601</v>
      </c>
      <c r="K148">
        <v>0.11389720936457901</v>
      </c>
      <c r="L148">
        <v>2.9021151583402901E-2</v>
      </c>
      <c r="M148">
        <v>-4.5508157503275699E-2</v>
      </c>
      <c r="N148">
        <v>1.63561867677643E-3</v>
      </c>
      <c r="O148">
        <v>0.37527101256515699</v>
      </c>
      <c r="P148">
        <v>9.8981510659613803E-2</v>
      </c>
      <c r="Q148">
        <v>0.43707840979763701</v>
      </c>
      <c r="R148">
        <v>0.246040873486639</v>
      </c>
      <c r="S148">
        <v>0.52387217145864196</v>
      </c>
      <c r="T148">
        <v>0.24943011942988699</v>
      </c>
      <c r="U148">
        <v>14</v>
      </c>
    </row>
    <row r="149" spans="1:21" x14ac:dyDescent="0.25">
      <c r="A149">
        <v>148</v>
      </c>
      <c r="B149">
        <v>508</v>
      </c>
      <c r="C149" t="s">
        <v>23</v>
      </c>
      <c r="D149">
        <v>37</v>
      </c>
      <c r="E149" t="s">
        <v>24</v>
      </c>
      <c r="F149" t="s">
        <v>25</v>
      </c>
      <c r="G149">
        <v>11332.3358570455</v>
      </c>
      <c r="H149">
        <v>155058057.91339299</v>
      </c>
      <c r="I149">
        <v>9764.8997512937294</v>
      </c>
      <c r="J149">
        <v>97762649.161628097</v>
      </c>
      <c r="K149">
        <v>0.103579789759636</v>
      </c>
      <c r="L149">
        <v>2.8932494993533099E-2</v>
      </c>
      <c r="M149">
        <v>-4.3920942273715E-2</v>
      </c>
      <c r="N149">
        <v>1.58564373923796E-3</v>
      </c>
      <c r="O149">
        <v>0.33266459612684601</v>
      </c>
      <c r="P149">
        <v>8.9382562430623605E-2</v>
      </c>
      <c r="Q149">
        <v>0.36670374490174301</v>
      </c>
      <c r="R149">
        <v>0.23223210837674099</v>
      </c>
      <c r="S149">
        <v>0.56674680349731499</v>
      </c>
      <c r="T149">
        <v>0.245544864222735</v>
      </c>
      <c r="U149">
        <v>15</v>
      </c>
    </row>
    <row r="150" spans="1:21" x14ac:dyDescent="0.25">
      <c r="A150">
        <v>149</v>
      </c>
      <c r="B150">
        <v>509</v>
      </c>
      <c r="C150" t="s">
        <v>23</v>
      </c>
      <c r="D150">
        <v>37</v>
      </c>
      <c r="E150" t="s">
        <v>24</v>
      </c>
      <c r="F150" t="s">
        <v>25</v>
      </c>
      <c r="G150">
        <v>13565.8205726177</v>
      </c>
      <c r="H150">
        <v>210390164.39993599</v>
      </c>
      <c r="I150">
        <v>9038.18820190728</v>
      </c>
      <c r="J150">
        <v>99690095.925693601</v>
      </c>
      <c r="K150">
        <v>9.4129620931816205E-2</v>
      </c>
      <c r="L150">
        <v>2.2820860405807799E-2</v>
      </c>
      <c r="M150">
        <v>-4.6681463425101301E-2</v>
      </c>
      <c r="N150">
        <v>1.6050620985121301E-3</v>
      </c>
      <c r="O150">
        <v>0.34416908253532502</v>
      </c>
      <c r="P150">
        <v>8.6804244698215099E-2</v>
      </c>
      <c r="Q150">
        <v>0.38676808266360502</v>
      </c>
      <c r="R150">
        <v>0.237178532896167</v>
      </c>
      <c r="S150">
        <v>0.22097445464982801</v>
      </c>
      <c r="T150">
        <v>0.17214474504171701</v>
      </c>
      <c r="U150">
        <v>4</v>
      </c>
    </row>
    <row r="151" spans="1:21" x14ac:dyDescent="0.25">
      <c r="A151">
        <v>150</v>
      </c>
      <c r="B151">
        <v>510</v>
      </c>
      <c r="C151" t="s">
        <v>23</v>
      </c>
      <c r="D151">
        <v>37</v>
      </c>
      <c r="E151" t="s">
        <v>24</v>
      </c>
      <c r="F151" t="s">
        <v>25</v>
      </c>
      <c r="G151">
        <v>11222.8591931684</v>
      </c>
      <c r="H151">
        <v>144577288.52898899</v>
      </c>
      <c r="I151">
        <v>9829.68155855031</v>
      </c>
      <c r="J151">
        <v>89441169.760612205</v>
      </c>
      <c r="K151">
        <v>9.9091218267180897E-2</v>
      </c>
      <c r="L151">
        <v>2.8698796777668002E-2</v>
      </c>
      <c r="M151">
        <v>-3.9026625904530397E-2</v>
      </c>
      <c r="N151">
        <v>1.7776245192949701E-3</v>
      </c>
      <c r="O151">
        <v>0.33492875215378798</v>
      </c>
      <c r="P151">
        <v>8.5378923559286599E-2</v>
      </c>
      <c r="Q151">
        <v>0.35097056607384203</v>
      </c>
      <c r="R151">
        <v>0.22779022782362701</v>
      </c>
      <c r="S151">
        <v>0.60757555823994402</v>
      </c>
      <c r="T151">
        <v>0.23842749926929099</v>
      </c>
      <c r="U151">
        <v>24</v>
      </c>
    </row>
    <row r="152" spans="1:21" x14ac:dyDescent="0.25">
      <c r="A152">
        <v>151</v>
      </c>
      <c r="B152">
        <v>511</v>
      </c>
      <c r="C152" t="s">
        <v>23</v>
      </c>
      <c r="D152">
        <v>37</v>
      </c>
      <c r="E152" t="s">
        <v>24</v>
      </c>
      <c r="F152" t="s">
        <v>25</v>
      </c>
      <c r="G152">
        <v>10156.2368839999</v>
      </c>
      <c r="H152">
        <v>148370419.527311</v>
      </c>
      <c r="I152">
        <v>10359.0712038859</v>
      </c>
      <c r="J152">
        <v>83723573.233885095</v>
      </c>
      <c r="K152">
        <v>9.2657898682804399E-2</v>
      </c>
      <c r="L152">
        <v>2.4683208827630199E-2</v>
      </c>
      <c r="M152">
        <v>-3.9292899393799E-2</v>
      </c>
      <c r="N152">
        <v>1.51738708383172E-3</v>
      </c>
      <c r="O152">
        <v>0.31820069390598499</v>
      </c>
      <c r="P152">
        <v>7.6499573565586801E-2</v>
      </c>
      <c r="Q152">
        <v>0.31958392684006998</v>
      </c>
      <c r="R152">
        <v>0.21745004054536299</v>
      </c>
      <c r="S152">
        <v>0.576732939923153</v>
      </c>
      <c r="T152">
        <v>0.24411205593056901</v>
      </c>
      <c r="U152">
        <v>18</v>
      </c>
    </row>
    <row r="153" spans="1:21" x14ac:dyDescent="0.25">
      <c r="A153">
        <v>152</v>
      </c>
      <c r="B153">
        <v>512</v>
      </c>
      <c r="C153" t="s">
        <v>23</v>
      </c>
      <c r="D153">
        <v>37</v>
      </c>
      <c r="E153" t="s">
        <v>24</v>
      </c>
      <c r="F153" t="s">
        <v>25</v>
      </c>
      <c r="G153">
        <v>5548.1801537854399</v>
      </c>
      <c r="H153">
        <v>59015925.2726743</v>
      </c>
      <c r="I153">
        <v>16873.805850614699</v>
      </c>
      <c r="J153">
        <v>65321989.2494286</v>
      </c>
      <c r="K153">
        <v>2.92942898505543E-3</v>
      </c>
      <c r="L153">
        <v>2.0877475562016801E-2</v>
      </c>
      <c r="M153">
        <v>-6.75000562280514E-2</v>
      </c>
      <c r="N153">
        <v>1.3744916847838299E-3</v>
      </c>
      <c r="O153">
        <v>0.17355828751343</v>
      </c>
      <c r="P153">
        <v>5.6027594779135902E-2</v>
      </c>
      <c r="Q153">
        <v>0.15358214845198101</v>
      </c>
      <c r="R153">
        <v>0.129994672128983</v>
      </c>
      <c r="S153">
        <v>0.67931071595135295</v>
      </c>
      <c r="T153">
        <v>0.21784766714505599</v>
      </c>
      <c r="U153">
        <v>30</v>
      </c>
    </row>
    <row r="154" spans="1:21" x14ac:dyDescent="0.25">
      <c r="A154">
        <v>153</v>
      </c>
      <c r="B154">
        <v>601</v>
      </c>
      <c r="C154" t="s">
        <v>23</v>
      </c>
      <c r="D154">
        <v>37</v>
      </c>
      <c r="E154" t="s">
        <v>24</v>
      </c>
      <c r="F154" t="s">
        <v>25</v>
      </c>
      <c r="G154">
        <v>6556.9925130364099</v>
      </c>
      <c r="H154">
        <v>66978776.448382199</v>
      </c>
      <c r="I154">
        <v>15711.138719660001</v>
      </c>
      <c r="J154">
        <v>77108159.921769693</v>
      </c>
      <c r="K154">
        <v>6.4144161233078104E-2</v>
      </c>
      <c r="L154">
        <v>3.1436381094144199E-2</v>
      </c>
      <c r="M154">
        <v>-2.5230345824270198E-2</v>
      </c>
      <c r="N154">
        <v>3.12625628230096E-3</v>
      </c>
      <c r="O154">
        <v>0.25664451805731803</v>
      </c>
      <c r="P154">
        <v>6.9383794022558801E-2</v>
      </c>
      <c r="Q154">
        <v>0.23142611108453301</v>
      </c>
      <c r="R154">
        <v>0.17786806619297499</v>
      </c>
      <c r="S154">
        <v>0.57498923599483298</v>
      </c>
      <c r="T154">
        <v>0.24437661448495701</v>
      </c>
      <c r="U154">
        <v>17</v>
      </c>
    </row>
    <row r="155" spans="1:21" x14ac:dyDescent="0.25">
      <c r="A155">
        <v>154</v>
      </c>
      <c r="B155">
        <v>602</v>
      </c>
      <c r="C155" t="s">
        <v>23</v>
      </c>
      <c r="D155">
        <v>37</v>
      </c>
      <c r="E155" t="s">
        <v>24</v>
      </c>
      <c r="F155" t="s">
        <v>25</v>
      </c>
      <c r="G155">
        <v>5878.7551305970101</v>
      </c>
      <c r="H155">
        <v>66970474.580336198</v>
      </c>
      <c r="I155">
        <v>15157.3094269265</v>
      </c>
      <c r="J155">
        <v>74868991.832595497</v>
      </c>
      <c r="K155">
        <v>4.2291239185128199E-2</v>
      </c>
      <c r="L155">
        <v>3.1401012507934499E-2</v>
      </c>
      <c r="M155">
        <v>-4.1496321927326198E-2</v>
      </c>
      <c r="N155">
        <v>2.1223897331427099E-3</v>
      </c>
      <c r="O155">
        <v>0.23300789394240001</v>
      </c>
      <c r="P155">
        <v>6.8511851736933596E-2</v>
      </c>
      <c r="Q155">
        <v>0.205989284347493</v>
      </c>
      <c r="R155">
        <v>0.16355769908124701</v>
      </c>
      <c r="S155">
        <v>0.60362849215461201</v>
      </c>
      <c r="T155">
        <v>0.23926113561337001</v>
      </c>
      <c r="U155">
        <v>17</v>
      </c>
    </row>
    <row r="156" spans="1:21" x14ac:dyDescent="0.25">
      <c r="A156">
        <v>155</v>
      </c>
      <c r="B156">
        <v>603</v>
      </c>
      <c r="C156" t="s">
        <v>23</v>
      </c>
      <c r="D156">
        <v>37</v>
      </c>
      <c r="E156" t="s">
        <v>24</v>
      </c>
      <c r="F156" t="s">
        <v>25</v>
      </c>
      <c r="G156">
        <v>7641.13387870307</v>
      </c>
      <c r="H156">
        <v>81881435.792153597</v>
      </c>
      <c r="I156">
        <v>14805.6797741395</v>
      </c>
      <c r="J156">
        <v>90080345.663479805</v>
      </c>
      <c r="K156">
        <v>4.9647788179953398E-2</v>
      </c>
      <c r="L156">
        <v>3.5711040166696198E-2</v>
      </c>
      <c r="M156">
        <v>-4.5739130021908297E-2</v>
      </c>
      <c r="N156">
        <v>2.29324479973393E-3</v>
      </c>
      <c r="O156">
        <v>0.25670071400445599</v>
      </c>
      <c r="P156">
        <v>7.8567891921892202E-2</v>
      </c>
      <c r="Q156">
        <v>0.24838242856972001</v>
      </c>
      <c r="R156">
        <v>0.18668859774779201</v>
      </c>
      <c r="S156">
        <v>0.53561049119156101</v>
      </c>
      <c r="T156">
        <v>0.248731892916984</v>
      </c>
      <c r="U156">
        <v>14</v>
      </c>
    </row>
    <row r="157" spans="1:21" x14ac:dyDescent="0.25">
      <c r="A157">
        <v>156</v>
      </c>
      <c r="B157">
        <v>604</v>
      </c>
      <c r="C157" t="s">
        <v>23</v>
      </c>
      <c r="D157">
        <v>37</v>
      </c>
      <c r="E157" t="s">
        <v>24</v>
      </c>
      <c r="F157" t="s">
        <v>25</v>
      </c>
      <c r="G157">
        <v>10331.9434803927</v>
      </c>
      <c r="H157">
        <v>142624351.21516901</v>
      </c>
      <c r="I157">
        <v>10494.433961268</v>
      </c>
      <c r="J157">
        <v>101482734.281545</v>
      </c>
      <c r="K157">
        <v>0.113790230845621</v>
      </c>
      <c r="L157">
        <v>3.3596365544467897E-2</v>
      </c>
      <c r="M157">
        <v>-3.0035855167618301E-2</v>
      </c>
      <c r="N157">
        <v>1.8828765994443599E-3</v>
      </c>
      <c r="O157">
        <v>0.34605569935858899</v>
      </c>
      <c r="P157">
        <v>8.6880018439777107E-2</v>
      </c>
      <c r="Q157">
        <v>0.34746522836265398</v>
      </c>
      <c r="R157">
        <v>0.22673314344147899</v>
      </c>
      <c r="S157">
        <v>0.60760371694751103</v>
      </c>
      <c r="T157">
        <v>0.23842144009905</v>
      </c>
      <c r="U157">
        <v>20</v>
      </c>
    </row>
    <row r="158" spans="1:21" x14ac:dyDescent="0.25">
      <c r="A158">
        <v>157</v>
      </c>
      <c r="B158">
        <v>605</v>
      </c>
      <c r="C158" t="s">
        <v>23</v>
      </c>
      <c r="D158">
        <v>37</v>
      </c>
      <c r="E158" t="s">
        <v>24</v>
      </c>
      <c r="F158" t="s">
        <v>25</v>
      </c>
      <c r="G158">
        <v>15889.429142098499</v>
      </c>
      <c r="H158">
        <v>231981988.19089901</v>
      </c>
      <c r="I158">
        <v>6933.0589103636203</v>
      </c>
      <c r="J158">
        <v>103726941.800835</v>
      </c>
      <c r="K158">
        <v>0.15189344451992201</v>
      </c>
      <c r="L158">
        <v>2.6992346544955598E-2</v>
      </c>
      <c r="M158">
        <v>-2.6106576980149301E-2</v>
      </c>
      <c r="N158">
        <v>1.9609620562611898E-3</v>
      </c>
      <c r="O158">
        <v>0.43711334318612299</v>
      </c>
      <c r="P158">
        <v>8.3987548934624998E-2</v>
      </c>
      <c r="Q158">
        <v>0.46992620588200101</v>
      </c>
      <c r="R158">
        <v>0.249095566907028</v>
      </c>
      <c r="S158">
        <v>0.306179808876822</v>
      </c>
      <c r="T158">
        <v>0.212433733512645</v>
      </c>
      <c r="U158">
        <v>7</v>
      </c>
    </row>
    <row r="159" spans="1:21" x14ac:dyDescent="0.25">
      <c r="A159">
        <v>158</v>
      </c>
      <c r="B159">
        <v>606</v>
      </c>
      <c r="C159" t="s">
        <v>23</v>
      </c>
      <c r="D159">
        <v>37</v>
      </c>
      <c r="E159" t="s">
        <v>24</v>
      </c>
      <c r="F159" t="s">
        <v>25</v>
      </c>
      <c r="G159">
        <v>9469.9875142019991</v>
      </c>
      <c r="H159">
        <v>147489740.633201</v>
      </c>
      <c r="I159">
        <v>11353.7130740711</v>
      </c>
      <c r="J159">
        <v>79335186.687426105</v>
      </c>
      <c r="K159">
        <v>6.6541223033852501E-2</v>
      </c>
      <c r="L159">
        <v>2.7562771138609499E-2</v>
      </c>
      <c r="M159">
        <v>-4.4106564937196599E-2</v>
      </c>
      <c r="N159">
        <v>1.6968799811891799E-3</v>
      </c>
      <c r="O159">
        <v>0.296696545717478</v>
      </c>
      <c r="P159">
        <v>7.9743183608367102E-2</v>
      </c>
      <c r="Q159">
        <v>0.28997189499491699</v>
      </c>
      <c r="R159">
        <v>0.205888195107929</v>
      </c>
      <c r="S159">
        <v>0.23217126113735601</v>
      </c>
      <c r="T159">
        <v>0.17826776663899099</v>
      </c>
      <c r="U159">
        <v>5</v>
      </c>
    </row>
    <row r="160" spans="1:21" x14ac:dyDescent="0.25">
      <c r="A160">
        <v>159</v>
      </c>
      <c r="B160">
        <v>607</v>
      </c>
      <c r="C160" t="s">
        <v>23</v>
      </c>
      <c r="D160">
        <v>37</v>
      </c>
      <c r="E160" t="s">
        <v>24</v>
      </c>
      <c r="F160" t="s">
        <v>25</v>
      </c>
      <c r="G160">
        <v>9983.3590632923497</v>
      </c>
      <c r="H160">
        <v>157466521.38296199</v>
      </c>
      <c r="I160">
        <v>10935.7147627331</v>
      </c>
      <c r="J160">
        <v>82794757.881628796</v>
      </c>
      <c r="K160">
        <v>8.2349079185132595E-2</v>
      </c>
      <c r="L160">
        <v>2.7058621934854799E-2</v>
      </c>
      <c r="M160">
        <v>-4.3105411542197797E-2</v>
      </c>
      <c r="N160">
        <v>1.77262689475368E-3</v>
      </c>
      <c r="O160">
        <v>0.31277791223715701</v>
      </c>
      <c r="P160">
        <v>7.9568992489097004E-2</v>
      </c>
      <c r="Q160">
        <v>0.30456154618954201</v>
      </c>
      <c r="R160">
        <v>0.21180381077226301</v>
      </c>
      <c r="S160">
        <v>0.60268860929053203</v>
      </c>
      <c r="T160">
        <v>0.239455049521868</v>
      </c>
      <c r="U160">
        <v>15</v>
      </c>
    </row>
    <row r="161" spans="1:21" x14ac:dyDescent="0.25">
      <c r="A161">
        <v>160</v>
      </c>
      <c r="B161">
        <v>608</v>
      </c>
      <c r="C161" t="s">
        <v>23</v>
      </c>
      <c r="D161">
        <v>37</v>
      </c>
      <c r="E161" t="s">
        <v>24</v>
      </c>
      <c r="F161" t="s">
        <v>25</v>
      </c>
      <c r="G161">
        <v>12402.8008635227</v>
      </c>
      <c r="H161">
        <v>163098607.731282</v>
      </c>
      <c r="I161">
        <v>9154.9591693966795</v>
      </c>
      <c r="J161">
        <v>109329650.82815599</v>
      </c>
      <c r="K161">
        <v>0.12950600937067899</v>
      </c>
      <c r="L161">
        <v>3.3799915217434397E-2</v>
      </c>
      <c r="M161">
        <v>-3.5941126759189299E-2</v>
      </c>
      <c r="N161">
        <v>1.91578561703915E-3</v>
      </c>
      <c r="O161">
        <v>0.38418979401481101</v>
      </c>
      <c r="P161">
        <v>9.0962070947480003E-2</v>
      </c>
      <c r="Q161">
        <v>0.40535336259583099</v>
      </c>
      <c r="R161">
        <v>0.241042014027953</v>
      </c>
      <c r="S161">
        <v>0.60622406142732399</v>
      </c>
      <c r="T161">
        <v>0.23871644877373299</v>
      </c>
      <c r="U161">
        <v>25</v>
      </c>
    </row>
    <row r="162" spans="1:21" x14ac:dyDescent="0.25">
      <c r="A162">
        <v>161</v>
      </c>
      <c r="B162">
        <v>609</v>
      </c>
      <c r="C162" t="s">
        <v>23</v>
      </c>
      <c r="D162">
        <v>37</v>
      </c>
      <c r="E162" t="s">
        <v>24</v>
      </c>
      <c r="F162" t="s">
        <v>25</v>
      </c>
      <c r="G162">
        <v>9071.4871794871797</v>
      </c>
      <c r="H162">
        <v>151550416.62045801</v>
      </c>
      <c r="I162">
        <v>12350.195062557401</v>
      </c>
      <c r="J162">
        <v>75653130.351914003</v>
      </c>
      <c r="K162">
        <v>5.6336013855786397E-2</v>
      </c>
      <c r="L162">
        <v>2.1617878159678201E-2</v>
      </c>
      <c r="M162">
        <v>-4.9939146043503198E-2</v>
      </c>
      <c r="N162">
        <v>1.6161036187113201E-3</v>
      </c>
      <c r="O162">
        <v>0.27873261746553002</v>
      </c>
      <c r="P162">
        <v>6.82585144176166E-2</v>
      </c>
      <c r="Q162">
        <v>0.26441111748947599</v>
      </c>
      <c r="R162">
        <v>0.194497878437733</v>
      </c>
      <c r="S162">
        <v>0.55522866437045504</v>
      </c>
      <c r="T162">
        <v>0.24694979463219599</v>
      </c>
      <c r="U162">
        <v>19</v>
      </c>
    </row>
    <row r="163" spans="1:21" x14ac:dyDescent="0.25">
      <c r="A163">
        <v>162</v>
      </c>
      <c r="B163">
        <v>610</v>
      </c>
      <c r="C163" t="s">
        <v>23</v>
      </c>
      <c r="D163">
        <v>37</v>
      </c>
      <c r="E163" t="s">
        <v>24</v>
      </c>
      <c r="F163" t="s">
        <v>25</v>
      </c>
      <c r="G163">
        <v>10460.146692476001</v>
      </c>
      <c r="H163">
        <v>137092681.76248899</v>
      </c>
      <c r="I163">
        <v>9660.5771822422594</v>
      </c>
      <c r="J163">
        <v>89198666.185854793</v>
      </c>
      <c r="K163">
        <v>0.13963129473908201</v>
      </c>
      <c r="L163">
        <v>3.4450043411705801E-2</v>
      </c>
      <c r="M163">
        <v>-2.46605400052218E-2</v>
      </c>
      <c r="N163">
        <v>1.93393218910699E-3</v>
      </c>
      <c r="O163">
        <v>0.37952369742552899</v>
      </c>
      <c r="P163">
        <v>8.5739968671683306E-2</v>
      </c>
      <c r="Q163">
        <v>0.36314232813138703</v>
      </c>
      <c r="R163">
        <v>0.23126997765091301</v>
      </c>
      <c r="S163">
        <v>0.488409839613341</v>
      </c>
      <c r="T163">
        <v>0.249865668182219</v>
      </c>
      <c r="U163">
        <v>11</v>
      </c>
    </row>
    <row r="164" spans="1:21" x14ac:dyDescent="0.25">
      <c r="A164">
        <v>163</v>
      </c>
      <c r="B164">
        <v>611</v>
      </c>
      <c r="C164" t="s">
        <v>23</v>
      </c>
      <c r="D164">
        <v>37</v>
      </c>
      <c r="E164" t="s">
        <v>24</v>
      </c>
      <c r="F164" t="s">
        <v>25</v>
      </c>
      <c r="G164">
        <v>12542.495820028</v>
      </c>
      <c r="H164">
        <v>188468719.074709</v>
      </c>
      <c r="I164">
        <v>9367.2001401964699</v>
      </c>
      <c r="J164">
        <v>111451423.231894</v>
      </c>
      <c r="K164">
        <v>0.137668922001982</v>
      </c>
      <c r="L164">
        <v>3.1623904471322697E-2</v>
      </c>
      <c r="M164">
        <v>-3.2365489944641002E-2</v>
      </c>
      <c r="N164">
        <v>1.73190650843171E-3</v>
      </c>
      <c r="O164">
        <v>0.39163290108052901</v>
      </c>
      <c r="P164">
        <v>8.7616383190950095E-2</v>
      </c>
      <c r="Q164">
        <v>0.38757131068135298</v>
      </c>
      <c r="R164">
        <v>0.237359789818475</v>
      </c>
      <c r="S164">
        <v>0.23291832609761601</v>
      </c>
      <c r="T164">
        <v>0.17866737946549599</v>
      </c>
      <c r="U164">
        <v>6</v>
      </c>
    </row>
    <row r="165" spans="1:21" x14ac:dyDescent="0.25">
      <c r="A165">
        <v>164</v>
      </c>
      <c r="B165">
        <v>612</v>
      </c>
      <c r="C165" t="s">
        <v>23</v>
      </c>
      <c r="D165">
        <v>37</v>
      </c>
      <c r="E165" t="s">
        <v>24</v>
      </c>
      <c r="F165" t="s">
        <v>25</v>
      </c>
      <c r="G165">
        <v>9484.0742883897401</v>
      </c>
      <c r="H165">
        <v>167222983.20292899</v>
      </c>
      <c r="I165">
        <v>12473.6516956263</v>
      </c>
      <c r="J165">
        <v>99612404.910041496</v>
      </c>
      <c r="K165">
        <v>9.0839533402811604E-2</v>
      </c>
      <c r="L165">
        <v>2.7774500505028599E-2</v>
      </c>
      <c r="M165">
        <v>-4.2441093140048201E-2</v>
      </c>
      <c r="N165">
        <v>1.7769570880253099E-3</v>
      </c>
      <c r="O165">
        <v>0.31813598124493803</v>
      </c>
      <c r="P165">
        <v>7.8931771147808305E-2</v>
      </c>
      <c r="Q165">
        <v>0.28616876958353799</v>
      </c>
      <c r="R165">
        <v>0.20427620489873399</v>
      </c>
      <c r="S165">
        <v>0.445358176164808</v>
      </c>
      <c r="T165">
        <v>0.24701427108799601</v>
      </c>
      <c r="U165">
        <v>11</v>
      </c>
    </row>
    <row r="166" spans="1:21" x14ac:dyDescent="0.25">
      <c r="A166">
        <v>165</v>
      </c>
      <c r="C166" t="s">
        <v>23</v>
      </c>
      <c r="D166">
        <v>37</v>
      </c>
      <c r="E166" t="s">
        <v>24</v>
      </c>
      <c r="F166" t="s">
        <v>25</v>
      </c>
      <c r="G166">
        <v>571.22258503401395</v>
      </c>
      <c r="H166">
        <v>327893.96134025598</v>
      </c>
      <c r="I166">
        <v>17874.508461150101</v>
      </c>
      <c r="J166">
        <v>2250744.94354648</v>
      </c>
      <c r="K166">
        <v>-0.145403083287129</v>
      </c>
      <c r="L166">
        <v>5.1770302930953505E-4</v>
      </c>
      <c r="M166">
        <v>-0.119695540695977</v>
      </c>
      <c r="N166">
        <v>2.7297015981723799E-4</v>
      </c>
      <c r="O166">
        <v>-8.8822071501339001E-2</v>
      </c>
      <c r="P166">
        <v>3.5185860573346098E-4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37</v>
      </c>
      <c r="E167" t="s">
        <v>24</v>
      </c>
      <c r="F167" t="s">
        <v>25</v>
      </c>
      <c r="G167">
        <v>1950.4414084507</v>
      </c>
      <c r="H167">
        <v>13908286.371074099</v>
      </c>
      <c r="I167">
        <v>14655.769014355301</v>
      </c>
      <c r="J167">
        <v>52529869.684597999</v>
      </c>
      <c r="K167">
        <v>-1.8126989055691298E-2</v>
      </c>
      <c r="L167">
        <v>4.7383201654180203E-2</v>
      </c>
      <c r="M167">
        <v>-2.4319436904200801E-2</v>
      </c>
      <c r="N167">
        <v>7.27319244093237E-3</v>
      </c>
      <c r="O167">
        <v>0.276705819139828</v>
      </c>
      <c r="P167">
        <v>3.8990929020096397E-2</v>
      </c>
      <c r="Q167">
        <v>0.13098591549295799</v>
      </c>
      <c r="R167">
        <v>0.113828605435431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37</v>
      </c>
      <c r="E168" t="s">
        <v>27</v>
      </c>
      <c r="F168" t="s">
        <v>28</v>
      </c>
      <c r="G168">
        <v>15299.339090289301</v>
      </c>
      <c r="H168">
        <v>154096297.050574</v>
      </c>
      <c r="I168">
        <v>6681.7231328528096</v>
      </c>
      <c r="J168">
        <v>118887556.222317</v>
      </c>
      <c r="K168">
        <v>0.214712234159256</v>
      </c>
      <c r="L168">
        <v>4.4896564184092998E-2</v>
      </c>
      <c r="M168">
        <v>-1.30932119488652E-2</v>
      </c>
      <c r="N168">
        <v>3.0396963097216599E-3</v>
      </c>
      <c r="O168">
        <v>0.48015622154223497</v>
      </c>
      <c r="P168">
        <v>9.8314228036140594E-2</v>
      </c>
      <c r="Q168">
        <v>0.51343754858926705</v>
      </c>
      <c r="R168">
        <v>0.249819432287578</v>
      </c>
      <c r="S168">
        <v>0.46033321771579599</v>
      </c>
      <c r="T168">
        <v>0.24842654638306699</v>
      </c>
      <c r="U168">
        <v>19</v>
      </c>
    </row>
    <row r="169" spans="1:21" x14ac:dyDescent="0.25">
      <c r="A169">
        <v>168</v>
      </c>
      <c r="B169">
        <v>802</v>
      </c>
      <c r="C169" t="s">
        <v>26</v>
      </c>
      <c r="D169">
        <v>37</v>
      </c>
      <c r="E169" t="s">
        <v>27</v>
      </c>
      <c r="F169" t="s">
        <v>28</v>
      </c>
      <c r="G169">
        <v>16019.9445627971</v>
      </c>
      <c r="H169">
        <v>157887826.691347</v>
      </c>
      <c r="I169">
        <v>6978.3633707600802</v>
      </c>
      <c r="J169">
        <v>123680755.59724601</v>
      </c>
      <c r="K169">
        <v>0.19696426516684901</v>
      </c>
      <c r="L169">
        <v>4.6354588371891797E-2</v>
      </c>
      <c r="M169">
        <v>-2.0307247028350701E-2</v>
      </c>
      <c r="N169">
        <v>2.1257519933887601E-3</v>
      </c>
      <c r="O169">
        <v>0.45872037011164901</v>
      </c>
      <c r="P169">
        <v>0.105130966072763</v>
      </c>
      <c r="Q169">
        <v>0.50687849792381301</v>
      </c>
      <c r="R169">
        <v>0.24995268626643499</v>
      </c>
      <c r="S169">
        <v>0.34636817716796098</v>
      </c>
      <c r="T169">
        <v>0.22639726301320101</v>
      </c>
      <c r="U169">
        <v>6</v>
      </c>
    </row>
    <row r="170" spans="1:21" x14ac:dyDescent="0.25">
      <c r="A170">
        <v>169</v>
      </c>
      <c r="B170">
        <v>803</v>
      </c>
      <c r="C170" t="s">
        <v>26</v>
      </c>
      <c r="D170">
        <v>37</v>
      </c>
      <c r="E170" t="s">
        <v>27</v>
      </c>
      <c r="F170" t="s">
        <v>28</v>
      </c>
      <c r="G170">
        <v>24198.526498802399</v>
      </c>
      <c r="H170">
        <v>182936026.04346001</v>
      </c>
      <c r="I170">
        <v>3231.6946106228402</v>
      </c>
      <c r="J170">
        <v>69965846.536818996</v>
      </c>
      <c r="K170">
        <v>0.23166343454695501</v>
      </c>
      <c r="L170">
        <v>2.54840904118331E-2</v>
      </c>
      <c r="M170">
        <v>-1.4906283006027201E-2</v>
      </c>
      <c r="N170">
        <v>2.42838400395241E-3</v>
      </c>
      <c r="O170">
        <v>0.56962262643183004</v>
      </c>
      <c r="P170">
        <v>6.43081836401867E-2</v>
      </c>
      <c r="Q170">
        <v>0.72233097058930795</v>
      </c>
      <c r="R170">
        <v>0.20056893951642699</v>
      </c>
      <c r="S170">
        <v>0.89168257364831205</v>
      </c>
      <c r="T170">
        <v>9.6584761500250305E-2</v>
      </c>
      <c r="U170">
        <v>92</v>
      </c>
    </row>
    <row r="171" spans="1:21" x14ac:dyDescent="0.25">
      <c r="A171">
        <v>170</v>
      </c>
      <c r="B171">
        <v>804</v>
      </c>
      <c r="C171" t="s">
        <v>26</v>
      </c>
      <c r="D171">
        <v>37</v>
      </c>
      <c r="E171" t="s">
        <v>27</v>
      </c>
      <c r="F171" t="s">
        <v>28</v>
      </c>
      <c r="G171">
        <v>28834.119760741101</v>
      </c>
      <c r="H171">
        <v>150778094.663066</v>
      </c>
      <c r="I171">
        <v>372.42077751776299</v>
      </c>
      <c r="J171">
        <v>49628710.6653179</v>
      </c>
      <c r="K171">
        <v>0.24547179631955199</v>
      </c>
      <c r="L171">
        <v>1.6223932901113298E-2</v>
      </c>
      <c r="M171">
        <v>-2.3640010852516099E-2</v>
      </c>
      <c r="N171">
        <v>2.2115682343728901E-3</v>
      </c>
      <c r="O171">
        <v>0.63126086723965802</v>
      </c>
      <c r="P171">
        <v>3.8757337459078799E-2</v>
      </c>
      <c r="Q171">
        <v>0.85456269603909796</v>
      </c>
      <c r="R171">
        <v>0.124285294577566</v>
      </c>
      <c r="S171">
        <v>0.96247720475599996</v>
      </c>
      <c r="T171">
        <v>3.6114835081029799E-2</v>
      </c>
      <c r="U171">
        <v>60</v>
      </c>
    </row>
    <row r="172" spans="1:21" x14ac:dyDescent="0.25">
      <c r="A172">
        <v>171</v>
      </c>
      <c r="B172">
        <v>805</v>
      </c>
      <c r="C172" t="s">
        <v>26</v>
      </c>
      <c r="D172">
        <v>37</v>
      </c>
      <c r="E172" t="s">
        <v>27</v>
      </c>
      <c r="F172" t="s">
        <v>28</v>
      </c>
      <c r="G172">
        <v>23763.357450516</v>
      </c>
      <c r="H172">
        <v>173369176.94583201</v>
      </c>
      <c r="I172">
        <v>1971.1475934502</v>
      </c>
      <c r="J172">
        <v>67583033.817187503</v>
      </c>
      <c r="K172">
        <v>0.23170013080184099</v>
      </c>
      <c r="L172">
        <v>2.2171420363200901E-2</v>
      </c>
      <c r="M172">
        <v>-1.5872324579921201E-2</v>
      </c>
      <c r="N172">
        <v>2.5605865132310801E-3</v>
      </c>
      <c r="O172">
        <v>0.56564458935481099</v>
      </c>
      <c r="P172">
        <v>5.88101991540603E-2</v>
      </c>
      <c r="Q172">
        <v>0.71822655262544299</v>
      </c>
      <c r="R172">
        <v>0.202377171729032</v>
      </c>
      <c r="S172">
        <v>0.85324759789424598</v>
      </c>
      <c r="T172">
        <v>0.125216134581809</v>
      </c>
      <c r="U172">
        <v>35</v>
      </c>
    </row>
    <row r="173" spans="1:21" x14ac:dyDescent="0.25">
      <c r="A173">
        <v>172</v>
      </c>
      <c r="B173">
        <v>806</v>
      </c>
      <c r="C173" t="s">
        <v>26</v>
      </c>
      <c r="D173">
        <v>37</v>
      </c>
      <c r="E173" t="s">
        <v>27</v>
      </c>
      <c r="F173" t="s">
        <v>28</v>
      </c>
      <c r="G173">
        <v>20652.1720696263</v>
      </c>
      <c r="H173">
        <v>218923965.42879301</v>
      </c>
      <c r="I173">
        <v>5088.8250384800904</v>
      </c>
      <c r="J173">
        <v>99079106.6323217</v>
      </c>
      <c r="K173">
        <v>0.15427690263105601</v>
      </c>
      <c r="L173">
        <v>3.03946583336876E-2</v>
      </c>
      <c r="M173">
        <v>-3.8061631461164001E-2</v>
      </c>
      <c r="N173">
        <v>2.24183011662405E-3</v>
      </c>
      <c r="O173">
        <v>0.44208375380168602</v>
      </c>
      <c r="P173">
        <v>9.6946553527995902E-2</v>
      </c>
      <c r="Q173">
        <v>0.56129564569360202</v>
      </c>
      <c r="R173">
        <v>0.24624284381883399</v>
      </c>
      <c r="S173">
        <v>0.74699244117960195</v>
      </c>
      <c r="T173">
        <v>0.18899473400004899</v>
      </c>
      <c r="U173">
        <v>23</v>
      </c>
    </row>
    <row r="174" spans="1:21" x14ac:dyDescent="0.25">
      <c r="A174">
        <v>173</v>
      </c>
      <c r="B174">
        <v>807</v>
      </c>
      <c r="C174" t="s">
        <v>26</v>
      </c>
      <c r="D174">
        <v>37</v>
      </c>
      <c r="E174" t="s">
        <v>27</v>
      </c>
      <c r="F174" t="s">
        <v>28</v>
      </c>
      <c r="G174">
        <v>25971.861130012199</v>
      </c>
      <c r="H174">
        <v>159288479.710738</v>
      </c>
      <c r="I174">
        <v>408.75171313999999</v>
      </c>
      <c r="J174">
        <v>64378906.073085897</v>
      </c>
      <c r="K174">
        <v>0.25094192418049399</v>
      </c>
      <c r="L174">
        <v>2.4225217843959999E-2</v>
      </c>
      <c r="M174">
        <v>-2.52048988492873E-2</v>
      </c>
      <c r="N174">
        <v>2.5602795413920501E-3</v>
      </c>
      <c r="O174">
        <v>0.59780622483311496</v>
      </c>
      <c r="P174">
        <v>5.8237745890603501E-2</v>
      </c>
      <c r="Q174">
        <v>0.78133657351154295</v>
      </c>
      <c r="R174">
        <v>0.170849732404913</v>
      </c>
      <c r="S174">
        <v>0.90224787363305003</v>
      </c>
      <c r="T174">
        <v>8.8196648157642998E-2</v>
      </c>
      <c r="U174">
        <v>81</v>
      </c>
    </row>
    <row r="175" spans="1:21" x14ac:dyDescent="0.25">
      <c r="A175">
        <v>174</v>
      </c>
      <c r="B175">
        <v>808</v>
      </c>
      <c r="C175" t="s">
        <v>26</v>
      </c>
      <c r="D175">
        <v>37</v>
      </c>
      <c r="E175" t="s">
        <v>27</v>
      </c>
      <c r="F175" t="s">
        <v>28</v>
      </c>
      <c r="G175">
        <v>27264.4859089651</v>
      </c>
      <c r="H175">
        <v>164684790.562828</v>
      </c>
      <c r="I175">
        <v>572.85813004611498</v>
      </c>
      <c r="J175">
        <v>55088772.212527797</v>
      </c>
      <c r="K175">
        <v>0.19580749626457</v>
      </c>
      <c r="L175">
        <v>1.9780272707957999E-2</v>
      </c>
      <c r="M175">
        <v>-5.3571780892496298E-2</v>
      </c>
      <c r="N175">
        <v>2.7012360520969302E-3</v>
      </c>
      <c r="O175">
        <v>0.565565648161101</v>
      </c>
      <c r="P175">
        <v>5.5176884458053799E-2</v>
      </c>
      <c r="Q175">
        <v>0.790458304741955</v>
      </c>
      <c r="R175">
        <v>0.16563397320605</v>
      </c>
      <c r="S175">
        <v>0.98546956071604896</v>
      </c>
      <c r="T175">
        <v>1.43193056181346E-2</v>
      </c>
      <c r="U175">
        <v>127</v>
      </c>
    </row>
    <row r="176" spans="1:21" x14ac:dyDescent="0.25">
      <c r="A176">
        <v>175</v>
      </c>
      <c r="B176">
        <v>809</v>
      </c>
      <c r="C176" t="s">
        <v>26</v>
      </c>
      <c r="D176">
        <v>37</v>
      </c>
      <c r="E176" t="s">
        <v>27</v>
      </c>
      <c r="F176" t="s">
        <v>28</v>
      </c>
      <c r="G176">
        <v>20773.7607754497</v>
      </c>
      <c r="H176">
        <v>237721996.093712</v>
      </c>
      <c r="I176">
        <v>4491.3246221218697</v>
      </c>
      <c r="J176">
        <v>75741238.957251802</v>
      </c>
      <c r="K176">
        <v>0.116387861727289</v>
      </c>
      <c r="L176">
        <v>2.2828347803949E-2</v>
      </c>
      <c r="M176">
        <v>-6.0540998322690998E-2</v>
      </c>
      <c r="N176">
        <v>2.2106689348200801E-3</v>
      </c>
      <c r="O176">
        <v>0.405440799362838</v>
      </c>
      <c r="P176">
        <v>8.8887785351082604E-2</v>
      </c>
      <c r="Q176">
        <v>0.54470436280137802</v>
      </c>
      <c r="R176">
        <v>0.248001519946384</v>
      </c>
      <c r="S176">
        <v>0.82074004975124404</v>
      </c>
      <c r="T176">
        <v>0.14712582048546999</v>
      </c>
      <c r="U176">
        <v>51</v>
      </c>
    </row>
    <row r="177" spans="1:21" x14ac:dyDescent="0.25">
      <c r="A177">
        <v>176</v>
      </c>
      <c r="B177">
        <v>701</v>
      </c>
      <c r="C177" t="s">
        <v>26</v>
      </c>
      <c r="D177">
        <v>37</v>
      </c>
      <c r="E177" t="s">
        <v>27</v>
      </c>
      <c r="F177" t="s">
        <v>28</v>
      </c>
      <c r="G177">
        <v>23190.281909819802</v>
      </c>
      <c r="H177">
        <v>188593766.42010099</v>
      </c>
      <c r="I177">
        <v>2640.0414129936598</v>
      </c>
      <c r="J177">
        <v>68264034.5252489</v>
      </c>
      <c r="K177">
        <v>0.21446329182419199</v>
      </c>
      <c r="L177">
        <v>1.93519657025518E-2</v>
      </c>
      <c r="M177">
        <v>-3.5227783451787099E-2</v>
      </c>
      <c r="N177">
        <v>2.2143358717273301E-3</v>
      </c>
      <c r="O177">
        <v>0.55903843505333195</v>
      </c>
      <c r="P177">
        <v>6.1854885081954698E-2</v>
      </c>
      <c r="Q177">
        <v>0.68657351310938697</v>
      </c>
      <c r="R177">
        <v>0.21519032420619</v>
      </c>
      <c r="S177">
        <v>0.733068653484235</v>
      </c>
      <c r="T177">
        <v>0.195679002762747</v>
      </c>
      <c r="U177">
        <v>27</v>
      </c>
    </row>
    <row r="178" spans="1:21" x14ac:dyDescent="0.25">
      <c r="A178">
        <v>177</v>
      </c>
      <c r="B178">
        <v>702</v>
      </c>
      <c r="C178" t="s">
        <v>26</v>
      </c>
      <c r="D178">
        <v>37</v>
      </c>
      <c r="E178" t="s">
        <v>27</v>
      </c>
      <c r="F178" t="s">
        <v>28</v>
      </c>
      <c r="G178">
        <v>20262.4922784189</v>
      </c>
      <c r="H178">
        <v>176008754.81559101</v>
      </c>
      <c r="I178">
        <v>3937.6214122207898</v>
      </c>
      <c r="J178">
        <v>94894708.561104596</v>
      </c>
      <c r="K178">
        <v>0.200177714556947</v>
      </c>
      <c r="L178">
        <v>3.6837036657657501E-2</v>
      </c>
      <c r="M178">
        <v>-2.7320061196198599E-2</v>
      </c>
      <c r="N178">
        <v>2.64788524491694E-3</v>
      </c>
      <c r="O178">
        <v>0.489802715574922</v>
      </c>
      <c r="P178">
        <v>9.5761906333596394E-2</v>
      </c>
      <c r="Q178">
        <v>0.62322612325067495</v>
      </c>
      <c r="R178">
        <v>0.23481532254840201</v>
      </c>
      <c r="S178">
        <v>0.82493248219985305</v>
      </c>
      <c r="T178">
        <v>0.14441888201142999</v>
      </c>
      <c r="U178">
        <v>43</v>
      </c>
    </row>
    <row r="179" spans="1:21" x14ac:dyDescent="0.25">
      <c r="A179">
        <v>178</v>
      </c>
      <c r="B179">
        <v>703</v>
      </c>
      <c r="C179" t="s">
        <v>26</v>
      </c>
      <c r="D179">
        <v>37</v>
      </c>
      <c r="E179" t="s">
        <v>27</v>
      </c>
      <c r="F179" t="s">
        <v>28</v>
      </c>
      <c r="G179">
        <v>25389.9179026454</v>
      </c>
      <c r="H179">
        <v>187205240.25912601</v>
      </c>
      <c r="I179">
        <v>1938.4908080760999</v>
      </c>
      <c r="J179">
        <v>97311950.365924805</v>
      </c>
      <c r="K179">
        <v>0.19647905977404001</v>
      </c>
      <c r="L179">
        <v>3.8366029097276502E-2</v>
      </c>
      <c r="M179">
        <v>-4.3203591373519701E-2</v>
      </c>
      <c r="N179">
        <v>3.05521206962144E-3</v>
      </c>
      <c r="O179">
        <v>0.53313603658098796</v>
      </c>
      <c r="P179">
        <v>0.104205907109931</v>
      </c>
      <c r="Q179">
        <v>0.74555047656097995</v>
      </c>
      <c r="R179">
        <v>0.18970496346094601</v>
      </c>
      <c r="S179">
        <v>0.92113645205213002</v>
      </c>
      <c r="T179">
        <v>7.2644088752701105E-2</v>
      </c>
      <c r="U179">
        <v>96</v>
      </c>
    </row>
    <row r="180" spans="1:21" x14ac:dyDescent="0.25">
      <c r="A180">
        <v>179</v>
      </c>
      <c r="B180">
        <v>704</v>
      </c>
      <c r="C180" t="s">
        <v>26</v>
      </c>
      <c r="D180">
        <v>37</v>
      </c>
      <c r="E180" t="s">
        <v>27</v>
      </c>
      <c r="F180" t="s">
        <v>28</v>
      </c>
      <c r="G180">
        <v>18287.8888716568</v>
      </c>
      <c r="H180">
        <v>206678422.870305</v>
      </c>
      <c r="I180">
        <v>7568.4482132405301</v>
      </c>
      <c r="J180">
        <v>117154159.48789801</v>
      </c>
      <c r="K180">
        <v>8.6899589653108594E-2</v>
      </c>
      <c r="L180">
        <v>4.0264338616861302E-2</v>
      </c>
      <c r="M180">
        <v>-5.3812341340410803E-2</v>
      </c>
      <c r="N180">
        <v>2.9880227320329398E-3</v>
      </c>
      <c r="O180">
        <v>0.33318118362871102</v>
      </c>
      <c r="P180">
        <v>0.13032074791783299</v>
      </c>
      <c r="Q180">
        <v>0.481593751321782</v>
      </c>
      <c r="R180">
        <v>0.249661210009687</v>
      </c>
      <c r="S180">
        <v>0.79273055394983605</v>
      </c>
      <c r="T180">
        <v>0.164308822784477</v>
      </c>
      <c r="U180">
        <v>50</v>
      </c>
    </row>
    <row r="181" spans="1:21" x14ac:dyDescent="0.25">
      <c r="A181">
        <v>180</v>
      </c>
      <c r="B181">
        <v>705</v>
      </c>
      <c r="C181" t="s">
        <v>26</v>
      </c>
      <c r="D181">
        <v>37</v>
      </c>
      <c r="E181" t="s">
        <v>27</v>
      </c>
      <c r="F181" t="s">
        <v>28</v>
      </c>
      <c r="G181">
        <v>28084.722949142299</v>
      </c>
      <c r="H181">
        <v>170250534.54012999</v>
      </c>
      <c r="I181">
        <v>559.33044338365096</v>
      </c>
      <c r="J181">
        <v>71470763.503864601</v>
      </c>
      <c r="K181">
        <v>0.17390206696176</v>
      </c>
      <c r="L181">
        <v>2.5875348859466199E-2</v>
      </c>
      <c r="M181">
        <v>-4.8461398392280301E-2</v>
      </c>
      <c r="N181">
        <v>2.8010779668146699E-3</v>
      </c>
      <c r="O181">
        <v>0.54234240249949806</v>
      </c>
      <c r="P181">
        <v>7.3505242528857595E-2</v>
      </c>
      <c r="Q181">
        <v>0.79144146855251296</v>
      </c>
      <c r="R181">
        <v>0.165061870407718</v>
      </c>
      <c r="S181">
        <v>0.97663557026782999</v>
      </c>
      <c r="T181">
        <v>2.2818533155539601E-2</v>
      </c>
      <c r="U181">
        <v>128</v>
      </c>
    </row>
    <row r="182" spans="1:21" x14ac:dyDescent="0.25">
      <c r="A182">
        <v>181</v>
      </c>
      <c r="B182">
        <v>706</v>
      </c>
      <c r="C182" t="s">
        <v>26</v>
      </c>
      <c r="D182">
        <v>37</v>
      </c>
      <c r="E182" t="s">
        <v>27</v>
      </c>
      <c r="F182" t="s">
        <v>28</v>
      </c>
      <c r="G182">
        <v>23898.186974082801</v>
      </c>
      <c r="H182">
        <v>215963781.70957401</v>
      </c>
      <c r="I182">
        <v>2988.8853444210499</v>
      </c>
      <c r="J182">
        <v>83871683.050748795</v>
      </c>
      <c r="K182">
        <v>0.13883870165092899</v>
      </c>
      <c r="L182">
        <v>2.8319824641759899E-2</v>
      </c>
      <c r="M182">
        <v>-4.6820613017628E-2</v>
      </c>
      <c r="N182">
        <v>2.58025022451174E-3</v>
      </c>
      <c r="O182">
        <v>0.45227493613111402</v>
      </c>
      <c r="P182">
        <v>9.4406934194181003E-2</v>
      </c>
      <c r="Q182">
        <v>0.63812088281963697</v>
      </c>
      <c r="R182">
        <v>0.230922621729274</v>
      </c>
      <c r="S182">
        <v>0.98045391162186901</v>
      </c>
      <c r="T182">
        <v>1.91640388071883E-2</v>
      </c>
      <c r="U182">
        <v>131</v>
      </c>
    </row>
    <row r="183" spans="1:21" x14ac:dyDescent="0.25">
      <c r="A183">
        <v>182</v>
      </c>
      <c r="B183">
        <v>707</v>
      </c>
      <c r="C183" t="s">
        <v>26</v>
      </c>
      <c r="D183">
        <v>37</v>
      </c>
      <c r="E183" t="s">
        <v>27</v>
      </c>
      <c r="F183" t="s">
        <v>28</v>
      </c>
      <c r="G183">
        <v>27194.766112925001</v>
      </c>
      <c r="H183">
        <v>180410949.02125299</v>
      </c>
      <c r="I183">
        <v>612.06204965410598</v>
      </c>
      <c r="J183">
        <v>59476171.588521004</v>
      </c>
      <c r="K183">
        <v>0.17560479113504601</v>
      </c>
      <c r="L183">
        <v>2.0000545707228399E-2</v>
      </c>
      <c r="M183">
        <v>-4.73344338793628E-2</v>
      </c>
      <c r="N183">
        <v>2.1948193376064499E-3</v>
      </c>
      <c r="O183">
        <v>0.52564658436713796</v>
      </c>
      <c r="P183">
        <v>6.0099526125529303E-2</v>
      </c>
      <c r="Q183">
        <v>0.71547486634853397</v>
      </c>
      <c r="R183">
        <v>0.203570581971762</v>
      </c>
      <c r="S183">
        <v>0.98122301555978098</v>
      </c>
      <c r="T183">
        <v>1.84244092955675E-2</v>
      </c>
      <c r="U183">
        <v>127</v>
      </c>
    </row>
    <row r="184" spans="1:21" x14ac:dyDescent="0.25">
      <c r="A184">
        <v>183</v>
      </c>
      <c r="B184">
        <v>708</v>
      </c>
      <c r="C184" t="s">
        <v>26</v>
      </c>
      <c r="D184">
        <v>37</v>
      </c>
      <c r="E184" t="s">
        <v>27</v>
      </c>
      <c r="F184" t="s">
        <v>28</v>
      </c>
      <c r="G184">
        <v>19818.782249301501</v>
      </c>
      <c r="H184">
        <v>213730940.50431699</v>
      </c>
      <c r="I184">
        <v>4912.9467424402501</v>
      </c>
      <c r="J184">
        <v>94272706.056741893</v>
      </c>
      <c r="K184">
        <v>9.4282920278867893E-2</v>
      </c>
      <c r="L184">
        <v>3.4766336220013599E-2</v>
      </c>
      <c r="M184">
        <v>-6.2034042982928202E-2</v>
      </c>
      <c r="N184">
        <v>2.2846840548533501E-3</v>
      </c>
      <c r="O184">
        <v>0.36265549867605701</v>
      </c>
      <c r="P184">
        <v>0.117713385488767</v>
      </c>
      <c r="Q184">
        <v>0.52904118803684197</v>
      </c>
      <c r="R184">
        <v>0.24915660939759299</v>
      </c>
      <c r="S184">
        <v>0.91238487012314995</v>
      </c>
      <c r="T184">
        <v>7.9938718893697996E-2</v>
      </c>
      <c r="U184">
        <v>72</v>
      </c>
    </row>
    <row r="185" spans="1:21" x14ac:dyDescent="0.25">
      <c r="A185">
        <v>184</v>
      </c>
      <c r="B185">
        <v>709</v>
      </c>
      <c r="C185" t="s">
        <v>26</v>
      </c>
      <c r="D185">
        <v>37</v>
      </c>
      <c r="E185" t="s">
        <v>27</v>
      </c>
      <c r="F185" t="s">
        <v>28</v>
      </c>
      <c r="G185">
        <v>14510.180279635</v>
      </c>
      <c r="H185">
        <v>214663726.61511999</v>
      </c>
      <c r="I185">
        <v>7915.6829571299204</v>
      </c>
      <c r="J185">
        <v>88230758.196497396</v>
      </c>
      <c r="K185">
        <v>3.0344444256572699E-2</v>
      </c>
      <c r="L185">
        <v>2.8399223318251701E-2</v>
      </c>
      <c r="M185">
        <v>-7.5986002821354606E-2</v>
      </c>
      <c r="N185">
        <v>1.9230393286611401E-3</v>
      </c>
      <c r="O185">
        <v>0.23531085785240999</v>
      </c>
      <c r="P185">
        <v>0.11384164288354399</v>
      </c>
      <c r="Q185">
        <v>0.36022437775837501</v>
      </c>
      <c r="R185">
        <v>0.23046277542695601</v>
      </c>
      <c r="S185">
        <v>0.92364458371706404</v>
      </c>
      <c r="T185">
        <v>7.0525266687145594E-2</v>
      </c>
      <c r="U185">
        <v>57</v>
      </c>
    </row>
    <row r="186" spans="1:21" x14ac:dyDescent="0.25">
      <c r="A186">
        <v>185</v>
      </c>
      <c r="B186">
        <v>601</v>
      </c>
      <c r="C186" t="s">
        <v>26</v>
      </c>
      <c r="D186">
        <v>37</v>
      </c>
      <c r="E186" t="s">
        <v>27</v>
      </c>
      <c r="F186" t="s">
        <v>28</v>
      </c>
      <c r="G186">
        <v>19101.873347134198</v>
      </c>
      <c r="H186">
        <v>113646306.476248</v>
      </c>
      <c r="I186">
        <v>2303.2828092364598</v>
      </c>
      <c r="J186">
        <v>74744133.165429607</v>
      </c>
      <c r="K186">
        <v>0.27052167923801501</v>
      </c>
      <c r="L186">
        <v>3.4373087367571498E-2</v>
      </c>
      <c r="M186">
        <v>-1.4120601920204199E-2</v>
      </c>
      <c r="N186">
        <v>3.0380535418971801E-3</v>
      </c>
      <c r="O186">
        <v>0.578671548762413</v>
      </c>
      <c r="P186">
        <v>7.8889726942557206E-2</v>
      </c>
      <c r="Q186">
        <v>0.72786906456203904</v>
      </c>
      <c r="R186">
        <v>0.19807568941565101</v>
      </c>
      <c r="S186">
        <v>0.857174278690646</v>
      </c>
      <c r="T186">
        <v>0.122426534641778</v>
      </c>
      <c r="U186">
        <v>48</v>
      </c>
    </row>
    <row r="187" spans="1:21" x14ac:dyDescent="0.25">
      <c r="A187">
        <v>186</v>
      </c>
      <c r="B187">
        <v>602</v>
      </c>
      <c r="C187" t="s">
        <v>26</v>
      </c>
      <c r="D187">
        <v>37</v>
      </c>
      <c r="E187" t="s">
        <v>27</v>
      </c>
      <c r="F187" t="s">
        <v>28</v>
      </c>
      <c r="G187">
        <v>19850.466841500202</v>
      </c>
      <c r="H187">
        <v>116183132.07116701</v>
      </c>
      <c r="I187">
        <v>1915.6032119353799</v>
      </c>
      <c r="J187">
        <v>66666273.167900197</v>
      </c>
      <c r="K187">
        <v>0.25836309267948199</v>
      </c>
      <c r="L187">
        <v>3.0657073532853501E-2</v>
      </c>
      <c r="M187">
        <v>-1.7396380943433501E-2</v>
      </c>
      <c r="N187">
        <v>2.63174318635541E-3</v>
      </c>
      <c r="O187">
        <v>0.55697974293917596</v>
      </c>
      <c r="P187">
        <v>7.1586771746197306E-2</v>
      </c>
      <c r="Q187">
        <v>0.72686449202471604</v>
      </c>
      <c r="R187">
        <v>0.19853250225814401</v>
      </c>
      <c r="S187">
        <v>0.91482253197298502</v>
      </c>
      <c r="T187">
        <v>7.7922266967707293E-2</v>
      </c>
      <c r="U187">
        <v>74</v>
      </c>
    </row>
    <row r="188" spans="1:21" x14ac:dyDescent="0.25">
      <c r="A188">
        <v>187</v>
      </c>
      <c r="B188">
        <v>603</v>
      </c>
      <c r="C188" t="s">
        <v>26</v>
      </c>
      <c r="D188">
        <v>37</v>
      </c>
      <c r="E188" t="s">
        <v>27</v>
      </c>
      <c r="F188" t="s">
        <v>28</v>
      </c>
      <c r="G188">
        <v>14241.2354157889</v>
      </c>
      <c r="H188">
        <v>110644896.240796</v>
      </c>
      <c r="I188">
        <v>6402.7866287610204</v>
      </c>
      <c r="J188">
        <v>131381467.847019</v>
      </c>
      <c r="K188">
        <v>0.172438459202121</v>
      </c>
      <c r="L188">
        <v>7.5779694994303107E-2</v>
      </c>
      <c r="M188">
        <v>-2.91233000209416E-2</v>
      </c>
      <c r="N188">
        <v>4.8289799682930002E-3</v>
      </c>
      <c r="O188">
        <v>0.39060892618127802</v>
      </c>
      <c r="P188">
        <v>0.15747275538351899</v>
      </c>
      <c r="Q188">
        <v>0.539357260504845</v>
      </c>
      <c r="R188">
        <v>0.24845100604540701</v>
      </c>
      <c r="S188">
        <v>0.86054825653400702</v>
      </c>
      <c r="T188">
        <v>0.12000495471044501</v>
      </c>
      <c r="U188">
        <v>45</v>
      </c>
    </row>
    <row r="189" spans="1:21" x14ac:dyDescent="0.25">
      <c r="A189">
        <v>188</v>
      </c>
      <c r="B189">
        <v>604</v>
      </c>
      <c r="C189" t="s">
        <v>26</v>
      </c>
      <c r="D189">
        <v>37</v>
      </c>
      <c r="E189" t="s">
        <v>27</v>
      </c>
      <c r="F189" t="s">
        <v>28</v>
      </c>
      <c r="G189">
        <v>21324.9966488028</v>
      </c>
      <c r="H189">
        <v>120756637.952352</v>
      </c>
      <c r="I189">
        <v>50.6820563227691</v>
      </c>
      <c r="J189">
        <v>75474941.846204907</v>
      </c>
      <c r="K189">
        <v>0.26848552238219298</v>
      </c>
      <c r="L189">
        <v>3.39295984997443E-2</v>
      </c>
      <c r="M189">
        <v>-1.17099791889768E-2</v>
      </c>
      <c r="N189">
        <v>2.7074213114518398E-3</v>
      </c>
      <c r="O189">
        <v>0.57499443964733699</v>
      </c>
      <c r="P189">
        <v>8.5641165788344104E-2</v>
      </c>
      <c r="Q189">
        <v>0.74794012158475598</v>
      </c>
      <c r="R189">
        <v>0.18852569610859499</v>
      </c>
      <c r="S189">
        <v>0.875174830016756</v>
      </c>
      <c r="T189">
        <v>0.109243846921871</v>
      </c>
      <c r="U189">
        <v>39</v>
      </c>
    </row>
    <row r="190" spans="1:21" x14ac:dyDescent="0.25">
      <c r="A190">
        <v>189</v>
      </c>
      <c r="B190">
        <v>605</v>
      </c>
      <c r="C190" t="s">
        <v>26</v>
      </c>
      <c r="D190">
        <v>37</v>
      </c>
      <c r="E190" t="s">
        <v>27</v>
      </c>
      <c r="F190" t="s">
        <v>28</v>
      </c>
      <c r="G190">
        <v>17840.9971021581</v>
      </c>
      <c r="H190">
        <v>144974988.581824</v>
      </c>
      <c r="I190">
        <v>3961.1503302389901</v>
      </c>
      <c r="J190">
        <v>116462828.807428</v>
      </c>
      <c r="K190">
        <v>0.16526003741399001</v>
      </c>
      <c r="L190">
        <v>5.2418254521297197E-2</v>
      </c>
      <c r="M190">
        <v>-3.4880031356911999E-2</v>
      </c>
      <c r="N190">
        <v>3.6178412011856698E-3</v>
      </c>
      <c r="O190">
        <v>0.41872746674454597</v>
      </c>
      <c r="P190">
        <v>0.13151483836657599</v>
      </c>
      <c r="Q190">
        <v>0.57877361374335101</v>
      </c>
      <c r="R190">
        <v>0.243794717777681</v>
      </c>
      <c r="S190">
        <v>0.72238185486336104</v>
      </c>
      <c r="T190">
        <v>0.20054631062724201</v>
      </c>
      <c r="U190">
        <v>28</v>
      </c>
    </row>
    <row r="191" spans="1:21" x14ac:dyDescent="0.25">
      <c r="A191">
        <v>190</v>
      </c>
      <c r="B191">
        <v>606</v>
      </c>
      <c r="C191" t="s">
        <v>26</v>
      </c>
      <c r="D191">
        <v>37</v>
      </c>
      <c r="E191" t="s">
        <v>27</v>
      </c>
      <c r="F191" t="s">
        <v>28</v>
      </c>
      <c r="G191">
        <v>19206.018950648599</v>
      </c>
      <c r="H191">
        <v>151243946.42403001</v>
      </c>
      <c r="I191">
        <v>2803.6109400036999</v>
      </c>
      <c r="J191">
        <v>102440473.72957601</v>
      </c>
      <c r="K191">
        <v>0.17688836456424001</v>
      </c>
      <c r="L191">
        <v>4.9496608872989699E-2</v>
      </c>
      <c r="M191">
        <v>-3.1204423040350999E-2</v>
      </c>
      <c r="N191">
        <v>3.1751592237233301E-3</v>
      </c>
      <c r="O191">
        <v>0.44795958646813</v>
      </c>
      <c r="P191">
        <v>0.12935067337230399</v>
      </c>
      <c r="Q191">
        <v>0.628221851825011</v>
      </c>
      <c r="R191">
        <v>0.233559156714716</v>
      </c>
      <c r="S191">
        <v>0.81404449597796902</v>
      </c>
      <c r="T191">
        <v>0.15137605454630901</v>
      </c>
      <c r="U191">
        <v>36</v>
      </c>
    </row>
    <row r="192" spans="1:21" x14ac:dyDescent="0.25">
      <c r="A192">
        <v>191</v>
      </c>
      <c r="B192">
        <v>607</v>
      </c>
      <c r="C192" t="s">
        <v>26</v>
      </c>
      <c r="D192">
        <v>37</v>
      </c>
      <c r="E192" t="s">
        <v>27</v>
      </c>
      <c r="F192" t="s">
        <v>28</v>
      </c>
      <c r="G192">
        <v>19746.215996871</v>
      </c>
      <c r="H192">
        <v>162653611.82300401</v>
      </c>
      <c r="I192">
        <v>2874.1651711186501</v>
      </c>
      <c r="J192">
        <v>98094703.155367196</v>
      </c>
      <c r="K192">
        <v>0.18435695313301201</v>
      </c>
      <c r="L192">
        <v>4.3739120598596803E-2</v>
      </c>
      <c r="M192">
        <v>-2.89569438352788E-2</v>
      </c>
      <c r="N192">
        <v>2.7138852108319002E-3</v>
      </c>
      <c r="O192">
        <v>0.45372977842762902</v>
      </c>
      <c r="P192">
        <v>0.11508594472083999</v>
      </c>
      <c r="Q192">
        <v>0.61231299501320002</v>
      </c>
      <c r="R192">
        <v>0.23738579115146599</v>
      </c>
      <c r="S192">
        <v>0.67402464065708401</v>
      </c>
      <c r="T192">
        <v>0.21971542444426401</v>
      </c>
      <c r="U192">
        <v>40</v>
      </c>
    </row>
    <row r="193" spans="1:21" x14ac:dyDescent="0.25">
      <c r="A193">
        <v>192</v>
      </c>
      <c r="B193">
        <v>608</v>
      </c>
      <c r="C193" t="s">
        <v>26</v>
      </c>
      <c r="D193">
        <v>37</v>
      </c>
      <c r="E193" t="s">
        <v>27</v>
      </c>
      <c r="F193" t="s">
        <v>28</v>
      </c>
      <c r="G193">
        <v>17141.629289690001</v>
      </c>
      <c r="H193">
        <v>148932180.39878899</v>
      </c>
      <c r="I193">
        <v>3830.0592067133398</v>
      </c>
      <c r="J193">
        <v>117410294.032786</v>
      </c>
      <c r="K193">
        <v>0.17538426952383801</v>
      </c>
      <c r="L193">
        <v>5.8617413382130598E-2</v>
      </c>
      <c r="M193">
        <v>-3.9176418378768299E-2</v>
      </c>
      <c r="N193">
        <v>3.64674911445998E-3</v>
      </c>
      <c r="O193">
        <v>0.42937940686360598</v>
      </c>
      <c r="P193">
        <v>0.14210886092123301</v>
      </c>
      <c r="Q193">
        <v>0.60185287576640001</v>
      </c>
      <c r="R193">
        <v>0.23962599169797799</v>
      </c>
      <c r="S193">
        <v>0.81586739897035199</v>
      </c>
      <c r="T193">
        <v>0.150227786267463</v>
      </c>
      <c r="U193">
        <v>57</v>
      </c>
    </row>
    <row r="194" spans="1:21" x14ac:dyDescent="0.25">
      <c r="A194">
        <v>193</v>
      </c>
      <c r="B194">
        <v>609</v>
      </c>
      <c r="C194" t="s">
        <v>26</v>
      </c>
      <c r="D194">
        <v>37</v>
      </c>
      <c r="E194" t="s">
        <v>27</v>
      </c>
      <c r="F194" t="s">
        <v>28</v>
      </c>
      <c r="G194">
        <v>20921.142396756499</v>
      </c>
      <c r="H194">
        <v>147463824.649914</v>
      </c>
      <c r="I194">
        <v>300.49058299761401</v>
      </c>
      <c r="J194">
        <v>81828097.762260705</v>
      </c>
      <c r="K194">
        <v>0.239065297083663</v>
      </c>
      <c r="L194">
        <v>3.6759068452336098E-2</v>
      </c>
      <c r="M194">
        <v>-3.2104752145195502E-2</v>
      </c>
      <c r="N194">
        <v>3.03752350470854E-3</v>
      </c>
      <c r="O194">
        <v>0.540448655480816</v>
      </c>
      <c r="P194">
        <v>9.6807623762576497E-2</v>
      </c>
      <c r="Q194">
        <v>0.731605894430439</v>
      </c>
      <c r="R194">
        <v>0.19635870966484101</v>
      </c>
      <c r="S194">
        <v>0.59074252150635398</v>
      </c>
      <c r="T194">
        <v>0.241765794791028</v>
      </c>
      <c r="U194">
        <v>20</v>
      </c>
    </row>
    <row r="195" spans="1:21" x14ac:dyDescent="0.25">
      <c r="A195">
        <v>194</v>
      </c>
      <c r="B195">
        <v>501</v>
      </c>
      <c r="C195" t="s">
        <v>26</v>
      </c>
      <c r="D195">
        <v>37</v>
      </c>
      <c r="E195" t="s">
        <v>27</v>
      </c>
      <c r="F195" t="s">
        <v>28</v>
      </c>
      <c r="G195">
        <v>16717.338200782298</v>
      </c>
      <c r="H195">
        <v>105905708.03399</v>
      </c>
      <c r="I195">
        <v>4330.38364106463</v>
      </c>
      <c r="J195">
        <v>82527490.699978501</v>
      </c>
      <c r="K195">
        <v>0.236787562761825</v>
      </c>
      <c r="L195">
        <v>4.28038140331473E-2</v>
      </c>
      <c r="M195">
        <v>-1.5805564250556198E-2</v>
      </c>
      <c r="N195">
        <v>3.2362797060621301E-3</v>
      </c>
      <c r="O195">
        <v>0.51509406474363895</v>
      </c>
      <c r="P195">
        <v>8.6773842362877496E-2</v>
      </c>
      <c r="Q195">
        <v>0.64228367528992003</v>
      </c>
      <c r="R195">
        <v>0.229755355746074</v>
      </c>
      <c r="S195">
        <v>0.83440609346050898</v>
      </c>
      <c r="T195">
        <v>0.13817256465670999</v>
      </c>
      <c r="U195">
        <v>44</v>
      </c>
    </row>
    <row r="196" spans="1:21" x14ac:dyDescent="0.25">
      <c r="A196">
        <v>195</v>
      </c>
      <c r="B196">
        <v>502</v>
      </c>
      <c r="C196" t="s">
        <v>26</v>
      </c>
      <c r="D196">
        <v>37</v>
      </c>
      <c r="E196" t="s">
        <v>27</v>
      </c>
      <c r="F196" t="s">
        <v>28</v>
      </c>
      <c r="G196">
        <v>16512.197197390698</v>
      </c>
      <c r="H196">
        <v>112771989.795203</v>
      </c>
      <c r="I196">
        <v>5038.1029394971802</v>
      </c>
      <c r="J196">
        <v>88026411.902950704</v>
      </c>
      <c r="K196">
        <v>0.20258294080132899</v>
      </c>
      <c r="L196">
        <v>4.8039993835996803E-2</v>
      </c>
      <c r="M196">
        <v>-2.51136623874357E-2</v>
      </c>
      <c r="N196">
        <v>2.9593627209228901E-3</v>
      </c>
      <c r="O196">
        <v>0.47307592662613501</v>
      </c>
      <c r="P196">
        <v>9.9247634034918E-2</v>
      </c>
      <c r="Q196">
        <v>0.61412176854312595</v>
      </c>
      <c r="R196">
        <v>0.23697622194446699</v>
      </c>
      <c r="S196">
        <v>0.95681323991302203</v>
      </c>
      <c r="T196">
        <v>4.13216638402924E-2</v>
      </c>
      <c r="U196">
        <v>86</v>
      </c>
    </row>
    <row r="197" spans="1:21" x14ac:dyDescent="0.25">
      <c r="A197">
        <v>196</v>
      </c>
      <c r="B197">
        <v>503</v>
      </c>
      <c r="C197" t="s">
        <v>26</v>
      </c>
      <c r="D197">
        <v>37</v>
      </c>
      <c r="E197" t="s">
        <v>27</v>
      </c>
      <c r="F197" t="s">
        <v>28</v>
      </c>
      <c r="G197">
        <v>17833.512500504901</v>
      </c>
      <c r="H197">
        <v>105196806.320149</v>
      </c>
      <c r="I197">
        <v>3456.0275812200498</v>
      </c>
      <c r="J197">
        <v>92247384.355288595</v>
      </c>
      <c r="K197">
        <v>0.23185151728817699</v>
      </c>
      <c r="L197">
        <v>4.8717646874179302E-2</v>
      </c>
      <c r="M197">
        <v>-1.5605228699684399E-2</v>
      </c>
      <c r="N197">
        <v>3.5010189393325499E-3</v>
      </c>
      <c r="O197">
        <v>0.50584789246528294</v>
      </c>
      <c r="P197">
        <v>9.9184404204264304E-2</v>
      </c>
      <c r="Q197">
        <v>0.66826877768353599</v>
      </c>
      <c r="R197">
        <v>0.22168561845703</v>
      </c>
      <c r="S197">
        <v>0.91152038989189099</v>
      </c>
      <c r="T197">
        <v>8.0650968703115306E-2</v>
      </c>
      <c r="U197">
        <v>51</v>
      </c>
    </row>
    <row r="198" spans="1:21" x14ac:dyDescent="0.25">
      <c r="A198">
        <v>197</v>
      </c>
      <c r="B198">
        <v>504</v>
      </c>
      <c r="C198" t="s">
        <v>26</v>
      </c>
      <c r="D198">
        <v>37</v>
      </c>
      <c r="E198" t="s">
        <v>27</v>
      </c>
      <c r="F198" t="s">
        <v>28</v>
      </c>
      <c r="G198">
        <v>20024.8746715046</v>
      </c>
      <c r="H198">
        <v>132403576.341254</v>
      </c>
      <c r="I198">
        <v>2053.0629878806599</v>
      </c>
      <c r="J198">
        <v>94649218.463595405</v>
      </c>
      <c r="K198">
        <v>0.22188560503121499</v>
      </c>
      <c r="L198">
        <v>3.9814377635609001E-2</v>
      </c>
      <c r="M198">
        <v>-2.9044587694725999E-2</v>
      </c>
      <c r="N198">
        <v>2.89592177181656E-3</v>
      </c>
      <c r="O198">
        <v>0.52906334058277604</v>
      </c>
      <c r="P198">
        <v>9.8977904490527402E-2</v>
      </c>
      <c r="Q198">
        <v>0.71259154516227996</v>
      </c>
      <c r="R198">
        <v>0.204804834925636</v>
      </c>
      <c r="S198">
        <v>0.95214972719875102</v>
      </c>
      <c r="T198">
        <v>4.5560624194020703E-2</v>
      </c>
      <c r="U198">
        <v>65</v>
      </c>
    </row>
    <row r="199" spans="1:21" x14ac:dyDescent="0.25">
      <c r="A199">
        <v>198</v>
      </c>
      <c r="B199">
        <v>505</v>
      </c>
      <c r="C199" t="s">
        <v>26</v>
      </c>
      <c r="D199">
        <v>37</v>
      </c>
      <c r="E199" t="s">
        <v>27</v>
      </c>
      <c r="F199" t="s">
        <v>28</v>
      </c>
      <c r="G199">
        <v>23549.158477069901</v>
      </c>
      <c r="H199">
        <v>120733530.47957499</v>
      </c>
      <c r="I199">
        <v>193.729604127009</v>
      </c>
      <c r="J199">
        <v>67386134.208441302</v>
      </c>
      <c r="K199">
        <v>0.25124343282185002</v>
      </c>
      <c r="L199">
        <v>3.1427315237182597E-2</v>
      </c>
      <c r="M199">
        <v>-2.55407441436542E-2</v>
      </c>
      <c r="N199">
        <v>3.45270195418515E-3</v>
      </c>
      <c r="O199">
        <v>0.59037565601701203</v>
      </c>
      <c r="P199">
        <v>6.7417193773441797E-2</v>
      </c>
      <c r="Q199">
        <v>0.81420300949738</v>
      </c>
      <c r="R199">
        <v>0.15127646882293699</v>
      </c>
      <c r="S199">
        <v>0.89914116887155804</v>
      </c>
      <c r="T199">
        <v>9.0686327311901099E-2</v>
      </c>
      <c r="U199">
        <v>63</v>
      </c>
    </row>
    <row r="200" spans="1:21" x14ac:dyDescent="0.25">
      <c r="A200">
        <v>199</v>
      </c>
      <c r="B200">
        <v>506</v>
      </c>
      <c r="C200" t="s">
        <v>26</v>
      </c>
      <c r="D200">
        <v>37</v>
      </c>
      <c r="E200" t="s">
        <v>27</v>
      </c>
      <c r="F200" t="s">
        <v>28</v>
      </c>
      <c r="G200">
        <v>19249.8845339617</v>
      </c>
      <c r="H200">
        <v>143789358.24534899</v>
      </c>
      <c r="I200">
        <v>5000.06582387247</v>
      </c>
      <c r="J200">
        <v>92536615.847920999</v>
      </c>
      <c r="K200">
        <v>0.147129248521742</v>
      </c>
      <c r="L200">
        <v>4.1060164061761897E-2</v>
      </c>
      <c r="M200">
        <v>-4.77811434448688E-2</v>
      </c>
      <c r="N200">
        <v>2.85931308400005E-3</v>
      </c>
      <c r="O200">
        <v>0.43643854798281601</v>
      </c>
      <c r="P200">
        <v>0.105587164754968</v>
      </c>
      <c r="Q200">
        <v>0.61526869116961103</v>
      </c>
      <c r="R200">
        <v>0.23671312883638701</v>
      </c>
      <c r="S200">
        <v>0.98495377291918296</v>
      </c>
      <c r="T200">
        <v>1.48198381314675E-2</v>
      </c>
      <c r="U200">
        <v>192</v>
      </c>
    </row>
    <row r="201" spans="1:21" x14ac:dyDescent="0.25">
      <c r="A201">
        <v>200</v>
      </c>
      <c r="B201">
        <v>507</v>
      </c>
      <c r="C201" t="s">
        <v>26</v>
      </c>
      <c r="D201">
        <v>37</v>
      </c>
      <c r="E201" t="s">
        <v>27</v>
      </c>
      <c r="F201" t="s">
        <v>28</v>
      </c>
      <c r="G201">
        <v>16227.5041592986</v>
      </c>
      <c r="H201">
        <v>145045058.22368401</v>
      </c>
      <c r="I201">
        <v>6883.5151756527803</v>
      </c>
      <c r="J201">
        <v>104312267.21473201</v>
      </c>
      <c r="K201">
        <v>0.10300677851998501</v>
      </c>
      <c r="L201">
        <v>4.9102402582317302E-2</v>
      </c>
      <c r="M201">
        <v>-5.99575994345449E-2</v>
      </c>
      <c r="N201">
        <v>2.9394527372870001E-3</v>
      </c>
      <c r="O201">
        <v>0.35201801762711799</v>
      </c>
      <c r="P201">
        <v>0.124602211952416</v>
      </c>
      <c r="Q201">
        <v>0.49316330851037299</v>
      </c>
      <c r="R201">
        <v>0.24995325964978801</v>
      </c>
      <c r="S201">
        <v>0.94926651889118596</v>
      </c>
      <c r="T201">
        <v>4.8159595003409397E-2</v>
      </c>
      <c r="U201">
        <v>116</v>
      </c>
    </row>
    <row r="202" spans="1:21" x14ac:dyDescent="0.25">
      <c r="A202">
        <v>201</v>
      </c>
      <c r="B202">
        <v>508</v>
      </c>
      <c r="C202" t="s">
        <v>26</v>
      </c>
      <c r="D202">
        <v>37</v>
      </c>
      <c r="E202" t="s">
        <v>27</v>
      </c>
      <c r="F202" t="s">
        <v>28</v>
      </c>
      <c r="G202">
        <v>20437.003384883999</v>
      </c>
      <c r="H202">
        <v>140414377.916181</v>
      </c>
      <c r="I202">
        <v>3677.6110932754</v>
      </c>
      <c r="J202">
        <v>70772722.845204607</v>
      </c>
      <c r="K202">
        <v>0.171980887694131</v>
      </c>
      <c r="L202">
        <v>3.38679436103188E-2</v>
      </c>
      <c r="M202">
        <v>-4.8391941057183703E-2</v>
      </c>
      <c r="N202">
        <v>2.62608030499707E-3</v>
      </c>
      <c r="O202">
        <v>0.47507636535051401</v>
      </c>
      <c r="P202">
        <v>8.7779397335084206E-2</v>
      </c>
      <c r="Q202">
        <v>0.66758764218307098</v>
      </c>
      <c r="R202">
        <v>0.221914382187544</v>
      </c>
      <c r="S202">
        <v>0.981472843182987</v>
      </c>
      <c r="T202">
        <v>1.8183901277314101E-2</v>
      </c>
      <c r="U202">
        <v>160</v>
      </c>
    </row>
    <row r="203" spans="1:21" x14ac:dyDescent="0.25">
      <c r="A203">
        <v>202</v>
      </c>
      <c r="B203">
        <v>509</v>
      </c>
      <c r="C203" t="s">
        <v>26</v>
      </c>
      <c r="D203">
        <v>37</v>
      </c>
      <c r="E203" t="s">
        <v>27</v>
      </c>
      <c r="F203" t="s">
        <v>28</v>
      </c>
      <c r="G203">
        <v>20613.336110734199</v>
      </c>
      <c r="H203">
        <v>100071106.39092401</v>
      </c>
      <c r="I203">
        <v>-66.575982898766497</v>
      </c>
      <c r="J203">
        <v>46182403.820641696</v>
      </c>
      <c r="K203">
        <v>0.28949590830128702</v>
      </c>
      <c r="L203">
        <v>2.59110659347697E-2</v>
      </c>
      <c r="M203">
        <v>-1.9408847040960499E-2</v>
      </c>
      <c r="N203">
        <v>3.0777878094686E-3</v>
      </c>
      <c r="O203">
        <v>0.61158048915915098</v>
      </c>
      <c r="P203">
        <v>5.46515031091344E-2</v>
      </c>
      <c r="Q203">
        <v>0.83235174379155896</v>
      </c>
      <c r="R203">
        <v>0.139542318398786</v>
      </c>
      <c r="S203">
        <v>0.91080200841362502</v>
      </c>
      <c r="T203">
        <v>8.1241709883193097E-2</v>
      </c>
      <c r="U203">
        <v>68</v>
      </c>
    </row>
    <row r="204" spans="1:21" x14ac:dyDescent="0.25">
      <c r="A204">
        <v>203</v>
      </c>
      <c r="B204">
        <v>401</v>
      </c>
      <c r="C204" t="s">
        <v>26</v>
      </c>
      <c r="D204">
        <v>37</v>
      </c>
      <c r="E204" t="s">
        <v>27</v>
      </c>
      <c r="F204" t="s">
        <v>28</v>
      </c>
      <c r="G204">
        <v>12394.7047098162</v>
      </c>
      <c r="H204">
        <v>99850155.291117594</v>
      </c>
      <c r="I204">
        <v>8880.8838381308396</v>
      </c>
      <c r="J204">
        <v>104608402.295397</v>
      </c>
      <c r="K204">
        <v>0.13352207411998901</v>
      </c>
      <c r="L204">
        <v>6.0785155555415603E-2</v>
      </c>
      <c r="M204">
        <v>-4.6226609561442998E-2</v>
      </c>
      <c r="N204">
        <v>4.4990004954540003E-3</v>
      </c>
      <c r="O204">
        <v>0.381778403293624</v>
      </c>
      <c r="P204">
        <v>0.116095027096181</v>
      </c>
      <c r="Q204">
        <v>0.49361051349179602</v>
      </c>
      <c r="R204">
        <v>0.24995917446211599</v>
      </c>
      <c r="S204">
        <v>0.85612639000492496</v>
      </c>
      <c r="T204">
        <v>0.12317399434210401</v>
      </c>
      <c r="U204">
        <v>57</v>
      </c>
    </row>
    <row r="205" spans="1:21" x14ac:dyDescent="0.25">
      <c r="A205">
        <v>204</v>
      </c>
      <c r="B205">
        <v>402</v>
      </c>
      <c r="C205" t="s">
        <v>26</v>
      </c>
      <c r="D205">
        <v>37</v>
      </c>
      <c r="E205" t="s">
        <v>27</v>
      </c>
      <c r="F205" t="s">
        <v>28</v>
      </c>
      <c r="G205">
        <v>16094.6113634594</v>
      </c>
      <c r="H205">
        <v>98866906.694343805</v>
      </c>
      <c r="I205">
        <v>4943.4546522607698</v>
      </c>
      <c r="J205">
        <v>89024286.807387203</v>
      </c>
      <c r="K205">
        <v>0.213549808777763</v>
      </c>
      <c r="L205">
        <v>5.8962917993493298E-2</v>
      </c>
      <c r="M205">
        <v>-2.6335068159152E-2</v>
      </c>
      <c r="N205">
        <v>3.7362218043422699E-3</v>
      </c>
      <c r="O205">
        <v>0.49702089851737102</v>
      </c>
      <c r="P205">
        <v>0.11357663931112</v>
      </c>
      <c r="Q205">
        <v>0.66065356762789695</v>
      </c>
      <c r="R205">
        <v>0.22419043120851601</v>
      </c>
      <c r="S205">
        <v>0.88598904664261402</v>
      </c>
      <c r="T205">
        <v>0.10101245587200899</v>
      </c>
      <c r="U205">
        <v>46</v>
      </c>
    </row>
    <row r="206" spans="1:21" x14ac:dyDescent="0.25">
      <c r="A206">
        <v>205</v>
      </c>
      <c r="B206">
        <v>403</v>
      </c>
      <c r="C206" t="s">
        <v>26</v>
      </c>
      <c r="D206">
        <v>37</v>
      </c>
      <c r="E206" t="s">
        <v>27</v>
      </c>
      <c r="F206" t="s">
        <v>28</v>
      </c>
      <c r="G206">
        <v>14673.9828499671</v>
      </c>
      <c r="H206">
        <v>91659252.577976093</v>
      </c>
      <c r="I206">
        <v>6397.7833028407904</v>
      </c>
      <c r="J206">
        <v>90249014.7914453</v>
      </c>
      <c r="K206">
        <v>0.17654347409499699</v>
      </c>
      <c r="L206">
        <v>5.6702538699807598E-2</v>
      </c>
      <c r="M206">
        <v>-3.44364748884581E-2</v>
      </c>
      <c r="N206">
        <v>3.36044067610594E-3</v>
      </c>
      <c r="O206">
        <v>0.43317130302768497</v>
      </c>
      <c r="P206">
        <v>0.111407204032851</v>
      </c>
      <c r="Q206">
        <v>0.58725109131136799</v>
      </c>
      <c r="R206">
        <v>0.24238724706488901</v>
      </c>
      <c r="S206">
        <v>0.96775698140285804</v>
      </c>
      <c r="T206">
        <v>3.1203406348908499E-2</v>
      </c>
      <c r="U206">
        <v>82</v>
      </c>
    </row>
    <row r="207" spans="1:21" x14ac:dyDescent="0.25">
      <c r="A207">
        <v>206</v>
      </c>
      <c r="B207">
        <v>404</v>
      </c>
      <c r="C207" t="s">
        <v>26</v>
      </c>
      <c r="D207">
        <v>37</v>
      </c>
      <c r="E207" t="s">
        <v>27</v>
      </c>
      <c r="F207" t="s">
        <v>28</v>
      </c>
      <c r="G207">
        <v>15682.1501560168</v>
      </c>
      <c r="H207">
        <v>143549930.61169499</v>
      </c>
      <c r="I207">
        <v>7632.9335792782804</v>
      </c>
      <c r="J207">
        <v>111741603.27921399</v>
      </c>
      <c r="K207">
        <v>0.105785740154287</v>
      </c>
      <c r="L207">
        <v>5.3337172471265203E-2</v>
      </c>
      <c r="M207">
        <v>-5.6185500625396498E-2</v>
      </c>
      <c r="N207">
        <v>2.90268198961433E-3</v>
      </c>
      <c r="O207">
        <v>0.36291493796162</v>
      </c>
      <c r="P207">
        <v>0.13105851860762899</v>
      </c>
      <c r="Q207">
        <v>0.51097544430877795</v>
      </c>
      <c r="R207">
        <v>0.249879539622231</v>
      </c>
      <c r="S207">
        <v>0.94300637633970996</v>
      </c>
      <c r="T207">
        <v>5.3745350522485802E-2</v>
      </c>
      <c r="U207">
        <v>81</v>
      </c>
    </row>
    <row r="208" spans="1:21" x14ac:dyDescent="0.25">
      <c r="A208">
        <v>207</v>
      </c>
      <c r="B208">
        <v>405</v>
      </c>
      <c r="C208" t="s">
        <v>26</v>
      </c>
      <c r="D208">
        <v>37</v>
      </c>
      <c r="E208" t="s">
        <v>27</v>
      </c>
      <c r="F208" t="s">
        <v>28</v>
      </c>
      <c r="G208">
        <v>15619.6035115837</v>
      </c>
      <c r="H208">
        <v>112467009.863177</v>
      </c>
      <c r="I208">
        <v>5264.1559758102403</v>
      </c>
      <c r="J208">
        <v>105195095.300547</v>
      </c>
      <c r="K208">
        <v>0.17642919235656199</v>
      </c>
      <c r="L208">
        <v>6.1630185571697298E-2</v>
      </c>
      <c r="M208">
        <v>-3.2284876831394402E-2</v>
      </c>
      <c r="N208">
        <v>4.1371905085463003E-3</v>
      </c>
      <c r="O208">
        <v>0.43457225374473302</v>
      </c>
      <c r="P208">
        <v>0.12719694328744599</v>
      </c>
      <c r="Q208">
        <v>0.60358334629047095</v>
      </c>
      <c r="R208">
        <v>0.239270490371322</v>
      </c>
      <c r="S208">
        <v>0.75970290279754604</v>
      </c>
      <c r="T208">
        <v>0.18255440227851899</v>
      </c>
      <c r="U208">
        <v>33</v>
      </c>
    </row>
    <row r="209" spans="1:21" x14ac:dyDescent="0.25">
      <c r="A209">
        <v>208</v>
      </c>
      <c r="B209">
        <v>406</v>
      </c>
      <c r="C209" t="s">
        <v>26</v>
      </c>
      <c r="D209">
        <v>37</v>
      </c>
      <c r="E209" t="s">
        <v>27</v>
      </c>
      <c r="F209" t="s">
        <v>28</v>
      </c>
      <c r="G209">
        <v>12826.981007738001</v>
      </c>
      <c r="H209">
        <v>111069276.08788</v>
      </c>
      <c r="I209">
        <v>8864.5525153426006</v>
      </c>
      <c r="J209">
        <v>108964770.581054</v>
      </c>
      <c r="K209">
        <v>8.3464455169983506E-2</v>
      </c>
      <c r="L209">
        <v>6.5231780695284694E-2</v>
      </c>
      <c r="M209">
        <v>-6.14916971469096E-2</v>
      </c>
      <c r="N209">
        <v>3.6222136122067202E-3</v>
      </c>
      <c r="O209">
        <v>0.31085262899052102</v>
      </c>
      <c r="P209">
        <v>0.14493136483498301</v>
      </c>
      <c r="Q209">
        <v>0.476217813019507</v>
      </c>
      <c r="R209">
        <v>0.24943440758225299</v>
      </c>
      <c r="S209">
        <v>0.91690287395500703</v>
      </c>
      <c r="T209">
        <v>7.6191993688222603E-2</v>
      </c>
      <c r="U209">
        <v>75</v>
      </c>
    </row>
    <row r="210" spans="1:21" x14ac:dyDescent="0.25">
      <c r="A210">
        <v>209</v>
      </c>
      <c r="B210">
        <v>407</v>
      </c>
      <c r="C210" t="s">
        <v>26</v>
      </c>
      <c r="D210">
        <v>37</v>
      </c>
      <c r="E210" t="s">
        <v>27</v>
      </c>
      <c r="F210" t="s">
        <v>28</v>
      </c>
      <c r="G210">
        <v>13406.924812302799</v>
      </c>
      <c r="H210">
        <v>121652752.05534001</v>
      </c>
      <c r="I210">
        <v>7734.2975034814399</v>
      </c>
      <c r="J210">
        <v>104344233.609348</v>
      </c>
      <c r="K210">
        <v>9.0199330075534295E-2</v>
      </c>
      <c r="L210">
        <v>5.1191678732639398E-2</v>
      </c>
      <c r="M210">
        <v>-6.3094600907824996E-2</v>
      </c>
      <c r="N210">
        <v>2.6434721745379002E-3</v>
      </c>
      <c r="O210">
        <v>0.32241887044518902</v>
      </c>
      <c r="P210">
        <v>0.125382821399566</v>
      </c>
      <c r="Q210">
        <v>0.45915394194383002</v>
      </c>
      <c r="R210">
        <v>0.24833159954145101</v>
      </c>
      <c r="S210">
        <v>0.92432870286412006</v>
      </c>
      <c r="T210">
        <v>6.9945151925663598E-2</v>
      </c>
      <c r="U210">
        <v>119</v>
      </c>
    </row>
    <row r="211" spans="1:21" x14ac:dyDescent="0.25">
      <c r="A211">
        <v>210</v>
      </c>
      <c r="B211">
        <v>408</v>
      </c>
      <c r="C211" t="s">
        <v>26</v>
      </c>
      <c r="D211">
        <v>37</v>
      </c>
      <c r="E211" t="s">
        <v>27</v>
      </c>
      <c r="F211" t="s">
        <v>28</v>
      </c>
      <c r="G211">
        <v>15597.258156333701</v>
      </c>
      <c r="H211">
        <v>148436483.51453599</v>
      </c>
      <c r="I211">
        <v>5918.2691234611802</v>
      </c>
      <c r="J211">
        <v>86483750.072277993</v>
      </c>
      <c r="K211">
        <v>0.12122078080904899</v>
      </c>
      <c r="L211">
        <v>4.3213656271088398E-2</v>
      </c>
      <c r="M211">
        <v>-5.5886388926377401E-2</v>
      </c>
      <c r="N211">
        <v>2.2418578654815799E-3</v>
      </c>
      <c r="O211">
        <v>0.38335495076027598</v>
      </c>
      <c r="P211">
        <v>0.11669359426631699</v>
      </c>
      <c r="Q211">
        <v>0.53190776884806701</v>
      </c>
      <c r="R211">
        <v>0.24898189428693701</v>
      </c>
      <c r="S211">
        <v>0.95608495981630304</v>
      </c>
      <c r="T211">
        <v>4.1986509429435499E-2</v>
      </c>
      <c r="U211">
        <v>131</v>
      </c>
    </row>
    <row r="212" spans="1:21" x14ac:dyDescent="0.25">
      <c r="A212">
        <v>211</v>
      </c>
      <c r="B212">
        <v>409</v>
      </c>
      <c r="C212" t="s">
        <v>26</v>
      </c>
      <c r="D212">
        <v>37</v>
      </c>
      <c r="E212" t="s">
        <v>27</v>
      </c>
      <c r="F212" t="s">
        <v>28</v>
      </c>
      <c r="G212">
        <v>16394.8507193757</v>
      </c>
      <c r="H212">
        <v>119902782.669848</v>
      </c>
      <c r="I212">
        <v>3962.5917277534099</v>
      </c>
      <c r="J212">
        <v>60257128.130531996</v>
      </c>
      <c r="K212">
        <v>0.18509404436219901</v>
      </c>
      <c r="L212">
        <v>3.2104822500596798E-2</v>
      </c>
      <c r="M212">
        <v>-3.7692333065102099E-2</v>
      </c>
      <c r="N212">
        <v>2.8377399968351701E-3</v>
      </c>
      <c r="O212">
        <v>0.47033505881794502</v>
      </c>
      <c r="P212">
        <v>8.3888575732007406E-2</v>
      </c>
      <c r="Q212">
        <v>0.62809223182594098</v>
      </c>
      <c r="R212">
        <v>0.23359238014599801</v>
      </c>
      <c r="S212">
        <v>0.99151922399544801</v>
      </c>
      <c r="T212">
        <v>8.4088524429407497E-3</v>
      </c>
      <c r="U212">
        <v>103</v>
      </c>
    </row>
    <row r="213" spans="1:21" x14ac:dyDescent="0.25">
      <c r="A213">
        <v>212</v>
      </c>
      <c r="B213">
        <v>301</v>
      </c>
      <c r="C213" t="s">
        <v>26</v>
      </c>
      <c r="D213">
        <v>37</v>
      </c>
      <c r="E213" t="s">
        <v>27</v>
      </c>
      <c r="F213" t="s">
        <v>28</v>
      </c>
      <c r="G213">
        <v>12905.787643572699</v>
      </c>
      <c r="H213">
        <v>80125698.985718399</v>
      </c>
      <c r="I213">
        <v>4959.1977859734097</v>
      </c>
      <c r="J213">
        <v>110053029.811197</v>
      </c>
      <c r="K213">
        <v>0.28730454037369701</v>
      </c>
      <c r="L213">
        <v>7.4395021442005604E-2</v>
      </c>
      <c r="M213">
        <v>4.3467307145357102E-3</v>
      </c>
      <c r="N213">
        <v>5.4242627502917098E-3</v>
      </c>
      <c r="O213">
        <v>0.52892850811631298</v>
      </c>
      <c r="P213">
        <v>0.11521776150907601</v>
      </c>
      <c r="Q213">
        <v>0.61340273771437603</v>
      </c>
      <c r="R213">
        <v>0.23713981907883699</v>
      </c>
      <c r="S213">
        <v>0.59124403419520599</v>
      </c>
      <c r="T213">
        <v>0.24167452622344601</v>
      </c>
      <c r="U213">
        <v>25</v>
      </c>
    </row>
    <row r="214" spans="1:21" x14ac:dyDescent="0.25">
      <c r="A214">
        <v>213</v>
      </c>
      <c r="B214">
        <v>302</v>
      </c>
      <c r="C214" t="s">
        <v>26</v>
      </c>
      <c r="D214">
        <v>37</v>
      </c>
      <c r="E214" t="s">
        <v>27</v>
      </c>
      <c r="F214" t="s">
        <v>28</v>
      </c>
      <c r="G214">
        <v>12700.379737580801</v>
      </c>
      <c r="H214">
        <v>93577541.337071195</v>
      </c>
      <c r="I214">
        <v>5699.5456397116996</v>
      </c>
      <c r="J214">
        <v>102224911.705355</v>
      </c>
      <c r="K214">
        <v>0.23061001722177299</v>
      </c>
      <c r="L214">
        <v>7.1973097511727993E-2</v>
      </c>
      <c r="M214">
        <v>-1.33159604883603E-2</v>
      </c>
      <c r="N214">
        <v>3.8606203086548399E-3</v>
      </c>
      <c r="O214">
        <v>0.473018223230043</v>
      </c>
      <c r="P214">
        <v>0.124813510565205</v>
      </c>
      <c r="Q214">
        <v>0.55233370324433695</v>
      </c>
      <c r="R214">
        <v>0.24726118350476101</v>
      </c>
      <c r="S214">
        <v>0.47739408577583398</v>
      </c>
      <c r="T214">
        <v>0.249488972641978</v>
      </c>
      <c r="U214">
        <v>13</v>
      </c>
    </row>
    <row r="215" spans="1:21" x14ac:dyDescent="0.25">
      <c r="A215">
        <v>214</v>
      </c>
      <c r="B215">
        <v>303</v>
      </c>
      <c r="C215" t="s">
        <v>26</v>
      </c>
      <c r="D215">
        <v>37</v>
      </c>
      <c r="E215" t="s">
        <v>27</v>
      </c>
      <c r="F215" t="s">
        <v>28</v>
      </c>
      <c r="G215">
        <v>11670.707155923599</v>
      </c>
      <c r="H215">
        <v>81866734.617498904</v>
      </c>
      <c r="I215">
        <v>7368.7424288853899</v>
      </c>
      <c r="J215">
        <v>96883887.5072276</v>
      </c>
      <c r="K215">
        <v>0.17353220975938199</v>
      </c>
      <c r="L215">
        <v>6.9213782379037303E-2</v>
      </c>
      <c r="M215">
        <v>-3.2022274153648299E-2</v>
      </c>
      <c r="N215">
        <v>4.0603558948333002E-3</v>
      </c>
      <c r="O215">
        <v>0.40409427755819299</v>
      </c>
      <c r="P215">
        <v>0.120273630492105</v>
      </c>
      <c r="Q215">
        <v>0.49945843161796599</v>
      </c>
      <c r="R215">
        <v>0.249999706703639</v>
      </c>
      <c r="S215">
        <v>0.85251287729263903</v>
      </c>
      <c r="T215">
        <v>0.12573467134295099</v>
      </c>
      <c r="U215">
        <v>44</v>
      </c>
    </row>
    <row r="216" spans="1:21" x14ac:dyDescent="0.25">
      <c r="A216">
        <v>215</v>
      </c>
      <c r="B216">
        <v>304</v>
      </c>
      <c r="C216" t="s">
        <v>26</v>
      </c>
      <c r="D216">
        <v>37</v>
      </c>
      <c r="E216" t="s">
        <v>27</v>
      </c>
      <c r="F216" t="s">
        <v>28</v>
      </c>
      <c r="G216">
        <v>10756.832452689299</v>
      </c>
      <c r="H216">
        <v>71842347.835682407</v>
      </c>
      <c r="I216">
        <v>8501.3865190867291</v>
      </c>
      <c r="J216">
        <v>93543681.972479805</v>
      </c>
      <c r="K216">
        <v>0.12754214583433299</v>
      </c>
      <c r="L216">
        <v>6.9312812402915605E-2</v>
      </c>
      <c r="M216">
        <v>-4.7502636430051703E-2</v>
      </c>
      <c r="N216">
        <v>3.6610129037138099E-3</v>
      </c>
      <c r="O216">
        <v>0.35450449005594298</v>
      </c>
      <c r="P216">
        <v>0.13144163461970601</v>
      </c>
      <c r="Q216">
        <v>0.46433391723860701</v>
      </c>
      <c r="R216">
        <v>0.24872793054036901</v>
      </c>
      <c r="S216">
        <v>0.910734284811762</v>
      </c>
      <c r="T216">
        <v>8.1297347280111204E-2</v>
      </c>
      <c r="U216">
        <v>66</v>
      </c>
    </row>
    <row r="217" spans="1:21" x14ac:dyDescent="0.25">
      <c r="A217">
        <v>216</v>
      </c>
      <c r="B217">
        <v>305</v>
      </c>
      <c r="C217" t="s">
        <v>26</v>
      </c>
      <c r="D217">
        <v>37</v>
      </c>
      <c r="E217" t="s">
        <v>27</v>
      </c>
      <c r="F217" t="s">
        <v>28</v>
      </c>
      <c r="G217">
        <v>10768.036710209701</v>
      </c>
      <c r="H217">
        <v>70415680.080742195</v>
      </c>
      <c r="I217">
        <v>7755.2441750465996</v>
      </c>
      <c r="J217">
        <v>104246506.720889</v>
      </c>
      <c r="K217">
        <v>0.147528594498015</v>
      </c>
      <c r="L217">
        <v>7.8939297360845498E-2</v>
      </c>
      <c r="M217">
        <v>-3.96981203978281E-2</v>
      </c>
      <c r="N217">
        <v>4.9524170684334999E-3</v>
      </c>
      <c r="O217">
        <v>0.36665198025819601</v>
      </c>
      <c r="P217">
        <v>0.138104739364728</v>
      </c>
      <c r="Q217">
        <v>0.48762557022952902</v>
      </c>
      <c r="R217">
        <v>0.249846873487511</v>
      </c>
      <c r="S217">
        <v>0.67722314682886497</v>
      </c>
      <c r="T217">
        <v>0.218591956228292</v>
      </c>
      <c r="U217">
        <v>32</v>
      </c>
    </row>
    <row r="218" spans="1:21" x14ac:dyDescent="0.25">
      <c r="A218">
        <v>217</v>
      </c>
      <c r="B218">
        <v>306</v>
      </c>
      <c r="C218" t="s">
        <v>26</v>
      </c>
      <c r="D218">
        <v>37</v>
      </c>
      <c r="E218" t="s">
        <v>27</v>
      </c>
      <c r="F218" t="s">
        <v>28</v>
      </c>
      <c r="G218">
        <v>10836.83333732</v>
      </c>
      <c r="H218">
        <v>88242002.691773906</v>
      </c>
      <c r="I218">
        <v>8353.4745548724095</v>
      </c>
      <c r="J218">
        <v>104659668.25402901</v>
      </c>
      <c r="K218">
        <v>0.121875992552756</v>
      </c>
      <c r="L218">
        <v>7.2844693186254195E-2</v>
      </c>
      <c r="M218">
        <v>-5.0334911103896998E-2</v>
      </c>
      <c r="N218">
        <v>3.8050053360433101E-3</v>
      </c>
      <c r="O218">
        <v>0.34326993210889301</v>
      </c>
      <c r="P218">
        <v>0.14581676633938101</v>
      </c>
      <c r="Q218">
        <v>0.46859302492465199</v>
      </c>
      <c r="R218">
        <v>0.24901360191647201</v>
      </c>
      <c r="S218">
        <v>0.673958283499976</v>
      </c>
      <c r="T218">
        <v>0.21973851560194099</v>
      </c>
      <c r="U218">
        <v>40</v>
      </c>
    </row>
    <row r="219" spans="1:21" x14ac:dyDescent="0.25">
      <c r="A219">
        <v>218</v>
      </c>
      <c r="B219">
        <v>307</v>
      </c>
      <c r="C219" t="s">
        <v>26</v>
      </c>
      <c r="D219">
        <v>37</v>
      </c>
      <c r="E219" t="s">
        <v>27</v>
      </c>
      <c r="F219" t="s">
        <v>28</v>
      </c>
      <c r="G219">
        <v>10728.394659187899</v>
      </c>
      <c r="H219">
        <v>93312878.600566402</v>
      </c>
      <c r="I219">
        <v>8091.2873481650904</v>
      </c>
      <c r="J219">
        <v>103984527.497462</v>
      </c>
      <c r="K219">
        <v>0.115022085948266</v>
      </c>
      <c r="L219">
        <v>6.9322888805461003E-2</v>
      </c>
      <c r="M219">
        <v>-5.26705276413304E-2</v>
      </c>
      <c r="N219">
        <v>3.4133541989772799E-3</v>
      </c>
      <c r="O219">
        <v>0.33310180762577901</v>
      </c>
      <c r="P219">
        <v>0.142334393531097</v>
      </c>
      <c r="Q219">
        <v>0.45237166199244</v>
      </c>
      <c r="R219">
        <v>0.247731541418509</v>
      </c>
      <c r="S219">
        <v>0.86823558102670395</v>
      </c>
      <c r="T219">
        <v>0.114402556865921</v>
      </c>
      <c r="U219">
        <v>49</v>
      </c>
    </row>
    <row r="220" spans="1:21" x14ac:dyDescent="0.25">
      <c r="A220">
        <v>219</v>
      </c>
      <c r="B220">
        <v>308</v>
      </c>
      <c r="C220" t="s">
        <v>26</v>
      </c>
      <c r="D220">
        <v>37</v>
      </c>
      <c r="E220" t="s">
        <v>27</v>
      </c>
      <c r="F220" t="s">
        <v>28</v>
      </c>
      <c r="G220">
        <v>13593.311451294599</v>
      </c>
      <c r="H220">
        <v>116994127.889052</v>
      </c>
      <c r="I220">
        <v>5417.0950668278902</v>
      </c>
      <c r="J220">
        <v>87525128.174499407</v>
      </c>
      <c r="K220">
        <v>0.168073675788185</v>
      </c>
      <c r="L220">
        <v>5.8111787297630002E-2</v>
      </c>
      <c r="M220">
        <v>-3.7483413756005002E-2</v>
      </c>
      <c r="N220">
        <v>2.6161711319542601E-3</v>
      </c>
      <c r="O220">
        <v>0.41170168077830599</v>
      </c>
      <c r="P220">
        <v>0.12627925301885901</v>
      </c>
      <c r="Q220">
        <v>0.536339173593255</v>
      </c>
      <c r="R220">
        <v>0.248679464462431</v>
      </c>
      <c r="S220">
        <v>0.78258685642528303</v>
      </c>
      <c r="T220">
        <v>0.17014466857535601</v>
      </c>
      <c r="U220">
        <v>33</v>
      </c>
    </row>
    <row r="221" spans="1:21" x14ac:dyDescent="0.25">
      <c r="A221">
        <v>220</v>
      </c>
      <c r="B221">
        <v>309</v>
      </c>
      <c r="C221" t="s">
        <v>26</v>
      </c>
      <c r="D221">
        <v>37</v>
      </c>
      <c r="E221" t="s">
        <v>27</v>
      </c>
      <c r="F221" t="s">
        <v>28</v>
      </c>
      <c r="G221">
        <v>13487.7416688089</v>
      </c>
      <c r="H221">
        <v>93345352.077157497</v>
      </c>
      <c r="I221">
        <v>4315.7218369189904</v>
      </c>
      <c r="J221">
        <v>75429304.809072003</v>
      </c>
      <c r="K221">
        <v>0.20818416524831601</v>
      </c>
      <c r="L221">
        <v>5.4177252484717699E-2</v>
      </c>
      <c r="M221">
        <v>-2.62896509268928E-2</v>
      </c>
      <c r="N221">
        <v>3.0780343106583401E-3</v>
      </c>
      <c r="O221">
        <v>0.46097032640397401</v>
      </c>
      <c r="P221">
        <v>0.115057512307638</v>
      </c>
      <c r="Q221">
        <v>0.59114586856810403</v>
      </c>
      <c r="R221">
        <v>0.24169243064263499</v>
      </c>
      <c r="S221">
        <v>0.78273282008957001</v>
      </c>
      <c r="T221">
        <v>0.170062152444142</v>
      </c>
      <c r="U221">
        <v>31</v>
      </c>
    </row>
    <row r="222" spans="1:21" x14ac:dyDescent="0.25">
      <c r="A222">
        <v>221</v>
      </c>
      <c r="B222">
        <v>201</v>
      </c>
      <c r="C222" t="s">
        <v>26</v>
      </c>
      <c r="D222">
        <v>37</v>
      </c>
      <c r="E222" t="s">
        <v>27</v>
      </c>
      <c r="F222" t="s">
        <v>28</v>
      </c>
      <c r="G222">
        <v>7800.7306786826302</v>
      </c>
      <c r="H222">
        <v>75575073.112591401</v>
      </c>
      <c r="I222">
        <v>12987.1819089696</v>
      </c>
      <c r="J222">
        <v>110448762.621177</v>
      </c>
      <c r="K222">
        <v>6.3666311822432695E-2</v>
      </c>
      <c r="L222">
        <v>7.2233728584136001E-2</v>
      </c>
      <c r="M222">
        <v>-5.9655265351808102E-2</v>
      </c>
      <c r="N222">
        <v>5.2128872908100699E-3</v>
      </c>
      <c r="O222">
        <v>0.27696413075647702</v>
      </c>
      <c r="P222">
        <v>0.11257475559869599</v>
      </c>
      <c r="Q222">
        <v>0.311748474799382</v>
      </c>
      <c r="R222">
        <v>0.21456136325980399</v>
      </c>
      <c r="S222">
        <v>0.79092727134648</v>
      </c>
      <c r="T222">
        <v>0.16536132278690399</v>
      </c>
      <c r="U222">
        <v>44</v>
      </c>
    </row>
    <row r="223" spans="1:21" x14ac:dyDescent="0.25">
      <c r="A223">
        <v>222</v>
      </c>
      <c r="B223">
        <v>202</v>
      </c>
      <c r="C223" t="s">
        <v>26</v>
      </c>
      <c r="D223">
        <v>37</v>
      </c>
      <c r="E223" t="s">
        <v>27</v>
      </c>
      <c r="F223" t="s">
        <v>28</v>
      </c>
      <c r="G223">
        <v>10040.506567893701</v>
      </c>
      <c r="H223">
        <v>61496424.392261401</v>
      </c>
      <c r="I223">
        <v>6293.44475399762</v>
      </c>
      <c r="J223">
        <v>86890543.516522899</v>
      </c>
      <c r="K223">
        <v>0.225294660438037</v>
      </c>
      <c r="L223">
        <v>8.3827955155874295E-2</v>
      </c>
      <c r="M223">
        <v>-1.1190161506053601E-2</v>
      </c>
      <c r="N223">
        <v>4.9828855458260001E-3</v>
      </c>
      <c r="O223">
        <v>0.46290826507022798</v>
      </c>
      <c r="P223">
        <v>0.12660344564965001</v>
      </c>
      <c r="Q223">
        <v>0.52307672725421295</v>
      </c>
      <c r="R223">
        <v>0.24946746465907499</v>
      </c>
      <c r="S223">
        <v>0.66426098467491501</v>
      </c>
      <c r="T223">
        <v>0.223018328913442</v>
      </c>
      <c r="U223">
        <v>26</v>
      </c>
    </row>
    <row r="224" spans="1:21" x14ac:dyDescent="0.25">
      <c r="A224">
        <v>223</v>
      </c>
      <c r="B224">
        <v>203</v>
      </c>
      <c r="C224" t="s">
        <v>26</v>
      </c>
      <c r="D224">
        <v>37</v>
      </c>
      <c r="E224" t="s">
        <v>27</v>
      </c>
      <c r="F224" t="s">
        <v>28</v>
      </c>
      <c r="G224">
        <v>10934.270055970101</v>
      </c>
      <c r="H224">
        <v>96758236.957795203</v>
      </c>
      <c r="I224">
        <v>8067.9381021418803</v>
      </c>
      <c r="J224">
        <v>102337508.943133</v>
      </c>
      <c r="K224">
        <v>0.13429359313322001</v>
      </c>
      <c r="L224">
        <v>7.4167875276102593E-2</v>
      </c>
      <c r="M224">
        <v>-4.6639582167376403E-2</v>
      </c>
      <c r="N224">
        <v>4.0181477529023998E-3</v>
      </c>
      <c r="O224">
        <v>0.374343311809893</v>
      </c>
      <c r="P224">
        <v>0.12677361383715699</v>
      </c>
      <c r="Q224">
        <v>0.44688815537696103</v>
      </c>
      <c r="R224">
        <v>0.24717913196056401</v>
      </c>
      <c r="S224">
        <v>0.79661787217757396</v>
      </c>
      <c r="T224">
        <v>0.16201783790483601</v>
      </c>
      <c r="U224">
        <v>34</v>
      </c>
    </row>
    <row r="225" spans="1:21" x14ac:dyDescent="0.25">
      <c r="A225">
        <v>224</v>
      </c>
      <c r="B225">
        <v>204</v>
      </c>
      <c r="C225" t="s">
        <v>26</v>
      </c>
      <c r="D225">
        <v>37</v>
      </c>
      <c r="E225" t="s">
        <v>27</v>
      </c>
      <c r="F225" t="s">
        <v>28</v>
      </c>
      <c r="G225">
        <v>10850.3798740981</v>
      </c>
      <c r="H225">
        <v>80481102.320099905</v>
      </c>
      <c r="I225">
        <v>7363.4922277097503</v>
      </c>
      <c r="J225">
        <v>99837549.3506888</v>
      </c>
      <c r="K225">
        <v>0.164243403821626</v>
      </c>
      <c r="L225">
        <v>7.8467626532515794E-2</v>
      </c>
      <c r="M225">
        <v>-4.0478096985912003E-2</v>
      </c>
      <c r="N225">
        <v>3.7794191696604099E-3</v>
      </c>
      <c r="O225">
        <v>0.40792980953114799</v>
      </c>
      <c r="P225">
        <v>0.134019868693012</v>
      </c>
      <c r="Q225">
        <v>0.47949166130028498</v>
      </c>
      <c r="R225">
        <v>0.24957940804395201</v>
      </c>
      <c r="S225">
        <v>0.46661234574391203</v>
      </c>
      <c r="T225">
        <v>0.24888526454336801</v>
      </c>
      <c r="U225">
        <v>11</v>
      </c>
    </row>
    <row r="226" spans="1:21" x14ac:dyDescent="0.25">
      <c r="A226">
        <v>225</v>
      </c>
      <c r="B226">
        <v>205</v>
      </c>
      <c r="C226" t="s">
        <v>26</v>
      </c>
      <c r="D226">
        <v>37</v>
      </c>
      <c r="E226" t="s">
        <v>27</v>
      </c>
      <c r="F226" t="s">
        <v>28</v>
      </c>
      <c r="G226">
        <v>10416.1146057572</v>
      </c>
      <c r="H226">
        <v>75331251.125001594</v>
      </c>
      <c r="I226">
        <v>7201.9600624930899</v>
      </c>
      <c r="J226">
        <v>95838235.422003597</v>
      </c>
      <c r="K226">
        <v>0.16411882105824799</v>
      </c>
      <c r="L226">
        <v>7.6152188651148395E-2</v>
      </c>
      <c r="M226">
        <v>-3.7706291793957902E-2</v>
      </c>
      <c r="N226">
        <v>4.1675236987116799E-3</v>
      </c>
      <c r="O226">
        <v>0.401105632560394</v>
      </c>
      <c r="P226">
        <v>0.12715741086809901</v>
      </c>
      <c r="Q226">
        <v>0.48434292866082601</v>
      </c>
      <c r="R226">
        <v>0.24975485611714901</v>
      </c>
      <c r="S226">
        <v>0.73141426783479302</v>
      </c>
      <c r="T226">
        <v>0.19644743664266801</v>
      </c>
      <c r="U226">
        <v>23</v>
      </c>
    </row>
    <row r="227" spans="1:21" x14ac:dyDescent="0.25">
      <c r="A227">
        <v>226</v>
      </c>
      <c r="B227">
        <v>206</v>
      </c>
      <c r="C227" t="s">
        <v>26</v>
      </c>
      <c r="D227">
        <v>37</v>
      </c>
      <c r="E227" t="s">
        <v>27</v>
      </c>
      <c r="F227" t="s">
        <v>28</v>
      </c>
      <c r="G227">
        <v>11399.928721775699</v>
      </c>
      <c r="H227">
        <v>100735814.549814</v>
      </c>
      <c r="I227">
        <v>8133.2329071567601</v>
      </c>
      <c r="J227">
        <v>104531883.735027</v>
      </c>
      <c r="K227">
        <v>0.12639245733840501</v>
      </c>
      <c r="L227">
        <v>6.9755018750337502E-2</v>
      </c>
      <c r="M227">
        <v>-5.5131731214115097E-2</v>
      </c>
      <c r="N227">
        <v>3.3478297268717599E-3</v>
      </c>
      <c r="O227">
        <v>0.37180749834702298</v>
      </c>
      <c r="P227">
        <v>0.13411108888381701</v>
      </c>
      <c r="Q227">
        <v>0.453681113662457</v>
      </c>
      <c r="R227">
        <v>0.24785456076860299</v>
      </c>
      <c r="S227">
        <v>0.72074722541140501</v>
      </c>
      <c r="T227">
        <v>0.20127066247320899</v>
      </c>
      <c r="U227">
        <v>29</v>
      </c>
    </row>
    <row r="228" spans="1:21" x14ac:dyDescent="0.25">
      <c r="A228">
        <v>227</v>
      </c>
      <c r="B228">
        <v>207</v>
      </c>
      <c r="C228" t="s">
        <v>26</v>
      </c>
      <c r="D228">
        <v>37</v>
      </c>
      <c r="E228" t="s">
        <v>27</v>
      </c>
      <c r="F228" t="s">
        <v>28</v>
      </c>
      <c r="G228">
        <v>10195.0004958473</v>
      </c>
      <c r="H228">
        <v>74884302.8137348</v>
      </c>
      <c r="I228">
        <v>7329.5635174789204</v>
      </c>
      <c r="J228">
        <v>95831617.234619603</v>
      </c>
      <c r="K228">
        <v>0.19507464546092901</v>
      </c>
      <c r="L228">
        <v>7.7889627025003794E-2</v>
      </c>
      <c r="M228">
        <v>-2.0282975586802299E-2</v>
      </c>
      <c r="N228">
        <v>4.2302923397458496E-3</v>
      </c>
      <c r="O228">
        <v>0.41521359140325298</v>
      </c>
      <c r="P228">
        <v>0.130840940021309</v>
      </c>
      <c r="Q228">
        <v>0.49406222883351902</v>
      </c>
      <c r="R228">
        <v>0.24996474287376899</v>
      </c>
      <c r="S228">
        <v>0.75511342506507995</v>
      </c>
      <c r="T228">
        <v>0.18491714035182399</v>
      </c>
      <c r="U228">
        <v>33</v>
      </c>
    </row>
    <row r="229" spans="1:21" x14ac:dyDescent="0.25">
      <c r="A229">
        <v>228</v>
      </c>
      <c r="B229">
        <v>208</v>
      </c>
      <c r="C229" t="s">
        <v>26</v>
      </c>
      <c r="D229">
        <v>37</v>
      </c>
      <c r="E229" t="s">
        <v>27</v>
      </c>
      <c r="F229" t="s">
        <v>28</v>
      </c>
      <c r="G229">
        <v>12789.307508312</v>
      </c>
      <c r="H229">
        <v>85326712.937133104</v>
      </c>
      <c r="I229">
        <v>4970.0363964116896</v>
      </c>
      <c r="J229">
        <v>84421671.306836799</v>
      </c>
      <c r="K229">
        <v>0.24683114866091899</v>
      </c>
      <c r="L229">
        <v>7.1370907953931306E-2</v>
      </c>
      <c r="M229">
        <v>-4.9488369775746903E-3</v>
      </c>
      <c r="N229">
        <v>4.0263887874162898E-3</v>
      </c>
      <c r="O229">
        <v>0.49639402042057301</v>
      </c>
      <c r="P229">
        <v>0.124364670980282</v>
      </c>
      <c r="Q229">
        <v>0.597065084794412</v>
      </c>
      <c r="R229">
        <v>0.24057836931395701</v>
      </c>
      <c r="S229">
        <v>0.49358959026000399</v>
      </c>
      <c r="T229">
        <v>0.24995890664727299</v>
      </c>
      <c r="U229">
        <v>15</v>
      </c>
    </row>
    <row r="230" spans="1:21" x14ac:dyDescent="0.25">
      <c r="A230">
        <v>229</v>
      </c>
      <c r="B230">
        <v>209</v>
      </c>
      <c r="C230" t="s">
        <v>26</v>
      </c>
      <c r="D230">
        <v>37</v>
      </c>
      <c r="E230" t="s">
        <v>27</v>
      </c>
      <c r="F230" t="s">
        <v>28</v>
      </c>
      <c r="G230">
        <v>14797.145445099201</v>
      </c>
      <c r="H230">
        <v>100386733.064174</v>
      </c>
      <c r="I230">
        <v>2710.7770084264898</v>
      </c>
      <c r="J230">
        <v>68074341.4017542</v>
      </c>
      <c r="K230">
        <v>0.26620899343253601</v>
      </c>
      <c r="L230">
        <v>4.4446655622846103E-2</v>
      </c>
      <c r="M230">
        <v>-9.1314929963672194E-3</v>
      </c>
      <c r="N230">
        <v>2.4244071304943301E-3</v>
      </c>
      <c r="O230">
        <v>0.53751683426128105</v>
      </c>
      <c r="P230">
        <v>9.1041581429823201E-2</v>
      </c>
      <c r="Q230">
        <v>0.63562160757987995</v>
      </c>
      <c r="R230">
        <v>0.231606779557672</v>
      </c>
      <c r="S230">
        <v>0.54466031364077605</v>
      </c>
      <c r="T230">
        <v>0.24800545638535401</v>
      </c>
      <c r="U230">
        <v>19</v>
      </c>
    </row>
    <row r="231" spans="1:21" x14ac:dyDescent="0.25">
      <c r="A231">
        <v>230</v>
      </c>
      <c r="B231">
        <v>101</v>
      </c>
      <c r="C231" t="s">
        <v>26</v>
      </c>
      <c r="D231">
        <v>37</v>
      </c>
      <c r="E231" t="s">
        <v>27</v>
      </c>
      <c r="F231" t="s">
        <v>28</v>
      </c>
      <c r="G231">
        <v>4688.2424053963596</v>
      </c>
      <c r="H231">
        <v>26288190.341708701</v>
      </c>
      <c r="I231">
        <v>15525.5082929571</v>
      </c>
      <c r="J231">
        <v>47717067.4973391</v>
      </c>
      <c r="K231">
        <v>1.13712630933214E-2</v>
      </c>
      <c r="L231">
        <v>3.7641044211241301E-2</v>
      </c>
      <c r="M231">
        <v>-7.0345641267859194E-2</v>
      </c>
      <c r="N231">
        <v>2.5104901641950701E-3</v>
      </c>
      <c r="O231">
        <v>0.21907049924696501</v>
      </c>
      <c r="P231">
        <v>5.7185672459086401E-2</v>
      </c>
      <c r="Q231">
        <v>0.181110366932976</v>
      </c>
      <c r="R231">
        <v>0.14830940192242101</v>
      </c>
      <c r="S231">
        <v>0.92788116538295895</v>
      </c>
      <c r="T231">
        <v>6.6917708310711504E-2</v>
      </c>
      <c r="U231">
        <v>89</v>
      </c>
    </row>
    <row r="232" spans="1:21" x14ac:dyDescent="0.25">
      <c r="A232">
        <v>231</v>
      </c>
      <c r="B232">
        <v>102</v>
      </c>
      <c r="C232" t="s">
        <v>26</v>
      </c>
      <c r="D232">
        <v>37</v>
      </c>
      <c r="E232" t="s">
        <v>27</v>
      </c>
      <c r="F232" t="s">
        <v>28</v>
      </c>
      <c r="G232">
        <v>6044.1573846504698</v>
      </c>
      <c r="H232">
        <v>33505812.177538201</v>
      </c>
      <c r="I232">
        <v>10442.248958697901</v>
      </c>
      <c r="J232">
        <v>69074880.393323705</v>
      </c>
      <c r="K232">
        <v>0.117089061466844</v>
      </c>
      <c r="L232">
        <v>6.9147104774015894E-2</v>
      </c>
      <c r="M232">
        <v>-3.5477133517288401E-2</v>
      </c>
      <c r="N232">
        <v>4.3209019960375903E-3</v>
      </c>
      <c r="O232">
        <v>0.33197517704243901</v>
      </c>
      <c r="P232">
        <v>9.7851171606683093E-2</v>
      </c>
      <c r="Q232">
        <v>0.34332480299997498</v>
      </c>
      <c r="R232">
        <v>0.22545288264508501</v>
      </c>
      <c r="S232">
        <v>0.84673271340613698</v>
      </c>
      <c r="T232">
        <v>0.12977642545406801</v>
      </c>
      <c r="U232">
        <v>30</v>
      </c>
    </row>
    <row r="233" spans="1:21" x14ac:dyDescent="0.25">
      <c r="A233">
        <v>232</v>
      </c>
      <c r="B233">
        <v>103</v>
      </c>
      <c r="C233" t="s">
        <v>26</v>
      </c>
      <c r="D233">
        <v>37</v>
      </c>
      <c r="E233" t="s">
        <v>27</v>
      </c>
      <c r="F233" t="s">
        <v>28</v>
      </c>
      <c r="G233">
        <v>6147.1386151638399</v>
      </c>
      <c r="H233">
        <v>48791302.393402703</v>
      </c>
      <c r="I233">
        <v>12372.954291877501</v>
      </c>
      <c r="J233">
        <v>79787245.960591301</v>
      </c>
      <c r="K233">
        <v>4.8938522755966697E-2</v>
      </c>
      <c r="L233">
        <v>6.9585073556425597E-2</v>
      </c>
      <c r="M233">
        <v>-5.9787987993727899E-2</v>
      </c>
      <c r="N233">
        <v>4.8601925022939002E-3</v>
      </c>
      <c r="O233">
        <v>0.25530774754695401</v>
      </c>
      <c r="P233">
        <v>0.102814118057854</v>
      </c>
      <c r="Q233">
        <v>0.26972016264051701</v>
      </c>
      <c r="R233">
        <v>0.19697119650568301</v>
      </c>
      <c r="S233">
        <v>0.673606792633341</v>
      </c>
      <c r="T233">
        <v>0.21986068155161201</v>
      </c>
      <c r="U233">
        <v>32</v>
      </c>
    </row>
    <row r="234" spans="1:21" x14ac:dyDescent="0.25">
      <c r="A234">
        <v>233</v>
      </c>
      <c r="B234">
        <v>104</v>
      </c>
      <c r="C234" t="s">
        <v>26</v>
      </c>
      <c r="D234">
        <v>37</v>
      </c>
      <c r="E234" t="s">
        <v>27</v>
      </c>
      <c r="F234" t="s">
        <v>28</v>
      </c>
      <c r="G234">
        <v>6873.7871245523102</v>
      </c>
      <c r="H234">
        <v>44476788.968376704</v>
      </c>
      <c r="I234">
        <v>11327.981417196699</v>
      </c>
      <c r="J234">
        <v>78885943.71604</v>
      </c>
      <c r="K234">
        <v>0.104842559343459</v>
      </c>
      <c r="L234">
        <v>6.6920084665088794E-2</v>
      </c>
      <c r="M234">
        <v>-4.6095352538808601E-2</v>
      </c>
      <c r="N234">
        <v>3.4126709913872601E-3</v>
      </c>
      <c r="O234">
        <v>0.319801787633407</v>
      </c>
      <c r="P234">
        <v>0.10409500306192</v>
      </c>
      <c r="Q234">
        <v>0.32602371316636702</v>
      </c>
      <c r="R234">
        <v>0.21973225161961699</v>
      </c>
      <c r="S234">
        <v>0.76266146028626502</v>
      </c>
      <c r="T234">
        <v>0.18100895728060601</v>
      </c>
      <c r="U234">
        <v>31</v>
      </c>
    </row>
    <row r="235" spans="1:21" x14ac:dyDescent="0.25">
      <c r="A235">
        <v>234</v>
      </c>
      <c r="B235">
        <v>105</v>
      </c>
      <c r="C235" t="s">
        <v>26</v>
      </c>
      <c r="D235">
        <v>37</v>
      </c>
      <c r="E235" t="s">
        <v>27</v>
      </c>
      <c r="F235" t="s">
        <v>28</v>
      </c>
      <c r="G235">
        <v>9168.8939316611704</v>
      </c>
      <c r="H235">
        <v>53696896.892079003</v>
      </c>
      <c r="I235">
        <v>8159.5741603289098</v>
      </c>
      <c r="J235">
        <v>85051159.324883893</v>
      </c>
      <c r="K235">
        <v>0.18876413100817199</v>
      </c>
      <c r="L235">
        <v>7.0354420619094596E-2</v>
      </c>
      <c r="M235">
        <v>-2.2655993107614101E-2</v>
      </c>
      <c r="N235">
        <v>4.4065947669873302E-3</v>
      </c>
      <c r="O235">
        <v>0.42338999886063799</v>
      </c>
      <c r="P235">
        <v>0.109415727173928</v>
      </c>
      <c r="Q235">
        <v>0.46959606647164998</v>
      </c>
      <c r="R235">
        <v>0.24907560082611299</v>
      </c>
      <c r="S235">
        <v>0.63156780979647698</v>
      </c>
      <c r="T235">
        <v>0.23268991142525799</v>
      </c>
      <c r="U235">
        <v>19</v>
      </c>
    </row>
    <row r="236" spans="1:21" x14ac:dyDescent="0.25">
      <c r="A236">
        <v>235</v>
      </c>
      <c r="B236">
        <v>106</v>
      </c>
      <c r="C236" t="s">
        <v>26</v>
      </c>
      <c r="D236">
        <v>37</v>
      </c>
      <c r="E236" t="s">
        <v>27</v>
      </c>
      <c r="F236" t="s">
        <v>28</v>
      </c>
      <c r="G236">
        <v>6955.8391915326201</v>
      </c>
      <c r="H236">
        <v>53202451.207339801</v>
      </c>
      <c r="I236">
        <v>10858.481653885399</v>
      </c>
      <c r="J236">
        <v>85975087.571978301</v>
      </c>
      <c r="K236">
        <v>0.104366756233107</v>
      </c>
      <c r="L236">
        <v>7.0428640255062597E-2</v>
      </c>
      <c r="M236">
        <v>-4.7211632980430698E-2</v>
      </c>
      <c r="N236">
        <v>3.6673867815709802E-3</v>
      </c>
      <c r="O236">
        <v>0.31420811307292501</v>
      </c>
      <c r="P236">
        <v>0.112507782733148</v>
      </c>
      <c r="Q236">
        <v>0.33367218800454501</v>
      </c>
      <c r="R236">
        <v>0.22233505895698299</v>
      </c>
      <c r="S236">
        <v>0.67872989296178898</v>
      </c>
      <c r="T236">
        <v>0.218055625362085</v>
      </c>
      <c r="U236">
        <v>19</v>
      </c>
    </row>
    <row r="237" spans="1:21" x14ac:dyDescent="0.25">
      <c r="A237">
        <v>236</v>
      </c>
      <c r="B237">
        <v>107</v>
      </c>
      <c r="C237" t="s">
        <v>26</v>
      </c>
      <c r="D237">
        <v>37</v>
      </c>
      <c r="E237" t="s">
        <v>27</v>
      </c>
      <c r="F237" t="s">
        <v>28</v>
      </c>
      <c r="G237">
        <v>7023.2021742250299</v>
      </c>
      <c r="H237">
        <v>51480474.396733403</v>
      </c>
      <c r="I237">
        <v>10480.055663827001</v>
      </c>
      <c r="J237">
        <v>89700927.6658739</v>
      </c>
      <c r="K237">
        <v>0.12982044599960399</v>
      </c>
      <c r="L237">
        <v>7.5900628588470603E-2</v>
      </c>
      <c r="M237">
        <v>-3.7787311633175398E-2</v>
      </c>
      <c r="N237">
        <v>4.6879970802095397E-3</v>
      </c>
      <c r="O237">
        <v>0.33727349650905902</v>
      </c>
      <c r="P237">
        <v>0.117811960352164</v>
      </c>
      <c r="Q237">
        <v>0.36272962112514401</v>
      </c>
      <c r="R237">
        <v>0.23115684308385301</v>
      </c>
      <c r="S237">
        <v>0.86942690394182898</v>
      </c>
      <c r="T237">
        <v>0.11352376264404</v>
      </c>
      <c r="U237">
        <v>44</v>
      </c>
    </row>
    <row r="238" spans="1:21" x14ac:dyDescent="0.25">
      <c r="A238">
        <v>237</v>
      </c>
      <c r="B238">
        <v>108</v>
      </c>
      <c r="C238" t="s">
        <v>26</v>
      </c>
      <c r="D238">
        <v>37</v>
      </c>
      <c r="E238" t="s">
        <v>27</v>
      </c>
      <c r="F238" t="s">
        <v>28</v>
      </c>
      <c r="G238">
        <v>9706.7600703248299</v>
      </c>
      <c r="H238">
        <v>74499055.918980494</v>
      </c>
      <c r="I238">
        <v>7860.1837508690796</v>
      </c>
      <c r="J238">
        <v>77331931.9736792</v>
      </c>
      <c r="K238">
        <v>0.181686708985386</v>
      </c>
      <c r="L238">
        <v>6.5673167468881299E-2</v>
      </c>
      <c r="M238">
        <v>-2.5662749037922001E-2</v>
      </c>
      <c r="N238">
        <v>3.5178343434004999E-3</v>
      </c>
      <c r="O238">
        <v>0.41731024913750803</v>
      </c>
      <c r="P238">
        <v>0.11242581297182801</v>
      </c>
      <c r="Q238">
        <v>0.469501985360953</v>
      </c>
      <c r="R238">
        <v>0.249069871102964</v>
      </c>
      <c r="S238">
        <v>0.49761995885757998</v>
      </c>
      <c r="T238">
        <v>0.249994335404359</v>
      </c>
      <c r="U238">
        <v>15</v>
      </c>
    </row>
    <row r="239" spans="1:21" x14ac:dyDescent="0.25">
      <c r="A239">
        <v>238</v>
      </c>
      <c r="B239">
        <v>109</v>
      </c>
      <c r="C239" t="s">
        <v>26</v>
      </c>
      <c r="D239">
        <v>37</v>
      </c>
      <c r="E239" t="s">
        <v>27</v>
      </c>
      <c r="F239" t="s">
        <v>28</v>
      </c>
      <c r="G239">
        <v>7372.8453150547102</v>
      </c>
      <c r="H239">
        <v>58320577.953144602</v>
      </c>
      <c r="I239">
        <v>9199.5266339843802</v>
      </c>
      <c r="J239">
        <v>70739356.053168699</v>
      </c>
      <c r="K239">
        <v>0.13356622554570699</v>
      </c>
      <c r="L239">
        <v>5.9434606583345401E-2</v>
      </c>
      <c r="M239">
        <v>-3.6922830537011203E-2</v>
      </c>
      <c r="N239">
        <v>3.3293130029635899E-3</v>
      </c>
      <c r="O239">
        <v>0.34620818945409099</v>
      </c>
      <c r="P239">
        <v>0.10063243886567801</v>
      </c>
      <c r="Q239">
        <v>0.37083385737643099</v>
      </c>
      <c r="R239">
        <v>0.23331610759978499</v>
      </c>
      <c r="S239">
        <v>0.84891208652999595</v>
      </c>
      <c r="T239">
        <v>0.128260355873414</v>
      </c>
      <c r="U239">
        <v>40</v>
      </c>
    </row>
    <row r="240" spans="1:21" x14ac:dyDescent="0.25">
      <c r="A240">
        <v>239</v>
      </c>
      <c r="B240">
        <v>55555</v>
      </c>
      <c r="C240" t="s">
        <v>26</v>
      </c>
      <c r="D240">
        <v>37</v>
      </c>
      <c r="E240" t="s">
        <v>27</v>
      </c>
      <c r="F240" t="s">
        <v>28</v>
      </c>
      <c r="G240">
        <v>2110.5085470085501</v>
      </c>
      <c r="H240">
        <v>15080960.155339999</v>
      </c>
      <c r="I240">
        <v>14541.002450531099</v>
      </c>
      <c r="J240">
        <v>52088356.495057903</v>
      </c>
      <c r="K240">
        <v>-1.2034543346248899E-2</v>
      </c>
      <c r="L240">
        <v>4.8355827678013302E-2</v>
      </c>
      <c r="M240">
        <v>-2.3314567125496299E-2</v>
      </c>
      <c r="N240">
        <v>7.1387608422644596E-3</v>
      </c>
      <c r="O240">
        <v>0.28334461139716399</v>
      </c>
      <c r="P240">
        <v>4.0094843245442498E-2</v>
      </c>
      <c r="Q240">
        <v>0.141025641025641</v>
      </c>
      <c r="R240">
        <v>0.121137409598952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37</v>
      </c>
      <c r="E241" t="s">
        <v>27</v>
      </c>
      <c r="F241" t="s">
        <v>28</v>
      </c>
      <c r="G241">
        <v>1853.49455155071</v>
      </c>
      <c r="H241">
        <v>1699651.8532114399</v>
      </c>
      <c r="I241">
        <v>18006.509413364001</v>
      </c>
      <c r="J241">
        <v>26800891.408535302</v>
      </c>
      <c r="K241">
        <v>5.8259760279175902E-3</v>
      </c>
      <c r="L241">
        <v>1.35299778669387E-2</v>
      </c>
      <c r="M241">
        <v>-3.29812247144909E-2</v>
      </c>
      <c r="N241">
        <v>2.5957097391460901E-3</v>
      </c>
      <c r="O241">
        <v>0.21306876910782899</v>
      </c>
      <c r="P241">
        <v>6.7088455898418296E-3</v>
      </c>
      <c r="Q241">
        <v>0</v>
      </c>
      <c r="R241">
        <v>0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31D4-4A38-43D8-A3FA-86F4AFD977E5}">
  <dimension ref="A1:U241"/>
  <sheetViews>
    <sheetView topLeftCell="A189" workbookViewId="0">
      <selection sqref="A1:U24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98</v>
      </c>
      <c r="E1" t="s">
        <v>3</v>
      </c>
      <c r="F1" t="s">
        <v>4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>
        <v>1</v>
      </c>
      <c r="B2">
        <v>101</v>
      </c>
      <c r="C2" t="s">
        <v>20</v>
      </c>
      <c r="D2">
        <v>42</v>
      </c>
      <c r="E2" t="s">
        <v>21</v>
      </c>
      <c r="F2" t="s">
        <v>22</v>
      </c>
      <c r="G2">
        <v>15088.483201569201</v>
      </c>
      <c r="H2">
        <v>89896628.230080605</v>
      </c>
      <c r="I2">
        <v>4965.6890271304901</v>
      </c>
      <c r="J2">
        <v>112828941.330295</v>
      </c>
      <c r="K2">
        <v>0.27311488498118902</v>
      </c>
      <c r="L2">
        <v>5.1341565177174697E-2</v>
      </c>
      <c r="M2">
        <v>4965.6890271304901</v>
      </c>
      <c r="N2">
        <v>112828941.330295</v>
      </c>
      <c r="O2">
        <v>0.545974524465905</v>
      </c>
      <c r="P2">
        <v>9.6815242313099598E-2</v>
      </c>
      <c r="Q2">
        <v>0.63921348180219795</v>
      </c>
      <c r="R2">
        <v>0.23061960648421201</v>
      </c>
      <c r="S2">
        <v>0.86378805095389</v>
      </c>
      <c r="T2">
        <v>0.117658253983221</v>
      </c>
      <c r="U2">
        <v>80</v>
      </c>
    </row>
    <row r="3" spans="1:21" x14ac:dyDescent="0.25">
      <c r="A3">
        <v>2</v>
      </c>
      <c r="B3">
        <v>102</v>
      </c>
      <c r="C3" t="s">
        <v>20</v>
      </c>
      <c r="D3">
        <v>42</v>
      </c>
      <c r="E3" t="s">
        <v>21</v>
      </c>
      <c r="F3" t="s">
        <v>22</v>
      </c>
      <c r="G3">
        <v>15873.3800832456</v>
      </c>
      <c r="H3">
        <v>166667854.10058701</v>
      </c>
      <c r="I3">
        <v>8593.3548186735607</v>
      </c>
      <c r="J3">
        <v>120502728.304251</v>
      </c>
      <c r="K3">
        <v>0.14808904497980299</v>
      </c>
      <c r="L3">
        <v>4.2275828976150599E-2</v>
      </c>
      <c r="M3">
        <v>8593.3548186735607</v>
      </c>
      <c r="N3">
        <v>120502728.304251</v>
      </c>
      <c r="O3">
        <v>0.41604713397686999</v>
      </c>
      <c r="P3">
        <v>0.104022049132028</v>
      </c>
      <c r="Q3">
        <v>0.505442062960482</v>
      </c>
      <c r="R3">
        <v>0.249970383950815</v>
      </c>
      <c r="S3">
        <v>0.83818499294376503</v>
      </c>
      <c r="T3">
        <v>0.13563091054759899</v>
      </c>
      <c r="U3">
        <v>128</v>
      </c>
    </row>
    <row r="4" spans="1:21" x14ac:dyDescent="0.25">
      <c r="A4">
        <v>3</v>
      </c>
      <c r="B4">
        <v>103</v>
      </c>
      <c r="C4" t="s">
        <v>20</v>
      </c>
      <c r="D4">
        <v>42</v>
      </c>
      <c r="E4" t="s">
        <v>21</v>
      </c>
      <c r="F4" t="s">
        <v>22</v>
      </c>
      <c r="G4">
        <v>19226.0933847835</v>
      </c>
      <c r="H4">
        <v>170198871.782078</v>
      </c>
      <c r="I4">
        <v>4562.9436464768496</v>
      </c>
      <c r="J4">
        <v>109224340.80558901</v>
      </c>
      <c r="K4">
        <v>0.22312058122674</v>
      </c>
      <c r="L4">
        <v>3.8150475596245098E-2</v>
      </c>
      <c r="M4">
        <v>4562.9436464768496</v>
      </c>
      <c r="N4">
        <v>109224340.80558901</v>
      </c>
      <c r="O4">
        <v>0.52191365265209699</v>
      </c>
      <c r="P4">
        <v>8.9167610490438906E-2</v>
      </c>
      <c r="Q4">
        <v>0.65522869037246001</v>
      </c>
      <c r="R4">
        <v>0.22590405368501901</v>
      </c>
      <c r="S4">
        <v>0.74772469501230998</v>
      </c>
      <c r="T4">
        <v>0.188632475481499</v>
      </c>
      <c r="U4">
        <v>84</v>
      </c>
    </row>
    <row r="5" spans="1:21" x14ac:dyDescent="0.25">
      <c r="A5">
        <v>4</v>
      </c>
      <c r="B5">
        <v>104</v>
      </c>
      <c r="C5" t="s">
        <v>20</v>
      </c>
      <c r="D5">
        <v>42</v>
      </c>
      <c r="E5" t="s">
        <v>21</v>
      </c>
      <c r="F5" t="s">
        <v>22</v>
      </c>
      <c r="G5">
        <v>27089.0461219221</v>
      </c>
      <c r="H5">
        <v>144379236.11633199</v>
      </c>
      <c r="I5">
        <v>-995.10838988041598</v>
      </c>
      <c r="J5">
        <v>73215870.927742198</v>
      </c>
      <c r="K5">
        <v>0.28368568534180999</v>
      </c>
      <c r="L5">
        <v>3.0762563466671E-2</v>
      </c>
      <c r="M5">
        <v>-995.10838988041598</v>
      </c>
      <c r="N5">
        <v>73215870.927742198</v>
      </c>
      <c r="O5">
        <v>0.655475183306783</v>
      </c>
      <c r="P5">
        <v>6.2910428627446793E-2</v>
      </c>
      <c r="Q5">
        <v>0.87333663091604397</v>
      </c>
      <c r="R5">
        <v>0.110619760016156</v>
      </c>
      <c r="S5">
        <v>0.76551998745128302</v>
      </c>
      <c r="T5">
        <v>0.17949913626370201</v>
      </c>
      <c r="U5">
        <v>86</v>
      </c>
    </row>
    <row r="6" spans="1:21" x14ac:dyDescent="0.25">
      <c r="A6">
        <v>5</v>
      </c>
      <c r="B6">
        <v>105</v>
      </c>
      <c r="C6" t="s">
        <v>20</v>
      </c>
      <c r="D6">
        <v>42</v>
      </c>
      <c r="E6" t="s">
        <v>21</v>
      </c>
      <c r="F6" t="s">
        <v>22</v>
      </c>
      <c r="G6">
        <v>27641.103573551802</v>
      </c>
      <c r="H6">
        <v>120781363.94004899</v>
      </c>
      <c r="I6">
        <v>-1922.7445726162</v>
      </c>
      <c r="J6">
        <v>43519740.158536099</v>
      </c>
      <c r="K6">
        <v>0.300706033357306</v>
      </c>
      <c r="L6">
        <v>1.72756809994601E-2</v>
      </c>
      <c r="M6">
        <v>-1922.7445726162</v>
      </c>
      <c r="N6">
        <v>43519740.158536099</v>
      </c>
      <c r="O6">
        <v>0.68126296285217403</v>
      </c>
      <c r="P6">
        <v>3.06773489713329E-2</v>
      </c>
      <c r="Q6">
        <v>0.89342757117379001</v>
      </c>
      <c r="R6">
        <v>9.5214746240419507E-2</v>
      </c>
      <c r="S6">
        <v>0.83555943085886397</v>
      </c>
      <c r="T6">
        <v>0.137399868361507</v>
      </c>
      <c r="U6">
        <v>98</v>
      </c>
    </row>
    <row r="7" spans="1:21" x14ac:dyDescent="0.25">
      <c r="A7">
        <v>6</v>
      </c>
      <c r="B7">
        <v>106</v>
      </c>
      <c r="C7" t="s">
        <v>20</v>
      </c>
      <c r="D7">
        <v>42</v>
      </c>
      <c r="E7" t="s">
        <v>21</v>
      </c>
      <c r="F7" t="s">
        <v>22</v>
      </c>
      <c r="G7">
        <v>25495.930535284599</v>
      </c>
      <c r="H7">
        <v>138537794.641868</v>
      </c>
      <c r="I7">
        <v>-582.64526079368102</v>
      </c>
      <c r="J7">
        <v>82868656.819329202</v>
      </c>
      <c r="K7">
        <v>0.30335640094974398</v>
      </c>
      <c r="L7">
        <v>3.9534665543631498E-2</v>
      </c>
      <c r="M7">
        <v>-582.64526079368102</v>
      </c>
      <c r="N7">
        <v>82868656.819329202</v>
      </c>
      <c r="O7">
        <v>0.65014311889317999</v>
      </c>
      <c r="P7">
        <v>7.1732722796235396E-2</v>
      </c>
      <c r="Q7">
        <v>0.86296398564159205</v>
      </c>
      <c r="R7">
        <v>0.118257145127067</v>
      </c>
      <c r="S7">
        <v>0.73965920744694802</v>
      </c>
      <c r="T7">
        <v>0.19256346428580501</v>
      </c>
      <c r="U7">
        <v>68</v>
      </c>
    </row>
    <row r="8" spans="1:21" x14ac:dyDescent="0.25">
      <c r="A8">
        <v>7</v>
      </c>
      <c r="B8">
        <v>107</v>
      </c>
      <c r="C8" t="s">
        <v>20</v>
      </c>
      <c r="D8">
        <v>42</v>
      </c>
      <c r="E8" t="s">
        <v>21</v>
      </c>
      <c r="F8" t="s">
        <v>22</v>
      </c>
      <c r="G8">
        <v>30108.7073710851</v>
      </c>
      <c r="H8">
        <v>140149463.23712301</v>
      </c>
      <c r="I8">
        <v>-1705.1965412652701</v>
      </c>
      <c r="J8">
        <v>57630239.568775401</v>
      </c>
      <c r="K8">
        <v>0.29583527431108902</v>
      </c>
      <c r="L8">
        <v>2.3903789877127199E-2</v>
      </c>
      <c r="M8">
        <v>-1705.1965412652701</v>
      </c>
      <c r="N8">
        <v>57630239.568775401</v>
      </c>
      <c r="O8">
        <v>0.68430078561250496</v>
      </c>
      <c r="P8">
        <v>4.0924688347727202E-2</v>
      </c>
      <c r="Q8">
        <v>0.90252597766042897</v>
      </c>
      <c r="R8">
        <v>8.7972837308577106E-2</v>
      </c>
      <c r="S8">
        <v>0.74906913922756801</v>
      </c>
      <c r="T8">
        <v>0.187964563884262</v>
      </c>
      <c r="U8">
        <v>62</v>
      </c>
    </row>
    <row r="9" spans="1:21" x14ac:dyDescent="0.25">
      <c r="A9">
        <v>8</v>
      </c>
      <c r="B9">
        <v>108</v>
      </c>
      <c r="C9" t="s">
        <v>20</v>
      </c>
      <c r="D9">
        <v>42</v>
      </c>
      <c r="E9" t="s">
        <v>21</v>
      </c>
      <c r="F9" t="s">
        <v>22</v>
      </c>
      <c r="G9">
        <v>25124.6217260267</v>
      </c>
      <c r="H9">
        <v>144210817.32896999</v>
      </c>
      <c r="I9">
        <v>791.29317633728203</v>
      </c>
      <c r="J9">
        <v>82332367.865226001</v>
      </c>
      <c r="K9">
        <v>0.30345308089616801</v>
      </c>
      <c r="L9">
        <v>2.7932543970037499E-2</v>
      </c>
      <c r="M9">
        <v>791.29317633728203</v>
      </c>
      <c r="N9">
        <v>82332367.865226001</v>
      </c>
      <c r="O9">
        <v>0.64569131756662701</v>
      </c>
      <c r="P9">
        <v>6.1034999673042399E-2</v>
      </c>
      <c r="Q9">
        <v>0.80795082163274101</v>
      </c>
      <c r="R9">
        <v>0.15516629145576599</v>
      </c>
      <c r="S9">
        <v>0.703747114614106</v>
      </c>
      <c r="T9">
        <v>0.20848711328633401</v>
      </c>
      <c r="U9">
        <v>50</v>
      </c>
    </row>
    <row r="10" spans="1:21" x14ac:dyDescent="0.25">
      <c r="A10">
        <v>9</v>
      </c>
      <c r="B10">
        <v>109</v>
      </c>
      <c r="C10" t="s">
        <v>20</v>
      </c>
      <c r="D10">
        <v>42</v>
      </c>
      <c r="E10" t="s">
        <v>21</v>
      </c>
      <c r="F10" t="s">
        <v>22</v>
      </c>
      <c r="G10">
        <v>24807.9704330977</v>
      </c>
      <c r="H10">
        <v>167741154.63799599</v>
      </c>
      <c r="I10">
        <v>1374.2328313604</v>
      </c>
      <c r="J10">
        <v>102961783.64545199</v>
      </c>
      <c r="K10">
        <v>0.28126990532308199</v>
      </c>
      <c r="L10">
        <v>3.4722311429788398E-2</v>
      </c>
      <c r="M10">
        <v>1374.2328313604</v>
      </c>
      <c r="N10">
        <v>102961783.64545199</v>
      </c>
      <c r="O10">
        <v>0.625717537667141</v>
      </c>
      <c r="P10">
        <v>7.5103194482092003E-2</v>
      </c>
      <c r="Q10">
        <v>0.78055665195498003</v>
      </c>
      <c r="R10">
        <v>0.17128796504388299</v>
      </c>
      <c r="S10">
        <v>0.65656807281512797</v>
      </c>
      <c r="T10">
        <v>0.225486438574904</v>
      </c>
      <c r="U10">
        <v>66</v>
      </c>
    </row>
    <row r="11" spans="1:21" x14ac:dyDescent="0.25">
      <c r="A11">
        <v>10</v>
      </c>
      <c r="B11">
        <v>110</v>
      </c>
      <c r="C11" t="s">
        <v>20</v>
      </c>
      <c r="D11">
        <v>42</v>
      </c>
      <c r="E11" t="s">
        <v>21</v>
      </c>
      <c r="F11" t="s">
        <v>22</v>
      </c>
      <c r="G11">
        <v>25596.662684175299</v>
      </c>
      <c r="H11">
        <v>183313286.214349</v>
      </c>
      <c r="I11">
        <v>476.47921198535198</v>
      </c>
      <c r="J11">
        <v>89604374.499231398</v>
      </c>
      <c r="K11">
        <v>0.26871181273825101</v>
      </c>
      <c r="L11">
        <v>3.2236482463072098E-2</v>
      </c>
      <c r="M11">
        <v>476.47921198535198</v>
      </c>
      <c r="N11">
        <v>89604374.499231398</v>
      </c>
      <c r="O11">
        <v>0.63282150616813804</v>
      </c>
      <c r="P11">
        <v>6.9339369407423301E-2</v>
      </c>
      <c r="Q11">
        <v>0.82046498277841595</v>
      </c>
      <c r="R11">
        <v>0.14730219481249501</v>
      </c>
      <c r="S11">
        <v>0.63991245380503003</v>
      </c>
      <c r="T11">
        <v>0.23042450527042799</v>
      </c>
      <c r="U11">
        <v>56</v>
      </c>
    </row>
    <row r="12" spans="1:21" x14ac:dyDescent="0.25">
      <c r="A12">
        <v>11</v>
      </c>
      <c r="B12">
        <v>201</v>
      </c>
      <c r="C12" t="s">
        <v>20</v>
      </c>
      <c r="D12">
        <v>42</v>
      </c>
      <c r="E12" t="s">
        <v>21</v>
      </c>
      <c r="F12" t="s">
        <v>22</v>
      </c>
      <c r="G12">
        <v>19776.900145035299</v>
      </c>
      <c r="H12">
        <v>106056740.622492</v>
      </c>
      <c r="I12">
        <v>1647.59862305616</v>
      </c>
      <c r="J12">
        <v>86006588.720541298</v>
      </c>
      <c r="K12">
        <v>0.28907700829384497</v>
      </c>
      <c r="L12">
        <v>3.5378544998632001E-2</v>
      </c>
      <c r="M12">
        <v>1647.59862305616</v>
      </c>
      <c r="N12">
        <v>86006588.720541298</v>
      </c>
      <c r="O12">
        <v>0.60155792230101102</v>
      </c>
      <c r="P12">
        <v>7.6184119790749794E-2</v>
      </c>
      <c r="Q12">
        <v>0.73810771612085502</v>
      </c>
      <c r="R12">
        <v>0.19330471552391701</v>
      </c>
      <c r="S12">
        <v>0.78326101794071801</v>
      </c>
      <c r="T12">
        <v>0.169763195715252</v>
      </c>
      <c r="U12">
        <v>50</v>
      </c>
    </row>
    <row r="13" spans="1:21" x14ac:dyDescent="0.25">
      <c r="A13">
        <v>12</v>
      </c>
      <c r="B13">
        <v>202</v>
      </c>
      <c r="C13" t="s">
        <v>20</v>
      </c>
      <c r="D13">
        <v>42</v>
      </c>
      <c r="E13" t="s">
        <v>21</v>
      </c>
      <c r="F13" t="s">
        <v>22</v>
      </c>
      <c r="G13">
        <v>15869.0224026984</v>
      </c>
      <c r="H13">
        <v>118144648.635325</v>
      </c>
      <c r="I13">
        <v>5478.8096949887204</v>
      </c>
      <c r="J13">
        <v>114858405.710614</v>
      </c>
      <c r="K13">
        <v>0.19958707187900601</v>
      </c>
      <c r="L13">
        <v>5.1810755048813703E-2</v>
      </c>
      <c r="M13">
        <v>5478.8096949887204</v>
      </c>
      <c r="N13">
        <v>114858405.710614</v>
      </c>
      <c r="O13">
        <v>0.45974174167437998</v>
      </c>
      <c r="P13">
        <v>0.11711523009769299</v>
      </c>
      <c r="Q13">
        <v>0.59069923211252795</v>
      </c>
      <c r="R13">
        <v>0.241773649294277</v>
      </c>
      <c r="S13">
        <v>0.78726661643163898</v>
      </c>
      <c r="T13">
        <v>0.16747789108420699</v>
      </c>
      <c r="U13">
        <v>102</v>
      </c>
    </row>
    <row r="14" spans="1:21" x14ac:dyDescent="0.25">
      <c r="A14">
        <v>13</v>
      </c>
      <c r="B14">
        <v>203</v>
      </c>
      <c r="C14" t="s">
        <v>20</v>
      </c>
      <c r="D14">
        <v>42</v>
      </c>
      <c r="E14" t="s">
        <v>21</v>
      </c>
      <c r="F14" t="s">
        <v>22</v>
      </c>
      <c r="G14">
        <v>12718.812533636299</v>
      </c>
      <c r="H14">
        <v>90744792.164999798</v>
      </c>
      <c r="I14">
        <v>7072.0984777352696</v>
      </c>
      <c r="J14">
        <v>130857838.25465</v>
      </c>
      <c r="K14">
        <v>0.15425170094397</v>
      </c>
      <c r="L14">
        <v>7.6163150286100406E-2</v>
      </c>
      <c r="M14">
        <v>7072.0984777352696</v>
      </c>
      <c r="N14">
        <v>130857838.25465</v>
      </c>
      <c r="O14">
        <v>0.37310392309379198</v>
      </c>
      <c r="P14">
        <v>0.147662496590061</v>
      </c>
      <c r="Q14">
        <v>0.52829037852060001</v>
      </c>
      <c r="R14">
        <v>0.24919965448314299</v>
      </c>
      <c r="S14">
        <v>0.92374300339664195</v>
      </c>
      <c r="T14">
        <v>7.0441867072418396E-2</v>
      </c>
      <c r="U14">
        <v>144</v>
      </c>
    </row>
    <row r="15" spans="1:21" x14ac:dyDescent="0.25">
      <c r="A15">
        <v>14</v>
      </c>
      <c r="B15">
        <v>204</v>
      </c>
      <c r="C15" t="s">
        <v>20</v>
      </c>
      <c r="D15">
        <v>42</v>
      </c>
      <c r="E15" t="s">
        <v>21</v>
      </c>
      <c r="F15" t="s">
        <v>22</v>
      </c>
      <c r="G15">
        <v>16076.5141363886</v>
      </c>
      <c r="H15">
        <v>123470407.95468301</v>
      </c>
      <c r="I15">
        <v>6540.3446862330302</v>
      </c>
      <c r="J15">
        <v>130133802.354119</v>
      </c>
      <c r="K15">
        <v>0.105699953847604</v>
      </c>
      <c r="L15">
        <v>5.5514988884648397E-2</v>
      </c>
      <c r="M15">
        <v>6540.3446862330302</v>
      </c>
      <c r="N15">
        <v>130133802.354119</v>
      </c>
      <c r="O15">
        <v>0.36172671991567001</v>
      </c>
      <c r="P15">
        <v>0.14816506998280601</v>
      </c>
      <c r="Q15">
        <v>0.53304470543210503</v>
      </c>
      <c r="R15">
        <v>0.24890804744275299</v>
      </c>
      <c r="S15">
        <v>0.879145587408657</v>
      </c>
      <c r="T15">
        <v>0.106248623548283</v>
      </c>
      <c r="U15">
        <v>126</v>
      </c>
    </row>
    <row r="16" spans="1:21" x14ac:dyDescent="0.25">
      <c r="A16">
        <v>15</v>
      </c>
      <c r="B16">
        <v>205</v>
      </c>
      <c r="C16" t="s">
        <v>20</v>
      </c>
      <c r="D16">
        <v>42</v>
      </c>
      <c r="E16" t="s">
        <v>21</v>
      </c>
      <c r="F16" t="s">
        <v>22</v>
      </c>
      <c r="G16">
        <v>17490.442056237702</v>
      </c>
      <c r="H16">
        <v>132972589.20701601</v>
      </c>
      <c r="I16">
        <v>5105.8780807937601</v>
      </c>
      <c r="J16">
        <v>122852615.69965</v>
      </c>
      <c r="K16">
        <v>0.12154059189800299</v>
      </c>
      <c r="L16">
        <v>4.9720195836740699E-2</v>
      </c>
      <c r="M16">
        <v>5105.8780807937601</v>
      </c>
      <c r="N16">
        <v>122852615.69965</v>
      </c>
      <c r="O16">
        <v>0.38460565062952601</v>
      </c>
      <c r="P16">
        <v>0.14110059811985401</v>
      </c>
      <c r="Q16">
        <v>0.57540285422529902</v>
      </c>
      <c r="R16">
        <v>0.24431440957497</v>
      </c>
      <c r="S16">
        <v>0.93021083699672502</v>
      </c>
      <c r="T16">
        <v>6.4918635730427707E-2</v>
      </c>
      <c r="U16">
        <v>154</v>
      </c>
    </row>
    <row r="17" spans="1:21" x14ac:dyDescent="0.25">
      <c r="A17">
        <v>16</v>
      </c>
      <c r="B17">
        <v>206</v>
      </c>
      <c r="C17" t="s">
        <v>20</v>
      </c>
      <c r="D17">
        <v>42</v>
      </c>
      <c r="E17" t="s">
        <v>21</v>
      </c>
      <c r="F17" t="s">
        <v>22</v>
      </c>
      <c r="G17">
        <v>21715.797440803599</v>
      </c>
      <c r="H17">
        <v>50104458.995061502</v>
      </c>
      <c r="I17">
        <v>-2834.4191627892201</v>
      </c>
      <c r="J17">
        <v>26086074.416460101</v>
      </c>
      <c r="K17">
        <v>0.35143693259591702</v>
      </c>
      <c r="L17">
        <v>1.48104583123917E-2</v>
      </c>
      <c r="M17">
        <v>-2834.4191627892201</v>
      </c>
      <c r="N17">
        <v>26086074.416460101</v>
      </c>
      <c r="O17">
        <v>0.67359418621209499</v>
      </c>
      <c r="P17">
        <v>2.3388286871522401E-2</v>
      </c>
      <c r="Q17">
        <v>0.92605835924419999</v>
      </c>
      <c r="R17">
        <v>6.8474274518231695E-2</v>
      </c>
      <c r="S17">
        <v>0.89733071826640198</v>
      </c>
      <c r="T17">
        <v>9.2128300321869694E-2</v>
      </c>
      <c r="U17">
        <v>120</v>
      </c>
    </row>
    <row r="18" spans="1:21" x14ac:dyDescent="0.25">
      <c r="A18">
        <v>17</v>
      </c>
      <c r="B18">
        <v>207</v>
      </c>
      <c r="C18" t="s">
        <v>20</v>
      </c>
      <c r="D18">
        <v>42</v>
      </c>
      <c r="E18" t="s">
        <v>21</v>
      </c>
      <c r="F18" t="s">
        <v>22</v>
      </c>
      <c r="G18">
        <v>18076.9442300636</v>
      </c>
      <c r="H18">
        <v>135473124.60352701</v>
      </c>
      <c r="I18">
        <v>3935.8277520496399</v>
      </c>
      <c r="J18">
        <v>112940429.551028</v>
      </c>
      <c r="K18">
        <v>0.17141411026918299</v>
      </c>
      <c r="L18">
        <v>4.8644587361528303E-2</v>
      </c>
      <c r="M18">
        <v>3935.8277520496399</v>
      </c>
      <c r="N18">
        <v>112940429.551028</v>
      </c>
      <c r="O18">
        <v>0.43033716790301701</v>
      </c>
      <c r="P18">
        <v>0.124595561848367</v>
      </c>
      <c r="Q18">
        <v>0.61661964346714904</v>
      </c>
      <c r="R18">
        <v>0.23639985875750599</v>
      </c>
      <c r="S18">
        <v>0.86373815458191505</v>
      </c>
      <c r="T18">
        <v>0.11769455490125</v>
      </c>
      <c r="U18">
        <v>102</v>
      </c>
    </row>
    <row r="19" spans="1:21" x14ac:dyDescent="0.25">
      <c r="A19">
        <v>18</v>
      </c>
      <c r="B19">
        <v>208</v>
      </c>
      <c r="C19" t="s">
        <v>20</v>
      </c>
      <c r="D19">
        <v>42</v>
      </c>
      <c r="E19" t="s">
        <v>21</v>
      </c>
      <c r="F19" t="s">
        <v>22</v>
      </c>
      <c r="G19">
        <v>15110.3985216902</v>
      </c>
      <c r="H19">
        <v>99091171.337264493</v>
      </c>
      <c r="I19">
        <v>6941.9340894137003</v>
      </c>
      <c r="J19">
        <v>135471157.68965599</v>
      </c>
      <c r="K19">
        <v>0.16092460561431601</v>
      </c>
      <c r="L19">
        <v>5.9046865154013702E-2</v>
      </c>
      <c r="M19">
        <v>6941.9340894137003</v>
      </c>
      <c r="N19">
        <v>135471157.68965599</v>
      </c>
      <c r="O19">
        <v>0.39144538400022799</v>
      </c>
      <c r="P19">
        <v>0.130998775943102</v>
      </c>
      <c r="Q19">
        <v>0.53164133047877604</v>
      </c>
      <c r="R19">
        <v>0.24899882620525299</v>
      </c>
      <c r="S19">
        <v>0.82153194746788505</v>
      </c>
      <c r="T19">
        <v>0.14661720675763401</v>
      </c>
      <c r="U19">
        <v>112</v>
      </c>
    </row>
    <row r="20" spans="1:21" x14ac:dyDescent="0.25">
      <c r="A20">
        <v>19</v>
      </c>
      <c r="B20">
        <v>209</v>
      </c>
      <c r="C20" t="s">
        <v>20</v>
      </c>
      <c r="D20">
        <v>42</v>
      </c>
      <c r="E20" t="s">
        <v>21</v>
      </c>
      <c r="F20" t="s">
        <v>22</v>
      </c>
      <c r="G20">
        <v>17992.087742460899</v>
      </c>
      <c r="H20">
        <v>59154269.173449703</v>
      </c>
      <c r="I20">
        <v>37.321812688770201</v>
      </c>
      <c r="J20">
        <v>47518043.317013398</v>
      </c>
      <c r="K20">
        <v>0.38004078935234198</v>
      </c>
      <c r="L20">
        <v>2.3982080478918501E-2</v>
      </c>
      <c r="M20">
        <v>37.321812688770201</v>
      </c>
      <c r="N20">
        <v>47518043.317013398</v>
      </c>
      <c r="O20">
        <v>0.67544208649529403</v>
      </c>
      <c r="P20">
        <v>4.3022094276999698E-2</v>
      </c>
      <c r="Q20">
        <v>0.86303736242041396</v>
      </c>
      <c r="R20">
        <v>0.118203873486904</v>
      </c>
      <c r="S20">
        <v>0.98519249753208304</v>
      </c>
      <c r="T20">
        <v>1.45882403385905E-2</v>
      </c>
      <c r="U20">
        <v>200</v>
      </c>
    </row>
    <row r="21" spans="1:21" x14ac:dyDescent="0.25">
      <c r="A21">
        <v>20</v>
      </c>
      <c r="B21">
        <v>210</v>
      </c>
      <c r="C21" t="s">
        <v>20</v>
      </c>
      <c r="D21">
        <v>42</v>
      </c>
      <c r="E21" t="s">
        <v>21</v>
      </c>
      <c r="F21" t="s">
        <v>22</v>
      </c>
      <c r="G21">
        <v>17556.1955210587</v>
      </c>
      <c r="H21">
        <v>102506348.28542601</v>
      </c>
      <c r="I21">
        <v>2808.2522183254</v>
      </c>
      <c r="J21">
        <v>88939763.409388095</v>
      </c>
      <c r="K21">
        <v>0.255790563829211</v>
      </c>
      <c r="L21">
        <v>3.8302140207784302E-2</v>
      </c>
      <c r="M21">
        <v>2808.2522183254</v>
      </c>
      <c r="N21">
        <v>88939763.409388095</v>
      </c>
      <c r="O21">
        <v>0.53617888782669199</v>
      </c>
      <c r="P21">
        <v>8.3555413721978597E-2</v>
      </c>
      <c r="Q21">
        <v>0.68992238198244005</v>
      </c>
      <c r="R21">
        <v>0.21392948882228799</v>
      </c>
      <c r="S21">
        <v>0.935866439314891</v>
      </c>
      <c r="T21">
        <v>6.00204470788415E-2</v>
      </c>
      <c r="U21">
        <v>130</v>
      </c>
    </row>
    <row r="22" spans="1:21" x14ac:dyDescent="0.25">
      <c r="A22">
        <v>21</v>
      </c>
      <c r="B22">
        <v>301</v>
      </c>
      <c r="C22" t="s">
        <v>20</v>
      </c>
      <c r="D22">
        <v>42</v>
      </c>
      <c r="E22" t="s">
        <v>21</v>
      </c>
      <c r="F22" t="s">
        <v>22</v>
      </c>
      <c r="G22">
        <v>22986.482334848701</v>
      </c>
      <c r="H22">
        <v>138268957.54605001</v>
      </c>
      <c r="I22">
        <v>791.31331680049595</v>
      </c>
      <c r="J22">
        <v>83255178.534019604</v>
      </c>
      <c r="K22">
        <v>0.244151042030882</v>
      </c>
      <c r="L22">
        <v>3.1660448837379999E-2</v>
      </c>
      <c r="M22">
        <v>791.31331680049595</v>
      </c>
      <c r="N22">
        <v>83255178.534019604</v>
      </c>
      <c r="O22">
        <v>0.58672171658028005</v>
      </c>
      <c r="P22">
        <v>7.0990197480862702E-2</v>
      </c>
      <c r="Q22">
        <v>0.74455341364378302</v>
      </c>
      <c r="R22">
        <v>0.19019362787507299</v>
      </c>
      <c r="S22">
        <v>0.87570316610233501</v>
      </c>
      <c r="T22">
        <v>0.108847130980733</v>
      </c>
      <c r="U22">
        <v>92</v>
      </c>
    </row>
    <row r="23" spans="1:21" x14ac:dyDescent="0.25">
      <c r="A23">
        <v>22</v>
      </c>
      <c r="B23">
        <v>302</v>
      </c>
      <c r="C23" t="s">
        <v>20</v>
      </c>
      <c r="D23">
        <v>42</v>
      </c>
      <c r="E23" t="s">
        <v>21</v>
      </c>
      <c r="F23" t="s">
        <v>22</v>
      </c>
      <c r="G23">
        <v>21343.801430399599</v>
      </c>
      <c r="H23">
        <v>150583772.65135899</v>
      </c>
      <c r="I23">
        <v>1958.3218924796299</v>
      </c>
      <c r="J23">
        <v>100007439.274544</v>
      </c>
      <c r="K23">
        <v>0.22420308711457901</v>
      </c>
      <c r="L23">
        <v>5.2933779623225798E-2</v>
      </c>
      <c r="M23">
        <v>1958.3218924796299</v>
      </c>
      <c r="N23">
        <v>100007439.274544</v>
      </c>
      <c r="O23">
        <v>0.534228892851625</v>
      </c>
      <c r="P23">
        <v>0.106432026556581</v>
      </c>
      <c r="Q23">
        <v>0.743042349873823</v>
      </c>
      <c r="R23">
        <v>0.19093041616806</v>
      </c>
      <c r="S23">
        <v>0.91491550154883905</v>
      </c>
      <c r="T23">
        <v>7.7845126574295195E-2</v>
      </c>
      <c r="U23">
        <v>160</v>
      </c>
    </row>
    <row r="24" spans="1:21" x14ac:dyDescent="0.25">
      <c r="A24">
        <v>23</v>
      </c>
      <c r="B24">
        <v>303</v>
      </c>
      <c r="C24" t="s">
        <v>20</v>
      </c>
      <c r="D24">
        <v>42</v>
      </c>
      <c r="E24" t="s">
        <v>21</v>
      </c>
      <c r="F24" t="s">
        <v>22</v>
      </c>
      <c r="G24">
        <v>18735.8187225816</v>
      </c>
      <c r="H24">
        <v>166317320.77098799</v>
      </c>
      <c r="I24">
        <v>3207.6989534459599</v>
      </c>
      <c r="J24">
        <v>129383656.30564301</v>
      </c>
      <c r="K24">
        <v>0.18257705995444601</v>
      </c>
      <c r="L24">
        <v>6.0338594598874702E-2</v>
      </c>
      <c r="M24">
        <v>3207.6989534459599</v>
      </c>
      <c r="N24">
        <v>129383656.30564301</v>
      </c>
      <c r="O24">
        <v>0.44920527727715298</v>
      </c>
      <c r="P24">
        <v>0.13636125357471801</v>
      </c>
      <c r="Q24">
        <v>0.61163159590551996</v>
      </c>
      <c r="R24">
        <v>0.23753838679558101</v>
      </c>
      <c r="S24">
        <v>0.66561752642470395</v>
      </c>
      <c r="T24">
        <v>0.222570834941337</v>
      </c>
      <c r="U24">
        <v>60</v>
      </c>
    </row>
    <row r="25" spans="1:21" x14ac:dyDescent="0.25">
      <c r="A25">
        <v>24</v>
      </c>
      <c r="B25">
        <v>304</v>
      </c>
      <c r="C25" t="s">
        <v>20</v>
      </c>
      <c r="D25">
        <v>42</v>
      </c>
      <c r="E25" t="s">
        <v>21</v>
      </c>
      <c r="F25" t="s">
        <v>22</v>
      </c>
      <c r="G25">
        <v>20361.283976459901</v>
      </c>
      <c r="H25">
        <v>130390357.249696</v>
      </c>
      <c r="I25">
        <v>471.77142457347401</v>
      </c>
      <c r="J25">
        <v>108558935.63770001</v>
      </c>
      <c r="K25">
        <v>0.228747653302485</v>
      </c>
      <c r="L25">
        <v>5.5748105216459599E-2</v>
      </c>
      <c r="M25">
        <v>471.77142457347401</v>
      </c>
      <c r="N25">
        <v>108558935.63770001</v>
      </c>
      <c r="O25">
        <v>0.52512630848103403</v>
      </c>
      <c r="P25">
        <v>0.124263386734434</v>
      </c>
      <c r="Q25">
        <v>0.72992272912131295</v>
      </c>
      <c r="R25">
        <v>0.197135538633607</v>
      </c>
      <c r="S25">
        <v>0.83766715307513795</v>
      </c>
      <c r="T25">
        <v>0.135980893734234</v>
      </c>
      <c r="U25">
        <v>118</v>
      </c>
    </row>
    <row r="26" spans="1:21" x14ac:dyDescent="0.25">
      <c r="A26">
        <v>25</v>
      </c>
      <c r="B26">
        <v>305</v>
      </c>
      <c r="C26" t="s">
        <v>20</v>
      </c>
      <c r="D26">
        <v>42</v>
      </c>
      <c r="E26" t="s">
        <v>21</v>
      </c>
      <c r="F26" t="s">
        <v>22</v>
      </c>
      <c r="G26">
        <v>18564.679217750101</v>
      </c>
      <c r="H26">
        <v>156815649.33970499</v>
      </c>
      <c r="I26">
        <v>3487.6777603873502</v>
      </c>
      <c r="J26">
        <v>145935835.75521299</v>
      </c>
      <c r="K26">
        <v>0.12526477903965</v>
      </c>
      <c r="L26">
        <v>7.3547929562615105E-2</v>
      </c>
      <c r="M26">
        <v>3487.6777603873502</v>
      </c>
      <c r="N26">
        <v>145935835.75521299</v>
      </c>
      <c r="O26">
        <v>0.37832804236848699</v>
      </c>
      <c r="P26">
        <v>0.17644698145068799</v>
      </c>
      <c r="Q26">
        <v>0.59360086119251199</v>
      </c>
      <c r="R26">
        <v>0.24123887878384001</v>
      </c>
      <c r="S26">
        <v>0.92095221006040995</v>
      </c>
      <c r="T26">
        <v>7.2799236845266194E-2</v>
      </c>
      <c r="U26">
        <v>162</v>
      </c>
    </row>
    <row r="27" spans="1:21" x14ac:dyDescent="0.25">
      <c r="A27">
        <v>26</v>
      </c>
      <c r="B27">
        <v>306</v>
      </c>
      <c r="C27" t="s">
        <v>20</v>
      </c>
      <c r="D27">
        <v>42</v>
      </c>
      <c r="E27" t="s">
        <v>21</v>
      </c>
      <c r="F27" t="s">
        <v>22</v>
      </c>
      <c r="G27">
        <v>22766.8313073524</v>
      </c>
      <c r="H27">
        <v>116556097.764092</v>
      </c>
      <c r="I27">
        <v>-1276.2007227541701</v>
      </c>
      <c r="J27">
        <v>76513486.3171608</v>
      </c>
      <c r="K27">
        <v>0.25210124439125597</v>
      </c>
      <c r="L27">
        <v>4.3194463228813602E-2</v>
      </c>
      <c r="M27">
        <v>-1276.2007227541701</v>
      </c>
      <c r="N27">
        <v>76513486.3171608</v>
      </c>
      <c r="O27">
        <v>0.57038846330022297</v>
      </c>
      <c r="P27">
        <v>9.7066959621900803E-2</v>
      </c>
      <c r="Q27">
        <v>0.78637689505376895</v>
      </c>
      <c r="R27">
        <v>0.16798827397944999</v>
      </c>
      <c r="S27">
        <v>0.95291274898902001</v>
      </c>
      <c r="T27">
        <v>4.4870041803202899E-2</v>
      </c>
      <c r="U27">
        <v>176</v>
      </c>
    </row>
    <row r="28" spans="1:21" x14ac:dyDescent="0.25">
      <c r="A28">
        <v>27</v>
      </c>
      <c r="B28">
        <v>307</v>
      </c>
      <c r="C28" t="s">
        <v>20</v>
      </c>
      <c r="D28">
        <v>42</v>
      </c>
      <c r="E28" t="s">
        <v>21</v>
      </c>
      <c r="F28" t="s">
        <v>22</v>
      </c>
      <c r="G28">
        <v>25626.133172312999</v>
      </c>
      <c r="H28">
        <v>150563481.178121</v>
      </c>
      <c r="I28">
        <v>-1906.8727524542301</v>
      </c>
      <c r="J28">
        <v>68113666.914804801</v>
      </c>
      <c r="K28">
        <v>0.24656652730537401</v>
      </c>
      <c r="L28">
        <v>2.9732459762239399E-2</v>
      </c>
      <c r="M28">
        <v>-1906.8727524542301</v>
      </c>
      <c r="N28">
        <v>68113666.914804801</v>
      </c>
      <c r="O28">
        <v>0.59198858772682195</v>
      </c>
      <c r="P28">
        <v>7.7867594882517294E-2</v>
      </c>
      <c r="Q28">
        <v>0.80669929447657795</v>
      </c>
      <c r="R28">
        <v>0.15593554276775101</v>
      </c>
      <c r="S28">
        <v>0.73622587780631099</v>
      </c>
      <c r="T28">
        <v>0.194197334654405</v>
      </c>
      <c r="U28">
        <v>62</v>
      </c>
    </row>
    <row r="29" spans="1:21" x14ac:dyDescent="0.25">
      <c r="A29">
        <v>28</v>
      </c>
      <c r="B29">
        <v>308</v>
      </c>
      <c r="C29" t="s">
        <v>20</v>
      </c>
      <c r="D29">
        <v>42</v>
      </c>
      <c r="E29" t="s">
        <v>21</v>
      </c>
      <c r="F29" t="s">
        <v>22</v>
      </c>
      <c r="G29">
        <v>22339.858267617299</v>
      </c>
      <c r="H29">
        <v>151081933.54138699</v>
      </c>
      <c r="I29">
        <v>1223.2133930993</v>
      </c>
      <c r="J29">
        <v>124852270.76587801</v>
      </c>
      <c r="K29">
        <v>0.223441802001724</v>
      </c>
      <c r="L29">
        <v>5.4827261285248098E-2</v>
      </c>
      <c r="M29">
        <v>1223.2133930993</v>
      </c>
      <c r="N29">
        <v>124852270.76587801</v>
      </c>
      <c r="O29">
        <v>0.51548308726481495</v>
      </c>
      <c r="P29">
        <v>0.12237772067677399</v>
      </c>
      <c r="Q29">
        <v>0.71376382555239204</v>
      </c>
      <c r="R29">
        <v>0.20430502688537</v>
      </c>
      <c r="S29">
        <v>0.76630380002015897</v>
      </c>
      <c r="T29">
        <v>0.17908228609489399</v>
      </c>
      <c r="U29">
        <v>88</v>
      </c>
    </row>
    <row r="30" spans="1:21" x14ac:dyDescent="0.25">
      <c r="A30">
        <v>29</v>
      </c>
      <c r="B30">
        <v>309</v>
      </c>
      <c r="C30" t="s">
        <v>20</v>
      </c>
      <c r="D30">
        <v>42</v>
      </c>
      <c r="E30" t="s">
        <v>21</v>
      </c>
      <c r="F30" t="s">
        <v>22</v>
      </c>
      <c r="G30">
        <v>26479.568735571698</v>
      </c>
      <c r="H30">
        <v>72736153.676803604</v>
      </c>
      <c r="I30">
        <v>-2533.6380660763498</v>
      </c>
      <c r="J30">
        <v>31936125.648006</v>
      </c>
      <c r="K30">
        <v>0.34381260338894198</v>
      </c>
      <c r="L30">
        <v>1.4599029545604001E-2</v>
      </c>
      <c r="M30">
        <v>-2533.6380660763498</v>
      </c>
      <c r="N30">
        <v>31936125.648006</v>
      </c>
      <c r="O30">
        <v>0.71012220859345099</v>
      </c>
      <c r="P30">
        <v>1.9947281922156199E-2</v>
      </c>
      <c r="Q30">
        <v>0.94319581833187804</v>
      </c>
      <c r="R30">
        <v>5.35774666131534E-2</v>
      </c>
      <c r="S30">
        <v>0.89924770664147102</v>
      </c>
      <c r="T30">
        <v>9.0601268741356003E-2</v>
      </c>
      <c r="U30">
        <v>188</v>
      </c>
    </row>
    <row r="31" spans="1:21" x14ac:dyDescent="0.25">
      <c r="A31">
        <v>30</v>
      </c>
      <c r="B31">
        <v>310</v>
      </c>
      <c r="C31" t="s">
        <v>20</v>
      </c>
      <c r="D31">
        <v>42</v>
      </c>
      <c r="E31" t="s">
        <v>21</v>
      </c>
      <c r="F31" t="s">
        <v>22</v>
      </c>
      <c r="G31">
        <v>25656.094300923</v>
      </c>
      <c r="H31">
        <v>122924540.062723</v>
      </c>
      <c r="I31">
        <v>-1597.02122369314</v>
      </c>
      <c r="J31">
        <v>64789533.9360727</v>
      </c>
      <c r="K31">
        <v>0.28048964511401903</v>
      </c>
      <c r="L31">
        <v>3.11150199403302E-2</v>
      </c>
      <c r="M31">
        <v>-1597.02122369314</v>
      </c>
      <c r="N31">
        <v>64789533.9360727</v>
      </c>
      <c r="O31">
        <v>0.64599720908013103</v>
      </c>
      <c r="P31">
        <v>6.3739124167292896E-2</v>
      </c>
      <c r="Q31">
        <v>0.87222249352932602</v>
      </c>
      <c r="R31">
        <v>0.11145041531080099</v>
      </c>
      <c r="S31">
        <v>0.86724053724053696</v>
      </c>
      <c r="T31">
        <v>0.115134387807119</v>
      </c>
      <c r="U31">
        <v>96</v>
      </c>
    </row>
    <row r="32" spans="1:21" x14ac:dyDescent="0.25">
      <c r="A32">
        <v>31</v>
      </c>
      <c r="B32">
        <v>401</v>
      </c>
      <c r="C32" t="s">
        <v>20</v>
      </c>
      <c r="D32">
        <v>42</v>
      </c>
      <c r="E32" t="s">
        <v>21</v>
      </c>
      <c r="F32" t="s">
        <v>22</v>
      </c>
      <c r="G32">
        <v>17216.930665358999</v>
      </c>
      <c r="H32">
        <v>113264260.700104</v>
      </c>
      <c r="I32">
        <v>1853.9216218269601</v>
      </c>
      <c r="J32">
        <v>91717246.869360298</v>
      </c>
      <c r="K32">
        <v>0.26555188153863701</v>
      </c>
      <c r="L32">
        <v>4.40016016567914E-2</v>
      </c>
      <c r="M32">
        <v>1853.9216218269601</v>
      </c>
      <c r="N32">
        <v>91717246.869360298</v>
      </c>
      <c r="O32">
        <v>0.56513412581828304</v>
      </c>
      <c r="P32">
        <v>9.41700163983442E-2</v>
      </c>
      <c r="Q32">
        <v>0.70643112583573497</v>
      </c>
      <c r="R32">
        <v>0.20738619028588201</v>
      </c>
      <c r="S32">
        <v>0.94380853277835597</v>
      </c>
      <c r="T32">
        <v>5.3033986233188703E-2</v>
      </c>
      <c r="U32">
        <v>140</v>
      </c>
    </row>
    <row r="33" spans="1:21" x14ac:dyDescent="0.25">
      <c r="A33">
        <v>32</v>
      </c>
      <c r="B33">
        <v>402</v>
      </c>
      <c r="C33" t="s">
        <v>20</v>
      </c>
      <c r="D33">
        <v>42</v>
      </c>
      <c r="E33" t="s">
        <v>21</v>
      </c>
      <c r="F33" t="s">
        <v>22</v>
      </c>
      <c r="G33">
        <v>12613.4458943843</v>
      </c>
      <c r="H33">
        <v>132473208.30654401</v>
      </c>
      <c r="I33">
        <v>10661.1543282523</v>
      </c>
      <c r="J33">
        <v>125871628.17308301</v>
      </c>
      <c r="K33">
        <v>2.2884176339051699E-2</v>
      </c>
      <c r="L33">
        <v>5.9153638301837903E-2</v>
      </c>
      <c r="M33">
        <v>10661.1543282523</v>
      </c>
      <c r="N33">
        <v>125871628.17308301</v>
      </c>
      <c r="O33">
        <v>0.24156347114906901</v>
      </c>
      <c r="P33">
        <v>0.138449981220991</v>
      </c>
      <c r="Q33">
        <v>0.39816996591113002</v>
      </c>
      <c r="R33">
        <v>0.239630644157422</v>
      </c>
      <c r="S33">
        <v>0.89843563124910297</v>
      </c>
      <c r="T33">
        <v>9.1249047750742301E-2</v>
      </c>
      <c r="U33">
        <v>200</v>
      </c>
    </row>
    <row r="34" spans="1:21" x14ac:dyDescent="0.25">
      <c r="A34">
        <v>33</v>
      </c>
      <c r="B34">
        <v>403</v>
      </c>
      <c r="C34" t="s">
        <v>20</v>
      </c>
      <c r="D34">
        <v>42</v>
      </c>
      <c r="E34" t="s">
        <v>21</v>
      </c>
      <c r="F34" t="s">
        <v>22</v>
      </c>
      <c r="G34">
        <v>23734.474976083799</v>
      </c>
      <c r="H34">
        <v>139608434.22928399</v>
      </c>
      <c r="I34">
        <v>-44.275417525409203</v>
      </c>
      <c r="J34">
        <v>76532512.851783097</v>
      </c>
      <c r="K34">
        <v>0.227656676466305</v>
      </c>
      <c r="L34">
        <v>3.2916431205637198E-2</v>
      </c>
      <c r="M34">
        <v>-44.275417525409203</v>
      </c>
      <c r="N34">
        <v>76532512.851783097</v>
      </c>
      <c r="O34">
        <v>0.56236680507218295</v>
      </c>
      <c r="P34">
        <v>7.4432677617184806E-2</v>
      </c>
      <c r="Q34">
        <v>0.79020442072403196</v>
      </c>
      <c r="R34">
        <v>0.16578139419221799</v>
      </c>
      <c r="S34">
        <v>0.90728410135058601</v>
      </c>
      <c r="T34">
        <v>8.4119660787097497E-2</v>
      </c>
      <c r="U34">
        <v>166</v>
      </c>
    </row>
    <row r="35" spans="1:21" x14ac:dyDescent="0.25">
      <c r="A35">
        <v>34</v>
      </c>
      <c r="B35">
        <v>404</v>
      </c>
      <c r="C35" t="s">
        <v>20</v>
      </c>
      <c r="D35">
        <v>42</v>
      </c>
      <c r="E35" t="s">
        <v>21</v>
      </c>
      <c r="F35" t="s">
        <v>22</v>
      </c>
      <c r="G35">
        <v>20983.142937454399</v>
      </c>
      <c r="H35">
        <v>163557053.268233</v>
      </c>
      <c r="I35">
        <v>2510.4054601827102</v>
      </c>
      <c r="J35">
        <v>128987413.48248</v>
      </c>
      <c r="K35">
        <v>0.123491395951614</v>
      </c>
      <c r="L35">
        <v>5.6596263146609101E-2</v>
      </c>
      <c r="M35">
        <v>2510.4054601827102</v>
      </c>
      <c r="N35">
        <v>128987413.48248</v>
      </c>
      <c r="O35">
        <v>0.425927542063263</v>
      </c>
      <c r="P35">
        <v>0.14354332560658201</v>
      </c>
      <c r="Q35">
        <v>0.644271138595505</v>
      </c>
      <c r="R35">
        <v>0.22918583856833699</v>
      </c>
      <c r="S35">
        <v>0.91775611506488797</v>
      </c>
      <c r="T35">
        <v>7.5479828326091306E-2</v>
      </c>
      <c r="U35">
        <v>192</v>
      </c>
    </row>
    <row r="36" spans="1:21" x14ac:dyDescent="0.25">
      <c r="A36">
        <v>35</v>
      </c>
      <c r="B36">
        <v>405</v>
      </c>
      <c r="C36" t="s">
        <v>20</v>
      </c>
      <c r="D36">
        <v>42</v>
      </c>
      <c r="E36" t="s">
        <v>21</v>
      </c>
      <c r="F36" t="s">
        <v>22</v>
      </c>
      <c r="G36">
        <v>14364.1021590236</v>
      </c>
      <c r="H36">
        <v>143140858.240769</v>
      </c>
      <c r="I36">
        <v>8390.5053221807302</v>
      </c>
      <c r="J36">
        <v>128207023.076491</v>
      </c>
      <c r="K36">
        <v>-1.30840940652505E-2</v>
      </c>
      <c r="L36">
        <v>6.3977514094679694E-2</v>
      </c>
      <c r="M36">
        <v>8390.5053221807302</v>
      </c>
      <c r="N36">
        <v>128207023.076491</v>
      </c>
      <c r="O36">
        <v>0.190897433762348</v>
      </c>
      <c r="P36">
        <v>0.16765332651414699</v>
      </c>
      <c r="Q36">
        <v>0.39605118520815102</v>
      </c>
      <c r="R36">
        <v>0.23919464390360401</v>
      </c>
      <c r="S36">
        <v>0.90574706164209795</v>
      </c>
      <c r="T36">
        <v>8.5369321969180997E-2</v>
      </c>
      <c r="U36">
        <v>398</v>
      </c>
    </row>
    <row r="37" spans="1:21" x14ac:dyDescent="0.25">
      <c r="A37">
        <v>36</v>
      </c>
      <c r="B37">
        <v>406</v>
      </c>
      <c r="C37" t="s">
        <v>20</v>
      </c>
      <c r="D37">
        <v>42</v>
      </c>
      <c r="E37" t="s">
        <v>21</v>
      </c>
      <c r="F37" t="s">
        <v>22</v>
      </c>
      <c r="G37">
        <v>23758.943114168502</v>
      </c>
      <c r="H37">
        <v>116018898.596155</v>
      </c>
      <c r="I37">
        <v>-2863.3973999949399</v>
      </c>
      <c r="J37">
        <v>52112551.734394297</v>
      </c>
      <c r="K37">
        <v>0.24345606704971501</v>
      </c>
      <c r="L37">
        <v>3.0930642210914499E-2</v>
      </c>
      <c r="M37">
        <v>-2863.3973999949399</v>
      </c>
      <c r="N37">
        <v>52112551.734394297</v>
      </c>
      <c r="O37">
        <v>0.58756487083914599</v>
      </c>
      <c r="P37">
        <v>6.8718876121035E-2</v>
      </c>
      <c r="Q37">
        <v>0.83448868898002404</v>
      </c>
      <c r="R37">
        <v>0.13811731694437401</v>
      </c>
      <c r="S37">
        <v>0.84077680177796599</v>
      </c>
      <c r="T37">
        <v>0.13387117137029</v>
      </c>
      <c r="U37">
        <v>140</v>
      </c>
    </row>
    <row r="38" spans="1:21" x14ac:dyDescent="0.25">
      <c r="A38">
        <v>37</v>
      </c>
      <c r="B38">
        <v>407</v>
      </c>
      <c r="C38" t="s">
        <v>20</v>
      </c>
      <c r="D38">
        <v>42</v>
      </c>
      <c r="E38" t="s">
        <v>21</v>
      </c>
      <c r="F38" t="s">
        <v>22</v>
      </c>
      <c r="G38">
        <v>12125.754393188899</v>
      </c>
      <c r="H38">
        <v>143612468.71941701</v>
      </c>
      <c r="I38">
        <v>10655.5274829389</v>
      </c>
      <c r="J38">
        <v>116770196.191939</v>
      </c>
      <c r="K38">
        <v>-3.5150720207895697E-2</v>
      </c>
      <c r="L38">
        <v>5.9987848648220099E-2</v>
      </c>
      <c r="M38">
        <v>10655.5274829389</v>
      </c>
      <c r="N38">
        <v>116770196.191939</v>
      </c>
      <c r="O38">
        <v>0.133050430041698</v>
      </c>
      <c r="P38">
        <v>0.159384844818664</v>
      </c>
      <c r="Q38">
        <v>0.33240483947148503</v>
      </c>
      <c r="R38">
        <v>0.22191186216752001</v>
      </c>
      <c r="S38">
        <v>0.83380360148709698</v>
      </c>
      <c r="T38">
        <v>0.13857515563434</v>
      </c>
      <c r="U38">
        <v>230</v>
      </c>
    </row>
    <row r="39" spans="1:21" x14ac:dyDescent="0.25">
      <c r="A39">
        <v>38</v>
      </c>
      <c r="B39">
        <v>408</v>
      </c>
      <c r="C39" t="s">
        <v>20</v>
      </c>
      <c r="D39">
        <v>42</v>
      </c>
      <c r="E39" t="s">
        <v>21</v>
      </c>
      <c r="F39" t="s">
        <v>22</v>
      </c>
      <c r="G39">
        <v>25898.966305843001</v>
      </c>
      <c r="H39">
        <v>106584578.382919</v>
      </c>
      <c r="I39">
        <v>-3426.5685287776901</v>
      </c>
      <c r="J39">
        <v>50848352.992174298</v>
      </c>
      <c r="K39">
        <v>0.32511779381242201</v>
      </c>
      <c r="L39">
        <v>2.6081682948081799E-2</v>
      </c>
      <c r="M39">
        <v>-3426.5685287776901</v>
      </c>
      <c r="N39">
        <v>50848352.992174298</v>
      </c>
      <c r="O39">
        <v>0.66850359938165105</v>
      </c>
      <c r="P39">
        <v>4.3181527741775402E-2</v>
      </c>
      <c r="Q39">
        <v>0.91196698762035799</v>
      </c>
      <c r="R39">
        <v>8.0283201111048003E-2</v>
      </c>
      <c r="S39">
        <v>0.78165400944806596</v>
      </c>
      <c r="T39">
        <v>0.170671018961913</v>
      </c>
      <c r="U39">
        <v>96</v>
      </c>
    </row>
    <row r="40" spans="1:21" x14ac:dyDescent="0.25">
      <c r="A40">
        <v>39</v>
      </c>
      <c r="B40">
        <v>410</v>
      </c>
      <c r="C40" t="s">
        <v>20</v>
      </c>
      <c r="D40">
        <v>42</v>
      </c>
      <c r="E40" t="s">
        <v>21</v>
      </c>
      <c r="F40" t="s">
        <v>22</v>
      </c>
      <c r="G40">
        <v>21630.015599257302</v>
      </c>
      <c r="H40">
        <v>135659185.90755999</v>
      </c>
      <c r="I40">
        <v>746.234062150363</v>
      </c>
      <c r="J40">
        <v>95303063.634556502</v>
      </c>
      <c r="K40">
        <v>0.23402846870601701</v>
      </c>
      <c r="L40">
        <v>4.4256951306520201E-2</v>
      </c>
      <c r="M40">
        <v>746.234062150363</v>
      </c>
      <c r="N40">
        <v>95303063.634556502</v>
      </c>
      <c r="O40">
        <v>0.56464739423284804</v>
      </c>
      <c r="P40">
        <v>9.7994517810465198E-2</v>
      </c>
      <c r="Q40">
        <v>0.76582808127827595</v>
      </c>
      <c r="R40">
        <v>0.17933543120376799</v>
      </c>
      <c r="S40">
        <v>0.87662295210575203</v>
      </c>
      <c r="T40">
        <v>0.10815515194733399</v>
      </c>
      <c r="U40">
        <v>140</v>
      </c>
    </row>
    <row r="41" spans="1:21" x14ac:dyDescent="0.25">
      <c r="A41">
        <v>40</v>
      </c>
      <c r="B41">
        <v>409</v>
      </c>
      <c r="C41" t="s">
        <v>20</v>
      </c>
      <c r="D41">
        <v>42</v>
      </c>
      <c r="E41" t="s">
        <v>21</v>
      </c>
      <c r="F41" t="s">
        <v>22</v>
      </c>
      <c r="G41">
        <v>27115.368794326201</v>
      </c>
      <c r="H41">
        <v>76559540.366424799</v>
      </c>
      <c r="I41">
        <v>-2854.0201428517498</v>
      </c>
      <c r="J41">
        <v>19377268.149251599</v>
      </c>
      <c r="K41">
        <v>0.33904910224266899</v>
      </c>
      <c r="L41">
        <v>1.37291509707398E-2</v>
      </c>
      <c r="M41">
        <v>-2854.0201428517498</v>
      </c>
      <c r="N41">
        <v>19377268.149251599</v>
      </c>
      <c r="O41">
        <v>0.71638298268316503</v>
      </c>
      <c r="P41">
        <v>1.0543016669455599E-2</v>
      </c>
      <c r="Q41">
        <v>0.97096145336251505</v>
      </c>
      <c r="R41">
        <v>2.81953094466478E-2</v>
      </c>
      <c r="S41">
        <v>0.84238161876397899</v>
      </c>
      <c r="T41">
        <v>0.13277482713256999</v>
      </c>
      <c r="U41">
        <v>124</v>
      </c>
    </row>
    <row r="42" spans="1:21" x14ac:dyDescent="0.25">
      <c r="A42">
        <v>41</v>
      </c>
      <c r="B42">
        <v>501</v>
      </c>
      <c r="C42" t="s">
        <v>20</v>
      </c>
      <c r="D42">
        <v>42</v>
      </c>
      <c r="E42" t="s">
        <v>21</v>
      </c>
      <c r="F42" t="s">
        <v>22</v>
      </c>
      <c r="G42">
        <v>21072.163728351399</v>
      </c>
      <c r="H42">
        <v>151682077.59250101</v>
      </c>
      <c r="I42">
        <v>1524.0827272773499</v>
      </c>
      <c r="J42">
        <v>96620103.543947697</v>
      </c>
      <c r="K42">
        <v>0.24601959396758299</v>
      </c>
      <c r="L42">
        <v>3.29491793053725E-2</v>
      </c>
      <c r="M42">
        <v>1524.0827272773499</v>
      </c>
      <c r="N42">
        <v>96620103.543947697</v>
      </c>
      <c r="O42">
        <v>0.56728859037196699</v>
      </c>
      <c r="P42">
        <v>8.3881444675351205E-2</v>
      </c>
      <c r="Q42">
        <v>0.71092479188594404</v>
      </c>
      <c r="R42">
        <v>0.20551073216797899</v>
      </c>
      <c r="S42">
        <v>0.78551865185202896</v>
      </c>
      <c r="T42">
        <v>0.168479099444828</v>
      </c>
      <c r="U42">
        <v>76</v>
      </c>
    </row>
    <row r="43" spans="1:21" x14ac:dyDescent="0.25">
      <c r="A43">
        <v>42</v>
      </c>
      <c r="B43">
        <v>502</v>
      </c>
      <c r="C43" t="s">
        <v>20</v>
      </c>
      <c r="D43">
        <v>42</v>
      </c>
      <c r="E43" t="s">
        <v>21</v>
      </c>
      <c r="F43" t="s">
        <v>22</v>
      </c>
      <c r="G43">
        <v>25591.043834993801</v>
      </c>
      <c r="H43">
        <v>154788686.687942</v>
      </c>
      <c r="I43">
        <v>-206.903860885032</v>
      </c>
      <c r="J43">
        <v>94855652.004058093</v>
      </c>
      <c r="K43">
        <v>0.26264122438064103</v>
      </c>
      <c r="L43">
        <v>3.17670067658819E-2</v>
      </c>
      <c r="M43">
        <v>-206.903860885032</v>
      </c>
      <c r="N43">
        <v>94855652.004058093</v>
      </c>
      <c r="O43">
        <v>0.60207399126124095</v>
      </c>
      <c r="P43">
        <v>7.5259648812231197E-2</v>
      </c>
      <c r="Q43">
        <v>0.77927017426353595</v>
      </c>
      <c r="R43">
        <v>0.17200816976689101</v>
      </c>
      <c r="S43">
        <v>0.83566755570439299</v>
      </c>
      <c r="T43">
        <v>0.13732729204733299</v>
      </c>
      <c r="U43">
        <v>106</v>
      </c>
    </row>
    <row r="44" spans="1:21" x14ac:dyDescent="0.25">
      <c r="A44">
        <v>43</v>
      </c>
      <c r="B44">
        <v>503</v>
      </c>
      <c r="C44" t="s">
        <v>20</v>
      </c>
      <c r="D44">
        <v>42</v>
      </c>
      <c r="E44" t="s">
        <v>21</v>
      </c>
      <c r="F44" t="s">
        <v>22</v>
      </c>
      <c r="G44">
        <v>30564.485284092902</v>
      </c>
      <c r="H44">
        <v>117905706.87315001</v>
      </c>
      <c r="I44">
        <v>-3492.73561356048</v>
      </c>
      <c r="J44">
        <v>62307194.785769001</v>
      </c>
      <c r="K44">
        <v>0.29091359777216602</v>
      </c>
      <c r="L44">
        <v>2.3274248598135198E-2</v>
      </c>
      <c r="M44">
        <v>-3492.73561356048</v>
      </c>
      <c r="N44">
        <v>62307194.785769001</v>
      </c>
      <c r="O44">
        <v>0.67464454078162495</v>
      </c>
      <c r="P44">
        <v>4.5628346627743198E-2</v>
      </c>
      <c r="Q44">
        <v>0.913534329143595</v>
      </c>
      <c r="R44">
        <v>7.8989358619705394E-2</v>
      </c>
      <c r="S44">
        <v>0.67079705291359704</v>
      </c>
      <c r="T44">
        <v>0.220828366715841</v>
      </c>
      <c r="U44">
        <v>68</v>
      </c>
    </row>
    <row r="45" spans="1:21" x14ac:dyDescent="0.25">
      <c r="A45">
        <v>44</v>
      </c>
      <c r="B45">
        <v>504</v>
      </c>
      <c r="C45" t="s">
        <v>20</v>
      </c>
      <c r="D45">
        <v>42</v>
      </c>
      <c r="E45" t="s">
        <v>21</v>
      </c>
      <c r="F45" t="s">
        <v>22</v>
      </c>
      <c r="G45">
        <v>24231.7080432529</v>
      </c>
      <c r="H45">
        <v>147529522.238763</v>
      </c>
      <c r="I45">
        <v>-428.09755528985602</v>
      </c>
      <c r="J45">
        <v>120142038.333828</v>
      </c>
      <c r="K45">
        <v>0.24313898798828601</v>
      </c>
      <c r="L45">
        <v>4.9794616371658898E-2</v>
      </c>
      <c r="M45">
        <v>-428.09755528985602</v>
      </c>
      <c r="N45">
        <v>120142038.333828</v>
      </c>
      <c r="O45">
        <v>0.55936932392503202</v>
      </c>
      <c r="P45">
        <v>0.11366230463596699</v>
      </c>
      <c r="Q45">
        <v>0.77319409470201905</v>
      </c>
      <c r="R45">
        <v>0.175364986620032</v>
      </c>
      <c r="S45">
        <v>0.73176903327737697</v>
      </c>
      <c r="T45">
        <v>0.196283115213918</v>
      </c>
      <c r="U45">
        <v>74</v>
      </c>
    </row>
    <row r="46" spans="1:21" x14ac:dyDescent="0.25">
      <c r="A46">
        <v>45</v>
      </c>
      <c r="B46">
        <v>505</v>
      </c>
      <c r="C46" t="s">
        <v>20</v>
      </c>
      <c r="D46">
        <v>42</v>
      </c>
      <c r="E46" t="s">
        <v>21</v>
      </c>
      <c r="F46" t="s">
        <v>22</v>
      </c>
      <c r="G46">
        <v>27916.247216384501</v>
      </c>
      <c r="H46">
        <v>113703666.93230499</v>
      </c>
      <c r="I46">
        <v>-4260.7464714658699</v>
      </c>
      <c r="J46">
        <v>47080520.007002503</v>
      </c>
      <c r="K46">
        <v>0.28530684081512903</v>
      </c>
      <c r="L46">
        <v>2.42616977192237E-2</v>
      </c>
      <c r="M46">
        <v>-4260.7464714658699</v>
      </c>
      <c r="N46">
        <v>47080520.007002503</v>
      </c>
      <c r="O46">
        <v>0.64466108041732895</v>
      </c>
      <c r="P46">
        <v>4.5853326417377299E-2</v>
      </c>
      <c r="Q46">
        <v>0.89456852328055403</v>
      </c>
      <c r="R46">
        <v>9.4315680436197605E-2</v>
      </c>
      <c r="S46">
        <v>0.752052845263117</v>
      </c>
      <c r="T46">
        <v>0.186469363194563</v>
      </c>
      <c r="U46">
        <v>80</v>
      </c>
    </row>
    <row r="47" spans="1:21" x14ac:dyDescent="0.25">
      <c r="A47">
        <v>46</v>
      </c>
      <c r="B47">
        <v>506</v>
      </c>
      <c r="C47" t="s">
        <v>20</v>
      </c>
      <c r="D47">
        <v>42</v>
      </c>
      <c r="E47" t="s">
        <v>21</v>
      </c>
      <c r="F47" t="s">
        <v>22</v>
      </c>
      <c r="G47">
        <v>25425.704205905698</v>
      </c>
      <c r="H47">
        <v>138467048.493478</v>
      </c>
      <c r="I47">
        <v>-2101.5363114995398</v>
      </c>
      <c r="J47">
        <v>76836796.019131303</v>
      </c>
      <c r="K47">
        <v>0.25370832218763001</v>
      </c>
      <c r="L47">
        <v>3.9530581281343298E-2</v>
      </c>
      <c r="M47">
        <v>-2101.5363114995398</v>
      </c>
      <c r="N47">
        <v>76836796.019131303</v>
      </c>
      <c r="O47">
        <v>0.58376819162137705</v>
      </c>
      <c r="P47">
        <v>9.17260451587842E-2</v>
      </c>
      <c r="Q47">
        <v>0.80015109478592705</v>
      </c>
      <c r="R47">
        <v>0.15990932029882901</v>
      </c>
      <c r="S47">
        <v>0.83299901005575006</v>
      </c>
      <c r="T47">
        <v>0.139111659301802</v>
      </c>
      <c r="U47">
        <v>96</v>
      </c>
    </row>
    <row r="48" spans="1:21" x14ac:dyDescent="0.25">
      <c r="A48">
        <v>47</v>
      </c>
      <c r="B48">
        <v>510</v>
      </c>
      <c r="C48" t="s">
        <v>20</v>
      </c>
      <c r="D48">
        <v>42</v>
      </c>
      <c r="E48" t="s">
        <v>21</v>
      </c>
      <c r="F48" t="s">
        <v>22</v>
      </c>
      <c r="G48">
        <v>23433.358690928799</v>
      </c>
      <c r="H48">
        <v>113320925.419413</v>
      </c>
      <c r="I48">
        <v>-825.07524472314003</v>
      </c>
      <c r="J48">
        <v>68953756.618972898</v>
      </c>
      <c r="K48">
        <v>0.28984874821250001</v>
      </c>
      <c r="L48">
        <v>2.69000821258489E-2</v>
      </c>
      <c r="M48">
        <v>-825.07524472314003</v>
      </c>
      <c r="N48">
        <v>68953756.618972898</v>
      </c>
      <c r="O48">
        <v>0.628120159706269</v>
      </c>
      <c r="P48">
        <v>6.0101595000366499E-2</v>
      </c>
      <c r="Q48">
        <v>0.81431287343834902</v>
      </c>
      <c r="R48">
        <v>0.15120741759103701</v>
      </c>
      <c r="S48">
        <v>0.80769909701948495</v>
      </c>
      <c r="T48">
        <v>0.15532126569329799</v>
      </c>
      <c r="U48">
        <v>78</v>
      </c>
    </row>
    <row r="49" spans="1:21" x14ac:dyDescent="0.25">
      <c r="A49">
        <v>48</v>
      </c>
      <c r="B49">
        <v>509</v>
      </c>
      <c r="C49" t="s">
        <v>20</v>
      </c>
      <c r="D49">
        <v>42</v>
      </c>
      <c r="E49" t="s">
        <v>21</v>
      </c>
      <c r="F49" t="s">
        <v>22</v>
      </c>
      <c r="G49">
        <v>21450.765846800801</v>
      </c>
      <c r="H49">
        <v>82954362.395401299</v>
      </c>
      <c r="I49">
        <v>-112.135114849045</v>
      </c>
      <c r="J49">
        <v>81008842.220663205</v>
      </c>
      <c r="K49">
        <v>0.335557469383713</v>
      </c>
      <c r="L49">
        <v>4.4691896382601903E-2</v>
      </c>
      <c r="M49">
        <v>-112.135114849045</v>
      </c>
      <c r="N49">
        <v>81008842.220663205</v>
      </c>
      <c r="O49">
        <v>0.649017016187174</v>
      </c>
      <c r="P49">
        <v>8.3481511521398405E-2</v>
      </c>
      <c r="Q49">
        <v>0.83152315903407603</v>
      </c>
      <c r="R49">
        <v>0.14009239502408799</v>
      </c>
      <c r="S49">
        <v>0.846034233965268</v>
      </c>
      <c r="T49">
        <v>0.130260308924113</v>
      </c>
      <c r="U49">
        <v>136</v>
      </c>
    </row>
    <row r="50" spans="1:21" x14ac:dyDescent="0.25">
      <c r="A50">
        <v>49</v>
      </c>
      <c r="B50">
        <v>508</v>
      </c>
      <c r="C50" t="s">
        <v>20</v>
      </c>
      <c r="D50">
        <v>42</v>
      </c>
      <c r="E50" t="s">
        <v>21</v>
      </c>
      <c r="F50" t="s">
        <v>22</v>
      </c>
      <c r="G50">
        <v>26078.874952162299</v>
      </c>
      <c r="H50">
        <v>155861559.01672301</v>
      </c>
      <c r="I50">
        <v>73.501444946056694</v>
      </c>
      <c r="J50">
        <v>106736949.433019</v>
      </c>
      <c r="K50">
        <v>0.223231232308752</v>
      </c>
      <c r="L50">
        <v>4.7294744643646303E-2</v>
      </c>
      <c r="M50">
        <v>73.501444946056694</v>
      </c>
      <c r="N50">
        <v>106736949.433019</v>
      </c>
      <c r="O50">
        <v>0.55715710535551299</v>
      </c>
      <c r="P50">
        <v>9.9675069300329294E-2</v>
      </c>
      <c r="Q50">
        <v>0.78127391886720199</v>
      </c>
      <c r="R50">
        <v>0.170884982565148</v>
      </c>
      <c r="S50">
        <v>0.87858637804221695</v>
      </c>
      <c r="T50">
        <v>0.10667235436083899</v>
      </c>
      <c r="U50">
        <v>104</v>
      </c>
    </row>
    <row r="51" spans="1:21" x14ac:dyDescent="0.25">
      <c r="A51">
        <v>50</v>
      </c>
      <c r="B51">
        <v>507</v>
      </c>
      <c r="C51" t="s">
        <v>20</v>
      </c>
      <c r="D51">
        <v>42</v>
      </c>
      <c r="E51" t="s">
        <v>21</v>
      </c>
      <c r="F51" t="s">
        <v>22</v>
      </c>
      <c r="G51">
        <v>22323.3367553059</v>
      </c>
      <c r="H51">
        <v>144521222.145208</v>
      </c>
      <c r="I51">
        <v>-235.86432279947701</v>
      </c>
      <c r="J51">
        <v>96618015.900882795</v>
      </c>
      <c r="K51">
        <v>0.249435460598039</v>
      </c>
      <c r="L51">
        <v>5.0223266445709402E-2</v>
      </c>
      <c r="M51">
        <v>-235.86432279947701</v>
      </c>
      <c r="N51">
        <v>96618015.900882795</v>
      </c>
      <c r="O51">
        <v>0.55640544147791104</v>
      </c>
      <c r="P51">
        <v>0.111457446381915</v>
      </c>
      <c r="Q51">
        <v>0.77679238495807901</v>
      </c>
      <c r="R51">
        <v>0.173385975629234</v>
      </c>
      <c r="S51">
        <v>0.90829090104051402</v>
      </c>
      <c r="T51">
        <v>8.3298540127538498E-2</v>
      </c>
      <c r="U51">
        <v>76</v>
      </c>
    </row>
    <row r="52" spans="1:21" x14ac:dyDescent="0.25">
      <c r="A52">
        <v>51</v>
      </c>
      <c r="B52">
        <v>601</v>
      </c>
      <c r="C52" t="s">
        <v>20</v>
      </c>
      <c r="D52">
        <v>42</v>
      </c>
      <c r="E52" t="s">
        <v>21</v>
      </c>
      <c r="F52" t="s">
        <v>22</v>
      </c>
      <c r="G52">
        <v>15947.475225144401</v>
      </c>
      <c r="H52">
        <v>136937667.90991801</v>
      </c>
      <c r="I52">
        <v>5234.9964739573998</v>
      </c>
      <c r="J52">
        <v>115906318.295057</v>
      </c>
      <c r="K52">
        <v>0.17887782405070901</v>
      </c>
      <c r="L52">
        <v>4.8134542817142099E-2</v>
      </c>
      <c r="M52">
        <v>5234.9964739573998</v>
      </c>
      <c r="N52">
        <v>115906318.295057</v>
      </c>
      <c r="O52">
        <v>0.45102322277501</v>
      </c>
      <c r="P52">
        <v>0.119808866202272</v>
      </c>
      <c r="Q52">
        <v>0.56725628789781501</v>
      </c>
      <c r="R52">
        <v>0.24547659173793901</v>
      </c>
      <c r="S52">
        <v>0.77442386117655504</v>
      </c>
      <c r="T52">
        <v>0.174691544416749</v>
      </c>
      <c r="U52">
        <v>84</v>
      </c>
    </row>
    <row r="53" spans="1:21" x14ac:dyDescent="0.25">
      <c r="A53">
        <v>52</v>
      </c>
      <c r="B53">
        <v>602</v>
      </c>
      <c r="C53" t="s">
        <v>20</v>
      </c>
      <c r="D53">
        <v>42</v>
      </c>
      <c r="E53" t="s">
        <v>21</v>
      </c>
      <c r="F53" t="s">
        <v>22</v>
      </c>
      <c r="G53">
        <v>17715.074174023699</v>
      </c>
      <c r="H53">
        <v>159146822.29648599</v>
      </c>
      <c r="I53">
        <v>5613.8904693268796</v>
      </c>
      <c r="J53">
        <v>131184216.088744</v>
      </c>
      <c r="K53">
        <v>0.156576217283217</v>
      </c>
      <c r="L53">
        <v>4.8400690158476402E-2</v>
      </c>
      <c r="M53">
        <v>5613.8904693268796</v>
      </c>
      <c r="N53">
        <v>131184216.088744</v>
      </c>
      <c r="O53">
        <v>0.41700935394446498</v>
      </c>
      <c r="P53">
        <v>0.122658710972869</v>
      </c>
      <c r="Q53">
        <v>0.55694771065448401</v>
      </c>
      <c r="R53">
        <v>0.24675695825108701</v>
      </c>
      <c r="S53">
        <v>0.67916987920842997</v>
      </c>
      <c r="T53">
        <v>0.21789815438424401</v>
      </c>
      <c r="U53">
        <v>56</v>
      </c>
    </row>
    <row r="54" spans="1:21" x14ac:dyDescent="0.25">
      <c r="A54">
        <v>53</v>
      </c>
      <c r="B54">
        <v>603</v>
      </c>
      <c r="C54" t="s">
        <v>20</v>
      </c>
      <c r="D54">
        <v>42</v>
      </c>
      <c r="E54" t="s">
        <v>21</v>
      </c>
      <c r="F54" t="s">
        <v>22</v>
      </c>
      <c r="G54">
        <v>25888.2344215919</v>
      </c>
      <c r="H54">
        <v>152024420.285566</v>
      </c>
      <c r="I54">
        <v>-538.07060375501601</v>
      </c>
      <c r="J54">
        <v>90587065.044589505</v>
      </c>
      <c r="K54">
        <v>0.25014060296621998</v>
      </c>
      <c r="L54">
        <v>2.6932672676267599E-2</v>
      </c>
      <c r="M54">
        <v>-538.07060375501601</v>
      </c>
      <c r="N54">
        <v>90587065.044589505</v>
      </c>
      <c r="O54">
        <v>0.58983746113959001</v>
      </c>
      <c r="P54">
        <v>7.5809927763216003E-2</v>
      </c>
      <c r="Q54">
        <v>0.77373397558427004</v>
      </c>
      <c r="R54">
        <v>0.175069710610959</v>
      </c>
      <c r="S54">
        <v>0.87401233623897601</v>
      </c>
      <c r="T54">
        <v>0.110114772341096</v>
      </c>
      <c r="U54">
        <v>98</v>
      </c>
    </row>
    <row r="55" spans="1:21" x14ac:dyDescent="0.25">
      <c r="A55">
        <v>54</v>
      </c>
      <c r="B55">
        <v>604</v>
      </c>
      <c r="C55" t="s">
        <v>20</v>
      </c>
      <c r="D55">
        <v>42</v>
      </c>
      <c r="E55" t="s">
        <v>21</v>
      </c>
      <c r="F55" t="s">
        <v>22</v>
      </c>
      <c r="G55">
        <v>26440.268370057998</v>
      </c>
      <c r="H55">
        <v>130676245.405342</v>
      </c>
      <c r="I55">
        <v>-1846.4068471836099</v>
      </c>
      <c r="J55">
        <v>75591347.366288602</v>
      </c>
      <c r="K55">
        <v>0.25248920290050803</v>
      </c>
      <c r="L55">
        <v>3.3396295534023103E-2</v>
      </c>
      <c r="M55">
        <v>-1846.4068471836099</v>
      </c>
      <c r="N55">
        <v>75591347.366288602</v>
      </c>
      <c r="O55">
        <v>0.61786490489222801</v>
      </c>
      <c r="P55">
        <v>7.9338044021037293E-2</v>
      </c>
      <c r="Q55">
        <v>0.83857877413982296</v>
      </c>
      <c r="R55">
        <v>0.13536441370205601</v>
      </c>
      <c r="S55">
        <v>0.93523059230962402</v>
      </c>
      <c r="T55">
        <v>6.0574331517782701E-2</v>
      </c>
      <c r="U55">
        <v>188</v>
      </c>
    </row>
    <row r="56" spans="1:21" x14ac:dyDescent="0.25">
      <c r="A56">
        <v>55</v>
      </c>
      <c r="B56">
        <v>605</v>
      </c>
      <c r="C56" t="s">
        <v>20</v>
      </c>
      <c r="D56">
        <v>42</v>
      </c>
      <c r="E56" t="s">
        <v>21</v>
      </c>
      <c r="F56" t="s">
        <v>22</v>
      </c>
      <c r="G56">
        <v>22541.003918684</v>
      </c>
      <c r="H56">
        <v>146883299.72448799</v>
      </c>
      <c r="I56">
        <v>247.630627356784</v>
      </c>
      <c r="J56">
        <v>87558013.436375305</v>
      </c>
      <c r="K56">
        <v>0.21558807895486001</v>
      </c>
      <c r="L56">
        <v>4.49391702235084E-2</v>
      </c>
      <c r="M56">
        <v>247.630627356784</v>
      </c>
      <c r="N56">
        <v>87558013.436375305</v>
      </c>
      <c r="O56">
        <v>0.52515186889287901</v>
      </c>
      <c r="P56">
        <v>0.11442157609983999</v>
      </c>
      <c r="Q56">
        <v>0.73001203691320005</v>
      </c>
      <c r="R56">
        <v>0.19709446287506399</v>
      </c>
      <c r="S56">
        <v>0.91481194157615997</v>
      </c>
      <c r="T56">
        <v>7.7931053125813096E-2</v>
      </c>
      <c r="U56">
        <v>140</v>
      </c>
    </row>
    <row r="57" spans="1:21" x14ac:dyDescent="0.25">
      <c r="A57">
        <v>56</v>
      </c>
      <c r="B57">
        <v>606</v>
      </c>
      <c r="C57" t="s">
        <v>20</v>
      </c>
      <c r="D57">
        <v>42</v>
      </c>
      <c r="E57" t="s">
        <v>21</v>
      </c>
      <c r="F57" t="s">
        <v>22</v>
      </c>
      <c r="G57">
        <v>26754.595433070899</v>
      </c>
      <c r="H57">
        <v>127945055.507061</v>
      </c>
      <c r="I57">
        <v>-2979.99369616697</v>
      </c>
      <c r="J57">
        <v>52073083.772405401</v>
      </c>
      <c r="K57">
        <v>0.25578299127728998</v>
      </c>
      <c r="L57">
        <v>2.2894794752843999E-2</v>
      </c>
      <c r="M57">
        <v>-2979.99369616697</v>
      </c>
      <c r="N57">
        <v>52073083.772405401</v>
      </c>
      <c r="O57">
        <v>0.61923901392744496</v>
      </c>
      <c r="P57">
        <v>5.8253928354524399E-2</v>
      </c>
      <c r="Q57">
        <v>0.83590551181102402</v>
      </c>
      <c r="R57">
        <v>0.13716748713496901</v>
      </c>
      <c r="S57">
        <v>0.728975274292614</v>
      </c>
      <c r="T57">
        <v>0.197570323762844</v>
      </c>
      <c r="U57">
        <v>94</v>
      </c>
    </row>
    <row r="58" spans="1:21" x14ac:dyDescent="0.25">
      <c r="A58">
        <v>57</v>
      </c>
      <c r="B58">
        <v>607</v>
      </c>
      <c r="C58" t="s">
        <v>20</v>
      </c>
      <c r="D58">
        <v>42</v>
      </c>
      <c r="E58" t="s">
        <v>21</v>
      </c>
      <c r="F58" t="s">
        <v>22</v>
      </c>
      <c r="G58">
        <v>19462.494147834099</v>
      </c>
      <c r="H58">
        <v>215743987.26444</v>
      </c>
      <c r="I58">
        <v>5139.4631680455404</v>
      </c>
      <c r="J58">
        <v>136708513.78089401</v>
      </c>
      <c r="K58">
        <v>6.9125905173245503E-2</v>
      </c>
      <c r="L58">
        <v>4.9699107346241299E-2</v>
      </c>
      <c r="M58">
        <v>5139.4631680455404</v>
      </c>
      <c r="N58">
        <v>136708513.78089401</v>
      </c>
      <c r="O58">
        <v>0.33143092423672998</v>
      </c>
      <c r="P58">
        <v>0.15214820804559101</v>
      </c>
      <c r="Q58">
        <v>0.50546796745290101</v>
      </c>
      <c r="R58">
        <v>0.24997010133184899</v>
      </c>
      <c r="S58">
        <v>0.56073932790866798</v>
      </c>
      <c r="T58">
        <v>0.246310734045111</v>
      </c>
      <c r="U58">
        <v>36</v>
      </c>
    </row>
    <row r="59" spans="1:21" x14ac:dyDescent="0.25">
      <c r="A59">
        <v>58</v>
      </c>
      <c r="B59">
        <v>608</v>
      </c>
      <c r="C59" t="s">
        <v>20</v>
      </c>
      <c r="D59">
        <v>42</v>
      </c>
      <c r="E59" t="s">
        <v>21</v>
      </c>
      <c r="F59" t="s">
        <v>22</v>
      </c>
      <c r="G59">
        <v>21970.3738230667</v>
      </c>
      <c r="H59">
        <v>164242451.45777401</v>
      </c>
      <c r="I59">
        <v>3677.4133392501099</v>
      </c>
      <c r="J59">
        <v>139857105.50922799</v>
      </c>
      <c r="K59">
        <v>0.15223150113854</v>
      </c>
      <c r="L59">
        <v>5.0422473395089998E-2</v>
      </c>
      <c r="M59">
        <v>3677.4133392501099</v>
      </c>
      <c r="N59">
        <v>139857105.50922799</v>
      </c>
      <c r="O59">
        <v>0.44935502083853501</v>
      </c>
      <c r="P59">
        <v>0.118822971073009</v>
      </c>
      <c r="Q59">
        <v>0.63237323006172097</v>
      </c>
      <c r="R59">
        <v>0.23247732796312101</v>
      </c>
      <c r="S59">
        <v>0.54491873116535805</v>
      </c>
      <c r="T59">
        <v>0.24798230759033299</v>
      </c>
      <c r="U59">
        <v>36</v>
      </c>
    </row>
    <row r="60" spans="1:21" x14ac:dyDescent="0.25">
      <c r="A60">
        <v>59</v>
      </c>
      <c r="B60">
        <v>609</v>
      </c>
      <c r="C60" t="s">
        <v>20</v>
      </c>
      <c r="D60">
        <v>42</v>
      </c>
      <c r="E60" t="s">
        <v>21</v>
      </c>
      <c r="F60" t="s">
        <v>22</v>
      </c>
      <c r="G60">
        <v>23484.969674413798</v>
      </c>
      <c r="H60">
        <v>134564569.90910199</v>
      </c>
      <c r="I60">
        <v>838.72074493021205</v>
      </c>
      <c r="J60">
        <v>91054637.025488406</v>
      </c>
      <c r="K60">
        <v>0.25836088432224003</v>
      </c>
      <c r="L60">
        <v>3.1220399063611098E-2</v>
      </c>
      <c r="M60">
        <v>838.72074493021205</v>
      </c>
      <c r="N60">
        <v>91054637.025488406</v>
      </c>
      <c r="O60">
        <v>0.59769879570203099</v>
      </c>
      <c r="P60">
        <v>7.9780510030488305E-2</v>
      </c>
      <c r="Q60">
        <v>0.74996470784512503</v>
      </c>
      <c r="R60">
        <v>0.187517644831772</v>
      </c>
      <c r="S60">
        <v>0.70779912473209405</v>
      </c>
      <c r="T60">
        <v>0.20681952376076701</v>
      </c>
      <c r="U60">
        <v>50</v>
      </c>
    </row>
    <row r="61" spans="1:21" x14ac:dyDescent="0.25">
      <c r="A61">
        <v>60</v>
      </c>
      <c r="B61">
        <v>610</v>
      </c>
      <c r="C61" t="s">
        <v>20</v>
      </c>
      <c r="D61">
        <v>42</v>
      </c>
      <c r="E61" t="s">
        <v>21</v>
      </c>
      <c r="F61" t="s">
        <v>22</v>
      </c>
      <c r="G61">
        <v>15263.706841078099</v>
      </c>
      <c r="H61">
        <v>98709251.301816493</v>
      </c>
      <c r="I61">
        <v>5017.4518437197103</v>
      </c>
      <c r="J61">
        <v>100226616.513026</v>
      </c>
      <c r="K61">
        <v>0.19909113487152</v>
      </c>
      <c r="L61">
        <v>4.78903191756887E-2</v>
      </c>
      <c r="M61">
        <v>5017.4518437197103</v>
      </c>
      <c r="N61">
        <v>100226616.513026</v>
      </c>
      <c r="O61">
        <v>0.46190276548297499</v>
      </c>
      <c r="P61">
        <v>0.112049935562685</v>
      </c>
      <c r="Q61">
        <v>0.57715333087188103</v>
      </c>
      <c r="R61">
        <v>0.24404736353533499</v>
      </c>
      <c r="S61">
        <v>0.93441369216366299</v>
      </c>
      <c r="T61">
        <v>6.1284744060816999E-2</v>
      </c>
      <c r="U61">
        <v>138</v>
      </c>
    </row>
    <row r="62" spans="1:21" x14ac:dyDescent="0.25">
      <c r="A62">
        <v>61</v>
      </c>
      <c r="B62">
        <v>701</v>
      </c>
      <c r="C62" t="s">
        <v>20</v>
      </c>
      <c r="D62">
        <v>42</v>
      </c>
      <c r="E62" t="s">
        <v>21</v>
      </c>
      <c r="F62" t="s">
        <v>22</v>
      </c>
      <c r="G62">
        <v>18273.245458350801</v>
      </c>
      <c r="H62">
        <v>121213095.974361</v>
      </c>
      <c r="I62">
        <v>1356.8671742593101</v>
      </c>
      <c r="J62">
        <v>92134737.275974393</v>
      </c>
      <c r="K62">
        <v>0.292138583972401</v>
      </c>
      <c r="L62">
        <v>4.08506890371131E-2</v>
      </c>
      <c r="M62">
        <v>1356.8671742593101</v>
      </c>
      <c r="N62">
        <v>92134737.275974393</v>
      </c>
      <c r="O62">
        <v>0.59759677408978995</v>
      </c>
      <c r="P62">
        <v>9.5228111677425994E-2</v>
      </c>
      <c r="Q62">
        <v>0.71111642647850304</v>
      </c>
      <c r="R62">
        <v>0.20542985447110801</v>
      </c>
      <c r="S62">
        <v>0.89288832019898801</v>
      </c>
      <c r="T62">
        <v>9.5638767851074599E-2</v>
      </c>
      <c r="U62">
        <v>122</v>
      </c>
    </row>
    <row r="63" spans="1:21" x14ac:dyDescent="0.25">
      <c r="A63">
        <v>62</v>
      </c>
      <c r="B63">
        <v>702</v>
      </c>
      <c r="C63" t="s">
        <v>20</v>
      </c>
      <c r="D63">
        <v>42</v>
      </c>
      <c r="E63" t="s">
        <v>21</v>
      </c>
      <c r="F63" t="s">
        <v>22</v>
      </c>
      <c r="G63">
        <v>24284.485248703098</v>
      </c>
      <c r="H63">
        <v>138149745.12751001</v>
      </c>
      <c r="I63">
        <v>-356.32386447179999</v>
      </c>
      <c r="J63">
        <v>80626418.564343303</v>
      </c>
      <c r="K63">
        <v>0.297122407060042</v>
      </c>
      <c r="L63">
        <v>2.9033036831912599E-2</v>
      </c>
      <c r="M63">
        <v>-356.32386447179999</v>
      </c>
      <c r="N63">
        <v>80626418.564343303</v>
      </c>
      <c r="O63">
        <v>0.62711884300417597</v>
      </c>
      <c r="P63">
        <v>6.8363053214917494E-2</v>
      </c>
      <c r="Q63">
        <v>0.80179432407689999</v>
      </c>
      <c r="R63">
        <v>0.158920185954986</v>
      </c>
      <c r="S63">
        <v>0.59123811383860503</v>
      </c>
      <c r="T63">
        <v>0.24167560658322301</v>
      </c>
      <c r="U63">
        <v>42</v>
      </c>
    </row>
    <row r="64" spans="1:21" x14ac:dyDescent="0.25">
      <c r="A64">
        <v>63</v>
      </c>
      <c r="B64">
        <v>703</v>
      </c>
      <c r="C64" t="s">
        <v>20</v>
      </c>
      <c r="D64">
        <v>42</v>
      </c>
      <c r="E64" t="s">
        <v>21</v>
      </c>
      <c r="F64" t="s">
        <v>22</v>
      </c>
      <c r="G64">
        <v>22484.249991030301</v>
      </c>
      <c r="H64">
        <v>144393275.879583</v>
      </c>
      <c r="I64">
        <v>1543.08851017505</v>
      </c>
      <c r="J64">
        <v>121977943.70519599</v>
      </c>
      <c r="K64">
        <v>0.24303209273432</v>
      </c>
      <c r="L64">
        <v>4.8329646098607799E-2</v>
      </c>
      <c r="M64">
        <v>1543.08851017505</v>
      </c>
      <c r="N64">
        <v>121977943.70519599</v>
      </c>
      <c r="O64">
        <v>0.54880730843853098</v>
      </c>
      <c r="P64">
        <v>0.11729803526010101</v>
      </c>
      <c r="Q64">
        <v>0.72311188183938302</v>
      </c>
      <c r="R64">
        <v>0.200221088181989</v>
      </c>
      <c r="S64">
        <v>0.79400086112041302</v>
      </c>
      <c r="T64">
        <v>0.16356349366032699</v>
      </c>
      <c r="U64">
        <v>118</v>
      </c>
    </row>
    <row r="65" spans="1:21" x14ac:dyDescent="0.25">
      <c r="A65">
        <v>64</v>
      </c>
      <c r="B65">
        <v>704</v>
      </c>
      <c r="C65" t="s">
        <v>20</v>
      </c>
      <c r="D65">
        <v>42</v>
      </c>
      <c r="E65" t="s">
        <v>21</v>
      </c>
      <c r="F65" t="s">
        <v>22</v>
      </c>
      <c r="G65">
        <v>23299.488813456799</v>
      </c>
      <c r="H65">
        <v>99020977.152494296</v>
      </c>
      <c r="I65">
        <v>-934.54872935311698</v>
      </c>
      <c r="J65">
        <v>63793209.9583482</v>
      </c>
      <c r="K65">
        <v>0.28160009760006099</v>
      </c>
      <c r="L65">
        <v>3.1579809898565098E-2</v>
      </c>
      <c r="M65">
        <v>-934.54872935311698</v>
      </c>
      <c r="N65">
        <v>63793209.9583482</v>
      </c>
      <c r="O65">
        <v>0.62477342724023999</v>
      </c>
      <c r="P65">
        <v>6.9194318741150798E-2</v>
      </c>
      <c r="Q65">
        <v>0.83055273067091795</v>
      </c>
      <c r="R65">
        <v>0.14073489224609101</v>
      </c>
      <c r="S65">
        <v>0.94897482409850498</v>
      </c>
      <c r="T65">
        <v>4.8421607325737803E-2</v>
      </c>
      <c r="U65">
        <v>132</v>
      </c>
    </row>
    <row r="66" spans="1:21" x14ac:dyDescent="0.25">
      <c r="A66">
        <v>65</v>
      </c>
      <c r="B66">
        <v>705</v>
      </c>
      <c r="C66" t="s">
        <v>20</v>
      </c>
      <c r="D66">
        <v>42</v>
      </c>
      <c r="E66" t="s">
        <v>21</v>
      </c>
      <c r="F66" t="s">
        <v>22</v>
      </c>
      <c r="G66">
        <v>25553.437853953201</v>
      </c>
      <c r="H66">
        <v>145242444.725936</v>
      </c>
      <c r="I66">
        <v>-1083.7347334859201</v>
      </c>
      <c r="J66">
        <v>84656597.376229197</v>
      </c>
      <c r="K66">
        <v>0.230448013503564</v>
      </c>
      <c r="L66">
        <v>2.7913866912720599E-2</v>
      </c>
      <c r="M66">
        <v>-1083.7347334859201</v>
      </c>
      <c r="N66">
        <v>84656597.376229197</v>
      </c>
      <c r="O66">
        <v>0.57503312347489799</v>
      </c>
      <c r="P66">
        <v>7.7784668402381602E-2</v>
      </c>
      <c r="Q66">
        <v>0.78461418286443396</v>
      </c>
      <c r="R66">
        <v>0.168994766912476</v>
      </c>
      <c r="S66">
        <v>0.881148287983336</v>
      </c>
      <c r="T66">
        <v>0.104725982567269</v>
      </c>
      <c r="U66">
        <v>120</v>
      </c>
    </row>
    <row r="67" spans="1:21" x14ac:dyDescent="0.25">
      <c r="A67">
        <v>66</v>
      </c>
      <c r="B67">
        <v>706</v>
      </c>
      <c r="C67" t="s">
        <v>20</v>
      </c>
      <c r="D67">
        <v>42</v>
      </c>
      <c r="E67" t="s">
        <v>21</v>
      </c>
      <c r="F67" t="s">
        <v>22</v>
      </c>
      <c r="G67">
        <v>26163.346655346799</v>
      </c>
      <c r="H67">
        <v>166730602.38518399</v>
      </c>
      <c r="I67">
        <v>-271.17588852160702</v>
      </c>
      <c r="J67">
        <v>101438102.550643</v>
      </c>
      <c r="K67">
        <v>0.21138954232784099</v>
      </c>
      <c r="L67">
        <v>3.40432954171744E-2</v>
      </c>
      <c r="M67">
        <v>-271.17588852160702</v>
      </c>
      <c r="N67">
        <v>101438102.550643</v>
      </c>
      <c r="O67">
        <v>0.56140436923493897</v>
      </c>
      <c r="P67">
        <v>9.4977042652743801E-2</v>
      </c>
      <c r="Q67">
        <v>0.77044236349582496</v>
      </c>
      <c r="R67">
        <v>0.17686092802665301</v>
      </c>
      <c r="S67">
        <v>0.85195651072025902</v>
      </c>
      <c r="T67">
        <v>0.126126614561683</v>
      </c>
      <c r="U67">
        <v>108</v>
      </c>
    </row>
    <row r="68" spans="1:21" x14ac:dyDescent="0.25">
      <c r="A68">
        <v>67</v>
      </c>
      <c r="B68">
        <v>707</v>
      </c>
      <c r="C68" t="s">
        <v>20</v>
      </c>
      <c r="D68">
        <v>42</v>
      </c>
      <c r="E68" t="s">
        <v>21</v>
      </c>
      <c r="F68" t="s">
        <v>22</v>
      </c>
      <c r="G68">
        <v>20173.885704622</v>
      </c>
      <c r="H68">
        <v>166491756.836775</v>
      </c>
      <c r="I68">
        <v>4582.0239100829403</v>
      </c>
      <c r="J68">
        <v>126887542.398388</v>
      </c>
      <c r="K68">
        <v>0.14054067951503199</v>
      </c>
      <c r="L68">
        <v>4.3061961860338699E-2</v>
      </c>
      <c r="M68">
        <v>4582.0239100829403</v>
      </c>
      <c r="N68">
        <v>126887542.398388</v>
      </c>
      <c r="O68">
        <v>0.425643107697456</v>
      </c>
      <c r="P68">
        <v>0.121006056681388</v>
      </c>
      <c r="Q68">
        <v>0.57324608760130602</v>
      </c>
      <c r="R68">
        <v>0.244635010651233</v>
      </c>
      <c r="S68">
        <v>0.83530651540383005</v>
      </c>
      <c r="T68">
        <v>0.13756954072751101</v>
      </c>
      <c r="U68">
        <v>68</v>
      </c>
    </row>
    <row r="69" spans="1:21" x14ac:dyDescent="0.25">
      <c r="A69">
        <v>68</v>
      </c>
      <c r="B69">
        <v>708</v>
      </c>
      <c r="C69" t="s">
        <v>20</v>
      </c>
      <c r="D69">
        <v>42</v>
      </c>
      <c r="E69" t="s">
        <v>21</v>
      </c>
      <c r="F69" t="s">
        <v>22</v>
      </c>
      <c r="G69">
        <v>23031.266017629299</v>
      </c>
      <c r="H69">
        <v>178753633.08690399</v>
      </c>
      <c r="I69">
        <v>3024.9349274388501</v>
      </c>
      <c r="J69">
        <v>129968862.114154</v>
      </c>
      <c r="K69">
        <v>0.172750588735367</v>
      </c>
      <c r="L69">
        <v>4.1387468349997902E-2</v>
      </c>
      <c r="M69">
        <v>3024.9349274388501</v>
      </c>
      <c r="N69">
        <v>129968862.114154</v>
      </c>
      <c r="O69">
        <v>0.48021249470219102</v>
      </c>
      <c r="P69">
        <v>0.101858869455972</v>
      </c>
      <c r="Q69">
        <v>0.65579887813804405</v>
      </c>
      <c r="R69">
        <v>0.22572670957099999</v>
      </c>
      <c r="S69">
        <v>0.64304593783263397</v>
      </c>
      <c r="T69">
        <v>0.229537859669765</v>
      </c>
      <c r="U69">
        <v>34</v>
      </c>
    </row>
    <row r="70" spans="1:21" x14ac:dyDescent="0.25">
      <c r="A70">
        <v>69</v>
      </c>
      <c r="B70">
        <v>709</v>
      </c>
      <c r="C70" t="s">
        <v>20</v>
      </c>
      <c r="D70">
        <v>42</v>
      </c>
      <c r="E70" t="s">
        <v>21</v>
      </c>
      <c r="F70" t="s">
        <v>22</v>
      </c>
      <c r="G70">
        <v>17248.166253039501</v>
      </c>
      <c r="H70">
        <v>87856555.533615202</v>
      </c>
      <c r="I70">
        <v>3675.7930834292702</v>
      </c>
      <c r="J70">
        <v>99474796.799341395</v>
      </c>
      <c r="K70">
        <v>0.26514729299772599</v>
      </c>
      <c r="L70">
        <v>4.9485066164100602E-2</v>
      </c>
      <c r="M70">
        <v>3675.7930834292702</v>
      </c>
      <c r="N70">
        <v>99474796.799341395</v>
      </c>
      <c r="O70">
        <v>0.54812636678309201</v>
      </c>
      <c r="P70">
        <v>0.102441094336008</v>
      </c>
      <c r="Q70">
        <v>0.67412448923316004</v>
      </c>
      <c r="R70">
        <v>0.21968066224917901</v>
      </c>
      <c r="S70">
        <v>0.95107857760619696</v>
      </c>
      <c r="T70">
        <v>4.65281168247932E-2</v>
      </c>
      <c r="U70">
        <v>120</v>
      </c>
    </row>
    <row r="71" spans="1:21" x14ac:dyDescent="0.25">
      <c r="A71">
        <v>70</v>
      </c>
      <c r="B71">
        <v>710</v>
      </c>
      <c r="C71" t="s">
        <v>20</v>
      </c>
      <c r="D71">
        <v>42</v>
      </c>
      <c r="E71" t="s">
        <v>21</v>
      </c>
      <c r="F71" t="s">
        <v>22</v>
      </c>
      <c r="G71">
        <v>15408.56888013</v>
      </c>
      <c r="H71">
        <v>115648090.36022399</v>
      </c>
      <c r="I71">
        <v>5600.7183655942099</v>
      </c>
      <c r="J71">
        <v>109535356.687456</v>
      </c>
      <c r="K71">
        <v>0.19541959661010899</v>
      </c>
      <c r="L71">
        <v>4.8112363002006601E-2</v>
      </c>
      <c r="M71">
        <v>5600.7183655942099</v>
      </c>
      <c r="N71">
        <v>109535356.687456</v>
      </c>
      <c r="O71">
        <v>0.45515793696634399</v>
      </c>
      <c r="P71">
        <v>0.107948833105319</v>
      </c>
      <c r="Q71">
        <v>0.55894961800801102</v>
      </c>
      <c r="R71">
        <v>0.24652494253668</v>
      </c>
      <c r="S71">
        <v>0.80306869369369405</v>
      </c>
      <c r="T71">
        <v>0.15814936690286199</v>
      </c>
      <c r="U71">
        <v>40</v>
      </c>
    </row>
    <row r="72" spans="1:21" x14ac:dyDescent="0.25">
      <c r="A72">
        <v>71</v>
      </c>
      <c r="B72">
        <v>801</v>
      </c>
      <c r="C72" t="s">
        <v>20</v>
      </c>
      <c r="D72">
        <v>42</v>
      </c>
      <c r="E72" t="s">
        <v>21</v>
      </c>
      <c r="F72" t="s">
        <v>22</v>
      </c>
      <c r="G72">
        <v>19695.7016615385</v>
      </c>
      <c r="H72">
        <v>159661172.27796099</v>
      </c>
      <c r="I72">
        <v>2029.9102887107999</v>
      </c>
      <c r="J72">
        <v>92569206.538593799</v>
      </c>
      <c r="K72">
        <v>0.264031408185116</v>
      </c>
      <c r="L72">
        <v>3.3465648868459902E-2</v>
      </c>
      <c r="M72">
        <v>2029.9102887107999</v>
      </c>
      <c r="N72">
        <v>92569206.538593799</v>
      </c>
      <c r="O72">
        <v>0.58602517338954696</v>
      </c>
      <c r="P72">
        <v>8.6625985655794796E-2</v>
      </c>
      <c r="Q72">
        <v>0.68267076923076897</v>
      </c>
      <c r="R72">
        <v>0.21663139006853099</v>
      </c>
      <c r="S72">
        <v>0.75357235165971304</v>
      </c>
      <c r="T72">
        <v>0.18570106247391699</v>
      </c>
      <c r="U72">
        <v>54</v>
      </c>
    </row>
    <row r="73" spans="1:21" x14ac:dyDescent="0.25">
      <c r="A73">
        <v>72</v>
      </c>
      <c r="B73">
        <v>802</v>
      </c>
      <c r="C73" t="s">
        <v>20</v>
      </c>
      <c r="D73">
        <v>42</v>
      </c>
      <c r="E73" t="s">
        <v>21</v>
      </c>
      <c r="F73" t="s">
        <v>22</v>
      </c>
      <c r="G73">
        <v>19733.4986524585</v>
      </c>
      <c r="H73">
        <v>148646484.88484401</v>
      </c>
      <c r="I73">
        <v>2701.0311599614201</v>
      </c>
      <c r="J73">
        <v>110819602.430573</v>
      </c>
      <c r="K73">
        <v>0.27046590637247497</v>
      </c>
      <c r="L73">
        <v>4.50194283215615E-2</v>
      </c>
      <c r="M73">
        <v>2701.0311599614201</v>
      </c>
      <c r="N73">
        <v>110819602.430573</v>
      </c>
      <c r="O73">
        <v>0.56423128175261905</v>
      </c>
      <c r="P73">
        <v>9.8223095998659901E-2</v>
      </c>
      <c r="Q73">
        <v>0.68109840157979096</v>
      </c>
      <c r="R73">
        <v>0.21720336894535699</v>
      </c>
      <c r="S73">
        <v>0.80865914849222498</v>
      </c>
      <c r="T73">
        <v>0.15472953005204801</v>
      </c>
      <c r="U73">
        <v>88</v>
      </c>
    </row>
    <row r="74" spans="1:21" x14ac:dyDescent="0.25">
      <c r="A74">
        <v>73</v>
      </c>
      <c r="B74">
        <v>803</v>
      </c>
      <c r="C74" t="s">
        <v>20</v>
      </c>
      <c r="D74">
        <v>42</v>
      </c>
      <c r="E74" t="s">
        <v>21</v>
      </c>
      <c r="F74" t="s">
        <v>22</v>
      </c>
      <c r="G74">
        <v>24725.859652670701</v>
      </c>
      <c r="H74">
        <v>155553954.787375</v>
      </c>
      <c r="I74">
        <v>-478.954628774159</v>
      </c>
      <c r="J74">
        <v>87567685.916641802</v>
      </c>
      <c r="K74">
        <v>0.28613793116703801</v>
      </c>
      <c r="L74">
        <v>2.47386862374964E-2</v>
      </c>
      <c r="M74">
        <v>-478.954628774159</v>
      </c>
      <c r="N74">
        <v>87567685.916641802</v>
      </c>
      <c r="O74">
        <v>0.62939463134816698</v>
      </c>
      <c r="P74">
        <v>6.9532704034915002E-2</v>
      </c>
      <c r="Q74">
        <v>0.78146565888925401</v>
      </c>
      <c r="R74">
        <v>0.17077708286599799</v>
      </c>
      <c r="S74">
        <v>0.79978007533051898</v>
      </c>
      <c r="T74">
        <v>0.16013190643483499</v>
      </c>
      <c r="U74">
        <v>102</v>
      </c>
    </row>
    <row r="75" spans="1:21" x14ac:dyDescent="0.25">
      <c r="A75">
        <v>74</v>
      </c>
      <c r="B75">
        <v>804</v>
      </c>
      <c r="C75" t="s">
        <v>20</v>
      </c>
      <c r="D75">
        <v>42</v>
      </c>
      <c r="E75" t="s">
        <v>21</v>
      </c>
      <c r="F75" t="s">
        <v>22</v>
      </c>
      <c r="G75">
        <v>27057.446895548201</v>
      </c>
      <c r="H75">
        <v>178377821.26234999</v>
      </c>
      <c r="I75">
        <v>-111.23915303886599</v>
      </c>
      <c r="J75">
        <v>88520635.529609099</v>
      </c>
      <c r="K75">
        <v>0.22827141129651199</v>
      </c>
      <c r="L75">
        <v>3.3507826252789502E-2</v>
      </c>
      <c r="M75">
        <v>-111.23915303886599</v>
      </c>
      <c r="N75">
        <v>88520635.529609099</v>
      </c>
      <c r="O75">
        <v>0.59616406738048799</v>
      </c>
      <c r="P75">
        <v>8.7346534471373402E-2</v>
      </c>
      <c r="Q75">
        <v>0.78450725493156903</v>
      </c>
      <c r="R75">
        <v>0.16905562189148299</v>
      </c>
      <c r="S75">
        <v>0.82101578586135904</v>
      </c>
      <c r="T75">
        <v>0.14694886522796699</v>
      </c>
      <c r="U75">
        <v>78</v>
      </c>
    </row>
    <row r="76" spans="1:21" x14ac:dyDescent="0.25">
      <c r="A76">
        <v>75</v>
      </c>
      <c r="B76">
        <v>805</v>
      </c>
      <c r="C76" t="s">
        <v>20</v>
      </c>
      <c r="D76">
        <v>42</v>
      </c>
      <c r="E76" t="s">
        <v>21</v>
      </c>
      <c r="F76" t="s">
        <v>22</v>
      </c>
      <c r="G76">
        <v>24522.7009097956</v>
      </c>
      <c r="H76">
        <v>158490433.51060101</v>
      </c>
      <c r="I76">
        <v>-345.11191385857097</v>
      </c>
      <c r="J76">
        <v>83423614.675347701</v>
      </c>
      <c r="K76">
        <v>0.25134152236628099</v>
      </c>
      <c r="L76">
        <v>3.44549064730321E-2</v>
      </c>
      <c r="M76">
        <v>-345.11191385857097</v>
      </c>
      <c r="N76">
        <v>83423614.675347701</v>
      </c>
      <c r="O76">
        <v>0.59375320442099599</v>
      </c>
      <c r="P76">
        <v>8.6408901812425595E-2</v>
      </c>
      <c r="Q76">
        <v>0.77694368514816503</v>
      </c>
      <c r="R76">
        <v>0.17330219525659801</v>
      </c>
      <c r="S76">
        <v>0.81557689169341197</v>
      </c>
      <c r="T76">
        <v>0.15041122542893501</v>
      </c>
      <c r="U76">
        <v>118</v>
      </c>
    </row>
    <row r="77" spans="1:21" x14ac:dyDescent="0.25">
      <c r="A77">
        <v>76</v>
      </c>
      <c r="B77">
        <v>806</v>
      </c>
      <c r="C77" t="s">
        <v>20</v>
      </c>
      <c r="D77">
        <v>42</v>
      </c>
      <c r="E77" t="s">
        <v>21</v>
      </c>
      <c r="F77" t="s">
        <v>22</v>
      </c>
      <c r="G77">
        <v>21817.367568384099</v>
      </c>
      <c r="H77">
        <v>114920897.688159</v>
      </c>
      <c r="I77">
        <v>-252.731955127395</v>
      </c>
      <c r="J77">
        <v>86086906.783165604</v>
      </c>
      <c r="K77">
        <v>0.31715568423317902</v>
      </c>
      <c r="L77">
        <v>3.9629251790775297E-2</v>
      </c>
      <c r="M77">
        <v>-252.731955127395</v>
      </c>
      <c r="N77">
        <v>86086906.783165604</v>
      </c>
      <c r="O77">
        <v>0.64918040303139901</v>
      </c>
      <c r="P77">
        <v>8.7421087376322301E-2</v>
      </c>
      <c r="Q77">
        <v>0.81061416648833695</v>
      </c>
      <c r="R77">
        <v>0.15351883957683801</v>
      </c>
      <c r="S77">
        <v>0.79421723751620699</v>
      </c>
      <c r="T77">
        <v>0.163436217148166</v>
      </c>
      <c r="U77">
        <v>90</v>
      </c>
    </row>
    <row r="78" spans="1:21" x14ac:dyDescent="0.25">
      <c r="A78">
        <v>77</v>
      </c>
      <c r="B78">
        <v>807</v>
      </c>
      <c r="C78" t="s">
        <v>20</v>
      </c>
      <c r="D78">
        <v>42</v>
      </c>
      <c r="E78" t="s">
        <v>21</v>
      </c>
      <c r="F78" t="s">
        <v>22</v>
      </c>
      <c r="G78">
        <v>27826.179184163899</v>
      </c>
      <c r="H78">
        <v>194061551.56955099</v>
      </c>
      <c r="I78">
        <v>1261.0837632057001</v>
      </c>
      <c r="J78">
        <v>87900313.296517104</v>
      </c>
      <c r="K78">
        <v>0.198302630694069</v>
      </c>
      <c r="L78">
        <v>2.7729930836178002E-2</v>
      </c>
      <c r="M78">
        <v>1261.0837632057001</v>
      </c>
      <c r="N78">
        <v>87900313.296517104</v>
      </c>
      <c r="O78">
        <v>0.56739812052752803</v>
      </c>
      <c r="P78">
        <v>7.3716140101041605E-2</v>
      </c>
      <c r="Q78">
        <v>0.75823454358516995</v>
      </c>
      <c r="R78">
        <v>0.18331492049929601</v>
      </c>
      <c r="S78">
        <v>0.75143685279690797</v>
      </c>
      <c r="T78">
        <v>0.18677950905551399</v>
      </c>
      <c r="U78">
        <v>86</v>
      </c>
    </row>
    <row r="79" spans="1:21" x14ac:dyDescent="0.25">
      <c r="A79">
        <v>78</v>
      </c>
      <c r="B79">
        <v>808</v>
      </c>
      <c r="C79" t="s">
        <v>20</v>
      </c>
      <c r="D79">
        <v>42</v>
      </c>
      <c r="E79" t="s">
        <v>21</v>
      </c>
      <c r="F79" t="s">
        <v>22</v>
      </c>
      <c r="G79">
        <v>17283.145081810399</v>
      </c>
      <c r="H79">
        <v>141130881.14321801</v>
      </c>
      <c r="I79">
        <v>6492.8734317029403</v>
      </c>
      <c r="J79">
        <v>149546831.68897599</v>
      </c>
      <c r="K79">
        <v>0.179133665197036</v>
      </c>
      <c r="L79">
        <v>5.89245373424278E-2</v>
      </c>
      <c r="M79">
        <v>6492.8734317029403</v>
      </c>
      <c r="N79">
        <v>149546831.68897599</v>
      </c>
      <c r="O79">
        <v>0.442532157643931</v>
      </c>
      <c r="P79">
        <v>0.12736014430565301</v>
      </c>
      <c r="Q79">
        <v>0.55782939431633305</v>
      </c>
      <c r="R79">
        <v>0.246655761152789</v>
      </c>
      <c r="S79">
        <v>0.59390771880307103</v>
      </c>
      <c r="T79">
        <v>0.24118134034913599</v>
      </c>
      <c r="U79">
        <v>38</v>
      </c>
    </row>
    <row r="80" spans="1:21" x14ac:dyDescent="0.25">
      <c r="A80">
        <v>79</v>
      </c>
      <c r="B80">
        <v>809</v>
      </c>
      <c r="C80" t="s">
        <v>20</v>
      </c>
      <c r="D80">
        <v>42</v>
      </c>
      <c r="E80" t="s">
        <v>21</v>
      </c>
      <c r="F80" t="s">
        <v>22</v>
      </c>
      <c r="G80">
        <v>19077.172014854899</v>
      </c>
      <c r="H80">
        <v>129768032.860598</v>
      </c>
      <c r="I80">
        <v>3091.6900851335699</v>
      </c>
      <c r="J80">
        <v>104643687.19873001</v>
      </c>
      <c r="K80">
        <v>0.27094737316359901</v>
      </c>
      <c r="L80">
        <v>4.4490582470623201E-2</v>
      </c>
      <c r="M80">
        <v>3091.6900851335699</v>
      </c>
      <c r="N80">
        <v>104643687.19873001</v>
      </c>
      <c r="O80">
        <v>0.57350956214375204</v>
      </c>
      <c r="P80">
        <v>9.5049139168757096E-2</v>
      </c>
      <c r="Q80">
        <v>0.68753068546610396</v>
      </c>
      <c r="R80">
        <v>0.21483224200891801</v>
      </c>
      <c r="S80">
        <v>0.78497060341680203</v>
      </c>
      <c r="T80">
        <v>0.16879175518808201</v>
      </c>
      <c r="U80">
        <v>56</v>
      </c>
    </row>
    <row r="81" spans="1:21" x14ac:dyDescent="0.25">
      <c r="A81">
        <v>80</v>
      </c>
      <c r="B81">
        <v>901</v>
      </c>
      <c r="C81" t="s">
        <v>20</v>
      </c>
      <c r="D81">
        <v>42</v>
      </c>
      <c r="E81" t="s">
        <v>21</v>
      </c>
      <c r="F81" t="s">
        <v>22</v>
      </c>
      <c r="G81">
        <v>14924.7320775027</v>
      </c>
      <c r="H81">
        <v>126870658.97621401</v>
      </c>
      <c r="I81">
        <v>4975.9388895037901</v>
      </c>
      <c r="J81">
        <v>102891336.631675</v>
      </c>
      <c r="K81">
        <v>0.24860444586962999</v>
      </c>
      <c r="L81">
        <v>4.1806438587367101E-2</v>
      </c>
      <c r="M81">
        <v>4975.9388895037901</v>
      </c>
      <c r="N81">
        <v>102891336.631675</v>
      </c>
      <c r="O81">
        <v>0.53438787472954696</v>
      </c>
      <c r="P81">
        <v>9.7074849469688598E-2</v>
      </c>
      <c r="Q81">
        <v>0.58475062791532095</v>
      </c>
      <c r="R81">
        <v>0.24281733106839201</v>
      </c>
      <c r="S81">
        <v>0.67594785312761596</v>
      </c>
      <c r="T81">
        <v>0.21904235298008201</v>
      </c>
      <c r="U81">
        <v>52</v>
      </c>
    </row>
    <row r="82" spans="1:21" x14ac:dyDescent="0.25">
      <c r="A82">
        <v>81</v>
      </c>
      <c r="B82">
        <v>902</v>
      </c>
      <c r="C82" t="s">
        <v>20</v>
      </c>
      <c r="D82">
        <v>42</v>
      </c>
      <c r="E82" t="s">
        <v>21</v>
      </c>
      <c r="F82" t="s">
        <v>22</v>
      </c>
      <c r="G82">
        <v>22755.4100731133</v>
      </c>
      <c r="H82">
        <v>199931312.325793</v>
      </c>
      <c r="I82">
        <v>2831.97658849359</v>
      </c>
      <c r="J82">
        <v>110088001.614336</v>
      </c>
      <c r="K82">
        <v>0.24413507557188299</v>
      </c>
      <c r="L82">
        <v>3.325340712245E-2</v>
      </c>
      <c r="M82">
        <v>2831.97658849359</v>
      </c>
      <c r="N82">
        <v>110088001.614336</v>
      </c>
      <c r="O82">
        <v>0.57644575822271504</v>
      </c>
      <c r="P82">
        <v>8.4054703181749693E-2</v>
      </c>
      <c r="Q82">
        <v>0.69582853422805302</v>
      </c>
      <c r="R82">
        <v>0.21165118518231499</v>
      </c>
      <c r="S82">
        <v>0.60399163609500806</v>
      </c>
      <c r="T82">
        <v>0.23918573962242901</v>
      </c>
      <c r="U82">
        <v>38</v>
      </c>
    </row>
    <row r="83" spans="1:21" x14ac:dyDescent="0.25">
      <c r="A83">
        <v>82</v>
      </c>
      <c r="B83">
        <v>903</v>
      </c>
      <c r="C83" t="s">
        <v>20</v>
      </c>
      <c r="D83">
        <v>42</v>
      </c>
      <c r="E83" t="s">
        <v>21</v>
      </c>
      <c r="F83" t="s">
        <v>22</v>
      </c>
      <c r="G83">
        <v>14841.1765204112</v>
      </c>
      <c r="H83">
        <v>151712001.73652101</v>
      </c>
      <c r="I83">
        <v>8209.21043359758</v>
      </c>
      <c r="J83">
        <v>143279638.837127</v>
      </c>
      <c r="K83">
        <v>0.16314745668618499</v>
      </c>
      <c r="L83">
        <v>4.9468823118196101E-2</v>
      </c>
      <c r="M83">
        <v>8209.21043359758</v>
      </c>
      <c r="N83">
        <v>143279638.837127</v>
      </c>
      <c r="O83">
        <v>0.41673816399687502</v>
      </c>
      <c r="P83">
        <v>0.120552937312205</v>
      </c>
      <c r="Q83">
        <v>0.48949604096351501</v>
      </c>
      <c r="R83">
        <v>0.24988966684462999</v>
      </c>
      <c r="S83">
        <v>0.50141166807833504</v>
      </c>
      <c r="T83">
        <v>0.249998007193316</v>
      </c>
      <c r="U83">
        <v>28</v>
      </c>
    </row>
    <row r="84" spans="1:21" x14ac:dyDescent="0.25">
      <c r="A84">
        <v>83</v>
      </c>
      <c r="B84">
        <v>904</v>
      </c>
      <c r="C84" t="s">
        <v>20</v>
      </c>
      <c r="D84">
        <v>42</v>
      </c>
      <c r="E84" t="s">
        <v>21</v>
      </c>
      <c r="F84" t="s">
        <v>22</v>
      </c>
      <c r="G84">
        <v>14143.342198009001</v>
      </c>
      <c r="H84">
        <v>136692554.979756</v>
      </c>
      <c r="I84">
        <v>8054.0140471406203</v>
      </c>
      <c r="J84">
        <v>129892138.47957601</v>
      </c>
      <c r="K84">
        <v>0.15599903095623699</v>
      </c>
      <c r="L84">
        <v>5.4373301962749997E-2</v>
      </c>
      <c r="M84">
        <v>8054.0140471406203</v>
      </c>
      <c r="N84">
        <v>129892138.47957601</v>
      </c>
      <c r="O84">
        <v>0.40735461684213897</v>
      </c>
      <c r="P84">
        <v>0.124802360757811</v>
      </c>
      <c r="Q84">
        <v>0.48544629944256501</v>
      </c>
      <c r="R84">
        <v>0.249788189800289</v>
      </c>
      <c r="S84">
        <v>0.62786093403353105</v>
      </c>
      <c r="T84">
        <v>0.23365158154824101</v>
      </c>
      <c r="U84">
        <v>56</v>
      </c>
    </row>
    <row r="85" spans="1:21" x14ac:dyDescent="0.25">
      <c r="A85">
        <v>84</v>
      </c>
      <c r="B85">
        <v>905</v>
      </c>
      <c r="C85" t="s">
        <v>20</v>
      </c>
      <c r="D85">
        <v>42</v>
      </c>
      <c r="E85" t="s">
        <v>21</v>
      </c>
      <c r="F85" t="s">
        <v>22</v>
      </c>
      <c r="G85">
        <v>18090.4135499615</v>
      </c>
      <c r="H85">
        <v>193149020.523157</v>
      </c>
      <c r="I85">
        <v>4506.3573842117903</v>
      </c>
      <c r="J85">
        <v>106014349.979975</v>
      </c>
      <c r="K85">
        <v>0.20448697007673799</v>
      </c>
      <c r="L85">
        <v>3.3793228960830403E-2</v>
      </c>
      <c r="M85">
        <v>4506.3573842117903</v>
      </c>
      <c r="N85">
        <v>106014349.979975</v>
      </c>
      <c r="O85">
        <v>0.49146128477696499</v>
      </c>
      <c r="P85">
        <v>9.4864761708349996E-2</v>
      </c>
      <c r="Q85">
        <v>0.57706139224248698</v>
      </c>
      <c r="R85">
        <v>0.244061541825429</v>
      </c>
      <c r="S85">
        <v>0.50087975033070897</v>
      </c>
      <c r="T85">
        <v>0.24999922603903399</v>
      </c>
      <c r="U85">
        <v>34</v>
      </c>
    </row>
    <row r="86" spans="1:21" x14ac:dyDescent="0.25">
      <c r="A86">
        <v>85</v>
      </c>
      <c r="B86">
        <v>906</v>
      </c>
      <c r="C86" t="s">
        <v>20</v>
      </c>
      <c r="D86">
        <v>42</v>
      </c>
      <c r="E86" t="s">
        <v>21</v>
      </c>
      <c r="F86" t="s">
        <v>22</v>
      </c>
      <c r="G86">
        <v>18557.272564045801</v>
      </c>
      <c r="H86">
        <v>135392449.85036299</v>
      </c>
      <c r="I86">
        <v>3765.6548514876399</v>
      </c>
      <c r="J86">
        <v>114068815.76494101</v>
      </c>
      <c r="K86">
        <v>0.27525439603934898</v>
      </c>
      <c r="L86">
        <v>3.9193411322521098E-2</v>
      </c>
      <c r="M86">
        <v>3765.6548514876399</v>
      </c>
      <c r="N86">
        <v>114068815.76494101</v>
      </c>
      <c r="O86">
        <v>0.566222423402994</v>
      </c>
      <c r="P86">
        <v>8.8101057309512495E-2</v>
      </c>
      <c r="Q86">
        <v>0.66744298000234203</v>
      </c>
      <c r="R86">
        <v>0.221962848448194</v>
      </c>
      <c r="S86">
        <v>0.59080914401696605</v>
      </c>
      <c r="T86">
        <v>0.24175369936312099</v>
      </c>
      <c r="U86">
        <v>38</v>
      </c>
    </row>
    <row r="87" spans="1:21" x14ac:dyDescent="0.25">
      <c r="A87">
        <v>86</v>
      </c>
      <c r="B87">
        <v>907</v>
      </c>
      <c r="C87" t="s">
        <v>20</v>
      </c>
      <c r="D87">
        <v>42</v>
      </c>
      <c r="E87" t="s">
        <v>21</v>
      </c>
      <c r="F87" t="s">
        <v>22</v>
      </c>
      <c r="G87">
        <v>23084.7393942378</v>
      </c>
      <c r="H87">
        <v>138444991.35850599</v>
      </c>
      <c r="I87">
        <v>241.50740333346101</v>
      </c>
      <c r="J87">
        <v>75186345.823198006</v>
      </c>
      <c r="K87">
        <v>0.33470410553748697</v>
      </c>
      <c r="L87">
        <v>2.84007653207979E-2</v>
      </c>
      <c r="M87">
        <v>241.50740333346101</v>
      </c>
      <c r="N87">
        <v>75186345.823198006</v>
      </c>
      <c r="O87">
        <v>0.65866076164595999</v>
      </c>
      <c r="P87">
        <v>5.73596300290697E-2</v>
      </c>
      <c r="Q87">
        <v>0.80336726028577399</v>
      </c>
      <c r="R87">
        <v>0.157968305386434</v>
      </c>
      <c r="S87">
        <v>0.81777903585098399</v>
      </c>
      <c r="T87">
        <v>0.14901648437380799</v>
      </c>
      <c r="U87">
        <v>118</v>
      </c>
    </row>
    <row r="88" spans="1:21" x14ac:dyDescent="0.25">
      <c r="A88">
        <v>87</v>
      </c>
      <c r="B88">
        <v>908</v>
      </c>
      <c r="C88" t="s">
        <v>20</v>
      </c>
      <c r="D88">
        <v>42</v>
      </c>
      <c r="E88" t="s">
        <v>21</v>
      </c>
      <c r="F88" t="s">
        <v>22</v>
      </c>
      <c r="G88">
        <v>17235.101170243801</v>
      </c>
      <c r="H88">
        <v>99353622.512830302</v>
      </c>
      <c r="I88">
        <v>3716.9197681056498</v>
      </c>
      <c r="J88">
        <v>101586074.582976</v>
      </c>
      <c r="K88">
        <v>0.33927396981587699</v>
      </c>
      <c r="L88">
        <v>4.4424602550463099E-2</v>
      </c>
      <c r="M88">
        <v>3716.9197681056498</v>
      </c>
      <c r="N88">
        <v>101586074.582976</v>
      </c>
      <c r="O88">
        <v>0.61526480792636196</v>
      </c>
      <c r="P88">
        <v>8.1469909804807394E-2</v>
      </c>
      <c r="Q88">
        <v>0.70041031368359696</v>
      </c>
      <c r="R88">
        <v>0.20983570616897801</v>
      </c>
      <c r="S88">
        <v>0.73574255262327304</v>
      </c>
      <c r="T88">
        <v>0.19442544888295901</v>
      </c>
      <c r="U88">
        <v>70</v>
      </c>
    </row>
    <row r="89" spans="1:21" x14ac:dyDescent="0.25">
      <c r="A89">
        <v>88</v>
      </c>
      <c r="B89">
        <v>909</v>
      </c>
      <c r="C89" t="s">
        <v>20</v>
      </c>
      <c r="D89">
        <v>42</v>
      </c>
      <c r="E89" t="s">
        <v>21</v>
      </c>
      <c r="F89" t="s">
        <v>22</v>
      </c>
      <c r="G89">
        <v>17495.582711193001</v>
      </c>
      <c r="H89">
        <v>106262307.91829599</v>
      </c>
      <c r="I89">
        <v>2411.3704022349598</v>
      </c>
      <c r="J89">
        <v>82504342.595029697</v>
      </c>
      <c r="K89">
        <v>0.36362228936857299</v>
      </c>
      <c r="L89">
        <v>3.7721872961512103E-2</v>
      </c>
      <c r="M89">
        <v>2411.3704022349598</v>
      </c>
      <c r="N89">
        <v>82504342.595029697</v>
      </c>
      <c r="O89">
        <v>0.64545004260618699</v>
      </c>
      <c r="P89">
        <v>6.9613513192734899E-2</v>
      </c>
      <c r="Q89">
        <v>0.73401941908943602</v>
      </c>
      <c r="R89">
        <v>0.195234911489165</v>
      </c>
      <c r="S89">
        <v>0.69088617064014302</v>
      </c>
      <c r="T89">
        <v>0.213562469858392</v>
      </c>
      <c r="U89">
        <v>70</v>
      </c>
    </row>
    <row r="90" spans="1:21" x14ac:dyDescent="0.25">
      <c r="A90">
        <v>89</v>
      </c>
      <c r="B90">
        <v>910</v>
      </c>
      <c r="C90" t="s">
        <v>20</v>
      </c>
      <c r="D90">
        <v>42</v>
      </c>
      <c r="E90" t="s">
        <v>21</v>
      </c>
      <c r="F90" t="s">
        <v>22</v>
      </c>
      <c r="G90">
        <v>13154.5630941401</v>
      </c>
      <c r="H90">
        <v>96689690.162148103</v>
      </c>
      <c r="I90">
        <v>5917.9385788835898</v>
      </c>
      <c r="J90">
        <v>120716245.03876901</v>
      </c>
      <c r="K90">
        <v>0.26655529969980202</v>
      </c>
      <c r="L90">
        <v>6.9304271143372995E-2</v>
      </c>
      <c r="M90">
        <v>5917.9385788835898</v>
      </c>
      <c r="N90">
        <v>120716245.03876901</v>
      </c>
      <c r="O90">
        <v>0.51642999673243095</v>
      </c>
      <c r="P90">
        <v>0.118573249589321</v>
      </c>
      <c r="Q90">
        <v>0.58322572711061904</v>
      </c>
      <c r="R90">
        <v>0.24307347834685999</v>
      </c>
      <c r="S90">
        <v>0.69033241917036603</v>
      </c>
      <c r="T90">
        <v>0.213773570212938</v>
      </c>
      <c r="U90">
        <v>56</v>
      </c>
    </row>
    <row r="91" spans="1:21" x14ac:dyDescent="0.25">
      <c r="A91">
        <v>90</v>
      </c>
      <c r="B91">
        <v>810</v>
      </c>
      <c r="C91" t="s">
        <v>20</v>
      </c>
      <c r="D91">
        <v>42</v>
      </c>
      <c r="E91" t="s">
        <v>21</v>
      </c>
      <c r="F91" t="s">
        <v>22</v>
      </c>
      <c r="G91">
        <v>18033.381602456</v>
      </c>
      <c r="H91">
        <v>140762958.98776299</v>
      </c>
      <c r="I91">
        <v>3641.8710843797098</v>
      </c>
      <c r="J91">
        <v>110673443.23856001</v>
      </c>
      <c r="K91">
        <v>0.24515425204073801</v>
      </c>
      <c r="L91">
        <v>4.68749236423961E-2</v>
      </c>
      <c r="M91">
        <v>3641.8710843797098</v>
      </c>
      <c r="N91">
        <v>110673443.23856001</v>
      </c>
      <c r="O91">
        <v>0.54169051677623103</v>
      </c>
      <c r="P91">
        <v>0.10065785753680501</v>
      </c>
      <c r="Q91">
        <v>0.64000100656785497</v>
      </c>
      <c r="R91">
        <v>0.23039971816000801</v>
      </c>
      <c r="S91">
        <v>0.61413706765309095</v>
      </c>
      <c r="T91">
        <v>0.236972729787644</v>
      </c>
      <c r="U91">
        <v>50</v>
      </c>
    </row>
    <row r="92" spans="1:21" x14ac:dyDescent="0.25">
      <c r="A92">
        <v>91</v>
      </c>
      <c r="B92">
        <v>44444</v>
      </c>
      <c r="C92" t="s">
        <v>20</v>
      </c>
      <c r="D92">
        <v>42</v>
      </c>
      <c r="E92" t="s">
        <v>21</v>
      </c>
      <c r="F92" t="s">
        <v>22</v>
      </c>
      <c r="G92">
        <v>961.91891891891896</v>
      </c>
      <c r="H92">
        <v>2021437.1912525501</v>
      </c>
      <c r="I92">
        <v>17766.082418718699</v>
      </c>
      <c r="J92">
        <v>38903501.328554101</v>
      </c>
      <c r="K92">
        <v>-0.28929579450742898</v>
      </c>
      <c r="L92">
        <v>1.9249339739085901E-2</v>
      </c>
      <c r="M92">
        <v>17766.082418718699</v>
      </c>
      <c r="N92">
        <v>38903501.328554101</v>
      </c>
      <c r="O92">
        <v>-0.18121373306494901</v>
      </c>
      <c r="P92">
        <v>1.4187509747584001E-2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92</v>
      </c>
      <c r="B93">
        <v>55555</v>
      </c>
      <c r="C93" t="s">
        <v>20</v>
      </c>
      <c r="D93">
        <v>42</v>
      </c>
      <c r="E93" t="s">
        <v>21</v>
      </c>
      <c r="F93" t="s">
        <v>22</v>
      </c>
      <c r="G93">
        <v>1511.0577412963501</v>
      </c>
      <c r="H93">
        <v>2660207.2454630099</v>
      </c>
      <c r="I93">
        <v>14551.9896968989</v>
      </c>
      <c r="J93">
        <v>53655333.017663501</v>
      </c>
      <c r="K93">
        <v>-1.8450171291228799E-3</v>
      </c>
      <c r="L93">
        <v>4.1504226520002997E-2</v>
      </c>
      <c r="M93">
        <v>14551.9896968989</v>
      </c>
      <c r="N93">
        <v>53655333.017663501</v>
      </c>
      <c r="O93">
        <v>0.27127931619231299</v>
      </c>
      <c r="P93">
        <v>2.30720853354646E-2</v>
      </c>
      <c r="Q93">
        <v>7.0195301443532407E-2</v>
      </c>
      <c r="R93">
        <v>6.5267921098788803E-2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>
        <v>101</v>
      </c>
      <c r="C94" t="s">
        <v>23</v>
      </c>
      <c r="D94">
        <v>42</v>
      </c>
      <c r="E94" t="s">
        <v>24</v>
      </c>
      <c r="F94" t="s">
        <v>25</v>
      </c>
      <c r="G94">
        <v>9097.3277400373208</v>
      </c>
      <c r="H94">
        <v>70294683.632635698</v>
      </c>
      <c r="I94">
        <v>10625.4961984495</v>
      </c>
      <c r="J94">
        <v>84243270.792971402</v>
      </c>
      <c r="K94">
        <v>0.166459513671847</v>
      </c>
      <c r="L94">
        <v>4.13708995810253E-2</v>
      </c>
      <c r="M94">
        <v>10625.4961984495</v>
      </c>
      <c r="N94">
        <v>84243270.792971402</v>
      </c>
      <c r="O94">
        <v>0.373342668424823</v>
      </c>
      <c r="P94">
        <v>9.5222233299891504E-2</v>
      </c>
      <c r="Q94">
        <v>0.390075587236282</v>
      </c>
      <c r="R94">
        <v>0.237916623478447</v>
      </c>
      <c r="S94">
        <v>0.87470098555162201</v>
      </c>
      <c r="T94">
        <v>0.10959917142665</v>
      </c>
      <c r="U94">
        <v>110</v>
      </c>
    </row>
    <row r="95" spans="1:21" x14ac:dyDescent="0.25">
      <c r="A95">
        <v>94</v>
      </c>
      <c r="B95">
        <v>102</v>
      </c>
      <c r="C95" t="s">
        <v>23</v>
      </c>
      <c r="D95">
        <v>42</v>
      </c>
      <c r="E95" t="s">
        <v>24</v>
      </c>
      <c r="F95" t="s">
        <v>25</v>
      </c>
      <c r="G95">
        <v>14668.503020009801</v>
      </c>
      <c r="H95">
        <v>119416469.49392501</v>
      </c>
      <c r="I95">
        <v>6624.4432279394196</v>
      </c>
      <c r="J95">
        <v>98935133.3459768</v>
      </c>
      <c r="K95">
        <v>0.24413146698556301</v>
      </c>
      <c r="L95">
        <v>3.9362650443334701E-2</v>
      </c>
      <c r="M95">
        <v>6624.4432279394196</v>
      </c>
      <c r="N95">
        <v>98935133.3459768</v>
      </c>
      <c r="O95">
        <v>0.50520219150929302</v>
      </c>
      <c r="P95">
        <v>9.4223160966457095E-2</v>
      </c>
      <c r="Q95">
        <v>0.56265473812627798</v>
      </c>
      <c r="R95">
        <v>0.24607438379036101</v>
      </c>
      <c r="S95">
        <v>0.80553794629507802</v>
      </c>
      <c r="T95">
        <v>0.156646563374159</v>
      </c>
      <c r="U95">
        <v>100</v>
      </c>
    </row>
    <row r="96" spans="1:21" x14ac:dyDescent="0.25">
      <c r="A96">
        <v>95</v>
      </c>
      <c r="B96">
        <v>103</v>
      </c>
      <c r="C96" t="s">
        <v>23</v>
      </c>
      <c r="D96">
        <v>42</v>
      </c>
      <c r="E96" t="s">
        <v>24</v>
      </c>
      <c r="F96" t="s">
        <v>25</v>
      </c>
      <c r="G96">
        <v>12983.7566019232</v>
      </c>
      <c r="H96">
        <v>118945131.332747</v>
      </c>
      <c r="I96">
        <v>8880.0766708401097</v>
      </c>
      <c r="J96">
        <v>117014211.633047</v>
      </c>
      <c r="K96">
        <v>0.186303663589718</v>
      </c>
      <c r="L96">
        <v>4.3019946305159498E-2</v>
      </c>
      <c r="M96">
        <v>8880.0766708401097</v>
      </c>
      <c r="N96">
        <v>117014211.633047</v>
      </c>
      <c r="O96">
        <v>0.43018209697175902</v>
      </c>
      <c r="P96">
        <v>0.10286776944345501</v>
      </c>
      <c r="Q96">
        <v>0.45615461895421699</v>
      </c>
      <c r="R96">
        <v>0.24807758256118501</v>
      </c>
      <c r="S96">
        <v>0.76645059439806695</v>
      </c>
      <c r="T96">
        <v>0.179004080745261</v>
      </c>
      <c r="U96">
        <v>70</v>
      </c>
    </row>
    <row r="97" spans="1:21" x14ac:dyDescent="0.25">
      <c r="A97">
        <v>96</v>
      </c>
      <c r="B97">
        <v>104</v>
      </c>
      <c r="C97" t="s">
        <v>23</v>
      </c>
      <c r="D97">
        <v>42</v>
      </c>
      <c r="E97" t="s">
        <v>24</v>
      </c>
      <c r="F97" t="s">
        <v>25</v>
      </c>
      <c r="G97">
        <v>12947.8939625891</v>
      </c>
      <c r="H97">
        <v>127815028.810481</v>
      </c>
      <c r="I97">
        <v>8591.8284609046696</v>
      </c>
      <c r="J97">
        <v>110442596.411138</v>
      </c>
      <c r="K97">
        <v>0.185686086208527</v>
      </c>
      <c r="L97">
        <v>4.0292581906196001E-2</v>
      </c>
      <c r="M97">
        <v>8591.8284609046696</v>
      </c>
      <c r="N97">
        <v>110442596.411138</v>
      </c>
      <c r="O97">
        <v>0.43154968629998602</v>
      </c>
      <c r="P97">
        <v>9.7787387794187303E-2</v>
      </c>
      <c r="Q97">
        <v>0.44924173563603298</v>
      </c>
      <c r="R97">
        <v>0.24742359859851401</v>
      </c>
      <c r="S97">
        <v>0.57299689069600601</v>
      </c>
      <c r="T97">
        <v>0.244671453948762</v>
      </c>
      <c r="U97">
        <v>40</v>
      </c>
    </row>
    <row r="98" spans="1:21" x14ac:dyDescent="0.25">
      <c r="A98">
        <v>97</v>
      </c>
      <c r="B98">
        <v>105</v>
      </c>
      <c r="C98" t="s">
        <v>23</v>
      </c>
      <c r="D98">
        <v>42</v>
      </c>
      <c r="E98" t="s">
        <v>24</v>
      </c>
      <c r="F98" t="s">
        <v>25</v>
      </c>
      <c r="G98">
        <v>12638.5712577142</v>
      </c>
      <c r="H98">
        <v>101177498.42642701</v>
      </c>
      <c r="I98">
        <v>7593.3496602338901</v>
      </c>
      <c r="J98">
        <v>100234571.93599799</v>
      </c>
      <c r="K98">
        <v>0.21014557540552201</v>
      </c>
      <c r="L98">
        <v>4.32999129519148E-2</v>
      </c>
      <c r="M98">
        <v>7593.3496602338901</v>
      </c>
      <c r="N98">
        <v>100234571.93599799</v>
      </c>
      <c r="O98">
        <v>0.463747141216443</v>
      </c>
      <c r="P98">
        <v>9.7902047833006794E-2</v>
      </c>
      <c r="Q98">
        <v>0.49696215854183601</v>
      </c>
      <c r="R98">
        <v>0.249990771519285</v>
      </c>
      <c r="S98">
        <v>0.52624088027747895</v>
      </c>
      <c r="T98">
        <v>0.249311416202043</v>
      </c>
      <c r="U98">
        <v>34</v>
      </c>
    </row>
    <row r="99" spans="1:21" x14ac:dyDescent="0.25">
      <c r="A99">
        <v>98</v>
      </c>
      <c r="B99">
        <v>106</v>
      </c>
      <c r="C99" t="s">
        <v>23</v>
      </c>
      <c r="D99">
        <v>42</v>
      </c>
      <c r="E99" t="s">
        <v>24</v>
      </c>
      <c r="F99" t="s">
        <v>25</v>
      </c>
      <c r="G99">
        <v>12602.466795787401</v>
      </c>
      <c r="H99">
        <v>154089295.71804199</v>
      </c>
      <c r="I99">
        <v>9162.1014000192699</v>
      </c>
      <c r="J99">
        <v>102384402.012205</v>
      </c>
      <c r="K99">
        <v>0.120361106734343</v>
      </c>
      <c r="L99">
        <v>3.31084279083406E-2</v>
      </c>
      <c r="M99">
        <v>9162.1014000192699</v>
      </c>
      <c r="N99">
        <v>102384402.012205</v>
      </c>
      <c r="O99">
        <v>0.37033318036589202</v>
      </c>
      <c r="P99">
        <v>9.6273117313641896E-2</v>
      </c>
      <c r="Q99">
        <v>0.39903159423798601</v>
      </c>
      <c r="R99">
        <v>0.239805381037721</v>
      </c>
      <c r="S99">
        <v>0.62563388804841102</v>
      </c>
      <c r="T99">
        <v>0.23421612617418</v>
      </c>
      <c r="U99">
        <v>32</v>
      </c>
    </row>
    <row r="100" spans="1:21" x14ac:dyDescent="0.25">
      <c r="A100">
        <v>99</v>
      </c>
      <c r="B100">
        <v>107</v>
      </c>
      <c r="C100" t="s">
        <v>23</v>
      </c>
      <c r="D100">
        <v>42</v>
      </c>
      <c r="E100" t="s">
        <v>24</v>
      </c>
      <c r="F100" t="s">
        <v>25</v>
      </c>
      <c r="G100">
        <v>11293.4726079501</v>
      </c>
      <c r="H100">
        <v>98936991.109084398</v>
      </c>
      <c r="I100">
        <v>7983.1365698992604</v>
      </c>
      <c r="J100">
        <v>85304963.006291404</v>
      </c>
      <c r="K100">
        <v>0.178137229640557</v>
      </c>
      <c r="L100">
        <v>3.9256347198804303E-2</v>
      </c>
      <c r="M100">
        <v>7983.1365698992604</v>
      </c>
      <c r="N100">
        <v>85304963.006291404</v>
      </c>
      <c r="O100">
        <v>0.431559342628003</v>
      </c>
      <c r="P100">
        <v>9.6562435653885795E-2</v>
      </c>
      <c r="Q100">
        <v>0.46002398174293102</v>
      </c>
      <c r="R100">
        <v>0.248401917964403</v>
      </c>
      <c r="S100">
        <v>0.84095978545365502</v>
      </c>
      <c r="T100">
        <v>0.133746424703202</v>
      </c>
      <c r="U100">
        <v>80</v>
      </c>
    </row>
    <row r="101" spans="1:21" x14ac:dyDescent="0.25">
      <c r="A101">
        <v>100</v>
      </c>
      <c r="B101">
        <v>108</v>
      </c>
      <c r="C101" t="s">
        <v>23</v>
      </c>
      <c r="D101">
        <v>42</v>
      </c>
      <c r="E101" t="s">
        <v>24</v>
      </c>
      <c r="F101" t="s">
        <v>25</v>
      </c>
      <c r="G101">
        <v>14095.732727381401</v>
      </c>
      <c r="H101">
        <v>136586580.321747</v>
      </c>
      <c r="I101">
        <v>6799.0216354164104</v>
      </c>
      <c r="J101">
        <v>98510986.663927197</v>
      </c>
      <c r="K101">
        <v>0.198149149201441</v>
      </c>
      <c r="L101">
        <v>3.78504926490306E-2</v>
      </c>
      <c r="M101">
        <v>6799.0216354164104</v>
      </c>
      <c r="N101">
        <v>98510986.663927197</v>
      </c>
      <c r="O101">
        <v>0.473044739987319</v>
      </c>
      <c r="P101">
        <v>9.4589379037899393E-2</v>
      </c>
      <c r="Q101">
        <v>0.50343837828140903</v>
      </c>
      <c r="R101">
        <v>0.24998817755478001</v>
      </c>
      <c r="S101">
        <v>0.71553456110978197</v>
      </c>
      <c r="T101">
        <v>0.20354485296685401</v>
      </c>
      <c r="U101">
        <v>60</v>
      </c>
    </row>
    <row r="102" spans="1:21" x14ac:dyDescent="0.25">
      <c r="A102">
        <v>101</v>
      </c>
      <c r="B102">
        <v>109</v>
      </c>
      <c r="C102" t="s">
        <v>23</v>
      </c>
      <c r="D102">
        <v>42</v>
      </c>
      <c r="E102" t="s">
        <v>24</v>
      </c>
      <c r="F102" t="s">
        <v>25</v>
      </c>
      <c r="G102">
        <v>12393.4481546153</v>
      </c>
      <c r="H102">
        <v>154141167.04122001</v>
      </c>
      <c r="I102">
        <v>9213.2846382605603</v>
      </c>
      <c r="J102">
        <v>112583483.471799</v>
      </c>
      <c r="K102">
        <v>0.130080567951007</v>
      </c>
      <c r="L102">
        <v>3.8087948953285003E-2</v>
      </c>
      <c r="M102">
        <v>9213.2846382605603</v>
      </c>
      <c r="N102">
        <v>112583483.471799</v>
      </c>
      <c r="O102">
        <v>0.38247875934402797</v>
      </c>
      <c r="P102">
        <v>9.6924160545735799E-2</v>
      </c>
      <c r="Q102">
        <v>0.39993302556988097</v>
      </c>
      <c r="R102">
        <v>0.23998660062806801</v>
      </c>
      <c r="S102">
        <v>0.69452518510544103</v>
      </c>
      <c r="T102">
        <v>0.21215995235964899</v>
      </c>
      <c r="U102">
        <v>46</v>
      </c>
    </row>
    <row r="103" spans="1:21" x14ac:dyDescent="0.25">
      <c r="A103">
        <v>102</v>
      </c>
      <c r="B103">
        <v>110</v>
      </c>
      <c r="C103" t="s">
        <v>23</v>
      </c>
      <c r="D103">
        <v>42</v>
      </c>
      <c r="E103" t="s">
        <v>24</v>
      </c>
      <c r="F103" t="s">
        <v>25</v>
      </c>
      <c r="G103">
        <v>16456.990563216899</v>
      </c>
      <c r="H103">
        <v>188881883.42022601</v>
      </c>
      <c r="I103">
        <v>6131.1418321403798</v>
      </c>
      <c r="J103">
        <v>110708201.998144</v>
      </c>
      <c r="K103">
        <v>0.198028139931402</v>
      </c>
      <c r="L103">
        <v>3.5198069624117798E-2</v>
      </c>
      <c r="M103">
        <v>6131.1418321403798</v>
      </c>
      <c r="N103">
        <v>110708201.998144</v>
      </c>
      <c r="O103">
        <v>0.48979866387147297</v>
      </c>
      <c r="P103">
        <v>9.0870300134684404E-2</v>
      </c>
      <c r="Q103">
        <v>0.54967766627994596</v>
      </c>
      <c r="R103">
        <v>0.24753212947282299</v>
      </c>
      <c r="S103">
        <v>0.65830293607606305</v>
      </c>
      <c r="T103">
        <v>0.22494018042948899</v>
      </c>
      <c r="U103">
        <v>50</v>
      </c>
    </row>
    <row r="104" spans="1:21" x14ac:dyDescent="0.25">
      <c r="A104">
        <v>103</v>
      </c>
      <c r="B104">
        <v>111</v>
      </c>
      <c r="C104" t="s">
        <v>23</v>
      </c>
      <c r="D104">
        <v>42</v>
      </c>
      <c r="E104" t="s">
        <v>24</v>
      </c>
      <c r="F104" t="s">
        <v>25</v>
      </c>
      <c r="G104">
        <v>13851.7686703537</v>
      </c>
      <c r="H104">
        <v>137497246.11149701</v>
      </c>
      <c r="I104">
        <v>6326.4645539246903</v>
      </c>
      <c r="J104">
        <v>105293870.608887</v>
      </c>
      <c r="K104">
        <v>0.22462089014018399</v>
      </c>
      <c r="L104">
        <v>4.2756779481138797E-2</v>
      </c>
      <c r="M104">
        <v>6326.4645539246903</v>
      </c>
      <c r="N104">
        <v>105293870.608887</v>
      </c>
      <c r="O104">
        <v>0.49796150349965501</v>
      </c>
      <c r="P104">
        <v>9.2120983138477899E-2</v>
      </c>
      <c r="Q104">
        <v>0.53001900013312198</v>
      </c>
      <c r="R104">
        <v>0.249098859631077</v>
      </c>
      <c r="S104">
        <v>0.49790663343094299</v>
      </c>
      <c r="T104">
        <v>0.24999561781618301</v>
      </c>
      <c r="U104">
        <v>32</v>
      </c>
    </row>
    <row r="105" spans="1:21" x14ac:dyDescent="0.25">
      <c r="A105">
        <v>104</v>
      </c>
      <c r="B105">
        <v>112</v>
      </c>
      <c r="C105" t="s">
        <v>23</v>
      </c>
      <c r="D105">
        <v>42</v>
      </c>
      <c r="E105" t="s">
        <v>24</v>
      </c>
      <c r="F105" t="s">
        <v>25</v>
      </c>
      <c r="G105">
        <v>12886.6702827565</v>
      </c>
      <c r="H105">
        <v>147228865.32162499</v>
      </c>
      <c r="I105">
        <v>7796.0636993285398</v>
      </c>
      <c r="J105">
        <v>113980316.84569199</v>
      </c>
      <c r="K105">
        <v>0.18897403274086899</v>
      </c>
      <c r="L105">
        <v>3.9589569133492597E-2</v>
      </c>
      <c r="M105">
        <v>7796.0636993285398</v>
      </c>
      <c r="N105">
        <v>113980316.84569199</v>
      </c>
      <c r="O105">
        <v>0.45566862048996798</v>
      </c>
      <c r="P105">
        <v>9.3514240519045194E-2</v>
      </c>
      <c r="Q105">
        <v>0.47124059695716303</v>
      </c>
      <c r="R105">
        <v>0.24917289673618401</v>
      </c>
      <c r="S105">
        <v>0.44663716172096102</v>
      </c>
      <c r="T105">
        <v>0.247152407490557</v>
      </c>
      <c r="U105">
        <v>22</v>
      </c>
    </row>
    <row r="106" spans="1:21" x14ac:dyDescent="0.25">
      <c r="A106">
        <v>105</v>
      </c>
      <c r="B106">
        <v>201</v>
      </c>
      <c r="C106" t="s">
        <v>23</v>
      </c>
      <c r="D106">
        <v>42</v>
      </c>
      <c r="E106" t="s">
        <v>24</v>
      </c>
      <c r="F106" t="s">
        <v>25</v>
      </c>
      <c r="G106">
        <v>9316.3923778080807</v>
      </c>
      <c r="H106">
        <v>81191546.152962297</v>
      </c>
      <c r="I106">
        <v>11805.8886854418</v>
      </c>
      <c r="J106">
        <v>90974467.538289696</v>
      </c>
      <c r="K106">
        <v>8.2752132576102394E-2</v>
      </c>
      <c r="L106">
        <v>3.7996416499586599E-2</v>
      </c>
      <c r="M106">
        <v>11805.8886854418</v>
      </c>
      <c r="N106">
        <v>90974467.538289696</v>
      </c>
      <c r="O106">
        <v>0.27234475190144403</v>
      </c>
      <c r="P106">
        <v>0.105325973832352</v>
      </c>
      <c r="Q106">
        <v>0.32467283906313499</v>
      </c>
      <c r="R106">
        <v>0.21926038663795799</v>
      </c>
      <c r="S106">
        <v>0.89112546346130805</v>
      </c>
      <c r="T106">
        <v>9.7020871832518701E-2</v>
      </c>
      <c r="U106">
        <v>110</v>
      </c>
    </row>
    <row r="107" spans="1:21" x14ac:dyDescent="0.25">
      <c r="A107">
        <v>106</v>
      </c>
      <c r="B107">
        <v>202</v>
      </c>
      <c r="C107" t="s">
        <v>23</v>
      </c>
      <c r="D107">
        <v>42</v>
      </c>
      <c r="E107" t="s">
        <v>24</v>
      </c>
      <c r="F107" t="s">
        <v>25</v>
      </c>
      <c r="G107">
        <v>15033.616540094499</v>
      </c>
      <c r="H107">
        <v>132373276.591069</v>
      </c>
      <c r="I107">
        <v>7068.8753025549404</v>
      </c>
      <c r="J107">
        <v>112479796.73473001</v>
      </c>
      <c r="K107">
        <v>0.172247557416455</v>
      </c>
      <c r="L107">
        <v>3.90867862779938E-2</v>
      </c>
      <c r="M107">
        <v>7068.8753025549404</v>
      </c>
      <c r="N107">
        <v>112479796.73473001</v>
      </c>
      <c r="O107">
        <v>0.42488402668717301</v>
      </c>
      <c r="P107">
        <v>0.107873228593229</v>
      </c>
      <c r="Q107">
        <v>0.52106679423548397</v>
      </c>
      <c r="R107">
        <v>0.249556190181005</v>
      </c>
      <c r="S107">
        <v>0.82675771673224296</v>
      </c>
      <c r="T107">
        <v>0.143229394556112</v>
      </c>
      <c r="U107">
        <v>106</v>
      </c>
    </row>
    <row r="108" spans="1:21" x14ac:dyDescent="0.25">
      <c r="A108">
        <v>107</v>
      </c>
      <c r="B108">
        <v>203</v>
      </c>
      <c r="C108" t="s">
        <v>23</v>
      </c>
      <c r="D108">
        <v>42</v>
      </c>
      <c r="E108" t="s">
        <v>24</v>
      </c>
      <c r="F108" t="s">
        <v>25</v>
      </c>
      <c r="G108">
        <v>14018.0160448529</v>
      </c>
      <c r="H108">
        <v>147761715.575468</v>
      </c>
      <c r="I108">
        <v>9629.0956442134393</v>
      </c>
      <c r="J108">
        <v>133513503.49646001</v>
      </c>
      <c r="K108">
        <v>0.105998201489324</v>
      </c>
      <c r="L108">
        <v>4.3776599662072702E-2</v>
      </c>
      <c r="M108">
        <v>9629.0956442134393</v>
      </c>
      <c r="N108">
        <v>133513503.49646001</v>
      </c>
      <c r="O108">
        <v>0.339917262366494</v>
      </c>
      <c r="P108">
        <v>0.123598385668632</v>
      </c>
      <c r="Q108">
        <v>0.43064385270219502</v>
      </c>
      <c r="R108">
        <v>0.24518972483201601</v>
      </c>
      <c r="S108">
        <v>0.70167110680552203</v>
      </c>
      <c r="T108">
        <v>0.209328764680108</v>
      </c>
      <c r="U108">
        <v>68</v>
      </c>
    </row>
    <row r="109" spans="1:21" x14ac:dyDescent="0.25">
      <c r="A109">
        <v>108</v>
      </c>
      <c r="B109">
        <v>204</v>
      </c>
      <c r="C109" t="s">
        <v>23</v>
      </c>
      <c r="D109">
        <v>42</v>
      </c>
      <c r="E109" t="s">
        <v>24</v>
      </c>
      <c r="F109" t="s">
        <v>25</v>
      </c>
      <c r="G109">
        <v>11954.806948929599</v>
      </c>
      <c r="H109">
        <v>102389106.261272</v>
      </c>
      <c r="I109">
        <v>8734.8074145904702</v>
      </c>
      <c r="J109">
        <v>121789575.874589</v>
      </c>
      <c r="K109">
        <v>0.14197556263223499</v>
      </c>
      <c r="L109">
        <v>5.3256041715890802E-2</v>
      </c>
      <c r="M109">
        <v>8734.8074145904702</v>
      </c>
      <c r="N109">
        <v>121789575.874589</v>
      </c>
      <c r="O109">
        <v>0.36439524882305202</v>
      </c>
      <c r="P109">
        <v>0.12977485597407701</v>
      </c>
      <c r="Q109">
        <v>0.44989833751943498</v>
      </c>
      <c r="R109">
        <v>0.247489823416433</v>
      </c>
      <c r="S109">
        <v>0.66478896822264499</v>
      </c>
      <c r="T109">
        <v>0.22284459595207501</v>
      </c>
      <c r="U109">
        <v>68</v>
      </c>
    </row>
    <row r="110" spans="1:21" x14ac:dyDescent="0.25">
      <c r="A110">
        <v>109</v>
      </c>
      <c r="B110">
        <v>205</v>
      </c>
      <c r="C110" t="s">
        <v>23</v>
      </c>
      <c r="D110">
        <v>42</v>
      </c>
      <c r="E110" t="s">
        <v>24</v>
      </c>
      <c r="F110" t="s">
        <v>25</v>
      </c>
      <c r="G110">
        <v>14420.0273744406</v>
      </c>
      <c r="H110">
        <v>162688938.59793299</v>
      </c>
      <c r="I110">
        <v>7065.3925929468896</v>
      </c>
      <c r="J110">
        <v>120404192.11280601</v>
      </c>
      <c r="K110">
        <v>0.13793269822958801</v>
      </c>
      <c r="L110">
        <v>4.27805022350689E-2</v>
      </c>
      <c r="M110">
        <v>7065.3925929468896</v>
      </c>
      <c r="N110">
        <v>120404192.11280601</v>
      </c>
      <c r="O110">
        <v>0.38922478281252398</v>
      </c>
      <c r="P110">
        <v>0.121579246176466</v>
      </c>
      <c r="Q110">
        <v>0.47171805072103401</v>
      </c>
      <c r="R110">
        <v>0.24920013134518301</v>
      </c>
      <c r="S110">
        <v>0.495754441364049</v>
      </c>
      <c r="T110">
        <v>0.249981975231826</v>
      </c>
      <c r="U110">
        <v>28</v>
      </c>
    </row>
    <row r="111" spans="1:21" x14ac:dyDescent="0.25">
      <c r="A111">
        <v>110</v>
      </c>
      <c r="B111">
        <v>206</v>
      </c>
      <c r="C111" t="s">
        <v>23</v>
      </c>
      <c r="D111">
        <v>42</v>
      </c>
      <c r="E111" t="s">
        <v>24</v>
      </c>
      <c r="F111" t="s">
        <v>25</v>
      </c>
      <c r="G111">
        <v>13617.378051260001</v>
      </c>
      <c r="H111">
        <v>144526038.82752201</v>
      </c>
      <c r="I111">
        <v>7430.9042415911099</v>
      </c>
      <c r="J111">
        <v>110160153.129621</v>
      </c>
      <c r="K111">
        <v>0.12393117026301</v>
      </c>
      <c r="L111">
        <v>3.81999097438665E-2</v>
      </c>
      <c r="M111">
        <v>7430.9042415911099</v>
      </c>
      <c r="N111">
        <v>110160153.129621</v>
      </c>
      <c r="O111">
        <v>0.37579667971158598</v>
      </c>
      <c r="P111">
        <v>0.112917947601315</v>
      </c>
      <c r="Q111">
        <v>0.46218889407149599</v>
      </c>
      <c r="R111">
        <v>0.24857032026834899</v>
      </c>
      <c r="S111">
        <v>0.65087964790164199</v>
      </c>
      <c r="T111">
        <v>0.22723533184924399</v>
      </c>
      <c r="U111">
        <v>64</v>
      </c>
    </row>
    <row r="112" spans="1:21" x14ac:dyDescent="0.25">
      <c r="A112">
        <v>111</v>
      </c>
      <c r="B112">
        <v>207</v>
      </c>
      <c r="C112" t="s">
        <v>23</v>
      </c>
      <c r="D112">
        <v>42</v>
      </c>
      <c r="E112" t="s">
        <v>24</v>
      </c>
      <c r="F112" t="s">
        <v>25</v>
      </c>
      <c r="G112">
        <v>11747.952813485301</v>
      </c>
      <c r="H112">
        <v>133090224.01454601</v>
      </c>
      <c r="I112">
        <v>8619.2390411921897</v>
      </c>
      <c r="J112">
        <v>96201807.380096406</v>
      </c>
      <c r="K112">
        <v>9.6588966207640306E-2</v>
      </c>
      <c r="L112">
        <v>3.8507993801097901E-2</v>
      </c>
      <c r="M112">
        <v>8619.2390411921897</v>
      </c>
      <c r="N112">
        <v>96201807.380096406</v>
      </c>
      <c r="O112">
        <v>0.33089606138753203</v>
      </c>
      <c r="P112">
        <v>0.11768288587631701</v>
      </c>
      <c r="Q112">
        <v>0.402401164200825</v>
      </c>
      <c r="R112">
        <v>0.24047446725063201</v>
      </c>
      <c r="S112">
        <v>0.69017296169614095</v>
      </c>
      <c r="T112">
        <v>0.213834244639525</v>
      </c>
      <c r="U112">
        <v>54</v>
      </c>
    </row>
    <row r="113" spans="1:21" x14ac:dyDescent="0.25">
      <c r="A113">
        <v>112</v>
      </c>
      <c r="B113">
        <v>208</v>
      </c>
      <c r="C113" t="s">
        <v>23</v>
      </c>
      <c r="D113">
        <v>42</v>
      </c>
      <c r="E113" t="s">
        <v>24</v>
      </c>
      <c r="F113" t="s">
        <v>25</v>
      </c>
      <c r="G113">
        <v>13111.1678340451</v>
      </c>
      <c r="H113">
        <v>148065793.544204</v>
      </c>
      <c r="I113">
        <v>9451.6835444337594</v>
      </c>
      <c r="J113">
        <v>116129005.41230001</v>
      </c>
      <c r="K113">
        <v>8.9832784203364893E-2</v>
      </c>
      <c r="L113">
        <v>3.83591082232509E-2</v>
      </c>
      <c r="M113">
        <v>9451.6835444337594</v>
      </c>
      <c r="N113">
        <v>116129005.41230001</v>
      </c>
      <c r="O113">
        <v>0.32779791720728502</v>
      </c>
      <c r="P113">
        <v>0.11995335022666601</v>
      </c>
      <c r="Q113">
        <v>0.41079926784624798</v>
      </c>
      <c r="R113">
        <v>0.24204322938328701</v>
      </c>
      <c r="S113">
        <v>0.83929660996265798</v>
      </c>
      <c r="T113">
        <v>0.13487781046772199</v>
      </c>
      <c r="U113">
        <v>80</v>
      </c>
    </row>
    <row r="114" spans="1:21" x14ac:dyDescent="0.25">
      <c r="A114">
        <v>113</v>
      </c>
      <c r="B114">
        <v>209</v>
      </c>
      <c r="C114" t="s">
        <v>23</v>
      </c>
      <c r="D114">
        <v>42</v>
      </c>
      <c r="E114" t="s">
        <v>24</v>
      </c>
      <c r="F114" t="s">
        <v>25</v>
      </c>
      <c r="G114">
        <v>14462.832266784701</v>
      </c>
      <c r="H114">
        <v>163271903.683851</v>
      </c>
      <c r="I114">
        <v>8151.0947305732798</v>
      </c>
      <c r="J114">
        <v>141600622.453747</v>
      </c>
      <c r="K114">
        <v>0.13124405687455901</v>
      </c>
      <c r="L114">
        <v>4.3521786710641601E-2</v>
      </c>
      <c r="M114">
        <v>8151.0947305732798</v>
      </c>
      <c r="N114">
        <v>141600622.453747</v>
      </c>
      <c r="O114">
        <v>0.38333319543925598</v>
      </c>
      <c r="P114">
        <v>0.120007240101204</v>
      </c>
      <c r="Q114">
        <v>0.45786634450916802</v>
      </c>
      <c r="R114">
        <v>0.24822475507501501</v>
      </c>
      <c r="S114">
        <v>0.61014374895357504</v>
      </c>
      <c r="T114">
        <v>0.23786835456637101</v>
      </c>
      <c r="U114">
        <v>38</v>
      </c>
    </row>
    <row r="115" spans="1:21" x14ac:dyDescent="0.25">
      <c r="A115">
        <v>114</v>
      </c>
      <c r="B115">
        <v>210</v>
      </c>
      <c r="C115" t="s">
        <v>23</v>
      </c>
      <c r="D115">
        <v>42</v>
      </c>
      <c r="E115" t="s">
        <v>24</v>
      </c>
      <c r="F115" t="s">
        <v>25</v>
      </c>
      <c r="G115">
        <v>15246.245834278699</v>
      </c>
      <c r="H115">
        <v>136926400.69247001</v>
      </c>
      <c r="I115">
        <v>5914.0602069577599</v>
      </c>
      <c r="J115">
        <v>126947850.859506</v>
      </c>
      <c r="K115">
        <v>0.21114445667093801</v>
      </c>
      <c r="L115">
        <v>4.2414553399043299E-2</v>
      </c>
      <c r="M115">
        <v>5914.0602069577599</v>
      </c>
      <c r="N115">
        <v>126947850.859506</v>
      </c>
      <c r="O115">
        <v>0.48316761744773601</v>
      </c>
      <c r="P115">
        <v>0.111876181147231</v>
      </c>
      <c r="Q115">
        <v>0.55738738057425197</v>
      </c>
      <c r="R115">
        <v>0.24670668855101699</v>
      </c>
      <c r="S115">
        <v>0.72758785861947295</v>
      </c>
      <c r="T115">
        <v>0.19820376660925401</v>
      </c>
      <c r="U115">
        <v>44</v>
      </c>
    </row>
    <row r="116" spans="1:21" x14ac:dyDescent="0.25">
      <c r="A116">
        <v>115</v>
      </c>
      <c r="B116">
        <v>211</v>
      </c>
      <c r="C116" t="s">
        <v>23</v>
      </c>
      <c r="D116">
        <v>42</v>
      </c>
      <c r="E116" t="s">
        <v>24</v>
      </c>
      <c r="F116" t="s">
        <v>25</v>
      </c>
      <c r="G116">
        <v>12130.3433910699</v>
      </c>
      <c r="H116">
        <v>125937436.505638</v>
      </c>
      <c r="I116">
        <v>7935.4866719286201</v>
      </c>
      <c r="J116">
        <v>116100668.541756</v>
      </c>
      <c r="K116">
        <v>0.17177138002723899</v>
      </c>
      <c r="L116">
        <v>4.7800031428873901E-2</v>
      </c>
      <c r="M116">
        <v>7935.4866719286201</v>
      </c>
      <c r="N116">
        <v>116100668.541756</v>
      </c>
      <c r="O116">
        <v>0.410556757727851</v>
      </c>
      <c r="P116">
        <v>0.106685672658882</v>
      </c>
      <c r="Q116">
        <v>0.44863414213785402</v>
      </c>
      <c r="R116">
        <v>0.24736154864597601</v>
      </c>
      <c r="S116">
        <v>0.72931081180902702</v>
      </c>
      <c r="T116">
        <v>0.19741655158750199</v>
      </c>
      <c r="U116">
        <v>54</v>
      </c>
    </row>
    <row r="117" spans="1:21" x14ac:dyDescent="0.25">
      <c r="A117">
        <v>116</v>
      </c>
      <c r="B117">
        <v>212</v>
      </c>
      <c r="C117" t="s">
        <v>23</v>
      </c>
      <c r="D117">
        <v>42</v>
      </c>
      <c r="E117" t="s">
        <v>24</v>
      </c>
      <c r="F117" t="s">
        <v>25</v>
      </c>
      <c r="G117">
        <v>10490.3961776736</v>
      </c>
      <c r="H117">
        <v>121039263.279908</v>
      </c>
      <c r="I117">
        <v>10249.3836940976</v>
      </c>
      <c r="J117">
        <v>110072881.91483399</v>
      </c>
      <c r="K117">
        <v>0.104703666947846</v>
      </c>
      <c r="L117">
        <v>3.8647352484795498E-2</v>
      </c>
      <c r="M117">
        <v>10249.3836940976</v>
      </c>
      <c r="N117">
        <v>110072881.91483399</v>
      </c>
      <c r="O117">
        <v>0.33685471982078402</v>
      </c>
      <c r="P117">
        <v>9.9332758782712693E-2</v>
      </c>
      <c r="Q117">
        <v>0.35970052861960899</v>
      </c>
      <c r="R117">
        <v>0.230316058330295</v>
      </c>
      <c r="S117">
        <v>0.485858815369345</v>
      </c>
      <c r="T117">
        <v>0.24980002689744699</v>
      </c>
      <c r="U117">
        <v>22</v>
      </c>
    </row>
    <row r="118" spans="1:21" x14ac:dyDescent="0.25">
      <c r="A118">
        <v>117</v>
      </c>
      <c r="B118">
        <v>301</v>
      </c>
      <c r="C118" t="s">
        <v>23</v>
      </c>
      <c r="D118">
        <v>42</v>
      </c>
      <c r="E118" t="s">
        <v>24</v>
      </c>
      <c r="F118" t="s">
        <v>25</v>
      </c>
      <c r="G118">
        <v>14780.727609240899</v>
      </c>
      <c r="H118">
        <v>143866820.25570899</v>
      </c>
      <c r="I118">
        <v>8191.5088580394604</v>
      </c>
      <c r="J118">
        <v>113852735.422718</v>
      </c>
      <c r="K118">
        <v>0.14407855484657001</v>
      </c>
      <c r="L118">
        <v>3.7148684412750099E-2</v>
      </c>
      <c r="M118">
        <v>8191.5088580394604</v>
      </c>
      <c r="N118">
        <v>113852735.422718</v>
      </c>
      <c r="O118">
        <v>0.39472872001298998</v>
      </c>
      <c r="P118">
        <v>0.114471756728299</v>
      </c>
      <c r="Q118">
        <v>0.52055802064242296</v>
      </c>
      <c r="R118">
        <v>0.24957736778728101</v>
      </c>
      <c r="S118">
        <v>0.67842025927042504</v>
      </c>
      <c r="T118">
        <v>0.21816621108206</v>
      </c>
      <c r="U118">
        <v>58</v>
      </c>
    </row>
    <row r="119" spans="1:21" x14ac:dyDescent="0.25">
      <c r="A119">
        <v>118</v>
      </c>
      <c r="B119">
        <v>302</v>
      </c>
      <c r="C119" t="s">
        <v>23</v>
      </c>
      <c r="D119">
        <v>42</v>
      </c>
      <c r="E119" t="s">
        <v>24</v>
      </c>
      <c r="F119" t="s">
        <v>25</v>
      </c>
      <c r="G119">
        <v>17668.544281391602</v>
      </c>
      <c r="H119">
        <v>204073247.938375</v>
      </c>
      <c r="I119">
        <v>8494.2458995616998</v>
      </c>
      <c r="J119">
        <v>133428368.44750699</v>
      </c>
      <c r="K119">
        <v>0.115217195560014</v>
      </c>
      <c r="L119">
        <v>3.3235943449718801E-2</v>
      </c>
      <c r="M119">
        <v>8494.2458995616998</v>
      </c>
      <c r="N119">
        <v>133428368.44750699</v>
      </c>
      <c r="O119">
        <v>0.38120059258747002</v>
      </c>
      <c r="P119">
        <v>0.114533603622869</v>
      </c>
      <c r="Q119">
        <v>0.51252795617906299</v>
      </c>
      <c r="R119">
        <v>0.249843050313936</v>
      </c>
      <c r="S119">
        <v>0.72769239968905097</v>
      </c>
      <c r="T119">
        <v>0.19815617112400599</v>
      </c>
      <c r="U119">
        <v>76</v>
      </c>
    </row>
    <row r="120" spans="1:21" x14ac:dyDescent="0.25">
      <c r="A120">
        <v>119</v>
      </c>
      <c r="B120">
        <v>303</v>
      </c>
      <c r="C120" t="s">
        <v>23</v>
      </c>
      <c r="D120">
        <v>42</v>
      </c>
      <c r="E120" t="s">
        <v>24</v>
      </c>
      <c r="F120" t="s">
        <v>25</v>
      </c>
      <c r="G120">
        <v>21665.434589164</v>
      </c>
      <c r="H120">
        <v>209937308.68157899</v>
      </c>
      <c r="I120">
        <v>4651.3325708862503</v>
      </c>
      <c r="J120">
        <v>126636459.548944</v>
      </c>
      <c r="K120">
        <v>0.16911431014294001</v>
      </c>
      <c r="L120">
        <v>2.9540949942091499E-2</v>
      </c>
      <c r="M120">
        <v>4651.3325708862503</v>
      </c>
      <c r="N120">
        <v>126636459.548944</v>
      </c>
      <c r="O120">
        <v>0.482725626687323</v>
      </c>
      <c r="P120">
        <v>0.100448134378153</v>
      </c>
      <c r="Q120">
        <v>0.61807200095682302</v>
      </c>
      <c r="R120">
        <v>0.23605900258986401</v>
      </c>
      <c r="S120">
        <v>0.59018922992272904</v>
      </c>
      <c r="T120">
        <v>0.241865902806146</v>
      </c>
      <c r="U120">
        <v>46</v>
      </c>
    </row>
    <row r="121" spans="1:21" x14ac:dyDescent="0.25">
      <c r="A121">
        <v>120</v>
      </c>
      <c r="B121">
        <v>304</v>
      </c>
      <c r="C121" t="s">
        <v>23</v>
      </c>
      <c r="D121">
        <v>42</v>
      </c>
      <c r="E121" t="s">
        <v>24</v>
      </c>
      <c r="F121" t="s">
        <v>25</v>
      </c>
      <c r="G121">
        <v>20522.802416123399</v>
      </c>
      <c r="H121">
        <v>224374049.05411401</v>
      </c>
      <c r="I121">
        <v>6135.6229445939998</v>
      </c>
      <c r="J121">
        <v>140084298.20809299</v>
      </c>
      <c r="K121">
        <v>0.13049826089990901</v>
      </c>
      <c r="L121">
        <v>3.1071665125262101E-2</v>
      </c>
      <c r="M121">
        <v>6135.6229445939998</v>
      </c>
      <c r="N121">
        <v>140084298.20809299</v>
      </c>
      <c r="O121">
        <v>0.43012148291942698</v>
      </c>
      <c r="P121">
        <v>0.111641129173911</v>
      </c>
      <c r="Q121">
        <v>0.569009030560373</v>
      </c>
      <c r="R121">
        <v>0.24523775370116699</v>
      </c>
      <c r="S121">
        <v>0.60122471923550702</v>
      </c>
      <c r="T121">
        <v>0.239753556215862</v>
      </c>
      <c r="U121">
        <v>42</v>
      </c>
    </row>
    <row r="122" spans="1:21" x14ac:dyDescent="0.25">
      <c r="A122">
        <v>121</v>
      </c>
      <c r="B122">
        <v>305</v>
      </c>
      <c r="C122" t="s">
        <v>23</v>
      </c>
      <c r="D122">
        <v>42</v>
      </c>
      <c r="E122" t="s">
        <v>24</v>
      </c>
      <c r="F122" t="s">
        <v>25</v>
      </c>
      <c r="G122">
        <v>19855.5278392441</v>
      </c>
      <c r="H122">
        <v>247819208.92559499</v>
      </c>
      <c r="I122">
        <v>6704.5388592373301</v>
      </c>
      <c r="J122">
        <v>139084444.31884199</v>
      </c>
      <c r="K122">
        <v>0.107286449212669</v>
      </c>
      <c r="L122">
        <v>2.9583706126083999E-2</v>
      </c>
      <c r="M122">
        <v>6704.5388592373301</v>
      </c>
      <c r="N122">
        <v>139084444.31884199</v>
      </c>
      <c r="O122">
        <v>0.40235230902993702</v>
      </c>
      <c r="P122">
        <v>0.114364276912388</v>
      </c>
      <c r="Q122">
        <v>0.53438191495723897</v>
      </c>
      <c r="R122">
        <v>0.24881788392402901</v>
      </c>
      <c r="S122">
        <v>0.58305027986413405</v>
      </c>
      <c r="T122">
        <v>0.24310265101457601</v>
      </c>
      <c r="U122">
        <v>28</v>
      </c>
    </row>
    <row r="123" spans="1:21" x14ac:dyDescent="0.25">
      <c r="A123">
        <v>122</v>
      </c>
      <c r="B123">
        <v>306</v>
      </c>
      <c r="C123" t="s">
        <v>23</v>
      </c>
      <c r="D123">
        <v>42</v>
      </c>
      <c r="E123" t="s">
        <v>24</v>
      </c>
      <c r="F123" t="s">
        <v>25</v>
      </c>
      <c r="G123">
        <v>15366.7010536135</v>
      </c>
      <c r="H123">
        <v>223054010.62869999</v>
      </c>
      <c r="I123">
        <v>8010.6460946957604</v>
      </c>
      <c r="J123">
        <v>115824329.981912</v>
      </c>
      <c r="K123">
        <v>7.4874435483584606E-2</v>
      </c>
      <c r="L123">
        <v>2.96643483444596E-2</v>
      </c>
      <c r="M123">
        <v>8010.6460946957604</v>
      </c>
      <c r="N123">
        <v>115824329.981912</v>
      </c>
      <c r="O123">
        <v>0.332261174291824</v>
      </c>
      <c r="P123">
        <v>0.112613349591818</v>
      </c>
      <c r="Q123">
        <v>0.44526830668404699</v>
      </c>
      <c r="R123">
        <v>0.24700444174681399</v>
      </c>
      <c r="S123">
        <v>0.78348123519984703</v>
      </c>
      <c r="T123">
        <v>0.16963838928941399</v>
      </c>
      <c r="U123">
        <v>54</v>
      </c>
    </row>
    <row r="124" spans="1:21" x14ac:dyDescent="0.25">
      <c r="A124">
        <v>123</v>
      </c>
      <c r="B124">
        <v>307</v>
      </c>
      <c r="C124" t="s">
        <v>23</v>
      </c>
      <c r="D124">
        <v>42</v>
      </c>
      <c r="E124" t="s">
        <v>24</v>
      </c>
      <c r="F124" t="s">
        <v>25</v>
      </c>
      <c r="G124">
        <v>16098.557046498299</v>
      </c>
      <c r="H124">
        <v>206795129.053983</v>
      </c>
      <c r="I124">
        <v>7453.7007980602102</v>
      </c>
      <c r="J124">
        <v>114075056.22083101</v>
      </c>
      <c r="K124">
        <v>9.2284981845226502E-2</v>
      </c>
      <c r="L124">
        <v>2.9206633224068499E-2</v>
      </c>
      <c r="M124">
        <v>7453.7007980602102</v>
      </c>
      <c r="N124">
        <v>114075056.22083101</v>
      </c>
      <c r="O124">
        <v>0.36287535466071802</v>
      </c>
      <c r="P124">
        <v>0.113525317287769</v>
      </c>
      <c r="Q124">
        <v>0.48000382701875199</v>
      </c>
      <c r="R124">
        <v>0.249600153066143</v>
      </c>
      <c r="S124">
        <v>0.59078733377977599</v>
      </c>
      <c r="T124">
        <v>0.24175766002490401</v>
      </c>
      <c r="U124">
        <v>68</v>
      </c>
    </row>
    <row r="125" spans="1:21" x14ac:dyDescent="0.25">
      <c r="A125">
        <v>124</v>
      </c>
      <c r="B125">
        <v>308</v>
      </c>
      <c r="C125" t="s">
        <v>23</v>
      </c>
      <c r="D125">
        <v>42</v>
      </c>
      <c r="E125" t="s">
        <v>24</v>
      </c>
      <c r="F125" t="s">
        <v>25</v>
      </c>
      <c r="G125">
        <v>17577.734632127798</v>
      </c>
      <c r="H125">
        <v>210132487.758497</v>
      </c>
      <c r="I125">
        <v>8303.6632418369009</v>
      </c>
      <c r="J125">
        <v>130047303.111573</v>
      </c>
      <c r="K125">
        <v>8.7501788579489204E-2</v>
      </c>
      <c r="L125">
        <v>3.11347750043049E-2</v>
      </c>
      <c r="M125">
        <v>8303.6632418369009</v>
      </c>
      <c r="N125">
        <v>130047303.111573</v>
      </c>
      <c r="O125">
        <v>0.36969159034246002</v>
      </c>
      <c r="P125">
        <v>0.11602542110019801</v>
      </c>
      <c r="Q125">
        <v>0.50702018752391897</v>
      </c>
      <c r="R125">
        <v>0.24995071696725599</v>
      </c>
      <c r="S125">
        <v>0.80916386599849299</v>
      </c>
      <c r="T125">
        <v>0.15441770396110099</v>
      </c>
      <c r="U125">
        <v>80</v>
      </c>
    </row>
    <row r="126" spans="1:21" x14ac:dyDescent="0.25">
      <c r="A126">
        <v>125</v>
      </c>
      <c r="B126">
        <v>309</v>
      </c>
      <c r="C126" t="s">
        <v>23</v>
      </c>
      <c r="D126">
        <v>42</v>
      </c>
      <c r="E126" t="s">
        <v>24</v>
      </c>
      <c r="F126" t="s">
        <v>25</v>
      </c>
      <c r="G126">
        <v>10034.6433303834</v>
      </c>
      <c r="H126">
        <v>122380378.318385</v>
      </c>
      <c r="I126">
        <v>12776.974433974599</v>
      </c>
      <c r="J126">
        <v>123918396.61923499</v>
      </c>
      <c r="K126">
        <v>4.5121907664969901E-2</v>
      </c>
      <c r="L126">
        <v>3.8963238344489698E-2</v>
      </c>
      <c r="M126">
        <v>12776.974433974599</v>
      </c>
      <c r="N126">
        <v>123918396.61923499</v>
      </c>
      <c r="O126">
        <v>0.23147745959194099</v>
      </c>
      <c r="P126">
        <v>0.113762110485975</v>
      </c>
      <c r="Q126">
        <v>0.30382214355760701</v>
      </c>
      <c r="R126">
        <v>0.211514248641748</v>
      </c>
      <c r="S126">
        <v>0.70411299678279704</v>
      </c>
      <c r="T126">
        <v>0.20833788454424401</v>
      </c>
      <c r="U126">
        <v>62</v>
      </c>
    </row>
    <row r="127" spans="1:21" x14ac:dyDescent="0.25">
      <c r="A127">
        <v>126</v>
      </c>
      <c r="B127">
        <v>310</v>
      </c>
      <c r="C127" t="s">
        <v>23</v>
      </c>
      <c r="D127">
        <v>42</v>
      </c>
      <c r="E127" t="s">
        <v>24</v>
      </c>
      <c r="F127" t="s">
        <v>25</v>
      </c>
      <c r="G127">
        <v>16863.353204315499</v>
      </c>
      <c r="H127">
        <v>191955065.059874</v>
      </c>
      <c r="I127">
        <v>6344.1957082705003</v>
      </c>
      <c r="J127">
        <v>120991631.770174</v>
      </c>
      <c r="K127">
        <v>0.16133536354643099</v>
      </c>
      <c r="L127">
        <v>3.1639544723466598E-2</v>
      </c>
      <c r="M127">
        <v>6344.1957082705003</v>
      </c>
      <c r="N127">
        <v>120991631.770174</v>
      </c>
      <c r="O127">
        <v>0.44599320974786699</v>
      </c>
      <c r="P127">
        <v>0.10950231123408601</v>
      </c>
      <c r="Q127">
        <v>0.53953065569456704</v>
      </c>
      <c r="R127">
        <v>0.24843732726013901</v>
      </c>
      <c r="S127">
        <v>0.67664928479165698</v>
      </c>
      <c r="T127">
        <v>0.21879503018268601</v>
      </c>
      <c r="U127">
        <v>76</v>
      </c>
    </row>
    <row r="128" spans="1:21" x14ac:dyDescent="0.25">
      <c r="A128">
        <v>127</v>
      </c>
      <c r="B128">
        <v>311</v>
      </c>
      <c r="C128" t="s">
        <v>23</v>
      </c>
      <c r="D128">
        <v>42</v>
      </c>
      <c r="E128" t="s">
        <v>24</v>
      </c>
      <c r="F128" t="s">
        <v>25</v>
      </c>
      <c r="G128">
        <v>13106.5526589567</v>
      </c>
      <c r="H128">
        <v>137585476.012227</v>
      </c>
      <c r="I128">
        <v>9588.5067204788393</v>
      </c>
      <c r="J128">
        <v>134034851.339122</v>
      </c>
      <c r="K128">
        <v>0.12845204032435401</v>
      </c>
      <c r="L128">
        <v>3.9826246419565801E-2</v>
      </c>
      <c r="M128">
        <v>9588.5067204788393</v>
      </c>
      <c r="N128">
        <v>134034851.339122</v>
      </c>
      <c r="O128">
        <v>0.36732270391942601</v>
      </c>
      <c r="P128">
        <v>0.106366651171138</v>
      </c>
      <c r="Q128">
        <v>0.44120778089615798</v>
      </c>
      <c r="R128">
        <v>0.246543474973001</v>
      </c>
      <c r="S128">
        <v>0.81342236415541702</v>
      </c>
      <c r="T128">
        <v>0.15176642164703399</v>
      </c>
      <c r="U128">
        <v>78</v>
      </c>
    </row>
    <row r="129" spans="1:21" x14ac:dyDescent="0.25">
      <c r="A129">
        <v>128</v>
      </c>
      <c r="B129">
        <v>312</v>
      </c>
      <c r="C129" t="s">
        <v>23</v>
      </c>
      <c r="D129">
        <v>42</v>
      </c>
      <c r="E129" t="s">
        <v>24</v>
      </c>
      <c r="F129" t="s">
        <v>25</v>
      </c>
      <c r="G129">
        <v>7993.2481433201401</v>
      </c>
      <c r="H129">
        <v>76301726.951412305</v>
      </c>
      <c r="I129">
        <v>12896.1705012038</v>
      </c>
      <c r="J129">
        <v>97100921.424288005</v>
      </c>
      <c r="K129">
        <v>7.2699403720164299E-2</v>
      </c>
      <c r="L129">
        <v>3.4876756459170898E-2</v>
      </c>
      <c r="M129">
        <v>12896.1705012038</v>
      </c>
      <c r="N129">
        <v>97100921.424288005</v>
      </c>
      <c r="O129">
        <v>0.26454783162193501</v>
      </c>
      <c r="P129">
        <v>8.5631491776416394E-2</v>
      </c>
      <c r="Q129">
        <v>0.27732398914096401</v>
      </c>
      <c r="R129">
        <v>0.200415394187794</v>
      </c>
      <c r="S129">
        <v>0.78953097525089999</v>
      </c>
      <c r="T129">
        <v>0.16617181437045001</v>
      </c>
      <c r="U129">
        <v>116</v>
      </c>
    </row>
    <row r="130" spans="1:21" x14ac:dyDescent="0.25">
      <c r="A130">
        <v>129</v>
      </c>
      <c r="B130">
        <v>401</v>
      </c>
      <c r="C130" t="s">
        <v>23</v>
      </c>
      <c r="D130">
        <v>42</v>
      </c>
      <c r="E130" t="s">
        <v>24</v>
      </c>
      <c r="F130" t="s">
        <v>25</v>
      </c>
      <c r="G130">
        <v>11663.442387274201</v>
      </c>
      <c r="H130">
        <v>107766527.399197</v>
      </c>
      <c r="I130">
        <v>10570.525927721799</v>
      </c>
      <c r="J130">
        <v>125747597.741419</v>
      </c>
      <c r="K130">
        <v>0.119731419934497</v>
      </c>
      <c r="L130">
        <v>4.3521486299312802E-2</v>
      </c>
      <c r="M130">
        <v>10570.525927721799</v>
      </c>
      <c r="N130">
        <v>125747597.741419</v>
      </c>
      <c r="O130">
        <v>0.35212471855907101</v>
      </c>
      <c r="P130">
        <v>0.117711233737847</v>
      </c>
      <c r="Q130">
        <v>0.456787465614161</v>
      </c>
      <c r="R130">
        <v>0.24813267687218399</v>
      </c>
      <c r="S130">
        <v>0.83931155736822605</v>
      </c>
      <c r="T130">
        <v>0.134867667036561</v>
      </c>
      <c r="U130">
        <v>80</v>
      </c>
    </row>
    <row r="131" spans="1:21" x14ac:dyDescent="0.25">
      <c r="A131">
        <v>130</v>
      </c>
      <c r="B131">
        <v>402</v>
      </c>
      <c r="C131" t="s">
        <v>23</v>
      </c>
      <c r="D131">
        <v>42</v>
      </c>
      <c r="E131" t="s">
        <v>24</v>
      </c>
      <c r="F131" t="s">
        <v>25</v>
      </c>
      <c r="G131">
        <v>13459.8351270644</v>
      </c>
      <c r="H131">
        <v>137072902.15909299</v>
      </c>
      <c r="I131">
        <v>9647.9094181768796</v>
      </c>
      <c r="J131">
        <v>115526274.56243899</v>
      </c>
      <c r="K131">
        <v>0.13304519463510101</v>
      </c>
      <c r="L131">
        <v>3.5438865672736998E-2</v>
      </c>
      <c r="M131">
        <v>9647.9094181768796</v>
      </c>
      <c r="N131">
        <v>115526274.56243899</v>
      </c>
      <c r="O131">
        <v>0.36832934243361298</v>
      </c>
      <c r="P131">
        <v>0.102557255073908</v>
      </c>
      <c r="Q131">
        <v>0.448570906210007</v>
      </c>
      <c r="R131">
        <v>0.247355048312002</v>
      </c>
      <c r="S131">
        <v>0.93628430751230896</v>
      </c>
      <c r="T131">
        <v>5.9656003018641303E-2</v>
      </c>
      <c r="U131">
        <v>158</v>
      </c>
    </row>
    <row r="132" spans="1:21" x14ac:dyDescent="0.25">
      <c r="A132">
        <v>131</v>
      </c>
      <c r="B132">
        <v>403</v>
      </c>
      <c r="C132" t="s">
        <v>23</v>
      </c>
      <c r="D132">
        <v>42</v>
      </c>
      <c r="E132" t="s">
        <v>24</v>
      </c>
      <c r="F132" t="s">
        <v>25</v>
      </c>
      <c r="G132">
        <v>17840.3131218905</v>
      </c>
      <c r="H132">
        <v>183532383.91219199</v>
      </c>
      <c r="I132">
        <v>7125.5078945007799</v>
      </c>
      <c r="J132">
        <v>143842778.42301399</v>
      </c>
      <c r="K132">
        <v>0.148632477879726</v>
      </c>
      <c r="L132">
        <v>3.4761934493331197E-2</v>
      </c>
      <c r="M132">
        <v>7125.5078945007799</v>
      </c>
      <c r="N132">
        <v>143842778.42301399</v>
      </c>
      <c r="O132">
        <v>0.429807171446003</v>
      </c>
      <c r="P132">
        <v>0.10820490448848701</v>
      </c>
      <c r="Q132">
        <v>0.53847349789513999</v>
      </c>
      <c r="R132">
        <v>0.24851978995964999</v>
      </c>
      <c r="S132">
        <v>0.77121056282440703</v>
      </c>
      <c r="T132">
        <v>0.17644483061276001</v>
      </c>
      <c r="U132">
        <v>56</v>
      </c>
    </row>
    <row r="133" spans="1:21" x14ac:dyDescent="0.25">
      <c r="A133">
        <v>132</v>
      </c>
      <c r="B133">
        <v>404</v>
      </c>
      <c r="C133" t="s">
        <v>23</v>
      </c>
      <c r="D133">
        <v>42</v>
      </c>
      <c r="E133" t="s">
        <v>24</v>
      </c>
      <c r="F133" t="s">
        <v>25</v>
      </c>
      <c r="G133">
        <v>17386.6838322351</v>
      </c>
      <c r="H133">
        <v>222214612.71275601</v>
      </c>
      <c r="I133">
        <v>7548.5453650491199</v>
      </c>
      <c r="J133">
        <v>143905740.05057901</v>
      </c>
      <c r="K133">
        <v>0.12634588371937</v>
      </c>
      <c r="L133">
        <v>3.3208178040150999E-2</v>
      </c>
      <c r="M133">
        <v>7548.5453650491199</v>
      </c>
      <c r="N133">
        <v>143905740.05057901</v>
      </c>
      <c r="O133">
        <v>0.40093104437613603</v>
      </c>
      <c r="P133">
        <v>0.11197170412393299</v>
      </c>
      <c r="Q133">
        <v>0.50183575110324496</v>
      </c>
      <c r="R133">
        <v>0.24999663001796099</v>
      </c>
      <c r="S133">
        <v>0.63016024874431997</v>
      </c>
      <c r="T133">
        <v>0.233058309646474</v>
      </c>
      <c r="U133">
        <v>46</v>
      </c>
    </row>
    <row r="134" spans="1:21" x14ac:dyDescent="0.25">
      <c r="A134">
        <v>133</v>
      </c>
      <c r="B134">
        <v>405</v>
      </c>
      <c r="C134" t="s">
        <v>23</v>
      </c>
      <c r="D134">
        <v>42</v>
      </c>
      <c r="E134" t="s">
        <v>24</v>
      </c>
      <c r="F134" t="s">
        <v>25</v>
      </c>
      <c r="G134">
        <v>12616.5459449761</v>
      </c>
      <c r="H134">
        <v>149462593.028391</v>
      </c>
      <c r="I134">
        <v>12103.069903040099</v>
      </c>
      <c r="J134">
        <v>154088134.92436701</v>
      </c>
      <c r="K134">
        <v>6.9706473219181303E-2</v>
      </c>
      <c r="L134">
        <v>4.0843899995436098E-2</v>
      </c>
      <c r="M134">
        <v>12103.069903040099</v>
      </c>
      <c r="N134">
        <v>154088134.92436701</v>
      </c>
      <c r="O134">
        <v>0.29062154803571999</v>
      </c>
      <c r="P134">
        <v>0.118688960764296</v>
      </c>
      <c r="Q134">
        <v>0.36840909090909102</v>
      </c>
      <c r="R134">
        <v>0.23268383264439099</v>
      </c>
      <c r="S134">
        <v>0.70022483735170304</v>
      </c>
      <c r="T134">
        <v>0.209910014507252</v>
      </c>
      <c r="U134">
        <v>62</v>
      </c>
    </row>
    <row r="135" spans="1:21" x14ac:dyDescent="0.25">
      <c r="A135">
        <v>134</v>
      </c>
      <c r="B135">
        <v>406</v>
      </c>
      <c r="C135" t="s">
        <v>23</v>
      </c>
      <c r="D135">
        <v>42</v>
      </c>
      <c r="E135" t="s">
        <v>24</v>
      </c>
      <c r="F135" t="s">
        <v>25</v>
      </c>
      <c r="G135">
        <v>16317.2951921398</v>
      </c>
      <c r="H135">
        <v>250899025.36066699</v>
      </c>
      <c r="I135">
        <v>9487.4537765522291</v>
      </c>
      <c r="J135">
        <v>130899086.550125</v>
      </c>
      <c r="K135">
        <v>7.30857640595034E-2</v>
      </c>
      <c r="L135">
        <v>2.6243996582661602E-2</v>
      </c>
      <c r="M135">
        <v>9487.4537765522291</v>
      </c>
      <c r="N135">
        <v>130899086.550125</v>
      </c>
      <c r="O135">
        <v>0.33474485132355503</v>
      </c>
      <c r="P135">
        <v>0.107123623521032</v>
      </c>
      <c r="Q135">
        <v>0.43879205007356398</v>
      </c>
      <c r="R135">
        <v>0.24625358686604901</v>
      </c>
      <c r="S135">
        <v>0.54995885594593896</v>
      </c>
      <c r="T135">
        <v>0.24750411271286399</v>
      </c>
      <c r="U135">
        <v>22</v>
      </c>
    </row>
    <row r="136" spans="1:21" x14ac:dyDescent="0.25">
      <c r="A136">
        <v>135</v>
      </c>
      <c r="B136">
        <v>407</v>
      </c>
      <c r="C136" t="s">
        <v>23</v>
      </c>
      <c r="D136">
        <v>42</v>
      </c>
      <c r="E136" t="s">
        <v>24</v>
      </c>
      <c r="F136" t="s">
        <v>25</v>
      </c>
      <c r="G136">
        <v>17720.943970053599</v>
      </c>
      <c r="H136">
        <v>203810338.81913301</v>
      </c>
      <c r="I136">
        <v>7516.1094246712701</v>
      </c>
      <c r="J136">
        <v>153623831.43911299</v>
      </c>
      <c r="K136">
        <v>0.117111558942083</v>
      </c>
      <c r="L136">
        <v>3.91786480239395E-2</v>
      </c>
      <c r="M136">
        <v>7516.1094246712701</v>
      </c>
      <c r="N136">
        <v>153623831.43911299</v>
      </c>
      <c r="O136">
        <v>0.407431688474513</v>
      </c>
      <c r="P136">
        <v>0.12479849709331101</v>
      </c>
      <c r="Q136">
        <v>0.54326923076923095</v>
      </c>
      <c r="R136">
        <v>0.24812777366837499</v>
      </c>
      <c r="S136">
        <v>0.65460656149457597</v>
      </c>
      <c r="T136">
        <v>0.226096811143112</v>
      </c>
      <c r="U136">
        <v>52</v>
      </c>
    </row>
    <row r="137" spans="1:21" x14ac:dyDescent="0.25">
      <c r="A137">
        <v>136</v>
      </c>
      <c r="B137">
        <v>408</v>
      </c>
      <c r="C137" t="s">
        <v>23</v>
      </c>
      <c r="D137">
        <v>42</v>
      </c>
      <c r="E137" t="s">
        <v>24</v>
      </c>
      <c r="F137" t="s">
        <v>25</v>
      </c>
      <c r="G137">
        <v>14754.4575877267</v>
      </c>
      <c r="H137">
        <v>147007410.86783999</v>
      </c>
      <c r="I137">
        <v>9254.1091320410196</v>
      </c>
      <c r="J137">
        <v>129919678.648553</v>
      </c>
      <c r="K137">
        <v>0.127519292735639</v>
      </c>
      <c r="L137">
        <v>3.6717782741807301E-2</v>
      </c>
      <c r="M137">
        <v>9254.1091320410196</v>
      </c>
      <c r="N137">
        <v>129919678.648553</v>
      </c>
      <c r="O137">
        <v>0.38586755502289799</v>
      </c>
      <c r="P137">
        <v>0.105683961965427</v>
      </c>
      <c r="Q137">
        <v>0.49238939331904302</v>
      </c>
      <c r="R137">
        <v>0.24994207866573001</v>
      </c>
      <c r="S137">
        <v>0.93671053740652899</v>
      </c>
      <c r="T137">
        <v>5.9283906518209202E-2</v>
      </c>
      <c r="U137">
        <v>178</v>
      </c>
    </row>
    <row r="138" spans="1:21" x14ac:dyDescent="0.25">
      <c r="A138">
        <v>137</v>
      </c>
      <c r="B138">
        <v>409</v>
      </c>
      <c r="C138" t="s">
        <v>23</v>
      </c>
      <c r="D138">
        <v>42</v>
      </c>
      <c r="E138" t="s">
        <v>24</v>
      </c>
      <c r="F138" t="s">
        <v>25</v>
      </c>
      <c r="G138">
        <v>14124.3824405296</v>
      </c>
      <c r="H138">
        <v>164115527.59128001</v>
      </c>
      <c r="I138">
        <v>8411.8708240161704</v>
      </c>
      <c r="J138">
        <v>134986604.74002299</v>
      </c>
      <c r="K138">
        <v>0.125580747375618</v>
      </c>
      <c r="L138">
        <v>3.7622288274753703E-2</v>
      </c>
      <c r="M138">
        <v>8411.8708240161704</v>
      </c>
      <c r="N138">
        <v>134986604.74002299</v>
      </c>
      <c r="O138">
        <v>0.37603100509403597</v>
      </c>
      <c r="P138">
        <v>0.111853911780045</v>
      </c>
      <c r="Q138">
        <v>0.47419659622307497</v>
      </c>
      <c r="R138">
        <v>0.249334184353565</v>
      </c>
      <c r="S138">
        <v>0.64663174010812896</v>
      </c>
      <c r="T138">
        <v>0.22849913279314399</v>
      </c>
      <c r="U138">
        <v>54</v>
      </c>
    </row>
    <row r="139" spans="1:21" x14ac:dyDescent="0.25">
      <c r="A139">
        <v>138</v>
      </c>
      <c r="B139">
        <v>410</v>
      </c>
      <c r="C139" t="s">
        <v>23</v>
      </c>
      <c r="D139">
        <v>42</v>
      </c>
      <c r="E139" t="s">
        <v>24</v>
      </c>
      <c r="F139" t="s">
        <v>25</v>
      </c>
      <c r="G139">
        <v>11009.405600009601</v>
      </c>
      <c r="H139">
        <v>91644528.505587399</v>
      </c>
      <c r="I139">
        <v>10648.1739269585</v>
      </c>
      <c r="J139">
        <v>109730773.83283199</v>
      </c>
      <c r="K139">
        <v>0.13246219038291801</v>
      </c>
      <c r="L139">
        <v>3.65058081632968E-2</v>
      </c>
      <c r="M139">
        <v>10648.1739269585</v>
      </c>
      <c r="N139">
        <v>109730773.83283199</v>
      </c>
      <c r="O139">
        <v>0.36210167430694601</v>
      </c>
      <c r="P139">
        <v>9.4251889662997898E-2</v>
      </c>
      <c r="Q139">
        <v>0.42416304854856701</v>
      </c>
      <c r="R139">
        <v>0.244248756794577</v>
      </c>
      <c r="S139">
        <v>0.80077737248101399</v>
      </c>
      <c r="T139">
        <v>0.15953297220349699</v>
      </c>
      <c r="U139">
        <v>106</v>
      </c>
    </row>
    <row r="140" spans="1:21" x14ac:dyDescent="0.25">
      <c r="A140">
        <v>139</v>
      </c>
      <c r="B140">
        <v>411</v>
      </c>
      <c r="C140" t="s">
        <v>23</v>
      </c>
      <c r="D140">
        <v>42</v>
      </c>
      <c r="E140" t="s">
        <v>24</v>
      </c>
      <c r="F140" t="s">
        <v>25</v>
      </c>
      <c r="G140">
        <v>9163.4652201265599</v>
      </c>
      <c r="H140">
        <v>76371932.337087795</v>
      </c>
      <c r="I140">
        <v>12386.6550210106</v>
      </c>
      <c r="J140">
        <v>110360809.465857</v>
      </c>
      <c r="K140">
        <v>0.115820592678665</v>
      </c>
      <c r="L140">
        <v>3.8568875615632998E-2</v>
      </c>
      <c r="M140">
        <v>12386.6550210106</v>
      </c>
      <c r="N140">
        <v>110360809.465857</v>
      </c>
      <c r="O140">
        <v>0.32272175305185002</v>
      </c>
      <c r="P140">
        <v>8.5012768578734299E-2</v>
      </c>
      <c r="Q140">
        <v>0.34538098116372901</v>
      </c>
      <c r="R140">
        <v>0.226092959014279</v>
      </c>
      <c r="S140">
        <v>0.914792563624924</v>
      </c>
      <c r="T140">
        <v>7.7947129161520995E-2</v>
      </c>
      <c r="U140">
        <v>134</v>
      </c>
    </row>
    <row r="141" spans="1:21" x14ac:dyDescent="0.25">
      <c r="A141">
        <v>140</v>
      </c>
      <c r="B141">
        <v>412</v>
      </c>
      <c r="C141" t="s">
        <v>23</v>
      </c>
      <c r="D141">
        <v>42</v>
      </c>
      <c r="E141" t="s">
        <v>24</v>
      </c>
      <c r="F141" t="s">
        <v>25</v>
      </c>
      <c r="G141">
        <v>8272.5738598988191</v>
      </c>
      <c r="H141">
        <v>78850007.472517401</v>
      </c>
      <c r="I141">
        <v>12392.093371504599</v>
      </c>
      <c r="J141">
        <v>111610096.011695</v>
      </c>
      <c r="K141">
        <v>0.10654568235598</v>
      </c>
      <c r="L141">
        <v>4.0232581163045601E-2</v>
      </c>
      <c r="M141">
        <v>12392.093371504599</v>
      </c>
      <c r="N141">
        <v>111610096.011695</v>
      </c>
      <c r="O141">
        <v>0.30936915254721198</v>
      </c>
      <c r="P141">
        <v>9.1024643678884895E-2</v>
      </c>
      <c r="Q141">
        <v>0.32691870686871299</v>
      </c>
      <c r="R141">
        <v>0.22004286596800801</v>
      </c>
      <c r="S141">
        <v>0.76795837818442803</v>
      </c>
      <c r="T141">
        <v>0.17819830756073801</v>
      </c>
      <c r="U141">
        <v>110</v>
      </c>
    </row>
    <row r="142" spans="1:21" x14ac:dyDescent="0.25">
      <c r="A142">
        <v>141</v>
      </c>
      <c r="B142">
        <v>501</v>
      </c>
      <c r="C142" t="s">
        <v>23</v>
      </c>
      <c r="D142">
        <v>42</v>
      </c>
      <c r="E142" t="s">
        <v>24</v>
      </c>
      <c r="F142" t="s">
        <v>25</v>
      </c>
      <c r="G142">
        <v>10149.541471815901</v>
      </c>
      <c r="H142">
        <v>98064506.703842893</v>
      </c>
      <c r="I142">
        <v>12304.0098096374</v>
      </c>
      <c r="J142">
        <v>103060465.19906101</v>
      </c>
      <c r="K142">
        <v>9.9459821324687503E-2</v>
      </c>
      <c r="L142">
        <v>3.31456956646538E-2</v>
      </c>
      <c r="M142">
        <v>12304.0098096374</v>
      </c>
      <c r="N142">
        <v>103060465.19906101</v>
      </c>
      <c r="O142">
        <v>0.32168774361834301</v>
      </c>
      <c r="P142">
        <v>9.4532642739414793E-2</v>
      </c>
      <c r="Q142">
        <v>0.38311944600590803</v>
      </c>
      <c r="R142">
        <v>0.23633893609804901</v>
      </c>
      <c r="S142">
        <v>0.82872690306763097</v>
      </c>
      <c r="T142">
        <v>0.14193862319964801</v>
      </c>
      <c r="U142">
        <v>78</v>
      </c>
    </row>
    <row r="143" spans="1:21" x14ac:dyDescent="0.25">
      <c r="A143">
        <v>142</v>
      </c>
      <c r="B143">
        <v>502</v>
      </c>
      <c r="C143" t="s">
        <v>23</v>
      </c>
      <c r="D143">
        <v>42</v>
      </c>
      <c r="E143" t="s">
        <v>24</v>
      </c>
      <c r="F143" t="s">
        <v>25</v>
      </c>
      <c r="G143">
        <v>11867.2602107328</v>
      </c>
      <c r="H143">
        <v>101915282.277032</v>
      </c>
      <c r="I143">
        <v>9958.0325447078394</v>
      </c>
      <c r="J143">
        <v>119236111.88377599</v>
      </c>
      <c r="K143">
        <v>0.13394181386585699</v>
      </c>
      <c r="L143">
        <v>3.8690175403626903E-2</v>
      </c>
      <c r="M143">
        <v>9958.0325447078394</v>
      </c>
      <c r="N143">
        <v>119236111.88377599</v>
      </c>
      <c r="O143">
        <v>0.36938444971446599</v>
      </c>
      <c r="P143">
        <v>0.102546476853646</v>
      </c>
      <c r="Q143">
        <v>0.42938299068326702</v>
      </c>
      <c r="R143">
        <v>0.24501323799529401</v>
      </c>
      <c r="S143">
        <v>0.81930707870409103</v>
      </c>
      <c r="T143">
        <v>0.148042989489725</v>
      </c>
      <c r="U143">
        <v>116</v>
      </c>
    </row>
    <row r="144" spans="1:21" x14ac:dyDescent="0.25">
      <c r="A144">
        <v>143</v>
      </c>
      <c r="B144">
        <v>503</v>
      </c>
      <c r="C144" t="s">
        <v>23</v>
      </c>
      <c r="D144">
        <v>42</v>
      </c>
      <c r="E144" t="s">
        <v>24</v>
      </c>
      <c r="F144" t="s">
        <v>25</v>
      </c>
      <c r="G144">
        <v>9081.3640125331895</v>
      </c>
      <c r="H144">
        <v>64460421.847833</v>
      </c>
      <c r="I144">
        <v>13152.6471279046</v>
      </c>
      <c r="J144">
        <v>124504870.763142</v>
      </c>
      <c r="K144">
        <v>8.0338341790199899E-2</v>
      </c>
      <c r="L144">
        <v>4.90196224071998E-2</v>
      </c>
      <c r="M144">
        <v>13152.6471279046</v>
      </c>
      <c r="N144">
        <v>124504870.763142</v>
      </c>
      <c r="O144">
        <v>0.28239333189083399</v>
      </c>
      <c r="P144">
        <v>0.10723585265645399</v>
      </c>
      <c r="Q144">
        <v>0.33415054174938402</v>
      </c>
      <c r="R144">
        <v>0.222493957197931</v>
      </c>
      <c r="S144">
        <v>0.92388184644821802</v>
      </c>
      <c r="T144">
        <v>7.0324180251714996E-2</v>
      </c>
      <c r="U144">
        <v>120</v>
      </c>
    </row>
    <row r="145" spans="1:21" x14ac:dyDescent="0.25">
      <c r="A145">
        <v>144</v>
      </c>
      <c r="B145">
        <v>504</v>
      </c>
      <c r="C145" t="s">
        <v>23</v>
      </c>
      <c r="D145">
        <v>42</v>
      </c>
      <c r="E145" t="s">
        <v>24</v>
      </c>
      <c r="F145" t="s">
        <v>25</v>
      </c>
      <c r="G145">
        <v>16917.076112566199</v>
      </c>
      <c r="H145">
        <v>200619503.254298</v>
      </c>
      <c r="I145">
        <v>7588.0043438340299</v>
      </c>
      <c r="J145">
        <v>132491065.136645</v>
      </c>
      <c r="K145">
        <v>0.14349561673887001</v>
      </c>
      <c r="L145">
        <v>2.8748555952724301E-2</v>
      </c>
      <c r="M145">
        <v>7588.0043438340299</v>
      </c>
      <c r="N145">
        <v>132491065.136645</v>
      </c>
      <c r="O145">
        <v>0.42292050496463302</v>
      </c>
      <c r="P145">
        <v>9.6681786320707799E-2</v>
      </c>
      <c r="Q145">
        <v>0.50452680803224403</v>
      </c>
      <c r="R145">
        <v>0.24997950800917601</v>
      </c>
      <c r="S145">
        <v>0.49097736268729902</v>
      </c>
      <c r="T145">
        <v>0.24991859201605901</v>
      </c>
      <c r="U145">
        <v>30</v>
      </c>
    </row>
    <row r="146" spans="1:21" x14ac:dyDescent="0.25">
      <c r="A146">
        <v>145</v>
      </c>
      <c r="B146">
        <v>505</v>
      </c>
      <c r="C146" t="s">
        <v>23</v>
      </c>
      <c r="D146">
        <v>42</v>
      </c>
      <c r="E146" t="s">
        <v>24</v>
      </c>
      <c r="F146" t="s">
        <v>25</v>
      </c>
      <c r="G146">
        <v>19333.543047466399</v>
      </c>
      <c r="H146">
        <v>233975668.599749</v>
      </c>
      <c r="I146">
        <v>6479.7579171383004</v>
      </c>
      <c r="J146">
        <v>137967111.49682701</v>
      </c>
      <c r="K146">
        <v>0.14942422733334801</v>
      </c>
      <c r="L146">
        <v>2.9323873204981501E-2</v>
      </c>
      <c r="M146">
        <v>6479.7579171383004</v>
      </c>
      <c r="N146">
        <v>137967111.49682701</v>
      </c>
      <c r="O146">
        <v>0.45384432064776498</v>
      </c>
      <c r="P146">
        <v>9.8941741171450395E-2</v>
      </c>
      <c r="Q146">
        <v>0.55529377997297202</v>
      </c>
      <c r="R146">
        <v>0.24694259789645501</v>
      </c>
      <c r="S146">
        <v>0.60549668715765304</v>
      </c>
      <c r="T146">
        <v>0.23887044899882501</v>
      </c>
      <c r="U146">
        <v>28</v>
      </c>
    </row>
    <row r="147" spans="1:21" x14ac:dyDescent="0.25">
      <c r="A147">
        <v>146</v>
      </c>
      <c r="B147">
        <v>506</v>
      </c>
      <c r="C147" t="s">
        <v>23</v>
      </c>
      <c r="D147">
        <v>42</v>
      </c>
      <c r="E147" t="s">
        <v>24</v>
      </c>
      <c r="F147" t="s">
        <v>25</v>
      </c>
      <c r="G147">
        <v>15121.531876094399</v>
      </c>
      <c r="H147">
        <v>204620348.95961899</v>
      </c>
      <c r="I147">
        <v>8778.6934618207597</v>
      </c>
      <c r="J147">
        <v>124585417.304737</v>
      </c>
      <c r="K147">
        <v>0.10817619424427</v>
      </c>
      <c r="L147">
        <v>2.9385598450761202E-2</v>
      </c>
      <c r="M147">
        <v>8778.6934618207597</v>
      </c>
      <c r="N147">
        <v>124585417.304737</v>
      </c>
      <c r="O147">
        <v>0.37699732524306101</v>
      </c>
      <c r="P147">
        <v>0.102685462694403</v>
      </c>
      <c r="Q147">
        <v>0.45165147032184</v>
      </c>
      <c r="R147">
        <v>0.24766241967776101</v>
      </c>
      <c r="S147">
        <v>0.428552450423903</v>
      </c>
      <c r="T147">
        <v>0.24489524765949899</v>
      </c>
      <c r="U147">
        <v>24</v>
      </c>
    </row>
    <row r="148" spans="1:21" x14ac:dyDescent="0.25">
      <c r="A148">
        <v>147</v>
      </c>
      <c r="B148">
        <v>507</v>
      </c>
      <c r="C148" t="s">
        <v>23</v>
      </c>
      <c r="D148">
        <v>42</v>
      </c>
      <c r="E148" t="s">
        <v>24</v>
      </c>
      <c r="F148" t="s">
        <v>25</v>
      </c>
      <c r="G148">
        <v>15350.371412169899</v>
      </c>
      <c r="H148">
        <v>159964017.643433</v>
      </c>
      <c r="I148">
        <v>8571.3959434654898</v>
      </c>
      <c r="J148">
        <v>143507176.77318999</v>
      </c>
      <c r="K148">
        <v>0.136564531904807</v>
      </c>
      <c r="L148">
        <v>3.7996715298165902E-2</v>
      </c>
      <c r="M148">
        <v>8571.3959434654898</v>
      </c>
      <c r="N148">
        <v>143507176.77318999</v>
      </c>
      <c r="O148">
        <v>0.41279104539468198</v>
      </c>
      <c r="P148">
        <v>0.116203575292131</v>
      </c>
      <c r="Q148">
        <v>0.51023727516264805</v>
      </c>
      <c r="R148">
        <v>0.24989519819727499</v>
      </c>
      <c r="S148">
        <v>0.69468396818752598</v>
      </c>
      <c r="T148">
        <v>0.21209815253047501</v>
      </c>
      <c r="U148">
        <v>42</v>
      </c>
    </row>
    <row r="149" spans="1:21" x14ac:dyDescent="0.25">
      <c r="A149">
        <v>148</v>
      </c>
      <c r="B149">
        <v>508</v>
      </c>
      <c r="C149" t="s">
        <v>23</v>
      </c>
      <c r="D149">
        <v>42</v>
      </c>
      <c r="E149" t="s">
        <v>24</v>
      </c>
      <c r="F149" t="s">
        <v>25</v>
      </c>
      <c r="G149">
        <v>11553.566837308301</v>
      </c>
      <c r="H149">
        <v>118103742.855753</v>
      </c>
      <c r="I149">
        <v>10489.316584095001</v>
      </c>
      <c r="J149">
        <v>121407200.60304999</v>
      </c>
      <c r="K149">
        <v>0.13170295528569401</v>
      </c>
      <c r="L149">
        <v>3.5770178727879999E-2</v>
      </c>
      <c r="M149">
        <v>10489.316584095001</v>
      </c>
      <c r="N149">
        <v>121407200.60304999</v>
      </c>
      <c r="O149">
        <v>0.36360606441215998</v>
      </c>
      <c r="P149">
        <v>0.100653656607106</v>
      </c>
      <c r="Q149">
        <v>0.41675238619237898</v>
      </c>
      <c r="R149">
        <v>0.24306983479549801</v>
      </c>
      <c r="S149">
        <v>0.69259378849304598</v>
      </c>
      <c r="T149">
        <v>0.21290763263418999</v>
      </c>
      <c r="U149">
        <v>52</v>
      </c>
    </row>
    <row r="150" spans="1:21" x14ac:dyDescent="0.25">
      <c r="A150">
        <v>149</v>
      </c>
      <c r="B150">
        <v>509</v>
      </c>
      <c r="C150" t="s">
        <v>23</v>
      </c>
      <c r="D150">
        <v>42</v>
      </c>
      <c r="E150" t="s">
        <v>24</v>
      </c>
      <c r="F150" t="s">
        <v>25</v>
      </c>
      <c r="G150">
        <v>15103.1663059206</v>
      </c>
      <c r="H150">
        <v>187223019.18972301</v>
      </c>
      <c r="I150">
        <v>9001.1658492619208</v>
      </c>
      <c r="J150">
        <v>128497942.150244</v>
      </c>
      <c r="K150">
        <v>0.125507762962732</v>
      </c>
      <c r="L150">
        <v>2.73205636360885E-2</v>
      </c>
      <c r="M150">
        <v>9001.1658492619208</v>
      </c>
      <c r="N150">
        <v>128497942.150244</v>
      </c>
      <c r="O150">
        <v>0.39278370066651203</v>
      </c>
      <c r="P150">
        <v>9.4737238899655199E-2</v>
      </c>
      <c r="Q150">
        <v>0.46421439077765703</v>
      </c>
      <c r="R150">
        <v>0.248719390172285</v>
      </c>
      <c r="S150">
        <v>0.46675994690202</v>
      </c>
      <c r="T150">
        <v>0.248895098869923</v>
      </c>
      <c r="U150">
        <v>26</v>
      </c>
    </row>
    <row r="151" spans="1:21" x14ac:dyDescent="0.25">
      <c r="A151">
        <v>150</v>
      </c>
      <c r="B151">
        <v>510</v>
      </c>
      <c r="C151" t="s">
        <v>23</v>
      </c>
      <c r="D151">
        <v>42</v>
      </c>
      <c r="E151" t="s">
        <v>24</v>
      </c>
      <c r="F151" t="s">
        <v>25</v>
      </c>
      <c r="G151">
        <v>10535.425627840201</v>
      </c>
      <c r="H151">
        <v>101544282.550807</v>
      </c>
      <c r="I151">
        <v>11094.8224683183</v>
      </c>
      <c r="J151">
        <v>109902270.772567</v>
      </c>
      <c r="K151">
        <v>0.12437947534949199</v>
      </c>
      <c r="L151">
        <v>3.2233100330532602E-2</v>
      </c>
      <c r="M151">
        <v>11094.8224683183</v>
      </c>
      <c r="N151">
        <v>109902270.772567</v>
      </c>
      <c r="O151">
        <v>0.36144610039965902</v>
      </c>
      <c r="P151">
        <v>9.0245106193526603E-2</v>
      </c>
      <c r="Q151">
        <v>0.377397751734035</v>
      </c>
      <c r="R151">
        <v>0.23496868872005899</v>
      </c>
      <c r="S151">
        <v>0.48805779143892603</v>
      </c>
      <c r="T151">
        <v>0.24985738365468399</v>
      </c>
      <c r="U151">
        <v>28</v>
      </c>
    </row>
    <row r="152" spans="1:21" x14ac:dyDescent="0.25">
      <c r="A152">
        <v>151</v>
      </c>
      <c r="B152">
        <v>511</v>
      </c>
      <c r="C152" t="s">
        <v>23</v>
      </c>
      <c r="D152">
        <v>42</v>
      </c>
      <c r="E152" t="s">
        <v>24</v>
      </c>
      <c r="F152" t="s">
        <v>25</v>
      </c>
      <c r="G152">
        <v>10260.850682849201</v>
      </c>
      <c r="H152">
        <v>117226814.11064801</v>
      </c>
      <c r="I152">
        <v>11226.980013834</v>
      </c>
      <c r="J152">
        <v>97543068.461822197</v>
      </c>
      <c r="K152">
        <v>0.111499510821926</v>
      </c>
      <c r="L152">
        <v>2.8120903935089699E-2</v>
      </c>
      <c r="M152">
        <v>11226.980013834</v>
      </c>
      <c r="N152">
        <v>97543068.461822197</v>
      </c>
      <c r="O152">
        <v>0.346154067089328</v>
      </c>
      <c r="P152">
        <v>7.7774945511273896E-2</v>
      </c>
      <c r="Q152">
        <v>0.36131758172046902</v>
      </c>
      <c r="R152">
        <v>0.23076718686018399</v>
      </c>
      <c r="S152">
        <v>0.76550081394235403</v>
      </c>
      <c r="T152">
        <v>0.17950931779613799</v>
      </c>
      <c r="U152">
        <v>90</v>
      </c>
    </row>
    <row r="153" spans="1:21" x14ac:dyDescent="0.25">
      <c r="A153">
        <v>152</v>
      </c>
      <c r="B153">
        <v>512</v>
      </c>
      <c r="C153" t="s">
        <v>23</v>
      </c>
      <c r="D153">
        <v>42</v>
      </c>
      <c r="E153" t="s">
        <v>24</v>
      </c>
      <c r="F153" t="s">
        <v>25</v>
      </c>
      <c r="G153">
        <v>5854.4907266791797</v>
      </c>
      <c r="H153">
        <v>39800554.466064699</v>
      </c>
      <c r="I153">
        <v>17573.693326543598</v>
      </c>
      <c r="J153">
        <v>78995268.210895896</v>
      </c>
      <c r="K153">
        <v>1.0982366519137801E-2</v>
      </c>
      <c r="L153">
        <v>2.56306162570035E-2</v>
      </c>
      <c r="M153">
        <v>17573.693326543598</v>
      </c>
      <c r="N153">
        <v>78995268.210895896</v>
      </c>
      <c r="O153">
        <v>0.19662343215627701</v>
      </c>
      <c r="P153">
        <v>5.9798283847398298E-2</v>
      </c>
      <c r="Q153">
        <v>0.17485979408564201</v>
      </c>
      <c r="R153">
        <v>0.14428384649786899</v>
      </c>
      <c r="S153">
        <v>0.69530324957242495</v>
      </c>
      <c r="T153">
        <v>0.21185664070638199</v>
      </c>
      <c r="U153">
        <v>98</v>
      </c>
    </row>
    <row r="154" spans="1:21" x14ac:dyDescent="0.25">
      <c r="A154">
        <v>153</v>
      </c>
      <c r="B154">
        <v>601</v>
      </c>
      <c r="C154" t="s">
        <v>23</v>
      </c>
      <c r="D154">
        <v>42</v>
      </c>
      <c r="E154" t="s">
        <v>24</v>
      </c>
      <c r="F154" t="s">
        <v>25</v>
      </c>
      <c r="G154">
        <v>6078.4760384150804</v>
      </c>
      <c r="H154">
        <v>36270672.778769203</v>
      </c>
      <c r="I154">
        <v>15504.2134350542</v>
      </c>
      <c r="J154">
        <v>76889502.930705398</v>
      </c>
      <c r="K154">
        <v>9.3566092755663105E-2</v>
      </c>
      <c r="L154">
        <v>3.5045855168955399E-2</v>
      </c>
      <c r="M154">
        <v>15504.2134350542</v>
      </c>
      <c r="N154">
        <v>76889502.930705398</v>
      </c>
      <c r="O154">
        <v>0.29178487253192398</v>
      </c>
      <c r="P154">
        <v>6.9349796713167197E-2</v>
      </c>
      <c r="Q154">
        <v>0.26107184289524399</v>
      </c>
      <c r="R154">
        <v>0.19291333574243999</v>
      </c>
      <c r="S154">
        <v>0.86864168590257296</v>
      </c>
      <c r="T154">
        <v>0.114103307414994</v>
      </c>
      <c r="U154">
        <v>112</v>
      </c>
    </row>
    <row r="155" spans="1:21" x14ac:dyDescent="0.25">
      <c r="A155">
        <v>154</v>
      </c>
      <c r="B155">
        <v>602</v>
      </c>
      <c r="C155" t="s">
        <v>23</v>
      </c>
      <c r="D155">
        <v>42</v>
      </c>
      <c r="E155" t="s">
        <v>24</v>
      </c>
      <c r="F155" t="s">
        <v>25</v>
      </c>
      <c r="G155">
        <v>6835.6822156039598</v>
      </c>
      <c r="H155">
        <v>47773940.017627902</v>
      </c>
      <c r="I155">
        <v>14399.4821376621</v>
      </c>
      <c r="J155">
        <v>89667798.885297507</v>
      </c>
      <c r="K155">
        <v>9.2732310819775801E-2</v>
      </c>
      <c r="L155">
        <v>3.9476475087211298E-2</v>
      </c>
      <c r="M155">
        <v>14399.4821376621</v>
      </c>
      <c r="N155">
        <v>89667798.885297507</v>
      </c>
      <c r="O155">
        <v>0.30137332147003099</v>
      </c>
      <c r="P155">
        <v>7.9186434366738695E-2</v>
      </c>
      <c r="Q155">
        <v>0.28622005334481598</v>
      </c>
      <c r="R155">
        <v>0.20429813440792199</v>
      </c>
      <c r="S155">
        <v>0.74130239789511498</v>
      </c>
      <c r="T155">
        <v>0.19177315276998699</v>
      </c>
      <c r="U155">
        <v>74</v>
      </c>
    </row>
    <row r="156" spans="1:21" x14ac:dyDescent="0.25">
      <c r="A156">
        <v>155</v>
      </c>
      <c r="B156">
        <v>603</v>
      </c>
      <c r="C156" t="s">
        <v>23</v>
      </c>
      <c r="D156">
        <v>42</v>
      </c>
      <c r="E156" t="s">
        <v>24</v>
      </c>
      <c r="F156" t="s">
        <v>25</v>
      </c>
      <c r="G156">
        <v>7741.98069701246</v>
      </c>
      <c r="H156">
        <v>47665463.511790201</v>
      </c>
      <c r="I156">
        <v>15553.5775841493</v>
      </c>
      <c r="J156">
        <v>97215856.642735302</v>
      </c>
      <c r="K156">
        <v>7.8648351842268996E-2</v>
      </c>
      <c r="L156">
        <v>4.0994755077160203E-2</v>
      </c>
      <c r="M156">
        <v>15553.5775841493</v>
      </c>
      <c r="N156">
        <v>97215856.642735302</v>
      </c>
      <c r="O156">
        <v>0.29533931416477599</v>
      </c>
      <c r="P156">
        <v>8.0630539095394305E-2</v>
      </c>
      <c r="Q156">
        <v>0.29258258186428099</v>
      </c>
      <c r="R156">
        <v>0.206978014653975</v>
      </c>
      <c r="S156">
        <v>0.85439238477912505</v>
      </c>
      <c r="T156">
        <v>0.12440603761074299</v>
      </c>
      <c r="U156">
        <v>102</v>
      </c>
    </row>
    <row r="157" spans="1:21" x14ac:dyDescent="0.25">
      <c r="A157">
        <v>156</v>
      </c>
      <c r="B157">
        <v>604</v>
      </c>
      <c r="C157" t="s">
        <v>23</v>
      </c>
      <c r="D157">
        <v>42</v>
      </c>
      <c r="E157" t="s">
        <v>24</v>
      </c>
      <c r="F157" t="s">
        <v>25</v>
      </c>
      <c r="G157">
        <v>8781.5741894590792</v>
      </c>
      <c r="H157">
        <v>84260302.534938693</v>
      </c>
      <c r="I157">
        <v>12551.024791781399</v>
      </c>
      <c r="J157">
        <v>106731629.89697599</v>
      </c>
      <c r="K157">
        <v>0.13639239076617701</v>
      </c>
      <c r="L157">
        <v>3.8441780652096899E-2</v>
      </c>
      <c r="M157">
        <v>12551.024791781399</v>
      </c>
      <c r="N157">
        <v>106731629.89697599</v>
      </c>
      <c r="O157">
        <v>0.35718633031006097</v>
      </c>
      <c r="P157">
        <v>8.3910624653495899E-2</v>
      </c>
      <c r="Q157">
        <v>0.337861918031022</v>
      </c>
      <c r="R157">
        <v>0.22371124237526799</v>
      </c>
      <c r="S157">
        <v>0.59499348171891298</v>
      </c>
      <c r="T157">
        <v>0.24097623843069299</v>
      </c>
      <c r="U157">
        <v>52</v>
      </c>
    </row>
    <row r="158" spans="1:21" x14ac:dyDescent="0.25">
      <c r="A158">
        <v>157</v>
      </c>
      <c r="B158">
        <v>605</v>
      </c>
      <c r="C158" t="s">
        <v>23</v>
      </c>
      <c r="D158">
        <v>42</v>
      </c>
      <c r="E158" t="s">
        <v>24</v>
      </c>
      <c r="F158" t="s">
        <v>25</v>
      </c>
      <c r="G158">
        <v>13774.4972430538</v>
      </c>
      <c r="H158">
        <v>178583617.54134601</v>
      </c>
      <c r="I158">
        <v>9085.2709956698109</v>
      </c>
      <c r="J158">
        <v>120783367.909656</v>
      </c>
      <c r="K158">
        <v>0.17462762511428301</v>
      </c>
      <c r="L158">
        <v>3.2673878585850899E-2</v>
      </c>
      <c r="M158">
        <v>9085.2709956698109</v>
      </c>
      <c r="N158">
        <v>120783367.909656</v>
      </c>
      <c r="O158">
        <v>0.44629402410835201</v>
      </c>
      <c r="P158">
        <v>8.6288545091567997E-2</v>
      </c>
      <c r="Q158">
        <v>0.45270132883610198</v>
      </c>
      <c r="R158">
        <v>0.24776283570633201</v>
      </c>
      <c r="S158">
        <v>0.48732822236308598</v>
      </c>
      <c r="T158">
        <v>0.24983942605172199</v>
      </c>
      <c r="U158">
        <v>30</v>
      </c>
    </row>
    <row r="159" spans="1:21" x14ac:dyDescent="0.25">
      <c r="A159">
        <v>158</v>
      </c>
      <c r="B159">
        <v>606</v>
      </c>
      <c r="C159" t="s">
        <v>23</v>
      </c>
      <c r="D159">
        <v>42</v>
      </c>
      <c r="E159" t="s">
        <v>24</v>
      </c>
      <c r="F159" t="s">
        <v>25</v>
      </c>
      <c r="G159">
        <v>11047.7607036931</v>
      </c>
      <c r="H159">
        <v>131019909.94779401</v>
      </c>
      <c r="I159">
        <v>10518.458156659901</v>
      </c>
      <c r="J159">
        <v>106281708.095845</v>
      </c>
      <c r="K159">
        <v>0.13701893813084501</v>
      </c>
      <c r="L159">
        <v>3.5085042085612299E-2</v>
      </c>
      <c r="M159">
        <v>10518.458156659901</v>
      </c>
      <c r="N159">
        <v>106281708.095845</v>
      </c>
      <c r="O159">
        <v>0.39252643472991799</v>
      </c>
      <c r="P159">
        <v>8.8618276203075594E-2</v>
      </c>
      <c r="Q159">
        <v>0.39368063528511299</v>
      </c>
      <c r="R159">
        <v>0.23869619268630801</v>
      </c>
      <c r="S159">
        <v>0.41528839139430002</v>
      </c>
      <c r="T159">
        <v>0.242823943367727</v>
      </c>
      <c r="U159">
        <v>22</v>
      </c>
    </row>
    <row r="160" spans="1:21" x14ac:dyDescent="0.25">
      <c r="A160">
        <v>159</v>
      </c>
      <c r="B160">
        <v>607</v>
      </c>
      <c r="C160" t="s">
        <v>23</v>
      </c>
      <c r="D160">
        <v>42</v>
      </c>
      <c r="E160" t="s">
        <v>24</v>
      </c>
      <c r="F160" t="s">
        <v>25</v>
      </c>
      <c r="G160">
        <v>11553.4418265321</v>
      </c>
      <c r="H160">
        <v>137530530.810269</v>
      </c>
      <c r="I160">
        <v>10689.4944927002</v>
      </c>
      <c r="J160">
        <v>104291512.071009</v>
      </c>
      <c r="K160">
        <v>0.13237073784226899</v>
      </c>
      <c r="L160">
        <v>3.1772138312749998E-2</v>
      </c>
      <c r="M160">
        <v>10689.4944927002</v>
      </c>
      <c r="N160">
        <v>104291512.071009</v>
      </c>
      <c r="O160">
        <v>0.38967196936423498</v>
      </c>
      <c r="P160">
        <v>8.4950437477735299E-2</v>
      </c>
      <c r="Q160">
        <v>0.39178586805721699</v>
      </c>
      <c r="R160">
        <v>0.23828970164819499</v>
      </c>
      <c r="S160">
        <v>0.46484314264869497</v>
      </c>
      <c r="T160">
        <v>0.24876399538101299</v>
      </c>
      <c r="U160">
        <v>38</v>
      </c>
    </row>
    <row r="161" spans="1:21" x14ac:dyDescent="0.25">
      <c r="A161">
        <v>160</v>
      </c>
      <c r="B161">
        <v>608</v>
      </c>
      <c r="C161" t="s">
        <v>23</v>
      </c>
      <c r="D161">
        <v>42</v>
      </c>
      <c r="E161" t="s">
        <v>24</v>
      </c>
      <c r="F161" t="s">
        <v>25</v>
      </c>
      <c r="G161">
        <v>11383.984692108101</v>
      </c>
      <c r="H161">
        <v>102496021.565092</v>
      </c>
      <c r="I161">
        <v>10210.803900249501</v>
      </c>
      <c r="J161">
        <v>119476137.76579</v>
      </c>
      <c r="K161">
        <v>0.17312598708275401</v>
      </c>
      <c r="L161">
        <v>4.16613170359676E-2</v>
      </c>
      <c r="M161">
        <v>10210.803900249501</v>
      </c>
      <c r="N161">
        <v>119476137.76579</v>
      </c>
      <c r="O161">
        <v>0.42685990998159401</v>
      </c>
      <c r="P161">
        <v>9.2051426181136001E-2</v>
      </c>
      <c r="Q161">
        <v>0.446201131348888</v>
      </c>
      <c r="R161">
        <v>0.247105681732081</v>
      </c>
      <c r="S161">
        <v>0.77138722447466301</v>
      </c>
      <c r="T161">
        <v>0.17634897439203301</v>
      </c>
      <c r="U161">
        <v>84</v>
      </c>
    </row>
    <row r="162" spans="1:21" x14ac:dyDescent="0.25">
      <c r="A162">
        <v>161</v>
      </c>
      <c r="B162">
        <v>609</v>
      </c>
      <c r="C162" t="s">
        <v>23</v>
      </c>
      <c r="D162">
        <v>42</v>
      </c>
      <c r="E162" t="s">
        <v>24</v>
      </c>
      <c r="F162" t="s">
        <v>25</v>
      </c>
      <c r="G162">
        <v>8997.4472815557201</v>
      </c>
      <c r="H162">
        <v>121581917.33117799</v>
      </c>
      <c r="I162">
        <v>13102.161017483</v>
      </c>
      <c r="J162">
        <v>89727363.210407197</v>
      </c>
      <c r="K162">
        <v>8.8405767736559199E-2</v>
      </c>
      <c r="L162">
        <v>2.7196637989992299E-2</v>
      </c>
      <c r="M162">
        <v>13102.161017483</v>
      </c>
      <c r="N162">
        <v>89727363.210407197</v>
      </c>
      <c r="O162">
        <v>0.31986634655706903</v>
      </c>
      <c r="P162">
        <v>7.3507070926527501E-2</v>
      </c>
      <c r="Q162">
        <v>0.30308321572942298</v>
      </c>
      <c r="R162">
        <v>0.21122378007255399</v>
      </c>
      <c r="S162">
        <v>0.72799358943692305</v>
      </c>
      <c r="T162">
        <v>0.198018923175384</v>
      </c>
      <c r="U162">
        <v>70</v>
      </c>
    </row>
    <row r="163" spans="1:21" x14ac:dyDescent="0.25">
      <c r="A163">
        <v>162</v>
      </c>
      <c r="B163">
        <v>610</v>
      </c>
      <c r="C163" t="s">
        <v>23</v>
      </c>
      <c r="D163">
        <v>42</v>
      </c>
      <c r="E163" t="s">
        <v>24</v>
      </c>
      <c r="F163" t="s">
        <v>25</v>
      </c>
      <c r="G163">
        <v>10168.6346891419</v>
      </c>
      <c r="H163">
        <v>107187022.241357</v>
      </c>
      <c r="I163">
        <v>11015.910929150299</v>
      </c>
      <c r="J163">
        <v>109011894.70376</v>
      </c>
      <c r="K163">
        <v>0.16476148571871399</v>
      </c>
      <c r="L163">
        <v>3.4729741086079902E-2</v>
      </c>
      <c r="M163">
        <v>11015.910929150299</v>
      </c>
      <c r="N163">
        <v>109011894.70376</v>
      </c>
      <c r="O163">
        <v>0.41228584971832799</v>
      </c>
      <c r="P163">
        <v>8.1898855941061305E-2</v>
      </c>
      <c r="Q163">
        <v>0.388695850816972</v>
      </c>
      <c r="R163">
        <v>0.237611386374838</v>
      </c>
      <c r="S163">
        <v>0.496332988674345</v>
      </c>
      <c r="T163">
        <v>0.24998655302800701</v>
      </c>
      <c r="U163">
        <v>24</v>
      </c>
    </row>
    <row r="164" spans="1:21" x14ac:dyDescent="0.25">
      <c r="A164">
        <v>163</v>
      </c>
      <c r="B164">
        <v>611</v>
      </c>
      <c r="C164" t="s">
        <v>23</v>
      </c>
      <c r="D164">
        <v>42</v>
      </c>
      <c r="E164" t="s">
        <v>24</v>
      </c>
      <c r="F164" t="s">
        <v>25</v>
      </c>
      <c r="G164">
        <v>12984.730226883999</v>
      </c>
      <c r="H164">
        <v>146967091.40056801</v>
      </c>
      <c r="I164">
        <v>9790.5856181274503</v>
      </c>
      <c r="J164">
        <v>122278470.77494501</v>
      </c>
      <c r="K164">
        <v>0.17841616210539099</v>
      </c>
      <c r="L164">
        <v>3.3210670886302703E-2</v>
      </c>
      <c r="M164">
        <v>9790.5856181274503</v>
      </c>
      <c r="N164">
        <v>122278470.77494501</v>
      </c>
      <c r="O164">
        <v>0.44689394223956702</v>
      </c>
      <c r="P164">
        <v>8.3712863397667994E-2</v>
      </c>
      <c r="Q164">
        <v>0.44827833658250699</v>
      </c>
      <c r="R164">
        <v>0.24732486953333799</v>
      </c>
      <c r="S164">
        <v>0.39559414466130899</v>
      </c>
      <c r="T164">
        <v>0.23909941737072299</v>
      </c>
      <c r="U164">
        <v>20</v>
      </c>
    </row>
    <row r="165" spans="1:21" x14ac:dyDescent="0.25">
      <c r="A165">
        <v>164</v>
      </c>
      <c r="B165">
        <v>612</v>
      </c>
      <c r="C165" t="s">
        <v>23</v>
      </c>
      <c r="D165">
        <v>42</v>
      </c>
      <c r="E165" t="s">
        <v>24</v>
      </c>
      <c r="F165" t="s">
        <v>25</v>
      </c>
      <c r="G165">
        <v>10120.391567422201</v>
      </c>
      <c r="H165">
        <v>129313220.798583</v>
      </c>
      <c r="I165">
        <v>12425.2401777457</v>
      </c>
      <c r="J165">
        <v>119783675.529208</v>
      </c>
      <c r="K165">
        <v>0.13721543887934001</v>
      </c>
      <c r="L165">
        <v>3.5397393194184099E-2</v>
      </c>
      <c r="M165">
        <v>12425.2401777457</v>
      </c>
      <c r="N165">
        <v>119783675.529208</v>
      </c>
      <c r="O165">
        <v>0.38252002714937</v>
      </c>
      <c r="P165">
        <v>8.4408684076027293E-2</v>
      </c>
      <c r="Q165">
        <v>0.347999903956973</v>
      </c>
      <c r="R165">
        <v>0.22689597080287</v>
      </c>
      <c r="S165">
        <v>0.49794115175452303</v>
      </c>
      <c r="T165">
        <v>0.24999576114371799</v>
      </c>
      <c r="U165">
        <v>28</v>
      </c>
    </row>
    <row r="166" spans="1:21" x14ac:dyDescent="0.25">
      <c r="A166">
        <v>165</v>
      </c>
      <c r="C166" t="s">
        <v>23</v>
      </c>
      <c r="D166">
        <v>42</v>
      </c>
      <c r="E166" t="s">
        <v>24</v>
      </c>
      <c r="F166" t="s">
        <v>25</v>
      </c>
      <c r="G166">
        <v>1606.31972789116</v>
      </c>
      <c r="H166">
        <v>533187.48117543699</v>
      </c>
      <c r="I166">
        <v>17920.526961096901</v>
      </c>
      <c r="J166">
        <v>3643431.0743019101</v>
      </c>
      <c r="K166">
        <v>-0.201324941554443</v>
      </c>
      <c r="L166">
        <v>8.5759731310897102E-4</v>
      </c>
      <c r="M166">
        <v>17920.526961096901</v>
      </c>
      <c r="N166">
        <v>3643431.0743019101</v>
      </c>
      <c r="O166">
        <v>-0.13279420485149801</v>
      </c>
      <c r="P166">
        <v>5.4077522882008101E-4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C167" t="s">
        <v>23</v>
      </c>
      <c r="D167">
        <v>42</v>
      </c>
      <c r="E167" t="s">
        <v>24</v>
      </c>
      <c r="F167" t="s">
        <v>25</v>
      </c>
      <c r="G167">
        <v>1532.86300984529</v>
      </c>
      <c r="H167">
        <v>2619068.7252562102</v>
      </c>
      <c r="I167">
        <v>14610.4765129229</v>
      </c>
      <c r="J167">
        <v>52975331.974669702</v>
      </c>
      <c r="K167">
        <v>-3.6808382251678798E-4</v>
      </c>
      <c r="L167">
        <v>4.0597040878060202E-2</v>
      </c>
      <c r="M167">
        <v>14610.4765129229</v>
      </c>
      <c r="N167">
        <v>52975331.974669702</v>
      </c>
      <c r="O167">
        <v>0.26934282986722902</v>
      </c>
      <c r="P167">
        <v>2.2625844259939899E-2</v>
      </c>
      <c r="Q167">
        <v>6.7510548523206704E-2</v>
      </c>
      <c r="R167">
        <v>6.2952874361300204E-2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>
        <v>801</v>
      </c>
      <c r="C168" t="s">
        <v>26</v>
      </c>
      <c r="D168">
        <v>42</v>
      </c>
      <c r="E168" t="s">
        <v>27</v>
      </c>
      <c r="F168" t="s">
        <v>28</v>
      </c>
      <c r="G168">
        <v>19497.672503498499</v>
      </c>
      <c r="H168">
        <v>84236530.892770097</v>
      </c>
      <c r="I168">
        <v>951.37520596756997</v>
      </c>
      <c r="J168">
        <v>77903701.9072721</v>
      </c>
      <c r="K168">
        <v>0.38900520893525198</v>
      </c>
      <c r="L168">
        <v>3.3393579520145801E-2</v>
      </c>
      <c r="M168">
        <v>951.37520596756997</v>
      </c>
      <c r="N168">
        <v>77903701.9072721</v>
      </c>
      <c r="O168">
        <v>0.68149196847919602</v>
      </c>
      <c r="P168">
        <v>5.9525029345423502E-2</v>
      </c>
      <c r="Q168">
        <v>0.78906072458047805</v>
      </c>
      <c r="R168">
        <v>0.16644389750493099</v>
      </c>
      <c r="S168">
        <v>0.83867148256231205</v>
      </c>
      <c r="T168">
        <v>0.135301626898953</v>
      </c>
      <c r="U168">
        <v>74</v>
      </c>
    </row>
    <row r="169" spans="1:21" x14ac:dyDescent="0.25">
      <c r="A169">
        <v>168</v>
      </c>
      <c r="B169">
        <v>802</v>
      </c>
      <c r="C169" t="s">
        <v>26</v>
      </c>
      <c r="D169">
        <v>42</v>
      </c>
      <c r="E169" t="s">
        <v>27</v>
      </c>
      <c r="F169" t="s">
        <v>28</v>
      </c>
      <c r="G169">
        <v>17175.819153546199</v>
      </c>
      <c r="H169">
        <v>103129261.993944</v>
      </c>
      <c r="I169">
        <v>4771.3566807352699</v>
      </c>
      <c r="J169">
        <v>121087040.854781</v>
      </c>
      <c r="K169">
        <v>0.29879662199912999</v>
      </c>
      <c r="L169">
        <v>4.2897875665627E-2</v>
      </c>
      <c r="M169">
        <v>4771.3566807352699</v>
      </c>
      <c r="N169">
        <v>121087040.854781</v>
      </c>
      <c r="O169">
        <v>0.57195974179775</v>
      </c>
      <c r="P169">
        <v>8.5656229430004699E-2</v>
      </c>
      <c r="Q169">
        <v>0.64391641388608001</v>
      </c>
      <c r="R169">
        <v>0.22928806581428501</v>
      </c>
      <c r="S169">
        <v>0.77941601271002803</v>
      </c>
      <c r="T169">
        <v>0.17192669184113801</v>
      </c>
      <c r="U169">
        <v>92</v>
      </c>
    </row>
    <row r="170" spans="1:21" x14ac:dyDescent="0.25">
      <c r="A170">
        <v>169</v>
      </c>
      <c r="B170">
        <v>803</v>
      </c>
      <c r="C170" t="s">
        <v>26</v>
      </c>
      <c r="D170">
        <v>42</v>
      </c>
      <c r="E170" t="s">
        <v>27</v>
      </c>
      <c r="F170" t="s">
        <v>28</v>
      </c>
      <c r="G170">
        <v>27152.620537885399</v>
      </c>
      <c r="H170">
        <v>130211830.531454</v>
      </c>
      <c r="I170">
        <v>-224.13368643274001</v>
      </c>
      <c r="J170">
        <v>52839796.703532502</v>
      </c>
      <c r="K170">
        <v>0.30984691142418802</v>
      </c>
      <c r="L170">
        <v>1.97889871590155E-2</v>
      </c>
      <c r="M170">
        <v>-224.13368643274001</v>
      </c>
      <c r="N170">
        <v>52839796.703532502</v>
      </c>
      <c r="O170">
        <v>0.67373959755965096</v>
      </c>
      <c r="P170">
        <v>3.5901028981006902E-2</v>
      </c>
      <c r="Q170">
        <v>0.87296955549071098</v>
      </c>
      <c r="R170">
        <v>0.11089371067710101</v>
      </c>
      <c r="S170">
        <v>0.90815358801643897</v>
      </c>
      <c r="T170">
        <v>8.3410648589181305E-2</v>
      </c>
      <c r="U170">
        <v>176</v>
      </c>
    </row>
    <row r="171" spans="1:21" x14ac:dyDescent="0.25">
      <c r="A171">
        <v>170</v>
      </c>
      <c r="B171">
        <v>804</v>
      </c>
      <c r="C171" t="s">
        <v>26</v>
      </c>
      <c r="D171">
        <v>42</v>
      </c>
      <c r="E171" t="s">
        <v>27</v>
      </c>
      <c r="F171" t="s">
        <v>28</v>
      </c>
      <c r="G171">
        <v>30625.541016850199</v>
      </c>
      <c r="H171">
        <v>150124844.89172</v>
      </c>
      <c r="I171">
        <v>-876.36056903735198</v>
      </c>
      <c r="J171">
        <v>47608734.092970997</v>
      </c>
      <c r="K171">
        <v>0.25421030594574501</v>
      </c>
      <c r="L171">
        <v>2.23204073075444E-2</v>
      </c>
      <c r="M171">
        <v>-876.36056903735198</v>
      </c>
      <c r="N171">
        <v>47608734.092970997</v>
      </c>
      <c r="O171">
        <v>0.65371840082257104</v>
      </c>
      <c r="P171">
        <v>4.6837192742734797E-2</v>
      </c>
      <c r="Q171">
        <v>0.89469691443577204</v>
      </c>
      <c r="R171">
        <v>9.4214345735074201E-2</v>
      </c>
      <c r="S171">
        <v>0.87448028360103303</v>
      </c>
      <c r="T171">
        <v>0.109764517194076</v>
      </c>
      <c r="U171">
        <v>104</v>
      </c>
    </row>
    <row r="172" spans="1:21" x14ac:dyDescent="0.25">
      <c r="A172">
        <v>171</v>
      </c>
      <c r="B172">
        <v>805</v>
      </c>
      <c r="C172" t="s">
        <v>26</v>
      </c>
      <c r="D172">
        <v>42</v>
      </c>
      <c r="E172" t="s">
        <v>27</v>
      </c>
      <c r="F172" t="s">
        <v>28</v>
      </c>
      <c r="G172">
        <v>25406.355101540001</v>
      </c>
      <c r="H172">
        <v>147370105.73017901</v>
      </c>
      <c r="I172">
        <v>-301.754178968519</v>
      </c>
      <c r="J172">
        <v>58217612.599027798</v>
      </c>
      <c r="K172">
        <v>0.277063133282001</v>
      </c>
      <c r="L172">
        <v>2.2380393995308299E-2</v>
      </c>
      <c r="M172">
        <v>-301.754178968519</v>
      </c>
      <c r="N172">
        <v>58217612.599027798</v>
      </c>
      <c r="O172">
        <v>0.61811269011448799</v>
      </c>
      <c r="P172">
        <v>5.0311922292566903E-2</v>
      </c>
      <c r="Q172">
        <v>0.80746058040370605</v>
      </c>
      <c r="R172">
        <v>0.15546799149789001</v>
      </c>
      <c r="S172">
        <v>0.853880606172158</v>
      </c>
      <c r="T172">
        <v>0.12476851657516801</v>
      </c>
      <c r="U172">
        <v>92</v>
      </c>
    </row>
    <row r="173" spans="1:21" x14ac:dyDescent="0.25">
      <c r="A173">
        <v>172</v>
      </c>
      <c r="B173">
        <v>806</v>
      </c>
      <c r="C173" t="s">
        <v>26</v>
      </c>
      <c r="D173">
        <v>42</v>
      </c>
      <c r="E173" t="s">
        <v>27</v>
      </c>
      <c r="F173" t="s">
        <v>28</v>
      </c>
      <c r="G173">
        <v>23030.3265683639</v>
      </c>
      <c r="H173">
        <v>206082288.50593799</v>
      </c>
      <c r="I173">
        <v>3545.69238286167</v>
      </c>
      <c r="J173">
        <v>95108710.929777399</v>
      </c>
      <c r="K173">
        <v>0.17796349319303501</v>
      </c>
      <c r="L173">
        <v>2.8148767615226802E-2</v>
      </c>
      <c r="M173">
        <v>3545.69238286167</v>
      </c>
      <c r="N173">
        <v>95108710.929777399</v>
      </c>
      <c r="O173">
        <v>0.49570837278505298</v>
      </c>
      <c r="P173">
        <v>8.9324127396320396E-2</v>
      </c>
      <c r="Q173">
        <v>0.65630406430491595</v>
      </c>
      <c r="R173">
        <v>0.225569039481993</v>
      </c>
      <c r="S173">
        <v>0.78963897427708396</v>
      </c>
      <c r="T173">
        <v>0.166109264579651</v>
      </c>
      <c r="U173">
        <v>52</v>
      </c>
    </row>
    <row r="174" spans="1:21" x14ac:dyDescent="0.25">
      <c r="A174">
        <v>173</v>
      </c>
      <c r="B174">
        <v>807</v>
      </c>
      <c r="C174" t="s">
        <v>26</v>
      </c>
      <c r="D174">
        <v>42</v>
      </c>
      <c r="E174" t="s">
        <v>27</v>
      </c>
      <c r="F174" t="s">
        <v>28</v>
      </c>
      <c r="G174">
        <v>26665.692517039901</v>
      </c>
      <c r="H174">
        <v>116362881.287306</v>
      </c>
      <c r="I174">
        <v>-1474.2524113266199</v>
      </c>
      <c r="J174">
        <v>46631426.794989198</v>
      </c>
      <c r="K174">
        <v>0.30508865227404602</v>
      </c>
      <c r="L174">
        <v>1.89681774550799E-2</v>
      </c>
      <c r="M174">
        <v>-1474.2524113266199</v>
      </c>
      <c r="N174">
        <v>46631426.794989198</v>
      </c>
      <c r="O174">
        <v>0.66619289205741905</v>
      </c>
      <c r="P174">
        <v>3.4862138205290903E-2</v>
      </c>
      <c r="Q174">
        <v>0.88711774211185002</v>
      </c>
      <c r="R174">
        <v>0.100139853742113</v>
      </c>
      <c r="S174">
        <v>0.95289815456014404</v>
      </c>
      <c r="T174">
        <v>4.48832615960197E-2</v>
      </c>
      <c r="U174">
        <v>140</v>
      </c>
    </row>
    <row r="175" spans="1:21" x14ac:dyDescent="0.25">
      <c r="A175">
        <v>174</v>
      </c>
      <c r="B175">
        <v>808</v>
      </c>
      <c r="C175" t="s">
        <v>26</v>
      </c>
      <c r="D175">
        <v>42</v>
      </c>
      <c r="E175" t="s">
        <v>27</v>
      </c>
      <c r="F175" t="s">
        <v>28</v>
      </c>
      <c r="G175">
        <v>28932.035188038699</v>
      </c>
      <c r="H175">
        <v>131047404.687391</v>
      </c>
      <c r="I175">
        <v>-286.958814635468</v>
      </c>
      <c r="J175">
        <v>44389429.4754913</v>
      </c>
      <c r="K175">
        <v>0.23553723078673799</v>
      </c>
      <c r="L175">
        <v>1.7697977199417101E-2</v>
      </c>
      <c r="M175">
        <v>-286.958814635468</v>
      </c>
      <c r="N175">
        <v>44389429.4754913</v>
      </c>
      <c r="O175">
        <v>0.62644045678372395</v>
      </c>
      <c r="P175">
        <v>3.5152143492132998E-2</v>
      </c>
      <c r="Q175">
        <v>0.87328453796889305</v>
      </c>
      <c r="R175">
        <v>0.110658653713162</v>
      </c>
      <c r="S175">
        <v>0.999229472670359</v>
      </c>
      <c r="T175">
        <v>7.6993361727541003E-4</v>
      </c>
      <c r="U175">
        <v>314</v>
      </c>
    </row>
    <row r="176" spans="1:21" x14ac:dyDescent="0.25">
      <c r="A176">
        <v>175</v>
      </c>
      <c r="B176">
        <v>809</v>
      </c>
      <c r="C176" t="s">
        <v>26</v>
      </c>
      <c r="D176">
        <v>42</v>
      </c>
      <c r="E176" t="s">
        <v>27</v>
      </c>
      <c r="F176" t="s">
        <v>28</v>
      </c>
      <c r="G176">
        <v>24096.666594904898</v>
      </c>
      <c r="H176">
        <v>225935880.38863599</v>
      </c>
      <c r="I176">
        <v>2821.2930431171098</v>
      </c>
      <c r="J176">
        <v>81287357.700234398</v>
      </c>
      <c r="K176">
        <v>0.160525729468253</v>
      </c>
      <c r="L176">
        <v>2.5811130894498401E-2</v>
      </c>
      <c r="M176">
        <v>2821.2930431171098</v>
      </c>
      <c r="N176">
        <v>81287357.700234398</v>
      </c>
      <c r="O176">
        <v>0.48877548840136398</v>
      </c>
      <c r="P176">
        <v>8.7326402940822501E-2</v>
      </c>
      <c r="Q176">
        <v>0.67314914483913402</v>
      </c>
      <c r="R176">
        <v>0.22001937364190099</v>
      </c>
      <c r="S176">
        <v>0.94846741691282899</v>
      </c>
      <c r="T176">
        <v>4.8876975967516799E-2</v>
      </c>
      <c r="U176">
        <v>156</v>
      </c>
    </row>
    <row r="177" spans="1:21" x14ac:dyDescent="0.25">
      <c r="A177">
        <v>176</v>
      </c>
      <c r="B177">
        <v>701</v>
      </c>
      <c r="C177" t="s">
        <v>26</v>
      </c>
      <c r="D177">
        <v>42</v>
      </c>
      <c r="E177" t="s">
        <v>27</v>
      </c>
      <c r="F177" t="s">
        <v>28</v>
      </c>
      <c r="G177">
        <v>23175.0872457267</v>
      </c>
      <c r="H177">
        <v>140647549.84814101</v>
      </c>
      <c r="I177">
        <v>1954.63057699397</v>
      </c>
      <c r="J177">
        <v>69132384.843702599</v>
      </c>
      <c r="K177">
        <v>0.26908849597962697</v>
      </c>
      <c r="L177">
        <v>2.2281991489081401E-2</v>
      </c>
      <c r="M177">
        <v>1954.63057699397</v>
      </c>
      <c r="N177">
        <v>69132384.843702599</v>
      </c>
      <c r="O177">
        <v>0.60989796403882202</v>
      </c>
      <c r="P177">
        <v>5.4610825248048299E-2</v>
      </c>
      <c r="Q177">
        <v>0.76417356330729402</v>
      </c>
      <c r="R177">
        <v>0.18021232844964</v>
      </c>
      <c r="S177">
        <v>0.85733622089875505</v>
      </c>
      <c r="T177">
        <v>0.122310825233737</v>
      </c>
      <c r="U177">
        <v>108</v>
      </c>
    </row>
    <row r="178" spans="1:21" x14ac:dyDescent="0.25">
      <c r="A178">
        <v>177</v>
      </c>
      <c r="B178">
        <v>702</v>
      </c>
      <c r="C178" t="s">
        <v>26</v>
      </c>
      <c r="D178">
        <v>42</v>
      </c>
      <c r="E178" t="s">
        <v>27</v>
      </c>
      <c r="F178" t="s">
        <v>28</v>
      </c>
      <c r="G178">
        <v>18397.680109011901</v>
      </c>
      <c r="H178">
        <v>125129637.550476</v>
      </c>
      <c r="I178">
        <v>5071.79444575048</v>
      </c>
      <c r="J178">
        <v>98318177.385353699</v>
      </c>
      <c r="K178">
        <v>0.226919951859713</v>
      </c>
      <c r="L178">
        <v>3.6997351929750198E-2</v>
      </c>
      <c r="M178">
        <v>5071.79444575048</v>
      </c>
      <c r="N178">
        <v>98318177.385353699</v>
      </c>
      <c r="O178">
        <v>0.52007754396905603</v>
      </c>
      <c r="P178">
        <v>9.1193223406031296E-2</v>
      </c>
      <c r="Q178">
        <v>0.65016756896107197</v>
      </c>
      <c r="R178">
        <v>0.22744970123226699</v>
      </c>
      <c r="S178">
        <v>0.83940387188647003</v>
      </c>
      <c r="T178">
        <v>0.13480501174852499</v>
      </c>
      <c r="U178">
        <v>146</v>
      </c>
    </row>
    <row r="179" spans="1:21" x14ac:dyDescent="0.25">
      <c r="A179">
        <v>178</v>
      </c>
      <c r="B179">
        <v>703</v>
      </c>
      <c r="C179" t="s">
        <v>26</v>
      </c>
      <c r="D179">
        <v>42</v>
      </c>
      <c r="E179" t="s">
        <v>27</v>
      </c>
      <c r="F179" t="s">
        <v>28</v>
      </c>
      <c r="G179">
        <v>26864.772402893399</v>
      </c>
      <c r="H179">
        <v>113605684.3805</v>
      </c>
      <c r="I179">
        <v>-1344.1420257550701</v>
      </c>
      <c r="J179">
        <v>46416189.088282101</v>
      </c>
      <c r="K179">
        <v>0.28894019705438201</v>
      </c>
      <c r="L179">
        <v>1.8488414425737499E-2</v>
      </c>
      <c r="M179">
        <v>-1344.1420257550701</v>
      </c>
      <c r="N179">
        <v>46416189.088282101</v>
      </c>
      <c r="O179">
        <v>0.66031078372296803</v>
      </c>
      <c r="P179">
        <v>3.2811852141553702E-2</v>
      </c>
      <c r="Q179">
        <v>0.87971551881344601</v>
      </c>
      <c r="R179">
        <v>0.10581612477210101</v>
      </c>
      <c r="S179">
        <v>0.97309422492401199</v>
      </c>
      <c r="T179">
        <v>2.6181854343558499E-2</v>
      </c>
      <c r="U179">
        <v>220</v>
      </c>
    </row>
    <row r="180" spans="1:21" x14ac:dyDescent="0.25">
      <c r="A180">
        <v>179</v>
      </c>
      <c r="B180">
        <v>704</v>
      </c>
      <c r="C180" t="s">
        <v>26</v>
      </c>
      <c r="D180">
        <v>42</v>
      </c>
      <c r="E180" t="s">
        <v>27</v>
      </c>
      <c r="F180" t="s">
        <v>28</v>
      </c>
      <c r="G180">
        <v>23475.669462850699</v>
      </c>
      <c r="H180">
        <v>211106644.14216101</v>
      </c>
      <c r="I180">
        <v>3654.0959065966899</v>
      </c>
      <c r="J180">
        <v>83872972.0395751</v>
      </c>
      <c r="K180">
        <v>0.141520540771403</v>
      </c>
      <c r="L180">
        <v>3.2261360661833202E-2</v>
      </c>
      <c r="M180">
        <v>3654.0959065966899</v>
      </c>
      <c r="N180">
        <v>83872972.0395751</v>
      </c>
      <c r="O180">
        <v>0.45438647449416197</v>
      </c>
      <c r="P180">
        <v>9.7707167732340602E-2</v>
      </c>
      <c r="Q180">
        <v>0.63442830960101504</v>
      </c>
      <c r="R180">
        <v>0.23192902957778999</v>
      </c>
      <c r="S180">
        <v>0.91729991118128895</v>
      </c>
      <c r="T180">
        <v>7.5860784127891795E-2</v>
      </c>
      <c r="U180">
        <v>182</v>
      </c>
    </row>
    <row r="181" spans="1:21" x14ac:dyDescent="0.25">
      <c r="A181">
        <v>180</v>
      </c>
      <c r="B181">
        <v>705</v>
      </c>
      <c r="C181" t="s">
        <v>26</v>
      </c>
      <c r="D181">
        <v>42</v>
      </c>
      <c r="E181" t="s">
        <v>27</v>
      </c>
      <c r="F181" t="s">
        <v>28</v>
      </c>
      <c r="G181">
        <v>30877.926724449298</v>
      </c>
      <c r="H181">
        <v>133684889.640292</v>
      </c>
      <c r="I181">
        <v>-1717.34062535878</v>
      </c>
      <c r="J181">
        <v>41943791.893826701</v>
      </c>
      <c r="K181">
        <v>0.209123625994072</v>
      </c>
      <c r="L181">
        <v>2.0194922310402801E-2</v>
      </c>
      <c r="M181">
        <v>-1717.34062535878</v>
      </c>
      <c r="N181">
        <v>41943791.893826701</v>
      </c>
      <c r="O181">
        <v>0.60820843372233502</v>
      </c>
      <c r="P181">
        <v>4.2792455426473398E-2</v>
      </c>
      <c r="Q181">
        <v>0.883592151197785</v>
      </c>
      <c r="R181">
        <v>0.102857061539503</v>
      </c>
      <c r="S181">
        <v>0.96240701061704004</v>
      </c>
      <c r="T181">
        <v>3.6179756532147597E-2</v>
      </c>
      <c r="U181">
        <v>178</v>
      </c>
    </row>
    <row r="182" spans="1:21" x14ac:dyDescent="0.25">
      <c r="A182">
        <v>181</v>
      </c>
      <c r="B182">
        <v>706</v>
      </c>
      <c r="C182" t="s">
        <v>26</v>
      </c>
      <c r="D182">
        <v>42</v>
      </c>
      <c r="E182" t="s">
        <v>27</v>
      </c>
      <c r="F182" t="s">
        <v>28</v>
      </c>
      <c r="G182">
        <v>25039.0436726892</v>
      </c>
      <c r="H182">
        <v>171715484.14456701</v>
      </c>
      <c r="I182">
        <v>1315.38691367355</v>
      </c>
      <c r="J182">
        <v>80800330.719881207</v>
      </c>
      <c r="K182">
        <v>0.18948940452926799</v>
      </c>
      <c r="L182">
        <v>2.8099960756367202E-2</v>
      </c>
      <c r="M182">
        <v>1315.38691367355</v>
      </c>
      <c r="N182">
        <v>80800330.719881207</v>
      </c>
      <c r="O182">
        <v>0.53001089568118898</v>
      </c>
      <c r="P182">
        <v>7.6716388305656094E-2</v>
      </c>
      <c r="Q182">
        <v>0.73635303593109502</v>
      </c>
      <c r="R182">
        <v>0.19413724240623201</v>
      </c>
      <c r="S182">
        <v>0.99043131220849201</v>
      </c>
      <c r="T182">
        <v>9.4771280054567197E-3</v>
      </c>
      <c r="U182">
        <v>314</v>
      </c>
    </row>
    <row r="183" spans="1:21" x14ac:dyDescent="0.25">
      <c r="A183">
        <v>182</v>
      </c>
      <c r="B183">
        <v>707</v>
      </c>
      <c r="C183" t="s">
        <v>26</v>
      </c>
      <c r="D183">
        <v>42</v>
      </c>
      <c r="E183" t="s">
        <v>27</v>
      </c>
      <c r="F183" t="s">
        <v>28</v>
      </c>
      <c r="G183">
        <v>27210.169038847998</v>
      </c>
      <c r="H183">
        <v>177323343.36185601</v>
      </c>
      <c r="I183">
        <v>700.25725971058205</v>
      </c>
      <c r="J183">
        <v>74698602.6185482</v>
      </c>
      <c r="K183">
        <v>0.193289260898238</v>
      </c>
      <c r="L183">
        <v>2.70055186737608E-2</v>
      </c>
      <c r="M183">
        <v>700.25725971058205</v>
      </c>
      <c r="N183">
        <v>74698602.6185482</v>
      </c>
      <c r="O183">
        <v>0.55436803962112002</v>
      </c>
      <c r="P183">
        <v>7.0528241028871494E-2</v>
      </c>
      <c r="Q183">
        <v>0.77565543967084505</v>
      </c>
      <c r="R183">
        <v>0.17401407857957399</v>
      </c>
      <c r="S183">
        <v>0.98401004604437003</v>
      </c>
      <c r="T183">
        <v>1.57342753281829E-2</v>
      </c>
      <c r="U183">
        <v>230</v>
      </c>
    </row>
    <row r="184" spans="1:21" x14ac:dyDescent="0.25">
      <c r="A184">
        <v>183</v>
      </c>
      <c r="B184">
        <v>708</v>
      </c>
      <c r="C184" t="s">
        <v>26</v>
      </c>
      <c r="D184">
        <v>42</v>
      </c>
      <c r="E184" t="s">
        <v>27</v>
      </c>
      <c r="F184" t="s">
        <v>28</v>
      </c>
      <c r="G184">
        <v>22216.5775768395</v>
      </c>
      <c r="H184">
        <v>203001612.15759501</v>
      </c>
      <c r="I184">
        <v>5039.2737630689699</v>
      </c>
      <c r="J184">
        <v>100826980.475124</v>
      </c>
      <c r="K184">
        <v>0.11025124634844501</v>
      </c>
      <c r="L184">
        <v>3.5976192392331199E-2</v>
      </c>
      <c r="M184">
        <v>5039.2737630689699</v>
      </c>
      <c r="N184">
        <v>100826980.475124</v>
      </c>
      <c r="O184">
        <v>0.41461404369520499</v>
      </c>
      <c r="P184">
        <v>0.11402390512770499</v>
      </c>
      <c r="Q184">
        <v>0.61726430715098801</v>
      </c>
      <c r="R184">
        <v>0.236249082268254</v>
      </c>
      <c r="S184">
        <v>0.96907016454517203</v>
      </c>
      <c r="T184">
        <v>2.9973180733736601E-2</v>
      </c>
      <c r="U184">
        <v>280</v>
      </c>
    </row>
    <row r="185" spans="1:21" x14ac:dyDescent="0.25">
      <c r="A185">
        <v>184</v>
      </c>
      <c r="B185">
        <v>709</v>
      </c>
      <c r="C185" t="s">
        <v>26</v>
      </c>
      <c r="D185">
        <v>42</v>
      </c>
      <c r="E185" t="s">
        <v>27</v>
      </c>
      <c r="F185" t="s">
        <v>28</v>
      </c>
      <c r="G185">
        <v>16914.692599325499</v>
      </c>
      <c r="H185">
        <v>225732693.114907</v>
      </c>
      <c r="I185">
        <v>7510.3789715675102</v>
      </c>
      <c r="J185">
        <v>105053945.692975</v>
      </c>
      <c r="K185">
        <v>5.6088997233321801E-2</v>
      </c>
      <c r="L185">
        <v>2.99033384355381E-2</v>
      </c>
      <c r="M185">
        <v>7510.3789715675102</v>
      </c>
      <c r="N185">
        <v>105053945.692975</v>
      </c>
      <c r="O185">
        <v>0.29509049430864498</v>
      </c>
      <c r="P185">
        <v>0.12400813107300999</v>
      </c>
      <c r="Q185">
        <v>0.44834597077044502</v>
      </c>
      <c r="R185">
        <v>0.24733186126419801</v>
      </c>
      <c r="S185">
        <v>0.95085751189992096</v>
      </c>
      <c r="T185">
        <v>4.6727503963398503E-2</v>
      </c>
      <c r="U185">
        <v>136</v>
      </c>
    </row>
    <row r="186" spans="1:21" x14ac:dyDescent="0.25">
      <c r="A186">
        <v>185</v>
      </c>
      <c r="B186">
        <v>601</v>
      </c>
      <c r="C186" t="s">
        <v>26</v>
      </c>
      <c r="D186">
        <v>42</v>
      </c>
      <c r="E186" t="s">
        <v>27</v>
      </c>
      <c r="F186" t="s">
        <v>28</v>
      </c>
      <c r="G186">
        <v>17545.373809647001</v>
      </c>
      <c r="H186">
        <v>92507697.693551898</v>
      </c>
      <c r="I186">
        <v>3355.7586084047002</v>
      </c>
      <c r="J186">
        <v>70374110.202337593</v>
      </c>
      <c r="K186">
        <v>0.276508721382145</v>
      </c>
      <c r="L186">
        <v>3.3311913397513701E-2</v>
      </c>
      <c r="M186">
        <v>3355.7586084047002</v>
      </c>
      <c r="N186">
        <v>70374110.202337593</v>
      </c>
      <c r="O186">
        <v>0.56589508551564804</v>
      </c>
      <c r="P186">
        <v>6.6397868911532099E-2</v>
      </c>
      <c r="Q186">
        <v>0.70735431114791403</v>
      </c>
      <c r="R186">
        <v>0.20700418964820499</v>
      </c>
      <c r="S186">
        <v>0.914092014697511</v>
      </c>
      <c r="T186">
        <v>7.8527803363969598E-2</v>
      </c>
      <c r="U186">
        <v>120</v>
      </c>
    </row>
    <row r="187" spans="1:21" x14ac:dyDescent="0.25">
      <c r="A187">
        <v>186</v>
      </c>
      <c r="B187">
        <v>602</v>
      </c>
      <c r="C187" t="s">
        <v>26</v>
      </c>
      <c r="D187">
        <v>42</v>
      </c>
      <c r="E187" t="s">
        <v>27</v>
      </c>
      <c r="F187" t="s">
        <v>28</v>
      </c>
      <c r="G187">
        <v>17762.845986205601</v>
      </c>
      <c r="H187">
        <v>90871285.158768699</v>
      </c>
      <c r="I187">
        <v>3086.8127214812798</v>
      </c>
      <c r="J187">
        <v>79970481.296881303</v>
      </c>
      <c r="K187">
        <v>0.27817962378190703</v>
      </c>
      <c r="L187">
        <v>3.5169070176626099E-2</v>
      </c>
      <c r="M187">
        <v>3086.8127214812798</v>
      </c>
      <c r="N187">
        <v>79970481.296881303</v>
      </c>
      <c r="O187">
        <v>0.572088222127077</v>
      </c>
      <c r="P187">
        <v>7.6948164714031597E-2</v>
      </c>
      <c r="Q187">
        <v>0.71891464699683905</v>
      </c>
      <c r="R187">
        <v>0.20207637733054301</v>
      </c>
      <c r="S187">
        <v>0.97989510489510501</v>
      </c>
      <c r="T187">
        <v>1.9700688297704699E-2</v>
      </c>
      <c r="U187">
        <v>214</v>
      </c>
    </row>
    <row r="188" spans="1:21" x14ac:dyDescent="0.25">
      <c r="A188">
        <v>187</v>
      </c>
      <c r="B188">
        <v>603</v>
      </c>
      <c r="C188" t="s">
        <v>26</v>
      </c>
      <c r="D188">
        <v>42</v>
      </c>
      <c r="E188" t="s">
        <v>27</v>
      </c>
      <c r="F188" t="s">
        <v>28</v>
      </c>
      <c r="G188">
        <v>16371.783778262899</v>
      </c>
      <c r="H188">
        <v>68445355.963103995</v>
      </c>
      <c r="I188">
        <v>2362.4439761500698</v>
      </c>
      <c r="J188">
        <v>81380114.090096995</v>
      </c>
      <c r="K188">
        <v>0.30471252147440803</v>
      </c>
      <c r="L188">
        <v>4.8306999428508197E-2</v>
      </c>
      <c r="M188">
        <v>2362.4439761500698</v>
      </c>
      <c r="N188">
        <v>81380114.090096995</v>
      </c>
      <c r="O188">
        <v>0.56674585884319695</v>
      </c>
      <c r="P188">
        <v>9.0547028665379503E-2</v>
      </c>
      <c r="Q188">
        <v>0.72387554738468196</v>
      </c>
      <c r="R188">
        <v>0.19987973928355099</v>
      </c>
      <c r="S188">
        <v>0.93802744972869501</v>
      </c>
      <c r="T188">
        <v>5.8131953284216498E-2</v>
      </c>
      <c r="U188">
        <v>146</v>
      </c>
    </row>
    <row r="189" spans="1:21" x14ac:dyDescent="0.25">
      <c r="A189">
        <v>188</v>
      </c>
      <c r="B189">
        <v>604</v>
      </c>
      <c r="C189" t="s">
        <v>26</v>
      </c>
      <c r="D189">
        <v>42</v>
      </c>
      <c r="E189" t="s">
        <v>27</v>
      </c>
      <c r="F189" t="s">
        <v>28</v>
      </c>
      <c r="G189">
        <v>20648.671314630701</v>
      </c>
      <c r="H189">
        <v>83888076.571006</v>
      </c>
      <c r="I189">
        <v>-480.81397048713598</v>
      </c>
      <c r="J189">
        <v>50557187.008414097</v>
      </c>
      <c r="K189">
        <v>0.32281600900447999</v>
      </c>
      <c r="L189">
        <v>3.0435864812405199E-2</v>
      </c>
      <c r="M189">
        <v>-480.81397048713598</v>
      </c>
      <c r="N189">
        <v>50557187.008414097</v>
      </c>
      <c r="O189">
        <v>0.63197610522824599</v>
      </c>
      <c r="P189">
        <v>6.3210950597055005E-2</v>
      </c>
      <c r="Q189">
        <v>0.82840843003129405</v>
      </c>
      <c r="R189">
        <v>0.14214790308455799</v>
      </c>
      <c r="S189">
        <v>0.89459908599916904</v>
      </c>
      <c r="T189">
        <v>9.4291561328501403E-2</v>
      </c>
      <c r="U189">
        <v>126</v>
      </c>
    </row>
    <row r="190" spans="1:21" x14ac:dyDescent="0.25">
      <c r="A190">
        <v>189</v>
      </c>
      <c r="B190">
        <v>605</v>
      </c>
      <c r="C190" t="s">
        <v>26</v>
      </c>
      <c r="D190">
        <v>42</v>
      </c>
      <c r="E190" t="s">
        <v>27</v>
      </c>
      <c r="F190" t="s">
        <v>28</v>
      </c>
      <c r="G190">
        <v>19422.9340954943</v>
      </c>
      <c r="H190">
        <v>86320167.586974695</v>
      </c>
      <c r="I190">
        <v>805.59520560065096</v>
      </c>
      <c r="J190">
        <v>63631073.949016698</v>
      </c>
      <c r="K190">
        <v>0.27275653768248698</v>
      </c>
      <c r="L190">
        <v>3.4042803618224003E-2</v>
      </c>
      <c r="M190">
        <v>805.59520560065096</v>
      </c>
      <c r="N190">
        <v>63631073.949016698</v>
      </c>
      <c r="O190">
        <v>0.55806117709949798</v>
      </c>
      <c r="P190">
        <v>7.4523580072889006E-2</v>
      </c>
      <c r="Q190">
        <v>0.74366937702512703</v>
      </c>
      <c r="R190">
        <v>0.19062523470047901</v>
      </c>
      <c r="S190">
        <v>0.95625168121683402</v>
      </c>
      <c r="T190">
        <v>4.18344033868326E-2</v>
      </c>
      <c r="U190">
        <v>194</v>
      </c>
    </row>
    <row r="191" spans="1:21" x14ac:dyDescent="0.25">
      <c r="A191">
        <v>190</v>
      </c>
      <c r="B191">
        <v>606</v>
      </c>
      <c r="C191" t="s">
        <v>26</v>
      </c>
      <c r="D191">
        <v>42</v>
      </c>
      <c r="E191" t="s">
        <v>27</v>
      </c>
      <c r="F191" t="s">
        <v>28</v>
      </c>
      <c r="G191">
        <v>22781.6914342317</v>
      </c>
      <c r="H191">
        <v>98948883.915248096</v>
      </c>
      <c r="I191">
        <v>-382.67077582424503</v>
      </c>
      <c r="J191">
        <v>64054881.606417097</v>
      </c>
      <c r="K191">
        <v>0.27544688553720198</v>
      </c>
      <c r="L191">
        <v>3.04651607829164E-2</v>
      </c>
      <c r="M191">
        <v>-382.67077582424503</v>
      </c>
      <c r="N191">
        <v>64054881.606417097</v>
      </c>
      <c r="O191">
        <v>0.60586451862721002</v>
      </c>
      <c r="P191">
        <v>6.6898585918549705E-2</v>
      </c>
      <c r="Q191">
        <v>0.81588007199545798</v>
      </c>
      <c r="R191">
        <v>0.15021978011597001</v>
      </c>
      <c r="S191">
        <v>0.94820693070502804</v>
      </c>
      <c r="T191">
        <v>4.91105472680292E-2</v>
      </c>
      <c r="U191">
        <v>194</v>
      </c>
    </row>
    <row r="192" spans="1:21" x14ac:dyDescent="0.25">
      <c r="A192">
        <v>191</v>
      </c>
      <c r="B192">
        <v>607</v>
      </c>
      <c r="C192" t="s">
        <v>26</v>
      </c>
      <c r="D192">
        <v>42</v>
      </c>
      <c r="E192" t="s">
        <v>27</v>
      </c>
      <c r="F192" t="s">
        <v>28</v>
      </c>
      <c r="G192">
        <v>22305.487569668501</v>
      </c>
      <c r="H192">
        <v>104181474.898839</v>
      </c>
      <c r="I192">
        <v>-229.30978080196201</v>
      </c>
      <c r="J192">
        <v>74590888.373947993</v>
      </c>
      <c r="K192">
        <v>0.286968352641848</v>
      </c>
      <c r="L192">
        <v>3.4776209466419301E-2</v>
      </c>
      <c r="M192">
        <v>-229.30978080196201</v>
      </c>
      <c r="N192">
        <v>74590888.373947993</v>
      </c>
      <c r="O192">
        <v>0.60659980584424</v>
      </c>
      <c r="P192">
        <v>8.0900515748929105E-2</v>
      </c>
      <c r="Q192">
        <v>0.80843600273785099</v>
      </c>
      <c r="R192">
        <v>0.154867232214699</v>
      </c>
      <c r="S192">
        <v>0.87749639443643201</v>
      </c>
      <c r="T192">
        <v>0.107496472187531</v>
      </c>
      <c r="U192">
        <v>96</v>
      </c>
    </row>
    <row r="193" spans="1:21" x14ac:dyDescent="0.25">
      <c r="A193">
        <v>192</v>
      </c>
      <c r="B193">
        <v>608</v>
      </c>
      <c r="C193" t="s">
        <v>26</v>
      </c>
      <c r="D193">
        <v>42</v>
      </c>
      <c r="E193" t="s">
        <v>27</v>
      </c>
      <c r="F193" t="s">
        <v>28</v>
      </c>
      <c r="G193">
        <v>16055.666052295301</v>
      </c>
      <c r="H193">
        <v>98516437.930134505</v>
      </c>
      <c r="I193">
        <v>4560.7639278895003</v>
      </c>
      <c r="J193">
        <v>97824734.494613096</v>
      </c>
      <c r="K193">
        <v>0.20437865012680101</v>
      </c>
      <c r="L193">
        <v>5.5620923562214597E-2</v>
      </c>
      <c r="M193">
        <v>4560.7639278895003</v>
      </c>
      <c r="N193">
        <v>97824734.494613096</v>
      </c>
      <c r="O193">
        <v>0.456503112071237</v>
      </c>
      <c r="P193">
        <v>0.117971331365663</v>
      </c>
      <c r="Q193">
        <v>0.64379976408139195</v>
      </c>
      <c r="R193">
        <v>0.229321627850439</v>
      </c>
      <c r="S193">
        <v>0.93157552003342003</v>
      </c>
      <c r="T193">
        <v>6.3742570507853896E-2</v>
      </c>
      <c r="U193">
        <v>318</v>
      </c>
    </row>
    <row r="194" spans="1:21" x14ac:dyDescent="0.25">
      <c r="A194">
        <v>193</v>
      </c>
      <c r="B194">
        <v>609</v>
      </c>
      <c r="C194" t="s">
        <v>26</v>
      </c>
      <c r="D194">
        <v>42</v>
      </c>
      <c r="E194" t="s">
        <v>27</v>
      </c>
      <c r="F194" t="s">
        <v>28</v>
      </c>
      <c r="G194">
        <v>19488.3692855472</v>
      </c>
      <c r="H194">
        <v>85428488.117416397</v>
      </c>
      <c r="I194">
        <v>-722.29506226897297</v>
      </c>
      <c r="J194">
        <v>60653388.663119398</v>
      </c>
      <c r="K194">
        <v>0.31901736285871901</v>
      </c>
      <c r="L194">
        <v>3.9155296430843999E-2</v>
      </c>
      <c r="M194">
        <v>-722.29506226897297</v>
      </c>
      <c r="N194">
        <v>60653388.663119398</v>
      </c>
      <c r="O194">
        <v>0.62683187680323404</v>
      </c>
      <c r="P194">
        <v>7.9229607093867102E-2</v>
      </c>
      <c r="Q194">
        <v>0.839878368895704</v>
      </c>
      <c r="R194">
        <v>0.13448269435699101</v>
      </c>
      <c r="S194">
        <v>0.75131903833658198</v>
      </c>
      <c r="T194">
        <v>0.18683874096936101</v>
      </c>
      <c r="U194">
        <v>72</v>
      </c>
    </row>
    <row r="195" spans="1:21" x14ac:dyDescent="0.25">
      <c r="A195">
        <v>194</v>
      </c>
      <c r="B195">
        <v>501</v>
      </c>
      <c r="C195" t="s">
        <v>26</v>
      </c>
      <c r="D195">
        <v>42</v>
      </c>
      <c r="E195" t="s">
        <v>27</v>
      </c>
      <c r="F195" t="s">
        <v>28</v>
      </c>
      <c r="G195">
        <v>15281.346793121</v>
      </c>
      <c r="H195">
        <v>98624526.766968504</v>
      </c>
      <c r="I195">
        <v>6332.6859771851796</v>
      </c>
      <c r="J195">
        <v>103705959.661746</v>
      </c>
      <c r="K195">
        <v>0.21779415711724101</v>
      </c>
      <c r="L195">
        <v>4.80808531679656E-2</v>
      </c>
      <c r="M195">
        <v>6332.6859771851796</v>
      </c>
      <c r="N195">
        <v>103705959.661746</v>
      </c>
      <c r="O195">
        <v>0.48747665122952299</v>
      </c>
      <c r="P195">
        <v>9.3331470316870599E-2</v>
      </c>
      <c r="Q195">
        <v>0.61337652177493496</v>
      </c>
      <c r="R195">
        <v>0.23714576431013601</v>
      </c>
      <c r="S195">
        <v>0.88653893661991201</v>
      </c>
      <c r="T195">
        <v>0.100587650476558</v>
      </c>
      <c r="U195">
        <v>96</v>
      </c>
    </row>
    <row r="196" spans="1:21" x14ac:dyDescent="0.25">
      <c r="A196">
        <v>195</v>
      </c>
      <c r="B196">
        <v>502</v>
      </c>
      <c r="C196" t="s">
        <v>26</v>
      </c>
      <c r="D196">
        <v>42</v>
      </c>
      <c r="E196" t="s">
        <v>27</v>
      </c>
      <c r="F196" t="s">
        <v>28</v>
      </c>
      <c r="G196">
        <v>15793.5603827381</v>
      </c>
      <c r="H196">
        <v>95988277.9721535</v>
      </c>
      <c r="I196">
        <v>4871.5219200847096</v>
      </c>
      <c r="J196">
        <v>104916332.08761901</v>
      </c>
      <c r="K196">
        <v>0.24675429092811499</v>
      </c>
      <c r="L196">
        <v>5.4553062458167399E-2</v>
      </c>
      <c r="M196">
        <v>4871.5219200847096</v>
      </c>
      <c r="N196">
        <v>104916332.08761901</v>
      </c>
      <c r="O196">
        <v>0.52740170262668296</v>
      </c>
      <c r="P196">
        <v>0.105074892063365</v>
      </c>
      <c r="Q196">
        <v>0.67336780553810505</v>
      </c>
      <c r="R196">
        <v>0.219943604002792</v>
      </c>
      <c r="S196">
        <v>0.800596784130858</v>
      </c>
      <c r="T196">
        <v>0.159641573370705</v>
      </c>
      <c r="U196">
        <v>118</v>
      </c>
    </row>
    <row r="197" spans="1:21" x14ac:dyDescent="0.25">
      <c r="A197">
        <v>196</v>
      </c>
      <c r="B197">
        <v>503</v>
      </c>
      <c r="C197" t="s">
        <v>26</v>
      </c>
      <c r="D197">
        <v>42</v>
      </c>
      <c r="E197" t="s">
        <v>27</v>
      </c>
      <c r="F197" t="s">
        <v>28</v>
      </c>
      <c r="G197">
        <v>14600.2481995504</v>
      </c>
      <c r="H197">
        <v>100151214.929419</v>
      </c>
      <c r="I197">
        <v>6406.1763047689801</v>
      </c>
      <c r="J197">
        <v>128123748.749035</v>
      </c>
      <c r="K197">
        <v>0.190511739743424</v>
      </c>
      <c r="L197">
        <v>6.8886386939725597E-2</v>
      </c>
      <c r="M197">
        <v>6406.1763047689801</v>
      </c>
      <c r="N197">
        <v>128123748.749035</v>
      </c>
      <c r="O197">
        <v>0.44205354473885</v>
      </c>
      <c r="P197">
        <v>0.12993131870600699</v>
      </c>
      <c r="Q197">
        <v>0.58772059714351099</v>
      </c>
      <c r="R197">
        <v>0.24230509683694099</v>
      </c>
      <c r="S197">
        <v>0.93422894680163704</v>
      </c>
      <c r="T197">
        <v>6.1445221759714098E-2</v>
      </c>
      <c r="U197">
        <v>146</v>
      </c>
    </row>
    <row r="198" spans="1:21" x14ac:dyDescent="0.25">
      <c r="A198">
        <v>197</v>
      </c>
      <c r="B198">
        <v>504</v>
      </c>
      <c r="C198" t="s">
        <v>26</v>
      </c>
      <c r="D198">
        <v>42</v>
      </c>
      <c r="E198" t="s">
        <v>27</v>
      </c>
      <c r="F198" t="s">
        <v>28</v>
      </c>
      <c r="G198">
        <v>19773.207633506299</v>
      </c>
      <c r="H198">
        <v>98086490.662182003</v>
      </c>
      <c r="I198">
        <v>954.05301360755698</v>
      </c>
      <c r="J198">
        <v>71568915.993685097</v>
      </c>
      <c r="K198">
        <v>0.27798321121894298</v>
      </c>
      <c r="L198">
        <v>3.7162370397012999E-2</v>
      </c>
      <c r="M198">
        <v>954.05301360755698</v>
      </c>
      <c r="N198">
        <v>71568915.993685097</v>
      </c>
      <c r="O198">
        <v>0.58755718876395402</v>
      </c>
      <c r="P198">
        <v>7.6263725294646603E-2</v>
      </c>
      <c r="Q198">
        <v>0.77873237369762105</v>
      </c>
      <c r="R198">
        <v>0.172308263853063</v>
      </c>
      <c r="S198">
        <v>0.93364726598455205</v>
      </c>
      <c r="T198">
        <v>6.1950048704022903E-2</v>
      </c>
      <c r="U198">
        <v>182</v>
      </c>
    </row>
    <row r="199" spans="1:21" x14ac:dyDescent="0.25">
      <c r="A199">
        <v>198</v>
      </c>
      <c r="B199">
        <v>505</v>
      </c>
      <c r="C199" t="s">
        <v>26</v>
      </c>
      <c r="D199">
        <v>42</v>
      </c>
      <c r="E199" t="s">
        <v>27</v>
      </c>
      <c r="F199" t="s">
        <v>28</v>
      </c>
      <c r="G199">
        <v>21063.348812456599</v>
      </c>
      <c r="H199">
        <v>93962999.059068307</v>
      </c>
      <c r="I199">
        <v>498.76948524666398</v>
      </c>
      <c r="J199">
        <v>68088360.830334201</v>
      </c>
      <c r="K199">
        <v>0.27720483685674102</v>
      </c>
      <c r="L199">
        <v>3.6386500166717503E-2</v>
      </c>
      <c r="M199">
        <v>498.76948524666398</v>
      </c>
      <c r="N199">
        <v>68088360.830334201</v>
      </c>
      <c r="O199">
        <v>0.59498522428171996</v>
      </c>
      <c r="P199">
        <v>6.9675418535939004E-2</v>
      </c>
      <c r="Q199">
        <v>0.80886890382453502</v>
      </c>
      <c r="R199">
        <v>0.15460000025047599</v>
      </c>
      <c r="S199">
        <v>0.89729238423268298</v>
      </c>
      <c r="T199">
        <v>9.2158761430748304E-2</v>
      </c>
      <c r="U199">
        <v>180</v>
      </c>
    </row>
    <row r="200" spans="1:21" x14ac:dyDescent="0.25">
      <c r="A200">
        <v>199</v>
      </c>
      <c r="B200">
        <v>506</v>
      </c>
      <c r="C200" t="s">
        <v>26</v>
      </c>
      <c r="D200">
        <v>42</v>
      </c>
      <c r="E200" t="s">
        <v>27</v>
      </c>
      <c r="F200" t="s">
        <v>28</v>
      </c>
      <c r="G200">
        <v>19406.718934628199</v>
      </c>
      <c r="H200">
        <v>114797261.75563601</v>
      </c>
      <c r="I200">
        <v>4636.4445767859397</v>
      </c>
      <c r="J200">
        <v>87271898.464428201</v>
      </c>
      <c r="K200">
        <v>0.17032170775090599</v>
      </c>
      <c r="L200">
        <v>3.5386608483800902E-2</v>
      </c>
      <c r="M200">
        <v>4636.4445767859397</v>
      </c>
      <c r="N200">
        <v>87271898.464428201</v>
      </c>
      <c r="O200">
        <v>0.47357296215433597</v>
      </c>
      <c r="P200">
        <v>9.3883327511130904E-2</v>
      </c>
      <c r="Q200">
        <v>0.65915994929078903</v>
      </c>
      <c r="R200">
        <v>0.224668110541938</v>
      </c>
      <c r="S200">
        <v>0.99531162167657405</v>
      </c>
      <c r="T200">
        <v>4.6663974321222599E-3</v>
      </c>
      <c r="U200">
        <v>366</v>
      </c>
    </row>
    <row r="201" spans="1:21" x14ac:dyDescent="0.25">
      <c r="A201">
        <v>200</v>
      </c>
      <c r="B201">
        <v>507</v>
      </c>
      <c r="C201" t="s">
        <v>26</v>
      </c>
      <c r="D201">
        <v>42</v>
      </c>
      <c r="E201" t="s">
        <v>27</v>
      </c>
      <c r="F201" t="s">
        <v>28</v>
      </c>
      <c r="G201">
        <v>19575.693665085098</v>
      </c>
      <c r="H201">
        <v>100218126.90907399</v>
      </c>
      <c r="I201">
        <v>2272.65155153561</v>
      </c>
      <c r="J201">
        <v>81304821.245620802</v>
      </c>
      <c r="K201">
        <v>0.22781036655492101</v>
      </c>
      <c r="L201">
        <v>3.8923804341184899E-2</v>
      </c>
      <c r="M201">
        <v>2272.65155153561</v>
      </c>
      <c r="N201">
        <v>81304821.245620802</v>
      </c>
      <c r="O201">
        <v>0.54197313762061905</v>
      </c>
      <c r="P201">
        <v>8.8463741962726702E-2</v>
      </c>
      <c r="Q201">
        <v>0.74433693229224995</v>
      </c>
      <c r="R201">
        <v>0.19029946351795901</v>
      </c>
      <c r="S201">
        <v>0.99338680349714803</v>
      </c>
      <c r="T201">
        <v>6.5694621348661997E-3</v>
      </c>
      <c r="U201">
        <v>208</v>
      </c>
    </row>
    <row r="202" spans="1:21" x14ac:dyDescent="0.25">
      <c r="A202">
        <v>201</v>
      </c>
      <c r="B202">
        <v>508</v>
      </c>
      <c r="C202" t="s">
        <v>26</v>
      </c>
      <c r="D202">
        <v>42</v>
      </c>
      <c r="E202" t="s">
        <v>27</v>
      </c>
      <c r="F202" t="s">
        <v>28</v>
      </c>
      <c r="G202">
        <v>19197.546433056301</v>
      </c>
      <c r="H202">
        <v>117152858.265999</v>
      </c>
      <c r="I202">
        <v>4384.2668566279899</v>
      </c>
      <c r="J202">
        <v>73210607.079435706</v>
      </c>
      <c r="K202">
        <v>0.18052460018092301</v>
      </c>
      <c r="L202">
        <v>3.7295469984091202E-2</v>
      </c>
      <c r="M202">
        <v>4384.2668566279899</v>
      </c>
      <c r="N202">
        <v>73210607.079435706</v>
      </c>
      <c r="O202">
        <v>0.482999366127078</v>
      </c>
      <c r="P202">
        <v>8.6933579740727199E-2</v>
      </c>
      <c r="Q202">
        <v>0.67852658015906198</v>
      </c>
      <c r="R202">
        <v>0.21812826017692599</v>
      </c>
      <c r="S202">
        <v>0.97934531711576001</v>
      </c>
      <c r="T202">
        <v>2.0228066959246001E-2</v>
      </c>
      <c r="U202">
        <v>504</v>
      </c>
    </row>
    <row r="203" spans="1:21" x14ac:dyDescent="0.25">
      <c r="A203">
        <v>202</v>
      </c>
      <c r="B203">
        <v>509</v>
      </c>
      <c r="C203" t="s">
        <v>26</v>
      </c>
      <c r="D203">
        <v>42</v>
      </c>
      <c r="E203" t="s">
        <v>27</v>
      </c>
      <c r="F203" t="s">
        <v>28</v>
      </c>
      <c r="G203">
        <v>18848.648496444701</v>
      </c>
      <c r="H203">
        <v>80878776.662595794</v>
      </c>
      <c r="I203">
        <v>249.388818227531</v>
      </c>
      <c r="J203">
        <v>46988938.428337499</v>
      </c>
      <c r="K203">
        <v>0.30998060722475401</v>
      </c>
      <c r="L203">
        <v>3.1058849516778699E-2</v>
      </c>
      <c r="M203">
        <v>249.388818227531</v>
      </c>
      <c r="N203">
        <v>46988938.428337499</v>
      </c>
      <c r="O203">
        <v>0.62874815787618699</v>
      </c>
      <c r="P203">
        <v>5.7847351371475203E-2</v>
      </c>
      <c r="Q203">
        <v>0.85520816370840802</v>
      </c>
      <c r="R203">
        <v>0.12382716043462701</v>
      </c>
      <c r="S203">
        <v>0.97155613456553902</v>
      </c>
      <c r="T203">
        <v>2.76348119536577E-2</v>
      </c>
      <c r="U203">
        <v>178</v>
      </c>
    </row>
    <row r="204" spans="1:21" x14ac:dyDescent="0.25">
      <c r="A204">
        <v>203</v>
      </c>
      <c r="B204">
        <v>401</v>
      </c>
      <c r="C204" t="s">
        <v>26</v>
      </c>
      <c r="D204">
        <v>42</v>
      </c>
      <c r="E204" t="s">
        <v>27</v>
      </c>
      <c r="F204" t="s">
        <v>28</v>
      </c>
      <c r="G204">
        <v>11868.4147798701</v>
      </c>
      <c r="H204">
        <v>94698340.989972398</v>
      </c>
      <c r="I204">
        <v>9387.5704050888908</v>
      </c>
      <c r="J204">
        <v>114039188.942801</v>
      </c>
      <c r="K204">
        <v>0.151304798280398</v>
      </c>
      <c r="L204">
        <v>5.7622690644433198E-2</v>
      </c>
      <c r="M204">
        <v>9387.5704050888908</v>
      </c>
      <c r="N204">
        <v>114039188.942801</v>
      </c>
      <c r="O204">
        <v>0.39848554777595802</v>
      </c>
      <c r="P204">
        <v>0.109797239104032</v>
      </c>
      <c r="Q204">
        <v>0.49484830026309301</v>
      </c>
      <c r="R204">
        <v>0.24997345999006099</v>
      </c>
      <c r="S204">
        <v>0.73601264920488896</v>
      </c>
      <c r="T204">
        <v>0.194298029414982</v>
      </c>
      <c r="U204">
        <v>80</v>
      </c>
    </row>
    <row r="205" spans="1:21" x14ac:dyDescent="0.25">
      <c r="A205">
        <v>204</v>
      </c>
      <c r="B205">
        <v>402</v>
      </c>
      <c r="C205" t="s">
        <v>26</v>
      </c>
      <c r="D205">
        <v>42</v>
      </c>
      <c r="E205" t="s">
        <v>27</v>
      </c>
      <c r="F205" t="s">
        <v>28</v>
      </c>
      <c r="G205">
        <v>14253.896607662</v>
      </c>
      <c r="H205">
        <v>93779917.488207802</v>
      </c>
      <c r="I205">
        <v>6167.50300910641</v>
      </c>
      <c r="J205">
        <v>114742129.789552</v>
      </c>
      <c r="K205">
        <v>0.217873321097412</v>
      </c>
      <c r="L205">
        <v>6.9111761235741906E-2</v>
      </c>
      <c r="M205">
        <v>6167.50300910641</v>
      </c>
      <c r="N205">
        <v>114742129.789552</v>
      </c>
      <c r="O205">
        <v>0.48841906274920099</v>
      </c>
      <c r="P205">
        <v>0.12593940428317699</v>
      </c>
      <c r="Q205">
        <v>0.63278654485049801</v>
      </c>
      <c r="R205">
        <v>0.232367733506498</v>
      </c>
      <c r="S205">
        <v>0.75320866371646999</v>
      </c>
      <c r="T205">
        <v>0.185885372618842</v>
      </c>
      <c r="U205">
        <v>72</v>
      </c>
    </row>
    <row r="206" spans="1:21" x14ac:dyDescent="0.25">
      <c r="A206">
        <v>205</v>
      </c>
      <c r="B206">
        <v>403</v>
      </c>
      <c r="C206" t="s">
        <v>26</v>
      </c>
      <c r="D206">
        <v>42</v>
      </c>
      <c r="E206" t="s">
        <v>27</v>
      </c>
      <c r="F206" t="s">
        <v>28</v>
      </c>
      <c r="G206">
        <v>13576.425714627399</v>
      </c>
      <c r="H206">
        <v>84472808.952052802</v>
      </c>
      <c r="I206">
        <v>7473.7233875840102</v>
      </c>
      <c r="J206">
        <v>108421584.533236</v>
      </c>
      <c r="K206">
        <v>0.16914656850430401</v>
      </c>
      <c r="L206">
        <v>6.4262116141615602E-2</v>
      </c>
      <c r="M206">
        <v>7473.7233875840102</v>
      </c>
      <c r="N206">
        <v>108421584.533236</v>
      </c>
      <c r="O206">
        <v>0.42555910675665698</v>
      </c>
      <c r="P206">
        <v>0.11915690193836199</v>
      </c>
      <c r="Q206">
        <v>0.57381892118167699</v>
      </c>
      <c r="R206">
        <v>0.24455076687550301</v>
      </c>
      <c r="S206">
        <v>0.89420236115928897</v>
      </c>
      <c r="T206">
        <v>9.4604498456570693E-2</v>
      </c>
      <c r="U206">
        <v>160</v>
      </c>
    </row>
    <row r="207" spans="1:21" x14ac:dyDescent="0.25">
      <c r="A207">
        <v>206</v>
      </c>
      <c r="B207">
        <v>404</v>
      </c>
      <c r="C207" t="s">
        <v>26</v>
      </c>
      <c r="D207">
        <v>42</v>
      </c>
      <c r="E207" t="s">
        <v>27</v>
      </c>
      <c r="F207" t="s">
        <v>28</v>
      </c>
      <c r="G207">
        <v>14265.1634649301</v>
      </c>
      <c r="H207">
        <v>121845618.820696</v>
      </c>
      <c r="I207">
        <v>9155.0137063274396</v>
      </c>
      <c r="J207">
        <v>111624541.888685</v>
      </c>
      <c r="K207">
        <v>8.7548617219059099E-2</v>
      </c>
      <c r="L207">
        <v>5.63058884779001E-2</v>
      </c>
      <c r="M207">
        <v>9155.0137063274396</v>
      </c>
      <c r="N207">
        <v>111624541.888685</v>
      </c>
      <c r="O207">
        <v>0.343008228563429</v>
      </c>
      <c r="P207">
        <v>0.133772658868238</v>
      </c>
      <c r="Q207">
        <v>0.47894451227784601</v>
      </c>
      <c r="R207">
        <v>0.249556666436515</v>
      </c>
      <c r="S207">
        <v>0.95402127313181695</v>
      </c>
      <c r="T207">
        <v>4.3864683543912299E-2</v>
      </c>
      <c r="U207">
        <v>232</v>
      </c>
    </row>
    <row r="208" spans="1:21" x14ac:dyDescent="0.25">
      <c r="A208">
        <v>207</v>
      </c>
      <c r="B208">
        <v>405</v>
      </c>
      <c r="C208" t="s">
        <v>26</v>
      </c>
      <c r="D208">
        <v>42</v>
      </c>
      <c r="E208" t="s">
        <v>27</v>
      </c>
      <c r="F208" t="s">
        <v>28</v>
      </c>
      <c r="G208">
        <v>14823.869262599001</v>
      </c>
      <c r="H208">
        <v>92772015.279710501</v>
      </c>
      <c r="I208">
        <v>5600.7423587925596</v>
      </c>
      <c r="J208">
        <v>114590050.60980301</v>
      </c>
      <c r="K208">
        <v>0.19730745685808199</v>
      </c>
      <c r="L208">
        <v>7.0626758625790403E-2</v>
      </c>
      <c r="M208">
        <v>5600.7423587925596</v>
      </c>
      <c r="N208">
        <v>114590050.60980301</v>
      </c>
      <c r="O208">
        <v>0.46309451575451699</v>
      </c>
      <c r="P208">
        <v>0.13662623118044501</v>
      </c>
      <c r="Q208">
        <v>0.63869023416010895</v>
      </c>
      <c r="R208">
        <v>0.23076501894857501</v>
      </c>
      <c r="S208">
        <v>0.78569805408379301</v>
      </c>
      <c r="T208">
        <v>0.16837662189312599</v>
      </c>
      <c r="U208">
        <v>96</v>
      </c>
    </row>
    <row r="209" spans="1:21" x14ac:dyDescent="0.25">
      <c r="A209">
        <v>208</v>
      </c>
      <c r="B209">
        <v>406</v>
      </c>
      <c r="C209" t="s">
        <v>26</v>
      </c>
      <c r="D209">
        <v>42</v>
      </c>
      <c r="E209" t="s">
        <v>27</v>
      </c>
      <c r="F209" t="s">
        <v>28</v>
      </c>
      <c r="G209">
        <v>13480.9976798976</v>
      </c>
      <c r="H209">
        <v>96566790.921242401</v>
      </c>
      <c r="I209">
        <v>7874.9835336223796</v>
      </c>
      <c r="J209">
        <v>118897153.531748</v>
      </c>
      <c r="K209">
        <v>0.12369524828905699</v>
      </c>
      <c r="L209">
        <v>6.5217482946306596E-2</v>
      </c>
      <c r="M209">
        <v>7874.9835336223796</v>
      </c>
      <c r="N209">
        <v>118897153.531748</v>
      </c>
      <c r="O209">
        <v>0.36877461915624199</v>
      </c>
      <c r="P209">
        <v>0.13798806998108401</v>
      </c>
      <c r="Q209">
        <v>0.54230599040864902</v>
      </c>
      <c r="R209">
        <v>0.24821020317526399</v>
      </c>
      <c r="S209">
        <v>0.94797148598220304</v>
      </c>
      <c r="T209">
        <v>4.9321547746944298E-2</v>
      </c>
      <c r="U209">
        <v>126</v>
      </c>
    </row>
    <row r="210" spans="1:21" x14ac:dyDescent="0.25">
      <c r="A210">
        <v>209</v>
      </c>
      <c r="B210">
        <v>407</v>
      </c>
      <c r="C210" t="s">
        <v>26</v>
      </c>
      <c r="D210">
        <v>42</v>
      </c>
      <c r="E210" t="s">
        <v>27</v>
      </c>
      <c r="F210" t="s">
        <v>28</v>
      </c>
      <c r="G210">
        <v>15174.4780674179</v>
      </c>
      <c r="H210">
        <v>95719427.116011202</v>
      </c>
      <c r="I210">
        <v>4566.7532958677302</v>
      </c>
      <c r="J210">
        <v>102671161.59202</v>
      </c>
      <c r="K210">
        <v>0.192950499983149</v>
      </c>
      <c r="L210">
        <v>4.9753806859448198E-2</v>
      </c>
      <c r="M210">
        <v>4566.7532958677302</v>
      </c>
      <c r="N210">
        <v>102671161.59202</v>
      </c>
      <c r="O210">
        <v>0.46275910953226901</v>
      </c>
      <c r="P210">
        <v>0.108681451636908</v>
      </c>
      <c r="Q210">
        <v>0.63048314552401197</v>
      </c>
      <c r="R210">
        <v>0.23297414873443001</v>
      </c>
      <c r="S210">
        <v>0.93666279800764096</v>
      </c>
      <c r="T210">
        <v>5.9325600836247598E-2</v>
      </c>
      <c r="U210">
        <v>138</v>
      </c>
    </row>
    <row r="211" spans="1:21" x14ac:dyDescent="0.25">
      <c r="A211">
        <v>210</v>
      </c>
      <c r="B211">
        <v>408</v>
      </c>
      <c r="C211" t="s">
        <v>26</v>
      </c>
      <c r="D211">
        <v>42</v>
      </c>
      <c r="E211" t="s">
        <v>27</v>
      </c>
      <c r="F211" t="s">
        <v>28</v>
      </c>
      <c r="G211">
        <v>15137.876487543501</v>
      </c>
      <c r="H211">
        <v>120913008.42976999</v>
      </c>
      <c r="I211">
        <v>5878.6159903042599</v>
      </c>
      <c r="J211">
        <v>98437054.161306903</v>
      </c>
      <c r="K211">
        <v>0.15150719300656099</v>
      </c>
      <c r="L211">
        <v>4.4761975968800702E-2</v>
      </c>
      <c r="M211">
        <v>5878.6159903042599</v>
      </c>
      <c r="N211">
        <v>98437054.161306903</v>
      </c>
      <c r="O211">
        <v>0.417633438626338</v>
      </c>
      <c r="P211">
        <v>0.108720594094394</v>
      </c>
      <c r="Q211">
        <v>0.56772434249082104</v>
      </c>
      <c r="R211">
        <v>0.24541341343401199</v>
      </c>
      <c r="S211">
        <v>0.979810302965063</v>
      </c>
      <c r="T211">
        <v>1.9782073168516101E-2</v>
      </c>
      <c r="U211">
        <v>242</v>
      </c>
    </row>
    <row r="212" spans="1:21" x14ac:dyDescent="0.25">
      <c r="A212">
        <v>211</v>
      </c>
      <c r="B212">
        <v>409</v>
      </c>
      <c r="C212" t="s">
        <v>26</v>
      </c>
      <c r="D212">
        <v>42</v>
      </c>
      <c r="E212" t="s">
        <v>27</v>
      </c>
      <c r="F212" t="s">
        <v>28</v>
      </c>
      <c r="G212">
        <v>15500.958783280301</v>
      </c>
      <c r="H212">
        <v>103058981.83478799</v>
      </c>
      <c r="I212">
        <v>4188.1349280465201</v>
      </c>
      <c r="J212">
        <v>67451318.232247204</v>
      </c>
      <c r="K212">
        <v>0.20534695505539399</v>
      </c>
      <c r="L212">
        <v>3.5004872665867298E-2</v>
      </c>
      <c r="M212">
        <v>4188.1349280465201</v>
      </c>
      <c r="N212">
        <v>67451318.232247204</v>
      </c>
      <c r="O212">
        <v>0.486290875889277</v>
      </c>
      <c r="P212">
        <v>8.3865036154977493E-2</v>
      </c>
      <c r="Q212">
        <v>0.66013142741006703</v>
      </c>
      <c r="R212">
        <v>0.22435792595548201</v>
      </c>
      <c r="S212">
        <v>0.99250789177764798</v>
      </c>
      <c r="T212">
        <v>7.4359765367443204E-3</v>
      </c>
      <c r="U212">
        <v>242</v>
      </c>
    </row>
    <row r="213" spans="1:21" x14ac:dyDescent="0.25">
      <c r="A213">
        <v>212</v>
      </c>
      <c r="B213">
        <v>301</v>
      </c>
      <c r="C213" t="s">
        <v>26</v>
      </c>
      <c r="D213">
        <v>42</v>
      </c>
      <c r="E213" t="s">
        <v>27</v>
      </c>
      <c r="F213" t="s">
        <v>28</v>
      </c>
      <c r="G213">
        <v>11913.779647015601</v>
      </c>
      <c r="H213">
        <v>71415455.990086496</v>
      </c>
      <c r="I213">
        <v>6394.1428391844802</v>
      </c>
      <c r="J213">
        <v>125531593.938979</v>
      </c>
      <c r="K213">
        <v>0.29275974102736102</v>
      </c>
      <c r="L213">
        <v>7.5496594960039701E-2</v>
      </c>
      <c r="M213">
        <v>6394.1428391844802</v>
      </c>
      <c r="N213">
        <v>125531593.938979</v>
      </c>
      <c r="O213">
        <v>0.52631056296560197</v>
      </c>
      <c r="P213">
        <v>0.117053809666532</v>
      </c>
      <c r="Q213">
        <v>0.59911622784013396</v>
      </c>
      <c r="R213">
        <v>0.240175973378736</v>
      </c>
      <c r="S213">
        <v>0.53862393621903704</v>
      </c>
      <c r="T213">
        <v>0.24850819155064999</v>
      </c>
      <c r="U213">
        <v>32</v>
      </c>
    </row>
    <row r="214" spans="1:21" x14ac:dyDescent="0.25">
      <c r="A214">
        <v>213</v>
      </c>
      <c r="B214">
        <v>302</v>
      </c>
      <c r="C214" t="s">
        <v>26</v>
      </c>
      <c r="D214">
        <v>42</v>
      </c>
      <c r="E214" t="s">
        <v>27</v>
      </c>
      <c r="F214" t="s">
        <v>28</v>
      </c>
      <c r="G214">
        <v>13236.4776142788</v>
      </c>
      <c r="H214">
        <v>72299786.895336106</v>
      </c>
      <c r="I214">
        <v>5374.6711011872403</v>
      </c>
      <c r="J214">
        <v>102551124.40455399</v>
      </c>
      <c r="K214">
        <v>0.29307053305974501</v>
      </c>
      <c r="L214">
        <v>6.6531869141869204E-2</v>
      </c>
      <c r="M214">
        <v>5374.6711011872403</v>
      </c>
      <c r="N214">
        <v>102551124.40455399</v>
      </c>
      <c r="O214">
        <v>0.54667264595967202</v>
      </c>
      <c r="P214">
        <v>0.113075619162308</v>
      </c>
      <c r="Q214">
        <v>0.63668411912937894</v>
      </c>
      <c r="R214">
        <v>0.231317451578018</v>
      </c>
      <c r="S214">
        <v>0.71410107445461302</v>
      </c>
      <c r="T214">
        <v>0.20416072991718201</v>
      </c>
      <c r="U214">
        <v>80</v>
      </c>
    </row>
    <row r="215" spans="1:21" x14ac:dyDescent="0.25">
      <c r="A215">
        <v>214</v>
      </c>
      <c r="B215">
        <v>303</v>
      </c>
      <c r="C215" t="s">
        <v>26</v>
      </c>
      <c r="D215">
        <v>42</v>
      </c>
      <c r="E215" t="s">
        <v>27</v>
      </c>
      <c r="F215" t="s">
        <v>28</v>
      </c>
      <c r="G215">
        <v>10644.8681252557</v>
      </c>
      <c r="H215">
        <v>61497996.548762202</v>
      </c>
      <c r="I215">
        <v>8613.5502654129596</v>
      </c>
      <c r="J215">
        <v>103973761.711633</v>
      </c>
      <c r="K215">
        <v>0.18728213087233</v>
      </c>
      <c r="L215">
        <v>7.1635011842743096E-2</v>
      </c>
      <c r="M215">
        <v>8613.5502654129596</v>
      </c>
      <c r="N215">
        <v>103973761.711633</v>
      </c>
      <c r="O215">
        <v>0.41411625606999403</v>
      </c>
      <c r="P215">
        <v>0.12206404180658099</v>
      </c>
      <c r="Q215">
        <v>0.49886875105302397</v>
      </c>
      <c r="R215">
        <v>0.249998720275761</v>
      </c>
      <c r="S215">
        <v>0.94555301480322496</v>
      </c>
      <c r="T215">
        <v>5.1482510999732403E-2</v>
      </c>
      <c r="U215">
        <v>172</v>
      </c>
    </row>
    <row r="216" spans="1:21" x14ac:dyDescent="0.25">
      <c r="A216">
        <v>215</v>
      </c>
      <c r="B216">
        <v>304</v>
      </c>
      <c r="C216" t="s">
        <v>26</v>
      </c>
      <c r="D216">
        <v>42</v>
      </c>
      <c r="E216" t="s">
        <v>27</v>
      </c>
      <c r="F216" t="s">
        <v>28</v>
      </c>
      <c r="G216">
        <v>11114.336429945701</v>
      </c>
      <c r="H216">
        <v>67835648.073574707</v>
      </c>
      <c r="I216">
        <v>8455.6699788399692</v>
      </c>
      <c r="J216">
        <v>100840991.60562401</v>
      </c>
      <c r="K216">
        <v>0.17237223393767501</v>
      </c>
      <c r="L216">
        <v>6.8864634623853505E-2</v>
      </c>
      <c r="M216">
        <v>8455.6699788399692</v>
      </c>
      <c r="N216">
        <v>100840991.60562401</v>
      </c>
      <c r="O216">
        <v>0.399531308669201</v>
      </c>
      <c r="P216">
        <v>0.124968150347376</v>
      </c>
      <c r="Q216">
        <v>0.51134307785084598</v>
      </c>
      <c r="R216">
        <v>0.249871334584851</v>
      </c>
      <c r="S216">
        <v>0.95593619434593502</v>
      </c>
      <c r="T216">
        <v>4.2122186685394997E-2</v>
      </c>
      <c r="U216">
        <v>176</v>
      </c>
    </row>
    <row r="217" spans="1:21" x14ac:dyDescent="0.25">
      <c r="A217">
        <v>216</v>
      </c>
      <c r="B217">
        <v>305</v>
      </c>
      <c r="C217" t="s">
        <v>26</v>
      </c>
      <c r="D217">
        <v>42</v>
      </c>
      <c r="E217" t="s">
        <v>27</v>
      </c>
      <c r="F217" t="s">
        <v>28</v>
      </c>
      <c r="G217">
        <v>10510.946131372901</v>
      </c>
      <c r="H217">
        <v>69395766.450113505</v>
      </c>
      <c r="I217">
        <v>8219.7699135897001</v>
      </c>
      <c r="J217">
        <v>118209471.135324</v>
      </c>
      <c r="K217">
        <v>0.17272333342820001</v>
      </c>
      <c r="L217">
        <v>8.3022209515619005E-2</v>
      </c>
      <c r="M217">
        <v>8219.7699135897001</v>
      </c>
      <c r="N217">
        <v>118209471.135324</v>
      </c>
      <c r="O217">
        <v>0.38935698129822299</v>
      </c>
      <c r="P217">
        <v>0.14011716087079601</v>
      </c>
      <c r="Q217">
        <v>0.50666922100625</v>
      </c>
      <c r="R217">
        <v>0.249955521491347</v>
      </c>
      <c r="S217">
        <v>0.78346763089522398</v>
      </c>
      <c r="T217">
        <v>0.16964610223448801</v>
      </c>
      <c r="U217">
        <v>76</v>
      </c>
    </row>
    <row r="218" spans="1:21" x14ac:dyDescent="0.25">
      <c r="A218">
        <v>217</v>
      </c>
      <c r="B218">
        <v>306</v>
      </c>
      <c r="C218" t="s">
        <v>26</v>
      </c>
      <c r="D218">
        <v>42</v>
      </c>
      <c r="E218" t="s">
        <v>27</v>
      </c>
      <c r="F218" t="s">
        <v>28</v>
      </c>
      <c r="G218">
        <v>10501.708346290899</v>
      </c>
      <c r="H218">
        <v>78964637.102459893</v>
      </c>
      <c r="I218">
        <v>9015.6281028007106</v>
      </c>
      <c r="J218">
        <v>113617724.85205799</v>
      </c>
      <c r="K218">
        <v>0.14270540492012099</v>
      </c>
      <c r="L218">
        <v>7.5376789406727498E-2</v>
      </c>
      <c r="M218">
        <v>9015.6281028007106</v>
      </c>
      <c r="N218">
        <v>113617724.85205799</v>
      </c>
      <c r="O218">
        <v>0.361938370051474</v>
      </c>
      <c r="P218">
        <v>0.1460682686931</v>
      </c>
      <c r="Q218">
        <v>0.47862593593761199</v>
      </c>
      <c r="R218">
        <v>0.24954314938529901</v>
      </c>
      <c r="S218">
        <v>0.88396679981821202</v>
      </c>
      <c r="T218">
        <v>0.10256949663732901</v>
      </c>
      <c r="U218">
        <v>100</v>
      </c>
    </row>
    <row r="219" spans="1:21" x14ac:dyDescent="0.25">
      <c r="A219">
        <v>218</v>
      </c>
      <c r="B219">
        <v>307</v>
      </c>
      <c r="C219" t="s">
        <v>26</v>
      </c>
      <c r="D219">
        <v>42</v>
      </c>
      <c r="E219" t="s">
        <v>27</v>
      </c>
      <c r="F219" t="s">
        <v>28</v>
      </c>
      <c r="G219">
        <v>12132.649785993901</v>
      </c>
      <c r="H219">
        <v>81215119.732677698</v>
      </c>
      <c r="I219">
        <v>6515.04410246722</v>
      </c>
      <c r="J219">
        <v>105540686.677177</v>
      </c>
      <c r="K219">
        <v>0.19605651315240999</v>
      </c>
      <c r="L219">
        <v>6.5671035383740806E-2</v>
      </c>
      <c r="M219">
        <v>6515.04410246722</v>
      </c>
      <c r="N219">
        <v>105540686.677177</v>
      </c>
      <c r="O219">
        <v>0.437111660191976</v>
      </c>
      <c r="P219">
        <v>0.12963550357836601</v>
      </c>
      <c r="Q219">
        <v>0.56370797614837798</v>
      </c>
      <c r="R219">
        <v>0.245941293775014</v>
      </c>
      <c r="S219">
        <v>0.84234272684039202</v>
      </c>
      <c r="T219">
        <v>0.13280145737941601</v>
      </c>
      <c r="U219">
        <v>88</v>
      </c>
    </row>
    <row r="220" spans="1:21" x14ac:dyDescent="0.25">
      <c r="A220">
        <v>219</v>
      </c>
      <c r="B220">
        <v>308</v>
      </c>
      <c r="C220" t="s">
        <v>26</v>
      </c>
      <c r="D220">
        <v>42</v>
      </c>
      <c r="E220" t="s">
        <v>27</v>
      </c>
      <c r="F220" t="s">
        <v>28</v>
      </c>
      <c r="G220">
        <v>12562.860730730101</v>
      </c>
      <c r="H220">
        <v>109404290.082799</v>
      </c>
      <c r="I220">
        <v>6658.3335867825999</v>
      </c>
      <c r="J220">
        <v>108354658.43579499</v>
      </c>
      <c r="K220">
        <v>0.1828464022297</v>
      </c>
      <c r="L220">
        <v>6.1202337356685003E-2</v>
      </c>
      <c r="M220">
        <v>6658.3335867825999</v>
      </c>
      <c r="N220">
        <v>108354658.43579499</v>
      </c>
      <c r="O220">
        <v>0.41873672573845799</v>
      </c>
      <c r="P220">
        <v>0.12989806893886</v>
      </c>
      <c r="Q220">
        <v>0.53836034204389205</v>
      </c>
      <c r="R220">
        <v>0.24852848415836301</v>
      </c>
      <c r="S220">
        <v>0.85631242150589104</v>
      </c>
      <c r="T220">
        <v>0.123041458280801</v>
      </c>
      <c r="U220">
        <v>106</v>
      </c>
    </row>
    <row r="221" spans="1:21" x14ac:dyDescent="0.25">
      <c r="A221">
        <v>220</v>
      </c>
      <c r="B221">
        <v>309</v>
      </c>
      <c r="C221" t="s">
        <v>26</v>
      </c>
      <c r="D221">
        <v>42</v>
      </c>
      <c r="E221" t="s">
        <v>27</v>
      </c>
      <c r="F221" t="s">
        <v>28</v>
      </c>
      <c r="G221">
        <v>12514.7876131337</v>
      </c>
      <c r="H221">
        <v>83640990.018463403</v>
      </c>
      <c r="I221">
        <v>4987.2076337353801</v>
      </c>
      <c r="J221">
        <v>93191616.140671805</v>
      </c>
      <c r="K221">
        <v>0.23512010740948999</v>
      </c>
      <c r="L221">
        <v>5.7528897340461502E-2</v>
      </c>
      <c r="M221">
        <v>4987.2076337353801</v>
      </c>
      <c r="N221">
        <v>93191616.140671805</v>
      </c>
      <c r="O221">
        <v>0.47774832399213801</v>
      </c>
      <c r="P221">
        <v>0.119579400797053</v>
      </c>
      <c r="Q221">
        <v>0.61528471123016404</v>
      </c>
      <c r="R221">
        <v>0.236709435356561</v>
      </c>
      <c r="S221">
        <v>0.69737144712455501</v>
      </c>
      <c r="T221">
        <v>0.21104451186003201</v>
      </c>
      <c r="U221">
        <v>78</v>
      </c>
    </row>
    <row r="222" spans="1:21" x14ac:dyDescent="0.25">
      <c r="A222">
        <v>221</v>
      </c>
      <c r="B222">
        <v>201</v>
      </c>
      <c r="C222" t="s">
        <v>26</v>
      </c>
      <c r="D222">
        <v>42</v>
      </c>
      <c r="E222" t="s">
        <v>27</v>
      </c>
      <c r="F222" t="s">
        <v>28</v>
      </c>
      <c r="G222">
        <v>8644.0894489026105</v>
      </c>
      <c r="H222">
        <v>80111904.806634396</v>
      </c>
      <c r="I222">
        <v>12148.4132068329</v>
      </c>
      <c r="J222">
        <v>113586218.110475</v>
      </c>
      <c r="K222">
        <v>0.12283546006822001</v>
      </c>
      <c r="L222">
        <v>6.8170896023783997E-2</v>
      </c>
      <c r="M222">
        <v>12148.4132068329</v>
      </c>
      <c r="N222">
        <v>113586218.110475</v>
      </c>
      <c r="O222">
        <v>0.34667191100622702</v>
      </c>
      <c r="P222">
        <v>0.11110995258978699</v>
      </c>
      <c r="Q222">
        <v>0.37392096802774499</v>
      </c>
      <c r="R222">
        <v>0.23410407769695299</v>
      </c>
      <c r="S222">
        <v>0.79886337746500302</v>
      </c>
      <c r="T222">
        <v>0.16068068161021701</v>
      </c>
      <c r="U222">
        <v>66</v>
      </c>
    </row>
    <row r="223" spans="1:21" x14ac:dyDescent="0.25">
      <c r="A223">
        <v>222</v>
      </c>
      <c r="B223">
        <v>202</v>
      </c>
      <c r="C223" t="s">
        <v>26</v>
      </c>
      <c r="D223">
        <v>42</v>
      </c>
      <c r="E223" t="s">
        <v>27</v>
      </c>
      <c r="F223" t="s">
        <v>28</v>
      </c>
      <c r="G223">
        <v>10179.2169844947</v>
      </c>
      <c r="H223">
        <v>51032170.528228998</v>
      </c>
      <c r="I223">
        <v>6469.3197999883996</v>
      </c>
      <c r="J223">
        <v>98541837.932593197</v>
      </c>
      <c r="K223">
        <v>0.28693417426224599</v>
      </c>
      <c r="L223">
        <v>8.5056302337178105E-2</v>
      </c>
      <c r="M223">
        <v>6469.3197999883996</v>
      </c>
      <c r="N223">
        <v>98541837.932593197</v>
      </c>
      <c r="O223">
        <v>0.51562198684052496</v>
      </c>
      <c r="P223">
        <v>0.119989176242793</v>
      </c>
      <c r="Q223">
        <v>0.58287292817679603</v>
      </c>
      <c r="R223">
        <v>0.24313207777535101</v>
      </c>
      <c r="S223">
        <v>0.72963099677965504</v>
      </c>
      <c r="T223">
        <v>0.197269605318492</v>
      </c>
      <c r="U223">
        <v>56</v>
      </c>
    </row>
    <row r="224" spans="1:21" x14ac:dyDescent="0.25">
      <c r="A224">
        <v>223</v>
      </c>
      <c r="B224">
        <v>203</v>
      </c>
      <c r="C224" t="s">
        <v>26</v>
      </c>
      <c r="D224">
        <v>42</v>
      </c>
      <c r="E224" t="s">
        <v>27</v>
      </c>
      <c r="F224" t="s">
        <v>28</v>
      </c>
      <c r="G224">
        <v>12417.2132682717</v>
      </c>
      <c r="H224">
        <v>95278571.660184607</v>
      </c>
      <c r="I224">
        <v>7295.6867416939103</v>
      </c>
      <c r="J224">
        <v>122838339.674035</v>
      </c>
      <c r="K224">
        <v>0.20751149235236799</v>
      </c>
      <c r="L224">
        <v>7.6553163989522999E-2</v>
      </c>
      <c r="M224">
        <v>7295.6867416939103</v>
      </c>
      <c r="N224">
        <v>122838339.674035</v>
      </c>
      <c r="O224">
        <v>0.45154656646610902</v>
      </c>
      <c r="P224">
        <v>0.12499095114787701</v>
      </c>
      <c r="Q224">
        <v>0.52339947137406895</v>
      </c>
      <c r="R224">
        <v>0.24945246473962401</v>
      </c>
      <c r="S224">
        <v>0.65673248262912998</v>
      </c>
      <c r="T224">
        <v>0.225434928888743</v>
      </c>
      <c r="U224">
        <v>48</v>
      </c>
    </row>
    <row r="225" spans="1:21" x14ac:dyDescent="0.25">
      <c r="A225">
        <v>224</v>
      </c>
      <c r="B225">
        <v>204</v>
      </c>
      <c r="C225" t="s">
        <v>26</v>
      </c>
      <c r="D225">
        <v>42</v>
      </c>
      <c r="E225" t="s">
        <v>27</v>
      </c>
      <c r="F225" t="s">
        <v>28</v>
      </c>
      <c r="G225">
        <v>12428.710996030601</v>
      </c>
      <c r="H225">
        <v>89794502.552710593</v>
      </c>
      <c r="I225">
        <v>6304.0151610817302</v>
      </c>
      <c r="J225">
        <v>118092414.671949</v>
      </c>
      <c r="K225">
        <v>0.24478924179373501</v>
      </c>
      <c r="L225">
        <v>8.1518313003340004E-2</v>
      </c>
      <c r="M225">
        <v>6304.0151610817302</v>
      </c>
      <c r="N225">
        <v>118092414.671949</v>
      </c>
      <c r="O225">
        <v>0.49060604400701202</v>
      </c>
      <c r="P225">
        <v>0.13208600553508401</v>
      </c>
      <c r="Q225">
        <v>0.56408874635261996</v>
      </c>
      <c r="R225">
        <v>0.245892632591074</v>
      </c>
      <c r="S225">
        <v>0.69772240402686303</v>
      </c>
      <c r="T225">
        <v>0.210905850945832</v>
      </c>
      <c r="U225">
        <v>40</v>
      </c>
    </row>
    <row r="226" spans="1:21" x14ac:dyDescent="0.25">
      <c r="A226">
        <v>225</v>
      </c>
      <c r="B226">
        <v>205</v>
      </c>
      <c r="C226" t="s">
        <v>26</v>
      </c>
      <c r="D226">
        <v>42</v>
      </c>
      <c r="E226" t="s">
        <v>27</v>
      </c>
      <c r="F226" t="s">
        <v>28</v>
      </c>
      <c r="G226">
        <v>10177.139442031599</v>
      </c>
      <c r="H226">
        <v>74848698.587899297</v>
      </c>
      <c r="I226">
        <v>7972.3118970134701</v>
      </c>
      <c r="J226">
        <v>122422956.277683</v>
      </c>
      <c r="K226">
        <v>0.19984897772381799</v>
      </c>
      <c r="L226">
        <v>8.76239118409535E-2</v>
      </c>
      <c r="M226">
        <v>7972.3118970134701</v>
      </c>
      <c r="N226">
        <v>122422956.277683</v>
      </c>
      <c r="O226">
        <v>0.42337164186432402</v>
      </c>
      <c r="P226">
        <v>0.141348990876215</v>
      </c>
      <c r="Q226">
        <v>0.49701490669236598</v>
      </c>
      <c r="R226">
        <v>0.249991089218012</v>
      </c>
      <c r="S226">
        <v>0.65652026984742895</v>
      </c>
      <c r="T226">
        <v>0.22550140512727601</v>
      </c>
      <c r="U226">
        <v>44</v>
      </c>
    </row>
    <row r="227" spans="1:21" x14ac:dyDescent="0.25">
      <c r="A227">
        <v>226</v>
      </c>
      <c r="B227">
        <v>206</v>
      </c>
      <c r="C227" t="s">
        <v>26</v>
      </c>
      <c r="D227">
        <v>42</v>
      </c>
      <c r="E227" t="s">
        <v>27</v>
      </c>
      <c r="F227" t="s">
        <v>28</v>
      </c>
      <c r="G227">
        <v>11415.248277594401</v>
      </c>
      <c r="H227">
        <v>86039199.657020196</v>
      </c>
      <c r="I227">
        <v>7786.9803499645104</v>
      </c>
      <c r="J227">
        <v>106360022.134903</v>
      </c>
      <c r="K227">
        <v>0.171745054237747</v>
      </c>
      <c r="L227">
        <v>7.1643974955285794E-2</v>
      </c>
      <c r="M227">
        <v>7786.9803499645104</v>
      </c>
      <c r="N227">
        <v>106360022.134903</v>
      </c>
      <c r="O227">
        <v>0.41328083126938298</v>
      </c>
      <c r="P227">
        <v>0.135343779000104</v>
      </c>
      <c r="Q227">
        <v>0.49840916702550098</v>
      </c>
      <c r="R227">
        <v>0.249997469250412</v>
      </c>
      <c r="S227">
        <v>0.79864615973401598</v>
      </c>
      <c r="T227">
        <v>0.1608104712764</v>
      </c>
      <c r="U227">
        <v>70</v>
      </c>
    </row>
    <row r="228" spans="1:21" x14ac:dyDescent="0.25">
      <c r="A228">
        <v>227</v>
      </c>
      <c r="B228">
        <v>207</v>
      </c>
      <c r="C228" t="s">
        <v>26</v>
      </c>
      <c r="D228">
        <v>42</v>
      </c>
      <c r="E228" t="s">
        <v>27</v>
      </c>
      <c r="F228" t="s">
        <v>28</v>
      </c>
      <c r="G228">
        <v>10378.877860418999</v>
      </c>
      <c r="H228">
        <v>48946684.149516501</v>
      </c>
      <c r="I228">
        <v>6029.3192744001299</v>
      </c>
      <c r="J228">
        <v>87579172.844036296</v>
      </c>
      <c r="K228">
        <v>0.27725934682889802</v>
      </c>
      <c r="L228">
        <v>7.2982114021096903E-2</v>
      </c>
      <c r="M228">
        <v>6029.3192744001299</v>
      </c>
      <c r="N228">
        <v>87579172.844036296</v>
      </c>
      <c r="O228">
        <v>0.50204353750522002</v>
      </c>
      <c r="P228">
        <v>0.122271556109581</v>
      </c>
      <c r="Q228">
        <v>0.59957852981281801</v>
      </c>
      <c r="R228">
        <v>0.240084116400544</v>
      </c>
      <c r="S228">
        <v>0.64504971361979602</v>
      </c>
      <c r="T228">
        <v>0.22896058057858101</v>
      </c>
      <c r="U228">
        <v>54</v>
      </c>
    </row>
    <row r="229" spans="1:21" x14ac:dyDescent="0.25">
      <c r="A229">
        <v>228</v>
      </c>
      <c r="B229">
        <v>208</v>
      </c>
      <c r="C229" t="s">
        <v>26</v>
      </c>
      <c r="D229">
        <v>42</v>
      </c>
      <c r="E229" t="s">
        <v>27</v>
      </c>
      <c r="F229" t="s">
        <v>28</v>
      </c>
      <c r="G229">
        <v>10947.1352301676</v>
      </c>
      <c r="H229">
        <v>67708380.877590299</v>
      </c>
      <c r="I229">
        <v>6869.0609224433401</v>
      </c>
      <c r="J229">
        <v>88476926.843500406</v>
      </c>
      <c r="K229">
        <v>0.22768289719772</v>
      </c>
      <c r="L229">
        <v>7.0374693009935596E-2</v>
      </c>
      <c r="M229">
        <v>6869.0609224433401</v>
      </c>
      <c r="N229">
        <v>88476926.843500406</v>
      </c>
      <c r="O229">
        <v>0.458157637147111</v>
      </c>
      <c r="P229">
        <v>0.124130179937469</v>
      </c>
      <c r="Q229">
        <v>0.56189826940786702</v>
      </c>
      <c r="R229">
        <v>0.246168604244214</v>
      </c>
      <c r="S229">
        <v>0.684425788397374</v>
      </c>
      <c r="T229">
        <v>0.21598712857404301</v>
      </c>
      <c r="U229">
        <v>72</v>
      </c>
    </row>
    <row r="230" spans="1:21" x14ac:dyDescent="0.25">
      <c r="A230">
        <v>229</v>
      </c>
      <c r="B230">
        <v>209</v>
      </c>
      <c r="C230" t="s">
        <v>26</v>
      </c>
      <c r="D230">
        <v>42</v>
      </c>
      <c r="E230" t="s">
        <v>27</v>
      </c>
      <c r="F230" t="s">
        <v>28</v>
      </c>
      <c r="G230">
        <v>12896.5614207785</v>
      </c>
      <c r="H230">
        <v>69367424.213579401</v>
      </c>
      <c r="I230">
        <v>3741.4051338897102</v>
      </c>
      <c r="J230">
        <v>75419555.325049505</v>
      </c>
      <c r="K230">
        <v>0.29191661455061702</v>
      </c>
      <c r="L230">
        <v>5.4042048518769703E-2</v>
      </c>
      <c r="M230">
        <v>3741.4051338897102</v>
      </c>
      <c r="N230">
        <v>75419555.325049505</v>
      </c>
      <c r="O230">
        <v>0.54210621247663304</v>
      </c>
      <c r="P230">
        <v>0.102166048147854</v>
      </c>
      <c r="Q230">
        <v>0.65496356452428794</v>
      </c>
      <c r="R230">
        <v>0.225986293670006</v>
      </c>
      <c r="S230">
        <v>0.89848395784063095</v>
      </c>
      <c r="T230">
        <v>9.12105353436794E-2</v>
      </c>
      <c r="U230">
        <v>94</v>
      </c>
    </row>
    <row r="231" spans="1:21" x14ac:dyDescent="0.25">
      <c r="A231">
        <v>230</v>
      </c>
      <c r="B231">
        <v>101</v>
      </c>
      <c r="C231" t="s">
        <v>26</v>
      </c>
      <c r="D231">
        <v>42</v>
      </c>
      <c r="E231" t="s">
        <v>27</v>
      </c>
      <c r="F231" t="s">
        <v>28</v>
      </c>
      <c r="G231">
        <v>5434.0692142088301</v>
      </c>
      <c r="H231">
        <v>30840477.8315088</v>
      </c>
      <c r="I231">
        <v>14371.533738784799</v>
      </c>
      <c r="J231">
        <v>61845410.545005597</v>
      </c>
      <c r="K231">
        <v>7.7276019676413302E-2</v>
      </c>
      <c r="L231">
        <v>4.8066310454196501E-2</v>
      </c>
      <c r="M231">
        <v>14371.533738784799</v>
      </c>
      <c r="N231">
        <v>61845410.545005597</v>
      </c>
      <c r="O231">
        <v>0.29419482227208199</v>
      </c>
      <c r="P231">
        <v>7.0332610445694305E-2</v>
      </c>
      <c r="Q231">
        <v>0.27361559622054799</v>
      </c>
      <c r="R231">
        <v>0.198750101725227</v>
      </c>
      <c r="S231">
        <v>0.99215423623403298</v>
      </c>
      <c r="T231">
        <v>7.7842077569087002E-3</v>
      </c>
      <c r="U231">
        <v>190</v>
      </c>
    </row>
    <row r="232" spans="1:21" x14ac:dyDescent="0.25">
      <c r="A232">
        <v>231</v>
      </c>
      <c r="B232">
        <v>102</v>
      </c>
      <c r="C232" t="s">
        <v>26</v>
      </c>
      <c r="D232">
        <v>42</v>
      </c>
      <c r="E232" t="s">
        <v>27</v>
      </c>
      <c r="F232" t="s">
        <v>28</v>
      </c>
      <c r="G232">
        <v>6553.0542232019598</v>
      </c>
      <c r="H232">
        <v>30319718.0331668</v>
      </c>
      <c r="I232">
        <v>10215.175440048501</v>
      </c>
      <c r="J232">
        <v>75846798.099734098</v>
      </c>
      <c r="K232">
        <v>0.17650983201020301</v>
      </c>
      <c r="L232">
        <v>6.9684634739259094E-2</v>
      </c>
      <c r="M232">
        <v>10215.175440048501</v>
      </c>
      <c r="N232">
        <v>75846798.099734098</v>
      </c>
      <c r="O232">
        <v>0.39810814506230402</v>
      </c>
      <c r="P232">
        <v>0.10191864939397501</v>
      </c>
      <c r="Q232">
        <v>0.40237923302041001</v>
      </c>
      <c r="R232">
        <v>0.240470185854358</v>
      </c>
      <c r="S232">
        <v>0.65994780317235102</v>
      </c>
      <c r="T232">
        <v>0.22441670026052199</v>
      </c>
      <c r="U232">
        <v>42</v>
      </c>
    </row>
    <row r="233" spans="1:21" x14ac:dyDescent="0.25">
      <c r="A233">
        <v>232</v>
      </c>
      <c r="B233">
        <v>103</v>
      </c>
      <c r="C233" t="s">
        <v>26</v>
      </c>
      <c r="D233">
        <v>42</v>
      </c>
      <c r="E233" t="s">
        <v>27</v>
      </c>
      <c r="F233" t="s">
        <v>28</v>
      </c>
      <c r="G233">
        <v>6829.7685390033603</v>
      </c>
      <c r="H233">
        <v>43939336.044450998</v>
      </c>
      <c r="I233">
        <v>12090.117997290299</v>
      </c>
      <c r="J233">
        <v>88441132.533821598</v>
      </c>
      <c r="K233">
        <v>0.103500895607953</v>
      </c>
      <c r="L233">
        <v>7.1531582008536099E-2</v>
      </c>
      <c r="M233">
        <v>12090.117997290299</v>
      </c>
      <c r="N233">
        <v>88441132.533821598</v>
      </c>
      <c r="O233">
        <v>0.319377050077435</v>
      </c>
      <c r="P233">
        <v>0.10815103035278099</v>
      </c>
      <c r="Q233">
        <v>0.32019468793724098</v>
      </c>
      <c r="R233">
        <v>0.217670049754045</v>
      </c>
      <c r="S233">
        <v>0.72975074155583197</v>
      </c>
      <c r="T233">
        <v>0.197214596754378</v>
      </c>
      <c r="U233">
        <v>60</v>
      </c>
    </row>
    <row r="234" spans="1:21" x14ac:dyDescent="0.25">
      <c r="A234">
        <v>233</v>
      </c>
      <c r="B234">
        <v>104</v>
      </c>
      <c r="C234" t="s">
        <v>26</v>
      </c>
      <c r="D234">
        <v>42</v>
      </c>
      <c r="E234" t="s">
        <v>27</v>
      </c>
      <c r="F234" t="s">
        <v>28</v>
      </c>
      <c r="G234">
        <v>8484.1693455575205</v>
      </c>
      <c r="H234">
        <v>54134608.140176497</v>
      </c>
      <c r="I234">
        <v>10192.3473429802</v>
      </c>
      <c r="J234">
        <v>100460733.37714501</v>
      </c>
      <c r="K234">
        <v>0.175119534329019</v>
      </c>
      <c r="L234">
        <v>7.2777838879482804E-2</v>
      </c>
      <c r="M234">
        <v>10192.3473429802</v>
      </c>
      <c r="N234">
        <v>100460733.37714501</v>
      </c>
      <c r="O234">
        <v>0.39918017804978201</v>
      </c>
      <c r="P234">
        <v>0.10696760510101699</v>
      </c>
      <c r="Q234">
        <v>0.41335522997944002</v>
      </c>
      <c r="R234">
        <v>0.242492683827852</v>
      </c>
      <c r="S234">
        <v>0.84904635675955298</v>
      </c>
      <c r="T234">
        <v>0.12816664083298299</v>
      </c>
      <c r="U234">
        <v>94</v>
      </c>
    </row>
    <row r="235" spans="1:21" x14ac:dyDescent="0.25">
      <c r="A235">
        <v>234</v>
      </c>
      <c r="B235">
        <v>105</v>
      </c>
      <c r="C235" t="s">
        <v>26</v>
      </c>
      <c r="D235">
        <v>42</v>
      </c>
      <c r="E235" t="s">
        <v>27</v>
      </c>
      <c r="F235" t="s">
        <v>28</v>
      </c>
      <c r="G235">
        <v>10288.6464554677</v>
      </c>
      <c r="H235">
        <v>61141793.3181886</v>
      </c>
      <c r="I235">
        <v>7654.0530072032097</v>
      </c>
      <c r="J235">
        <v>103032200.455346</v>
      </c>
      <c r="K235">
        <v>0.23666070233261099</v>
      </c>
      <c r="L235">
        <v>7.2600809759644794E-2</v>
      </c>
      <c r="M235">
        <v>7654.0530072032097</v>
      </c>
      <c r="N235">
        <v>103032200.455346</v>
      </c>
      <c r="O235">
        <v>0.47522664739586301</v>
      </c>
      <c r="P235">
        <v>0.109469710923657</v>
      </c>
      <c r="Q235">
        <v>0.52409286114396003</v>
      </c>
      <c r="R235">
        <v>0.249419534041668</v>
      </c>
      <c r="S235">
        <v>0.60014688126268101</v>
      </c>
      <c r="T235">
        <v>0.239970602173354</v>
      </c>
      <c r="U235">
        <v>42</v>
      </c>
    </row>
    <row r="236" spans="1:21" x14ac:dyDescent="0.25">
      <c r="A236">
        <v>235</v>
      </c>
      <c r="B236">
        <v>106</v>
      </c>
      <c r="C236" t="s">
        <v>26</v>
      </c>
      <c r="D236">
        <v>42</v>
      </c>
      <c r="E236" t="s">
        <v>27</v>
      </c>
      <c r="F236" t="s">
        <v>28</v>
      </c>
      <c r="G236">
        <v>6982.0410921224202</v>
      </c>
      <c r="H236">
        <v>48198160.968353003</v>
      </c>
      <c r="I236">
        <v>10611.0319587329</v>
      </c>
      <c r="J236">
        <v>89203427.155329004</v>
      </c>
      <c r="K236">
        <v>0.13964946795904501</v>
      </c>
      <c r="L236">
        <v>7.1891042640279498E-2</v>
      </c>
      <c r="M236">
        <v>10611.0319587329</v>
      </c>
      <c r="N236">
        <v>89203427.155329004</v>
      </c>
      <c r="O236">
        <v>0.35212169398968202</v>
      </c>
      <c r="P236">
        <v>0.112083076292531</v>
      </c>
      <c r="Q236">
        <v>0.36991281677170901</v>
      </c>
      <c r="R236">
        <v>0.23307732475989601</v>
      </c>
      <c r="S236">
        <v>0.70628475751958397</v>
      </c>
      <c r="T236">
        <v>0.207446598814885</v>
      </c>
      <c r="U236">
        <v>56</v>
      </c>
    </row>
    <row r="237" spans="1:21" x14ac:dyDescent="0.25">
      <c r="A237">
        <v>236</v>
      </c>
      <c r="B237">
        <v>107</v>
      </c>
      <c r="C237" t="s">
        <v>26</v>
      </c>
      <c r="D237">
        <v>42</v>
      </c>
      <c r="E237" t="s">
        <v>27</v>
      </c>
      <c r="F237" t="s">
        <v>28</v>
      </c>
      <c r="G237">
        <v>7741.5298275408404</v>
      </c>
      <c r="H237">
        <v>40388442.563723303</v>
      </c>
      <c r="I237">
        <v>8939.1635598078192</v>
      </c>
      <c r="J237">
        <v>92445088.733367294</v>
      </c>
      <c r="K237">
        <v>0.20908145820391399</v>
      </c>
      <c r="L237">
        <v>7.9448890886509499E-2</v>
      </c>
      <c r="M237">
        <v>8939.1635598078192</v>
      </c>
      <c r="N237">
        <v>92445088.733367294</v>
      </c>
      <c r="O237">
        <v>0.41964401738241802</v>
      </c>
      <c r="P237">
        <v>0.12128833816427401</v>
      </c>
      <c r="Q237">
        <v>0.46171693735498798</v>
      </c>
      <c r="R237">
        <v>0.24853440711465599</v>
      </c>
      <c r="S237">
        <v>0.67937662213398098</v>
      </c>
      <c r="T237">
        <v>0.21782402743186899</v>
      </c>
      <c r="U237">
        <v>62</v>
      </c>
    </row>
    <row r="238" spans="1:21" x14ac:dyDescent="0.25">
      <c r="A238">
        <v>237</v>
      </c>
      <c r="B238">
        <v>108</v>
      </c>
      <c r="C238" t="s">
        <v>26</v>
      </c>
      <c r="D238">
        <v>42</v>
      </c>
      <c r="E238" t="s">
        <v>27</v>
      </c>
      <c r="F238" t="s">
        <v>28</v>
      </c>
      <c r="G238">
        <v>10092.015918577301</v>
      </c>
      <c r="H238">
        <v>64393580.595287196</v>
      </c>
      <c r="I238">
        <v>7585.6702679803202</v>
      </c>
      <c r="J238">
        <v>84004216.901875302</v>
      </c>
      <c r="K238">
        <v>0.214297576200529</v>
      </c>
      <c r="L238">
        <v>6.5742115547375204E-2</v>
      </c>
      <c r="M238">
        <v>7585.6702679803202</v>
      </c>
      <c r="N238">
        <v>84004216.901875302</v>
      </c>
      <c r="O238">
        <v>0.45148890804651398</v>
      </c>
      <c r="P238">
        <v>0.113003617035889</v>
      </c>
      <c r="Q238">
        <v>0.52551636707210603</v>
      </c>
      <c r="R238">
        <v>0.24934891501130599</v>
      </c>
      <c r="S238">
        <v>0.75338746905533605</v>
      </c>
      <c r="T238">
        <v>0.18579479052588399</v>
      </c>
      <c r="U238">
        <v>104</v>
      </c>
    </row>
    <row r="239" spans="1:21" x14ac:dyDescent="0.25">
      <c r="A239">
        <v>238</v>
      </c>
      <c r="B239">
        <v>109</v>
      </c>
      <c r="C239" t="s">
        <v>26</v>
      </c>
      <c r="D239">
        <v>42</v>
      </c>
      <c r="E239" t="s">
        <v>27</v>
      </c>
      <c r="F239" t="s">
        <v>28</v>
      </c>
      <c r="G239">
        <v>7877.3196236761996</v>
      </c>
      <c r="H239">
        <v>50375744.799433097</v>
      </c>
      <c r="I239">
        <v>8856.0492766121206</v>
      </c>
      <c r="J239">
        <v>84956910.034751207</v>
      </c>
      <c r="K239">
        <v>0.175931234160522</v>
      </c>
      <c r="L239">
        <v>6.2908755923139006E-2</v>
      </c>
      <c r="M239">
        <v>8856.0492766121206</v>
      </c>
      <c r="N239">
        <v>84956910.034751207</v>
      </c>
      <c r="O239">
        <v>0.38567614699675201</v>
      </c>
      <c r="P239">
        <v>0.107176767195551</v>
      </c>
      <c r="Q239">
        <v>0.42171660000503097</v>
      </c>
      <c r="R239">
        <v>0.24387170928524199</v>
      </c>
      <c r="S239">
        <v>0.91644340465139695</v>
      </c>
      <c r="T239">
        <v>7.6574890722219596E-2</v>
      </c>
      <c r="U239">
        <v>112</v>
      </c>
    </row>
    <row r="240" spans="1:21" x14ac:dyDescent="0.25">
      <c r="A240">
        <v>239</v>
      </c>
      <c r="B240">
        <v>55555</v>
      </c>
      <c r="C240" t="s">
        <v>26</v>
      </c>
      <c r="D240">
        <v>42</v>
      </c>
      <c r="E240" t="s">
        <v>27</v>
      </c>
      <c r="F240" t="s">
        <v>28</v>
      </c>
      <c r="G240">
        <v>1513.46340074053</v>
      </c>
      <c r="H240">
        <v>2654679.79010168</v>
      </c>
      <c r="I240">
        <v>14579.0307034542</v>
      </c>
      <c r="J240">
        <v>53562392.505980201</v>
      </c>
      <c r="K240">
        <v>-3.3981690794897502E-3</v>
      </c>
      <c r="L240">
        <v>4.0952627884943603E-2</v>
      </c>
      <c r="M240">
        <v>14579.0307034542</v>
      </c>
      <c r="N240">
        <v>53562392.505980201</v>
      </c>
      <c r="O240">
        <v>0.26907122372373099</v>
      </c>
      <c r="P240">
        <v>2.2690375504513399E-2</v>
      </c>
      <c r="Q240">
        <v>6.6362859584164102E-2</v>
      </c>
      <c r="R240">
        <v>6.1958830451978399E-2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>
        <v>66666</v>
      </c>
      <c r="C241" t="s">
        <v>26</v>
      </c>
      <c r="D241">
        <v>42</v>
      </c>
      <c r="E241" t="s">
        <v>27</v>
      </c>
      <c r="F241" t="s">
        <v>28</v>
      </c>
      <c r="G241">
        <v>2186.54392837157</v>
      </c>
      <c r="H241">
        <v>942580.24583190901</v>
      </c>
      <c r="I241">
        <v>17845.1501407463</v>
      </c>
      <c r="J241">
        <v>6891322.40189048</v>
      </c>
      <c r="K241">
        <v>4.9334977708737897E-2</v>
      </c>
      <c r="L241">
        <v>7.4772214772187004E-3</v>
      </c>
      <c r="M241">
        <v>17845.1501407463</v>
      </c>
      <c r="N241">
        <v>6891322.40189048</v>
      </c>
      <c r="O241">
        <v>0.24351615513670699</v>
      </c>
      <c r="P241">
        <v>3.27843324524482E-3</v>
      </c>
      <c r="Q241">
        <v>0</v>
      </c>
      <c r="R241">
        <v>0</v>
      </c>
      <c r="S241">
        <v>0</v>
      </c>
      <c r="T241">
        <v>0</v>
      </c>
      <c r="U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821D-9FBC-470E-A484-324D5E04C814}">
  <sheetPr filterMode="1"/>
  <dimension ref="A1:AM1405"/>
  <sheetViews>
    <sheetView tabSelected="1" workbookViewId="0">
      <selection sqref="A1:AA1"/>
    </sheetView>
  </sheetViews>
  <sheetFormatPr defaultRowHeight="15" x14ac:dyDescent="0.25"/>
  <cols>
    <col min="11" max="12" width="9.140625" style="2"/>
    <col min="13" max="14" width="9.140625" style="3"/>
    <col min="15" max="16" width="9.140625" style="4"/>
    <col min="17" max="18" width="9.140625" style="5"/>
    <col min="19" max="20" width="9.140625" style="6"/>
    <col min="21" max="22" width="9.140625" style="7"/>
    <col min="23" max="24" width="9.140625" style="8"/>
    <col min="25" max="25" width="9.140625" style="9"/>
  </cols>
  <sheetData>
    <row r="1" spans="1:39" x14ac:dyDescent="0.25">
      <c r="A1" t="s">
        <v>0</v>
      </c>
      <c r="B1" t="s">
        <v>1</v>
      </c>
      <c r="C1" t="s">
        <v>2</v>
      </c>
      <c r="D1" t="s">
        <v>99</v>
      </c>
      <c r="E1" t="s">
        <v>101</v>
      </c>
      <c r="F1" t="s">
        <v>397</v>
      </c>
      <c r="G1" t="s">
        <v>396</v>
      </c>
      <c r="H1" t="s">
        <v>98</v>
      </c>
      <c r="I1" t="s">
        <v>3</v>
      </c>
      <c r="J1" t="s">
        <v>4</v>
      </c>
      <c r="K1" s="2" t="s">
        <v>5</v>
      </c>
      <c r="L1" s="2" t="s">
        <v>6</v>
      </c>
      <c r="M1" s="3" t="s">
        <v>7</v>
      </c>
      <c r="N1" s="3" t="s">
        <v>8</v>
      </c>
      <c r="O1" s="4" t="s">
        <v>9</v>
      </c>
      <c r="P1" s="4" t="s">
        <v>10</v>
      </c>
      <c r="Q1" s="5" t="s">
        <v>11</v>
      </c>
      <c r="R1" s="5" t="s">
        <v>12</v>
      </c>
      <c r="S1" s="6" t="s">
        <v>13</v>
      </c>
      <c r="T1" s="6" t="s">
        <v>14</v>
      </c>
      <c r="U1" s="7" t="s">
        <v>15</v>
      </c>
      <c r="V1" s="7" t="s">
        <v>16</v>
      </c>
      <c r="W1" s="8" t="s">
        <v>17</v>
      </c>
      <c r="X1" s="8" t="s">
        <v>18</v>
      </c>
      <c r="Y1" s="2" t="s">
        <v>19</v>
      </c>
      <c r="Z1" s="2" t="s">
        <v>394</v>
      </c>
      <c r="AA1" s="3" t="s">
        <v>395</v>
      </c>
      <c r="AB1" s="3"/>
      <c r="AC1" s="4"/>
      <c r="AD1" s="4"/>
      <c r="AE1" s="5"/>
      <c r="AF1" s="5"/>
      <c r="AG1" s="6"/>
      <c r="AH1" s="6"/>
      <c r="AI1" s="7"/>
      <c r="AJ1" s="7"/>
      <c r="AK1" s="8"/>
      <c r="AL1" s="8"/>
      <c r="AM1" s="9"/>
    </row>
    <row r="2" spans="1:39" x14ac:dyDescent="0.25">
      <c r="A2">
        <v>1</v>
      </c>
      <c r="B2">
        <v>101</v>
      </c>
      <c r="C2" t="s">
        <v>20</v>
      </c>
      <c r="D2">
        <v>25111</v>
      </c>
      <c r="E2">
        <f>D2*1000+B2</f>
        <v>25111101</v>
      </c>
      <c r="F2">
        <f>VLOOKUP($E2,YieldData!$D:$F,2,FALSE)</f>
        <v>1</v>
      </c>
      <c r="G2">
        <f>VLOOKUP($E2,YieldData!$D:$F,3,FALSE)</f>
        <v>1</v>
      </c>
      <c r="H2">
        <v>10</v>
      </c>
      <c r="I2" t="s">
        <v>21</v>
      </c>
      <c r="J2" t="s">
        <v>22</v>
      </c>
      <c r="K2" s="2">
        <v>2704.6762032341398</v>
      </c>
      <c r="L2" s="2">
        <v>10293556.1410653</v>
      </c>
      <c r="M2" s="3">
        <v>2704.6762032341398</v>
      </c>
      <c r="N2" s="3">
        <v>10293556.1410653</v>
      </c>
      <c r="O2" s="4">
        <v>6.3690007804405896E-2</v>
      </c>
      <c r="P2" s="4">
        <v>9.0996723449594807E-3</v>
      </c>
      <c r="Q2" s="5">
        <v>-3.3861884254186299E-2</v>
      </c>
      <c r="R2" s="5">
        <v>7.3684243012591495E-4</v>
      </c>
      <c r="S2" s="6">
        <v>0.25585096502528598</v>
      </c>
      <c r="T2" s="6">
        <v>1.8101761863492698E-2</v>
      </c>
      <c r="U2" s="7">
        <v>9.1019998086307494E-2</v>
      </c>
      <c r="V2" s="7">
        <v>8.2735358034764006E-2</v>
      </c>
      <c r="W2" s="8">
        <v>0.96994594336012296</v>
      </c>
      <c r="X2" s="8">
        <v>2.9150810319425399E-2</v>
      </c>
      <c r="Y2" s="2">
        <v>72</v>
      </c>
      <c r="Z2" s="2">
        <f>VLOOKUP(E2,YieldData!T:U,2,FALSE)</f>
        <v>2712.5032092426181</v>
      </c>
      <c r="AA2">
        <f t="shared" ref="AA2:AA65" si="0">_xlfn.MAXIFS(U:U,E:E,E2)</f>
        <v>0.63921348180219795</v>
      </c>
    </row>
    <row r="3" spans="1:39" x14ac:dyDescent="0.25">
      <c r="A3">
        <v>2</v>
      </c>
      <c r="B3">
        <v>102</v>
      </c>
      <c r="C3" t="s">
        <v>20</v>
      </c>
      <c r="D3">
        <v>25111</v>
      </c>
      <c r="E3">
        <f t="shared" ref="E3:E66" si="1">D3*1000+B3</f>
        <v>25111102</v>
      </c>
      <c r="F3">
        <f>VLOOKUP(E3,YieldData!D:F,2,FALSE)</f>
        <v>2</v>
      </c>
      <c r="G3">
        <f>VLOOKUP($E3,YieldData!$D:$F,3,FALSE)</f>
        <v>1</v>
      </c>
      <c r="H3">
        <v>10</v>
      </c>
      <c r="I3" t="s">
        <v>21</v>
      </c>
      <c r="J3" t="s">
        <v>22</v>
      </c>
      <c r="K3" s="2">
        <v>3744.3685028822902</v>
      </c>
      <c r="L3" s="2">
        <v>40554902.012219198</v>
      </c>
      <c r="M3" s="3">
        <v>3744.3685028822902</v>
      </c>
      <c r="N3" s="3">
        <v>40554902.012219198</v>
      </c>
      <c r="O3" s="4">
        <v>7.2802683587624303E-2</v>
      </c>
      <c r="P3" s="4">
        <v>6.9335091021867903E-3</v>
      </c>
      <c r="Q3" s="5">
        <v>-3.0261518714115698E-2</v>
      </c>
      <c r="R3" s="5">
        <v>7.74861771044348E-4</v>
      </c>
      <c r="S3" s="6">
        <v>0.27532693989034701</v>
      </c>
      <c r="T3" s="6">
        <v>2.07507758439089E-2</v>
      </c>
      <c r="U3" s="7">
        <v>0.11319874662137901</v>
      </c>
      <c r="V3" s="7">
        <v>0.100384790384712</v>
      </c>
      <c r="W3" s="8">
        <v>0.90491395496238902</v>
      </c>
      <c r="X3" s="8">
        <v>8.60446890768337E-2</v>
      </c>
      <c r="Y3" s="2">
        <v>57</v>
      </c>
      <c r="Z3" s="2">
        <f>VLOOKUP(E3,YieldData!T:U,2,FALSE)</f>
        <v>2630.8777278562261</v>
      </c>
      <c r="AA3">
        <f t="shared" si="0"/>
        <v>0.50606430314339002</v>
      </c>
    </row>
    <row r="4" spans="1:39" x14ac:dyDescent="0.25">
      <c r="A4">
        <v>3</v>
      </c>
      <c r="B4">
        <v>103</v>
      </c>
      <c r="C4" t="s">
        <v>20</v>
      </c>
      <c r="D4">
        <v>25111</v>
      </c>
      <c r="E4">
        <f t="shared" si="1"/>
        <v>25111103</v>
      </c>
      <c r="F4">
        <f>VLOOKUP(E4,YieldData!D:F,2,FALSE)</f>
        <v>3</v>
      </c>
      <c r="G4">
        <f>VLOOKUP($E4,YieldData!$D:$F,3,FALSE)</f>
        <v>1</v>
      </c>
      <c r="H4">
        <v>10</v>
      </c>
      <c r="I4" t="s">
        <v>21</v>
      </c>
      <c r="J4" t="s">
        <v>22</v>
      </c>
      <c r="K4" s="2">
        <v>3370.78047026279</v>
      </c>
      <c r="L4" s="2">
        <v>27904617.6592752</v>
      </c>
      <c r="M4" s="3">
        <v>3370.78047026279</v>
      </c>
      <c r="N4" s="3">
        <v>27904617.6592752</v>
      </c>
      <c r="O4" s="4">
        <v>7.8040029496067004E-2</v>
      </c>
      <c r="P4" s="4">
        <v>7.9329347137789396E-3</v>
      </c>
      <c r="Q4" s="5">
        <v>-2.5044145804979899E-2</v>
      </c>
      <c r="R4" s="5">
        <v>7.0578081158071304E-4</v>
      </c>
      <c r="S4" s="6">
        <v>0.28121830752250798</v>
      </c>
      <c r="T4" s="6">
        <v>1.97667320974017E-2</v>
      </c>
      <c r="U4" s="7">
        <v>0.103250345781466</v>
      </c>
      <c r="V4" s="7">
        <v>9.2589711877545097E-2</v>
      </c>
      <c r="W4" s="8">
        <v>0.940133344399259</v>
      </c>
      <c r="X4" s="8">
        <v>5.6282639147914697E-2</v>
      </c>
      <c r="Y4" s="2">
        <v>84</v>
      </c>
      <c r="Z4" s="2">
        <f>VLOOKUP(E4,YieldData!T:U,2,FALSE)</f>
        <v>2507.2143774069318</v>
      </c>
      <c r="AA4">
        <f t="shared" si="0"/>
        <v>0.65522869037246001</v>
      </c>
    </row>
    <row r="5" spans="1:39" x14ac:dyDescent="0.25">
      <c r="A5">
        <v>4</v>
      </c>
      <c r="B5">
        <v>104</v>
      </c>
      <c r="C5" t="s">
        <v>20</v>
      </c>
      <c r="D5">
        <v>25111</v>
      </c>
      <c r="E5">
        <f t="shared" si="1"/>
        <v>25111104</v>
      </c>
      <c r="F5">
        <f>VLOOKUP(E5,YieldData!D:F,2,FALSE)</f>
        <v>4</v>
      </c>
      <c r="G5">
        <f>VLOOKUP($E5,YieldData!$D:$F,3,FALSE)</f>
        <v>1</v>
      </c>
      <c r="H5">
        <v>10</v>
      </c>
      <c r="I5" t="s">
        <v>21</v>
      </c>
      <c r="J5" t="s">
        <v>22</v>
      </c>
      <c r="K5" s="2">
        <v>3920.1301976494401</v>
      </c>
      <c r="L5" s="2">
        <v>39937946.981672198</v>
      </c>
      <c r="M5" s="3">
        <v>3920.1301976494401</v>
      </c>
      <c r="N5" s="3">
        <v>39937946.981672198</v>
      </c>
      <c r="O5" s="4">
        <v>6.8368519096623198E-2</v>
      </c>
      <c r="P5" s="4">
        <v>8.9967866172235306E-3</v>
      </c>
      <c r="Q5" s="5">
        <v>-3.0878627041208698E-2</v>
      </c>
      <c r="R5" s="5">
        <v>8.42128163182088E-4</v>
      </c>
      <c r="S5" s="6">
        <v>0.27670967038627797</v>
      </c>
      <c r="T5" s="6">
        <v>2.35433818999407E-2</v>
      </c>
      <c r="U5" s="7">
        <v>0.114462919612906</v>
      </c>
      <c r="V5" s="7">
        <v>0.101361159646531</v>
      </c>
      <c r="W5" s="8">
        <v>0.93327380665089998</v>
      </c>
      <c r="X5" s="8">
        <v>6.2273808470173497E-2</v>
      </c>
      <c r="Y5" s="2">
        <v>59</v>
      </c>
      <c r="Z5" s="2">
        <f>VLOOKUP(E5,YieldData!T:U,2,FALSE)</f>
        <v>1929.165596919127</v>
      </c>
      <c r="AA5">
        <f t="shared" si="0"/>
        <v>0.87333663091604397</v>
      </c>
    </row>
    <row r="6" spans="1:39" x14ac:dyDescent="0.25">
      <c r="A6">
        <v>5</v>
      </c>
      <c r="B6">
        <v>105</v>
      </c>
      <c r="C6" t="s">
        <v>20</v>
      </c>
      <c r="D6">
        <v>25111</v>
      </c>
      <c r="E6">
        <f t="shared" si="1"/>
        <v>25111105</v>
      </c>
      <c r="F6">
        <f>VLOOKUP(E6,YieldData!D:F,2,FALSE)</f>
        <v>5</v>
      </c>
      <c r="G6">
        <f>VLOOKUP($E6,YieldData!$D:$F,3,FALSE)</f>
        <v>1</v>
      </c>
      <c r="H6">
        <v>10</v>
      </c>
      <c r="I6" t="s">
        <v>21</v>
      </c>
      <c r="J6" t="s">
        <v>22</v>
      </c>
      <c r="K6" s="2">
        <v>4852.08497034229</v>
      </c>
      <c r="L6" s="2">
        <v>54276747.316135101</v>
      </c>
      <c r="M6" s="3">
        <v>4852.08497034229</v>
      </c>
      <c r="N6" s="3">
        <v>54276747.316135101</v>
      </c>
      <c r="O6" s="4">
        <v>9.0191457999872396E-2</v>
      </c>
      <c r="P6" s="4">
        <v>9.1880314382556793E-3</v>
      </c>
      <c r="Q6" s="5">
        <v>-2.62840813333933E-2</v>
      </c>
      <c r="R6" s="5">
        <v>1.2883554405201899E-3</v>
      </c>
      <c r="S6" s="6">
        <v>0.30446813026648101</v>
      </c>
      <c r="T6" s="6">
        <v>2.6882290989475099E-2</v>
      </c>
      <c r="U6" s="7">
        <v>0.146082407493031</v>
      </c>
      <c r="V6" s="7">
        <v>0.124742337714273</v>
      </c>
      <c r="W6" s="8">
        <v>0.94198073950778705</v>
      </c>
      <c r="X6" s="8">
        <v>5.4653025904230497E-2</v>
      </c>
      <c r="Y6" s="2">
        <v>63</v>
      </c>
      <c r="Z6" s="2">
        <f>VLOOKUP(E6,YieldData!T:U,2,FALSE)</f>
        <v>2572.6668806161747</v>
      </c>
      <c r="AA6">
        <f t="shared" si="0"/>
        <v>0.89342757117379001</v>
      </c>
    </row>
    <row r="7" spans="1:39" x14ac:dyDescent="0.25">
      <c r="A7">
        <v>6</v>
      </c>
      <c r="B7">
        <v>106</v>
      </c>
      <c r="C7" t="s">
        <v>20</v>
      </c>
      <c r="D7">
        <v>25111</v>
      </c>
      <c r="E7">
        <f t="shared" si="1"/>
        <v>25111106</v>
      </c>
      <c r="F7">
        <f>VLOOKUP(E7,YieldData!D:F,2,FALSE)</f>
        <v>6</v>
      </c>
      <c r="G7">
        <f>VLOOKUP($E7,YieldData!$D:$F,3,FALSE)</f>
        <v>1</v>
      </c>
      <c r="H7">
        <v>10</v>
      </c>
      <c r="I7" t="s">
        <v>21</v>
      </c>
      <c r="J7" t="s">
        <v>22</v>
      </c>
      <c r="K7" s="2">
        <v>2843.6147029045501</v>
      </c>
      <c r="L7" s="2">
        <v>19437533.142211702</v>
      </c>
      <c r="M7" s="3">
        <v>2843.6147029045501</v>
      </c>
      <c r="N7" s="3">
        <v>19437533.142211702</v>
      </c>
      <c r="O7" s="4">
        <v>7.1526474608679502E-2</v>
      </c>
      <c r="P7" s="4">
        <v>5.4133347572983999E-3</v>
      </c>
      <c r="Q7" s="5">
        <v>-2.6268314911819499E-2</v>
      </c>
      <c r="R7" s="5">
        <v>1.3123126036216101E-3</v>
      </c>
      <c r="S7" s="6">
        <v>0.26059313075308799</v>
      </c>
      <c r="T7" s="6">
        <v>1.2870042471807E-2</v>
      </c>
      <c r="U7" s="7">
        <v>6.3626681393238904E-2</v>
      </c>
      <c r="V7" s="7">
        <v>5.9578326808110101E-2</v>
      </c>
      <c r="W7" s="8">
        <v>0.94314640720531195</v>
      </c>
      <c r="X7" s="8">
        <v>5.3621261781050901E-2</v>
      </c>
      <c r="Y7" s="2">
        <v>48</v>
      </c>
      <c r="Z7" s="2">
        <f>VLOOKUP(E7,YieldData!T:U,2,FALSE)</f>
        <v>1598.7419768934531</v>
      </c>
      <c r="AA7">
        <f t="shared" si="0"/>
        <v>0.86296398564159205</v>
      </c>
    </row>
    <row r="8" spans="1:39" x14ac:dyDescent="0.25">
      <c r="A8">
        <v>7</v>
      </c>
      <c r="B8">
        <v>107</v>
      </c>
      <c r="C8" t="s">
        <v>20</v>
      </c>
      <c r="D8">
        <v>25111</v>
      </c>
      <c r="E8">
        <f t="shared" si="1"/>
        <v>25111107</v>
      </c>
      <c r="F8">
        <f>VLOOKUP(E8,YieldData!D:F,2,FALSE)</f>
        <v>7</v>
      </c>
      <c r="G8">
        <f>VLOOKUP($E8,YieldData!$D:$F,3,FALSE)</f>
        <v>1</v>
      </c>
      <c r="H8">
        <v>10</v>
      </c>
      <c r="I8" t="s">
        <v>21</v>
      </c>
      <c r="J8" t="s">
        <v>22</v>
      </c>
      <c r="K8" s="2">
        <v>3078.0814106308399</v>
      </c>
      <c r="L8" s="2">
        <v>33247212.7194474</v>
      </c>
      <c r="M8" s="3">
        <v>3078.0814106308399</v>
      </c>
      <c r="N8" s="3">
        <v>33247212.7194474</v>
      </c>
      <c r="O8" s="4">
        <v>8.3826088643181806E-2</v>
      </c>
      <c r="P8" s="4">
        <v>5.5260245101901801E-3</v>
      </c>
      <c r="Q8" s="5">
        <v>-2.6677734939597401E-2</v>
      </c>
      <c r="R8" s="5">
        <v>1.60842003439517E-3</v>
      </c>
      <c r="S8" s="6">
        <v>0.28082221184888101</v>
      </c>
      <c r="T8" s="6">
        <v>1.5883088845115599E-2</v>
      </c>
      <c r="U8" s="7">
        <v>9.2593944704049802E-2</v>
      </c>
      <c r="V8" s="7">
        <v>8.4020306108008494E-2</v>
      </c>
      <c r="W8" s="8">
        <v>0.94130172906805498</v>
      </c>
      <c r="X8" s="8">
        <v>5.5252783921664099E-2</v>
      </c>
      <c r="Y8" s="2">
        <v>59</v>
      </c>
      <c r="Z8" s="2">
        <f>VLOOKUP(E8,YieldData!T:U,2,FALSE)</f>
        <v>1100.0449293966624</v>
      </c>
      <c r="AA8">
        <f t="shared" si="0"/>
        <v>0.90252597766042897</v>
      </c>
    </row>
    <row r="9" spans="1:39" x14ac:dyDescent="0.25">
      <c r="A9">
        <v>8</v>
      </c>
      <c r="B9">
        <v>108</v>
      </c>
      <c r="C9" t="s">
        <v>20</v>
      </c>
      <c r="D9">
        <v>25111</v>
      </c>
      <c r="E9">
        <f t="shared" si="1"/>
        <v>25111108</v>
      </c>
      <c r="F9">
        <f>VLOOKUP(E9,YieldData!D:F,2,FALSE)</f>
        <v>8</v>
      </c>
      <c r="G9">
        <f>VLOOKUP($E9,YieldData!$D:$F,3,FALSE)</f>
        <v>1</v>
      </c>
      <c r="H9">
        <v>10</v>
      </c>
      <c r="I9" t="s">
        <v>21</v>
      </c>
      <c r="J9" t="s">
        <v>22</v>
      </c>
      <c r="K9" s="2">
        <v>3965.4550521481201</v>
      </c>
      <c r="L9" s="2">
        <v>62353202.4069364</v>
      </c>
      <c r="M9" s="3">
        <v>3965.4550521481201</v>
      </c>
      <c r="N9" s="3">
        <v>62353202.4069364</v>
      </c>
      <c r="O9" s="4">
        <v>9.0750941188120798E-2</v>
      </c>
      <c r="P9" s="4">
        <v>5.2984800106808498E-3</v>
      </c>
      <c r="Q9" s="5">
        <v>-2.69353469169018E-2</v>
      </c>
      <c r="R9" s="5">
        <v>7.6908509528849202E-4</v>
      </c>
      <c r="S9" s="6">
        <v>0.296917225763276</v>
      </c>
      <c r="T9" s="6">
        <v>2.1248438883275201E-2</v>
      </c>
      <c r="U9" s="7">
        <v>0.12999952157688299</v>
      </c>
      <c r="V9" s="7">
        <v>0.11309964596663501</v>
      </c>
      <c r="W9" s="8">
        <v>0.89432138927426696</v>
      </c>
      <c r="X9" s="8">
        <v>9.4510641960886696E-2</v>
      </c>
      <c r="Y9" s="2">
        <v>64</v>
      </c>
      <c r="Z9" s="2">
        <f>VLOOKUP(E9,YieldData!T:U,2,FALSE)</f>
        <v>1751.4040436456994</v>
      </c>
      <c r="AA9">
        <f t="shared" si="0"/>
        <v>0.80795082163274101</v>
      </c>
    </row>
    <row r="10" spans="1:39" x14ac:dyDescent="0.25">
      <c r="A10">
        <v>9</v>
      </c>
      <c r="B10">
        <v>109</v>
      </c>
      <c r="C10" t="s">
        <v>20</v>
      </c>
      <c r="D10">
        <v>25111</v>
      </c>
      <c r="E10">
        <f t="shared" si="1"/>
        <v>25111109</v>
      </c>
      <c r="F10">
        <f>VLOOKUP(E10,YieldData!D:F,2,FALSE)</f>
        <v>9</v>
      </c>
      <c r="G10">
        <f>VLOOKUP($E10,YieldData!$D:$F,3,FALSE)</f>
        <v>1</v>
      </c>
      <c r="H10">
        <v>10</v>
      </c>
      <c r="I10" t="s">
        <v>21</v>
      </c>
      <c r="J10" t="s">
        <v>22</v>
      </c>
      <c r="K10" s="2">
        <v>2630.6494845360799</v>
      </c>
      <c r="L10" s="2">
        <v>32894377.910600699</v>
      </c>
      <c r="M10" s="3">
        <v>2630.6494845360799</v>
      </c>
      <c r="N10" s="3">
        <v>32894377.910600699</v>
      </c>
      <c r="O10" s="4">
        <v>8.8685699106846802E-2</v>
      </c>
      <c r="P10" s="4">
        <v>6.0005275271937204E-3</v>
      </c>
      <c r="Q10" s="5">
        <v>-2.7021156252464401E-2</v>
      </c>
      <c r="R10" s="5">
        <v>6.3429452938567102E-4</v>
      </c>
      <c r="S10" s="6">
        <v>0.285836637393513</v>
      </c>
      <c r="T10" s="6">
        <v>1.6629932858714301E-2</v>
      </c>
      <c r="U10" s="7">
        <v>9.2424713564714003E-2</v>
      </c>
      <c r="V10" s="7">
        <v>8.3882385887255398E-2</v>
      </c>
      <c r="W10" s="8">
        <v>0.96895293906595703</v>
      </c>
      <c r="X10" s="8">
        <v>3.0083140941401399E-2</v>
      </c>
      <c r="Y10" s="2">
        <v>92</v>
      </c>
      <c r="Z10" s="2">
        <f>VLOOKUP(E10,YieldData!T:U,2,FALSE)</f>
        <v>2836.1071887034655</v>
      </c>
      <c r="AA10">
        <f t="shared" si="0"/>
        <v>0.78055665195498003</v>
      </c>
    </row>
    <row r="11" spans="1:39" x14ac:dyDescent="0.25">
      <c r="A11">
        <v>10</v>
      </c>
      <c r="B11">
        <v>110</v>
      </c>
      <c r="C11" t="s">
        <v>20</v>
      </c>
      <c r="D11">
        <v>25111</v>
      </c>
      <c r="E11">
        <f t="shared" si="1"/>
        <v>25111110</v>
      </c>
      <c r="F11">
        <f>VLOOKUP(E11,YieldData!D:F,2,FALSE)</f>
        <v>10</v>
      </c>
      <c r="G11">
        <f>VLOOKUP($E11,YieldData!$D:$F,3,FALSE)</f>
        <v>1</v>
      </c>
      <c r="H11">
        <v>10</v>
      </c>
      <c r="I11" t="s">
        <v>21</v>
      </c>
      <c r="J11" t="s">
        <v>22</v>
      </c>
      <c r="K11" s="2">
        <v>3965.0875711620301</v>
      </c>
      <c r="L11" s="2">
        <v>72572676.001229495</v>
      </c>
      <c r="M11" s="3">
        <v>3965.0875711620301</v>
      </c>
      <c r="N11" s="3">
        <v>72572676.001229495</v>
      </c>
      <c r="O11" s="4">
        <v>9.1703268993718903E-2</v>
      </c>
      <c r="P11" s="4">
        <v>6.4920963300377403E-3</v>
      </c>
      <c r="Q11" s="5">
        <v>-2.6150972162912099E-2</v>
      </c>
      <c r="R11" s="5">
        <v>6.6916756141206595E-4</v>
      </c>
      <c r="S11" s="6">
        <v>0.30760704477616202</v>
      </c>
      <c r="T11" s="6">
        <v>2.35228443727785E-2</v>
      </c>
      <c r="U11" s="7">
        <v>0.13520786489977499</v>
      </c>
      <c r="V11" s="7">
        <v>0.116926698169173</v>
      </c>
      <c r="W11" s="8">
        <v>0.90340365480290896</v>
      </c>
      <c r="X11" s="8">
        <v>8.7265491291560193E-2</v>
      </c>
      <c r="Y11" s="2">
        <v>67</v>
      </c>
      <c r="Z11" s="2">
        <f>VLOOKUP(E11,YieldData!T:U,2,FALSE)</f>
        <v>1890.8279845956356</v>
      </c>
      <c r="AA11">
        <f t="shared" si="0"/>
        <v>0.82046498277841595</v>
      </c>
    </row>
    <row r="12" spans="1:39" x14ac:dyDescent="0.25">
      <c r="A12">
        <v>11</v>
      </c>
      <c r="B12">
        <v>201</v>
      </c>
      <c r="C12" t="s">
        <v>20</v>
      </c>
      <c r="D12">
        <v>25111</v>
      </c>
      <c r="E12">
        <f t="shared" si="1"/>
        <v>25111201</v>
      </c>
      <c r="F12">
        <f>VLOOKUP(E12,YieldData!D:F,2,FALSE)</f>
        <v>14</v>
      </c>
      <c r="G12">
        <f>VLOOKUP($E12,YieldData!$D:$F,3,FALSE)</f>
        <v>2</v>
      </c>
      <c r="H12">
        <v>10</v>
      </c>
      <c r="I12" t="s">
        <v>21</v>
      </c>
      <c r="J12" t="s">
        <v>22</v>
      </c>
      <c r="K12" s="2">
        <v>2822.0600897079598</v>
      </c>
      <c r="L12" s="2">
        <v>9746082.1139602195</v>
      </c>
      <c r="M12" s="3">
        <v>2822.0600897079598</v>
      </c>
      <c r="N12" s="3">
        <v>9746082.1139602195</v>
      </c>
      <c r="O12" s="4">
        <v>3.5246087687053701E-2</v>
      </c>
      <c r="P12" s="4">
        <v>9.0884551894671994E-3</v>
      </c>
      <c r="Q12" s="5">
        <v>-4.49730451512146E-2</v>
      </c>
      <c r="R12" s="5">
        <v>6.6445408752027605E-4</v>
      </c>
      <c r="S12" s="6">
        <v>0.22418679373143499</v>
      </c>
      <c r="T12" s="6">
        <v>1.7570649133741199E-2</v>
      </c>
      <c r="U12" s="7">
        <v>7.9701135975817794E-2</v>
      </c>
      <c r="V12" s="7">
        <v>7.33488649000274E-2</v>
      </c>
      <c r="W12" s="8">
        <v>0.94611099598971204</v>
      </c>
      <c r="X12" s="8">
        <v>5.0984979257056202E-2</v>
      </c>
      <c r="Y12" s="2">
        <v>83</v>
      </c>
      <c r="Z12" s="2">
        <f>VLOOKUP(E12,YieldData!T:U,2,FALSE)</f>
        <v>2873.0102695763803</v>
      </c>
      <c r="AA12">
        <f t="shared" si="0"/>
        <v>0.73810771612085502</v>
      </c>
    </row>
    <row r="13" spans="1:39" x14ac:dyDescent="0.25">
      <c r="A13">
        <v>12</v>
      </c>
      <c r="B13">
        <v>202</v>
      </c>
      <c r="C13" t="s">
        <v>20</v>
      </c>
      <c r="D13">
        <v>25111</v>
      </c>
      <c r="E13">
        <f t="shared" si="1"/>
        <v>25111202</v>
      </c>
      <c r="F13">
        <f>VLOOKUP(E13,YieldData!D:F,2,FALSE)</f>
        <v>5</v>
      </c>
      <c r="G13">
        <f>VLOOKUP($E13,YieldData!$D:$F,3,FALSE)</f>
        <v>2</v>
      </c>
      <c r="H13">
        <v>10</v>
      </c>
      <c r="I13" t="s">
        <v>21</v>
      </c>
      <c r="J13" t="s">
        <v>22</v>
      </c>
      <c r="K13" s="2">
        <v>2482.2424568578899</v>
      </c>
      <c r="L13" s="2">
        <v>7680483.22133068</v>
      </c>
      <c r="M13" s="3">
        <v>2482.2424568578899</v>
      </c>
      <c r="N13" s="3">
        <v>7680483.22133068</v>
      </c>
      <c r="O13" s="4">
        <v>2.7306100826564001E-2</v>
      </c>
      <c r="P13" s="4">
        <v>5.9068889381146397E-3</v>
      </c>
      <c r="Q13" s="5">
        <v>-4.5049368475588401E-2</v>
      </c>
      <c r="R13" s="5">
        <v>5.6085006204022799E-4</v>
      </c>
      <c r="S13" s="6">
        <v>0.212030483626861</v>
      </c>
      <c r="T13" s="6">
        <v>1.17341989485954E-2</v>
      </c>
      <c r="U13" s="7">
        <v>5.1638981571173997E-2</v>
      </c>
      <c r="V13" s="7">
        <v>4.8972397153358299E-2</v>
      </c>
      <c r="W13" s="8">
        <v>0.95119296776894102</v>
      </c>
      <c r="X13" s="8">
        <v>4.6424905835971801E-2</v>
      </c>
      <c r="Y13" s="2">
        <v>76</v>
      </c>
      <c r="Z13" s="2">
        <f>VLOOKUP(E13,YieldData!T:U,2,FALSE)</f>
        <v>2254.9277920410782</v>
      </c>
      <c r="AA13">
        <f t="shared" si="0"/>
        <v>0.59069923211252795</v>
      </c>
    </row>
    <row r="14" spans="1:39" x14ac:dyDescent="0.25">
      <c r="A14">
        <v>13</v>
      </c>
      <c r="B14">
        <v>203</v>
      </c>
      <c r="C14" t="s">
        <v>20</v>
      </c>
      <c r="D14">
        <v>25111</v>
      </c>
      <c r="E14">
        <f t="shared" si="1"/>
        <v>25111203</v>
      </c>
      <c r="F14">
        <f>VLOOKUP(E14,YieldData!D:F,2,FALSE)</f>
        <v>7</v>
      </c>
      <c r="G14">
        <f>VLOOKUP($E14,YieldData!$D:$F,3,FALSE)</f>
        <v>2</v>
      </c>
      <c r="H14">
        <v>10</v>
      </c>
      <c r="I14" t="s">
        <v>21</v>
      </c>
      <c r="J14" t="s">
        <v>22</v>
      </c>
      <c r="K14" s="2">
        <v>2765.4051190048999</v>
      </c>
      <c r="L14" s="2">
        <v>9280919.2022698894</v>
      </c>
      <c r="M14" s="3">
        <v>2765.4051190048999</v>
      </c>
      <c r="N14" s="3">
        <v>9280919.2022698894</v>
      </c>
      <c r="O14" s="4">
        <v>5.5043038621183399E-2</v>
      </c>
      <c r="P14" s="4">
        <v>8.3746522450454403E-3</v>
      </c>
      <c r="Q14" s="5">
        <v>-3.3521889084878499E-2</v>
      </c>
      <c r="R14" s="5">
        <v>7.0419009620815997E-4</v>
      </c>
      <c r="S14" s="6">
        <v>0.24524511511129299</v>
      </c>
      <c r="T14" s="6">
        <v>1.6850563313376098E-2</v>
      </c>
      <c r="U14" s="7">
        <v>8.0002392058366206E-2</v>
      </c>
      <c r="V14" s="7">
        <v>7.3602009323233394E-2</v>
      </c>
      <c r="W14" s="8">
        <v>0.96153984142360005</v>
      </c>
      <c r="X14" s="8">
        <v>3.6980974778532398E-2</v>
      </c>
      <c r="Y14" s="2">
        <v>82</v>
      </c>
      <c r="Z14" s="2">
        <f>VLOOKUP(E14,YieldData!T:U,2,FALSE)</f>
        <v>1622.7968549422335</v>
      </c>
      <c r="AA14">
        <f t="shared" si="0"/>
        <v>0.52829037852060001</v>
      </c>
    </row>
    <row r="15" spans="1:39" x14ac:dyDescent="0.25">
      <c r="A15">
        <v>14</v>
      </c>
      <c r="B15">
        <v>204</v>
      </c>
      <c r="C15" t="s">
        <v>20</v>
      </c>
      <c r="D15">
        <v>25111</v>
      </c>
      <c r="E15">
        <f t="shared" si="1"/>
        <v>25111204</v>
      </c>
      <c r="F15">
        <f>VLOOKUP(E15,YieldData!D:F,2,FALSE)</f>
        <v>9</v>
      </c>
      <c r="G15">
        <f>VLOOKUP($E15,YieldData!$D:$F,3,FALSE)</f>
        <v>2</v>
      </c>
      <c r="H15">
        <v>10</v>
      </c>
      <c r="I15" t="s">
        <v>21</v>
      </c>
      <c r="J15" t="s">
        <v>22</v>
      </c>
      <c r="K15" s="2">
        <v>2489.7273868896</v>
      </c>
      <c r="L15" s="2">
        <v>4192882.3487025402</v>
      </c>
      <c r="M15" s="3">
        <v>2489.7273868896</v>
      </c>
      <c r="N15" s="3">
        <v>4192882.3487025402</v>
      </c>
      <c r="O15" s="4">
        <v>2.7428118047854E-2</v>
      </c>
      <c r="P15" s="4">
        <v>4.4940421335963399E-3</v>
      </c>
      <c r="Q15" s="5">
        <v>-4.1889922161838698E-2</v>
      </c>
      <c r="R15" s="5">
        <v>6.0445833329075295E-4</v>
      </c>
      <c r="S15" s="6">
        <v>0.21300669381208701</v>
      </c>
      <c r="T15" s="6">
        <v>7.80197310757327E-3</v>
      </c>
      <c r="U15" s="7">
        <v>3.3176659131953203E-2</v>
      </c>
      <c r="V15" s="7">
        <v>3.2075968420793598E-2</v>
      </c>
      <c r="W15" s="8">
        <v>0.95494773602506799</v>
      </c>
      <c r="X15" s="8">
        <v>4.30225574857327E-2</v>
      </c>
      <c r="Y15" s="2">
        <v>85</v>
      </c>
      <c r="Z15" s="2">
        <f>VLOOKUP(E15,YieldData!T:U,2,FALSE)</f>
        <v>2654.4849165596916</v>
      </c>
      <c r="AA15">
        <f t="shared" si="0"/>
        <v>0.53304470543210503</v>
      </c>
    </row>
    <row r="16" spans="1:39" x14ac:dyDescent="0.25">
      <c r="A16">
        <v>15</v>
      </c>
      <c r="B16">
        <v>205</v>
      </c>
      <c r="C16" t="s">
        <v>20</v>
      </c>
      <c r="D16">
        <v>25111</v>
      </c>
      <c r="E16">
        <f t="shared" si="1"/>
        <v>25111205</v>
      </c>
      <c r="F16">
        <f>VLOOKUP(E16,YieldData!D:F,2,FALSE)</f>
        <v>3</v>
      </c>
      <c r="G16">
        <f>VLOOKUP($E16,YieldData!$D:$F,3,FALSE)</f>
        <v>2</v>
      </c>
      <c r="H16">
        <v>10</v>
      </c>
      <c r="I16" t="s">
        <v>21</v>
      </c>
      <c r="J16" t="s">
        <v>22</v>
      </c>
      <c r="K16" s="2">
        <v>2785.8237587018498</v>
      </c>
      <c r="L16" s="2">
        <v>7368335.3204377498</v>
      </c>
      <c r="M16" s="3">
        <v>2785.8237587018498</v>
      </c>
      <c r="N16" s="3">
        <v>7368335.3204377498</v>
      </c>
      <c r="O16" s="4">
        <v>4.2515661901593699E-2</v>
      </c>
      <c r="P16" s="4">
        <v>5.95492083179942E-3</v>
      </c>
      <c r="Q16" s="5">
        <v>-3.81838665893173E-2</v>
      </c>
      <c r="R16" s="5">
        <v>1.21965717516661E-3</v>
      </c>
      <c r="S16" s="6">
        <v>0.22987042653339701</v>
      </c>
      <c r="T16" s="6">
        <v>1.0876454394046499E-2</v>
      </c>
      <c r="U16" s="7">
        <v>5.1706746036687901E-2</v>
      </c>
      <c r="V16" s="7">
        <v>4.90331584510302E-2</v>
      </c>
      <c r="W16" s="8">
        <v>0.90068864176929897</v>
      </c>
      <c r="X16" s="8">
        <v>8.9448612357189303E-2</v>
      </c>
      <c r="Y16" s="2">
        <v>73</v>
      </c>
      <c r="Z16" s="2">
        <f>VLOOKUP(E16,YieldData!T:U,2,FALSE)</f>
        <v>2797.6251604621311</v>
      </c>
      <c r="AA16">
        <f t="shared" si="0"/>
        <v>0.57540285422529902</v>
      </c>
    </row>
    <row r="17" spans="1:27" x14ac:dyDescent="0.25">
      <c r="A17">
        <v>16</v>
      </c>
      <c r="B17">
        <v>206</v>
      </c>
      <c r="C17" t="s">
        <v>20</v>
      </c>
      <c r="D17">
        <v>25111</v>
      </c>
      <c r="E17">
        <f t="shared" si="1"/>
        <v>25111206</v>
      </c>
      <c r="F17">
        <f>VLOOKUP(E17,YieldData!D:F,2,FALSE)</f>
        <v>13</v>
      </c>
      <c r="G17">
        <f>VLOOKUP($E17,YieldData!$D:$F,3,FALSE)</f>
        <v>2</v>
      </c>
      <c r="H17">
        <v>10</v>
      </c>
      <c r="I17" t="s">
        <v>21</v>
      </c>
      <c r="J17" t="s">
        <v>22</v>
      </c>
      <c r="K17" s="2">
        <v>2513.29074426226</v>
      </c>
      <c r="L17" s="2">
        <v>6707405.3268034998</v>
      </c>
      <c r="M17" s="3">
        <v>2513.29074426226</v>
      </c>
      <c r="N17" s="3">
        <v>6707405.3268034998</v>
      </c>
      <c r="O17" s="4">
        <v>6.50689659499534E-2</v>
      </c>
      <c r="P17" s="4">
        <v>7.3620900917603501E-3</v>
      </c>
      <c r="Q17" s="5">
        <v>-2.7775002915238399E-2</v>
      </c>
      <c r="R17" s="5">
        <v>1.49895488112324E-3</v>
      </c>
      <c r="S17" s="6">
        <v>0.250637806284915</v>
      </c>
      <c r="T17" s="6">
        <v>1.29299785005347E-2</v>
      </c>
      <c r="U17" s="7">
        <v>6.3399232176814604E-2</v>
      </c>
      <c r="V17" s="7">
        <v>5.9379769536370003E-2</v>
      </c>
      <c r="W17" s="8">
        <v>0.94060661149117397</v>
      </c>
      <c r="X17" s="8">
        <v>5.5865813910295499E-2</v>
      </c>
      <c r="Y17" s="2">
        <v>55</v>
      </c>
      <c r="Z17" s="2">
        <f>VLOOKUP(E17,YieldData!T:U,2,FALSE)</f>
        <v>1323.0712451861359</v>
      </c>
      <c r="AA17">
        <f t="shared" si="0"/>
        <v>0.92605835924419999</v>
      </c>
    </row>
    <row r="18" spans="1:27" x14ac:dyDescent="0.25">
      <c r="A18">
        <v>17</v>
      </c>
      <c r="B18">
        <v>207</v>
      </c>
      <c r="C18" t="s">
        <v>20</v>
      </c>
      <c r="D18">
        <v>25111</v>
      </c>
      <c r="E18">
        <f t="shared" si="1"/>
        <v>25111207</v>
      </c>
      <c r="F18">
        <f>VLOOKUP(E18,YieldData!D:F,2,FALSE)</f>
        <v>14</v>
      </c>
      <c r="G18">
        <f>VLOOKUP($E18,YieldData!$D:$F,3,FALSE)</f>
        <v>1</v>
      </c>
      <c r="H18">
        <v>10</v>
      </c>
      <c r="I18" t="s">
        <v>21</v>
      </c>
      <c r="J18" t="s">
        <v>22</v>
      </c>
      <c r="K18" s="2">
        <v>2352.47394054396</v>
      </c>
      <c r="L18" s="2">
        <v>5969953.9845265597</v>
      </c>
      <c r="M18" s="3">
        <v>2352.47394054396</v>
      </c>
      <c r="N18" s="3">
        <v>5969953.9845265597</v>
      </c>
      <c r="O18" s="4">
        <v>7.2032442096267302E-2</v>
      </c>
      <c r="P18" s="4">
        <v>6.4467558216948599E-3</v>
      </c>
      <c r="Q18" s="5">
        <v>-2.8286126066186398E-2</v>
      </c>
      <c r="R18" s="5">
        <v>1.61102612690876E-3</v>
      </c>
      <c r="S18" s="6">
        <v>0.25864824215621701</v>
      </c>
      <c r="T18" s="6">
        <v>1.1585721084455E-2</v>
      </c>
      <c r="U18" s="7">
        <v>6.5060088551549697E-2</v>
      </c>
      <c r="V18" s="7">
        <v>6.0827273429095899E-2</v>
      </c>
      <c r="W18" s="8">
        <v>0.95451842667914899</v>
      </c>
      <c r="X18" s="8">
        <v>4.3412999809066599E-2</v>
      </c>
      <c r="Y18" s="2">
        <v>79</v>
      </c>
      <c r="Z18" s="2">
        <f>VLOOKUP(E18,YieldData!T:U,2,FALSE)</f>
        <v>2191.5661103979464</v>
      </c>
      <c r="AA18">
        <f t="shared" si="0"/>
        <v>0.61661964346714904</v>
      </c>
    </row>
    <row r="19" spans="1:27" x14ac:dyDescent="0.25">
      <c r="A19">
        <v>18</v>
      </c>
      <c r="B19">
        <v>208</v>
      </c>
      <c r="C19" t="s">
        <v>20</v>
      </c>
      <c r="D19">
        <v>25111</v>
      </c>
      <c r="E19">
        <f t="shared" si="1"/>
        <v>25111208</v>
      </c>
      <c r="F19">
        <f>VLOOKUP(E19,YieldData!D:F,2,FALSE)</f>
        <v>13</v>
      </c>
      <c r="G19">
        <f>VLOOKUP($E19,YieldData!$D:$F,3,FALSE)</f>
        <v>1</v>
      </c>
      <c r="H19">
        <v>10</v>
      </c>
      <c r="I19" t="s">
        <v>21</v>
      </c>
      <c r="J19" t="s">
        <v>22</v>
      </c>
      <c r="K19" s="2">
        <v>2086.3836843552999</v>
      </c>
      <c r="L19" s="2">
        <v>8113010.1773172803</v>
      </c>
      <c r="M19" s="3">
        <v>2086.3836843552999</v>
      </c>
      <c r="N19" s="3">
        <v>8113010.1773172803</v>
      </c>
      <c r="O19" s="4">
        <v>5.6119152957093299E-2</v>
      </c>
      <c r="P19" s="4">
        <v>4.1141923225422802E-3</v>
      </c>
      <c r="Q19" s="5">
        <v>-3.6046826378731703E-2</v>
      </c>
      <c r="R19" s="5">
        <v>5.2899757770711101E-4</v>
      </c>
      <c r="S19" s="6">
        <v>0.23792273468869901</v>
      </c>
      <c r="T19" s="6">
        <v>9.0073416917981503E-3</v>
      </c>
      <c r="U19" s="7">
        <v>4.5937832633681397E-2</v>
      </c>
      <c r="V19" s="7">
        <v>4.3827548166626602E-2</v>
      </c>
      <c r="W19" s="8">
        <v>0.85630575685824295</v>
      </c>
      <c r="X19" s="8">
        <v>0.12304620762957801</v>
      </c>
      <c r="Y19" s="2">
        <v>41</v>
      </c>
      <c r="Z19" s="2">
        <f>VLOOKUP(E19,YieldData!T:U,2,FALSE)</f>
        <v>2785.418806161746</v>
      </c>
      <c r="AA19">
        <f t="shared" si="0"/>
        <v>0.53164133047877604</v>
      </c>
    </row>
    <row r="20" spans="1:27" x14ac:dyDescent="0.25">
      <c r="A20">
        <v>19</v>
      </c>
      <c r="B20">
        <v>209</v>
      </c>
      <c r="C20" t="s">
        <v>20</v>
      </c>
      <c r="D20">
        <v>25111</v>
      </c>
      <c r="E20">
        <f t="shared" si="1"/>
        <v>25111209</v>
      </c>
      <c r="F20">
        <f>VLOOKUP(E20,YieldData!D:F,2,FALSE)</f>
        <v>12</v>
      </c>
      <c r="G20">
        <f>VLOOKUP($E20,YieldData!$D:$F,3,FALSE)</f>
        <v>1</v>
      </c>
      <c r="H20">
        <v>10</v>
      </c>
      <c r="I20" t="s">
        <v>21</v>
      </c>
      <c r="J20" t="s">
        <v>22</v>
      </c>
      <c r="K20" s="2">
        <v>2174.6054660990799</v>
      </c>
      <c r="L20" s="2">
        <v>12419645.0559291</v>
      </c>
      <c r="M20" s="3">
        <v>2174.6054660990799</v>
      </c>
      <c r="N20" s="3">
        <v>12419645.0559291</v>
      </c>
      <c r="O20" s="4">
        <v>7.8875334540348896E-2</v>
      </c>
      <c r="P20" s="4">
        <v>6.8111978415460401E-3</v>
      </c>
      <c r="Q20" s="5">
        <v>-3.0897766147687401E-2</v>
      </c>
      <c r="R20" s="5">
        <v>6.1577411849284404E-4</v>
      </c>
      <c r="S20" s="6">
        <v>0.27046474413152799</v>
      </c>
      <c r="T20" s="6">
        <v>1.55143501281624E-2</v>
      </c>
      <c r="U20" s="7">
        <v>8.5865876981923606E-2</v>
      </c>
      <c r="V20" s="7">
        <v>7.8492928151919106E-2</v>
      </c>
      <c r="W20" s="8">
        <v>0.96260333127698905</v>
      </c>
      <c r="X20" s="8">
        <v>3.59981578915127E-2</v>
      </c>
      <c r="Y20" s="2">
        <v>63</v>
      </c>
      <c r="Z20" s="2">
        <f>VLOOKUP(E20,YieldData!T:U,2,FALSE)</f>
        <v>2428.5847240051348</v>
      </c>
      <c r="AA20">
        <f t="shared" si="0"/>
        <v>0.86303736242041396</v>
      </c>
    </row>
    <row r="21" spans="1:27" x14ac:dyDescent="0.25">
      <c r="A21">
        <v>20</v>
      </c>
      <c r="B21">
        <v>210</v>
      </c>
      <c r="C21" t="s">
        <v>20</v>
      </c>
      <c r="D21">
        <v>25111</v>
      </c>
      <c r="E21">
        <f t="shared" si="1"/>
        <v>25111210</v>
      </c>
      <c r="F21">
        <f>VLOOKUP(E21,YieldData!D:F,2,FALSE)</f>
        <v>11</v>
      </c>
      <c r="G21">
        <f>VLOOKUP($E21,YieldData!$D:$F,3,FALSE)</f>
        <v>1</v>
      </c>
      <c r="H21">
        <v>10</v>
      </c>
      <c r="I21" t="s">
        <v>21</v>
      </c>
      <c r="J21" t="s">
        <v>22</v>
      </c>
      <c r="K21" s="2">
        <v>2066.1528654315998</v>
      </c>
      <c r="L21" s="2">
        <v>11838700.254930399</v>
      </c>
      <c r="M21" s="3">
        <v>2066.1528654315998</v>
      </c>
      <c r="N21" s="3">
        <v>11838700.254930399</v>
      </c>
      <c r="O21" s="4">
        <v>7.3300229098788305E-2</v>
      </c>
      <c r="P21" s="4">
        <v>5.4518196969126197E-3</v>
      </c>
      <c r="Q21" s="5">
        <v>-2.8822392052162301E-2</v>
      </c>
      <c r="R21" s="5">
        <v>5.9997331590866995E-4</v>
      </c>
      <c r="S21" s="6">
        <v>0.26686082414169598</v>
      </c>
      <c r="T21" s="6">
        <v>1.2456807713474001E-2</v>
      </c>
      <c r="U21" s="7">
        <v>7.2730048859934907E-2</v>
      </c>
      <c r="V21" s="7">
        <v>6.7440388852816405E-2</v>
      </c>
      <c r="W21" s="8">
        <v>0.94189493505006405</v>
      </c>
      <c r="X21" s="8">
        <v>5.4728866377083102E-2</v>
      </c>
      <c r="Y21" s="2">
        <v>76</v>
      </c>
      <c r="Z21" s="2">
        <f>VLOOKUP(E21,YieldData!T:U,2,FALSE)</f>
        <v>2134.146341463415</v>
      </c>
      <c r="AA21">
        <f t="shared" si="0"/>
        <v>0.68992238198244005</v>
      </c>
    </row>
    <row r="22" spans="1:27" x14ac:dyDescent="0.25">
      <c r="A22">
        <v>21</v>
      </c>
      <c r="B22">
        <v>301</v>
      </c>
      <c r="C22" t="s">
        <v>20</v>
      </c>
      <c r="D22">
        <v>25111</v>
      </c>
      <c r="E22">
        <f t="shared" si="1"/>
        <v>25111301</v>
      </c>
      <c r="F22">
        <f>VLOOKUP(E22,YieldData!D:F,2,FALSE)</f>
        <v>4</v>
      </c>
      <c r="G22">
        <f>VLOOKUP($E22,YieldData!$D:$F,3,FALSE)</f>
        <v>2</v>
      </c>
      <c r="H22">
        <v>10</v>
      </c>
      <c r="I22" t="s">
        <v>21</v>
      </c>
      <c r="J22" t="s">
        <v>22</v>
      </c>
      <c r="K22" s="2">
        <v>2861.38134095844</v>
      </c>
      <c r="L22" s="2">
        <v>13653481.388750499</v>
      </c>
      <c r="M22" s="3">
        <v>2861.38134095844</v>
      </c>
      <c r="N22" s="3">
        <v>13653481.388750499</v>
      </c>
      <c r="O22" s="4">
        <v>2.1222208019725099E-2</v>
      </c>
      <c r="P22" s="4">
        <v>4.2747269271016597E-3</v>
      </c>
      <c r="Q22" s="5">
        <v>-4.3776230290214602E-2</v>
      </c>
      <c r="R22" s="5">
        <v>5.4788328922453905E-4</v>
      </c>
      <c r="S22" s="6">
        <v>0.20826834147494899</v>
      </c>
      <c r="T22" s="6">
        <v>1.07997664499764E-2</v>
      </c>
      <c r="U22" s="7">
        <v>4.9581203382743702E-2</v>
      </c>
      <c r="V22" s="7">
        <v>4.71229076539093E-2</v>
      </c>
      <c r="W22" s="8">
        <v>0.93884047805325499</v>
      </c>
      <c r="X22" s="8">
        <v>5.7419034821813097E-2</v>
      </c>
      <c r="Y22" s="2">
        <v>60</v>
      </c>
      <c r="Z22" s="2">
        <f>VLOOKUP(E22,YieldData!T:U,2,FALSE)</f>
        <v>1772.581835686778</v>
      </c>
      <c r="AA22">
        <f t="shared" si="0"/>
        <v>0.74455341364378302</v>
      </c>
    </row>
    <row r="23" spans="1:27" x14ac:dyDescent="0.25">
      <c r="A23">
        <v>22</v>
      </c>
      <c r="B23">
        <v>302</v>
      </c>
      <c r="C23" t="s">
        <v>20</v>
      </c>
      <c r="D23">
        <v>25111</v>
      </c>
      <c r="E23">
        <f t="shared" si="1"/>
        <v>25111302</v>
      </c>
      <c r="F23">
        <f>VLOOKUP(E23,YieldData!D:F,2,FALSE)</f>
        <v>2</v>
      </c>
      <c r="G23">
        <f>VLOOKUP($E23,YieldData!$D:$F,3,FALSE)</f>
        <v>2</v>
      </c>
      <c r="H23">
        <v>10</v>
      </c>
      <c r="I23" t="s">
        <v>21</v>
      </c>
      <c r="J23" t="s">
        <v>22</v>
      </c>
      <c r="K23" s="2">
        <v>3147.3239409668199</v>
      </c>
      <c r="L23" s="2">
        <v>26778191.255695701</v>
      </c>
      <c r="M23" s="3">
        <v>3147.3239409668199</v>
      </c>
      <c r="N23" s="3">
        <v>26778191.255695701</v>
      </c>
      <c r="O23" s="4">
        <v>2.7727938707080499E-2</v>
      </c>
      <c r="P23" s="4">
        <v>7.6829609606564198E-3</v>
      </c>
      <c r="Q23" s="5">
        <v>-4.6854848307868298E-2</v>
      </c>
      <c r="R23" s="5">
        <v>6.2877888436389101E-4</v>
      </c>
      <c r="S23" s="6">
        <v>0.230029877719549</v>
      </c>
      <c r="T23" s="6">
        <v>2.0520213903019498E-2</v>
      </c>
      <c r="U23" s="7">
        <v>9.9050398258664796E-2</v>
      </c>
      <c r="V23" s="7">
        <v>8.9239416863499996E-2</v>
      </c>
      <c r="W23" s="8">
        <v>0.83384361470567103</v>
      </c>
      <c r="X23" s="8">
        <v>0.13854844092006199</v>
      </c>
      <c r="Y23" s="2">
        <v>57</v>
      </c>
      <c r="Z23" s="2">
        <f>VLOOKUP(E23,YieldData!T:U,2,FALSE)</f>
        <v>2060.9114249037229</v>
      </c>
      <c r="AA23">
        <f t="shared" si="0"/>
        <v>0.743042349873823</v>
      </c>
    </row>
    <row r="24" spans="1:27" x14ac:dyDescent="0.25">
      <c r="A24">
        <v>23</v>
      </c>
      <c r="B24">
        <v>303</v>
      </c>
      <c r="C24" t="s">
        <v>20</v>
      </c>
      <c r="D24">
        <v>25111</v>
      </c>
      <c r="E24">
        <f t="shared" si="1"/>
        <v>25111303</v>
      </c>
      <c r="F24">
        <f>VLOOKUP(E24,YieldData!D:F,2,FALSE)</f>
        <v>6</v>
      </c>
      <c r="G24">
        <f>VLOOKUP($E24,YieldData!$D:$F,3,FALSE)</f>
        <v>2</v>
      </c>
      <c r="H24">
        <v>10</v>
      </c>
      <c r="I24" t="s">
        <v>21</v>
      </c>
      <c r="J24" t="s">
        <v>22</v>
      </c>
      <c r="K24" s="2">
        <v>2778.4817164595202</v>
      </c>
      <c r="L24" s="2">
        <v>14460441.3798625</v>
      </c>
      <c r="M24" s="3">
        <v>2778.4817164595202</v>
      </c>
      <c r="N24" s="3">
        <v>14460441.3798625</v>
      </c>
      <c r="O24" s="4">
        <v>7.1121303863954294E-2</v>
      </c>
      <c r="P24" s="4">
        <v>1.13018076894959E-2</v>
      </c>
      <c r="Q24" s="5">
        <v>-3.10021416671055E-2</v>
      </c>
      <c r="R24" s="5">
        <v>9.2587251303570301E-4</v>
      </c>
      <c r="S24" s="6">
        <v>0.26726648988152801</v>
      </c>
      <c r="T24" s="6">
        <v>2.3557143200666601E-2</v>
      </c>
      <c r="U24" s="7">
        <v>0.119453290541629</v>
      </c>
      <c r="V24" s="7">
        <v>0.10518420192049301</v>
      </c>
      <c r="W24" s="8">
        <v>0.90802290133095398</v>
      </c>
      <c r="X24" s="8">
        <v>8.3517311989623394E-2</v>
      </c>
      <c r="Y24" s="2">
        <v>79</v>
      </c>
      <c r="Z24" s="2">
        <f>VLOOKUP(E24,YieldData!T:U,2,FALSE)</f>
        <v>1677.4679075738127</v>
      </c>
      <c r="AA24">
        <f t="shared" si="0"/>
        <v>0.66252354515713296</v>
      </c>
    </row>
    <row r="25" spans="1:27" x14ac:dyDescent="0.25">
      <c r="A25">
        <v>24</v>
      </c>
      <c r="B25">
        <v>304</v>
      </c>
      <c r="C25" t="s">
        <v>20</v>
      </c>
      <c r="D25">
        <v>25111</v>
      </c>
      <c r="E25">
        <f t="shared" si="1"/>
        <v>25111304</v>
      </c>
      <c r="F25">
        <f>VLOOKUP(E25,YieldData!D:F,2,FALSE)</f>
        <v>8</v>
      </c>
      <c r="G25">
        <f>VLOOKUP($E25,YieldData!$D:$F,3,FALSE)</f>
        <v>2</v>
      </c>
      <c r="H25">
        <v>10</v>
      </c>
      <c r="I25" t="s">
        <v>21</v>
      </c>
      <c r="J25" t="s">
        <v>22</v>
      </c>
      <c r="K25" s="2">
        <v>2882.7654586771901</v>
      </c>
      <c r="L25" s="2">
        <v>12938870.6402181</v>
      </c>
      <c r="M25" s="3">
        <v>2882.7654586771901</v>
      </c>
      <c r="N25" s="3">
        <v>12938870.6402181</v>
      </c>
      <c r="O25" s="4">
        <v>5.5233050077083401E-2</v>
      </c>
      <c r="P25" s="4">
        <v>1.1052165427365101E-2</v>
      </c>
      <c r="Q25" s="5">
        <v>-3.6539158783540603E-2</v>
      </c>
      <c r="R25" s="5">
        <v>8.87634552684108E-4</v>
      </c>
      <c r="S25" s="6">
        <v>0.25434124446133699</v>
      </c>
      <c r="T25" s="6">
        <v>2.1804069470613599E-2</v>
      </c>
      <c r="U25" s="7">
        <v>0.10606386795837799</v>
      </c>
      <c r="V25" s="7">
        <v>9.4814323872062206E-2</v>
      </c>
      <c r="W25" s="8">
        <v>0.89419166547055196</v>
      </c>
      <c r="X25" s="8">
        <v>9.4612930873404999E-2</v>
      </c>
      <c r="Y25" s="2">
        <v>51</v>
      </c>
      <c r="Z25" s="2">
        <f>VLOOKUP(E25,YieldData!T:U,2,FALSE)</f>
        <v>2638.8783697047497</v>
      </c>
      <c r="AA25">
        <f t="shared" si="0"/>
        <v>0.72992272912131295</v>
      </c>
    </row>
    <row r="26" spans="1:27" x14ac:dyDescent="0.25">
      <c r="A26">
        <v>25</v>
      </c>
      <c r="B26">
        <v>305</v>
      </c>
      <c r="C26" t="s">
        <v>20</v>
      </c>
      <c r="D26">
        <v>25111</v>
      </c>
      <c r="E26">
        <f t="shared" si="1"/>
        <v>25111305</v>
      </c>
      <c r="F26">
        <f>VLOOKUP(E26,YieldData!D:F,2,FALSE)</f>
        <v>11</v>
      </c>
      <c r="G26">
        <f>VLOOKUP($E26,YieldData!$D:$F,3,FALSE)</f>
        <v>2</v>
      </c>
      <c r="H26">
        <v>10</v>
      </c>
      <c r="I26" t="s">
        <v>21</v>
      </c>
      <c r="J26" t="s">
        <v>22</v>
      </c>
      <c r="K26" s="2">
        <v>2580.1870036360201</v>
      </c>
      <c r="L26" s="2">
        <v>6372972.5061859898</v>
      </c>
      <c r="M26" s="3">
        <v>2580.1870036360201</v>
      </c>
      <c r="N26" s="3">
        <v>6372972.5061859898</v>
      </c>
      <c r="O26" s="4">
        <v>4.81814603626423E-2</v>
      </c>
      <c r="P26" s="4">
        <v>7.2997682134861401E-3</v>
      </c>
      <c r="Q26" s="5">
        <v>-3.6014129402386998E-2</v>
      </c>
      <c r="R26" s="5">
        <v>1.50770639552903E-3</v>
      </c>
      <c r="S26" s="6">
        <v>0.238428357224895</v>
      </c>
      <c r="T26" s="6">
        <v>1.28017862457651E-2</v>
      </c>
      <c r="U26" s="7">
        <v>6.1991675437757202E-2</v>
      </c>
      <c r="V26" s="7">
        <v>5.8148707614087802E-2</v>
      </c>
      <c r="W26" s="8">
        <v>0.92397311069113197</v>
      </c>
      <c r="X26" s="8">
        <v>7.0246801410897702E-2</v>
      </c>
      <c r="Y26" s="2">
        <v>65</v>
      </c>
      <c r="Z26" s="2">
        <f>VLOOKUP(E26,YieldData!T:U,2,FALSE)</f>
        <v>2035.834403080873</v>
      </c>
      <c r="AA26">
        <f t="shared" si="0"/>
        <v>0.59360086119251199</v>
      </c>
    </row>
    <row r="27" spans="1:27" x14ac:dyDescent="0.25">
      <c r="A27">
        <v>26</v>
      </c>
      <c r="B27">
        <v>306</v>
      </c>
      <c r="C27" t="s">
        <v>20</v>
      </c>
      <c r="D27">
        <v>25111</v>
      </c>
      <c r="E27">
        <f t="shared" si="1"/>
        <v>25111306</v>
      </c>
      <c r="F27">
        <f>VLOOKUP(E27,YieldData!D:F,2,FALSE)</f>
        <v>10</v>
      </c>
      <c r="G27">
        <f>VLOOKUP($E27,YieldData!$D:$F,3,FALSE)</f>
        <v>2</v>
      </c>
      <c r="H27">
        <v>10</v>
      </c>
      <c r="I27" t="s">
        <v>21</v>
      </c>
      <c r="J27" t="s">
        <v>22</v>
      </c>
      <c r="K27" s="2">
        <v>2278.9413951974402</v>
      </c>
      <c r="L27" s="2">
        <v>4219688.1698759701</v>
      </c>
      <c r="M27" s="3">
        <v>2278.9413951974402</v>
      </c>
      <c r="N27" s="3">
        <v>4219688.1698759701</v>
      </c>
      <c r="O27" s="4">
        <v>5.3165274019785103E-2</v>
      </c>
      <c r="P27" s="4">
        <v>5.5792366341569496E-3</v>
      </c>
      <c r="Q27" s="5">
        <v>-2.9906405783157199E-2</v>
      </c>
      <c r="R27" s="5">
        <v>1.4211292747090599E-3</v>
      </c>
      <c r="S27" s="6">
        <v>0.23946321895960501</v>
      </c>
      <c r="T27" s="6">
        <v>8.9627107249273096E-3</v>
      </c>
      <c r="U27" s="7">
        <v>4.3606179733079599E-2</v>
      </c>
      <c r="V27" s="7">
        <v>4.1704680822281702E-2</v>
      </c>
      <c r="W27" s="8">
        <v>0.95141401369571499</v>
      </c>
      <c r="X27" s="8">
        <v>4.6225388239173798E-2</v>
      </c>
      <c r="Y27" s="2">
        <v>55</v>
      </c>
      <c r="Z27" s="2">
        <f>VLOOKUP(E27,YieldData!T:U,2,FALSE)</f>
        <v>1864.1880616174585</v>
      </c>
      <c r="AA27">
        <f t="shared" si="0"/>
        <v>0.78637689505376895</v>
      </c>
    </row>
    <row r="28" spans="1:27" x14ac:dyDescent="0.25">
      <c r="A28">
        <v>27</v>
      </c>
      <c r="B28">
        <v>307</v>
      </c>
      <c r="C28" t="s">
        <v>20</v>
      </c>
      <c r="D28">
        <v>25111</v>
      </c>
      <c r="E28">
        <f t="shared" si="1"/>
        <v>25111307</v>
      </c>
      <c r="F28">
        <f>VLOOKUP(E28,YieldData!D:F,2,FALSE)</f>
        <v>1</v>
      </c>
      <c r="G28">
        <f>VLOOKUP($E28,YieldData!$D:$F,3,FALSE)</f>
        <v>2</v>
      </c>
      <c r="H28">
        <v>10</v>
      </c>
      <c r="I28" t="s">
        <v>21</v>
      </c>
      <c r="J28" t="s">
        <v>22</v>
      </c>
      <c r="K28" s="2">
        <v>2705.31152667777</v>
      </c>
      <c r="L28" s="2">
        <v>12203674.5131262</v>
      </c>
      <c r="M28" s="3">
        <v>2705.31152667777</v>
      </c>
      <c r="N28" s="3">
        <v>12203674.5131262</v>
      </c>
      <c r="O28" s="4">
        <v>9.9350458074672104E-2</v>
      </c>
      <c r="P28" s="4">
        <v>1.21118000162058E-2</v>
      </c>
      <c r="Q28" s="5">
        <v>-2.12728579229137E-2</v>
      </c>
      <c r="R28" s="5">
        <v>2.4191254658736902E-3</v>
      </c>
      <c r="S28" s="6">
        <v>0.297497990099101</v>
      </c>
      <c r="T28" s="6">
        <v>2.23593912940241E-2</v>
      </c>
      <c r="U28" s="7">
        <v>0.122856307445875</v>
      </c>
      <c r="V28" s="7">
        <v>0.10776263516663701</v>
      </c>
      <c r="W28" s="8">
        <v>0.941596003000292</v>
      </c>
      <c r="X28" s="8">
        <v>5.49929701342756E-2</v>
      </c>
      <c r="Y28" s="2">
        <v>69</v>
      </c>
      <c r="Z28" s="2">
        <f>VLOOKUP(E28,YieldData!T:U,2,FALSE)</f>
        <v>2916.8164313222082</v>
      </c>
      <c r="AA28">
        <f t="shared" si="0"/>
        <v>0.80669929447657795</v>
      </c>
    </row>
    <row r="29" spans="1:27" x14ac:dyDescent="0.25">
      <c r="A29">
        <v>28</v>
      </c>
      <c r="B29">
        <v>308</v>
      </c>
      <c r="C29" t="s">
        <v>20</v>
      </c>
      <c r="D29">
        <v>25111</v>
      </c>
      <c r="E29">
        <f t="shared" si="1"/>
        <v>25111308</v>
      </c>
      <c r="F29">
        <f>VLOOKUP(E29,YieldData!D:F,2,FALSE)</f>
        <v>12</v>
      </c>
      <c r="G29">
        <f>VLOOKUP($E29,YieldData!$D:$F,3,FALSE)</f>
        <v>2</v>
      </c>
      <c r="H29">
        <v>10</v>
      </c>
      <c r="I29" t="s">
        <v>21</v>
      </c>
      <c r="J29" t="s">
        <v>22</v>
      </c>
      <c r="K29" s="2">
        <v>2089.6551433070899</v>
      </c>
      <c r="L29" s="2">
        <v>12435935.0406454</v>
      </c>
      <c r="M29" s="3">
        <v>2089.6551433070899</v>
      </c>
      <c r="N29" s="3">
        <v>12435935.0406454</v>
      </c>
      <c r="O29" s="4">
        <v>7.3755410939519206E-2</v>
      </c>
      <c r="P29" s="4">
        <v>5.0424818016813096E-3</v>
      </c>
      <c r="Q29" s="5">
        <v>-3.2325588594479301E-2</v>
      </c>
      <c r="R29" s="5">
        <v>5.7154413009385095E-4</v>
      </c>
      <c r="S29" s="6">
        <v>0.25906721215539102</v>
      </c>
      <c r="T29" s="6">
        <v>1.1903095290268499E-2</v>
      </c>
      <c r="U29" s="7">
        <v>6.7313385826771696E-2</v>
      </c>
      <c r="V29" s="7">
        <v>6.27822939152234E-2</v>
      </c>
      <c r="W29" s="8">
        <v>0.90533662568030604</v>
      </c>
      <c r="X29" s="8">
        <v>8.5702219882115405E-2</v>
      </c>
      <c r="Y29" s="2">
        <v>44</v>
      </c>
      <c r="Z29" s="2">
        <f>VLOOKUP(E29,YieldData!T:U,2,FALSE)</f>
        <v>3189.6566110397944</v>
      </c>
      <c r="AA29">
        <f t="shared" si="0"/>
        <v>0.71376382555239204</v>
      </c>
    </row>
    <row r="30" spans="1:27" x14ac:dyDescent="0.25">
      <c r="A30">
        <v>29</v>
      </c>
      <c r="B30">
        <v>309</v>
      </c>
      <c r="C30" t="s">
        <v>20</v>
      </c>
      <c r="D30">
        <v>25111</v>
      </c>
      <c r="E30">
        <f t="shared" si="1"/>
        <v>25111309</v>
      </c>
      <c r="F30">
        <f>VLOOKUP(E30,YieldData!D:F,2,FALSE)</f>
        <v>5</v>
      </c>
      <c r="G30">
        <f>VLOOKUP($E30,YieldData!$D:$F,3,FALSE)</f>
        <v>3</v>
      </c>
      <c r="H30">
        <v>10</v>
      </c>
      <c r="I30" t="s">
        <v>21</v>
      </c>
      <c r="J30" t="s">
        <v>22</v>
      </c>
      <c r="K30" s="2">
        <v>2349.5136508771702</v>
      </c>
      <c r="L30" s="2">
        <v>24730108.508385099</v>
      </c>
      <c r="M30" s="3">
        <v>2349.5136508771702</v>
      </c>
      <c r="N30" s="3">
        <v>24730108.508385099</v>
      </c>
      <c r="O30" s="4">
        <v>8.7194456100334494E-2</v>
      </c>
      <c r="P30" s="4">
        <v>6.9724137913656703E-3</v>
      </c>
      <c r="Q30" s="5">
        <v>-3.08814155153876E-2</v>
      </c>
      <c r="R30" s="5">
        <v>5.8156480670917702E-4</v>
      </c>
      <c r="S30" s="6">
        <v>0.27939425824542302</v>
      </c>
      <c r="T30" s="6">
        <v>1.81220827171008E-2</v>
      </c>
      <c r="U30" s="7">
        <v>9.6399229858528404E-2</v>
      </c>
      <c r="V30" s="7">
        <v>8.7106418341205999E-2</v>
      </c>
      <c r="W30" s="8">
        <v>0.83682158490205005</v>
      </c>
      <c r="X30" s="8">
        <v>0.13655121994411701</v>
      </c>
      <c r="Y30" s="2">
        <v>34</v>
      </c>
      <c r="Z30" s="2">
        <f>VLOOKUP(E30,YieldData!T:U,2,FALSE)</f>
        <v>3449.2297817715021</v>
      </c>
      <c r="AA30">
        <f t="shared" si="0"/>
        <v>0.94319581833187804</v>
      </c>
    </row>
    <row r="31" spans="1:27" hidden="1" x14ac:dyDescent="0.25">
      <c r="A31">
        <v>30</v>
      </c>
      <c r="B31">
        <v>310</v>
      </c>
      <c r="C31" t="s">
        <v>20</v>
      </c>
      <c r="D31">
        <v>25111</v>
      </c>
      <c r="E31">
        <f t="shared" si="1"/>
        <v>25111310</v>
      </c>
      <c r="H31">
        <v>10</v>
      </c>
      <c r="I31" t="s">
        <v>21</v>
      </c>
      <c r="J31" t="s">
        <v>22</v>
      </c>
      <c r="K31" s="2">
        <v>2469.5377205298801</v>
      </c>
      <c r="L31" s="2">
        <v>25639366.794789601</v>
      </c>
      <c r="M31" s="3">
        <v>2469.5377205298801</v>
      </c>
      <c r="N31" s="3">
        <v>25639366.794789601</v>
      </c>
      <c r="O31" s="4">
        <v>8.1937778631575503E-2</v>
      </c>
      <c r="P31" s="4">
        <v>6.7730834685087501E-3</v>
      </c>
      <c r="Q31" s="5">
        <v>-2.9970700374374999E-2</v>
      </c>
      <c r="R31" s="5">
        <v>6.02368877136047E-4</v>
      </c>
      <c r="S31" s="6">
        <v>0.27723929736726599</v>
      </c>
      <c r="T31" s="6">
        <v>1.8458837200535799E-2</v>
      </c>
      <c r="U31" s="7">
        <v>9.6013674378853595E-2</v>
      </c>
      <c r="V31" s="7">
        <v>8.6795048711262604E-2</v>
      </c>
      <c r="W31" s="8">
        <v>0.86854861357004198</v>
      </c>
      <c r="X31" s="8">
        <v>0.114171919435548</v>
      </c>
      <c r="Y31" s="2">
        <v>30</v>
      </c>
      <c r="Z31" s="2">
        <f>VLOOKUP(E31,YieldData!T:U,2,FALSE)</f>
        <v>0</v>
      </c>
      <c r="AA31">
        <f t="shared" si="0"/>
        <v>0.87222249352932602</v>
      </c>
    </row>
    <row r="32" spans="1:27" x14ac:dyDescent="0.25">
      <c r="A32">
        <v>31</v>
      </c>
      <c r="B32">
        <v>401</v>
      </c>
      <c r="C32" t="s">
        <v>20</v>
      </c>
      <c r="D32">
        <v>25111</v>
      </c>
      <c r="E32">
        <f t="shared" si="1"/>
        <v>25111401</v>
      </c>
      <c r="F32">
        <f>VLOOKUP(E32,YieldData!D:F,2,FALSE)</f>
        <v>1</v>
      </c>
      <c r="G32">
        <f>VLOOKUP($E32,YieldData!$D:$F,3,FALSE)</f>
        <v>3</v>
      </c>
      <c r="H32">
        <v>10</v>
      </c>
      <c r="I32" t="s">
        <v>21</v>
      </c>
      <c r="J32" t="s">
        <v>22</v>
      </c>
      <c r="K32" s="2">
        <v>3137.5521072522001</v>
      </c>
      <c r="L32" s="2">
        <v>20411003.973150499</v>
      </c>
      <c r="M32" s="3">
        <v>3137.5521072522001</v>
      </c>
      <c r="N32" s="3">
        <v>20411003.973150499</v>
      </c>
      <c r="O32" s="4">
        <v>4.9640270037689997E-2</v>
      </c>
      <c r="P32" s="4">
        <v>5.4974965240185102E-3</v>
      </c>
      <c r="Q32" s="5">
        <v>-3.35850928534214E-2</v>
      </c>
      <c r="R32" s="5">
        <v>7.0007325380566101E-4</v>
      </c>
      <c r="S32" s="6">
        <v>0.23862028116137499</v>
      </c>
      <c r="T32" s="6">
        <v>1.53338803339083E-2</v>
      </c>
      <c r="U32" s="7">
        <v>7.7485170302334497E-2</v>
      </c>
      <c r="V32" s="7">
        <v>7.1481218685534503E-2</v>
      </c>
      <c r="W32" s="8">
        <v>0.94613213414342401</v>
      </c>
      <c r="X32" s="8">
        <v>5.0966118884644099E-2</v>
      </c>
      <c r="Y32" s="2">
        <v>78</v>
      </c>
      <c r="Z32" s="2">
        <f>VLOOKUP(E32,YieldData!T:U,2,FALSE)</f>
        <v>1960.5166880616171</v>
      </c>
      <c r="AA32">
        <f t="shared" si="0"/>
        <v>0.70643112583573497</v>
      </c>
    </row>
    <row r="33" spans="1:27" x14ac:dyDescent="0.25">
      <c r="A33">
        <v>32</v>
      </c>
      <c r="B33">
        <v>402</v>
      </c>
      <c r="C33" t="s">
        <v>20</v>
      </c>
      <c r="D33">
        <v>25111</v>
      </c>
      <c r="E33">
        <f t="shared" si="1"/>
        <v>25111402</v>
      </c>
      <c r="F33">
        <f>VLOOKUP(E33,YieldData!D:F,2,FALSE)</f>
        <v>14</v>
      </c>
      <c r="G33">
        <f>VLOOKUP($E33,YieldData!$D:$F,3,FALSE)</f>
        <v>3</v>
      </c>
      <c r="H33">
        <v>10</v>
      </c>
      <c r="I33" t="s">
        <v>21</v>
      </c>
      <c r="J33" t="s">
        <v>22</v>
      </c>
      <c r="K33" s="2">
        <v>1970.8729651823401</v>
      </c>
      <c r="L33" s="2">
        <v>2424672.0984578002</v>
      </c>
      <c r="M33" s="3">
        <v>1970.8729651823401</v>
      </c>
      <c r="N33" s="3">
        <v>2424672.0984578002</v>
      </c>
      <c r="O33" s="4">
        <v>2.6880171320228402E-3</v>
      </c>
      <c r="P33" s="4">
        <v>1.58715393380615E-3</v>
      </c>
      <c r="Q33" s="5">
        <v>-4.8958289624963597E-2</v>
      </c>
      <c r="R33" s="5">
        <v>2.84437494126215E-4</v>
      </c>
      <c r="S33" s="6">
        <v>0.18407473082176701</v>
      </c>
      <c r="T33" s="6">
        <v>2.9420860448472999E-3</v>
      </c>
      <c r="U33" s="7">
        <v>1.01546521224299E-2</v>
      </c>
      <c r="V33" s="7">
        <v>1.0051535162708999E-2</v>
      </c>
      <c r="W33" s="8">
        <v>0.67304173095554198</v>
      </c>
      <c r="X33" s="8">
        <v>0.220056559347512</v>
      </c>
      <c r="Y33" s="2">
        <v>35</v>
      </c>
      <c r="Z33" s="2">
        <f>VLOOKUP(E33,YieldData!T:U,2,FALSE)</f>
        <v>2271.8405006418484</v>
      </c>
      <c r="AA33">
        <f t="shared" si="0"/>
        <v>0.39816996591113002</v>
      </c>
    </row>
    <row r="34" spans="1:27" x14ac:dyDescent="0.25">
      <c r="A34">
        <v>33</v>
      </c>
      <c r="B34">
        <v>403</v>
      </c>
      <c r="C34" t="s">
        <v>20</v>
      </c>
      <c r="D34">
        <v>25111</v>
      </c>
      <c r="E34">
        <f t="shared" si="1"/>
        <v>25111403</v>
      </c>
      <c r="F34">
        <f>VLOOKUP(E34,YieldData!D:F,2,FALSE)</f>
        <v>9</v>
      </c>
      <c r="G34">
        <f>VLOOKUP($E34,YieldData!$D:$F,3,FALSE)</f>
        <v>3</v>
      </c>
      <c r="H34">
        <v>10</v>
      </c>
      <c r="I34" t="s">
        <v>21</v>
      </c>
      <c r="J34" t="s">
        <v>22</v>
      </c>
      <c r="K34" s="2">
        <v>3512.6786402023799</v>
      </c>
      <c r="L34" s="2">
        <v>27875223.332331602</v>
      </c>
      <c r="M34" s="3">
        <v>3512.6786402023799</v>
      </c>
      <c r="N34" s="3">
        <v>27875223.332331602</v>
      </c>
      <c r="O34" s="4">
        <v>6.4723178233372702E-2</v>
      </c>
      <c r="P34" s="4">
        <v>6.0372555721226401E-3</v>
      </c>
      <c r="Q34" s="5">
        <v>-3.2246386282129502E-2</v>
      </c>
      <c r="R34" s="5">
        <v>8.3692828823148796E-4</v>
      </c>
      <c r="S34" s="6">
        <v>0.26271667153808098</v>
      </c>
      <c r="T34" s="6">
        <v>1.8393436746609499E-2</v>
      </c>
      <c r="U34" s="7">
        <v>0.10212326784388299</v>
      </c>
      <c r="V34" s="7">
        <v>9.1694106008856302E-2</v>
      </c>
      <c r="W34" s="8">
        <v>0.87159023677949699</v>
      </c>
      <c r="X34" s="8">
        <v>0.11192069593022</v>
      </c>
      <c r="Y34" s="2">
        <v>67</v>
      </c>
      <c r="Z34" s="2">
        <f>VLOOKUP(E34,YieldData!T:U,2,FALSE)</f>
        <v>1551.3222079589218</v>
      </c>
      <c r="AA34">
        <f t="shared" si="0"/>
        <v>0.79020442072403196</v>
      </c>
    </row>
    <row r="35" spans="1:27" x14ac:dyDescent="0.25">
      <c r="A35">
        <v>34</v>
      </c>
      <c r="B35">
        <v>404</v>
      </c>
      <c r="C35" t="s">
        <v>20</v>
      </c>
      <c r="D35">
        <v>25111</v>
      </c>
      <c r="E35">
        <f t="shared" si="1"/>
        <v>25111404</v>
      </c>
      <c r="F35">
        <f>VLOOKUP(E35,YieldData!D:F,2,FALSE)</f>
        <v>6</v>
      </c>
      <c r="G35">
        <f>VLOOKUP($E35,YieldData!$D:$F,3,FALSE)</f>
        <v>3</v>
      </c>
      <c r="H35">
        <v>10</v>
      </c>
      <c r="I35" t="s">
        <v>21</v>
      </c>
      <c r="J35" t="s">
        <v>22</v>
      </c>
      <c r="K35" s="2">
        <v>2598.1726385533502</v>
      </c>
      <c r="L35" s="2">
        <v>11236181.0701668</v>
      </c>
      <c r="M35" s="3">
        <v>2598.1726385533502</v>
      </c>
      <c r="N35" s="3">
        <v>11236181.0701668</v>
      </c>
      <c r="O35" s="4">
        <v>2.2609187172998198E-2</v>
      </c>
      <c r="P35" s="4">
        <v>4.1211623672643104E-3</v>
      </c>
      <c r="Q35" s="5">
        <v>-4.4410023999737903E-2</v>
      </c>
      <c r="R35" s="5">
        <v>5.3882783365815496E-4</v>
      </c>
      <c r="S35" s="6">
        <v>0.21642255217831699</v>
      </c>
      <c r="T35" s="6">
        <v>1.0073949444094199E-2</v>
      </c>
      <c r="U35" s="7">
        <v>4.5375176405864998E-2</v>
      </c>
      <c r="V35" s="7">
        <v>4.33162697720339E-2</v>
      </c>
      <c r="W35" s="8">
        <v>0.90371965075947902</v>
      </c>
      <c r="X35" s="8">
        <v>8.7010443590517905E-2</v>
      </c>
      <c r="Y35" s="2">
        <v>47</v>
      </c>
      <c r="Z35" s="2">
        <f>VLOOKUP(E35,YieldData!T:U,2,FALSE)</f>
        <v>2596.150513478819</v>
      </c>
      <c r="AA35">
        <f t="shared" si="0"/>
        <v>0.644271138595505</v>
      </c>
    </row>
    <row r="36" spans="1:27" x14ac:dyDescent="0.25">
      <c r="A36">
        <v>35</v>
      </c>
      <c r="B36">
        <v>405</v>
      </c>
      <c r="C36" t="s">
        <v>20</v>
      </c>
      <c r="D36">
        <v>25111</v>
      </c>
      <c r="E36">
        <f t="shared" si="1"/>
        <v>25111405</v>
      </c>
      <c r="F36">
        <f>VLOOKUP(E36,YieldData!D:F,2,FALSE)</f>
        <v>13</v>
      </c>
      <c r="G36">
        <f>VLOOKUP($E36,YieldData!$D:$F,3,FALSE)</f>
        <v>3</v>
      </c>
      <c r="H36">
        <v>10</v>
      </c>
      <c r="I36" t="s">
        <v>21</v>
      </c>
      <c r="J36" t="s">
        <v>22</v>
      </c>
      <c r="K36" s="2">
        <v>2175.6694007554001</v>
      </c>
      <c r="L36" s="2">
        <v>4595921.4204409197</v>
      </c>
      <c r="M36" s="3">
        <v>2175.6694007554001</v>
      </c>
      <c r="N36" s="3">
        <v>4595921.4204409197</v>
      </c>
      <c r="O36" s="4">
        <v>1.5978016709943199E-2</v>
      </c>
      <c r="P36" s="4">
        <v>2.9738087373761901E-3</v>
      </c>
      <c r="Q36" s="5">
        <v>-4.4152370667902299E-2</v>
      </c>
      <c r="R36" s="5">
        <v>8.4227535387786199E-4</v>
      </c>
      <c r="S36" s="6">
        <v>0.20611053248932201</v>
      </c>
      <c r="T36" s="6">
        <v>5.6283896424919799E-3</v>
      </c>
      <c r="U36" s="7">
        <v>2.4465866170584601E-2</v>
      </c>
      <c r="V36" s="7">
        <v>2.3867287563067999E-2</v>
      </c>
      <c r="W36" s="8">
        <v>0.93297726920421098</v>
      </c>
      <c r="X36" s="8">
        <v>6.25306843525094E-2</v>
      </c>
      <c r="Y36" s="2">
        <v>45</v>
      </c>
      <c r="Z36" s="2">
        <f>VLOOKUP(E36,YieldData!T:U,2,FALSE)</f>
        <v>2056.2371630295247</v>
      </c>
      <c r="AA36">
        <f t="shared" si="0"/>
        <v>0.39605118520815102</v>
      </c>
    </row>
    <row r="37" spans="1:27" x14ac:dyDescent="0.25">
      <c r="A37">
        <v>36</v>
      </c>
      <c r="B37">
        <v>406</v>
      </c>
      <c r="C37" t="s">
        <v>20</v>
      </c>
      <c r="D37">
        <v>25111</v>
      </c>
      <c r="E37">
        <f t="shared" si="1"/>
        <v>25111406</v>
      </c>
      <c r="F37">
        <f>VLOOKUP(E37,YieldData!D:F,2,FALSE)</f>
        <v>12</v>
      </c>
      <c r="G37">
        <f>VLOOKUP($E37,YieldData!$D:$F,3,FALSE)</f>
        <v>3</v>
      </c>
      <c r="H37">
        <v>10</v>
      </c>
      <c r="I37" t="s">
        <v>21</v>
      </c>
      <c r="J37" t="s">
        <v>22</v>
      </c>
      <c r="K37" s="2">
        <v>3156.50490098813</v>
      </c>
      <c r="L37" s="2">
        <v>19613846.946432602</v>
      </c>
      <c r="M37" s="3">
        <v>3156.50490098813</v>
      </c>
      <c r="N37" s="3">
        <v>19613846.946432602</v>
      </c>
      <c r="O37" s="4">
        <v>6.5833102875496305E-2</v>
      </c>
      <c r="P37" s="4">
        <v>9.9417240699468806E-3</v>
      </c>
      <c r="Q37" s="5">
        <v>-2.90377824099309E-2</v>
      </c>
      <c r="R37" s="5">
        <v>2.1890187694427899E-3</v>
      </c>
      <c r="S37" s="6">
        <v>0.27069221274994698</v>
      </c>
      <c r="T37" s="6">
        <v>1.9821198952661202E-2</v>
      </c>
      <c r="U37" s="7">
        <v>0.10333743402516</v>
      </c>
      <c r="V37" s="7">
        <v>9.2658808754251601E-2</v>
      </c>
      <c r="W37" s="8">
        <v>0.92156266123377695</v>
      </c>
      <c r="X37" s="8">
        <v>7.2284922653568007E-2</v>
      </c>
      <c r="Y37" s="2">
        <v>75</v>
      </c>
      <c r="Z37" s="2">
        <f>VLOOKUP(E37,YieldData!T:U,2,FALSE)</f>
        <v>1804.3132220795892</v>
      </c>
      <c r="AA37">
        <f t="shared" si="0"/>
        <v>0.83448868898002404</v>
      </c>
    </row>
    <row r="38" spans="1:27" x14ac:dyDescent="0.25">
      <c r="A38">
        <v>37</v>
      </c>
      <c r="B38">
        <v>407</v>
      </c>
      <c r="C38" t="s">
        <v>20</v>
      </c>
      <c r="D38">
        <v>25111</v>
      </c>
      <c r="E38">
        <f t="shared" si="1"/>
        <v>25111407</v>
      </c>
      <c r="F38">
        <f>VLOOKUP(E38,YieldData!D:F,2,FALSE)</f>
        <v>11</v>
      </c>
      <c r="G38">
        <f>VLOOKUP($E38,YieldData!$D:$F,3,FALSE)</f>
        <v>3</v>
      </c>
      <c r="H38">
        <v>10</v>
      </c>
      <c r="I38" t="s">
        <v>21</v>
      </c>
      <c r="J38" t="s">
        <v>22</v>
      </c>
      <c r="K38" s="2">
        <v>1832.28816576646</v>
      </c>
      <c r="L38" s="2">
        <v>3797538.30457643</v>
      </c>
      <c r="M38" s="3">
        <v>1832.28816576646</v>
      </c>
      <c r="N38" s="3">
        <v>3797538.30457643</v>
      </c>
      <c r="O38" s="4">
        <v>3.4168639321545798E-2</v>
      </c>
      <c r="P38" s="4">
        <v>3.4807838655164002E-3</v>
      </c>
      <c r="Q38" s="5">
        <v>-3.7828604252144397E-2</v>
      </c>
      <c r="R38" s="5">
        <v>9.3621480871333197E-4</v>
      </c>
      <c r="S38" s="6">
        <v>0.21934169030565501</v>
      </c>
      <c r="T38" s="6">
        <v>5.0325812214526396E-3</v>
      </c>
      <c r="U38" s="7">
        <v>1.88679245283019E-2</v>
      </c>
      <c r="V38" s="7">
        <v>1.8511925952270501E-2</v>
      </c>
      <c r="W38" s="8">
        <v>0.74304260420955703</v>
      </c>
      <c r="X38" s="8">
        <v>0.19093029253935001</v>
      </c>
      <c r="Y38" s="2">
        <v>36</v>
      </c>
      <c r="Z38" s="2">
        <f>VLOOKUP(E38,YieldData!T:U,2,FALSE)</f>
        <v>2259.0404364569963</v>
      </c>
      <c r="AA38">
        <f t="shared" si="0"/>
        <v>0.33240483947148503</v>
      </c>
    </row>
    <row r="39" spans="1:27" x14ac:dyDescent="0.25">
      <c r="A39">
        <v>38</v>
      </c>
      <c r="B39">
        <v>408</v>
      </c>
      <c r="C39" t="s">
        <v>20</v>
      </c>
      <c r="D39">
        <v>25111</v>
      </c>
      <c r="E39">
        <f t="shared" si="1"/>
        <v>25111408</v>
      </c>
      <c r="F39">
        <f>VLOOKUP(E39,YieldData!D:F,2,FALSE)</f>
        <v>4</v>
      </c>
      <c r="G39">
        <f>VLOOKUP($E39,YieldData!$D:$F,3,FALSE)</f>
        <v>3</v>
      </c>
      <c r="H39">
        <v>10</v>
      </c>
      <c r="I39" t="s">
        <v>21</v>
      </c>
      <c r="J39" t="s">
        <v>22</v>
      </c>
      <c r="K39" s="2">
        <v>2622.4977516264798</v>
      </c>
      <c r="L39" s="2">
        <v>26449595.190340798</v>
      </c>
      <c r="M39" s="3">
        <v>2622.4977516264798</v>
      </c>
      <c r="N39" s="3">
        <v>26449595.190340798</v>
      </c>
      <c r="O39" s="4">
        <v>6.2623060298028596E-2</v>
      </c>
      <c r="P39" s="4">
        <v>5.0707541491434097E-3</v>
      </c>
      <c r="Q39" s="5">
        <v>-3.3925509614424101E-2</v>
      </c>
      <c r="R39" s="5">
        <v>6.5330535458390897E-4</v>
      </c>
      <c r="S39" s="6">
        <v>0.26172395419285599</v>
      </c>
      <c r="T39" s="6">
        <v>1.4715505368971199E-2</v>
      </c>
      <c r="U39" s="7">
        <v>8.1742728664370504E-2</v>
      </c>
      <c r="V39" s="7">
        <v>7.5060854974920793E-2</v>
      </c>
      <c r="W39" s="8">
        <v>0.931231611931016</v>
      </c>
      <c r="X39" s="8">
        <v>6.4039296871332904E-2</v>
      </c>
      <c r="Y39" s="2">
        <v>54</v>
      </c>
      <c r="Z39" s="2">
        <f>VLOOKUP(E39,YieldData!T:U,2,FALSE)</f>
        <v>2716.4634146341464</v>
      </c>
      <c r="AA39">
        <f t="shared" si="0"/>
        <v>0.91196698762035799</v>
      </c>
    </row>
    <row r="40" spans="1:27" x14ac:dyDescent="0.25">
      <c r="A40">
        <v>39</v>
      </c>
      <c r="B40">
        <v>410</v>
      </c>
      <c r="C40" t="s">
        <v>20</v>
      </c>
      <c r="D40">
        <v>25111</v>
      </c>
      <c r="E40">
        <f t="shared" si="1"/>
        <v>25111410</v>
      </c>
      <c r="F40">
        <f>VLOOKUP(E40,YieldData!D:F,2,FALSE)</f>
        <v>7</v>
      </c>
      <c r="G40">
        <f>VLOOKUP($E40,YieldData!$D:$F,3,FALSE)</f>
        <v>3</v>
      </c>
      <c r="H40">
        <v>10</v>
      </c>
      <c r="I40" t="s">
        <v>21</v>
      </c>
      <c r="J40" t="s">
        <v>22</v>
      </c>
      <c r="K40" s="2">
        <v>1785.1942991631799</v>
      </c>
      <c r="L40" s="2">
        <v>13058489.661123199</v>
      </c>
      <c r="M40" s="3">
        <v>1785.1942991631799</v>
      </c>
      <c r="N40" s="3">
        <v>13058489.661123199</v>
      </c>
      <c r="O40" s="4">
        <v>6.9124029646567206E-2</v>
      </c>
      <c r="P40" s="4">
        <v>3.2967304777634298E-3</v>
      </c>
      <c r="Q40" s="5">
        <v>-2.96951971912899E-2</v>
      </c>
      <c r="R40" s="5">
        <v>5.8047163544082999E-4</v>
      </c>
      <c r="S40" s="6">
        <v>0.254815741996261</v>
      </c>
      <c r="T40" s="6">
        <v>7.8255344280458005E-3</v>
      </c>
      <c r="U40" s="7">
        <v>4.16056485355649E-2</v>
      </c>
      <c r="V40" s="7">
        <v>3.9874618545432401E-2</v>
      </c>
      <c r="W40" s="8">
        <v>0.92323182133190396</v>
      </c>
      <c r="X40" s="8">
        <v>7.0874825412201303E-2</v>
      </c>
      <c r="Y40" s="2">
        <v>52</v>
      </c>
      <c r="Z40" s="2">
        <f>VLOOKUP(E40,YieldData!T:U,2,FALSE)</f>
        <v>3008.472400513479</v>
      </c>
      <c r="AA40">
        <f t="shared" si="0"/>
        <v>0.76582808127827595</v>
      </c>
    </row>
    <row r="41" spans="1:27" x14ac:dyDescent="0.25">
      <c r="A41">
        <v>40</v>
      </c>
      <c r="B41">
        <v>409</v>
      </c>
      <c r="C41" t="s">
        <v>20</v>
      </c>
      <c r="D41">
        <v>25111</v>
      </c>
      <c r="E41">
        <f t="shared" si="1"/>
        <v>25111409</v>
      </c>
      <c r="F41">
        <f>VLOOKUP(E41,YieldData!D:F,2,FALSE)</f>
        <v>8</v>
      </c>
      <c r="G41">
        <f>VLOOKUP($E41,YieldData!$D:$F,3,FALSE)</f>
        <v>3</v>
      </c>
      <c r="H41">
        <v>10</v>
      </c>
      <c r="I41" t="s">
        <v>21</v>
      </c>
      <c r="J41" t="s">
        <v>22</v>
      </c>
      <c r="K41" s="2">
        <v>2781.2175857821198</v>
      </c>
      <c r="L41" s="2">
        <v>36993190.933663599</v>
      </c>
      <c r="M41" s="3">
        <v>2781.2175857821198</v>
      </c>
      <c r="N41" s="3">
        <v>36993190.933663599</v>
      </c>
      <c r="O41" s="4">
        <v>9.0143802094779096E-2</v>
      </c>
      <c r="P41" s="4">
        <v>5.4369410298518803E-3</v>
      </c>
      <c r="Q41" s="5">
        <v>-2.5923468902907601E-2</v>
      </c>
      <c r="R41" s="5">
        <v>7.2060230677069097E-4</v>
      </c>
      <c r="S41" s="6">
        <v>0.290291586736103</v>
      </c>
      <c r="T41" s="6">
        <v>1.7095734932772898E-2</v>
      </c>
      <c r="U41" s="7">
        <v>0.107734443208592</v>
      </c>
      <c r="V41" s="7">
        <v>9.6127732955181996E-2</v>
      </c>
      <c r="W41" s="8">
        <v>0.95311565602200699</v>
      </c>
      <c r="X41" s="8">
        <v>4.4686202267770599E-2</v>
      </c>
      <c r="Y41" s="2">
        <v>64</v>
      </c>
      <c r="Z41" s="2">
        <f>VLOOKUP(E41,YieldData!T:U,2,FALSE)</f>
        <v>2987.8305519897308</v>
      </c>
      <c r="AA41">
        <f t="shared" si="0"/>
        <v>0.97096145336251505</v>
      </c>
    </row>
    <row r="42" spans="1:27" x14ac:dyDescent="0.25">
      <c r="A42">
        <v>41</v>
      </c>
      <c r="B42">
        <v>501</v>
      </c>
      <c r="C42" t="s">
        <v>20</v>
      </c>
      <c r="D42">
        <v>25111</v>
      </c>
      <c r="E42">
        <f t="shared" si="1"/>
        <v>25111501</v>
      </c>
      <c r="F42">
        <f>VLOOKUP(E42,YieldData!D:F,2,FALSE)</f>
        <v>10</v>
      </c>
      <c r="G42">
        <f>VLOOKUP($E42,YieldData!$D:$F,3,FALSE)</f>
        <v>3</v>
      </c>
      <c r="H42">
        <v>10</v>
      </c>
      <c r="I42" t="s">
        <v>21</v>
      </c>
      <c r="J42" t="s">
        <v>22</v>
      </c>
      <c r="K42" s="2">
        <v>2760.2330534825901</v>
      </c>
      <c r="L42" s="2">
        <v>11212269.3977647</v>
      </c>
      <c r="M42" s="3">
        <v>2760.2330534825901</v>
      </c>
      <c r="N42" s="3">
        <v>11212269.3977647</v>
      </c>
      <c r="O42" s="4">
        <v>7.34330212933689E-2</v>
      </c>
      <c r="P42" s="4">
        <v>7.2102637270602E-3</v>
      </c>
      <c r="Q42" s="5">
        <v>-2.7954789402955201E-2</v>
      </c>
      <c r="R42" s="5">
        <v>7.9403426912074196E-4</v>
      </c>
      <c r="S42" s="6">
        <v>0.261482611425569</v>
      </c>
      <c r="T42" s="6">
        <v>1.48825673576849E-2</v>
      </c>
      <c r="U42" s="7">
        <v>8.1838404133180206E-2</v>
      </c>
      <c r="V42" s="7">
        <v>7.5140879742060504E-2</v>
      </c>
      <c r="W42" s="8">
        <v>0.94796263738892295</v>
      </c>
      <c r="X42" s="8">
        <v>4.9329475503625E-2</v>
      </c>
      <c r="Y42" s="2">
        <v>90</v>
      </c>
      <c r="Z42" s="2">
        <f>VLOOKUP(E42,YieldData!T:U,2,FALSE)</f>
        <v>3019.9518613607192</v>
      </c>
      <c r="AA42">
        <f t="shared" si="0"/>
        <v>0.71092479188594404</v>
      </c>
    </row>
    <row r="43" spans="1:27" x14ac:dyDescent="0.25">
      <c r="A43">
        <v>42</v>
      </c>
      <c r="B43">
        <v>502</v>
      </c>
      <c r="C43" t="s">
        <v>20</v>
      </c>
      <c r="D43">
        <v>25111</v>
      </c>
      <c r="E43">
        <f t="shared" si="1"/>
        <v>25111502</v>
      </c>
      <c r="F43">
        <f>VLOOKUP(E43,YieldData!D:F,2,FALSE)</f>
        <v>2</v>
      </c>
      <c r="G43">
        <f>VLOOKUP($E43,YieldData!$D:$F,3,FALSE)</f>
        <v>3</v>
      </c>
      <c r="H43">
        <v>10</v>
      </c>
      <c r="I43" t="s">
        <v>21</v>
      </c>
      <c r="J43" t="s">
        <v>22</v>
      </c>
      <c r="K43" s="2">
        <v>2891.95219356999</v>
      </c>
      <c r="L43" s="2">
        <v>15299921.809203699</v>
      </c>
      <c r="M43" s="3">
        <v>2891.95219356999</v>
      </c>
      <c r="N43" s="3">
        <v>15299921.809203699</v>
      </c>
      <c r="O43" s="4">
        <v>7.3203299492779803E-2</v>
      </c>
      <c r="P43" s="4">
        <v>7.8909303970877507E-3</v>
      </c>
      <c r="Q43" s="5">
        <v>-3.2049434101044702E-2</v>
      </c>
      <c r="R43" s="5">
        <v>6.10285121114664E-4</v>
      </c>
      <c r="S43" s="6">
        <v>0.26897630418503998</v>
      </c>
      <c r="T43" s="6">
        <v>1.9121257713523E-2</v>
      </c>
      <c r="U43" s="7">
        <v>0.101234331642905</v>
      </c>
      <c r="V43" s="7">
        <v>9.0985941739930007E-2</v>
      </c>
      <c r="W43" s="8">
        <v>0.94254756807826201</v>
      </c>
      <c r="X43" s="8">
        <v>5.4151649988108799E-2</v>
      </c>
      <c r="Y43" s="2">
        <v>88</v>
      </c>
      <c r="Z43" s="2">
        <f>VLOOKUP(E43,YieldData!T:U,2,FALSE)</f>
        <v>3292.9252246469832</v>
      </c>
      <c r="AA43">
        <f t="shared" si="0"/>
        <v>0.77927017426353595</v>
      </c>
    </row>
    <row r="44" spans="1:27" hidden="1" x14ac:dyDescent="0.25">
      <c r="A44">
        <v>43</v>
      </c>
      <c r="B44">
        <v>503</v>
      </c>
      <c r="C44" t="s">
        <v>20</v>
      </c>
      <c r="D44" t="s">
        <v>100</v>
      </c>
      <c r="E44" t="e">
        <f t="shared" si="1"/>
        <v>#VALUE!</v>
      </c>
      <c r="H44">
        <v>10</v>
      </c>
      <c r="I44" t="s">
        <v>21</v>
      </c>
      <c r="J44" t="s">
        <v>22</v>
      </c>
      <c r="K44" s="2">
        <v>2800.76022433751</v>
      </c>
      <c r="L44" s="2">
        <v>11371482.601588899</v>
      </c>
      <c r="M44" s="3">
        <v>2800.76022433751</v>
      </c>
      <c r="N44" s="3">
        <v>11371482.601588899</v>
      </c>
      <c r="O44" s="4">
        <v>7.8629356097215095E-2</v>
      </c>
      <c r="P44" s="4">
        <v>7.6055019946308601E-3</v>
      </c>
      <c r="Q44" s="5">
        <v>-2.6689826489248201E-2</v>
      </c>
      <c r="R44" s="5">
        <v>8.2724132851277399E-4</v>
      </c>
      <c r="S44" s="6">
        <v>0.27178165003833199</v>
      </c>
      <c r="T44" s="6">
        <v>1.7227229369203401E-2</v>
      </c>
      <c r="U44" s="7">
        <v>9.2162537070697395E-2</v>
      </c>
      <c r="V44" s="7">
        <v>8.3668603831288199E-2</v>
      </c>
      <c r="W44" s="8">
        <v>0.88101417209830801</v>
      </c>
      <c r="X44" s="8">
        <v>0.10482820066019399</v>
      </c>
      <c r="Y44" s="2">
        <v>69</v>
      </c>
      <c r="Z44" s="2" t="e">
        <f>VLOOKUP(E44,YieldData!T:U,2,FALSE)</f>
        <v>#VALUE!</v>
      </c>
      <c r="AA44">
        <f t="shared" si="0"/>
        <v>0.913534329143595</v>
      </c>
    </row>
    <row r="45" spans="1:27" hidden="1" x14ac:dyDescent="0.25">
      <c r="A45">
        <v>44</v>
      </c>
      <c r="B45">
        <v>504</v>
      </c>
      <c r="C45" t="s">
        <v>20</v>
      </c>
      <c r="D45" t="s">
        <v>100</v>
      </c>
      <c r="E45" t="e">
        <f t="shared" si="1"/>
        <v>#VALUE!</v>
      </c>
      <c r="H45">
        <v>10</v>
      </c>
      <c r="I45" t="s">
        <v>21</v>
      </c>
      <c r="J45" t="s">
        <v>22</v>
      </c>
      <c r="K45" s="2">
        <v>2769.5311466100402</v>
      </c>
      <c r="L45" s="2">
        <v>8537545.1338504106</v>
      </c>
      <c r="M45" s="3">
        <v>2769.5311466100402</v>
      </c>
      <c r="N45" s="3">
        <v>8537545.1338504106</v>
      </c>
      <c r="O45" s="4">
        <v>5.8926375164687898E-2</v>
      </c>
      <c r="P45" s="4">
        <v>8.4928441013185797E-3</v>
      </c>
      <c r="Q45" s="5">
        <v>-3.7158993735789E-2</v>
      </c>
      <c r="R45" s="5">
        <v>8.4759787051469501E-4</v>
      </c>
      <c r="S45" s="6">
        <v>0.257444149177737</v>
      </c>
      <c r="T45" s="6">
        <v>1.6875061546953202E-2</v>
      </c>
      <c r="U45" s="7">
        <v>8.8304281270060694E-2</v>
      </c>
      <c r="V45" s="7">
        <v>8.0506635179490693E-2</v>
      </c>
      <c r="W45" s="8">
        <v>0.96383608985435698</v>
      </c>
      <c r="X45" s="8">
        <v>3.4856081748663399E-2</v>
      </c>
      <c r="Y45" s="2">
        <v>70</v>
      </c>
      <c r="Z45" s="2" t="e">
        <f>VLOOKUP(E45,YieldData!T:U,2,FALSE)</f>
        <v>#VALUE!</v>
      </c>
      <c r="AA45">
        <f t="shared" si="0"/>
        <v>0.913534329143595</v>
      </c>
    </row>
    <row r="46" spans="1:27" hidden="1" x14ac:dyDescent="0.25">
      <c r="A46">
        <v>45</v>
      </c>
      <c r="B46">
        <v>505</v>
      </c>
      <c r="C46" t="s">
        <v>20</v>
      </c>
      <c r="D46" t="s">
        <v>100</v>
      </c>
      <c r="E46" t="e">
        <f t="shared" si="1"/>
        <v>#VALUE!</v>
      </c>
      <c r="H46">
        <v>10</v>
      </c>
      <c r="I46" t="s">
        <v>21</v>
      </c>
      <c r="J46" t="s">
        <v>22</v>
      </c>
      <c r="K46" s="2">
        <v>3095.6295575891299</v>
      </c>
      <c r="L46" s="2">
        <v>13598078.2877292</v>
      </c>
      <c r="M46" s="3">
        <v>3095.6295575891299</v>
      </c>
      <c r="N46" s="3">
        <v>13598078.2877292</v>
      </c>
      <c r="O46" s="4">
        <v>6.6624075321125006E-2</v>
      </c>
      <c r="P46" s="4">
        <v>1.0591798553037501E-2</v>
      </c>
      <c r="Q46" s="5">
        <v>-3.2786560069035797E-2</v>
      </c>
      <c r="R46" s="5">
        <v>2.1894925991539499E-3</v>
      </c>
      <c r="S46" s="6">
        <v>0.27312913994941002</v>
      </c>
      <c r="T46" s="6">
        <v>2.0124620943539499E-2</v>
      </c>
      <c r="U46" s="7">
        <v>0.107880892393248</v>
      </c>
      <c r="V46" s="7">
        <v>9.6242605449762902E-2</v>
      </c>
      <c r="W46" s="8">
        <v>0.97215804518933302</v>
      </c>
      <c r="X46" s="8">
        <v>2.70667803629632E-2</v>
      </c>
      <c r="Y46" s="2">
        <v>61</v>
      </c>
      <c r="Z46" s="2" t="e">
        <f>VLOOKUP(E46,YieldData!T:U,2,FALSE)</f>
        <v>#VALUE!</v>
      </c>
      <c r="AA46">
        <f t="shared" si="0"/>
        <v>0.913534329143595</v>
      </c>
    </row>
    <row r="47" spans="1:27" hidden="1" x14ac:dyDescent="0.25">
      <c r="A47">
        <v>46</v>
      </c>
      <c r="B47">
        <v>506</v>
      </c>
      <c r="C47" t="s">
        <v>20</v>
      </c>
      <c r="D47" t="s">
        <v>100</v>
      </c>
      <c r="E47" t="e">
        <f t="shared" si="1"/>
        <v>#VALUE!</v>
      </c>
      <c r="H47">
        <v>10</v>
      </c>
      <c r="I47" t="s">
        <v>21</v>
      </c>
      <c r="J47" t="s">
        <v>22</v>
      </c>
      <c r="K47" s="2">
        <v>2398.0426424236098</v>
      </c>
      <c r="L47" s="2">
        <v>5570090.8337855898</v>
      </c>
      <c r="M47" s="3">
        <v>2398.0426424236098</v>
      </c>
      <c r="N47" s="3">
        <v>5570090.8337855898</v>
      </c>
      <c r="O47" s="4">
        <v>4.9921858741795E-2</v>
      </c>
      <c r="P47" s="4">
        <v>7.4537193990336396E-3</v>
      </c>
      <c r="Q47" s="5">
        <v>-3.3729074984117501E-2</v>
      </c>
      <c r="R47" s="5">
        <v>1.65942638579455E-3</v>
      </c>
      <c r="S47" s="6">
        <v>0.25117787429737598</v>
      </c>
      <c r="T47" s="6">
        <v>1.1930750063933401E-2</v>
      </c>
      <c r="U47" s="7">
        <v>6.3937586287738699E-2</v>
      </c>
      <c r="V47" s="7">
        <v>5.9849571347422303E-2</v>
      </c>
      <c r="W47" s="8">
        <v>0.96768142561256798</v>
      </c>
      <c r="X47" s="8">
        <v>3.1274084137028202E-2</v>
      </c>
      <c r="Y47" s="2">
        <v>59</v>
      </c>
      <c r="Z47" s="2" t="e">
        <f>VLOOKUP(E47,YieldData!T:U,2,FALSE)</f>
        <v>#VALUE!</v>
      </c>
      <c r="AA47">
        <f t="shared" si="0"/>
        <v>0.913534329143595</v>
      </c>
    </row>
    <row r="48" spans="1:27" hidden="1" x14ac:dyDescent="0.25">
      <c r="A48">
        <v>47</v>
      </c>
      <c r="B48">
        <v>510</v>
      </c>
      <c r="C48" t="s">
        <v>20</v>
      </c>
      <c r="D48" t="s">
        <v>100</v>
      </c>
      <c r="E48" t="e">
        <f t="shared" si="1"/>
        <v>#VALUE!</v>
      </c>
      <c r="H48">
        <v>10</v>
      </c>
      <c r="I48" t="s">
        <v>21</v>
      </c>
      <c r="J48" t="s">
        <v>22</v>
      </c>
      <c r="K48" s="2">
        <v>2727.9929521998902</v>
      </c>
      <c r="L48" s="2">
        <v>26259732.166503601</v>
      </c>
      <c r="M48" s="3">
        <v>2727.9929521998902</v>
      </c>
      <c r="N48" s="3">
        <v>26259732.166503601</v>
      </c>
      <c r="O48" s="4">
        <v>7.1484048441953094E-2</v>
      </c>
      <c r="P48" s="4">
        <v>7.9178522713950605E-3</v>
      </c>
      <c r="Q48" s="5">
        <v>-3.7935599962643701E-2</v>
      </c>
      <c r="R48" s="5">
        <v>7.8349186047455498E-4</v>
      </c>
      <c r="S48" s="6">
        <v>0.278275690591271</v>
      </c>
      <c r="T48" s="6">
        <v>2.0120412882218001E-2</v>
      </c>
      <c r="U48" s="7">
        <v>0.112017925040739</v>
      </c>
      <c r="V48" s="7">
        <v>9.9469909510168403E-2</v>
      </c>
      <c r="W48" s="8">
        <v>0.865232624460197</v>
      </c>
      <c r="X48" s="8">
        <v>0.116605130030121</v>
      </c>
      <c r="Y48" s="2">
        <v>35</v>
      </c>
      <c r="Z48" s="2" t="e">
        <f>VLOOKUP(E48,YieldData!T:U,2,FALSE)</f>
        <v>#VALUE!</v>
      </c>
      <c r="AA48">
        <f t="shared" si="0"/>
        <v>0.913534329143595</v>
      </c>
    </row>
    <row r="49" spans="1:27" hidden="1" x14ac:dyDescent="0.25">
      <c r="A49">
        <v>48</v>
      </c>
      <c r="B49">
        <v>509</v>
      </c>
      <c r="C49" t="s">
        <v>20</v>
      </c>
      <c r="D49" t="s">
        <v>100</v>
      </c>
      <c r="E49" t="e">
        <f t="shared" si="1"/>
        <v>#VALUE!</v>
      </c>
      <c r="H49">
        <v>10</v>
      </c>
      <c r="I49" t="s">
        <v>21</v>
      </c>
      <c r="J49" t="s">
        <v>22</v>
      </c>
      <c r="K49" s="2">
        <v>2128.3159191290802</v>
      </c>
      <c r="L49" s="2">
        <v>14443194.625520701</v>
      </c>
      <c r="M49" s="3">
        <v>2128.3159191290802</v>
      </c>
      <c r="N49" s="3">
        <v>14443194.625520701</v>
      </c>
      <c r="O49" s="4">
        <v>7.2159643514450797E-2</v>
      </c>
      <c r="P49" s="4">
        <v>8.3748590224236794E-3</v>
      </c>
      <c r="Q49" s="5">
        <v>-3.6547409955488899E-2</v>
      </c>
      <c r="R49" s="5">
        <v>6.6659580724145497E-4</v>
      </c>
      <c r="S49" s="6">
        <v>0.27105870684114602</v>
      </c>
      <c r="T49" s="6">
        <v>1.6924395851014701E-2</v>
      </c>
      <c r="U49" s="7">
        <v>9.0861586314152407E-2</v>
      </c>
      <c r="V49" s="7">
        <v>8.2605758446543207E-2</v>
      </c>
      <c r="W49" s="8">
        <v>0.94971636146496796</v>
      </c>
      <c r="X49" s="8">
        <v>4.7755194230690301E-2</v>
      </c>
      <c r="Y49" s="2">
        <v>63</v>
      </c>
      <c r="Z49" s="2" t="e">
        <f>VLOOKUP(E49,YieldData!T:U,2,FALSE)</f>
        <v>#VALUE!</v>
      </c>
      <c r="AA49">
        <f t="shared" si="0"/>
        <v>0.913534329143595</v>
      </c>
    </row>
    <row r="50" spans="1:27" hidden="1" x14ac:dyDescent="0.25">
      <c r="A50">
        <v>49</v>
      </c>
      <c r="B50">
        <v>508</v>
      </c>
      <c r="C50" t="s">
        <v>20</v>
      </c>
      <c r="D50" t="s">
        <v>100</v>
      </c>
      <c r="E50" t="e">
        <f t="shared" si="1"/>
        <v>#VALUE!</v>
      </c>
      <c r="H50">
        <v>10</v>
      </c>
      <c r="I50" t="s">
        <v>21</v>
      </c>
      <c r="J50" t="s">
        <v>22</v>
      </c>
      <c r="K50" s="2">
        <v>2312.53321134711</v>
      </c>
      <c r="L50" s="2">
        <v>14390835.376480401</v>
      </c>
      <c r="M50" s="3">
        <v>2312.53321134711</v>
      </c>
      <c r="N50" s="3">
        <v>14390835.376480401</v>
      </c>
      <c r="O50" s="4">
        <v>4.8629419302061397E-2</v>
      </c>
      <c r="P50" s="4">
        <v>8.0579666713609995E-3</v>
      </c>
      <c r="Q50" s="5">
        <v>-4.0068499405484299E-2</v>
      </c>
      <c r="R50" s="5">
        <v>6.4887105960706795E-4</v>
      </c>
      <c r="S50" s="6">
        <v>0.251733800837035</v>
      </c>
      <c r="T50" s="6">
        <v>1.6658892752460901E-2</v>
      </c>
      <c r="U50" s="7">
        <v>7.9745503252965894E-2</v>
      </c>
      <c r="V50" s="7">
        <v>7.3386157963756402E-2</v>
      </c>
      <c r="W50" s="8">
        <v>0.93480756811060395</v>
      </c>
      <c r="X50" s="8">
        <v>6.0942378713802099E-2</v>
      </c>
      <c r="Y50" s="2">
        <v>53</v>
      </c>
      <c r="Z50" s="2" t="e">
        <f>VLOOKUP(E50,YieldData!T:U,2,FALSE)</f>
        <v>#VALUE!</v>
      </c>
      <c r="AA50">
        <f t="shared" si="0"/>
        <v>0.913534329143595</v>
      </c>
    </row>
    <row r="51" spans="1:27" hidden="1" x14ac:dyDescent="0.25">
      <c r="A51">
        <v>50</v>
      </c>
      <c r="B51">
        <v>507</v>
      </c>
      <c r="C51" t="s">
        <v>20</v>
      </c>
      <c r="D51" t="s">
        <v>100</v>
      </c>
      <c r="E51" t="e">
        <f t="shared" si="1"/>
        <v>#VALUE!</v>
      </c>
      <c r="H51">
        <v>10</v>
      </c>
      <c r="I51" t="s">
        <v>21</v>
      </c>
      <c r="J51" t="s">
        <v>22</v>
      </c>
      <c r="K51" s="2">
        <v>2693.4878460453001</v>
      </c>
      <c r="L51" s="2">
        <v>13962705.688736601</v>
      </c>
      <c r="M51" s="3">
        <v>2693.4878460453001</v>
      </c>
      <c r="N51" s="3">
        <v>13962705.688736601</v>
      </c>
      <c r="O51" s="4">
        <v>7.7503309462812406E-2</v>
      </c>
      <c r="P51" s="4">
        <v>1.1755415964395499E-2</v>
      </c>
      <c r="Q51" s="5">
        <v>-3.0473148759381001E-2</v>
      </c>
      <c r="R51" s="5">
        <v>1.02556720146202E-3</v>
      </c>
      <c r="S51" s="6">
        <v>0.28294140291446601</v>
      </c>
      <c r="T51" s="6">
        <v>2.1921039603212698E-2</v>
      </c>
      <c r="U51" s="7">
        <v>0.119242954580042</v>
      </c>
      <c r="V51" s="7">
        <v>0.10502407236323399</v>
      </c>
      <c r="W51" s="8">
        <v>0.88002379601831704</v>
      </c>
      <c r="X51" s="8">
        <v>0.105581914459889</v>
      </c>
      <c r="Y51" s="2">
        <v>44</v>
      </c>
      <c r="Z51" s="2" t="e">
        <f>VLOOKUP(E51,YieldData!T:U,2,FALSE)</f>
        <v>#VALUE!</v>
      </c>
      <c r="AA51">
        <f t="shared" si="0"/>
        <v>0.913534329143595</v>
      </c>
    </row>
    <row r="52" spans="1:27" x14ac:dyDescent="0.25">
      <c r="A52">
        <v>51</v>
      </c>
      <c r="B52">
        <v>601</v>
      </c>
      <c r="C52" t="s">
        <v>20</v>
      </c>
      <c r="D52">
        <v>25112</v>
      </c>
      <c r="E52">
        <f t="shared" si="1"/>
        <v>25112601</v>
      </c>
      <c r="F52">
        <f>VLOOKUP(E52,YieldData!D:F,2,FALSE)</f>
        <v>1</v>
      </c>
      <c r="G52">
        <f>VLOOKUP($E52,YieldData!$D:$F,3,FALSE)</f>
        <v>1</v>
      </c>
      <c r="H52">
        <v>10</v>
      </c>
      <c r="I52" t="s">
        <v>21</v>
      </c>
      <c r="J52" t="s">
        <v>22</v>
      </c>
      <c r="K52" s="2">
        <v>2487.1484333891399</v>
      </c>
      <c r="L52" s="2">
        <v>9611491.35024691</v>
      </c>
      <c r="M52" s="3">
        <v>2487.1484333891399</v>
      </c>
      <c r="N52" s="3">
        <v>9611491.35024691</v>
      </c>
      <c r="O52" s="4">
        <v>6.2299180585054799E-2</v>
      </c>
      <c r="P52" s="4">
        <v>3.10541078077931E-3</v>
      </c>
      <c r="Q52" s="5">
        <v>-2.4099465167218299E-2</v>
      </c>
      <c r="R52" s="5">
        <v>5.6910782887938896E-4</v>
      </c>
      <c r="S52" s="6">
        <v>0.251238028099877</v>
      </c>
      <c r="T52" s="6">
        <v>7.21855540708124E-3</v>
      </c>
      <c r="U52" s="7">
        <v>4.1042812724228703E-2</v>
      </c>
      <c r="V52" s="7">
        <v>3.9358300247964197E-2</v>
      </c>
      <c r="W52" s="8">
        <v>0.89218183775250304</v>
      </c>
      <c r="X52" s="8">
        <v>9.6193406136831597E-2</v>
      </c>
      <c r="Y52" s="2">
        <v>63</v>
      </c>
      <c r="Z52" s="2">
        <f>VLOOKUP(E52,YieldData!T:U,2,FALSE)</f>
        <v>2181.5917843388966</v>
      </c>
      <c r="AA52">
        <f t="shared" si="0"/>
        <v>0.56725628789781501</v>
      </c>
    </row>
    <row r="53" spans="1:27" x14ac:dyDescent="0.25">
      <c r="A53">
        <v>52</v>
      </c>
      <c r="B53">
        <v>602</v>
      </c>
      <c r="C53" t="s">
        <v>20</v>
      </c>
      <c r="D53">
        <v>25112</v>
      </c>
      <c r="E53">
        <f t="shared" si="1"/>
        <v>25112602</v>
      </c>
      <c r="F53">
        <f>VLOOKUP(E53,YieldData!D:F,2,FALSE)</f>
        <v>2</v>
      </c>
      <c r="G53">
        <f>VLOOKUP($E53,YieldData!$D:$F,3,FALSE)</f>
        <v>1</v>
      </c>
      <c r="H53">
        <v>10</v>
      </c>
      <c r="I53" t="s">
        <v>21</v>
      </c>
      <c r="J53" t="s">
        <v>22</v>
      </c>
      <c r="K53" s="2">
        <v>2408.6671121620202</v>
      </c>
      <c r="L53" s="2">
        <v>6765228.5351197002</v>
      </c>
      <c r="M53" s="3">
        <v>2408.6671121620202</v>
      </c>
      <c r="N53" s="3">
        <v>6765228.5351197002</v>
      </c>
      <c r="O53" s="4">
        <v>4.62813158189158E-2</v>
      </c>
      <c r="P53" s="4">
        <v>2.3850020855852899E-3</v>
      </c>
      <c r="Q53" s="5">
        <v>-3.3122624863936301E-2</v>
      </c>
      <c r="R53" s="5">
        <v>4.1818630906931102E-4</v>
      </c>
      <c r="S53" s="6">
        <v>0.23675779597575</v>
      </c>
      <c r="T53" s="6">
        <v>6.2091392402068499E-3</v>
      </c>
      <c r="U53" s="7">
        <v>3.2692505397347603E-2</v>
      </c>
      <c r="V53" s="7">
        <v>3.1623705488256798E-2</v>
      </c>
      <c r="W53" s="8">
        <v>0.89635674355843997</v>
      </c>
      <c r="X53" s="8">
        <v>9.2901331835937406E-2</v>
      </c>
      <c r="Y53" s="2">
        <v>64</v>
      </c>
      <c r="Z53" s="2">
        <f>VLOOKUP(E53,YieldData!T:U,2,FALSE)</f>
        <v>2508.231707317073</v>
      </c>
      <c r="AA53">
        <f t="shared" si="0"/>
        <v>0.55694771065448401</v>
      </c>
    </row>
    <row r="54" spans="1:27" x14ac:dyDescent="0.25">
      <c r="A54">
        <v>53</v>
      </c>
      <c r="B54">
        <v>603</v>
      </c>
      <c r="C54" t="s">
        <v>20</v>
      </c>
      <c r="D54">
        <v>25112</v>
      </c>
      <c r="E54">
        <f t="shared" si="1"/>
        <v>25112603</v>
      </c>
      <c r="F54">
        <f>VLOOKUP(E54,YieldData!D:F,2,FALSE)</f>
        <v>3</v>
      </c>
      <c r="G54">
        <f>VLOOKUP($E54,YieldData!$D:$F,3,FALSE)</f>
        <v>1</v>
      </c>
      <c r="H54">
        <v>10</v>
      </c>
      <c r="I54" t="s">
        <v>21</v>
      </c>
      <c r="J54" t="s">
        <v>22</v>
      </c>
      <c r="K54" s="2">
        <v>3284.7927382560601</v>
      </c>
      <c r="L54" s="2">
        <v>14722317.9088562</v>
      </c>
      <c r="M54" s="3">
        <v>3284.7927382560601</v>
      </c>
      <c r="N54" s="3">
        <v>14722317.9088562</v>
      </c>
      <c r="O54" s="4">
        <v>7.3223030881541404E-2</v>
      </c>
      <c r="P54" s="4">
        <v>7.3838705356488003E-3</v>
      </c>
      <c r="Q54" s="5">
        <v>-2.8458522826184499E-2</v>
      </c>
      <c r="R54" s="5">
        <v>8.7731232977042103E-4</v>
      </c>
      <c r="S54" s="6">
        <v>0.27132732832106699</v>
      </c>
      <c r="T54" s="6">
        <v>1.72798683462588E-2</v>
      </c>
      <c r="U54" s="7">
        <v>9.7417989957433795E-2</v>
      </c>
      <c r="V54" s="7">
        <v>8.7927725189995601E-2</v>
      </c>
      <c r="W54" s="8">
        <v>0.93957969592312696</v>
      </c>
      <c r="X54" s="8">
        <v>5.6769690932122398E-2</v>
      </c>
      <c r="Y54" s="2">
        <v>75</v>
      </c>
      <c r="Z54" s="2">
        <f>VLOOKUP(E54,YieldData!T:U,2,FALSE)</f>
        <v>2318.1354300385115</v>
      </c>
      <c r="AA54">
        <f t="shared" si="0"/>
        <v>0.77373397558427004</v>
      </c>
    </row>
    <row r="55" spans="1:27" x14ac:dyDescent="0.25">
      <c r="A55">
        <v>54</v>
      </c>
      <c r="B55">
        <v>604</v>
      </c>
      <c r="C55" t="s">
        <v>20</v>
      </c>
      <c r="D55">
        <v>25112</v>
      </c>
      <c r="E55">
        <f t="shared" si="1"/>
        <v>25112604</v>
      </c>
      <c r="F55">
        <f>VLOOKUP(E55,YieldData!D:F,2,FALSE)</f>
        <v>4</v>
      </c>
      <c r="G55">
        <f>VLOOKUP($E55,YieldData!$D:$F,3,FALSE)</f>
        <v>1</v>
      </c>
      <c r="H55">
        <v>10</v>
      </c>
      <c r="I55" t="s">
        <v>21</v>
      </c>
      <c r="J55" t="s">
        <v>22</v>
      </c>
      <c r="K55" s="2">
        <v>3328.5372546427898</v>
      </c>
      <c r="L55" s="2">
        <v>16213673.3529671</v>
      </c>
      <c r="M55" s="3">
        <v>3328.5372546427898</v>
      </c>
      <c r="N55" s="3">
        <v>16213673.3529671</v>
      </c>
      <c r="O55" s="4">
        <v>5.72844566091366E-2</v>
      </c>
      <c r="P55" s="4">
        <v>7.3331807064947697E-3</v>
      </c>
      <c r="Q55" s="5">
        <v>-3.6880033164121001E-2</v>
      </c>
      <c r="R55" s="5">
        <v>8.1301151175905298E-4</v>
      </c>
      <c r="S55" s="6">
        <v>0.26077783222427597</v>
      </c>
      <c r="T55" s="6">
        <v>1.74701043235247E-2</v>
      </c>
      <c r="U55" s="7">
        <v>9.4732668032515996E-2</v>
      </c>
      <c r="V55" s="7">
        <v>8.5758389640144705E-2</v>
      </c>
      <c r="W55" s="8">
        <v>0.92429388985078198</v>
      </c>
      <c r="X55" s="8">
        <v>6.99746950353929E-2</v>
      </c>
      <c r="Y55" s="2">
        <v>64</v>
      </c>
      <c r="Z55" s="2">
        <f>VLOOKUP(E55,YieldData!T:U,2,FALSE)</f>
        <v>634.45924261874211</v>
      </c>
      <c r="AA55">
        <f t="shared" si="0"/>
        <v>0.83857877413982296</v>
      </c>
    </row>
    <row r="56" spans="1:27" x14ac:dyDescent="0.25">
      <c r="A56">
        <v>55</v>
      </c>
      <c r="B56">
        <v>605</v>
      </c>
      <c r="C56" t="s">
        <v>20</v>
      </c>
      <c r="D56">
        <v>25112</v>
      </c>
      <c r="E56">
        <f t="shared" si="1"/>
        <v>25112605</v>
      </c>
      <c r="F56">
        <f>VLOOKUP(E56,YieldData!D:F,2,FALSE)</f>
        <v>3</v>
      </c>
      <c r="G56">
        <f>VLOOKUP($E56,YieldData!$D:$F,3,FALSE)</f>
        <v>2</v>
      </c>
      <c r="H56">
        <v>10</v>
      </c>
      <c r="I56" t="s">
        <v>21</v>
      </c>
      <c r="J56" t="s">
        <v>22</v>
      </c>
      <c r="K56" s="2">
        <v>2587.5010632748899</v>
      </c>
      <c r="L56" s="2">
        <v>9109392.3577975407</v>
      </c>
      <c r="M56" s="3">
        <v>2587.5010632748899</v>
      </c>
      <c r="N56" s="3">
        <v>9109392.3577975407</v>
      </c>
      <c r="O56" s="4">
        <v>5.38353797883303E-2</v>
      </c>
      <c r="P56" s="4">
        <v>6.9024815102022496E-3</v>
      </c>
      <c r="Q56" s="5">
        <v>-3.2114881436465202E-2</v>
      </c>
      <c r="R56" s="5">
        <v>1.65628507040838E-3</v>
      </c>
      <c r="S56" s="6">
        <v>0.25425636718265499</v>
      </c>
      <c r="T56" s="6">
        <v>1.2564584909076301E-2</v>
      </c>
      <c r="U56" s="7">
        <v>6.7915847476895497E-2</v>
      </c>
      <c r="V56" s="7">
        <v>6.3303285138374701E-2</v>
      </c>
      <c r="W56" s="8">
        <v>0.95640950189930996</v>
      </c>
      <c r="X56" s="8">
        <v>4.1690366576034699E-2</v>
      </c>
      <c r="Y56" s="2">
        <v>77</v>
      </c>
      <c r="Z56" s="2">
        <f>VLOOKUP(E56,YieldData!T:U,2,FALSE)</f>
        <v>1653.1209884467266</v>
      </c>
      <c r="AA56">
        <f t="shared" si="0"/>
        <v>0.73001203691320005</v>
      </c>
    </row>
    <row r="57" spans="1:27" x14ac:dyDescent="0.25">
      <c r="A57">
        <v>56</v>
      </c>
      <c r="B57">
        <v>606</v>
      </c>
      <c r="C57" t="s">
        <v>20</v>
      </c>
      <c r="D57">
        <v>25112</v>
      </c>
      <c r="E57">
        <f t="shared" si="1"/>
        <v>25112606</v>
      </c>
      <c r="F57">
        <f>VLOOKUP(E57,YieldData!D:F,2,FALSE)</f>
        <v>4</v>
      </c>
      <c r="G57">
        <f>VLOOKUP($E57,YieldData!$D:$F,3,FALSE)</f>
        <v>2</v>
      </c>
      <c r="H57">
        <v>10</v>
      </c>
      <c r="I57" t="s">
        <v>21</v>
      </c>
      <c r="J57" t="s">
        <v>22</v>
      </c>
      <c r="K57" s="2">
        <v>2959.08798057998</v>
      </c>
      <c r="L57" s="2">
        <v>18423288.272603199</v>
      </c>
      <c r="M57" s="3">
        <v>2959.08798057998</v>
      </c>
      <c r="N57" s="3">
        <v>18423288.272603199</v>
      </c>
      <c r="O57" s="4">
        <v>9.54986623953267E-2</v>
      </c>
      <c r="P57" s="4">
        <v>1.2232118032422599E-2</v>
      </c>
      <c r="Q57" s="5">
        <v>-2.2437653456966002E-2</v>
      </c>
      <c r="R57" s="5">
        <v>2.7432995827873798E-3</v>
      </c>
      <c r="S57" s="6">
        <v>0.30720126842836698</v>
      </c>
      <c r="T57" s="6">
        <v>2.2513025229220201E-2</v>
      </c>
      <c r="U57" s="7">
        <v>0.13803962734549299</v>
      </c>
      <c r="V57" s="7">
        <v>0.1189846886278</v>
      </c>
      <c r="W57" s="8">
        <v>0.94201167902368599</v>
      </c>
      <c r="X57" s="8">
        <v>5.4625675606643199E-2</v>
      </c>
      <c r="Y57" s="2">
        <v>116</v>
      </c>
      <c r="Z57" s="2">
        <f>VLOOKUP(E57,YieldData!T:U,2,FALSE)</f>
        <v>258.99550706033375</v>
      </c>
      <c r="AA57">
        <f t="shared" si="0"/>
        <v>0.83590551181102402</v>
      </c>
    </row>
    <row r="58" spans="1:27" x14ac:dyDescent="0.25">
      <c r="A58">
        <v>57</v>
      </c>
      <c r="B58">
        <v>607</v>
      </c>
      <c r="C58" t="s">
        <v>20</v>
      </c>
      <c r="D58">
        <v>25112</v>
      </c>
      <c r="E58">
        <f t="shared" si="1"/>
        <v>25112607</v>
      </c>
      <c r="F58">
        <f>VLOOKUP(E58,YieldData!D:F,2,FALSE)</f>
        <v>1</v>
      </c>
      <c r="G58">
        <f>VLOOKUP($E58,YieldData!$D:$F,3,FALSE)</f>
        <v>2</v>
      </c>
      <c r="H58">
        <v>10</v>
      </c>
      <c r="I58" t="s">
        <v>21</v>
      </c>
      <c r="J58" t="s">
        <v>22</v>
      </c>
      <c r="K58" s="2">
        <v>2090.9008301886802</v>
      </c>
      <c r="L58" s="2">
        <v>13351150.5441682</v>
      </c>
      <c r="M58" s="3">
        <v>2090.9008301886802</v>
      </c>
      <c r="N58" s="3">
        <v>13351150.5441682</v>
      </c>
      <c r="O58" s="4">
        <v>4.9365844408133998E-2</v>
      </c>
      <c r="P58" s="4">
        <v>4.1006120715811004E-3</v>
      </c>
      <c r="Q58" s="5">
        <v>-3.6279285363962403E-2</v>
      </c>
      <c r="R58" s="5">
        <v>5.8033828848191101E-4</v>
      </c>
      <c r="S58" s="6">
        <v>0.25049367381030702</v>
      </c>
      <c r="T58" s="6">
        <v>9.7150244151255807E-3</v>
      </c>
      <c r="U58" s="7">
        <v>5.2404802744425397E-2</v>
      </c>
      <c r="V58" s="7">
        <v>4.9658539393738502E-2</v>
      </c>
      <c r="W58" s="8">
        <v>0.90854076899854497</v>
      </c>
      <c r="X58" s="8">
        <v>8.30944400659204E-2</v>
      </c>
      <c r="Y58" s="2">
        <v>65</v>
      </c>
      <c r="Z58" s="2">
        <f>VLOOKUP(E58,YieldData!T:U,2,FALSE)</f>
        <v>1494.5314505776639</v>
      </c>
      <c r="AA58">
        <f t="shared" si="0"/>
        <v>0.50546796745290101</v>
      </c>
    </row>
    <row r="59" spans="1:27" x14ac:dyDescent="0.25">
      <c r="A59">
        <v>58</v>
      </c>
      <c r="B59">
        <v>608</v>
      </c>
      <c r="C59" t="s">
        <v>20</v>
      </c>
      <c r="D59">
        <v>25112</v>
      </c>
      <c r="E59">
        <f t="shared" si="1"/>
        <v>25112608</v>
      </c>
      <c r="F59">
        <f>VLOOKUP(E59,YieldData!D:F,2,FALSE)</f>
        <v>2</v>
      </c>
      <c r="G59">
        <f>VLOOKUP($E59,YieldData!$D:$F,3,FALSE)</f>
        <v>2</v>
      </c>
      <c r="H59">
        <v>10</v>
      </c>
      <c r="I59" t="s">
        <v>21</v>
      </c>
      <c r="J59" t="s">
        <v>22</v>
      </c>
      <c r="K59" s="2">
        <v>2288.5306240999098</v>
      </c>
      <c r="L59" s="2">
        <v>20014765.067931801</v>
      </c>
      <c r="M59" s="3">
        <v>2288.5306240999098</v>
      </c>
      <c r="N59" s="3">
        <v>20014765.067931801</v>
      </c>
      <c r="O59" s="4">
        <v>3.4198024789156199E-2</v>
      </c>
      <c r="P59" s="4">
        <v>5.67895181330431E-3</v>
      </c>
      <c r="Q59" s="5">
        <v>-4.3063350717359797E-2</v>
      </c>
      <c r="R59" s="5">
        <v>5.7416115133970098E-4</v>
      </c>
      <c r="S59" s="6">
        <v>0.24870512667589001</v>
      </c>
      <c r="T59" s="6">
        <v>1.4359902304887999E-2</v>
      </c>
      <c r="U59" s="7">
        <v>7.3459113407800994E-2</v>
      </c>
      <c r="V59" s="7">
        <v>6.8062872065305202E-2</v>
      </c>
      <c r="W59" s="8">
        <v>0.92246157569889897</v>
      </c>
      <c r="X59" s="8">
        <v>7.15262170580587E-2</v>
      </c>
      <c r="Y59" s="2">
        <v>65</v>
      </c>
      <c r="Z59" s="2">
        <f>VLOOKUP(E59,YieldData!T:U,2,FALSE)</f>
        <v>1636.4489730423622</v>
      </c>
      <c r="AA59">
        <f t="shared" si="0"/>
        <v>0.63237323006172097</v>
      </c>
    </row>
    <row r="60" spans="1:27" x14ac:dyDescent="0.25">
      <c r="A60">
        <v>59</v>
      </c>
      <c r="B60">
        <v>609</v>
      </c>
      <c r="C60" t="s">
        <v>20</v>
      </c>
      <c r="D60">
        <v>25112</v>
      </c>
      <c r="E60">
        <f t="shared" si="1"/>
        <v>25112609</v>
      </c>
      <c r="F60">
        <f>VLOOKUP(E60,YieldData!D:F,2,FALSE)</f>
        <v>4</v>
      </c>
      <c r="G60">
        <f>VLOOKUP($E60,YieldData!$D:$F,3,FALSE)</f>
        <v>3</v>
      </c>
      <c r="H60">
        <v>10</v>
      </c>
      <c r="I60" t="s">
        <v>21</v>
      </c>
      <c r="J60" t="s">
        <v>22</v>
      </c>
      <c r="K60" s="2">
        <v>1938.3326874213999</v>
      </c>
      <c r="L60" s="2">
        <v>12691646.696173601</v>
      </c>
      <c r="M60" s="3">
        <v>1938.3326874213999</v>
      </c>
      <c r="N60" s="3">
        <v>12691646.696173601</v>
      </c>
      <c r="O60" s="4">
        <v>6.3021159224153495E-2</v>
      </c>
      <c r="P60" s="4">
        <v>7.6113210249991198E-3</v>
      </c>
      <c r="Q60" s="5">
        <v>-3.7461138546109003E-2</v>
      </c>
      <c r="R60" s="5">
        <v>5.9785035654676404E-4</v>
      </c>
      <c r="S60" s="6">
        <v>0.271004276607478</v>
      </c>
      <c r="T60" s="6">
        <v>1.5838473430377999E-2</v>
      </c>
      <c r="U60" s="7">
        <v>8.7313605215204204E-2</v>
      </c>
      <c r="V60" s="7">
        <v>7.9689939559610498E-2</v>
      </c>
      <c r="W60" s="8">
        <v>0.97791381124714505</v>
      </c>
      <c r="X60" s="8">
        <v>2.1598389019224701E-2</v>
      </c>
      <c r="Y60" s="2">
        <v>83</v>
      </c>
      <c r="Z60" s="2">
        <f>VLOOKUP(E60,YieldData!T:U,2,FALSE)</f>
        <v>428.16431322207961</v>
      </c>
      <c r="AA60">
        <f t="shared" si="0"/>
        <v>0.74996470784512503</v>
      </c>
    </row>
    <row r="61" spans="1:27" x14ac:dyDescent="0.25">
      <c r="A61">
        <v>60</v>
      </c>
      <c r="B61">
        <v>610</v>
      </c>
      <c r="C61" t="s">
        <v>20</v>
      </c>
      <c r="D61">
        <v>25112</v>
      </c>
      <c r="E61">
        <f t="shared" si="1"/>
        <v>25112610</v>
      </c>
      <c r="F61">
        <f>VLOOKUP(E61,YieldData!D:F,2,FALSE)</f>
        <v>3</v>
      </c>
      <c r="G61">
        <f>VLOOKUP($E61,YieldData!$D:$F,3,FALSE)</f>
        <v>3</v>
      </c>
      <c r="H61">
        <v>10</v>
      </c>
      <c r="I61" t="s">
        <v>21</v>
      </c>
      <c r="J61" t="s">
        <v>22</v>
      </c>
      <c r="K61" s="2">
        <v>1779.52376996215</v>
      </c>
      <c r="L61" s="2">
        <v>7596317.7983795498</v>
      </c>
      <c r="M61" s="3">
        <v>1779.52376996215</v>
      </c>
      <c r="N61" s="3">
        <v>7596317.7983795498</v>
      </c>
      <c r="O61" s="4">
        <v>4.6642680501560098E-2</v>
      </c>
      <c r="P61" s="4">
        <v>4.8916801639928799E-3</v>
      </c>
      <c r="Q61" s="5">
        <v>-3.5801824470600298E-2</v>
      </c>
      <c r="R61" s="5">
        <v>6.6314776461204805E-4</v>
      </c>
      <c r="S61" s="6">
        <v>0.247712140026834</v>
      </c>
      <c r="T61" s="6">
        <v>9.4173984999022103E-3</v>
      </c>
      <c r="U61" s="7">
        <v>4.71574949558888E-2</v>
      </c>
      <c r="V61" s="7">
        <v>4.4933665625321098E-2</v>
      </c>
      <c r="W61" s="8">
        <v>0.95598338498055002</v>
      </c>
      <c r="X61" s="8">
        <v>4.2079152621694198E-2</v>
      </c>
      <c r="Y61" s="2">
        <v>85</v>
      </c>
      <c r="Z61" s="2">
        <f>VLOOKUP(E61,YieldData!T:U,2,FALSE)</f>
        <v>2054.942233632863</v>
      </c>
      <c r="AA61">
        <f t="shared" si="0"/>
        <v>0.57715333087188103</v>
      </c>
    </row>
    <row r="62" spans="1:27" hidden="1" x14ac:dyDescent="0.25">
      <c r="A62">
        <v>61</v>
      </c>
      <c r="B62">
        <v>701</v>
      </c>
      <c r="C62" t="s">
        <v>20</v>
      </c>
      <c r="D62" t="s">
        <v>100</v>
      </c>
      <c r="E62" t="e">
        <f t="shared" si="1"/>
        <v>#VALUE!</v>
      </c>
      <c r="H62">
        <v>10</v>
      </c>
      <c r="I62" t="s">
        <v>21</v>
      </c>
      <c r="J62" t="s">
        <v>22</v>
      </c>
      <c r="K62" s="2">
        <v>2373.0790298275401</v>
      </c>
      <c r="L62" s="2">
        <v>8317936.7596068503</v>
      </c>
      <c r="M62" s="3">
        <v>2373.0790298275401</v>
      </c>
      <c r="N62" s="3">
        <v>8317936.7596068503</v>
      </c>
      <c r="O62" s="4">
        <v>7.7800024448009195E-2</v>
      </c>
      <c r="P62" s="4">
        <v>7.2929059597009599E-3</v>
      </c>
      <c r="Q62" s="5">
        <v>-2.09604077164466E-2</v>
      </c>
      <c r="R62" s="5">
        <v>7.7091846432402605E-4</v>
      </c>
      <c r="S62" s="6">
        <v>0.27473605900509301</v>
      </c>
      <c r="T62" s="6">
        <v>1.42853602602276E-2</v>
      </c>
      <c r="U62" s="7">
        <v>8.05487119381922E-2</v>
      </c>
      <c r="V62" s="7">
        <v>7.4060616943275495E-2</v>
      </c>
      <c r="W62" s="8">
        <v>0.94938949281861795</v>
      </c>
      <c r="X62" s="8">
        <v>4.8049083744322603E-2</v>
      </c>
      <c r="Y62" s="2">
        <v>128</v>
      </c>
      <c r="Z62" s="2" t="e">
        <f>VLOOKUP(E62,YieldData!T:U,2,FALSE)</f>
        <v>#VALUE!</v>
      </c>
      <c r="AA62">
        <f t="shared" si="0"/>
        <v>0.913534329143595</v>
      </c>
    </row>
    <row r="63" spans="1:27" hidden="1" x14ac:dyDescent="0.25">
      <c r="A63">
        <v>62</v>
      </c>
      <c r="B63">
        <v>702</v>
      </c>
      <c r="C63" t="s">
        <v>20</v>
      </c>
      <c r="D63" t="s">
        <v>100</v>
      </c>
      <c r="E63" t="e">
        <f t="shared" si="1"/>
        <v>#VALUE!</v>
      </c>
      <c r="H63">
        <v>10</v>
      </c>
      <c r="I63" t="s">
        <v>21</v>
      </c>
      <c r="J63" t="s">
        <v>22</v>
      </c>
      <c r="K63" s="2">
        <v>2840.9388594585398</v>
      </c>
      <c r="L63" s="2">
        <v>14831689.7813728</v>
      </c>
      <c r="M63" s="3">
        <v>2840.9388594585398</v>
      </c>
      <c r="N63" s="3">
        <v>14831689.7813728</v>
      </c>
      <c r="O63" s="4">
        <v>6.76747067008171E-2</v>
      </c>
      <c r="P63" s="4">
        <v>4.7049733350629898E-3</v>
      </c>
      <c r="Q63" s="5">
        <v>-2.5628325984995801E-2</v>
      </c>
      <c r="R63" s="5">
        <v>6.1497415899981203E-4</v>
      </c>
      <c r="S63" s="6">
        <v>0.26462741078420998</v>
      </c>
      <c r="T63" s="6">
        <v>1.29864323092424E-2</v>
      </c>
      <c r="U63" s="7">
        <v>7.52630422576471E-2</v>
      </c>
      <c r="V63" s="7">
        <v>6.9598516727826396E-2</v>
      </c>
      <c r="W63" s="8">
        <v>0.971047749243238</v>
      </c>
      <c r="X63" s="8">
        <v>2.8114017932900401E-2</v>
      </c>
      <c r="Y63" s="2">
        <v>95</v>
      </c>
      <c r="Z63" s="2" t="e">
        <f>VLOOKUP(E63,YieldData!T:U,2,FALSE)</f>
        <v>#VALUE!</v>
      </c>
      <c r="AA63">
        <f t="shared" si="0"/>
        <v>0.913534329143595</v>
      </c>
    </row>
    <row r="64" spans="1:27" hidden="1" x14ac:dyDescent="0.25">
      <c r="A64">
        <v>63</v>
      </c>
      <c r="B64">
        <v>703</v>
      </c>
      <c r="C64" t="s">
        <v>20</v>
      </c>
      <c r="D64" t="s">
        <v>100</v>
      </c>
      <c r="E64" t="e">
        <f t="shared" si="1"/>
        <v>#VALUE!</v>
      </c>
      <c r="H64">
        <v>10</v>
      </c>
      <c r="I64" t="s">
        <v>21</v>
      </c>
      <c r="J64" t="s">
        <v>22</v>
      </c>
      <c r="K64" s="2">
        <v>2766.0332001817901</v>
      </c>
      <c r="L64" s="2">
        <v>8794298.9247716907</v>
      </c>
      <c r="M64" s="3">
        <v>2766.0332001817901</v>
      </c>
      <c r="N64" s="3">
        <v>8794298.9247716907</v>
      </c>
      <c r="O64" s="4">
        <v>6.3368684462352706E-2</v>
      </c>
      <c r="P64" s="4">
        <v>5.6529045569598899E-3</v>
      </c>
      <c r="Q64" s="5">
        <v>-2.71592558552478E-2</v>
      </c>
      <c r="R64" s="5">
        <v>6.6517367281463703E-4</v>
      </c>
      <c r="S64" s="6">
        <v>0.25641597167629099</v>
      </c>
      <c r="T64" s="6">
        <v>1.1862241809826601E-2</v>
      </c>
      <c r="U64" s="7">
        <v>6.2633051881263904E-2</v>
      </c>
      <c r="V64" s="7">
        <v>5.8710152693428198E-2</v>
      </c>
      <c r="W64" s="8">
        <v>0.91935136686517904</v>
      </c>
      <c r="X64" s="8">
        <v>7.4144431108370101E-2</v>
      </c>
      <c r="Y64" s="2">
        <v>42</v>
      </c>
      <c r="Z64" s="2" t="e">
        <f>VLOOKUP(E64,YieldData!T:U,2,FALSE)</f>
        <v>#VALUE!</v>
      </c>
      <c r="AA64">
        <f t="shared" si="0"/>
        <v>0.913534329143595</v>
      </c>
    </row>
    <row r="65" spans="1:27" hidden="1" x14ac:dyDescent="0.25">
      <c r="A65">
        <v>64</v>
      </c>
      <c r="B65">
        <v>704</v>
      </c>
      <c r="C65" t="s">
        <v>20</v>
      </c>
      <c r="D65" t="s">
        <v>100</v>
      </c>
      <c r="E65" t="e">
        <f t="shared" si="1"/>
        <v>#VALUE!</v>
      </c>
      <c r="H65">
        <v>10</v>
      </c>
      <c r="I65" t="s">
        <v>21</v>
      </c>
      <c r="J65" t="s">
        <v>22</v>
      </c>
      <c r="K65" s="2">
        <v>2883.65688093569</v>
      </c>
      <c r="L65" s="2">
        <v>5643630.8707517497</v>
      </c>
      <c r="M65" s="3">
        <v>2883.65688093569</v>
      </c>
      <c r="N65" s="3">
        <v>5643630.8707517497</v>
      </c>
      <c r="O65" s="4">
        <v>3.8689764456996199E-2</v>
      </c>
      <c r="P65" s="4">
        <v>3.93609779512332E-3</v>
      </c>
      <c r="Q65" s="5">
        <v>-3.8879682652091699E-2</v>
      </c>
      <c r="R65" s="5">
        <v>8.92215655578591E-4</v>
      </c>
      <c r="S65" s="6">
        <v>0.22936878835315699</v>
      </c>
      <c r="T65" s="6">
        <v>7.56984194646708E-3</v>
      </c>
      <c r="U65" s="7">
        <v>3.6339147047100701E-2</v>
      </c>
      <c r="V65" s="7">
        <v>3.5018613439000798E-2</v>
      </c>
      <c r="W65" s="8">
        <v>0.947016863893127</v>
      </c>
      <c r="X65" s="8">
        <v>5.0175923395152297E-2</v>
      </c>
      <c r="Y65" s="2">
        <v>78</v>
      </c>
      <c r="Z65" s="2" t="e">
        <f>VLOOKUP(E65,YieldData!T:U,2,FALSE)</f>
        <v>#VALUE!</v>
      </c>
      <c r="AA65">
        <f t="shared" si="0"/>
        <v>0.913534329143595</v>
      </c>
    </row>
    <row r="66" spans="1:27" hidden="1" x14ac:dyDescent="0.25">
      <c r="A66">
        <v>65</v>
      </c>
      <c r="B66">
        <v>705</v>
      </c>
      <c r="C66" t="s">
        <v>20</v>
      </c>
      <c r="D66" t="s">
        <v>100</v>
      </c>
      <c r="E66" t="e">
        <f t="shared" si="1"/>
        <v>#VALUE!</v>
      </c>
      <c r="H66">
        <v>10</v>
      </c>
      <c r="I66" t="s">
        <v>21</v>
      </c>
      <c r="J66" t="s">
        <v>22</v>
      </c>
      <c r="K66" s="2">
        <v>3485.8436495229198</v>
      </c>
      <c r="L66" s="2">
        <v>19614703.337304801</v>
      </c>
      <c r="M66" s="3">
        <v>3485.8436495229198</v>
      </c>
      <c r="N66" s="3">
        <v>19614703.337304801</v>
      </c>
      <c r="O66" s="4">
        <v>7.4145340631977599E-2</v>
      </c>
      <c r="P66" s="4">
        <v>9.6868455053690794E-3</v>
      </c>
      <c r="Q66" s="5">
        <v>-2.9554412051958801E-2</v>
      </c>
      <c r="R66" s="5">
        <v>2.2845915945201201E-3</v>
      </c>
      <c r="S66" s="6">
        <v>0.27774775666970503</v>
      </c>
      <c r="T66" s="6">
        <v>2.0428980173484299E-2</v>
      </c>
      <c r="U66" s="7">
        <v>0.111649158433241</v>
      </c>
      <c r="V66" s="7">
        <v>9.9183623854449607E-2</v>
      </c>
      <c r="W66" s="8">
        <v>0.97052543873353103</v>
      </c>
      <c r="X66" s="8">
        <v>2.86058115046097E-2</v>
      </c>
      <c r="Y66" s="2">
        <v>74</v>
      </c>
      <c r="Z66" s="2" t="e">
        <f>VLOOKUP(E66,YieldData!T:U,2,FALSE)</f>
        <v>#VALUE!</v>
      </c>
      <c r="AA66">
        <f t="shared" ref="AA66:AA129" si="2">_xlfn.MAXIFS(U:U,E:E,E66)</f>
        <v>0.913534329143595</v>
      </c>
    </row>
    <row r="67" spans="1:27" hidden="1" x14ac:dyDescent="0.25">
      <c r="A67">
        <v>66</v>
      </c>
      <c r="B67">
        <v>706</v>
      </c>
      <c r="C67" t="s">
        <v>20</v>
      </c>
      <c r="D67" t="s">
        <v>100</v>
      </c>
      <c r="E67" t="e">
        <f t="shared" ref="E67:E130" si="3">D67*1000+B67</f>
        <v>#VALUE!</v>
      </c>
      <c r="H67">
        <v>10</v>
      </c>
      <c r="I67" t="s">
        <v>21</v>
      </c>
      <c r="J67" t="s">
        <v>22</v>
      </c>
      <c r="K67" s="2">
        <v>2777.9800803375701</v>
      </c>
      <c r="L67" s="2">
        <v>16732731.415343899</v>
      </c>
      <c r="M67" s="3">
        <v>2777.9800803375701</v>
      </c>
      <c r="N67" s="3">
        <v>16732731.415343899</v>
      </c>
      <c r="O67" s="4">
        <v>7.3804878988910499E-2</v>
      </c>
      <c r="P67" s="4">
        <v>7.8158735985876908E-3</v>
      </c>
      <c r="Q67" s="5">
        <v>-2.89304024571998E-2</v>
      </c>
      <c r="R67" s="5">
        <v>2.0902093215967601E-3</v>
      </c>
      <c r="S67" s="6">
        <v>0.271840179947266</v>
      </c>
      <c r="T67" s="6">
        <v>1.6227610823668401E-2</v>
      </c>
      <c r="U67" s="7">
        <v>8.8485370705931501E-2</v>
      </c>
      <c r="V67" s="7">
        <v>8.0655709876986198E-2</v>
      </c>
      <c r="W67" s="8">
        <v>0.93759424219769605</v>
      </c>
      <c r="X67" s="8">
        <v>5.8511279195494301E-2</v>
      </c>
      <c r="Y67" s="2">
        <v>68</v>
      </c>
      <c r="Z67" s="2" t="e">
        <f>VLOOKUP(E67,YieldData!T:U,2,FALSE)</f>
        <v>#VALUE!</v>
      </c>
      <c r="AA67">
        <f t="shared" si="2"/>
        <v>0.913534329143595</v>
      </c>
    </row>
    <row r="68" spans="1:27" hidden="1" x14ac:dyDescent="0.25">
      <c r="A68">
        <v>67</v>
      </c>
      <c r="B68">
        <v>707</v>
      </c>
      <c r="C68" t="s">
        <v>20</v>
      </c>
      <c r="D68" t="s">
        <v>100</v>
      </c>
      <c r="E68" t="e">
        <f t="shared" si="3"/>
        <v>#VALUE!</v>
      </c>
      <c r="H68">
        <v>10</v>
      </c>
      <c r="I68" t="s">
        <v>21</v>
      </c>
      <c r="J68" t="s">
        <v>22</v>
      </c>
      <c r="K68" s="2">
        <v>2113.49639688858</v>
      </c>
      <c r="L68" s="2">
        <v>8914507.8412615191</v>
      </c>
      <c r="M68" s="3">
        <v>2113.49639688858</v>
      </c>
      <c r="N68" s="3">
        <v>8914507.8412615191</v>
      </c>
      <c r="O68" s="4">
        <v>5.7192054464156497E-2</v>
      </c>
      <c r="P68" s="4">
        <v>2.9521407196312298E-3</v>
      </c>
      <c r="Q68" s="5">
        <v>-3.2505776942070401E-2</v>
      </c>
      <c r="R68" s="5">
        <v>4.5312051039381299E-4</v>
      </c>
      <c r="S68" s="6">
        <v>0.24841561953670999</v>
      </c>
      <c r="T68" s="6">
        <v>7.3203697528720002E-3</v>
      </c>
      <c r="U68" s="7">
        <v>3.9946408595436897E-2</v>
      </c>
      <c r="V68" s="7">
        <v>3.8350693035776103E-2</v>
      </c>
      <c r="W68" s="8">
        <v>0.95237599677389995</v>
      </c>
      <c r="X68" s="8">
        <v>4.5355957542808002E-2</v>
      </c>
      <c r="Y68" s="2">
        <v>88</v>
      </c>
      <c r="Z68" s="2" t="e">
        <f>VLOOKUP(E68,YieldData!T:U,2,FALSE)</f>
        <v>#VALUE!</v>
      </c>
      <c r="AA68">
        <f t="shared" si="2"/>
        <v>0.913534329143595</v>
      </c>
    </row>
    <row r="69" spans="1:27" hidden="1" x14ac:dyDescent="0.25">
      <c r="A69">
        <v>68</v>
      </c>
      <c r="B69">
        <v>708</v>
      </c>
      <c r="C69" t="s">
        <v>20</v>
      </c>
      <c r="D69" t="s">
        <v>100</v>
      </c>
      <c r="E69" t="e">
        <f t="shared" si="3"/>
        <v>#VALUE!</v>
      </c>
      <c r="H69">
        <v>10</v>
      </c>
      <c r="I69" t="s">
        <v>21</v>
      </c>
      <c r="J69" t="s">
        <v>22</v>
      </c>
      <c r="K69" s="2">
        <v>1917.7402198222801</v>
      </c>
      <c r="L69" s="2">
        <v>10882740.7465383</v>
      </c>
      <c r="M69" s="3">
        <v>1917.7402198222801</v>
      </c>
      <c r="N69" s="3">
        <v>10882740.7465383</v>
      </c>
      <c r="O69" s="4">
        <v>4.3879798275962598E-2</v>
      </c>
      <c r="P69" s="4">
        <v>3.3289322872468502E-3</v>
      </c>
      <c r="Q69" s="5">
        <v>-3.4356484418971801E-2</v>
      </c>
      <c r="R69" s="5">
        <v>4.0939046515306801E-4</v>
      </c>
      <c r="S69" s="6">
        <v>0.244724093378624</v>
      </c>
      <c r="T69" s="6">
        <v>8.4437114018866E-3</v>
      </c>
      <c r="U69" s="7">
        <v>4.5052802793823898E-2</v>
      </c>
      <c r="V69" s="7">
        <v>4.3023047754200801E-2</v>
      </c>
      <c r="W69" s="8">
        <v>0.91044133476856803</v>
      </c>
      <c r="X69" s="8">
        <v>8.1537910713338699E-2</v>
      </c>
      <c r="Y69" s="2">
        <v>59</v>
      </c>
      <c r="Z69" s="2" t="e">
        <f>VLOOKUP(E69,YieldData!T:U,2,FALSE)</f>
        <v>#VALUE!</v>
      </c>
      <c r="AA69">
        <f t="shared" si="2"/>
        <v>0.913534329143595</v>
      </c>
    </row>
    <row r="70" spans="1:27" x14ac:dyDescent="0.25">
      <c r="A70">
        <v>69</v>
      </c>
      <c r="B70">
        <v>709</v>
      </c>
      <c r="C70" t="s">
        <v>20</v>
      </c>
      <c r="D70">
        <v>25112</v>
      </c>
      <c r="E70">
        <f t="shared" si="3"/>
        <v>25112709</v>
      </c>
      <c r="F70">
        <f>VLOOKUP(E70,YieldData!D:F,2,FALSE)</f>
        <v>2</v>
      </c>
      <c r="G70">
        <f>VLOOKUP($E70,YieldData!$D:$F,3,FALSE)</f>
        <v>3</v>
      </c>
      <c r="H70">
        <v>10</v>
      </c>
      <c r="I70" t="s">
        <v>21</v>
      </c>
      <c r="J70" t="s">
        <v>22</v>
      </c>
      <c r="K70" s="2">
        <v>1754.9337436231699</v>
      </c>
      <c r="L70" s="2">
        <v>6193279.2357550599</v>
      </c>
      <c r="M70" s="3">
        <v>1754.9337436231699</v>
      </c>
      <c r="N70" s="3">
        <v>6193279.2357550599</v>
      </c>
      <c r="O70" s="4">
        <v>6.1878372777596599E-2</v>
      </c>
      <c r="P70" s="4">
        <v>5.6882377026249804E-3</v>
      </c>
      <c r="Q70" s="5">
        <v>-2.7566532649725198E-2</v>
      </c>
      <c r="R70" s="5">
        <v>4.7835655538917002E-4</v>
      </c>
      <c r="S70" s="6">
        <v>0.26485751356916298</v>
      </c>
      <c r="T70" s="6">
        <v>1.0930629847444801E-2</v>
      </c>
      <c r="U70" s="7">
        <v>6.4413832867474693E-2</v>
      </c>
      <c r="V70" s="7">
        <v>6.0264691002897698E-2</v>
      </c>
      <c r="W70" s="8">
        <v>0.96782441934796504</v>
      </c>
      <c r="X70" s="8">
        <v>3.1140312661773799E-2</v>
      </c>
      <c r="Y70" s="2">
        <v>103</v>
      </c>
      <c r="Z70" s="2">
        <f>VLOOKUP(E70,YieldData!T:U,2,FALSE)</f>
        <v>1822.0876123234914</v>
      </c>
      <c r="AA70">
        <f t="shared" si="2"/>
        <v>0.67412448923316004</v>
      </c>
    </row>
    <row r="71" spans="1:27" x14ac:dyDescent="0.25">
      <c r="A71">
        <v>70</v>
      </c>
      <c r="B71">
        <v>710</v>
      </c>
      <c r="C71" t="s">
        <v>20</v>
      </c>
      <c r="D71">
        <v>25112</v>
      </c>
      <c r="E71">
        <f t="shared" si="3"/>
        <v>25112710</v>
      </c>
      <c r="F71">
        <f>VLOOKUP(E71,YieldData!D:F,2,FALSE)</f>
        <v>1</v>
      </c>
      <c r="G71">
        <f>VLOOKUP($E71,YieldData!$D:$F,3,FALSE)</f>
        <v>3</v>
      </c>
      <c r="H71">
        <v>10</v>
      </c>
      <c r="I71" t="s">
        <v>21</v>
      </c>
      <c r="J71" t="s">
        <v>22</v>
      </c>
      <c r="K71" s="2">
        <v>2316.20241614517</v>
      </c>
      <c r="L71" s="2">
        <v>13581781.230613399</v>
      </c>
      <c r="M71" s="3">
        <v>2316.20241614517</v>
      </c>
      <c r="N71" s="3">
        <v>13581781.230613399</v>
      </c>
      <c r="O71" s="4">
        <v>5.9900902096913899E-2</v>
      </c>
      <c r="P71" s="4">
        <v>6.7075584076791202E-3</v>
      </c>
      <c r="Q71" s="5">
        <v>-2.62039728514478E-2</v>
      </c>
      <c r="R71" s="5">
        <v>6.5690442132716699E-4</v>
      </c>
      <c r="S71" s="6">
        <v>0.26799228691635701</v>
      </c>
      <c r="T71" s="6">
        <v>1.42482960111334E-2</v>
      </c>
      <c r="U71" s="7">
        <v>8.0969017545206703E-2</v>
      </c>
      <c r="V71" s="7">
        <v>7.4413035742939102E-2</v>
      </c>
      <c r="W71" s="8">
        <v>0.96534602784602797</v>
      </c>
      <c r="X71" s="8">
        <v>3.3453074367904699E-2</v>
      </c>
      <c r="Y71" s="2">
        <v>74</v>
      </c>
      <c r="Z71" s="2">
        <f>VLOOKUP(E71,YieldData!T:U,2,FALSE)</f>
        <v>1640.641848523748</v>
      </c>
      <c r="AA71">
        <f t="shared" si="2"/>
        <v>0.55894961800801102</v>
      </c>
    </row>
    <row r="72" spans="1:27" x14ac:dyDescent="0.25">
      <c r="A72">
        <v>71</v>
      </c>
      <c r="B72">
        <v>801</v>
      </c>
      <c r="C72" t="s">
        <v>20</v>
      </c>
      <c r="D72">
        <v>25113</v>
      </c>
      <c r="E72">
        <f t="shared" si="3"/>
        <v>25113801</v>
      </c>
      <c r="F72">
        <f>VLOOKUP(E72,YieldData!D:F,2,FALSE)</f>
        <v>1</v>
      </c>
      <c r="G72">
        <f>VLOOKUP($E72,YieldData!$D:$F,3,FALSE)</f>
        <v>1</v>
      </c>
      <c r="H72">
        <v>10</v>
      </c>
      <c r="I72" t="s">
        <v>21</v>
      </c>
      <c r="J72" t="s">
        <v>22</v>
      </c>
      <c r="K72" s="2">
        <v>2681.8926826266202</v>
      </c>
      <c r="L72" s="2">
        <v>19051464.9170692</v>
      </c>
      <c r="M72" s="3">
        <v>2681.8926826266202</v>
      </c>
      <c r="N72" s="3">
        <v>19051464.9170692</v>
      </c>
      <c r="O72" s="4">
        <v>6.4608802255350206E-2</v>
      </c>
      <c r="P72" s="4">
        <v>5.5113968688221601E-3</v>
      </c>
      <c r="Q72" s="5">
        <v>-2.3467574044682499E-2</v>
      </c>
      <c r="R72" s="5">
        <v>7.7101442143898699E-4</v>
      </c>
      <c r="S72" s="6">
        <v>0.26704232250062598</v>
      </c>
      <c r="T72" s="6">
        <v>1.42177593086018E-2</v>
      </c>
      <c r="U72" s="7">
        <v>8.1321927503231001E-2</v>
      </c>
      <c r="V72" s="7">
        <v>7.4708671610531893E-2</v>
      </c>
      <c r="W72" s="8">
        <v>0.93922461538461499</v>
      </c>
      <c r="X72" s="8">
        <v>5.7081737240305297E-2</v>
      </c>
      <c r="Y72" s="2">
        <v>100</v>
      </c>
      <c r="Z72" s="2">
        <f>VLOOKUP(E72,YieldData!T:U,2,FALSE)</f>
        <v>2262.7551347881895</v>
      </c>
      <c r="AA72">
        <f t="shared" si="2"/>
        <v>0.68267076923076897</v>
      </c>
    </row>
    <row r="73" spans="1:27" x14ac:dyDescent="0.25">
      <c r="A73">
        <v>72</v>
      </c>
      <c r="B73">
        <v>802</v>
      </c>
      <c r="C73" t="s">
        <v>20</v>
      </c>
      <c r="D73">
        <v>25113</v>
      </c>
      <c r="E73">
        <f t="shared" si="3"/>
        <v>25113802</v>
      </c>
      <c r="F73">
        <f>VLOOKUP(E73,YieldData!D:F,2,FALSE)</f>
        <v>2</v>
      </c>
      <c r="G73">
        <f>VLOOKUP($E73,YieldData!$D:$F,3,FALSE)</f>
        <v>1</v>
      </c>
      <c r="H73">
        <v>10</v>
      </c>
      <c r="I73" t="s">
        <v>21</v>
      </c>
      <c r="J73" t="s">
        <v>22</v>
      </c>
      <c r="K73" s="2">
        <v>2219.81328944917</v>
      </c>
      <c r="L73" s="2">
        <v>7797461.1734977895</v>
      </c>
      <c r="M73" s="3">
        <v>2219.81328944917</v>
      </c>
      <c r="N73" s="3">
        <v>7797461.1734977895</v>
      </c>
      <c r="O73" s="4">
        <v>5.0840807658154102E-2</v>
      </c>
      <c r="P73" s="4">
        <v>5.7893514488042896E-3</v>
      </c>
      <c r="Q73" s="5">
        <v>-2.9410708230627799E-2</v>
      </c>
      <c r="R73" s="5">
        <v>5.8916164436575698E-4</v>
      </c>
      <c r="S73" s="6">
        <v>0.243523795341726</v>
      </c>
      <c r="T73" s="6">
        <v>1.2396264151503E-2</v>
      </c>
      <c r="U73" s="7">
        <v>5.7616593181394803E-2</v>
      </c>
      <c r="V73" s="7">
        <v>5.42969213715798E-2</v>
      </c>
      <c r="W73" s="8">
        <v>0.91913207640907202</v>
      </c>
      <c r="X73" s="8">
        <v>7.4328302524982001E-2</v>
      </c>
      <c r="Y73" s="2">
        <v>67</v>
      </c>
      <c r="Z73" s="2">
        <f>VLOOKUP(E73,YieldData!T:U,2,FALSE)</f>
        <v>1414.4736842105262</v>
      </c>
      <c r="AA73">
        <f t="shared" si="2"/>
        <v>0.68109840157979096</v>
      </c>
    </row>
    <row r="74" spans="1:27" x14ac:dyDescent="0.25">
      <c r="A74">
        <v>73</v>
      </c>
      <c r="B74">
        <v>803</v>
      </c>
      <c r="C74" t="s">
        <v>20</v>
      </c>
      <c r="D74">
        <v>25113</v>
      </c>
      <c r="E74">
        <f t="shared" si="3"/>
        <v>25113803</v>
      </c>
      <c r="F74">
        <f>VLOOKUP(E74,YieldData!D:F,2,FALSE)</f>
        <v>3</v>
      </c>
      <c r="G74">
        <f>VLOOKUP($E74,YieldData!$D:$F,3,FALSE)</f>
        <v>1</v>
      </c>
      <c r="H74">
        <v>10</v>
      </c>
      <c r="I74" t="s">
        <v>21</v>
      </c>
      <c r="J74" t="s">
        <v>22</v>
      </c>
      <c r="K74" s="2">
        <v>3158.4921630094</v>
      </c>
      <c r="L74" s="2">
        <v>17695590.330103502</v>
      </c>
      <c r="M74" s="3">
        <v>3158.4921630094</v>
      </c>
      <c r="N74" s="3">
        <v>17695590.330103502</v>
      </c>
      <c r="O74" s="4">
        <v>7.4770483695116005E-2</v>
      </c>
      <c r="P74" s="4">
        <v>5.7876494984543496E-3</v>
      </c>
      <c r="Q74" s="5">
        <v>-2.2711492079109E-2</v>
      </c>
      <c r="R74" s="5">
        <v>8.6017464314410298E-4</v>
      </c>
      <c r="S74" s="6">
        <v>0.27153758267579198</v>
      </c>
      <c r="T74" s="6">
        <v>1.5017219607166E-2</v>
      </c>
      <c r="U74" s="7">
        <v>8.6522904237031004E-2</v>
      </c>
      <c r="V74" s="7">
        <v>7.90366912795024E-2</v>
      </c>
      <c r="W74" s="8">
        <v>0.96840122856023403</v>
      </c>
      <c r="X74" s="8">
        <v>3.0600289083272302E-2</v>
      </c>
      <c r="Y74" s="2">
        <v>95</v>
      </c>
      <c r="Z74" s="2">
        <f>VLOOKUP(E74,YieldData!T:U,2,FALSE)</f>
        <v>1660.9900513478819</v>
      </c>
      <c r="AA74">
        <f t="shared" si="2"/>
        <v>0.78146565888925401</v>
      </c>
    </row>
    <row r="75" spans="1:27" x14ac:dyDescent="0.25">
      <c r="A75">
        <v>74</v>
      </c>
      <c r="B75">
        <v>804</v>
      </c>
      <c r="C75" t="s">
        <v>20</v>
      </c>
      <c r="D75">
        <v>25113</v>
      </c>
      <c r="E75">
        <f t="shared" si="3"/>
        <v>25113804</v>
      </c>
      <c r="F75">
        <f>VLOOKUP(E75,YieldData!D:F,2,FALSE)</f>
        <v>3</v>
      </c>
      <c r="G75">
        <f>VLOOKUP($E75,YieldData!$D:$F,3,FALSE)</f>
        <v>2</v>
      </c>
      <c r="H75">
        <v>10</v>
      </c>
      <c r="I75" t="s">
        <v>21</v>
      </c>
      <c r="J75" t="s">
        <v>22</v>
      </c>
      <c r="K75" s="2">
        <v>2949.4429451894998</v>
      </c>
      <c r="L75" s="2">
        <v>10218550.5124378</v>
      </c>
      <c r="M75" s="3">
        <v>2949.4429451894998</v>
      </c>
      <c r="N75" s="3">
        <v>10218550.5124378</v>
      </c>
      <c r="O75" s="4">
        <v>6.5574350881807006E-2</v>
      </c>
      <c r="P75" s="4">
        <v>6.1972886940976002E-3</v>
      </c>
      <c r="Q75" s="5">
        <v>-3.01413403300833E-2</v>
      </c>
      <c r="R75" s="5">
        <v>2.0547711076085102E-3</v>
      </c>
      <c r="S75" s="6">
        <v>0.25611915036565902</v>
      </c>
      <c r="T75" s="6">
        <v>1.2094300338159799E-2</v>
      </c>
      <c r="U75" s="7">
        <v>6.4679963212584596E-2</v>
      </c>
      <c r="V75" s="7">
        <v>6.0496465571463202E-2</v>
      </c>
      <c r="W75" s="8">
        <v>0.96854922848827596</v>
      </c>
      <c r="X75" s="8">
        <v>3.0461620483051999E-2</v>
      </c>
      <c r="Y75" s="2">
        <v>85</v>
      </c>
      <c r="Z75" s="2">
        <f>VLOOKUP(E75,YieldData!T:U,2,FALSE)</f>
        <v>1550.2759948652119</v>
      </c>
      <c r="AA75">
        <f t="shared" si="2"/>
        <v>0.78450725493156903</v>
      </c>
    </row>
    <row r="76" spans="1:27" x14ac:dyDescent="0.25">
      <c r="A76">
        <v>75</v>
      </c>
      <c r="B76">
        <v>805</v>
      </c>
      <c r="C76" t="s">
        <v>20</v>
      </c>
      <c r="D76">
        <v>25113</v>
      </c>
      <c r="E76">
        <f t="shared" si="3"/>
        <v>25113805</v>
      </c>
      <c r="F76">
        <f>VLOOKUP(E76,YieldData!D:F,2,FALSE)</f>
        <v>2</v>
      </c>
      <c r="G76">
        <f>VLOOKUP($E76,YieldData!$D:$F,3,FALSE)</f>
        <v>2</v>
      </c>
      <c r="H76">
        <v>10</v>
      </c>
      <c r="I76" t="s">
        <v>21</v>
      </c>
      <c r="J76" t="s">
        <v>22</v>
      </c>
      <c r="K76" s="2">
        <v>3301.47733021459</v>
      </c>
      <c r="L76" s="2">
        <v>18767077.396791901</v>
      </c>
      <c r="M76" s="3">
        <v>3301.47733021459</v>
      </c>
      <c r="N76" s="3">
        <v>18767077.396791901</v>
      </c>
      <c r="O76" s="4">
        <v>9.2948767938216201E-2</v>
      </c>
      <c r="P76" s="4">
        <v>7.7568314437291598E-3</v>
      </c>
      <c r="Q76" s="5">
        <v>-2.0408470330782601E-2</v>
      </c>
      <c r="R76" s="5">
        <v>3.0049473063884298E-3</v>
      </c>
      <c r="S76" s="6">
        <v>0.28772333253990801</v>
      </c>
      <c r="T76" s="6">
        <v>1.6170996841330498E-2</v>
      </c>
      <c r="U76" s="7">
        <v>0.100837707727038</v>
      </c>
      <c r="V76" s="7">
        <v>9.0669464427389795E-2</v>
      </c>
      <c r="W76" s="8">
        <v>0.91805597106257997</v>
      </c>
      <c r="X76" s="8">
        <v>7.5229205059030399E-2</v>
      </c>
      <c r="Y76" s="2">
        <v>71</v>
      </c>
      <c r="Z76" s="2">
        <f>VLOOKUP(E76,YieldData!T:U,2,FALSE)</f>
        <v>1315.7814505776639</v>
      </c>
      <c r="AA76">
        <f t="shared" si="2"/>
        <v>0.77694368514816503</v>
      </c>
    </row>
    <row r="77" spans="1:27" x14ac:dyDescent="0.25">
      <c r="A77">
        <v>76</v>
      </c>
      <c r="B77">
        <v>806</v>
      </c>
      <c r="C77" t="s">
        <v>20</v>
      </c>
      <c r="D77">
        <v>25113</v>
      </c>
      <c r="E77">
        <f t="shared" si="3"/>
        <v>25113806</v>
      </c>
      <c r="F77">
        <f>VLOOKUP(E77,YieldData!D:F,2,FALSE)</f>
        <v>1</v>
      </c>
      <c r="G77">
        <f>VLOOKUP($E77,YieldData!$D:$F,3,FALSE)</f>
        <v>2</v>
      </c>
      <c r="H77">
        <v>10</v>
      </c>
      <c r="I77" t="s">
        <v>21</v>
      </c>
      <c r="J77" t="s">
        <v>22</v>
      </c>
      <c r="K77" s="2">
        <v>2494.44458011808</v>
      </c>
      <c r="L77" s="2">
        <v>9216668.4122383893</v>
      </c>
      <c r="M77" s="3">
        <v>2494.44458011808</v>
      </c>
      <c r="N77" s="3">
        <v>9216668.4122383893</v>
      </c>
      <c r="O77" s="4">
        <v>9.3576727952134703E-2</v>
      </c>
      <c r="P77" s="4">
        <v>8.4414460715117705E-3</v>
      </c>
      <c r="Q77" s="5">
        <v>-2.2181133977687499E-2</v>
      </c>
      <c r="R77" s="5">
        <v>2.5105319956017099E-3</v>
      </c>
      <c r="S77" s="6">
        <v>0.28071501844678298</v>
      </c>
      <c r="T77" s="6">
        <v>1.49930523166608E-2</v>
      </c>
      <c r="U77" s="7">
        <v>8.3284029255151798E-2</v>
      </c>
      <c r="V77" s="7">
        <v>7.6347799726164997E-2</v>
      </c>
      <c r="W77" s="8">
        <v>0.93197552931698602</v>
      </c>
      <c r="X77" s="8">
        <v>6.3397142071223406E-2</v>
      </c>
      <c r="Y77" s="2">
        <v>86</v>
      </c>
      <c r="Z77" s="2">
        <f>VLOOKUP(E77,YieldData!T:U,2,FALSE)</f>
        <v>1287.3668164313224</v>
      </c>
      <c r="AA77">
        <f t="shared" si="2"/>
        <v>0.81061416648833695</v>
      </c>
    </row>
    <row r="78" spans="1:27" x14ac:dyDescent="0.25">
      <c r="A78">
        <v>77</v>
      </c>
      <c r="B78">
        <v>807</v>
      </c>
      <c r="C78" t="s">
        <v>20</v>
      </c>
      <c r="D78">
        <v>25113</v>
      </c>
      <c r="E78">
        <f t="shared" si="3"/>
        <v>25113807</v>
      </c>
      <c r="F78">
        <f>VLOOKUP(E78,YieldData!D:F,2,FALSE)</f>
        <v>1</v>
      </c>
      <c r="G78">
        <f>VLOOKUP($E78,YieldData!$D:$F,3,FALSE)</f>
        <v>3</v>
      </c>
      <c r="H78">
        <v>10</v>
      </c>
      <c r="I78" t="s">
        <v>21</v>
      </c>
      <c r="J78" t="s">
        <v>22</v>
      </c>
      <c r="K78" s="2">
        <v>2998.2389971385701</v>
      </c>
      <c r="L78" s="2">
        <v>22532987.649231199</v>
      </c>
      <c r="M78" s="3">
        <v>2998.2389971385701</v>
      </c>
      <c r="N78" s="3">
        <v>22532987.649231199</v>
      </c>
      <c r="O78" s="4">
        <v>7.2700448822801703E-2</v>
      </c>
      <c r="P78" s="4">
        <v>4.4579709667258698E-3</v>
      </c>
      <c r="Q78" s="5">
        <v>-2.9333138782778899E-2</v>
      </c>
      <c r="R78" s="5">
        <v>5.5507904162607096E-4</v>
      </c>
      <c r="S78" s="6">
        <v>0.26843117121391802</v>
      </c>
      <c r="T78" s="6">
        <v>1.30544765532364E-2</v>
      </c>
      <c r="U78" s="7">
        <v>7.6911642656294493E-2</v>
      </c>
      <c r="V78" s="7">
        <v>7.0996241880172006E-2</v>
      </c>
      <c r="W78" s="8">
        <v>0.94412854151955505</v>
      </c>
      <c r="X78" s="8">
        <v>5.2749838607662698E-2</v>
      </c>
      <c r="Y78" s="2">
        <v>79</v>
      </c>
      <c r="Z78" s="2">
        <f>VLOOKUP(E78,YieldData!T:U,2,FALSE)</f>
        <v>1015.1347881899873</v>
      </c>
      <c r="AA78">
        <f t="shared" si="2"/>
        <v>0.75823454358516995</v>
      </c>
    </row>
    <row r="79" spans="1:27" x14ac:dyDescent="0.25">
      <c r="A79">
        <v>78</v>
      </c>
      <c r="B79">
        <v>808</v>
      </c>
      <c r="C79" t="s">
        <v>20</v>
      </c>
      <c r="D79">
        <v>25113</v>
      </c>
      <c r="E79">
        <f t="shared" si="3"/>
        <v>25113808</v>
      </c>
      <c r="F79">
        <f>VLOOKUP(E79,YieldData!D:F,2,FALSE)</f>
        <v>2</v>
      </c>
      <c r="G79">
        <f>VLOOKUP($E79,YieldData!$D:$F,3,FALSE)</f>
        <v>3</v>
      </c>
      <c r="H79">
        <v>10</v>
      </c>
      <c r="I79" t="s">
        <v>21</v>
      </c>
      <c r="J79" t="s">
        <v>22</v>
      </c>
      <c r="K79" s="2">
        <v>2257.9438657753399</v>
      </c>
      <c r="L79" s="2">
        <v>10565508.332697401</v>
      </c>
      <c r="M79" s="3">
        <v>2257.9438657753399</v>
      </c>
      <c r="N79" s="3">
        <v>10565508.332697401</v>
      </c>
      <c r="O79" s="4">
        <v>4.0791278209400102E-2</v>
      </c>
      <c r="P79" s="4">
        <v>2.9019320436812399E-3</v>
      </c>
      <c r="Q79" s="5">
        <v>-3.7231830947645303E-2</v>
      </c>
      <c r="R79" s="5">
        <v>4.3890799773691098E-4</v>
      </c>
      <c r="S79" s="6">
        <v>0.238718657994134</v>
      </c>
      <c r="T79" s="6">
        <v>7.4115485946820697E-3</v>
      </c>
      <c r="U79" s="7">
        <v>3.9535523373315298E-2</v>
      </c>
      <c r="V79" s="7">
        <v>3.7972465764982498E-2</v>
      </c>
      <c r="W79" s="8">
        <v>0.899123279151267</v>
      </c>
      <c r="X79" s="8">
        <v>9.0700608039585698E-2</v>
      </c>
      <c r="Y79" s="2">
        <v>59</v>
      </c>
      <c r="Z79" s="2">
        <f>VLOOKUP(E79,YieldData!T:U,2,FALSE)</f>
        <v>1853.831835686778</v>
      </c>
      <c r="AA79">
        <f t="shared" si="2"/>
        <v>0.55782939431633305</v>
      </c>
    </row>
    <row r="80" spans="1:27" x14ac:dyDescent="0.25">
      <c r="A80">
        <v>79</v>
      </c>
      <c r="B80">
        <v>809</v>
      </c>
      <c r="C80" t="s">
        <v>20</v>
      </c>
      <c r="D80">
        <v>25113</v>
      </c>
      <c r="E80">
        <f t="shared" si="3"/>
        <v>25113809</v>
      </c>
      <c r="F80">
        <f>VLOOKUP(E80,YieldData!D:F,2,FALSE)</f>
        <v>3</v>
      </c>
      <c r="G80">
        <f>VLOOKUP($E80,YieldData!$D:$F,3,FALSE)</f>
        <v>3</v>
      </c>
      <c r="H80">
        <v>10</v>
      </c>
      <c r="I80" t="s">
        <v>21</v>
      </c>
      <c r="J80" t="s">
        <v>22</v>
      </c>
      <c r="K80" s="2">
        <v>2337.5005160738101</v>
      </c>
      <c r="L80" s="2">
        <v>15125318.5357536</v>
      </c>
      <c r="M80" s="3">
        <v>2337.5005160738101</v>
      </c>
      <c r="N80" s="3">
        <v>15125318.5357536</v>
      </c>
      <c r="O80" s="4">
        <v>5.58145264774123E-2</v>
      </c>
      <c r="P80" s="4">
        <v>5.3414534727164002E-3</v>
      </c>
      <c r="Q80" s="5">
        <v>-2.8098080663931099E-2</v>
      </c>
      <c r="R80" s="5">
        <v>5.7900577022559105E-4</v>
      </c>
      <c r="S80" s="6">
        <v>0.26519681141558799</v>
      </c>
      <c r="T80" s="6">
        <v>1.2596381097289701E-2</v>
      </c>
      <c r="U80" s="7">
        <v>7.3634921833698394E-2</v>
      </c>
      <c r="V80" s="7">
        <v>6.8212820120301207E-2</v>
      </c>
      <c r="W80" s="8">
        <v>0.93959038783499704</v>
      </c>
      <c r="X80" s="8">
        <v>5.6760290923091303E-2</v>
      </c>
      <c r="Y80" s="2">
        <v>70</v>
      </c>
      <c r="Z80" s="2">
        <f>VLOOKUP(E80,YieldData!T:U,2,FALSE)</f>
        <v>2012.4261874197691</v>
      </c>
      <c r="AA80">
        <f t="shared" si="2"/>
        <v>0.68753068546610396</v>
      </c>
    </row>
    <row r="81" spans="1:27" x14ac:dyDescent="0.25">
      <c r="A81">
        <v>80</v>
      </c>
      <c r="B81">
        <v>901</v>
      </c>
      <c r="C81" t="s">
        <v>20</v>
      </c>
      <c r="D81">
        <v>25114</v>
      </c>
      <c r="E81">
        <f t="shared" si="3"/>
        <v>25114901</v>
      </c>
      <c r="F81">
        <f>VLOOKUP(E81,YieldData!D:F,2,FALSE)</f>
        <v>1</v>
      </c>
      <c r="G81">
        <f>VLOOKUP($E81,YieldData!$D:$F,3,FALSE)</f>
        <v>1</v>
      </c>
      <c r="H81">
        <v>10</v>
      </c>
      <c r="I81" t="s">
        <v>21</v>
      </c>
      <c r="J81" t="s">
        <v>22</v>
      </c>
      <c r="K81" s="2">
        <v>2675.6927925557402</v>
      </c>
      <c r="L81" s="2">
        <v>17633810.1088694</v>
      </c>
      <c r="M81" s="3">
        <v>2675.6927925557402</v>
      </c>
      <c r="N81" s="3">
        <v>17633810.1088694</v>
      </c>
      <c r="O81" s="4">
        <v>4.2057301356214001E-2</v>
      </c>
      <c r="P81" s="4">
        <v>4.9153921217911503E-3</v>
      </c>
      <c r="Q81" s="5">
        <v>-2.9031036357098802E-2</v>
      </c>
      <c r="R81" s="5">
        <v>7.5611637709309702E-4</v>
      </c>
      <c r="S81" s="6">
        <v>0.24232695574672</v>
      </c>
      <c r="T81" s="6">
        <v>1.26640807739731E-2</v>
      </c>
      <c r="U81" s="7">
        <v>6.5244952636111395E-2</v>
      </c>
      <c r="V81" s="7">
        <v>6.09880487915632E-2</v>
      </c>
      <c r="W81" s="8">
        <v>0.95791374650178196</v>
      </c>
      <c r="X81" s="8">
        <v>4.03150007647054E-2</v>
      </c>
      <c r="Y81" s="2">
        <v>87</v>
      </c>
      <c r="Z81" s="2">
        <f>VLOOKUP(E81,YieldData!T:U,2,FALSE)</f>
        <v>799.50738125802309</v>
      </c>
      <c r="AA81">
        <f t="shared" si="2"/>
        <v>0.58475062791532095</v>
      </c>
    </row>
    <row r="82" spans="1:27" x14ac:dyDescent="0.25">
      <c r="A82">
        <v>81</v>
      </c>
      <c r="B82">
        <v>902</v>
      </c>
      <c r="C82" t="s">
        <v>20</v>
      </c>
      <c r="D82">
        <v>25114</v>
      </c>
      <c r="E82">
        <f t="shared" si="3"/>
        <v>25114902</v>
      </c>
      <c r="F82">
        <f>VLOOKUP(E82,YieldData!D:F,2,FALSE)</f>
        <v>2</v>
      </c>
      <c r="G82">
        <f>VLOOKUP($E82,YieldData!$D:$F,3,FALSE)</f>
        <v>1</v>
      </c>
      <c r="H82">
        <v>10</v>
      </c>
      <c r="I82" t="s">
        <v>21</v>
      </c>
      <c r="J82" t="s">
        <v>22</v>
      </c>
      <c r="K82" s="2">
        <v>2771.0453771411399</v>
      </c>
      <c r="L82" s="2">
        <v>18869788.658589099</v>
      </c>
      <c r="M82" s="3">
        <v>2771.0453771411399</v>
      </c>
      <c r="N82" s="3">
        <v>18869788.658589099</v>
      </c>
      <c r="O82" s="4">
        <v>3.7889455998748899E-2</v>
      </c>
      <c r="P82" s="4">
        <v>4.5597353413637104E-3</v>
      </c>
      <c r="Q82" s="5">
        <v>-3.22432563601922E-2</v>
      </c>
      <c r="R82" s="5">
        <v>5.83327776448443E-4</v>
      </c>
      <c r="S82" s="6">
        <v>0.242476533058054</v>
      </c>
      <c r="T82" s="6">
        <v>1.3602802529744801E-2</v>
      </c>
      <c r="U82" s="7">
        <v>7.0770309526194494E-2</v>
      </c>
      <c r="V82" s="7">
        <v>6.5761872815697203E-2</v>
      </c>
      <c r="W82" s="8">
        <v>0.93355203025029099</v>
      </c>
      <c r="X82" s="8">
        <v>6.2032637065897199E-2</v>
      </c>
      <c r="Y82" s="2">
        <v>70</v>
      </c>
      <c r="Z82" s="2">
        <f>VLOOKUP(E82,YieldData!T:U,2,FALSE)</f>
        <v>662.83697047496776</v>
      </c>
      <c r="AA82">
        <f t="shared" si="2"/>
        <v>0.69582853422805302</v>
      </c>
    </row>
    <row r="83" spans="1:27" x14ac:dyDescent="0.25">
      <c r="A83">
        <v>82</v>
      </c>
      <c r="B83">
        <v>903</v>
      </c>
      <c r="C83" t="s">
        <v>20</v>
      </c>
      <c r="D83">
        <v>25114</v>
      </c>
      <c r="E83">
        <f t="shared" si="3"/>
        <v>25114903</v>
      </c>
      <c r="F83">
        <f>VLOOKUP(E83,YieldData!D:F,2,FALSE)</f>
        <v>3</v>
      </c>
      <c r="G83">
        <f>VLOOKUP($E83,YieldData!$D:$F,3,FALSE)</f>
        <v>1</v>
      </c>
      <c r="H83">
        <v>10</v>
      </c>
      <c r="I83" t="s">
        <v>21</v>
      </c>
      <c r="J83" t="s">
        <v>22</v>
      </c>
      <c r="K83" s="2">
        <v>2479.3881587391202</v>
      </c>
      <c r="L83" s="2">
        <v>5799639.8954734001</v>
      </c>
      <c r="M83" s="3">
        <v>2479.3881587391202</v>
      </c>
      <c r="N83" s="3">
        <v>5799639.8954734001</v>
      </c>
      <c r="O83" s="4">
        <v>4.1220791343823802E-2</v>
      </c>
      <c r="P83" s="4">
        <v>2.5229779377410398E-3</v>
      </c>
      <c r="Q83" s="5">
        <v>-2.94386882900959E-2</v>
      </c>
      <c r="R83" s="5">
        <v>5.6478009844391401E-4</v>
      </c>
      <c r="S83" s="6">
        <v>0.228698089400313</v>
      </c>
      <c r="T83" s="6">
        <v>4.8902600587852601E-3</v>
      </c>
      <c r="U83" s="7">
        <v>2.2357984444387399E-2</v>
      </c>
      <c r="V83" s="7">
        <v>2.1858104975965301E-2</v>
      </c>
      <c r="W83" s="8">
        <v>0.82746008931779702</v>
      </c>
      <c r="X83" s="8">
        <v>0.14276988990402101</v>
      </c>
      <c r="Y83" s="2">
        <v>65</v>
      </c>
      <c r="Z83" s="2">
        <f>VLOOKUP(E83,YieldData!T:U,2,FALSE)</f>
        <v>1684.5876123234921</v>
      </c>
      <c r="AA83">
        <f t="shared" si="2"/>
        <v>0.48949604096351501</v>
      </c>
    </row>
    <row r="84" spans="1:27" x14ac:dyDescent="0.25">
      <c r="A84">
        <v>83</v>
      </c>
      <c r="B84">
        <v>904</v>
      </c>
      <c r="C84" t="s">
        <v>20</v>
      </c>
      <c r="D84">
        <v>25114</v>
      </c>
      <c r="E84">
        <f t="shared" si="3"/>
        <v>25114904</v>
      </c>
      <c r="F84">
        <f>VLOOKUP(E84,YieldData!D:F,2,FALSE)</f>
        <v>3</v>
      </c>
      <c r="G84">
        <f>VLOOKUP($E84,YieldData!$D:$F,3,FALSE)</f>
        <v>2</v>
      </c>
      <c r="H84">
        <v>10</v>
      </c>
      <c r="I84" t="s">
        <v>21</v>
      </c>
      <c r="J84" t="s">
        <v>22</v>
      </c>
      <c r="K84" s="2">
        <v>2941.71038259038</v>
      </c>
      <c r="L84" s="2">
        <v>9821668.8639068697</v>
      </c>
      <c r="M84" s="3">
        <v>2941.71038259038</v>
      </c>
      <c r="N84" s="3">
        <v>9821668.8639068697</v>
      </c>
      <c r="O84" s="4">
        <v>7.0246056180819902E-2</v>
      </c>
      <c r="P84" s="4">
        <v>4.67331336468147E-3</v>
      </c>
      <c r="Q84" s="5">
        <v>-2.1877353686947799E-2</v>
      </c>
      <c r="R84" s="5">
        <v>2.0179522378710201E-3</v>
      </c>
      <c r="S84" s="6">
        <v>0.25772984175796698</v>
      </c>
      <c r="T84" s="6">
        <v>6.55560327549132E-3</v>
      </c>
      <c r="U84" s="7">
        <v>3.2249912249912201E-2</v>
      </c>
      <c r="V84" s="7">
        <v>3.12098554098236E-2</v>
      </c>
      <c r="W84" s="8">
        <v>0.88687458750508996</v>
      </c>
      <c r="X84" s="8">
        <v>0.100328053542836</v>
      </c>
      <c r="Y84" s="2">
        <v>55</v>
      </c>
      <c r="Z84" s="2">
        <f>VLOOKUP(E84,YieldData!T:U,2,FALSE)</f>
        <v>1847.6765083440309</v>
      </c>
      <c r="AA84">
        <f t="shared" si="2"/>
        <v>0.48544629944256501</v>
      </c>
    </row>
    <row r="85" spans="1:27" x14ac:dyDescent="0.25">
      <c r="A85">
        <v>84</v>
      </c>
      <c r="B85">
        <v>905</v>
      </c>
      <c r="C85" t="s">
        <v>20</v>
      </c>
      <c r="D85">
        <v>25114</v>
      </c>
      <c r="E85">
        <f t="shared" si="3"/>
        <v>25114905</v>
      </c>
      <c r="F85">
        <f>VLOOKUP(E85,YieldData!D:F,2,FALSE)</f>
        <v>2</v>
      </c>
      <c r="G85">
        <f>VLOOKUP($E85,YieldData!$D:$F,3,FALSE)</f>
        <v>2</v>
      </c>
      <c r="H85">
        <v>10</v>
      </c>
      <c r="I85" t="s">
        <v>21</v>
      </c>
      <c r="J85" t="s">
        <v>22</v>
      </c>
      <c r="K85" s="2">
        <v>2871.5979835602402</v>
      </c>
      <c r="L85" s="2">
        <v>12866763.9738438</v>
      </c>
      <c r="M85" s="3">
        <v>2871.5979835602402</v>
      </c>
      <c r="N85" s="3">
        <v>12866763.9738438</v>
      </c>
      <c r="O85" s="4">
        <v>0.107348577802707</v>
      </c>
      <c r="P85" s="4">
        <v>5.8922132120261201E-3</v>
      </c>
      <c r="Q85" s="5">
        <v>-7.36184548675881E-3</v>
      </c>
      <c r="R85" s="5">
        <v>2.79649021102226E-3</v>
      </c>
      <c r="S85" s="6">
        <v>0.29276288406543499</v>
      </c>
      <c r="T85" s="6">
        <v>8.4350762725208805E-3</v>
      </c>
      <c r="U85" s="7">
        <v>5.0282558438222401E-2</v>
      </c>
      <c r="V85" s="7">
        <v>4.7754222755140602E-2</v>
      </c>
      <c r="W85" s="8">
        <v>0.90901501432075904</v>
      </c>
      <c r="X85" s="8">
        <v>8.2706718060195306E-2</v>
      </c>
      <c r="Y85" s="2">
        <v>60</v>
      </c>
      <c r="Z85" s="2">
        <f>VLOOKUP(E85,YieldData!T:U,2,FALSE)</f>
        <v>830.78947368421052</v>
      </c>
      <c r="AA85">
        <f t="shared" si="2"/>
        <v>0.57706139224248698</v>
      </c>
    </row>
    <row r="86" spans="1:27" x14ac:dyDescent="0.25">
      <c r="A86">
        <v>85</v>
      </c>
      <c r="B86">
        <v>906</v>
      </c>
      <c r="C86" t="s">
        <v>20</v>
      </c>
      <c r="D86">
        <v>25114</v>
      </c>
      <c r="E86">
        <f t="shared" si="3"/>
        <v>25114906</v>
      </c>
      <c r="F86">
        <f>VLOOKUP(E86,YieldData!D:F,2,FALSE)</f>
        <v>1</v>
      </c>
      <c r="G86">
        <f>VLOOKUP($E86,YieldData!$D:$F,3,FALSE)</f>
        <v>2</v>
      </c>
      <c r="H86">
        <v>10</v>
      </c>
      <c r="I86" t="s">
        <v>21</v>
      </c>
      <c r="J86" t="s">
        <v>22</v>
      </c>
      <c r="K86" s="2">
        <v>3408.00001301067</v>
      </c>
      <c r="L86" s="2">
        <v>19184434.316120099</v>
      </c>
      <c r="M86" s="3">
        <v>3408.00001301067</v>
      </c>
      <c r="N86" s="3">
        <v>19184434.316120099</v>
      </c>
      <c r="O86" s="4">
        <v>0.12595884062488</v>
      </c>
      <c r="P86" s="4">
        <v>6.5335118133481697E-3</v>
      </c>
      <c r="Q86" s="5">
        <v>-1.1467042856475001E-2</v>
      </c>
      <c r="R86" s="5">
        <v>2.4230442900431901E-3</v>
      </c>
      <c r="S86" s="6">
        <v>0.31512155282802401</v>
      </c>
      <c r="T86" s="6">
        <v>1.2256663797820901E-2</v>
      </c>
      <c r="U86" s="7">
        <v>8.8823835545147001E-2</v>
      </c>
      <c r="V86" s="7">
        <v>8.0934161784358999E-2</v>
      </c>
      <c r="W86" s="8">
        <v>0.95763891599339102</v>
      </c>
      <c r="X86" s="8">
        <v>4.0566622568400802E-2</v>
      </c>
      <c r="Y86" s="2">
        <v>103</v>
      </c>
      <c r="Z86" s="2">
        <f>VLOOKUP(E86,YieldData!T:U,2,FALSE)</f>
        <v>861.67522464698322</v>
      </c>
      <c r="AA86">
        <f t="shared" si="2"/>
        <v>0.66744298000234203</v>
      </c>
    </row>
    <row r="87" spans="1:27" x14ac:dyDescent="0.25">
      <c r="A87">
        <v>86</v>
      </c>
      <c r="B87">
        <v>907</v>
      </c>
      <c r="C87" t="s">
        <v>20</v>
      </c>
      <c r="D87">
        <v>25114</v>
      </c>
      <c r="E87">
        <f t="shared" si="3"/>
        <v>25114907</v>
      </c>
      <c r="F87">
        <f>VLOOKUP(E87,YieldData!D:F,2,FALSE)</f>
        <v>1</v>
      </c>
      <c r="G87">
        <f>VLOOKUP($E87,YieldData!$D:$F,3,FALSE)</f>
        <v>3</v>
      </c>
      <c r="H87">
        <v>10</v>
      </c>
      <c r="I87" t="s">
        <v>21</v>
      </c>
      <c r="J87" t="s">
        <v>22</v>
      </c>
      <c r="K87" s="2">
        <v>3366.7523136752998</v>
      </c>
      <c r="L87" s="2">
        <v>22370763.169477601</v>
      </c>
      <c r="M87" s="3">
        <v>3366.7523136752998</v>
      </c>
      <c r="N87" s="3">
        <v>22370763.169477601</v>
      </c>
      <c r="O87" s="4">
        <v>0.114416800634612</v>
      </c>
      <c r="P87" s="4">
        <v>6.0606481783389999E-3</v>
      </c>
      <c r="Q87" s="5">
        <v>-1.4678986459957501E-2</v>
      </c>
      <c r="R87" s="5">
        <v>1.0136417765793299E-3</v>
      </c>
      <c r="S87" s="6">
        <v>0.30969265320266698</v>
      </c>
      <c r="T87" s="6">
        <v>1.51743495679407E-2</v>
      </c>
      <c r="U87" s="7">
        <v>0.10081717042433801</v>
      </c>
      <c r="V87" s="7">
        <v>9.0653068572125101E-2</v>
      </c>
      <c r="W87" s="8">
        <v>0.93578083270771495</v>
      </c>
      <c r="X87" s="8">
        <v>6.00950658446011E-2</v>
      </c>
      <c r="Y87" s="2">
        <v>89</v>
      </c>
      <c r="Z87" s="2">
        <f>VLOOKUP(E87,YieldData!T:U,2,FALSE)</f>
        <v>684.6052631578948</v>
      </c>
      <c r="AA87">
        <f t="shared" si="2"/>
        <v>0.80336726028577399</v>
      </c>
    </row>
    <row r="88" spans="1:27" x14ac:dyDescent="0.25">
      <c r="A88">
        <v>87</v>
      </c>
      <c r="B88">
        <v>908</v>
      </c>
      <c r="C88" t="s">
        <v>20</v>
      </c>
      <c r="D88">
        <v>25114</v>
      </c>
      <c r="E88">
        <f t="shared" si="3"/>
        <v>25114908</v>
      </c>
      <c r="F88">
        <f>VLOOKUP(E88,YieldData!D:F,2,FALSE)</f>
        <v>2</v>
      </c>
      <c r="G88">
        <f>VLOOKUP($E88,YieldData!$D:$F,3,FALSE)</f>
        <v>3</v>
      </c>
      <c r="H88">
        <v>10</v>
      </c>
      <c r="I88" t="s">
        <v>21</v>
      </c>
      <c r="J88" t="s">
        <v>22</v>
      </c>
      <c r="K88" s="2">
        <v>2870.5922288849501</v>
      </c>
      <c r="L88" s="2">
        <v>10224106.666440999</v>
      </c>
      <c r="M88" s="3">
        <v>2870.5922288849501</v>
      </c>
      <c r="N88" s="3">
        <v>10224106.666440999</v>
      </c>
      <c r="O88" s="4">
        <v>9.0803953602508494E-2</v>
      </c>
      <c r="P88" s="4">
        <v>5.9987427294911303E-3</v>
      </c>
      <c r="Q88" s="5">
        <v>-2.1217892721903199E-2</v>
      </c>
      <c r="R88" s="5">
        <v>6.4317668824768603E-4</v>
      </c>
      <c r="S88" s="6">
        <v>0.287616135088888</v>
      </c>
      <c r="T88" s="6">
        <v>1.2940865268709601E-2</v>
      </c>
      <c r="U88" s="7">
        <v>7.5659731494744004E-2</v>
      </c>
      <c r="V88" s="7">
        <v>6.9935336524801897E-2</v>
      </c>
      <c r="W88" s="8">
        <v>0.92372315499386903</v>
      </c>
      <c r="X88" s="8">
        <v>7.04586879219012E-2</v>
      </c>
      <c r="Y88" s="2">
        <v>70</v>
      </c>
      <c r="Z88" s="2">
        <f>VLOOKUP(E88,YieldData!T:U,2,FALSE)</f>
        <v>766.58536585365857</v>
      </c>
      <c r="AA88">
        <f t="shared" si="2"/>
        <v>0.70041031368359696</v>
      </c>
    </row>
    <row r="89" spans="1:27" x14ac:dyDescent="0.25">
      <c r="A89">
        <v>88</v>
      </c>
      <c r="B89">
        <v>909</v>
      </c>
      <c r="C89" t="s">
        <v>20</v>
      </c>
      <c r="D89">
        <v>25114</v>
      </c>
      <c r="E89">
        <f t="shared" si="3"/>
        <v>25114909</v>
      </c>
      <c r="F89">
        <f>VLOOKUP(E89,YieldData!D:F,2,FALSE)</f>
        <v>3</v>
      </c>
      <c r="G89">
        <f>VLOOKUP($E89,YieldData!$D:$F,3,FALSE)</f>
        <v>3</v>
      </c>
      <c r="H89">
        <v>10</v>
      </c>
      <c r="I89" t="s">
        <v>21</v>
      </c>
      <c r="J89" t="s">
        <v>22</v>
      </c>
      <c r="K89" s="2">
        <v>2855.94117158173</v>
      </c>
      <c r="L89" s="2">
        <v>13866816.3088273</v>
      </c>
      <c r="M89" s="3">
        <v>2855.94117158173</v>
      </c>
      <c r="N89" s="3">
        <v>13866816.3088273</v>
      </c>
      <c r="O89" s="4">
        <v>0.12954857825177801</v>
      </c>
      <c r="P89" s="4">
        <v>7.3905957426921498E-3</v>
      </c>
      <c r="Q89" s="5">
        <v>-1.0373438800316301E-5</v>
      </c>
      <c r="R89" s="5">
        <v>8.0272807953140897E-4</v>
      </c>
      <c r="S89" s="6">
        <v>0.328369181664599</v>
      </c>
      <c r="T89" s="6">
        <v>1.4933492699272599E-2</v>
      </c>
      <c r="U89" s="7">
        <v>0.110980288947682</v>
      </c>
      <c r="V89" s="7">
        <v>9.8663664412709906E-2</v>
      </c>
      <c r="W89" s="8">
        <v>0.95915059840425498</v>
      </c>
      <c r="X89" s="8">
        <v>3.9180727985020397E-2</v>
      </c>
      <c r="Y89" s="2">
        <v>85</v>
      </c>
      <c r="Z89" s="2">
        <f>VLOOKUP(E89,YieldData!T:U,2,FALSE)</f>
        <v>1461.7875481386391</v>
      </c>
      <c r="AA89">
        <f t="shared" si="2"/>
        <v>0.73401941908943602</v>
      </c>
    </row>
    <row r="90" spans="1:27" hidden="1" x14ac:dyDescent="0.25">
      <c r="A90">
        <v>89</v>
      </c>
      <c r="B90">
        <v>910</v>
      </c>
      <c r="C90" t="s">
        <v>20</v>
      </c>
      <c r="D90" t="s">
        <v>100</v>
      </c>
      <c r="E90" t="e">
        <f t="shared" si="3"/>
        <v>#VALUE!</v>
      </c>
      <c r="H90">
        <v>10</v>
      </c>
      <c r="I90" t="s">
        <v>21</v>
      </c>
      <c r="J90" t="s">
        <v>22</v>
      </c>
      <c r="K90" s="2">
        <v>2148.6864900760002</v>
      </c>
      <c r="L90" s="2">
        <v>8267781.2007597303</v>
      </c>
      <c r="M90" s="3">
        <v>2148.6864900760002</v>
      </c>
      <c r="N90" s="3">
        <v>8267781.2007597303</v>
      </c>
      <c r="O90" s="4">
        <v>6.6639553924805695E-2</v>
      </c>
      <c r="P90" s="4">
        <v>4.3968434826292301E-3</v>
      </c>
      <c r="Q90" s="5">
        <v>-9.1918006927347393E-3</v>
      </c>
      <c r="R90" s="5">
        <v>6.3672289575916296E-4</v>
      </c>
      <c r="S90" s="6">
        <v>0.27352367563144703</v>
      </c>
      <c r="T90" s="6">
        <v>8.0663931281319597E-3</v>
      </c>
      <c r="U90" s="7">
        <v>4.5561868221058101E-2</v>
      </c>
      <c r="V90" s="7">
        <v>4.3485984385306098E-2</v>
      </c>
      <c r="W90" s="8">
        <v>0.89722211974766697</v>
      </c>
      <c r="X90" s="8">
        <v>9.2214587583129906E-2</v>
      </c>
      <c r="Y90" s="2">
        <v>56</v>
      </c>
      <c r="Z90" s="2" t="e">
        <f>VLOOKUP(E90,YieldData!T:U,2,FALSE)</f>
        <v>#VALUE!</v>
      </c>
      <c r="AA90">
        <f t="shared" si="2"/>
        <v>0.913534329143595</v>
      </c>
    </row>
    <row r="91" spans="1:27" hidden="1" x14ac:dyDescent="0.25">
      <c r="A91">
        <v>90</v>
      </c>
      <c r="B91">
        <v>810</v>
      </c>
      <c r="C91" t="s">
        <v>20</v>
      </c>
      <c r="D91" t="s">
        <v>100</v>
      </c>
      <c r="E91" t="e">
        <f t="shared" si="3"/>
        <v>#VALUE!</v>
      </c>
      <c r="H91">
        <v>10</v>
      </c>
      <c r="I91" t="s">
        <v>21</v>
      </c>
      <c r="J91" t="s">
        <v>22</v>
      </c>
      <c r="K91" s="2">
        <v>2450.3988576748402</v>
      </c>
      <c r="L91" s="2">
        <v>12876565.807372401</v>
      </c>
      <c r="M91" s="3">
        <v>2450.3988576748402</v>
      </c>
      <c r="N91" s="3">
        <v>12876565.807372401</v>
      </c>
      <c r="O91" s="4">
        <v>5.2778580361861498E-2</v>
      </c>
      <c r="P91" s="4">
        <v>7.2825763212842403E-3</v>
      </c>
      <c r="Q91" s="5">
        <v>-2.7076918806858401E-2</v>
      </c>
      <c r="R91" s="5">
        <v>6.4374022910158597E-4</v>
      </c>
      <c r="S91" s="6">
        <v>0.26718196982842501</v>
      </c>
      <c r="T91" s="6">
        <v>1.4511386376022299E-2</v>
      </c>
      <c r="U91" s="7">
        <v>7.8956307320693905E-2</v>
      </c>
      <c r="V91" s="7">
        <v>7.2722208855135195E-2</v>
      </c>
      <c r="W91" s="8">
        <v>0.91797297637319797</v>
      </c>
      <c r="X91" s="8">
        <v>7.5298591021742897E-2</v>
      </c>
      <c r="Y91" s="2">
        <v>95</v>
      </c>
      <c r="Z91" s="2" t="e">
        <f>VLOOKUP(E91,YieldData!T:U,2,FALSE)</f>
        <v>#VALUE!</v>
      </c>
      <c r="AA91">
        <f t="shared" si="2"/>
        <v>0.913534329143595</v>
      </c>
    </row>
    <row r="92" spans="1:27" x14ac:dyDescent="0.25">
      <c r="A92">
        <v>93</v>
      </c>
      <c r="B92">
        <v>101</v>
      </c>
      <c r="C92" t="s">
        <v>23</v>
      </c>
      <c r="D92">
        <v>25107</v>
      </c>
      <c r="E92">
        <f t="shared" si="3"/>
        <v>25107101</v>
      </c>
      <c r="F92">
        <f>VLOOKUP(E92,YieldData!D:F,2,FALSE)</f>
        <v>1</v>
      </c>
      <c r="G92">
        <f>VLOOKUP($E92,YieldData!$D:$F,3,FALSE)</f>
        <v>1</v>
      </c>
      <c r="H92">
        <v>10</v>
      </c>
      <c r="I92" t="s">
        <v>24</v>
      </c>
      <c r="J92" t="s">
        <v>25</v>
      </c>
      <c r="K92" s="2">
        <v>1432.9967826045399</v>
      </c>
      <c r="L92" s="2">
        <v>4291568.3804436997</v>
      </c>
      <c r="M92" s="3">
        <v>1432.9967826045399</v>
      </c>
      <c r="N92" s="3">
        <v>4291568.3804436997</v>
      </c>
      <c r="O92" s="4">
        <v>3.4834252398874603E-2</v>
      </c>
      <c r="P92" s="4">
        <v>4.2383353946203999E-3</v>
      </c>
      <c r="Q92" s="5">
        <v>-5.0826301942686301E-2</v>
      </c>
      <c r="R92" s="5">
        <v>8.3223878440414896E-4</v>
      </c>
      <c r="S92" s="6">
        <v>0.224856917922096</v>
      </c>
      <c r="T92" s="6">
        <v>6.4214230425866997E-3</v>
      </c>
      <c r="U92" s="7">
        <v>2.3442732752846598E-2</v>
      </c>
      <c r="V92" s="7">
        <v>2.28931710339665E-2</v>
      </c>
      <c r="W92" s="8">
        <v>0.92681497428537296</v>
      </c>
      <c r="X92" s="8">
        <v>6.7828977725735207E-2</v>
      </c>
      <c r="Y92" s="2">
        <v>71</v>
      </c>
      <c r="Z92" s="2">
        <f>VLOOKUP(E92,YieldData!T:U,2,FALSE)</f>
        <v>1035.2455070603337</v>
      </c>
      <c r="AA92">
        <f t="shared" si="2"/>
        <v>0.390075587236282</v>
      </c>
    </row>
    <row r="93" spans="1:27" x14ac:dyDescent="0.25">
      <c r="A93">
        <v>94</v>
      </c>
      <c r="B93">
        <v>102</v>
      </c>
      <c r="C93" t="s">
        <v>23</v>
      </c>
      <c r="D93">
        <v>25107</v>
      </c>
      <c r="E93">
        <f t="shared" si="3"/>
        <v>25107102</v>
      </c>
      <c r="F93">
        <f>VLOOKUP(E93,YieldData!D:F,2,FALSE)</f>
        <v>2</v>
      </c>
      <c r="G93">
        <f>VLOOKUP($E93,YieldData!$D:$F,3,FALSE)</f>
        <v>1</v>
      </c>
      <c r="H93">
        <v>10</v>
      </c>
      <c r="I93" t="s">
        <v>24</v>
      </c>
      <c r="J93" t="s">
        <v>25</v>
      </c>
      <c r="K93" s="2">
        <v>1213.0005741008699</v>
      </c>
      <c r="L93" s="2">
        <v>2583685.7148151202</v>
      </c>
      <c r="M93" s="3">
        <v>1213.0005741008699</v>
      </c>
      <c r="N93" s="3">
        <v>2583685.7148151202</v>
      </c>
      <c r="O93" s="4">
        <v>3.8531979049899898E-2</v>
      </c>
      <c r="P93" s="4">
        <v>2.6749852862956898E-3</v>
      </c>
      <c r="Q93" s="5">
        <v>-4.5329081545560701E-2</v>
      </c>
      <c r="R93" s="5">
        <v>5.5870897805936201E-4</v>
      </c>
      <c r="S93" s="6">
        <v>0.22602356561414499</v>
      </c>
      <c r="T93" s="6">
        <v>3.8121195280546101E-3</v>
      </c>
      <c r="U93" s="7">
        <v>1.30488344556208E-2</v>
      </c>
      <c r="V93" s="7">
        <v>1.28785623749524E-2</v>
      </c>
      <c r="W93" s="8">
        <v>0.90210760508121801</v>
      </c>
      <c r="X93" s="8">
        <v>8.8309473935960905E-2</v>
      </c>
      <c r="Y93" s="2">
        <v>65</v>
      </c>
      <c r="Z93" s="2">
        <f>VLOOKUP(E93,YieldData!T:U,2,FALSE)</f>
        <v>1326.2869062901154</v>
      </c>
      <c r="AA93">
        <f t="shared" si="2"/>
        <v>0.56265473812627798</v>
      </c>
    </row>
    <row r="94" spans="1:27" x14ac:dyDescent="0.25">
      <c r="A94">
        <v>95</v>
      </c>
      <c r="B94">
        <v>103</v>
      </c>
      <c r="C94" t="s">
        <v>23</v>
      </c>
      <c r="D94">
        <v>25107</v>
      </c>
      <c r="E94">
        <f t="shared" si="3"/>
        <v>25107103</v>
      </c>
      <c r="F94">
        <f>VLOOKUP(E94,YieldData!D:F,2,FALSE)</f>
        <v>3</v>
      </c>
      <c r="G94">
        <f>VLOOKUP($E94,YieldData!$D:$F,3,FALSE)</f>
        <v>1</v>
      </c>
      <c r="H94">
        <v>10</v>
      </c>
      <c r="I94" t="s">
        <v>24</v>
      </c>
      <c r="J94" t="s">
        <v>25</v>
      </c>
      <c r="K94" s="2">
        <v>1309.0016266969701</v>
      </c>
      <c r="L94" s="2">
        <v>3644679.5392115298</v>
      </c>
      <c r="M94" s="3">
        <v>1309.0016266969701</v>
      </c>
      <c r="N94" s="3">
        <v>3644679.5392115298</v>
      </c>
      <c r="O94" s="4">
        <v>4.75696235420962E-2</v>
      </c>
      <c r="P94" s="4">
        <v>2.7571696160464598E-3</v>
      </c>
      <c r="Q94" s="5">
        <v>-3.8892887690447998E-2</v>
      </c>
      <c r="R94" s="5">
        <v>4.6884508185106999E-4</v>
      </c>
      <c r="S94" s="6">
        <v>0.241018341179358</v>
      </c>
      <c r="T94" s="6">
        <v>4.5978235770256096E-3</v>
      </c>
      <c r="U94" s="7">
        <v>2.0130374977573098E-2</v>
      </c>
      <c r="V94" s="7">
        <v>1.9725142980804099E-2</v>
      </c>
      <c r="W94" s="8">
        <v>0.89715926080976005</v>
      </c>
      <c r="X94" s="8">
        <v>9.2264521553033302E-2</v>
      </c>
      <c r="Y94" s="2">
        <v>80</v>
      </c>
      <c r="Z94" s="2">
        <f>VLOOKUP(E94,YieldData!T:U,2,FALSE)</f>
        <v>2390.8279845956354</v>
      </c>
      <c r="AA94">
        <f t="shared" si="2"/>
        <v>0.45615461895421699</v>
      </c>
    </row>
    <row r="95" spans="1:27" x14ac:dyDescent="0.25">
      <c r="A95">
        <v>96</v>
      </c>
      <c r="B95">
        <v>104</v>
      </c>
      <c r="C95" t="s">
        <v>23</v>
      </c>
      <c r="D95">
        <v>25107</v>
      </c>
      <c r="E95">
        <f t="shared" si="3"/>
        <v>25107104</v>
      </c>
      <c r="F95">
        <f>VLOOKUP(E95,YieldData!D:F,2,FALSE)</f>
        <v>4</v>
      </c>
      <c r="G95">
        <f>VLOOKUP($E95,YieldData!$D:$F,3,FALSE)</f>
        <v>1</v>
      </c>
      <c r="H95">
        <v>10</v>
      </c>
      <c r="I95" t="s">
        <v>24</v>
      </c>
      <c r="J95" t="s">
        <v>25</v>
      </c>
      <c r="K95" s="2">
        <v>1217.4835306781499</v>
      </c>
      <c r="L95" s="2">
        <v>2646653.4064324801</v>
      </c>
      <c r="M95" s="3">
        <v>1217.4835306781499</v>
      </c>
      <c r="N95" s="3">
        <v>2646653.4064324801</v>
      </c>
      <c r="O95" s="4">
        <v>5.6127618950431502E-2</v>
      </c>
      <c r="P95" s="4">
        <v>2.0674540651789601E-3</v>
      </c>
      <c r="Q95" s="5">
        <v>-3.1362856194248799E-2</v>
      </c>
      <c r="R95" s="5">
        <v>5.3469811926206996E-4</v>
      </c>
      <c r="S95" s="6">
        <v>0.24895941226794099</v>
      </c>
      <c r="T95" s="6">
        <v>2.9709419463958102E-3</v>
      </c>
      <c r="U95" s="7">
        <v>1.27018299246502E-2</v>
      </c>
      <c r="V95" s="7">
        <v>1.25404934412051E-2</v>
      </c>
      <c r="W95" s="8">
        <v>0.91473202004616805</v>
      </c>
      <c r="X95" s="8">
        <v>7.7997351548446794E-2</v>
      </c>
      <c r="Y95" s="2">
        <v>69</v>
      </c>
      <c r="Z95" s="2">
        <f>VLOOKUP(E95,YieldData!T:U,2,FALSE)</f>
        <v>2488.1899871630299</v>
      </c>
      <c r="AA95">
        <f t="shared" si="2"/>
        <v>0.44924173563603298</v>
      </c>
    </row>
    <row r="96" spans="1:27" x14ac:dyDescent="0.25">
      <c r="A96">
        <v>97</v>
      </c>
      <c r="B96">
        <v>105</v>
      </c>
      <c r="C96" t="s">
        <v>23</v>
      </c>
      <c r="D96">
        <v>25107</v>
      </c>
      <c r="E96">
        <f t="shared" si="3"/>
        <v>25107105</v>
      </c>
      <c r="F96">
        <f>VLOOKUP(E96,YieldData!D:F,2,FALSE)</f>
        <v>5</v>
      </c>
      <c r="G96">
        <f>VLOOKUP($E96,YieldData!$D:$F,3,FALSE)</f>
        <v>1</v>
      </c>
      <c r="H96">
        <v>10</v>
      </c>
      <c r="I96" t="s">
        <v>24</v>
      </c>
      <c r="J96" t="s">
        <v>25</v>
      </c>
      <c r="K96" s="2">
        <v>999.58348880596998</v>
      </c>
      <c r="L96" s="2">
        <v>1672752.3671446</v>
      </c>
      <c r="M96" s="3">
        <v>999.58348880596998</v>
      </c>
      <c r="N96" s="3">
        <v>1672752.3671446</v>
      </c>
      <c r="O96" s="4">
        <v>6.2619906866974703E-2</v>
      </c>
      <c r="P96" s="4">
        <v>2.67603613906983E-3</v>
      </c>
      <c r="Q96" s="5">
        <v>-2.6459621496807102E-2</v>
      </c>
      <c r="R96" s="5">
        <v>7.3738811705764305E-4</v>
      </c>
      <c r="S96" s="6">
        <v>0.25468908488214798</v>
      </c>
      <c r="T96" s="6">
        <v>2.9624145042472E-3</v>
      </c>
      <c r="U96" s="7">
        <v>1.15408534251818E-2</v>
      </c>
      <c r="V96" s="7">
        <v>1.1407662127396899E-2</v>
      </c>
      <c r="W96" s="8">
        <v>0.88410061358498704</v>
      </c>
      <c r="X96" s="8">
        <v>0.102466718643819</v>
      </c>
      <c r="Y96" s="2">
        <v>64</v>
      </c>
      <c r="Z96" s="2">
        <f>VLOOKUP(E96,YieldData!T:U,2,FALSE)</f>
        <v>2505.2118100128368</v>
      </c>
      <c r="AA96">
        <f t="shared" si="2"/>
        <v>0.49696215854183601</v>
      </c>
    </row>
    <row r="97" spans="1:27" x14ac:dyDescent="0.25">
      <c r="A97">
        <v>98</v>
      </c>
      <c r="B97">
        <v>106</v>
      </c>
      <c r="C97" t="s">
        <v>23</v>
      </c>
      <c r="D97">
        <v>25107</v>
      </c>
      <c r="E97">
        <f t="shared" si="3"/>
        <v>25107106</v>
      </c>
      <c r="F97">
        <f>VLOOKUP(E97,YieldData!D:F,2,FALSE)</f>
        <v>6</v>
      </c>
      <c r="G97">
        <f>VLOOKUP($E97,YieldData!$D:$F,3,FALSE)</f>
        <v>1</v>
      </c>
      <c r="H97">
        <v>10</v>
      </c>
      <c r="I97" t="s">
        <v>24</v>
      </c>
      <c r="J97" t="s">
        <v>25</v>
      </c>
      <c r="K97" s="2">
        <v>1201.2136804899901</v>
      </c>
      <c r="L97" s="2">
        <v>2777635.8422167702</v>
      </c>
      <c r="M97" s="3">
        <v>1201.2136804899901</v>
      </c>
      <c r="N97" s="3">
        <v>2777635.8422167702</v>
      </c>
      <c r="O97" s="4">
        <v>9.0936381313281106E-2</v>
      </c>
      <c r="P97" s="4">
        <v>3.6311226916025501E-3</v>
      </c>
      <c r="Q97" s="5">
        <v>-1.7164209003536601E-2</v>
      </c>
      <c r="R97" s="5">
        <v>9.7155224959865098E-4</v>
      </c>
      <c r="S97" s="6">
        <v>0.27848947729854001</v>
      </c>
      <c r="T97" s="6">
        <v>4.67996409259833E-3</v>
      </c>
      <c r="U97" s="7">
        <v>2.43421211901131E-2</v>
      </c>
      <c r="V97" s="7">
        <v>2.3749582326111199E-2</v>
      </c>
      <c r="W97" s="8">
        <v>0.91328661171429604</v>
      </c>
      <c r="X97" s="8">
        <v>7.9194176577763994E-2</v>
      </c>
      <c r="Y97" s="2">
        <v>68</v>
      </c>
      <c r="Z97" s="2">
        <f>VLOOKUP(E97,YieldData!T:U,2,FALSE)</f>
        <v>2315.9114249037225</v>
      </c>
      <c r="AA97">
        <f t="shared" si="2"/>
        <v>0.39903159423798601</v>
      </c>
    </row>
    <row r="98" spans="1:27" x14ac:dyDescent="0.25">
      <c r="A98">
        <v>99</v>
      </c>
      <c r="B98">
        <v>107</v>
      </c>
      <c r="C98" t="s">
        <v>23</v>
      </c>
      <c r="D98">
        <v>25107</v>
      </c>
      <c r="E98">
        <f t="shared" si="3"/>
        <v>25107107</v>
      </c>
      <c r="F98">
        <f>VLOOKUP(E98,YieldData!D:F,2,FALSE)</f>
        <v>7</v>
      </c>
      <c r="G98">
        <f>VLOOKUP($E98,YieldData!$D:$F,3,FALSE)</f>
        <v>1</v>
      </c>
      <c r="H98">
        <v>10</v>
      </c>
      <c r="I98" t="s">
        <v>24</v>
      </c>
      <c r="J98" t="s">
        <v>25</v>
      </c>
      <c r="K98" s="2">
        <v>1511.4123797735999</v>
      </c>
      <c r="L98" s="2">
        <v>2143528.9794620401</v>
      </c>
      <c r="M98" s="3">
        <v>1511.4123797735999</v>
      </c>
      <c r="N98" s="3">
        <v>2143528.9794620401</v>
      </c>
      <c r="O98" s="4">
        <v>7.9027069894362006E-2</v>
      </c>
      <c r="P98" s="4">
        <v>3.2458319599963001E-3</v>
      </c>
      <c r="Q98" s="5">
        <v>-2.1797247225390001E-2</v>
      </c>
      <c r="R98" s="5">
        <v>7.3682683341845003E-4</v>
      </c>
      <c r="S98" s="6">
        <v>0.275596862397192</v>
      </c>
      <c r="T98" s="6">
        <v>4.1815200435288699E-3</v>
      </c>
      <c r="U98" s="7">
        <v>1.7573038343518699E-2</v>
      </c>
      <c r="V98" s="7">
        <v>1.72642266669026E-2</v>
      </c>
      <c r="W98" s="8">
        <v>0.91405585209251905</v>
      </c>
      <c r="X98" s="8">
        <v>7.8557751348267701E-2</v>
      </c>
      <c r="Y98" s="2">
        <v>66</v>
      </c>
      <c r="Z98" s="2">
        <f>VLOOKUP(E98,YieldData!T:U,2,FALSE)</f>
        <v>2008.0359435173295</v>
      </c>
      <c r="AA98">
        <f t="shared" si="2"/>
        <v>0.46002398174293102</v>
      </c>
    </row>
    <row r="99" spans="1:27" x14ac:dyDescent="0.25">
      <c r="A99">
        <v>100</v>
      </c>
      <c r="B99">
        <v>108</v>
      </c>
      <c r="C99" t="s">
        <v>23</v>
      </c>
      <c r="D99">
        <v>25107</v>
      </c>
      <c r="E99">
        <f t="shared" si="3"/>
        <v>25107108</v>
      </c>
      <c r="F99">
        <f>VLOOKUP(E99,YieldData!D:F,2,FALSE)</f>
        <v>4</v>
      </c>
      <c r="G99">
        <f>VLOOKUP($E99,YieldData!$D:$F,3,FALSE)</f>
        <v>2</v>
      </c>
      <c r="H99">
        <v>10</v>
      </c>
      <c r="I99" t="s">
        <v>24</v>
      </c>
      <c r="J99" t="s">
        <v>25</v>
      </c>
      <c r="K99" s="2">
        <v>1904.4676570499</v>
      </c>
      <c r="L99" s="2">
        <v>2589810.0888897898</v>
      </c>
      <c r="M99" s="3">
        <v>1904.4676570499</v>
      </c>
      <c r="N99" s="3">
        <v>2589810.0888897898</v>
      </c>
      <c r="O99" s="4">
        <v>7.0461215081290607E-2</v>
      </c>
      <c r="P99" s="4">
        <v>2.6671327894356701E-3</v>
      </c>
      <c r="Q99" s="5">
        <v>-2.3529078076971601E-2</v>
      </c>
      <c r="R99" s="5">
        <v>5.73701806042913E-4</v>
      </c>
      <c r="S99" s="6">
        <v>0.27452710251286899</v>
      </c>
      <c r="T99" s="6">
        <v>3.39439403311489E-3</v>
      </c>
      <c r="U99" s="7">
        <v>1.57289124922253E-2</v>
      </c>
      <c r="V99" s="7">
        <v>1.54815138040233E-2</v>
      </c>
      <c r="W99" s="8">
        <v>0.92519374282433997</v>
      </c>
      <c r="X99" s="8">
        <v>6.9210281063012899E-2</v>
      </c>
      <c r="Y99" s="2">
        <v>58</v>
      </c>
      <c r="Z99" s="2">
        <f>VLOOKUP(E99,YieldData!T:U,2,FALSE)</f>
        <v>2547.5978818998715</v>
      </c>
      <c r="AA99">
        <f t="shared" si="2"/>
        <v>0.50343837828140903</v>
      </c>
    </row>
    <row r="100" spans="1:27" x14ac:dyDescent="0.25">
      <c r="A100">
        <v>101</v>
      </c>
      <c r="B100">
        <v>109</v>
      </c>
      <c r="C100" t="s">
        <v>23</v>
      </c>
      <c r="D100">
        <v>25107</v>
      </c>
      <c r="E100">
        <f t="shared" si="3"/>
        <v>25107109</v>
      </c>
      <c r="F100">
        <f>VLOOKUP(E100,YieldData!D:F,2,FALSE)</f>
        <v>2</v>
      </c>
      <c r="G100">
        <f>VLOOKUP($E100,YieldData!$D:$F,3,FALSE)</f>
        <v>2</v>
      </c>
      <c r="H100">
        <v>10</v>
      </c>
      <c r="I100" t="s">
        <v>24</v>
      </c>
      <c r="J100" t="s">
        <v>25</v>
      </c>
      <c r="K100" s="2">
        <v>1928.9748020761101</v>
      </c>
      <c r="L100" s="2">
        <v>3203697.1525258501</v>
      </c>
      <c r="M100" s="3">
        <v>1928.9748020761101</v>
      </c>
      <c r="N100" s="3">
        <v>3203697.1525258501</v>
      </c>
      <c r="O100" s="4">
        <v>7.0399631812549407E-2</v>
      </c>
      <c r="P100" s="4">
        <v>3.53581357477271E-3</v>
      </c>
      <c r="Q100" s="5">
        <v>-2.47134747646723E-2</v>
      </c>
      <c r="R100" s="5">
        <v>8.5821567818226301E-4</v>
      </c>
      <c r="S100" s="6">
        <v>0.26908216152428699</v>
      </c>
      <c r="T100" s="6">
        <v>4.1079479723619599E-3</v>
      </c>
      <c r="U100" s="7">
        <v>2.0653447822239199E-2</v>
      </c>
      <c r="V100" s="7">
        <v>2.0226882915335E-2</v>
      </c>
      <c r="W100" s="8">
        <v>0.89860913450614099</v>
      </c>
      <c r="X100" s="8">
        <v>9.11107578882666E-2</v>
      </c>
      <c r="Y100" s="2">
        <v>67</v>
      </c>
      <c r="Z100" s="2">
        <f>VLOOKUP(E100,YieldData!T:U,2,FALSE)</f>
        <v>1584.2105263157894</v>
      </c>
      <c r="AA100">
        <f t="shared" si="2"/>
        <v>0.39993302556988097</v>
      </c>
    </row>
    <row r="101" spans="1:27" x14ac:dyDescent="0.25">
      <c r="A101">
        <v>102</v>
      </c>
      <c r="B101">
        <v>110</v>
      </c>
      <c r="C101" t="s">
        <v>23</v>
      </c>
      <c r="D101">
        <v>25107</v>
      </c>
      <c r="E101">
        <f t="shared" si="3"/>
        <v>25107110</v>
      </c>
      <c r="F101">
        <f>VLOOKUP(E101,YieldData!D:F,2,FALSE)</f>
        <v>1</v>
      </c>
      <c r="G101">
        <f>VLOOKUP($E101,YieldData!$D:$F,3,FALSE)</f>
        <v>2</v>
      </c>
      <c r="H101">
        <v>10</v>
      </c>
      <c r="I101" t="s">
        <v>24</v>
      </c>
      <c r="J101" t="s">
        <v>25</v>
      </c>
      <c r="K101" s="2">
        <v>1932.69804348346</v>
      </c>
      <c r="L101" s="2">
        <v>3184482.6103816298</v>
      </c>
      <c r="M101" s="3">
        <v>1932.69804348346</v>
      </c>
      <c r="N101" s="3">
        <v>3184482.6103816298</v>
      </c>
      <c r="O101" s="4">
        <v>5.53973343905865E-2</v>
      </c>
      <c r="P101" s="4">
        <v>3.1147509564136899E-3</v>
      </c>
      <c r="Q101" s="5">
        <v>-3.5128650863540799E-2</v>
      </c>
      <c r="R101" s="5">
        <v>7.8687730714489899E-4</v>
      </c>
      <c r="S101" s="6">
        <v>0.25544060869368701</v>
      </c>
      <c r="T101" s="6">
        <v>4.2430304836878104E-3</v>
      </c>
      <c r="U101" s="7">
        <v>2.0306632543232301E-2</v>
      </c>
      <c r="V101" s="7">
        <v>1.9894273218013101E-2</v>
      </c>
      <c r="W101" s="8">
        <v>0.89443029194024803</v>
      </c>
      <c r="X101" s="8">
        <v>9.4424744799944907E-2</v>
      </c>
      <c r="Y101" s="2">
        <v>61</v>
      </c>
      <c r="Z101" s="2">
        <f>VLOOKUP(E101,YieldData!T:U,2,FALSE)</f>
        <v>1585.0449293966622</v>
      </c>
      <c r="AA101">
        <f t="shared" si="2"/>
        <v>0.54967766627994596</v>
      </c>
    </row>
    <row r="102" spans="1:27" x14ac:dyDescent="0.25">
      <c r="A102">
        <v>103</v>
      </c>
      <c r="B102">
        <v>111</v>
      </c>
      <c r="C102" t="s">
        <v>23</v>
      </c>
      <c r="D102">
        <v>25107</v>
      </c>
      <c r="E102">
        <f t="shared" si="3"/>
        <v>25107111</v>
      </c>
      <c r="F102">
        <f>VLOOKUP(E102,YieldData!D:F,2,FALSE)</f>
        <v>5</v>
      </c>
      <c r="G102">
        <f>VLOOKUP($E102,YieldData!$D:$F,3,FALSE)</f>
        <v>2</v>
      </c>
      <c r="H102">
        <v>10</v>
      </c>
      <c r="I102" t="s">
        <v>24</v>
      </c>
      <c r="J102" t="s">
        <v>25</v>
      </c>
      <c r="K102" s="2">
        <v>1619.0583352491999</v>
      </c>
      <c r="L102" s="2">
        <v>1288070.20923447</v>
      </c>
      <c r="M102" s="3">
        <v>1619.0583352491999</v>
      </c>
      <c r="N102" s="3">
        <v>1288070.20923447</v>
      </c>
      <c r="O102" s="4">
        <v>4.7861349253456698E-2</v>
      </c>
      <c r="P102" s="4">
        <v>2.3293373915310102E-3</v>
      </c>
      <c r="Q102" s="5">
        <v>-3.6622707889531099E-2</v>
      </c>
      <c r="R102" s="5">
        <v>6.4587826618672502E-4</v>
      </c>
      <c r="S102" s="6">
        <v>0.238416666798097</v>
      </c>
      <c r="T102" s="6">
        <v>2.4932478583655901E-3</v>
      </c>
      <c r="U102" s="7">
        <v>8.4943673390365793E-3</v>
      </c>
      <c r="V102" s="7">
        <v>8.4222130625500099E-3</v>
      </c>
      <c r="W102" s="8">
        <v>0.86365451399392601</v>
      </c>
      <c r="X102" s="8">
        <v>0.117755394451761</v>
      </c>
      <c r="Y102" s="2">
        <v>59</v>
      </c>
      <c r="Z102" s="2">
        <f>VLOOKUP(E102,YieldData!T:U,2,FALSE)</f>
        <v>2037.9974326059053</v>
      </c>
      <c r="AA102">
        <f t="shared" si="2"/>
        <v>0.53001900013312198</v>
      </c>
    </row>
    <row r="103" spans="1:27" x14ac:dyDescent="0.25">
      <c r="A103">
        <v>104</v>
      </c>
      <c r="B103">
        <v>112</v>
      </c>
      <c r="C103" t="s">
        <v>23</v>
      </c>
      <c r="D103">
        <v>25107</v>
      </c>
      <c r="E103">
        <f t="shared" si="3"/>
        <v>25107112</v>
      </c>
      <c r="F103">
        <f>VLOOKUP(E103,YieldData!D:F,2,FALSE)</f>
        <v>3</v>
      </c>
      <c r="G103">
        <f>VLOOKUP($E103,YieldData!$D:$F,3,FALSE)</f>
        <v>2</v>
      </c>
      <c r="H103">
        <v>10</v>
      </c>
      <c r="I103" t="s">
        <v>24</v>
      </c>
      <c r="J103" t="s">
        <v>25</v>
      </c>
      <c r="K103" s="2">
        <v>1850.1524015671901</v>
      </c>
      <c r="L103" s="2">
        <v>4086173.8551113098</v>
      </c>
      <c r="M103" s="3">
        <v>1850.1524015671901</v>
      </c>
      <c r="N103" s="3">
        <v>4086173.8551113098</v>
      </c>
      <c r="O103" s="4">
        <v>4.7733197620181002E-2</v>
      </c>
      <c r="P103" s="4">
        <v>2.2011938657960002E-3</v>
      </c>
      <c r="Q103" s="5">
        <v>-3.63636397745409E-2</v>
      </c>
      <c r="R103" s="5">
        <v>5.7934707075632899E-4</v>
      </c>
      <c r="S103" s="6">
        <v>0.234979796591295</v>
      </c>
      <c r="T103" s="6">
        <v>3.7588669922243001E-3</v>
      </c>
      <c r="U103" s="7">
        <v>1.42449453419754E-2</v>
      </c>
      <c r="V103" s="7">
        <v>1.40420268741884E-2</v>
      </c>
      <c r="W103" s="8">
        <v>0.85856973566470796</v>
      </c>
      <c r="X103" s="8">
        <v>0.12142774466542</v>
      </c>
      <c r="Y103" s="2">
        <v>75</v>
      </c>
      <c r="Z103" s="2">
        <f>VLOOKUP(E103,YieldData!T:U,2,FALSE)</f>
        <v>3938.173940949936</v>
      </c>
      <c r="AA103">
        <f t="shared" si="2"/>
        <v>0.47124059695716303</v>
      </c>
    </row>
    <row r="104" spans="1:27" hidden="1" x14ac:dyDescent="0.25">
      <c r="A104">
        <v>105</v>
      </c>
      <c r="B104">
        <v>201</v>
      </c>
      <c r="C104" t="s">
        <v>23</v>
      </c>
      <c r="D104" t="s">
        <v>100</v>
      </c>
      <c r="E104" t="e">
        <f t="shared" si="3"/>
        <v>#VALUE!</v>
      </c>
      <c r="H104">
        <v>10</v>
      </c>
      <c r="I104" t="s">
        <v>24</v>
      </c>
      <c r="J104" t="s">
        <v>25</v>
      </c>
      <c r="K104" s="2">
        <v>1618.27888284194</v>
      </c>
      <c r="L104" s="2">
        <v>3130545.89311131</v>
      </c>
      <c r="M104" s="3">
        <v>1618.27888284194</v>
      </c>
      <c r="N104" s="3">
        <v>3130545.89311131</v>
      </c>
      <c r="O104" s="4">
        <v>4.8069435475891202E-2</v>
      </c>
      <c r="P104" s="4">
        <v>3.5893607359498599E-3</v>
      </c>
      <c r="Q104" s="5">
        <v>-4.3220693540864198E-2</v>
      </c>
      <c r="R104" s="5">
        <v>8.7741077609885902E-4</v>
      </c>
      <c r="S104" s="6">
        <v>0.22284347473747201</v>
      </c>
      <c r="T104" s="6">
        <v>4.00661299867793E-3</v>
      </c>
      <c r="U104" s="7">
        <v>9.4850786436217905E-3</v>
      </c>
      <c r="V104" s="7">
        <v>9.3951119267797704E-3</v>
      </c>
      <c r="W104" s="8">
        <v>0.86567556900407805</v>
      </c>
      <c r="X104" s="8">
        <v>0.116281378233603</v>
      </c>
      <c r="Y104" s="2">
        <v>56</v>
      </c>
      <c r="Z104" s="2" t="e">
        <f>VLOOKUP(E104,YieldData!T:U,2,FALSE)</f>
        <v>#VALUE!</v>
      </c>
      <c r="AA104">
        <f t="shared" si="2"/>
        <v>0.913534329143595</v>
      </c>
    </row>
    <row r="105" spans="1:27" hidden="1" x14ac:dyDescent="0.25">
      <c r="A105">
        <v>106</v>
      </c>
      <c r="B105">
        <v>202</v>
      </c>
      <c r="C105" t="s">
        <v>23</v>
      </c>
      <c r="D105" t="s">
        <v>100</v>
      </c>
      <c r="E105" t="e">
        <f t="shared" si="3"/>
        <v>#VALUE!</v>
      </c>
      <c r="H105">
        <v>10</v>
      </c>
      <c r="I105" t="s">
        <v>24</v>
      </c>
      <c r="J105" t="s">
        <v>25</v>
      </c>
      <c r="K105" s="2">
        <v>1618.44154477282</v>
      </c>
      <c r="L105" s="2">
        <v>4844284.0352472197</v>
      </c>
      <c r="M105" s="3">
        <v>1618.44154477282</v>
      </c>
      <c r="N105" s="3">
        <v>4844284.0352472197</v>
      </c>
      <c r="O105" s="4">
        <v>4.9316944381943603E-2</v>
      </c>
      <c r="P105" s="4">
        <v>3.3329265221129201E-3</v>
      </c>
      <c r="Q105" s="5">
        <v>-4.1212636471823098E-2</v>
      </c>
      <c r="R105" s="5">
        <v>7.2421736949381205E-4</v>
      </c>
      <c r="S105" s="6">
        <v>0.228179843878348</v>
      </c>
      <c r="T105" s="6">
        <v>4.4825335796771998E-3</v>
      </c>
      <c r="U105" s="7">
        <v>1.2833239645501201E-2</v>
      </c>
      <c r="V105" s="7">
        <v>1.2668547605695499E-2</v>
      </c>
      <c r="W105" s="8">
        <v>0.87574148488327597</v>
      </c>
      <c r="X105" s="8">
        <v>0.108818336537902</v>
      </c>
      <c r="Y105" s="2">
        <v>66</v>
      </c>
      <c r="Z105" s="2" t="e">
        <f>VLOOKUP(E105,YieldData!T:U,2,FALSE)</f>
        <v>#VALUE!</v>
      </c>
      <c r="AA105">
        <f t="shared" si="2"/>
        <v>0.913534329143595</v>
      </c>
    </row>
    <row r="106" spans="1:27" hidden="1" x14ac:dyDescent="0.25">
      <c r="A106">
        <v>107</v>
      </c>
      <c r="B106">
        <v>203</v>
      </c>
      <c r="C106" t="s">
        <v>23</v>
      </c>
      <c r="D106" t="s">
        <v>100</v>
      </c>
      <c r="E106" t="e">
        <f t="shared" si="3"/>
        <v>#VALUE!</v>
      </c>
      <c r="H106">
        <v>10</v>
      </c>
      <c r="I106" t="s">
        <v>24</v>
      </c>
      <c r="J106" t="s">
        <v>25</v>
      </c>
      <c r="K106" s="2">
        <v>1464.79765811366</v>
      </c>
      <c r="L106" s="2">
        <v>3251848.1181703801</v>
      </c>
      <c r="M106" s="3">
        <v>1464.79765811366</v>
      </c>
      <c r="N106" s="3">
        <v>3251848.1181703801</v>
      </c>
      <c r="O106" s="4">
        <v>4.8745975110322297E-2</v>
      </c>
      <c r="P106" s="4">
        <v>2.11094661187642E-3</v>
      </c>
      <c r="Q106" s="5">
        <v>-3.69794701965932E-2</v>
      </c>
      <c r="R106" s="5">
        <v>5.5670126755156103E-4</v>
      </c>
      <c r="S106" s="6">
        <v>0.23425356526903801</v>
      </c>
      <c r="T106" s="6">
        <v>3.0145491173258899E-3</v>
      </c>
      <c r="U106" s="7">
        <v>1.00262765944565E-2</v>
      </c>
      <c r="V106" s="7">
        <v>9.9257503721122894E-3</v>
      </c>
      <c r="W106" s="8">
        <v>0.85832435246963701</v>
      </c>
      <c r="X106" s="8">
        <v>0.121603658427467</v>
      </c>
      <c r="Y106" s="2">
        <v>60</v>
      </c>
      <c r="Z106" s="2" t="e">
        <f>VLOOKUP(E106,YieldData!T:U,2,FALSE)</f>
        <v>#VALUE!</v>
      </c>
      <c r="AA106">
        <f t="shared" si="2"/>
        <v>0.913534329143595</v>
      </c>
    </row>
    <row r="107" spans="1:27" x14ac:dyDescent="0.25">
      <c r="A107">
        <v>108</v>
      </c>
      <c r="B107">
        <v>204</v>
      </c>
      <c r="C107" t="s">
        <v>23</v>
      </c>
      <c r="D107">
        <v>25107</v>
      </c>
      <c r="E107">
        <f t="shared" si="3"/>
        <v>25107204</v>
      </c>
      <c r="F107">
        <f>VLOOKUP(E107,YieldData!D:F,2,FALSE)</f>
        <v>5</v>
      </c>
      <c r="G107">
        <f>VLOOKUP($E107,YieldData!$D:$F,3,FALSE)</f>
        <v>3</v>
      </c>
      <c r="H107">
        <v>10</v>
      </c>
      <c r="I107" t="s">
        <v>24</v>
      </c>
      <c r="J107" t="s">
        <v>25</v>
      </c>
      <c r="K107" s="2">
        <v>1259.1003360480299</v>
      </c>
      <c r="L107" s="2">
        <v>1573755.64713977</v>
      </c>
      <c r="M107" s="3">
        <v>1259.1003360480299</v>
      </c>
      <c r="N107" s="3">
        <v>1573755.64713977</v>
      </c>
      <c r="O107" s="4">
        <v>4.86873743728004E-2</v>
      </c>
      <c r="P107" s="4">
        <v>2.2057874403832701E-3</v>
      </c>
      <c r="Q107" s="5">
        <v>-3.4998807452356701E-2</v>
      </c>
      <c r="R107" s="5">
        <v>6.0388058662232905E-4</v>
      </c>
      <c r="S107" s="6">
        <v>0.23670163182416901</v>
      </c>
      <c r="T107" s="6">
        <v>2.6370206297057098E-3</v>
      </c>
      <c r="U107" s="7">
        <v>9.4595725851780096E-3</v>
      </c>
      <c r="V107" s="7">
        <v>9.3700890717015595E-3</v>
      </c>
      <c r="W107" s="8">
        <v>0.85341322234979</v>
      </c>
      <c r="X107" s="8">
        <v>0.125099094268391</v>
      </c>
      <c r="Y107" s="2">
        <v>71</v>
      </c>
      <c r="Z107" s="2">
        <f>VLOOKUP(E107,YieldData!T:U,2,FALSE)</f>
        <v>2665.7028241335051</v>
      </c>
      <c r="AA107">
        <f t="shared" si="2"/>
        <v>0.44989833751943498</v>
      </c>
    </row>
    <row r="108" spans="1:27" x14ac:dyDescent="0.25">
      <c r="A108">
        <v>109</v>
      </c>
      <c r="B108">
        <v>205</v>
      </c>
      <c r="C108" t="s">
        <v>23</v>
      </c>
      <c r="D108">
        <v>25107</v>
      </c>
      <c r="E108">
        <f t="shared" si="3"/>
        <v>25107205</v>
      </c>
      <c r="F108">
        <f>VLOOKUP(E108,YieldData!D:F,2,FALSE)</f>
        <v>2</v>
      </c>
      <c r="G108">
        <f>VLOOKUP($E108,YieldData!$D:$F,3,FALSE)</f>
        <v>3</v>
      </c>
      <c r="H108">
        <v>10</v>
      </c>
      <c r="I108" t="s">
        <v>24</v>
      </c>
      <c r="J108" t="s">
        <v>25</v>
      </c>
      <c r="K108" s="2">
        <v>1294.37437376462</v>
      </c>
      <c r="L108" s="2">
        <v>5558213.8083406501</v>
      </c>
      <c r="M108" s="3">
        <v>1294.37437376462</v>
      </c>
      <c r="N108" s="3">
        <v>5558213.8083406501</v>
      </c>
      <c r="O108" s="4">
        <v>7.8786534742547806E-2</v>
      </c>
      <c r="P108" s="4">
        <v>3.4731560256851201E-3</v>
      </c>
      <c r="Q108" s="5">
        <v>-2.2963679540209499E-2</v>
      </c>
      <c r="R108" s="5">
        <v>8.8808100563764496E-4</v>
      </c>
      <c r="S108" s="6">
        <v>0.27306875259999802</v>
      </c>
      <c r="T108" s="6">
        <v>5.7082693871452501E-3</v>
      </c>
      <c r="U108" s="7">
        <v>3.1028952897154401E-2</v>
      </c>
      <c r="V108" s="7">
        <v>3.0066156979313099E-2</v>
      </c>
      <c r="W108" s="8">
        <v>0.913339134758826</v>
      </c>
      <c r="X108" s="8">
        <v>7.9150759676957394E-2</v>
      </c>
      <c r="Y108" s="2">
        <v>76</v>
      </c>
      <c r="Z108" s="2">
        <f>VLOOKUP(E108,YieldData!T:U,2,FALSE)</f>
        <v>2740.9948652118101</v>
      </c>
      <c r="AA108">
        <f t="shared" si="2"/>
        <v>0.47171805072103401</v>
      </c>
    </row>
    <row r="109" spans="1:27" x14ac:dyDescent="0.25">
      <c r="A109">
        <v>110</v>
      </c>
      <c r="B109">
        <v>206</v>
      </c>
      <c r="C109" t="s">
        <v>23</v>
      </c>
      <c r="D109">
        <v>25107</v>
      </c>
      <c r="E109">
        <f t="shared" si="3"/>
        <v>25107206</v>
      </c>
      <c r="F109">
        <f>VLOOKUP(E109,YieldData!D:F,2,FALSE)</f>
        <v>1</v>
      </c>
      <c r="G109">
        <f>VLOOKUP($E109,YieldData!$D:$F,3,FALSE)</f>
        <v>3</v>
      </c>
      <c r="H109">
        <v>10</v>
      </c>
      <c r="I109" t="s">
        <v>24</v>
      </c>
      <c r="J109" t="s">
        <v>25</v>
      </c>
      <c r="K109" s="2">
        <v>1336.5077914778101</v>
      </c>
      <c r="L109" s="2">
        <v>2465476.90892014</v>
      </c>
      <c r="M109" s="3">
        <v>1336.5077914778101</v>
      </c>
      <c r="N109" s="3">
        <v>2465476.90892014</v>
      </c>
      <c r="O109" s="4">
        <v>8.32635135702086E-2</v>
      </c>
      <c r="P109" s="4">
        <v>3.75029666089856E-3</v>
      </c>
      <c r="Q109" s="5">
        <v>-1.97490132811259E-2</v>
      </c>
      <c r="R109" s="5">
        <v>1.0243959397832E-3</v>
      </c>
      <c r="S109" s="6">
        <v>0.27364101232779398</v>
      </c>
      <c r="T109" s="6">
        <v>4.6028050202976201E-3</v>
      </c>
      <c r="U109" s="7">
        <v>2.25432627336546E-2</v>
      </c>
      <c r="V109" s="7">
        <v>2.2035064038963301E-2</v>
      </c>
      <c r="W109" s="8">
        <v>0.81211729812476097</v>
      </c>
      <c r="X109" s="8">
        <v>0.15258279221134199</v>
      </c>
      <c r="Y109" s="2">
        <v>68</v>
      </c>
      <c r="Z109" s="2">
        <f>VLOOKUP(E109,YieldData!T:U,2,FALSE)</f>
        <v>1823.433889602054</v>
      </c>
      <c r="AA109">
        <f t="shared" si="2"/>
        <v>0.46218889407149599</v>
      </c>
    </row>
    <row r="110" spans="1:27" x14ac:dyDescent="0.25">
      <c r="A110">
        <v>111</v>
      </c>
      <c r="B110">
        <v>207</v>
      </c>
      <c r="C110" t="s">
        <v>23</v>
      </c>
      <c r="D110">
        <v>25107</v>
      </c>
      <c r="E110">
        <f t="shared" si="3"/>
        <v>25107207</v>
      </c>
      <c r="F110">
        <f>VLOOKUP(E110,YieldData!D:F,2,FALSE)</f>
        <v>3</v>
      </c>
      <c r="G110">
        <f>VLOOKUP($E110,YieldData!$D:$F,3,FALSE)</f>
        <v>3</v>
      </c>
      <c r="H110">
        <v>10</v>
      </c>
      <c r="I110" t="s">
        <v>24</v>
      </c>
      <c r="J110" t="s">
        <v>25</v>
      </c>
      <c r="K110" s="2">
        <v>1830.9739372991301</v>
      </c>
      <c r="L110" s="2">
        <v>2519731.3102782601</v>
      </c>
      <c r="M110" s="3">
        <v>1830.9739372991301</v>
      </c>
      <c r="N110" s="3">
        <v>2519731.3102782601</v>
      </c>
      <c r="O110" s="4">
        <v>7.2527685007584802E-2</v>
      </c>
      <c r="P110" s="4">
        <v>2.8221011838231798E-3</v>
      </c>
      <c r="Q110" s="5">
        <v>-2.4184203425941801E-2</v>
      </c>
      <c r="R110" s="5">
        <v>5.8011566971752501E-4</v>
      </c>
      <c r="S110" s="6">
        <v>0.27170562946753402</v>
      </c>
      <c r="T110" s="6">
        <v>4.10927537219261E-3</v>
      </c>
      <c r="U110" s="7">
        <v>1.9998787217270001E-2</v>
      </c>
      <c r="V110" s="7">
        <v>1.9598835727121199E-2</v>
      </c>
      <c r="W110" s="8">
        <v>0.838378325935628</v>
      </c>
      <c r="X110" s="8">
        <v>0.135500108536943</v>
      </c>
      <c r="Y110" s="2">
        <v>70</v>
      </c>
      <c r="Z110" s="2">
        <f>VLOOKUP(E110,YieldData!T:U,2,FALSE)</f>
        <v>2319.6341463414633</v>
      </c>
      <c r="AA110">
        <f t="shared" si="2"/>
        <v>0.402401164200825</v>
      </c>
    </row>
    <row r="111" spans="1:27" x14ac:dyDescent="0.25">
      <c r="A111">
        <v>112</v>
      </c>
      <c r="B111">
        <v>208</v>
      </c>
      <c r="C111" t="s">
        <v>23</v>
      </c>
      <c r="D111">
        <v>25107</v>
      </c>
      <c r="E111">
        <f t="shared" si="3"/>
        <v>25107208</v>
      </c>
      <c r="F111">
        <f>VLOOKUP(E111,YieldData!D:F,2,FALSE)</f>
        <v>4</v>
      </c>
      <c r="G111">
        <f>VLOOKUP($E111,YieldData!$D:$F,3,FALSE)</f>
        <v>3</v>
      </c>
      <c r="H111">
        <v>10</v>
      </c>
      <c r="I111" t="s">
        <v>24</v>
      </c>
      <c r="J111" t="s">
        <v>25</v>
      </c>
      <c r="K111" s="2">
        <v>2387.29893221063</v>
      </c>
      <c r="L111" s="2">
        <v>2355766.8830234301</v>
      </c>
      <c r="M111" s="3">
        <v>2387.29893221063</v>
      </c>
      <c r="N111" s="3">
        <v>2355766.8830234301</v>
      </c>
      <c r="O111" s="4">
        <v>5.8542029658420099E-2</v>
      </c>
      <c r="P111" s="4">
        <v>2.3406377223888098E-3</v>
      </c>
      <c r="Q111" s="5">
        <v>-2.9588172445999102E-2</v>
      </c>
      <c r="R111" s="5">
        <v>4.5035436423575899E-4</v>
      </c>
      <c r="S111" s="6">
        <v>0.258155812525803</v>
      </c>
      <c r="T111" s="6">
        <v>3.29035275194709E-3</v>
      </c>
      <c r="U111" s="7">
        <v>1.5766672768320202E-2</v>
      </c>
      <c r="V111" s="7">
        <v>1.55180847981426E-2</v>
      </c>
      <c r="W111" s="8">
        <v>0.87494661313743904</v>
      </c>
      <c r="X111" s="8">
        <v>0.109415037296877</v>
      </c>
      <c r="Y111" s="2">
        <v>53</v>
      </c>
      <c r="Z111" s="2">
        <f>VLOOKUP(E111,YieldData!T:U,2,FALSE)</f>
        <v>1785.5487804878051</v>
      </c>
      <c r="AA111">
        <f t="shared" si="2"/>
        <v>0.41079926784624798</v>
      </c>
    </row>
    <row r="112" spans="1:27" x14ac:dyDescent="0.25">
      <c r="A112">
        <v>113</v>
      </c>
      <c r="B112">
        <v>209</v>
      </c>
      <c r="C112" t="s">
        <v>23</v>
      </c>
      <c r="D112">
        <v>25107</v>
      </c>
      <c r="E112">
        <f t="shared" si="3"/>
        <v>25107209</v>
      </c>
      <c r="F112">
        <f>VLOOKUP(E112,YieldData!D:F,2,FALSE)</f>
        <v>6</v>
      </c>
      <c r="G112">
        <f>VLOOKUP($E112,YieldData!$D:$F,3,FALSE)</f>
        <v>3</v>
      </c>
      <c r="H112">
        <v>10</v>
      </c>
      <c r="I112" t="s">
        <v>24</v>
      </c>
      <c r="J112" t="s">
        <v>25</v>
      </c>
      <c r="K112" s="2">
        <v>2421.10827553217</v>
      </c>
      <c r="L112" s="2">
        <v>1403836.5495296901</v>
      </c>
      <c r="M112" s="3">
        <v>2421.10827553217</v>
      </c>
      <c r="N112" s="3">
        <v>1403836.5495296901</v>
      </c>
      <c r="O112" s="4">
        <v>6.1297396408878699E-2</v>
      </c>
      <c r="P112" s="4">
        <v>2.8704963157652301E-3</v>
      </c>
      <c r="Q112" s="5">
        <v>-2.9411666089158801E-2</v>
      </c>
      <c r="R112" s="5">
        <v>7.3045096989925997E-4</v>
      </c>
      <c r="S112" s="6">
        <v>0.2533957975069</v>
      </c>
      <c r="T112" s="6">
        <v>2.8265812997438802E-3</v>
      </c>
      <c r="U112" s="7">
        <v>1.2102367854580199E-2</v>
      </c>
      <c r="V112" s="7">
        <v>1.1955900546884999E-2</v>
      </c>
      <c r="W112" s="8">
        <v>0.87813452914798196</v>
      </c>
      <c r="X112" s="8">
        <v>0.107014277865804</v>
      </c>
      <c r="Y112" s="2">
        <v>59</v>
      </c>
      <c r="Z112" s="2">
        <f>VLOOKUP(E112,YieldData!T:U,2,FALSE)</f>
        <v>1467.1453786906291</v>
      </c>
      <c r="AA112">
        <f t="shared" si="2"/>
        <v>0.45786634450916802</v>
      </c>
    </row>
    <row r="113" spans="1:27" x14ac:dyDescent="0.25">
      <c r="A113">
        <v>114</v>
      </c>
      <c r="B113">
        <v>210</v>
      </c>
      <c r="C113" t="s">
        <v>23</v>
      </c>
      <c r="D113">
        <v>25107</v>
      </c>
      <c r="E113">
        <f t="shared" si="3"/>
        <v>25107210</v>
      </c>
      <c r="F113">
        <f>VLOOKUP(E113,YieldData!D:F,2,FALSE)</f>
        <v>7</v>
      </c>
      <c r="G113">
        <f>VLOOKUP($E113,YieldData!$D:$F,3,FALSE)</f>
        <v>3</v>
      </c>
      <c r="H113">
        <v>10</v>
      </c>
      <c r="I113" t="s">
        <v>24</v>
      </c>
      <c r="J113" t="s">
        <v>25</v>
      </c>
      <c r="K113" s="2">
        <v>2647.7527571559999</v>
      </c>
      <c r="L113" s="2">
        <v>1936011.4774837601</v>
      </c>
      <c r="M113" s="3">
        <v>2647.7527571559999</v>
      </c>
      <c r="N113" s="3">
        <v>1936011.4774837601</v>
      </c>
      <c r="O113" s="4">
        <v>4.6607352447724702E-2</v>
      </c>
      <c r="P113" s="4">
        <v>2.1243389788836698E-3</v>
      </c>
      <c r="Q113" s="5">
        <v>-4.32760911467047E-2</v>
      </c>
      <c r="R113" s="5">
        <v>5.1788561836119205E-4</v>
      </c>
      <c r="S113" s="6">
        <v>0.23834820445920199</v>
      </c>
      <c r="T113" s="6">
        <v>3.0644358531532298E-3</v>
      </c>
      <c r="U113" s="7">
        <v>1.32595570904599E-2</v>
      </c>
      <c r="V113" s="7">
        <v>1.30837412362305E-2</v>
      </c>
      <c r="W113" s="8">
        <v>0.91217544744139101</v>
      </c>
      <c r="X113" s="8">
        <v>8.0111400526384394E-2</v>
      </c>
      <c r="Y113" s="2">
        <v>51</v>
      </c>
      <c r="Z113" s="2">
        <f>VLOOKUP(E113,YieldData!T:U,2,FALSE)</f>
        <v>1599.6951219512193</v>
      </c>
      <c r="AA113">
        <f t="shared" si="2"/>
        <v>0.55738738057425197</v>
      </c>
    </row>
    <row r="114" spans="1:27" x14ac:dyDescent="0.25">
      <c r="A114">
        <v>115</v>
      </c>
      <c r="B114">
        <v>211</v>
      </c>
      <c r="C114" t="s">
        <v>23</v>
      </c>
      <c r="D114">
        <v>25107</v>
      </c>
      <c r="E114">
        <f t="shared" si="3"/>
        <v>25107211</v>
      </c>
      <c r="F114">
        <f>VLOOKUP(E114,YieldData!D:F,2,FALSE)</f>
        <v>7</v>
      </c>
      <c r="G114">
        <f>VLOOKUP($E114,YieldData!$D:$F,3,FALSE)</f>
        <v>2</v>
      </c>
      <c r="H114">
        <v>10</v>
      </c>
      <c r="I114" t="s">
        <v>24</v>
      </c>
      <c r="J114" t="s">
        <v>25</v>
      </c>
      <c r="K114" s="2">
        <v>2217.2720747562298</v>
      </c>
      <c r="L114" s="2">
        <v>1433344.14476534</v>
      </c>
      <c r="M114" s="3">
        <v>2217.2720747562298</v>
      </c>
      <c r="N114" s="3">
        <v>1433344.14476534</v>
      </c>
      <c r="O114" s="4">
        <v>5.19014303711961E-2</v>
      </c>
      <c r="P114" s="4">
        <v>1.87244362079796E-3</v>
      </c>
      <c r="Q114" s="5">
        <v>-3.9021204055758402E-2</v>
      </c>
      <c r="R114" s="5">
        <v>5.8268576983093001E-4</v>
      </c>
      <c r="S114" s="6">
        <v>0.23595218776976901</v>
      </c>
      <c r="T114" s="6">
        <v>2.0043298073090898E-3</v>
      </c>
      <c r="U114" s="7">
        <v>6.3281788633901296E-3</v>
      </c>
      <c r="V114" s="7">
        <v>6.2881330156743503E-3</v>
      </c>
      <c r="W114" s="8">
        <v>0.90410823987097899</v>
      </c>
      <c r="X114" s="8">
        <v>8.6696530468411206E-2</v>
      </c>
      <c r="Y114" s="2">
        <v>61</v>
      </c>
      <c r="Z114" s="2">
        <f>VLOOKUP(E114,YieldData!T:U,2,FALSE)</f>
        <v>1675.2695763799745</v>
      </c>
      <c r="AA114">
        <f t="shared" si="2"/>
        <v>0.44863414213785402</v>
      </c>
    </row>
    <row r="115" spans="1:27" x14ac:dyDescent="0.25">
      <c r="A115">
        <v>116</v>
      </c>
      <c r="B115">
        <v>212</v>
      </c>
      <c r="C115" t="s">
        <v>23</v>
      </c>
      <c r="D115">
        <v>25107</v>
      </c>
      <c r="E115">
        <f t="shared" si="3"/>
        <v>25107212</v>
      </c>
      <c r="F115">
        <f>VLOOKUP(E115,YieldData!D:F,2,FALSE)</f>
        <v>6</v>
      </c>
      <c r="G115">
        <f>VLOOKUP($E115,YieldData!$D:$F,3,FALSE)</f>
        <v>2</v>
      </c>
      <c r="H115">
        <v>10</v>
      </c>
      <c r="I115" t="s">
        <v>24</v>
      </c>
      <c r="J115" t="s">
        <v>25</v>
      </c>
      <c r="K115" s="2">
        <v>2250.88765160395</v>
      </c>
      <c r="L115" s="2">
        <v>2803638.2786846599</v>
      </c>
      <c r="M115" s="3">
        <v>2250.88765160395</v>
      </c>
      <c r="N115" s="3">
        <v>2803638.2786846599</v>
      </c>
      <c r="O115" s="4">
        <v>6.1380783627651703E-2</v>
      </c>
      <c r="P115" s="4">
        <v>3.4729285015264099E-3</v>
      </c>
      <c r="Q115" s="5">
        <v>-3.4107555696228399E-2</v>
      </c>
      <c r="R115" s="5">
        <v>6.7470756784790496E-4</v>
      </c>
      <c r="S115" s="6">
        <v>0.24586874149249899</v>
      </c>
      <c r="T115" s="6">
        <v>5.1517790207948203E-3</v>
      </c>
      <c r="U115" s="7">
        <v>2.4711145133124401E-2</v>
      </c>
      <c r="V115" s="7">
        <v>2.4100504439353201E-2</v>
      </c>
      <c r="W115" s="8">
        <v>0.90272345616993799</v>
      </c>
      <c r="X115" s="8">
        <v>8.7813817850592293E-2</v>
      </c>
      <c r="Y115" s="2">
        <v>81</v>
      </c>
      <c r="Z115" s="2">
        <f>VLOOKUP(E115,YieldData!T:U,2,FALSE)</f>
        <v>2312.836970474968</v>
      </c>
      <c r="AA115">
        <f t="shared" si="2"/>
        <v>0.36414733317388198</v>
      </c>
    </row>
    <row r="116" spans="1:27" x14ac:dyDescent="0.25">
      <c r="A116">
        <v>117</v>
      </c>
      <c r="B116">
        <v>301</v>
      </c>
      <c r="C116" t="s">
        <v>23</v>
      </c>
      <c r="D116">
        <v>25110</v>
      </c>
      <c r="E116">
        <f t="shared" si="3"/>
        <v>25110301</v>
      </c>
      <c r="F116">
        <f>VLOOKUP(E116,YieldData!D:F,2,FALSE)</f>
        <v>1</v>
      </c>
      <c r="G116">
        <f>VLOOKUP($E116,YieldData!$D:$F,3,FALSE)</f>
        <v>1</v>
      </c>
      <c r="H116">
        <v>10</v>
      </c>
      <c r="I116" t="s">
        <v>24</v>
      </c>
      <c r="J116" t="s">
        <v>25</v>
      </c>
      <c r="K116" s="2">
        <v>2097.06193249647</v>
      </c>
      <c r="L116" s="2">
        <v>6312095.6060474701</v>
      </c>
      <c r="M116" s="3">
        <v>2097.06193249647</v>
      </c>
      <c r="N116" s="3">
        <v>6312095.6060474701</v>
      </c>
      <c r="O116" s="4">
        <v>2.6494766907522602E-2</v>
      </c>
      <c r="P116" s="4">
        <v>2.86406863592747E-3</v>
      </c>
      <c r="Q116" s="5">
        <v>-5.2354308917249202E-2</v>
      </c>
      <c r="R116" s="5">
        <v>4.9464817700047199E-4</v>
      </c>
      <c r="S116" s="6">
        <v>0.20041623049030699</v>
      </c>
      <c r="T116" s="6">
        <v>5.3550330096623702E-3</v>
      </c>
      <c r="U116" s="7">
        <v>1.9667426352663098E-2</v>
      </c>
      <c r="V116" s="7">
        <v>1.9280618693348898E-2</v>
      </c>
      <c r="W116" s="8">
        <v>0.91134721836973398</v>
      </c>
      <c r="X116" s="8">
        <v>8.0793465939495407E-2</v>
      </c>
      <c r="Y116" s="2">
        <v>56</v>
      </c>
      <c r="Z116" s="2">
        <f>VLOOKUP(E116,YieldData!T:U,2,FALSE)</f>
        <v>1782.9894094993581</v>
      </c>
      <c r="AA116">
        <f t="shared" si="2"/>
        <v>0.52055802064242296</v>
      </c>
    </row>
    <row r="117" spans="1:27" x14ac:dyDescent="0.25">
      <c r="A117">
        <v>118</v>
      </c>
      <c r="B117">
        <v>302</v>
      </c>
      <c r="C117" t="s">
        <v>23</v>
      </c>
      <c r="D117">
        <v>25110</v>
      </c>
      <c r="E117">
        <f t="shared" si="3"/>
        <v>25110302</v>
      </c>
      <c r="F117">
        <f>VLOOKUP(E117,YieldData!D:F,2,FALSE)</f>
        <v>2</v>
      </c>
      <c r="G117">
        <f>VLOOKUP($E117,YieldData!$D:$F,3,FALSE)</f>
        <v>1</v>
      </c>
      <c r="H117">
        <v>10</v>
      </c>
      <c r="I117" t="s">
        <v>24</v>
      </c>
      <c r="J117" t="s">
        <v>25</v>
      </c>
      <c r="K117" s="2">
        <v>1948.71414221138</v>
      </c>
      <c r="L117" s="2">
        <v>8237876.9885539999</v>
      </c>
      <c r="M117" s="3">
        <v>1948.71414221138</v>
      </c>
      <c r="N117" s="3">
        <v>8237876.9885539999</v>
      </c>
      <c r="O117" s="4">
        <v>4.1902455320014603E-2</v>
      </c>
      <c r="P117" s="4">
        <v>2.5351132138376801E-3</v>
      </c>
      <c r="Q117" s="5">
        <v>-4.5893205760054498E-2</v>
      </c>
      <c r="R117" s="5">
        <v>4.2449851097847702E-4</v>
      </c>
      <c r="S117" s="6">
        <v>0.21806419543689001</v>
      </c>
      <c r="T117" s="6">
        <v>5.8207903043442201E-3</v>
      </c>
      <c r="U117" s="7">
        <v>2.5232594293367799E-2</v>
      </c>
      <c r="V117" s="7">
        <v>2.4595910478554198E-2</v>
      </c>
      <c r="W117" s="8">
        <v>0.87446632942273905</v>
      </c>
      <c r="X117" s="8">
        <v>0.109774968128717</v>
      </c>
      <c r="Y117" s="2">
        <v>49</v>
      </c>
      <c r="Z117" s="2">
        <f>VLOOKUP(E117,YieldData!T:U,2,FALSE)</f>
        <v>1480.0224646983313</v>
      </c>
      <c r="AA117">
        <f t="shared" si="2"/>
        <v>0.51252795617906299</v>
      </c>
    </row>
    <row r="118" spans="1:27" x14ac:dyDescent="0.25">
      <c r="A118">
        <v>119</v>
      </c>
      <c r="B118">
        <v>303</v>
      </c>
      <c r="C118" t="s">
        <v>23</v>
      </c>
      <c r="D118">
        <v>25110</v>
      </c>
      <c r="E118">
        <f t="shared" si="3"/>
        <v>25110303</v>
      </c>
      <c r="F118">
        <f>VLOOKUP(E118,YieldData!D:F,2,FALSE)</f>
        <v>3</v>
      </c>
      <c r="G118">
        <f>VLOOKUP($E118,YieldData!$D:$F,3,FALSE)</f>
        <v>1</v>
      </c>
      <c r="H118">
        <v>10</v>
      </c>
      <c r="I118" t="s">
        <v>24</v>
      </c>
      <c r="J118" t="s">
        <v>25</v>
      </c>
      <c r="K118" s="2">
        <v>1832.8017391928399</v>
      </c>
      <c r="L118" s="2">
        <v>6080799.38363708</v>
      </c>
      <c r="M118" s="3">
        <v>1832.8017391928399</v>
      </c>
      <c r="N118" s="3">
        <v>6080799.38363708</v>
      </c>
      <c r="O118" s="4">
        <v>5.40310143086472E-2</v>
      </c>
      <c r="P118" s="4">
        <v>2.7594019575648198E-3</v>
      </c>
      <c r="Q118" s="5">
        <v>-3.7783874106831102E-2</v>
      </c>
      <c r="R118" s="5">
        <v>5.0722554170189301E-4</v>
      </c>
      <c r="S118" s="6">
        <v>0.234954438126807</v>
      </c>
      <c r="T118" s="6">
        <v>5.6458258920254901E-3</v>
      </c>
      <c r="U118" s="7">
        <v>2.59204325255377E-2</v>
      </c>
      <c r="V118" s="7">
        <v>2.5248563703247899E-2</v>
      </c>
      <c r="W118" s="8">
        <v>0.80210974501267795</v>
      </c>
      <c r="X118" s="8">
        <v>0.15872970196827499</v>
      </c>
      <c r="Y118" s="2">
        <v>44</v>
      </c>
      <c r="Z118" s="2">
        <f>VLOOKUP(E118,YieldData!T:U,2,FALSE)</f>
        <v>1611.0173299101414</v>
      </c>
      <c r="AA118">
        <f t="shared" si="2"/>
        <v>0.61807200095682302</v>
      </c>
    </row>
    <row r="119" spans="1:27" x14ac:dyDescent="0.25">
      <c r="A119">
        <v>120</v>
      </c>
      <c r="B119">
        <v>304</v>
      </c>
      <c r="C119" t="s">
        <v>23</v>
      </c>
      <c r="D119">
        <v>25110</v>
      </c>
      <c r="E119">
        <f t="shared" si="3"/>
        <v>25110304</v>
      </c>
      <c r="F119">
        <f>VLOOKUP(E119,YieldData!D:F,2,FALSE)</f>
        <v>4</v>
      </c>
      <c r="G119">
        <f>VLOOKUP($E119,YieldData!$D:$F,3,FALSE)</f>
        <v>1</v>
      </c>
      <c r="H119">
        <v>10</v>
      </c>
      <c r="I119" t="s">
        <v>24</v>
      </c>
      <c r="J119" t="s">
        <v>25</v>
      </c>
      <c r="K119" s="2">
        <v>1837.48619398969</v>
      </c>
      <c r="L119" s="2">
        <v>8073717.0250266697</v>
      </c>
      <c r="M119" s="3">
        <v>1837.48619398969</v>
      </c>
      <c r="N119" s="3">
        <v>8073717.0250266697</v>
      </c>
      <c r="O119" s="4">
        <v>5.00577724648609E-2</v>
      </c>
      <c r="P119" s="4">
        <v>2.7443384856415298E-3</v>
      </c>
      <c r="Q119" s="5">
        <v>-3.8408501885371801E-2</v>
      </c>
      <c r="R119" s="5">
        <v>5.54326466967307E-4</v>
      </c>
      <c r="S119" s="6">
        <v>0.24091309398343599</v>
      </c>
      <c r="T119" s="6">
        <v>6.2648059191327101E-3</v>
      </c>
      <c r="U119" s="7">
        <v>3.1008215443119699E-2</v>
      </c>
      <c r="V119" s="7">
        <v>3.0046706018170801E-2</v>
      </c>
      <c r="W119" s="8">
        <v>0.87158574503707198</v>
      </c>
      <c r="X119" s="8">
        <v>0.11192403408523401</v>
      </c>
      <c r="Y119" s="2">
        <v>57</v>
      </c>
      <c r="Z119" s="2">
        <f>VLOOKUP(E119,YieldData!T:U,2,FALSE)</f>
        <v>1064.6341463414635</v>
      </c>
      <c r="AA119">
        <f t="shared" si="2"/>
        <v>0.569009030560373</v>
      </c>
    </row>
    <row r="120" spans="1:27" x14ac:dyDescent="0.25">
      <c r="A120">
        <v>121</v>
      </c>
      <c r="B120">
        <v>305</v>
      </c>
      <c r="C120" t="s">
        <v>23</v>
      </c>
      <c r="D120">
        <v>25110</v>
      </c>
      <c r="E120">
        <f t="shared" si="3"/>
        <v>25110305</v>
      </c>
      <c r="F120">
        <f>VLOOKUP(E120,YieldData!D:F,2,FALSE)</f>
        <v>5</v>
      </c>
      <c r="G120">
        <f>VLOOKUP($E120,YieldData!$D:$F,3,FALSE)</f>
        <v>1</v>
      </c>
      <c r="H120">
        <v>10</v>
      </c>
      <c r="I120" t="s">
        <v>24</v>
      </c>
      <c r="J120" t="s">
        <v>25</v>
      </c>
      <c r="K120" s="2">
        <v>1782.0082752352801</v>
      </c>
      <c r="L120" s="2">
        <v>7683218.0972731197</v>
      </c>
      <c r="M120" s="3">
        <v>1782.0082752352801</v>
      </c>
      <c r="N120" s="3">
        <v>7683218.0972731197</v>
      </c>
      <c r="O120" s="4">
        <v>6.6729569680431797E-2</v>
      </c>
      <c r="P120" s="4">
        <v>3.2390634755722399E-3</v>
      </c>
      <c r="Q120" s="5">
        <v>-3.2852139543185201E-2</v>
      </c>
      <c r="R120" s="5">
        <v>5.4753533361235804E-4</v>
      </c>
      <c r="S120" s="6">
        <v>0.258172051495489</v>
      </c>
      <c r="T120" s="6">
        <v>6.6172191640127501E-3</v>
      </c>
      <c r="U120" s="7">
        <v>3.5492627626370697E-2</v>
      </c>
      <c r="V120" s="7">
        <v>3.4232901010588797E-2</v>
      </c>
      <c r="W120" s="8">
        <v>0.84022196708763897</v>
      </c>
      <c r="X120" s="8">
        <v>0.13424901311104701</v>
      </c>
      <c r="Y120" s="2">
        <v>67</v>
      </c>
      <c r="Z120" s="2">
        <f>VLOOKUP(E120,YieldData!T:U,2,FALSE)</f>
        <v>1594.5442875481385</v>
      </c>
      <c r="AA120">
        <f t="shared" si="2"/>
        <v>0.53438191495723897</v>
      </c>
    </row>
    <row r="121" spans="1:27" x14ac:dyDescent="0.25">
      <c r="A121">
        <v>122</v>
      </c>
      <c r="B121">
        <v>306</v>
      </c>
      <c r="C121" t="s">
        <v>23</v>
      </c>
      <c r="D121">
        <v>25110</v>
      </c>
      <c r="E121">
        <f t="shared" si="3"/>
        <v>25110306</v>
      </c>
      <c r="F121">
        <f>VLOOKUP(E121,YieldData!D:F,2,FALSE)</f>
        <v>6</v>
      </c>
      <c r="G121">
        <f>VLOOKUP($E121,YieldData!$D:$F,3,FALSE)</f>
        <v>1</v>
      </c>
      <c r="H121">
        <v>10</v>
      </c>
      <c r="I121" t="s">
        <v>24</v>
      </c>
      <c r="J121" t="s">
        <v>25</v>
      </c>
      <c r="K121" s="2">
        <v>1680.1678587661199</v>
      </c>
      <c r="L121" s="2">
        <v>3828840.1478155698</v>
      </c>
      <c r="M121" s="3">
        <v>1680.1678587661199</v>
      </c>
      <c r="N121" s="3">
        <v>3828840.1478155698</v>
      </c>
      <c r="O121" s="4">
        <v>7.3386020794496604E-2</v>
      </c>
      <c r="P121" s="4">
        <v>3.4314836225142098E-3</v>
      </c>
      <c r="Q121" s="5">
        <v>-2.3814665229862399E-2</v>
      </c>
      <c r="R121" s="5">
        <v>7.64956656429543E-4</v>
      </c>
      <c r="S121" s="6">
        <v>0.26151590941935599</v>
      </c>
      <c r="T121" s="6">
        <v>4.9516777256586797E-3</v>
      </c>
      <c r="U121" s="7">
        <v>2.5213501423342801E-2</v>
      </c>
      <c r="V121" s="7">
        <v>2.4577780769261801E-2</v>
      </c>
      <c r="W121" s="8">
        <v>0.82259164025593501</v>
      </c>
      <c r="X121" s="8">
        <v>0.14593463363690801</v>
      </c>
      <c r="Y121" s="2">
        <v>50</v>
      </c>
      <c r="Z121" s="2">
        <f>VLOOKUP(E121,YieldData!T:U,2,FALSE)</f>
        <v>875.55519897304237</v>
      </c>
      <c r="AA121">
        <f t="shared" si="2"/>
        <v>0.44526830668404699</v>
      </c>
    </row>
    <row r="122" spans="1:27" x14ac:dyDescent="0.25">
      <c r="A122">
        <v>123</v>
      </c>
      <c r="B122">
        <v>307</v>
      </c>
      <c r="C122" t="s">
        <v>23</v>
      </c>
      <c r="D122">
        <v>25110</v>
      </c>
      <c r="E122">
        <f t="shared" si="3"/>
        <v>25110307</v>
      </c>
      <c r="F122">
        <f>VLOOKUP(E122,YieldData!D:F,2,FALSE)</f>
        <v>7</v>
      </c>
      <c r="G122">
        <f>VLOOKUP($E122,YieldData!$D:$F,3,FALSE)</f>
        <v>1</v>
      </c>
      <c r="H122">
        <v>10</v>
      </c>
      <c r="I122" t="s">
        <v>24</v>
      </c>
      <c r="J122" t="s">
        <v>25</v>
      </c>
      <c r="K122" s="2">
        <v>2152.3506285358899</v>
      </c>
      <c r="L122" s="2">
        <v>2618835.0684550698</v>
      </c>
      <c r="M122" s="3">
        <v>2152.3506285358899</v>
      </c>
      <c r="N122" s="3">
        <v>2618835.0684550698</v>
      </c>
      <c r="O122" s="4">
        <v>6.0376783507782299E-2</v>
      </c>
      <c r="P122" s="4">
        <v>3.17763670960756E-3</v>
      </c>
      <c r="Q122" s="5">
        <v>-3.0073970993737102E-2</v>
      </c>
      <c r="R122" s="5">
        <v>5.3368294994749399E-4</v>
      </c>
      <c r="S122" s="6">
        <v>0.25395547702107801</v>
      </c>
      <c r="T122" s="6">
        <v>4.7575492495554499E-3</v>
      </c>
      <c r="U122" s="7">
        <v>2.2773212769265701E-2</v>
      </c>
      <c r="V122" s="7">
        <v>2.22545935493976E-2</v>
      </c>
      <c r="W122" s="8">
        <v>0.91408614111258601</v>
      </c>
      <c r="X122" s="8">
        <v>7.8532667738416301E-2</v>
      </c>
      <c r="Y122" s="2">
        <v>61</v>
      </c>
      <c r="Z122" s="2">
        <f>VLOOKUP(E122,YieldData!T:U,2,FALSE)</f>
        <v>1489.1415275994866</v>
      </c>
      <c r="AA122">
        <f t="shared" si="2"/>
        <v>0.48000382701875199</v>
      </c>
    </row>
    <row r="123" spans="1:27" x14ac:dyDescent="0.25">
      <c r="A123">
        <v>124</v>
      </c>
      <c r="B123">
        <v>308</v>
      </c>
      <c r="C123" t="s">
        <v>23</v>
      </c>
      <c r="D123">
        <v>25110</v>
      </c>
      <c r="E123">
        <f t="shared" si="3"/>
        <v>25110308</v>
      </c>
      <c r="F123">
        <f>VLOOKUP(E123,YieldData!D:F,2,FALSE)</f>
        <v>8</v>
      </c>
      <c r="G123">
        <f>VLOOKUP($E123,YieldData!$D:$F,3,FALSE)</f>
        <v>1</v>
      </c>
      <c r="H123">
        <v>10</v>
      </c>
      <c r="I123" t="s">
        <v>24</v>
      </c>
      <c r="J123" t="s">
        <v>25</v>
      </c>
      <c r="K123" s="2">
        <v>3358.5120667798801</v>
      </c>
      <c r="L123" s="2">
        <v>5211616.4922663197</v>
      </c>
      <c r="M123" s="3">
        <v>3358.5120667798801</v>
      </c>
      <c r="N123" s="3">
        <v>5211616.4922663197</v>
      </c>
      <c r="O123" s="4">
        <v>5.1387106101309303E-2</v>
      </c>
      <c r="P123" s="4">
        <v>2.9695014824746698E-3</v>
      </c>
      <c r="Q123" s="5">
        <v>-3.6610715651956699E-2</v>
      </c>
      <c r="R123" s="5">
        <v>4.9826528449505101E-4</v>
      </c>
      <c r="S123" s="6">
        <v>0.24518320482876799</v>
      </c>
      <c r="T123" s="6">
        <v>5.8395069831448203E-3</v>
      </c>
      <c r="U123" s="7">
        <v>2.9036810256164901E-2</v>
      </c>
      <c r="V123" s="7">
        <v>2.8193673906329E-2</v>
      </c>
      <c r="W123" s="8">
        <v>0.91320154510338603</v>
      </c>
      <c r="X123" s="8">
        <v>7.9264483124156696E-2</v>
      </c>
      <c r="Y123" s="2">
        <v>56</v>
      </c>
      <c r="Z123" s="2">
        <f>VLOOKUP(E123,YieldData!T:U,2,FALSE)</f>
        <v>1340.4685494223365</v>
      </c>
      <c r="AA123">
        <f t="shared" si="2"/>
        <v>0.50702018752391897</v>
      </c>
    </row>
    <row r="124" spans="1:27" x14ac:dyDescent="0.25">
      <c r="A124">
        <v>125</v>
      </c>
      <c r="B124">
        <v>309</v>
      </c>
      <c r="C124" t="s">
        <v>23</v>
      </c>
      <c r="D124">
        <v>25110</v>
      </c>
      <c r="E124">
        <f t="shared" si="3"/>
        <v>25110309</v>
      </c>
      <c r="F124">
        <f>VLOOKUP(E124,YieldData!D:F,2,FALSE)</f>
        <v>9</v>
      </c>
      <c r="G124">
        <f>VLOOKUP($E124,YieldData!$D:$F,3,FALSE)</f>
        <v>1</v>
      </c>
      <c r="H124">
        <v>10</v>
      </c>
      <c r="I124" t="s">
        <v>24</v>
      </c>
      <c r="J124" t="s">
        <v>25</v>
      </c>
      <c r="K124" s="2">
        <v>2873.7045590451398</v>
      </c>
      <c r="L124" s="2">
        <v>1060532.3082106099</v>
      </c>
      <c r="M124" s="3">
        <v>2873.7045590451398</v>
      </c>
      <c r="N124" s="3">
        <v>1060532.3082106099</v>
      </c>
      <c r="O124" s="4">
        <v>6.0806117753108999E-2</v>
      </c>
      <c r="P124" s="4">
        <v>2.5745150311203501E-3</v>
      </c>
      <c r="Q124" s="5">
        <v>-2.8600100002341498E-2</v>
      </c>
      <c r="R124" s="5">
        <v>7.3651899588670505E-4</v>
      </c>
      <c r="S124" s="6">
        <v>0.24131975434619399</v>
      </c>
      <c r="T124" s="6">
        <v>2.2636135452138101E-3</v>
      </c>
      <c r="U124" s="7">
        <v>6.2668931040256396E-3</v>
      </c>
      <c r="V124" s="7">
        <v>6.2276191548512301E-3</v>
      </c>
      <c r="W124" s="8">
        <v>0.89402365660842198</v>
      </c>
      <c r="X124" s="8">
        <v>9.4745358032830296E-2</v>
      </c>
      <c r="Y124" s="2">
        <v>50</v>
      </c>
      <c r="Z124" s="2">
        <f>VLOOKUP(E124,YieldData!T:U,2,FALSE)</f>
        <v>1535.1412066752248</v>
      </c>
      <c r="AA124">
        <f t="shared" si="2"/>
        <v>0.30382214355760701</v>
      </c>
    </row>
    <row r="125" spans="1:27" x14ac:dyDescent="0.25">
      <c r="A125">
        <v>126</v>
      </c>
      <c r="B125">
        <v>310</v>
      </c>
      <c r="C125" t="s">
        <v>23</v>
      </c>
      <c r="D125">
        <v>25110</v>
      </c>
      <c r="E125">
        <f t="shared" si="3"/>
        <v>25110310</v>
      </c>
      <c r="F125">
        <f>VLOOKUP(E125,YieldData!D:F,2,FALSE)</f>
        <v>10</v>
      </c>
      <c r="G125">
        <f>VLOOKUP($E125,YieldData!$D:$F,3,FALSE)</f>
        <v>1</v>
      </c>
      <c r="H125">
        <v>10</v>
      </c>
      <c r="I125" t="s">
        <v>24</v>
      </c>
      <c r="J125" t="s">
        <v>25</v>
      </c>
      <c r="K125" s="2">
        <v>3177.6449167035398</v>
      </c>
      <c r="L125" s="2">
        <v>3133113.8252535602</v>
      </c>
      <c r="M125" s="3">
        <v>3177.6449167035398</v>
      </c>
      <c r="N125" s="3">
        <v>3133113.8252535602</v>
      </c>
      <c r="O125" s="4">
        <v>5.25667909595618E-2</v>
      </c>
      <c r="P125" s="4">
        <v>2.5494569001873698E-3</v>
      </c>
      <c r="Q125" s="5">
        <v>-3.63684848208779E-2</v>
      </c>
      <c r="R125" s="5">
        <v>6.96658851046363E-4</v>
      </c>
      <c r="S125" s="6">
        <v>0.23314331013339101</v>
      </c>
      <c r="T125" s="6">
        <v>3.1287025966220102E-3</v>
      </c>
      <c r="U125" s="7">
        <v>1.19114534125836E-2</v>
      </c>
      <c r="V125" s="7">
        <v>1.1769570690152E-2</v>
      </c>
      <c r="W125" s="8">
        <v>0.84643625926811805</v>
      </c>
      <c r="X125" s="8">
        <v>0.129981918264156</v>
      </c>
      <c r="Y125" s="2">
        <v>50</v>
      </c>
      <c r="Z125" s="2">
        <f>VLOOKUP(E125,YieldData!T:U,2,FALSE)</f>
        <v>1065.8279845956356</v>
      </c>
      <c r="AA125">
        <f t="shared" si="2"/>
        <v>0.59022628330861604</v>
      </c>
    </row>
    <row r="126" spans="1:27" x14ac:dyDescent="0.25">
      <c r="A126">
        <v>127</v>
      </c>
      <c r="B126">
        <v>311</v>
      </c>
      <c r="C126" t="s">
        <v>23</v>
      </c>
      <c r="D126">
        <v>25110</v>
      </c>
      <c r="E126">
        <f t="shared" si="3"/>
        <v>25110311</v>
      </c>
      <c r="F126">
        <f>VLOOKUP(E126,YieldData!D:F,2,FALSE)</f>
        <v>11</v>
      </c>
      <c r="G126">
        <f>VLOOKUP($E126,YieldData!$D:$F,3,FALSE)</f>
        <v>1</v>
      </c>
      <c r="H126">
        <v>10</v>
      </c>
      <c r="I126" t="s">
        <v>24</v>
      </c>
      <c r="J126" t="s">
        <v>25</v>
      </c>
      <c r="K126" s="2">
        <v>3151.5449948587702</v>
      </c>
      <c r="L126" s="2">
        <v>4834863.1433241302</v>
      </c>
      <c r="M126" s="3">
        <v>3151.5449948587702</v>
      </c>
      <c r="N126" s="3">
        <v>4834863.1433241302</v>
      </c>
      <c r="O126" s="4">
        <v>6.95504644319518E-2</v>
      </c>
      <c r="P126" s="4">
        <v>2.9045672832896498E-3</v>
      </c>
      <c r="Q126" s="5">
        <v>-2.92283899501628E-2</v>
      </c>
      <c r="R126" s="5">
        <v>6.47208895492225E-4</v>
      </c>
      <c r="S126" s="6">
        <v>0.245801417615508</v>
      </c>
      <c r="T126" s="6">
        <v>4.5445976048001501E-3</v>
      </c>
      <c r="U126" s="7">
        <v>2.0286699328615501E-2</v>
      </c>
      <c r="V126" s="7">
        <v>1.9875149158994802E-2</v>
      </c>
      <c r="W126" s="8">
        <v>0.85826438283253503</v>
      </c>
      <c r="X126" s="8">
        <v>0.12164663199367</v>
      </c>
      <c r="Y126" s="2">
        <v>63</v>
      </c>
      <c r="Z126" s="2">
        <f>VLOOKUP(E126,YieldData!T:U,2,FALSE)</f>
        <v>854.77695763799738</v>
      </c>
      <c r="AA126">
        <f t="shared" si="2"/>
        <v>0.44120778089615798</v>
      </c>
    </row>
    <row r="127" spans="1:27" x14ac:dyDescent="0.25">
      <c r="A127">
        <v>128</v>
      </c>
      <c r="B127">
        <v>312</v>
      </c>
      <c r="C127" t="s">
        <v>23</v>
      </c>
      <c r="D127">
        <v>25110</v>
      </c>
      <c r="E127">
        <f t="shared" si="3"/>
        <v>25110312</v>
      </c>
      <c r="F127">
        <f>VLOOKUP(E127,YieldData!D:F,2,FALSE)</f>
        <v>12</v>
      </c>
      <c r="G127">
        <f>VLOOKUP($E127,YieldData!$D:$F,3,FALSE)</f>
        <v>1</v>
      </c>
      <c r="H127">
        <v>10</v>
      </c>
      <c r="I127" t="s">
        <v>24</v>
      </c>
      <c r="J127" t="s">
        <v>25</v>
      </c>
      <c r="K127" s="2">
        <v>3095.2444324841499</v>
      </c>
      <c r="L127" s="2">
        <v>7133590.0871850299</v>
      </c>
      <c r="M127" s="3">
        <v>3095.2444324841499</v>
      </c>
      <c r="N127" s="3">
        <v>7133590.0871850299</v>
      </c>
      <c r="O127" s="4">
        <v>7.6546971198367605E-2</v>
      </c>
      <c r="P127" s="4">
        <v>3.0392379542818998E-3</v>
      </c>
      <c r="Q127" s="5">
        <v>-2.4043681307591901E-2</v>
      </c>
      <c r="R127" s="5">
        <v>6.6439524350474601E-4</v>
      </c>
      <c r="S127" s="6">
        <v>0.25507805460025601</v>
      </c>
      <c r="T127" s="6">
        <v>5.8327372577952202E-3</v>
      </c>
      <c r="U127" s="7">
        <v>2.9254873818921199E-2</v>
      </c>
      <c r="V127" s="7">
        <v>2.8399026176754199E-2</v>
      </c>
      <c r="W127" s="8">
        <v>0.84989894399464205</v>
      </c>
      <c r="X127" s="8">
        <v>0.12757072899129901</v>
      </c>
      <c r="Y127" s="2">
        <v>76</v>
      </c>
      <c r="Z127" s="2">
        <f>VLOOKUP(E127,YieldData!T:U,2,FALSE)</f>
        <v>1500.4236200256737</v>
      </c>
      <c r="AA127">
        <f t="shared" si="2"/>
        <v>0.35516668062150902</v>
      </c>
    </row>
    <row r="128" spans="1:27" x14ac:dyDescent="0.25">
      <c r="A128">
        <v>129</v>
      </c>
      <c r="B128">
        <v>401</v>
      </c>
      <c r="C128" t="s">
        <v>23</v>
      </c>
      <c r="D128">
        <v>25110</v>
      </c>
      <c r="E128">
        <f t="shared" si="3"/>
        <v>25110401</v>
      </c>
      <c r="F128">
        <f>VLOOKUP(E128,YieldData!D:F,2,FALSE)</f>
        <v>3</v>
      </c>
      <c r="G128">
        <f>VLOOKUP($E128,YieldData!$D:$F,3,FALSE)</f>
        <v>2</v>
      </c>
      <c r="H128">
        <v>10</v>
      </c>
      <c r="I128" t="s">
        <v>24</v>
      </c>
      <c r="J128" t="s">
        <v>25</v>
      </c>
      <c r="K128" s="2">
        <v>2070.0207986987398</v>
      </c>
      <c r="L128" s="2">
        <v>5998787.6449132301</v>
      </c>
      <c r="M128" s="3">
        <v>2070.0207986987398</v>
      </c>
      <c r="N128" s="3">
        <v>5998787.6449132301</v>
      </c>
      <c r="O128" s="4">
        <v>2.2707518645695798E-2</v>
      </c>
      <c r="P128" s="4">
        <v>2.1655467995648002E-3</v>
      </c>
      <c r="Q128" s="5">
        <v>-5.5208438299029799E-2</v>
      </c>
      <c r="R128" s="5">
        <v>4.3972476314943601E-4</v>
      </c>
      <c r="S128" s="6">
        <v>0.204413276529337</v>
      </c>
      <c r="T128" s="6">
        <v>4.5184097227899704E-3</v>
      </c>
      <c r="U128" s="7">
        <v>1.7067132315126E-2</v>
      </c>
      <c r="V128" s="7">
        <v>1.67758453096436E-2</v>
      </c>
      <c r="W128" s="8">
        <v>0.93276165189623605</v>
      </c>
      <c r="X128" s="8">
        <v>6.27173526481066E-2</v>
      </c>
      <c r="Y128" s="2">
        <v>62</v>
      </c>
      <c r="Z128" s="2">
        <f>VLOOKUP(E128,YieldData!T:U,2,FALSE)</f>
        <v>1017.8177150192552</v>
      </c>
      <c r="AA128">
        <f t="shared" si="2"/>
        <v>0.456787465614161</v>
      </c>
    </row>
    <row r="129" spans="1:27" x14ac:dyDescent="0.25">
      <c r="A129">
        <v>130</v>
      </c>
      <c r="B129">
        <v>402</v>
      </c>
      <c r="C129" t="s">
        <v>23</v>
      </c>
      <c r="D129">
        <v>25110</v>
      </c>
      <c r="E129">
        <f t="shared" si="3"/>
        <v>25110402</v>
      </c>
      <c r="F129">
        <f>VLOOKUP(E129,YieldData!D:F,2,FALSE)</f>
        <v>15</v>
      </c>
      <c r="G129">
        <f>VLOOKUP($E129,YieldData!$D:$F,3,FALSE)</f>
        <v>2</v>
      </c>
      <c r="H129">
        <v>10</v>
      </c>
      <c r="I129" t="s">
        <v>24</v>
      </c>
      <c r="J129" t="s">
        <v>25</v>
      </c>
      <c r="K129" s="2">
        <v>2064.6219744058499</v>
      </c>
      <c r="L129" s="2">
        <v>7842827.0094304401</v>
      </c>
      <c r="M129" s="3">
        <v>2064.6219744058499</v>
      </c>
      <c r="N129" s="3">
        <v>7842827.0094304401</v>
      </c>
      <c r="O129" s="4">
        <v>4.1706169615883103E-2</v>
      </c>
      <c r="P129" s="4">
        <v>2.3270632469682899E-3</v>
      </c>
      <c r="Q129" s="5">
        <v>-4.78614866118863E-2</v>
      </c>
      <c r="R129" s="5">
        <v>4.2590355075829801E-4</v>
      </c>
      <c r="S129" s="6">
        <v>0.22386516522918101</v>
      </c>
      <c r="T129" s="6">
        <v>5.6431573709287801E-3</v>
      </c>
      <c r="U129" s="7">
        <v>2.5447897623400401E-2</v>
      </c>
      <c r="V129" s="7">
        <v>2.4800302130004E-2</v>
      </c>
      <c r="W129" s="8">
        <v>0.88088477240874996</v>
      </c>
      <c r="X129" s="8">
        <v>0.104926790147268</v>
      </c>
      <c r="Y129" s="2">
        <v>46</v>
      </c>
      <c r="Z129" s="2">
        <f>VLOOKUP(E129,YieldData!T:U,2,FALSE)</f>
        <v>894.42394094993597</v>
      </c>
      <c r="AA129">
        <f t="shared" si="2"/>
        <v>0.448570906210007</v>
      </c>
    </row>
    <row r="130" spans="1:27" x14ac:dyDescent="0.25">
      <c r="A130">
        <v>131</v>
      </c>
      <c r="B130">
        <v>403</v>
      </c>
      <c r="C130" t="s">
        <v>23</v>
      </c>
      <c r="D130">
        <v>25110</v>
      </c>
      <c r="E130">
        <f t="shared" si="3"/>
        <v>25110403</v>
      </c>
      <c r="F130">
        <f>VLOOKUP(E130,YieldData!D:F,2,FALSE)</f>
        <v>7</v>
      </c>
      <c r="G130">
        <f>VLOOKUP($E130,YieldData!$D:$F,3,FALSE)</f>
        <v>2</v>
      </c>
      <c r="H130">
        <v>10</v>
      </c>
      <c r="I130" t="s">
        <v>24</v>
      </c>
      <c r="J130" t="s">
        <v>25</v>
      </c>
      <c r="K130" s="2">
        <v>1967.09646479143</v>
      </c>
      <c r="L130" s="2">
        <v>5816674.4591453904</v>
      </c>
      <c r="M130" s="3">
        <v>1967.09646479143</v>
      </c>
      <c r="N130" s="3">
        <v>5816674.4591453904</v>
      </c>
      <c r="O130" s="4">
        <v>5.5085806712298402E-2</v>
      </c>
      <c r="P130" s="4">
        <v>2.5398044640411802E-3</v>
      </c>
      <c r="Q130" s="5">
        <v>-3.9760943541206302E-2</v>
      </c>
      <c r="R130" s="5">
        <v>3.6706028237389401E-4</v>
      </c>
      <c r="S130" s="6">
        <v>0.24111110785488399</v>
      </c>
      <c r="T130" s="6">
        <v>6.0191166105052199E-3</v>
      </c>
      <c r="U130" s="7">
        <v>3.08672981247608E-2</v>
      </c>
      <c r="V130" s="7">
        <v>2.9914508031235701E-2</v>
      </c>
      <c r="W130" s="8">
        <v>0.87316128106388602</v>
      </c>
      <c r="X130" s="8">
        <v>0.110750658315038</v>
      </c>
      <c r="Y130" s="2">
        <v>59</v>
      </c>
      <c r="Z130" s="2">
        <f>VLOOKUP(E130,YieldData!T:U,2,FALSE)</f>
        <v>1357.461489088575</v>
      </c>
      <c r="AA130">
        <f t="shared" ref="AA130:AA193" si="4">_xlfn.MAXIFS(U:U,E:E,E130)</f>
        <v>0.53847349789513999</v>
      </c>
    </row>
    <row r="131" spans="1:27" x14ac:dyDescent="0.25">
      <c r="A131">
        <v>132</v>
      </c>
      <c r="B131">
        <v>404</v>
      </c>
      <c r="C131" t="s">
        <v>23</v>
      </c>
      <c r="D131">
        <v>25110</v>
      </c>
      <c r="E131">
        <f t="shared" ref="E131:E194" si="5">D131*1000+B131</f>
        <v>25110404</v>
      </c>
      <c r="F131">
        <f>VLOOKUP(E131,YieldData!D:F,2,FALSE)</f>
        <v>14</v>
      </c>
      <c r="G131">
        <f>VLOOKUP($E131,YieldData!$D:$F,3,FALSE)</f>
        <v>2</v>
      </c>
      <c r="H131">
        <v>10</v>
      </c>
      <c r="I131" t="s">
        <v>24</v>
      </c>
      <c r="J131" t="s">
        <v>25</v>
      </c>
      <c r="K131" s="2">
        <v>1997.93097014925</v>
      </c>
      <c r="L131" s="2">
        <v>7263510.5587394899</v>
      </c>
      <c r="M131" s="3">
        <v>1997.93097014925</v>
      </c>
      <c r="N131" s="3">
        <v>7263510.5587394899</v>
      </c>
      <c r="O131" s="4">
        <v>6.4551496414862602E-2</v>
      </c>
      <c r="P131" s="4">
        <v>2.9523087070346299E-3</v>
      </c>
      <c r="Q131" s="5">
        <v>-3.1777049071656502E-2</v>
      </c>
      <c r="R131" s="5">
        <v>6.39218121826587E-4</v>
      </c>
      <c r="S131" s="6">
        <v>0.25178334717742201</v>
      </c>
      <c r="T131" s="6">
        <v>6.0275867597555897E-3</v>
      </c>
      <c r="U131" s="7">
        <v>2.91690585533869E-2</v>
      </c>
      <c r="V131" s="7">
        <v>2.8318224576544399E-2</v>
      </c>
      <c r="W131" s="8">
        <v>0.88482558209062301</v>
      </c>
      <c r="X131" s="8">
        <v>0.10190927136865301</v>
      </c>
      <c r="Y131" s="2">
        <v>54</v>
      </c>
      <c r="Z131" s="2">
        <f>VLOOKUP(E131,YieldData!T:U,2,FALSE)</f>
        <v>1325.8616816431324</v>
      </c>
      <c r="AA131">
        <f t="shared" si="4"/>
        <v>0.53480834778448805</v>
      </c>
    </row>
    <row r="132" spans="1:27" x14ac:dyDescent="0.25">
      <c r="A132">
        <v>133</v>
      </c>
      <c r="B132">
        <v>405</v>
      </c>
      <c r="C132" t="s">
        <v>23</v>
      </c>
      <c r="D132">
        <v>25110</v>
      </c>
      <c r="E132">
        <f t="shared" si="5"/>
        <v>25110405</v>
      </c>
      <c r="F132">
        <f>VLOOKUP(E132,YieldData!D:F,2,FALSE)</f>
        <v>9</v>
      </c>
      <c r="G132">
        <f>VLOOKUP($E132,YieldData!$D:$F,3,FALSE)</f>
        <v>2</v>
      </c>
      <c r="H132">
        <v>10</v>
      </c>
      <c r="I132" t="s">
        <v>24</v>
      </c>
      <c r="J132" t="s">
        <v>25</v>
      </c>
      <c r="K132" s="2">
        <v>1843.5678852892299</v>
      </c>
      <c r="L132" s="2">
        <v>2451709.1256939</v>
      </c>
      <c r="M132" s="3">
        <v>1843.5678852892299</v>
      </c>
      <c r="N132" s="3">
        <v>2451709.1256939</v>
      </c>
      <c r="O132" s="4">
        <v>5.6833421556637197E-2</v>
      </c>
      <c r="P132" s="4">
        <v>2.27332345930265E-3</v>
      </c>
      <c r="Q132" s="5">
        <v>-3.7421514498936402E-2</v>
      </c>
      <c r="R132" s="5">
        <v>5.3316183099743101E-4</v>
      </c>
      <c r="S132" s="6">
        <v>0.24390592996471799</v>
      </c>
      <c r="T132" s="6">
        <v>3.3041020156528199E-3</v>
      </c>
      <c r="U132" s="7">
        <v>1.44823544888124E-2</v>
      </c>
      <c r="V132" s="7">
        <v>1.42726158973002E-2</v>
      </c>
      <c r="W132" s="8">
        <v>0.81376769996173004</v>
      </c>
      <c r="X132" s="8">
        <v>0.151549830460525</v>
      </c>
      <c r="Y132" s="2">
        <v>67</v>
      </c>
      <c r="Z132" s="2">
        <f>VLOOKUP(E132,YieldData!T:U,2,FALSE)</f>
        <v>2104.1399229781773</v>
      </c>
      <c r="AA132">
        <f t="shared" si="4"/>
        <v>0.36840909090909102</v>
      </c>
    </row>
    <row r="133" spans="1:27" x14ac:dyDescent="0.25">
      <c r="A133">
        <v>134</v>
      </c>
      <c r="B133">
        <v>406</v>
      </c>
      <c r="C133" t="s">
        <v>23</v>
      </c>
      <c r="D133">
        <v>25110</v>
      </c>
      <c r="E133">
        <f t="shared" si="5"/>
        <v>25110406</v>
      </c>
      <c r="F133">
        <f>VLOOKUP(E133,YieldData!D:F,2,FALSE)</f>
        <v>8</v>
      </c>
      <c r="G133">
        <f>VLOOKUP($E133,YieldData!$D:$F,3,FALSE)</f>
        <v>2</v>
      </c>
      <c r="H133">
        <v>10</v>
      </c>
      <c r="I133" t="s">
        <v>24</v>
      </c>
      <c r="J133" t="s">
        <v>25</v>
      </c>
      <c r="K133" s="2">
        <v>2213.3411131059202</v>
      </c>
      <c r="L133" s="2">
        <v>7097753.2639530301</v>
      </c>
      <c r="M133" s="3">
        <v>2213.3411131059202</v>
      </c>
      <c r="N133" s="3">
        <v>7097753.2639530301</v>
      </c>
      <c r="O133" s="4">
        <v>6.35944152265316E-2</v>
      </c>
      <c r="P133" s="4">
        <v>2.9717114643752702E-3</v>
      </c>
      <c r="Q133" s="5">
        <v>-3.2695390936137901E-2</v>
      </c>
      <c r="R133" s="5">
        <v>7.4051579090610598E-4</v>
      </c>
      <c r="S133" s="6">
        <v>0.25380070286548601</v>
      </c>
      <c r="T133" s="6">
        <v>4.9723387497917102E-3</v>
      </c>
      <c r="U133" s="7">
        <v>2.3588669459405499E-2</v>
      </c>
      <c r="V133" s="7">
        <v>2.3032244132589998E-2</v>
      </c>
      <c r="W133" s="8">
        <v>0.88669717335195297</v>
      </c>
      <c r="X133" s="8">
        <v>0.100465296121485</v>
      </c>
      <c r="Y133" s="2">
        <v>62</v>
      </c>
      <c r="Z133" s="2">
        <f>VLOOKUP(E133,YieldData!T:U,2,FALSE)</f>
        <v>1424.2105263157896</v>
      </c>
      <c r="AA133">
        <f t="shared" si="4"/>
        <v>0.442391372108971</v>
      </c>
    </row>
    <row r="134" spans="1:27" x14ac:dyDescent="0.25">
      <c r="A134">
        <v>135</v>
      </c>
      <c r="B134">
        <v>407</v>
      </c>
      <c r="C134" t="s">
        <v>23</v>
      </c>
      <c r="D134">
        <v>25110</v>
      </c>
      <c r="E134">
        <f t="shared" si="5"/>
        <v>25110407</v>
      </c>
      <c r="F134">
        <f>VLOOKUP(E134,YieldData!D:F,2,FALSE)</f>
        <v>11</v>
      </c>
      <c r="G134">
        <f>VLOOKUP($E134,YieldData!$D:$F,3,FALSE)</f>
        <v>2</v>
      </c>
      <c r="H134">
        <v>10</v>
      </c>
      <c r="I134" t="s">
        <v>24</v>
      </c>
      <c r="J134" t="s">
        <v>25</v>
      </c>
      <c r="K134" s="2">
        <v>2931.28826857068</v>
      </c>
      <c r="L134" s="2">
        <v>7481376.6203206396</v>
      </c>
      <c r="M134" s="3">
        <v>2931.28826857068</v>
      </c>
      <c r="N134" s="3">
        <v>7481376.6203206396</v>
      </c>
      <c r="O134" s="4">
        <v>5.6030457560445397E-2</v>
      </c>
      <c r="P134" s="4">
        <v>3.42951431258662E-3</v>
      </c>
      <c r="Q134" s="5">
        <v>-3.6407825925094603E-2</v>
      </c>
      <c r="R134" s="5">
        <v>5.5065183709776197E-4</v>
      </c>
      <c r="S134" s="6">
        <v>0.25037737837798402</v>
      </c>
      <c r="T134" s="6">
        <v>6.5796423035844901E-3</v>
      </c>
      <c r="U134" s="7">
        <v>3.0641168239388599E-2</v>
      </c>
      <c r="V134" s="7">
        <v>2.97022870482898E-2</v>
      </c>
      <c r="W134" s="8">
        <v>0.87611222732491401</v>
      </c>
      <c r="X134" s="8">
        <v>0.108539592456649</v>
      </c>
      <c r="Y134" s="2">
        <v>70</v>
      </c>
      <c r="Z134" s="2">
        <f>VLOOKUP(E134,YieldData!T:U,2,FALSE)</f>
        <v>1069.6983311938379</v>
      </c>
      <c r="AA134">
        <f t="shared" si="4"/>
        <v>0.54326923076923095</v>
      </c>
    </row>
    <row r="135" spans="1:27" hidden="1" x14ac:dyDescent="0.25">
      <c r="A135">
        <v>136</v>
      </c>
      <c r="B135">
        <v>408</v>
      </c>
      <c r="C135" t="s">
        <v>23</v>
      </c>
      <c r="D135">
        <v>25110</v>
      </c>
      <c r="E135">
        <f t="shared" si="5"/>
        <v>25110408</v>
      </c>
      <c r="H135">
        <v>10</v>
      </c>
      <c r="I135" t="s">
        <v>24</v>
      </c>
      <c r="J135" t="s">
        <v>25</v>
      </c>
      <c r="K135" s="2">
        <v>3156.3851915180599</v>
      </c>
      <c r="L135" s="2">
        <v>3134148.8343361001</v>
      </c>
      <c r="M135" s="3">
        <v>3156.3851915180599</v>
      </c>
      <c r="N135" s="3">
        <v>3134148.8343361001</v>
      </c>
      <c r="O135" s="4">
        <v>5.7427746176045097E-2</v>
      </c>
      <c r="P135" s="4">
        <v>2.32791044824621E-3</v>
      </c>
      <c r="Q135" s="5">
        <v>-3.44742923989508E-2</v>
      </c>
      <c r="R135" s="5">
        <v>5.4544929634148503E-4</v>
      </c>
      <c r="S135" s="6">
        <v>0.24307632753980901</v>
      </c>
      <c r="T135" s="6">
        <v>3.33122172031037E-3</v>
      </c>
      <c r="U135" s="7">
        <v>1.40041181499633E-2</v>
      </c>
      <c r="V135" s="7">
        <v>1.3808002824815899E-2</v>
      </c>
      <c r="W135" s="8">
        <v>0.91826216795510895</v>
      </c>
      <c r="X135" s="8">
        <v>7.5056758857455094E-2</v>
      </c>
      <c r="Y135" s="2">
        <v>63</v>
      </c>
      <c r="Z135" s="2">
        <f>VLOOKUP(E135,YieldData!T:U,2,FALSE)</f>
        <v>0</v>
      </c>
      <c r="AA135">
        <f t="shared" si="4"/>
        <v>0.51172284238286203</v>
      </c>
    </row>
    <row r="136" spans="1:27" x14ac:dyDescent="0.25">
      <c r="A136">
        <v>137</v>
      </c>
      <c r="B136">
        <v>409</v>
      </c>
      <c r="C136" t="s">
        <v>23</v>
      </c>
      <c r="D136">
        <v>25110</v>
      </c>
      <c r="E136">
        <f t="shared" si="5"/>
        <v>25110409</v>
      </c>
      <c r="F136">
        <f>VLOOKUP(E136,YieldData!D:F,2,FALSE)</f>
        <v>10</v>
      </c>
      <c r="G136">
        <f>VLOOKUP($E136,YieldData!$D:$F,3,FALSE)</f>
        <v>2</v>
      </c>
      <c r="H136">
        <v>10</v>
      </c>
      <c r="I136" t="s">
        <v>24</v>
      </c>
      <c r="J136" t="s">
        <v>25</v>
      </c>
      <c r="K136" s="2">
        <v>3476.7482805229602</v>
      </c>
      <c r="L136" s="2">
        <v>3529570.3605795698</v>
      </c>
      <c r="M136" s="3">
        <v>3476.7482805229602</v>
      </c>
      <c r="N136" s="3">
        <v>3529570.3605795698</v>
      </c>
      <c r="O136" s="4">
        <v>5.0774729608622199E-2</v>
      </c>
      <c r="P136" s="4">
        <v>2.8875902407222002E-3</v>
      </c>
      <c r="Q136" s="5">
        <v>-3.5480497441021497E-2</v>
      </c>
      <c r="R136" s="5">
        <v>7.1577067310101103E-4</v>
      </c>
      <c r="S136" s="6">
        <v>0.23742742850708001</v>
      </c>
      <c r="T136" s="6">
        <v>4.1038262452117898E-3</v>
      </c>
      <c r="U136" s="7">
        <v>1.6375402208107601E-2</v>
      </c>
      <c r="V136" s="7">
        <v>1.61072484106069E-2</v>
      </c>
      <c r="W136" s="8">
        <v>0.91403932638025098</v>
      </c>
      <c r="X136" s="8">
        <v>7.8571436210760404E-2</v>
      </c>
      <c r="Y136" s="2">
        <v>54</v>
      </c>
      <c r="Z136" s="2">
        <f>VLOOKUP(E136,YieldData!T:U,2,FALSE)</f>
        <v>402.03947368421052</v>
      </c>
      <c r="AA136">
        <f t="shared" si="4"/>
        <v>0.47419659622307497</v>
      </c>
    </row>
    <row r="137" spans="1:27" x14ac:dyDescent="0.25">
      <c r="A137">
        <v>138</v>
      </c>
      <c r="B137">
        <v>410</v>
      </c>
      <c r="C137" t="s">
        <v>23</v>
      </c>
      <c r="D137">
        <v>25110</v>
      </c>
      <c r="E137">
        <f t="shared" si="5"/>
        <v>25110410</v>
      </c>
      <c r="F137">
        <f>VLOOKUP(E137,YieldData!D:F,2,FALSE)</f>
        <v>15</v>
      </c>
      <c r="G137">
        <f>VLOOKUP($E137,YieldData!$D:$F,3,FALSE)</f>
        <v>1</v>
      </c>
      <c r="H137">
        <v>10</v>
      </c>
      <c r="I137" t="s">
        <v>24</v>
      </c>
      <c r="J137" t="s">
        <v>25</v>
      </c>
      <c r="K137" s="2">
        <v>3146.2299513210301</v>
      </c>
      <c r="L137" s="2">
        <v>1950747.8051759601</v>
      </c>
      <c r="M137" s="3">
        <v>3146.2299513210301</v>
      </c>
      <c r="N137" s="3">
        <v>1950747.8051759601</v>
      </c>
      <c r="O137" s="4">
        <v>5.2850584112325703E-2</v>
      </c>
      <c r="P137" s="4">
        <v>2.4012154382394599E-3</v>
      </c>
      <c r="Q137" s="5">
        <v>-3.4574063662088102E-2</v>
      </c>
      <c r="R137" s="5">
        <v>7.5623121774863304E-4</v>
      </c>
      <c r="S137" s="6">
        <v>0.23156254783400501</v>
      </c>
      <c r="T137" s="6">
        <v>2.1961642417935401E-3</v>
      </c>
      <c r="U137" s="7">
        <v>6.0878613546388504E-3</v>
      </c>
      <c r="V137" s="7">
        <v>6.0507992987612899E-3</v>
      </c>
      <c r="W137" s="8">
        <v>0.75481493887121098</v>
      </c>
      <c r="X137" s="8">
        <v>0.18506934692827701</v>
      </c>
      <c r="Y137" s="2">
        <v>29</v>
      </c>
      <c r="Z137" s="2">
        <f>VLOOKUP(E137,YieldData!T:U,2,FALSE)</f>
        <v>837.17747111681626</v>
      </c>
      <c r="AA137">
        <f t="shared" si="4"/>
        <v>0.45241141791133999</v>
      </c>
    </row>
    <row r="138" spans="1:27" x14ac:dyDescent="0.25">
      <c r="A138">
        <v>139</v>
      </c>
      <c r="B138">
        <v>411</v>
      </c>
      <c r="C138" t="s">
        <v>23</v>
      </c>
      <c r="D138">
        <v>25110</v>
      </c>
      <c r="E138">
        <f t="shared" si="5"/>
        <v>25110411</v>
      </c>
      <c r="F138">
        <f>VLOOKUP(E138,YieldData!D:F,2,FALSE)</f>
        <v>14</v>
      </c>
      <c r="G138">
        <f>VLOOKUP($E138,YieldData!$D:$F,3,FALSE)</f>
        <v>1</v>
      </c>
      <c r="H138">
        <v>10</v>
      </c>
      <c r="I138" t="s">
        <v>24</v>
      </c>
      <c r="J138" t="s">
        <v>25</v>
      </c>
      <c r="K138" s="2">
        <v>3428.4096190852101</v>
      </c>
      <c r="L138" s="2">
        <v>3914639.5175258201</v>
      </c>
      <c r="M138" s="3">
        <v>3428.4096190852101</v>
      </c>
      <c r="N138" s="3">
        <v>3914639.5175258201</v>
      </c>
      <c r="O138" s="4">
        <v>5.1716918121277301E-2</v>
      </c>
      <c r="P138" s="4">
        <v>2.8360651995825502E-3</v>
      </c>
      <c r="Q138" s="5">
        <v>-3.4807200255408198E-2</v>
      </c>
      <c r="R138" s="5">
        <v>7.1154338318335703E-4</v>
      </c>
      <c r="S138" s="6">
        <v>0.228569041790495</v>
      </c>
      <c r="T138" s="6">
        <v>3.7751318280702601E-3</v>
      </c>
      <c r="U138" s="7">
        <v>1.44323284156511E-2</v>
      </c>
      <c r="V138" s="7">
        <v>1.42240363121394E-2</v>
      </c>
      <c r="W138" s="8">
        <v>0.77758590916940096</v>
      </c>
      <c r="X138" s="8">
        <v>0.17294606303049301</v>
      </c>
      <c r="Y138" s="2">
        <v>44</v>
      </c>
      <c r="Z138" s="2">
        <f>VLOOKUP(E138,YieldData!T:U,2,FALSE)</f>
        <v>231.2130937098845</v>
      </c>
      <c r="AA138">
        <f t="shared" si="4"/>
        <v>0.35523588630082897</v>
      </c>
    </row>
    <row r="139" spans="1:27" x14ac:dyDescent="0.25">
      <c r="A139">
        <v>140</v>
      </c>
      <c r="B139">
        <v>412</v>
      </c>
      <c r="C139" t="s">
        <v>23</v>
      </c>
      <c r="D139">
        <v>25110</v>
      </c>
      <c r="E139">
        <f t="shared" si="5"/>
        <v>25110412</v>
      </c>
      <c r="F139">
        <f>VLOOKUP(E139,YieldData!D:F,2,FALSE)</f>
        <v>13</v>
      </c>
      <c r="G139">
        <f>VLOOKUP($E139,YieldData!$D:$F,3,FALSE)</f>
        <v>1</v>
      </c>
      <c r="H139">
        <v>10</v>
      </c>
      <c r="I139" t="s">
        <v>24</v>
      </c>
      <c r="J139" t="s">
        <v>25</v>
      </c>
      <c r="K139" s="2">
        <v>3669.9846072885098</v>
      </c>
      <c r="L139" s="2">
        <v>6770798.3456864301</v>
      </c>
      <c r="M139" s="3">
        <v>3669.9846072885098</v>
      </c>
      <c r="N139" s="3">
        <v>6770798.3456864301</v>
      </c>
      <c r="O139" s="4">
        <v>5.3262111313633197E-2</v>
      </c>
      <c r="P139" s="4">
        <v>3.1277914840268698E-3</v>
      </c>
      <c r="Q139" s="5">
        <v>-3.3416742618094498E-2</v>
      </c>
      <c r="R139" s="5">
        <v>6.7052327088651495E-4</v>
      </c>
      <c r="S139" s="6">
        <v>0.23345420379701001</v>
      </c>
      <c r="T139" s="6">
        <v>6.0779095847391601E-3</v>
      </c>
      <c r="U139" s="7">
        <v>2.5475116910454398E-2</v>
      </c>
      <c r="V139" s="7">
        <v>2.4826135328867498E-2</v>
      </c>
      <c r="W139" s="8">
        <v>0.87381752514440802</v>
      </c>
      <c r="X139" s="8">
        <v>0.110260457894957</v>
      </c>
      <c r="Y139" s="2">
        <v>68</v>
      </c>
      <c r="Z139" s="2">
        <f>VLOOKUP(E139,YieldData!T:U,2,FALSE)</f>
        <v>646.25641848523742</v>
      </c>
      <c r="AA139">
        <f t="shared" si="4"/>
        <v>0.32691870686871299</v>
      </c>
    </row>
    <row r="140" spans="1:27" x14ac:dyDescent="0.25">
      <c r="A140">
        <v>141</v>
      </c>
      <c r="B140">
        <v>501</v>
      </c>
      <c r="C140" t="s">
        <v>23</v>
      </c>
      <c r="D140">
        <v>25110</v>
      </c>
      <c r="E140">
        <f t="shared" si="5"/>
        <v>25110501</v>
      </c>
      <c r="F140">
        <f>VLOOKUP(E140,YieldData!D:F,2,FALSE)</f>
        <v>2</v>
      </c>
      <c r="G140">
        <f>VLOOKUP($E140,YieldData!$D:$F,3,FALSE)</f>
        <v>2</v>
      </c>
      <c r="H140">
        <v>10</v>
      </c>
      <c r="I140" t="s">
        <v>24</v>
      </c>
      <c r="J140" t="s">
        <v>25</v>
      </c>
      <c r="K140" s="2">
        <v>2185.7621246008298</v>
      </c>
      <c r="L140" s="2">
        <v>8043526.1729424195</v>
      </c>
      <c r="M140" s="3">
        <v>2185.7621246008298</v>
      </c>
      <c r="N140" s="3">
        <v>8043526.1729424195</v>
      </c>
      <c r="O140" s="4">
        <v>3.5479867215548001E-2</v>
      </c>
      <c r="P140" s="4">
        <v>2.5336532141008198E-3</v>
      </c>
      <c r="Q140" s="5">
        <v>-4.7845948414746597E-2</v>
      </c>
      <c r="R140" s="5">
        <v>4.4994753327396402E-4</v>
      </c>
      <c r="S140" s="6">
        <v>0.223391147425239</v>
      </c>
      <c r="T140" s="6">
        <v>6.3238459130234301E-3</v>
      </c>
      <c r="U140" s="7">
        <v>2.8178110535695099E-2</v>
      </c>
      <c r="V140" s="7">
        <v>2.7384104622376601E-2</v>
      </c>
      <c r="W140" s="8">
        <v>0.90747207539046604</v>
      </c>
      <c r="X140" s="8">
        <v>8.3966507776943103E-2</v>
      </c>
      <c r="Y140" s="2">
        <v>52</v>
      </c>
      <c r="Z140" s="2">
        <f>VLOOKUP(E140,YieldData!T:U,2,FALSE)</f>
        <v>1158.1290115532736</v>
      </c>
      <c r="AA140">
        <f t="shared" si="4"/>
        <v>0.38311944600590803</v>
      </c>
    </row>
    <row r="141" spans="1:27" x14ac:dyDescent="0.25">
      <c r="A141">
        <v>142</v>
      </c>
      <c r="B141">
        <v>502</v>
      </c>
      <c r="C141" t="s">
        <v>23</v>
      </c>
      <c r="D141">
        <v>25110</v>
      </c>
      <c r="E141">
        <f t="shared" si="5"/>
        <v>25110502</v>
      </c>
      <c r="F141">
        <f>VLOOKUP(E141,YieldData!D:F,2,FALSE)</f>
        <v>5</v>
      </c>
      <c r="G141">
        <f>VLOOKUP($E141,YieldData!$D:$F,3,FALSE)</f>
        <v>2</v>
      </c>
      <c r="H141">
        <v>10</v>
      </c>
      <c r="I141" t="s">
        <v>24</v>
      </c>
      <c r="J141" t="s">
        <v>25</v>
      </c>
      <c r="K141" s="2">
        <v>1965.6960198053</v>
      </c>
      <c r="L141" s="2">
        <v>8128107.0410307897</v>
      </c>
      <c r="M141" s="3">
        <v>1965.6960198053</v>
      </c>
      <c r="N141" s="3">
        <v>8128107.0410307897</v>
      </c>
      <c r="O141" s="4">
        <v>4.7216386119717998E-2</v>
      </c>
      <c r="P141" s="4">
        <v>2.3351729673125E-3</v>
      </c>
      <c r="Q141" s="5">
        <v>-4.13247164461494E-2</v>
      </c>
      <c r="R141" s="5">
        <v>3.7194460224892502E-4</v>
      </c>
      <c r="S141" s="6">
        <v>0.23834601997670499</v>
      </c>
      <c r="T141" s="6">
        <v>5.9658775772603104E-3</v>
      </c>
      <c r="U141" s="7">
        <v>2.9480708972181701E-2</v>
      </c>
      <c r="V141" s="7">
        <v>2.8611596770725001E-2</v>
      </c>
      <c r="W141" s="8">
        <v>0.89744785686949902</v>
      </c>
      <c r="X141" s="8">
        <v>9.2035201069868802E-2</v>
      </c>
      <c r="Y141" s="2">
        <v>58</v>
      </c>
      <c r="Z141" s="2">
        <f>VLOOKUP(E141,YieldData!T:U,2,FALSE)</f>
        <v>769.25866495507046</v>
      </c>
      <c r="AA141">
        <f t="shared" si="4"/>
        <v>0.42938299068326702</v>
      </c>
    </row>
    <row r="142" spans="1:27" x14ac:dyDescent="0.25">
      <c r="A142">
        <v>143</v>
      </c>
      <c r="B142">
        <v>503</v>
      </c>
      <c r="C142" t="s">
        <v>23</v>
      </c>
      <c r="D142">
        <v>25110</v>
      </c>
      <c r="E142">
        <f t="shared" si="5"/>
        <v>25110503</v>
      </c>
      <c r="F142">
        <f>VLOOKUP(E142,YieldData!D:F,2,FALSE)</f>
        <v>6</v>
      </c>
      <c r="G142">
        <f>VLOOKUP($E142,YieldData!$D:$F,3,FALSE)</f>
        <v>2</v>
      </c>
      <c r="H142">
        <v>10</v>
      </c>
      <c r="I142" t="s">
        <v>24</v>
      </c>
      <c r="J142" t="s">
        <v>25</v>
      </c>
      <c r="K142" s="2">
        <v>1966.9654120770699</v>
      </c>
      <c r="L142" s="2">
        <v>5682851.1186294798</v>
      </c>
      <c r="M142" s="3">
        <v>1966.9654120770699</v>
      </c>
      <c r="N142" s="3">
        <v>5682851.1186294798</v>
      </c>
      <c r="O142" s="4">
        <v>5.13999686913372E-2</v>
      </c>
      <c r="P142" s="4">
        <v>2.1489439530637399E-3</v>
      </c>
      <c r="Q142" s="5">
        <v>-3.63928277554579E-2</v>
      </c>
      <c r="R142" s="5">
        <v>3.43355496398927E-4</v>
      </c>
      <c r="S142" s="6">
        <v>0.24727102766607201</v>
      </c>
      <c r="T142" s="6">
        <v>5.0779917231244297E-3</v>
      </c>
      <c r="U142" s="7">
        <v>2.6239938765502999E-2</v>
      </c>
      <c r="V142" s="7">
        <v>2.5551404379094599E-2</v>
      </c>
      <c r="W142" s="8">
        <v>0.87173814250520198</v>
      </c>
      <c r="X142" s="8">
        <v>0.111810753406945</v>
      </c>
      <c r="Y142" s="2">
        <v>56</v>
      </c>
      <c r="Z142" s="2">
        <f>VLOOKUP(E142,YieldData!T:U,2,FALSE)</f>
        <v>712.86906290115519</v>
      </c>
      <c r="AA142">
        <f t="shared" si="4"/>
        <v>0.33415054174938402</v>
      </c>
    </row>
    <row r="143" spans="1:27" x14ac:dyDescent="0.25">
      <c r="A143">
        <v>144</v>
      </c>
      <c r="B143">
        <v>504</v>
      </c>
      <c r="C143" t="s">
        <v>23</v>
      </c>
      <c r="D143">
        <v>25110</v>
      </c>
      <c r="E143">
        <f t="shared" si="5"/>
        <v>25110504</v>
      </c>
      <c r="F143">
        <f>VLOOKUP(E143,YieldData!D:F,2,FALSE)</f>
        <v>13</v>
      </c>
      <c r="G143">
        <f>VLOOKUP($E143,YieldData!$D:$F,3,FALSE)</f>
        <v>2</v>
      </c>
      <c r="H143">
        <v>10</v>
      </c>
      <c r="I143" t="s">
        <v>24</v>
      </c>
      <c r="J143" t="s">
        <v>25</v>
      </c>
      <c r="K143" s="2">
        <v>1871.85107757074</v>
      </c>
      <c r="L143" s="2">
        <v>7431493.8026122302</v>
      </c>
      <c r="M143" s="3">
        <v>1871.85107757074</v>
      </c>
      <c r="N143" s="3">
        <v>7431493.8026122302</v>
      </c>
      <c r="O143" s="4">
        <v>6.37152694159763E-2</v>
      </c>
      <c r="P143" s="4">
        <v>2.9434824570281999E-3</v>
      </c>
      <c r="Q143" s="5">
        <v>-2.80008592833451E-2</v>
      </c>
      <c r="R143" s="5">
        <v>6.9279930420385299E-4</v>
      </c>
      <c r="S143" s="6">
        <v>0.25891035894761999</v>
      </c>
      <c r="T143" s="6">
        <v>5.6140992669885701E-3</v>
      </c>
      <c r="U143" s="7">
        <v>2.9684024206472599E-2</v>
      </c>
      <c r="V143" s="7">
        <v>2.8802882913397599E-2</v>
      </c>
      <c r="W143" s="8">
        <v>0.86124831075020603</v>
      </c>
      <c r="X143" s="8">
        <v>0.119499657980132</v>
      </c>
      <c r="Y143" s="2">
        <v>52</v>
      </c>
      <c r="Z143" s="2">
        <f>VLOOKUP(E143,YieldData!T:U,2,FALSE)</f>
        <v>1186.1986521181002</v>
      </c>
      <c r="AA143">
        <f t="shared" si="4"/>
        <v>0.50452680803224403</v>
      </c>
    </row>
    <row r="144" spans="1:27" x14ac:dyDescent="0.25">
      <c r="A144">
        <v>145</v>
      </c>
      <c r="B144">
        <v>505</v>
      </c>
      <c r="C144" t="s">
        <v>23</v>
      </c>
      <c r="D144">
        <v>25110</v>
      </c>
      <c r="E144">
        <f t="shared" si="5"/>
        <v>25110505</v>
      </c>
      <c r="F144">
        <f>VLOOKUP(E144,YieldData!D:F,2,FALSE)</f>
        <v>12</v>
      </c>
      <c r="G144">
        <f>VLOOKUP($E144,YieldData!$D:$F,3,FALSE)</f>
        <v>2</v>
      </c>
      <c r="H144">
        <v>10</v>
      </c>
      <c r="I144" t="s">
        <v>24</v>
      </c>
      <c r="J144" t="s">
        <v>25</v>
      </c>
      <c r="K144" s="2">
        <v>1973.10770537092</v>
      </c>
      <c r="L144" s="2">
        <v>6064989.9404189698</v>
      </c>
      <c r="M144" s="3">
        <v>1973.10770537092</v>
      </c>
      <c r="N144" s="3">
        <v>6064989.9404189698</v>
      </c>
      <c r="O144" s="4">
        <v>5.5728886669086597E-2</v>
      </c>
      <c r="P144" s="4">
        <v>2.4046502056129901E-3</v>
      </c>
      <c r="Q144" s="5">
        <v>-3.3415557649003599E-2</v>
      </c>
      <c r="R144" s="5">
        <v>5.8713018163856904E-4</v>
      </c>
      <c r="S144" s="6">
        <v>0.25410345943777901</v>
      </c>
      <c r="T144" s="6">
        <v>4.5112621939767698E-3</v>
      </c>
      <c r="U144" s="7">
        <v>2.3679395338268499E-2</v>
      </c>
      <c r="V144" s="7">
        <v>2.3118681574708699E-2</v>
      </c>
      <c r="W144" s="8">
        <v>0.83272335844994605</v>
      </c>
      <c r="X144" s="8">
        <v>0.13929516674175199</v>
      </c>
      <c r="Y144" s="2">
        <v>57</v>
      </c>
      <c r="Z144" s="2">
        <f>VLOOKUP(E144,YieldData!T:U,2,FALSE)</f>
        <v>1316.9335686777922</v>
      </c>
      <c r="AA144">
        <f t="shared" si="4"/>
        <v>0.55529377997297202</v>
      </c>
    </row>
    <row r="145" spans="1:27" x14ac:dyDescent="0.25">
      <c r="A145">
        <v>146</v>
      </c>
      <c r="B145">
        <v>506</v>
      </c>
      <c r="C145" t="s">
        <v>23</v>
      </c>
      <c r="D145">
        <v>25110</v>
      </c>
      <c r="E145">
        <f t="shared" si="5"/>
        <v>25110506</v>
      </c>
      <c r="F145">
        <f>VLOOKUP(E145,YieldData!D:F,2,FALSE)</f>
        <v>4</v>
      </c>
      <c r="G145">
        <f>VLOOKUP($E145,YieldData!$D:$F,3,FALSE)</f>
        <v>2</v>
      </c>
      <c r="H145">
        <v>10</v>
      </c>
      <c r="I145" t="s">
        <v>24</v>
      </c>
      <c r="J145" t="s">
        <v>25</v>
      </c>
      <c r="K145" s="2">
        <v>2091.64579785757</v>
      </c>
      <c r="L145" s="2">
        <v>2635464.0362620801</v>
      </c>
      <c r="M145" s="3">
        <v>2091.64579785757</v>
      </c>
      <c r="N145" s="3">
        <v>2635464.0362620801</v>
      </c>
      <c r="O145" s="4">
        <v>5.7744773708120103E-2</v>
      </c>
      <c r="P145" s="4">
        <v>2.6758493165855699E-3</v>
      </c>
      <c r="Q145" s="5">
        <v>-3.2336519637762601E-2</v>
      </c>
      <c r="R145" s="5">
        <v>6.8279621277552805E-4</v>
      </c>
      <c r="S145" s="6">
        <v>0.25082863292331198</v>
      </c>
      <c r="T145" s="6">
        <v>3.1773166806377501E-3</v>
      </c>
      <c r="U145" s="7">
        <v>1.3622694829897501E-2</v>
      </c>
      <c r="V145" s="7">
        <v>1.34371170154813E-2</v>
      </c>
      <c r="W145" s="8">
        <v>0.89882131298004897</v>
      </c>
      <c r="X145" s="8">
        <v>9.0941560312522596E-2</v>
      </c>
      <c r="Y145" s="2">
        <v>67</v>
      </c>
      <c r="Z145" s="2">
        <f>VLOOKUP(E145,YieldData!T:U,2,FALSE)</f>
        <v>695.94030808729133</v>
      </c>
      <c r="AA145">
        <f t="shared" si="4"/>
        <v>0.45165147032184</v>
      </c>
    </row>
    <row r="146" spans="1:27" x14ac:dyDescent="0.25">
      <c r="A146">
        <v>147</v>
      </c>
      <c r="B146">
        <v>507</v>
      </c>
      <c r="C146" t="s">
        <v>23</v>
      </c>
      <c r="D146">
        <v>25110</v>
      </c>
      <c r="E146">
        <f t="shared" si="5"/>
        <v>25110507</v>
      </c>
      <c r="F146">
        <f>VLOOKUP(E146,YieldData!D:F,2,FALSE)</f>
        <v>4</v>
      </c>
      <c r="G146">
        <f>VLOOKUP($E146,YieldData!$D:$F,3,FALSE)</f>
        <v>3</v>
      </c>
      <c r="H146">
        <v>10</v>
      </c>
      <c r="I146" t="s">
        <v>24</v>
      </c>
      <c r="J146" t="s">
        <v>25</v>
      </c>
      <c r="K146" s="2">
        <v>2918.5129416549098</v>
      </c>
      <c r="L146" s="2">
        <v>5014873.0056634704</v>
      </c>
      <c r="M146" s="3">
        <v>2918.5129416549098</v>
      </c>
      <c r="N146" s="3">
        <v>5014873.0056634704</v>
      </c>
      <c r="O146" s="4">
        <v>5.26030765467441E-2</v>
      </c>
      <c r="P146" s="4">
        <v>3.0159199406038298E-3</v>
      </c>
      <c r="Q146" s="5">
        <v>-3.9284218845176203E-2</v>
      </c>
      <c r="R146" s="5">
        <v>4.7932681834310001E-4</v>
      </c>
      <c r="S146" s="6">
        <v>0.24885590291859799</v>
      </c>
      <c r="T146" s="6">
        <v>5.4319125524588197E-3</v>
      </c>
      <c r="U146" s="7">
        <v>2.6289979188096502E-2</v>
      </c>
      <c r="V146" s="7">
        <v>2.5598816182406701E-2</v>
      </c>
      <c r="W146" s="8">
        <v>0.86560863013371003</v>
      </c>
      <c r="X146" s="8">
        <v>0.11633032957182</v>
      </c>
      <c r="Y146" s="2">
        <v>55</v>
      </c>
      <c r="Z146" s="2">
        <f>VLOOKUP(E146,YieldData!T:U,2,FALSE)</f>
        <v>641.50994865211806</v>
      </c>
      <c r="AA146">
        <f t="shared" si="4"/>
        <v>0.51023727516264805</v>
      </c>
    </row>
    <row r="147" spans="1:27" x14ac:dyDescent="0.25">
      <c r="A147">
        <v>148</v>
      </c>
      <c r="B147">
        <v>508</v>
      </c>
      <c r="C147" t="s">
        <v>23</v>
      </c>
      <c r="D147">
        <v>25110</v>
      </c>
      <c r="E147">
        <f t="shared" si="5"/>
        <v>25110508</v>
      </c>
      <c r="F147">
        <f>VLOOKUP(E147,YieldData!D:F,2,FALSE)</f>
        <v>13</v>
      </c>
      <c r="G147">
        <f>VLOOKUP($E147,YieldData!$D:$F,3,FALSE)</f>
        <v>3</v>
      </c>
      <c r="H147">
        <v>10</v>
      </c>
      <c r="I147" t="s">
        <v>24</v>
      </c>
      <c r="J147" t="s">
        <v>25</v>
      </c>
      <c r="K147" s="2">
        <v>3405.70301399354</v>
      </c>
      <c r="L147" s="2">
        <v>4430705.3796261204</v>
      </c>
      <c r="M147" s="3">
        <v>3405.70301399354</v>
      </c>
      <c r="N147" s="3">
        <v>4430705.3796261204</v>
      </c>
      <c r="O147" s="4">
        <v>6.1384478373181998E-2</v>
      </c>
      <c r="P147" s="4">
        <v>2.4962754502401699E-3</v>
      </c>
      <c r="Q147" s="5">
        <v>-3.64318249515002E-2</v>
      </c>
      <c r="R147" s="5">
        <v>4.82236791574726E-4</v>
      </c>
      <c r="S147" s="6">
        <v>0.25113709340371698</v>
      </c>
      <c r="T147" s="6">
        <v>4.6275116166975896E-3</v>
      </c>
      <c r="U147" s="7">
        <v>2.42076306661883E-2</v>
      </c>
      <c r="V147" s="7">
        <v>2.36216212837074E-2</v>
      </c>
      <c r="W147" s="8">
        <v>0.92525353999234605</v>
      </c>
      <c r="X147" s="8">
        <v>6.9159426723978096E-2</v>
      </c>
      <c r="Y147" s="2">
        <v>65</v>
      </c>
      <c r="Z147" s="2">
        <f>VLOOKUP(E147,YieldData!T:U,2,FALSE)</f>
        <v>394.67265725288831</v>
      </c>
      <c r="AA147">
        <f t="shared" si="4"/>
        <v>0.41675238619237898</v>
      </c>
    </row>
    <row r="148" spans="1:27" x14ac:dyDescent="0.25">
      <c r="A148">
        <v>149</v>
      </c>
      <c r="B148">
        <v>509</v>
      </c>
      <c r="C148" t="s">
        <v>23</v>
      </c>
      <c r="D148">
        <v>25110</v>
      </c>
      <c r="E148">
        <f t="shared" si="5"/>
        <v>25110509</v>
      </c>
      <c r="F148">
        <f>VLOOKUP(E148,YieldData!D:F,2,FALSE)</f>
        <v>8</v>
      </c>
      <c r="G148">
        <f>VLOOKUP($E148,YieldData!$D:$F,3,FALSE)</f>
        <v>3</v>
      </c>
      <c r="H148">
        <v>10</v>
      </c>
      <c r="I148" t="s">
        <v>24</v>
      </c>
      <c r="J148" t="s">
        <v>25</v>
      </c>
      <c r="K148" s="2">
        <v>3518.5885237861698</v>
      </c>
      <c r="L148" s="2">
        <v>4135655.1391837802</v>
      </c>
      <c r="M148" s="3">
        <v>3518.5885237861698</v>
      </c>
      <c r="N148" s="3">
        <v>4135655.1391837802</v>
      </c>
      <c r="O148" s="4">
        <v>5.26620264208622E-2</v>
      </c>
      <c r="P148" s="4">
        <v>2.80656935885469E-3</v>
      </c>
      <c r="Q148" s="5">
        <v>-4.0068556513769601E-2</v>
      </c>
      <c r="R148" s="5">
        <v>6.4905687008391601E-4</v>
      </c>
      <c r="S148" s="6">
        <v>0.240597561552156</v>
      </c>
      <c r="T148" s="6">
        <v>4.5879906296650902E-3</v>
      </c>
      <c r="U148" s="7">
        <v>2.18782521322025E-2</v>
      </c>
      <c r="V148" s="7">
        <v>2.13995942158305E-2</v>
      </c>
      <c r="W148" s="8">
        <v>0.94508964345943602</v>
      </c>
      <c r="X148" s="8">
        <v>5.1895209285166201E-2</v>
      </c>
      <c r="Y148" s="2">
        <v>63</v>
      </c>
      <c r="Z148" s="2">
        <f>VLOOKUP(E148,YieldData!T:U,2,FALSE)</f>
        <v>690.69801026957646</v>
      </c>
      <c r="AA148">
        <f t="shared" si="4"/>
        <v>0.46421439077765703</v>
      </c>
    </row>
    <row r="149" spans="1:27" x14ac:dyDescent="0.25">
      <c r="A149">
        <v>150</v>
      </c>
      <c r="B149">
        <v>510</v>
      </c>
      <c r="C149" t="s">
        <v>23</v>
      </c>
      <c r="D149">
        <v>25110</v>
      </c>
      <c r="E149">
        <f t="shared" si="5"/>
        <v>25110510</v>
      </c>
      <c r="F149">
        <f>VLOOKUP(E149,YieldData!D:F,2,FALSE)</f>
        <v>5</v>
      </c>
      <c r="G149">
        <f>VLOOKUP($E149,YieldData!$D:$F,3,FALSE)</f>
        <v>3</v>
      </c>
      <c r="H149">
        <v>10</v>
      </c>
      <c r="I149" t="s">
        <v>24</v>
      </c>
      <c r="J149" t="s">
        <v>25</v>
      </c>
      <c r="K149" s="2">
        <v>3090.8425490688601</v>
      </c>
      <c r="L149" s="2">
        <v>2306334.3735490502</v>
      </c>
      <c r="M149" s="3">
        <v>3090.8425490688601</v>
      </c>
      <c r="N149" s="3">
        <v>2306334.3735490502</v>
      </c>
      <c r="O149" s="4">
        <v>5.6649429832034297E-2</v>
      </c>
      <c r="P149" s="4">
        <v>2.6495750819380201E-3</v>
      </c>
      <c r="Q149" s="5">
        <v>-3.6859244982769199E-2</v>
      </c>
      <c r="R149" s="5">
        <v>8.19195448831695E-4</v>
      </c>
      <c r="S149" s="6">
        <v>0.23603011072039901</v>
      </c>
      <c r="T149" s="6">
        <v>3.04519680543309E-3</v>
      </c>
      <c r="U149" s="7">
        <v>1.0704845288074E-2</v>
      </c>
      <c r="V149" s="7">
        <v>1.0590251575424999E-2</v>
      </c>
      <c r="W149" s="8">
        <v>0.78155873980336299</v>
      </c>
      <c r="X149" s="8">
        <v>0.17072467604050601</v>
      </c>
      <c r="Y149" s="2">
        <v>45</v>
      </c>
      <c r="Z149" s="2">
        <f>VLOOKUP(E149,YieldData!T:U,2,FALSE)</f>
        <v>1385.9820282413348</v>
      </c>
      <c r="AA149">
        <f t="shared" si="4"/>
        <v>0.377397751734035</v>
      </c>
    </row>
    <row r="150" spans="1:27" x14ac:dyDescent="0.25">
      <c r="A150">
        <v>151</v>
      </c>
      <c r="B150">
        <v>511</v>
      </c>
      <c r="C150" t="s">
        <v>23</v>
      </c>
      <c r="D150">
        <v>25110</v>
      </c>
      <c r="E150">
        <f t="shared" si="5"/>
        <v>25110511</v>
      </c>
      <c r="F150">
        <f>VLOOKUP(E150,YieldData!D:F,2,FALSE)</f>
        <v>1</v>
      </c>
      <c r="G150">
        <f>VLOOKUP($E150,YieldData!$D:$F,3,FALSE)</f>
        <v>3</v>
      </c>
      <c r="H150">
        <v>10</v>
      </c>
      <c r="I150" t="s">
        <v>24</v>
      </c>
      <c r="J150" t="s">
        <v>25</v>
      </c>
      <c r="K150" s="2">
        <v>3255.3888902188</v>
      </c>
      <c r="L150" s="2">
        <v>2788613.6103745098</v>
      </c>
      <c r="M150" s="3">
        <v>3255.3888902188</v>
      </c>
      <c r="N150" s="3">
        <v>2788613.6103745098</v>
      </c>
      <c r="O150" s="4">
        <v>5.5862872719549199E-2</v>
      </c>
      <c r="P150" s="4">
        <v>2.2448188674717398E-3</v>
      </c>
      <c r="Q150" s="5">
        <v>-3.8746420013658002E-2</v>
      </c>
      <c r="R150" s="5">
        <v>6.6824277451103602E-4</v>
      </c>
      <c r="S150" s="6">
        <v>0.22654095441942601</v>
      </c>
      <c r="T150" s="6">
        <v>2.61619449960098E-3</v>
      </c>
      <c r="U150" s="7">
        <v>8.2347871882031895E-3</v>
      </c>
      <c r="V150" s="7">
        <v>8.1669754681502598E-3</v>
      </c>
      <c r="W150" s="8">
        <v>0.72009910114780196</v>
      </c>
      <c r="X150" s="8">
        <v>0.201556385673961</v>
      </c>
      <c r="Y150" s="2">
        <v>27</v>
      </c>
      <c r="Z150" s="2">
        <f>VLOOKUP(E150,YieldData!T:U,2,FALSE)</f>
        <v>557.27214377406938</v>
      </c>
      <c r="AA150">
        <f t="shared" si="4"/>
        <v>0.36131758172046902</v>
      </c>
    </row>
    <row r="151" spans="1:27" x14ac:dyDescent="0.25">
      <c r="A151">
        <v>152</v>
      </c>
      <c r="B151">
        <v>512</v>
      </c>
      <c r="C151" t="s">
        <v>23</v>
      </c>
      <c r="D151">
        <v>25110</v>
      </c>
      <c r="E151">
        <f t="shared" si="5"/>
        <v>25110512</v>
      </c>
      <c r="F151">
        <f>VLOOKUP(E151,YieldData!D:F,2,FALSE)</f>
        <v>10</v>
      </c>
      <c r="G151">
        <f>VLOOKUP($E151,YieldData!$D:$F,3,FALSE)</f>
        <v>3</v>
      </c>
      <c r="H151">
        <v>10</v>
      </c>
      <c r="I151" t="s">
        <v>24</v>
      </c>
      <c r="J151" t="s">
        <v>25</v>
      </c>
      <c r="K151" s="2">
        <v>3745.0559183771102</v>
      </c>
      <c r="L151" s="2">
        <v>2246909.7040761099</v>
      </c>
      <c r="M151" s="3">
        <v>3745.0559183771102</v>
      </c>
      <c r="N151" s="3">
        <v>2246909.7040761099</v>
      </c>
      <c r="O151" s="4">
        <v>3.6293147469468601E-2</v>
      </c>
      <c r="P151" s="4">
        <v>1.87078333366265E-3</v>
      </c>
      <c r="Q151" s="5">
        <v>-4.3207982934609299E-2</v>
      </c>
      <c r="R151" s="5">
        <v>4.8214154485738897E-4</v>
      </c>
      <c r="S151" s="6">
        <v>0.210847461181426</v>
      </c>
      <c r="T151" s="6">
        <v>2.8977269134989798E-3</v>
      </c>
      <c r="U151" s="7">
        <v>7.5116023156786803E-3</v>
      </c>
      <c r="V151" s="7">
        <v>7.4551781463278802E-3</v>
      </c>
      <c r="W151" s="8">
        <v>0.84400827681892698</v>
      </c>
      <c r="X151" s="8">
        <v>0.13165830548017399</v>
      </c>
      <c r="Y151" s="2">
        <v>64</v>
      </c>
      <c r="Z151" s="2">
        <f>VLOOKUP(E151,YieldData!T:U,2,FALSE)</f>
        <v>1164.9743260590499</v>
      </c>
      <c r="AA151">
        <f t="shared" si="4"/>
        <v>0.17485979408564201</v>
      </c>
    </row>
    <row r="152" spans="1:27" hidden="1" x14ac:dyDescent="0.25">
      <c r="A152">
        <v>153</v>
      </c>
      <c r="B152">
        <v>601</v>
      </c>
      <c r="C152" t="s">
        <v>23</v>
      </c>
      <c r="D152" t="s">
        <v>100</v>
      </c>
      <c r="E152" t="e">
        <f t="shared" si="5"/>
        <v>#VALUE!</v>
      </c>
      <c r="H152">
        <v>10</v>
      </c>
      <c r="I152" t="s">
        <v>24</v>
      </c>
      <c r="J152" t="s">
        <v>25</v>
      </c>
      <c r="K152" s="2">
        <v>1849.3056030616499</v>
      </c>
      <c r="L152" s="2">
        <v>2567588.5303820199</v>
      </c>
      <c r="M152" s="3">
        <v>1849.3056030616499</v>
      </c>
      <c r="N152" s="3">
        <v>2567588.5303820199</v>
      </c>
      <c r="O152" s="4">
        <v>3.39974913570514E-2</v>
      </c>
      <c r="P152" s="4">
        <v>2.33064921478665E-3</v>
      </c>
      <c r="Q152" s="5">
        <v>-4.1324146619432997E-2</v>
      </c>
      <c r="R152" s="5">
        <v>3.7629661966192602E-4</v>
      </c>
      <c r="S152" s="6">
        <v>0.22125711411256399</v>
      </c>
      <c r="T152" s="6">
        <v>4.3285043932758003E-3</v>
      </c>
      <c r="U152" s="7">
        <v>1.73653052681935E-2</v>
      </c>
      <c r="V152" s="7">
        <v>1.7063751441136001E-2</v>
      </c>
      <c r="W152" s="8">
        <v>0.95265146984954696</v>
      </c>
      <c r="X152" s="8">
        <v>4.5106646843024602E-2</v>
      </c>
      <c r="Y152" s="2">
        <v>84</v>
      </c>
      <c r="Z152" s="2" t="e">
        <f>VLOOKUP(E152,YieldData!T:U,2,FALSE)</f>
        <v>#VALUE!</v>
      </c>
      <c r="AA152">
        <f t="shared" si="4"/>
        <v>0.913534329143595</v>
      </c>
    </row>
    <row r="153" spans="1:27" hidden="1" x14ac:dyDescent="0.25">
      <c r="A153">
        <v>154</v>
      </c>
      <c r="B153">
        <v>602</v>
      </c>
      <c r="C153" t="s">
        <v>23</v>
      </c>
      <c r="D153" t="s">
        <v>100</v>
      </c>
      <c r="E153" t="e">
        <f t="shared" si="5"/>
        <v>#VALUE!</v>
      </c>
      <c r="H153">
        <v>10</v>
      </c>
      <c r="I153" t="s">
        <v>24</v>
      </c>
      <c r="J153" t="s">
        <v>25</v>
      </c>
      <c r="K153" s="2">
        <v>1644.9125104652601</v>
      </c>
      <c r="L153" s="2">
        <v>2832017.32997271</v>
      </c>
      <c r="M153" s="3">
        <v>1644.9125104652601</v>
      </c>
      <c r="N153" s="3">
        <v>2832017.32997271</v>
      </c>
      <c r="O153" s="4">
        <v>4.3967841263946601E-2</v>
      </c>
      <c r="P153" s="4">
        <v>1.7580051505449599E-3</v>
      </c>
      <c r="Q153" s="5">
        <v>-3.4164079823898297E-2</v>
      </c>
      <c r="R153" s="5">
        <v>3.6575802320279298E-4</v>
      </c>
      <c r="S153" s="6">
        <v>0.23262308481865701</v>
      </c>
      <c r="T153" s="6">
        <v>3.0803880479785498E-3</v>
      </c>
      <c r="U153" s="7">
        <v>1.16852051190049E-2</v>
      </c>
      <c r="V153" s="7">
        <v>1.15486611003434E-2</v>
      </c>
      <c r="W153" s="8">
        <v>0.83549602344077001</v>
      </c>
      <c r="X153" s="8">
        <v>0.13744241825557299</v>
      </c>
      <c r="Y153" s="2">
        <v>75</v>
      </c>
      <c r="Z153" s="2" t="e">
        <f>VLOOKUP(E153,YieldData!T:U,2,FALSE)</f>
        <v>#VALUE!</v>
      </c>
      <c r="AA153">
        <f t="shared" si="4"/>
        <v>0.913534329143595</v>
      </c>
    </row>
    <row r="154" spans="1:27" hidden="1" x14ac:dyDescent="0.25">
      <c r="A154">
        <v>155</v>
      </c>
      <c r="B154">
        <v>603</v>
      </c>
      <c r="C154" t="s">
        <v>23</v>
      </c>
      <c r="D154" t="s">
        <v>100</v>
      </c>
      <c r="E154" t="e">
        <f t="shared" si="5"/>
        <v>#VALUE!</v>
      </c>
      <c r="H154">
        <v>10</v>
      </c>
      <c r="I154" t="s">
        <v>24</v>
      </c>
      <c r="J154" t="s">
        <v>25</v>
      </c>
      <c r="K154" s="2">
        <v>1642.95011004258</v>
      </c>
      <c r="L154" s="2">
        <v>3228888.0483098901</v>
      </c>
      <c r="M154" s="3">
        <v>1642.95011004258</v>
      </c>
      <c r="N154" s="3">
        <v>3228888.0483098901</v>
      </c>
      <c r="O154" s="4">
        <v>4.7836929480943501E-2</v>
      </c>
      <c r="P154" s="4">
        <v>1.6363930259314301E-3</v>
      </c>
      <c r="Q154" s="5">
        <v>-3.3425372757126599E-2</v>
      </c>
      <c r="R154" s="5">
        <v>3.6663336497013002E-4</v>
      </c>
      <c r="S154" s="6">
        <v>0.239484982433909</v>
      </c>
      <c r="T154" s="6">
        <v>3.1754944369349401E-3</v>
      </c>
      <c r="U154" s="7">
        <v>1.4150040667910599E-2</v>
      </c>
      <c r="V154" s="7">
        <v>1.39498170170057E-2</v>
      </c>
      <c r="W154" s="8">
        <v>0.85185982537973903</v>
      </c>
      <c r="X154" s="8">
        <v>0.12619466328375001</v>
      </c>
      <c r="Y154" s="2">
        <v>71</v>
      </c>
      <c r="Z154" s="2" t="e">
        <f>VLOOKUP(E154,YieldData!T:U,2,FALSE)</f>
        <v>#VALUE!</v>
      </c>
      <c r="AA154">
        <f t="shared" si="4"/>
        <v>0.913534329143595</v>
      </c>
    </row>
    <row r="155" spans="1:27" x14ac:dyDescent="0.25">
      <c r="A155">
        <v>156</v>
      </c>
      <c r="B155">
        <v>604</v>
      </c>
      <c r="C155" t="s">
        <v>23</v>
      </c>
      <c r="D155">
        <v>25110</v>
      </c>
      <c r="E155">
        <f t="shared" si="5"/>
        <v>25110604</v>
      </c>
      <c r="F155">
        <f>VLOOKUP(E155,YieldData!D:F,2,FALSE)</f>
        <v>7</v>
      </c>
      <c r="G155">
        <f>VLOOKUP($E155,YieldData!$D:$F,3,FALSE)</f>
        <v>3</v>
      </c>
      <c r="H155">
        <v>10</v>
      </c>
      <c r="I155" t="s">
        <v>24</v>
      </c>
      <c r="J155" t="s">
        <v>25</v>
      </c>
      <c r="K155" s="2">
        <v>1590.41601282174</v>
      </c>
      <c r="L155" s="2">
        <v>4875583.3237517802</v>
      </c>
      <c r="M155" s="3">
        <v>1590.41601282174</v>
      </c>
      <c r="N155" s="3">
        <v>4875583.3237517802</v>
      </c>
      <c r="O155" s="4">
        <v>6.5155055311497304E-2</v>
      </c>
      <c r="P155" s="4">
        <v>3.02935356670328E-3</v>
      </c>
      <c r="Q155" s="5">
        <v>-2.6232903860389199E-2</v>
      </c>
      <c r="R155" s="5">
        <v>6.90503102965434E-4</v>
      </c>
      <c r="S155" s="6">
        <v>0.25769942261937401</v>
      </c>
      <c r="T155" s="6">
        <v>5.2052719140295699E-3</v>
      </c>
      <c r="U155" s="7">
        <v>2.7545210984594799E-2</v>
      </c>
      <c r="V155" s="7">
        <v>2.6786472336352601E-2</v>
      </c>
      <c r="W155" s="8">
        <v>0.87204267636293997</v>
      </c>
      <c r="X155" s="8">
        <v>0.111584246964659</v>
      </c>
      <c r="Y155" s="2">
        <v>82</v>
      </c>
      <c r="Z155" s="2">
        <f>VLOOKUP(E155,YieldData!T:U,2,FALSE)</f>
        <v>223.72432605905007</v>
      </c>
      <c r="AA155">
        <f t="shared" si="4"/>
        <v>0.34746522836265398</v>
      </c>
    </row>
    <row r="156" spans="1:27" x14ac:dyDescent="0.25">
      <c r="A156">
        <v>157</v>
      </c>
      <c r="B156">
        <v>605</v>
      </c>
      <c r="C156" t="s">
        <v>23</v>
      </c>
      <c r="D156">
        <v>25110</v>
      </c>
      <c r="E156">
        <f t="shared" si="5"/>
        <v>25110605</v>
      </c>
      <c r="F156">
        <f>VLOOKUP(E156,YieldData!D:F,2,FALSE)</f>
        <v>11</v>
      </c>
      <c r="G156">
        <f>VLOOKUP($E156,YieldData!$D:$F,3,FALSE)</f>
        <v>3</v>
      </c>
      <c r="H156">
        <v>10</v>
      </c>
      <c r="I156" t="s">
        <v>24</v>
      </c>
      <c r="J156" t="s">
        <v>25</v>
      </c>
      <c r="K156" s="2">
        <v>1813.1813267637001</v>
      </c>
      <c r="L156" s="2">
        <v>10780069.2336333</v>
      </c>
      <c r="M156" s="3">
        <v>1813.1813267637001</v>
      </c>
      <c r="N156" s="3">
        <v>10780069.2336333</v>
      </c>
      <c r="O156" s="4">
        <v>6.2733697511274694E-2</v>
      </c>
      <c r="P156" s="4">
        <v>3.1855164252761201E-3</v>
      </c>
      <c r="Q156" s="5">
        <v>-3.0748150917679198E-2</v>
      </c>
      <c r="R156" s="5">
        <v>6.4223125126677599E-4</v>
      </c>
      <c r="S156" s="6">
        <v>0.25945427649305203</v>
      </c>
      <c r="T156" s="6">
        <v>6.9846820599232303E-3</v>
      </c>
      <c r="U156" s="7">
        <v>3.4825454154059597E-2</v>
      </c>
      <c r="V156" s="7">
        <v>3.3612641897058898E-2</v>
      </c>
      <c r="W156" s="8">
        <v>0.86415338061691904</v>
      </c>
      <c r="X156" s="8">
        <v>0.117392315385204</v>
      </c>
      <c r="Y156" s="2">
        <v>88</v>
      </c>
      <c r="Z156" s="2">
        <f>VLOOKUP(E156,YieldData!T:U,2,FALSE)</f>
        <v>429.84595635430037</v>
      </c>
      <c r="AA156">
        <f t="shared" si="4"/>
        <v>0.46992620588200101</v>
      </c>
    </row>
    <row r="157" spans="1:27" x14ac:dyDescent="0.25">
      <c r="A157">
        <v>158</v>
      </c>
      <c r="B157">
        <v>606</v>
      </c>
      <c r="C157" t="s">
        <v>23</v>
      </c>
      <c r="D157">
        <v>25110</v>
      </c>
      <c r="E157">
        <f t="shared" si="5"/>
        <v>25110606</v>
      </c>
      <c r="F157">
        <f>VLOOKUP(E157,YieldData!D:F,2,FALSE)</f>
        <v>9</v>
      </c>
      <c r="G157">
        <f>VLOOKUP($E157,YieldData!$D:$F,3,FALSE)</f>
        <v>3</v>
      </c>
      <c r="H157">
        <v>10</v>
      </c>
      <c r="I157" t="s">
        <v>24</v>
      </c>
      <c r="J157" t="s">
        <v>25</v>
      </c>
      <c r="K157" s="2">
        <v>1681.84446490714</v>
      </c>
      <c r="L157" s="2">
        <v>1352797.72768934</v>
      </c>
      <c r="M157" s="3">
        <v>1681.84446490714</v>
      </c>
      <c r="N157" s="3">
        <v>1352797.72768934</v>
      </c>
      <c r="O157" s="4">
        <v>5.9542594185855301E-2</v>
      </c>
      <c r="P157" s="4">
        <v>3.1421294934387699E-3</v>
      </c>
      <c r="Q157" s="5">
        <v>-2.81099392658587E-2</v>
      </c>
      <c r="R157" s="5">
        <v>7.7699887940383598E-4</v>
      </c>
      <c r="S157" s="6">
        <v>0.24915521177300001</v>
      </c>
      <c r="T157" s="6">
        <v>3.1797483335475499E-3</v>
      </c>
      <c r="U157" s="7">
        <v>1.2114181844273601E-2</v>
      </c>
      <c r="V157" s="7">
        <v>1.19674284425081E-2</v>
      </c>
      <c r="W157" s="8">
        <v>0.92863720624289903</v>
      </c>
      <c r="X157" s="8">
        <v>6.6270145424187493E-2</v>
      </c>
      <c r="Y157" s="2">
        <v>56</v>
      </c>
      <c r="Z157" s="2">
        <f>VLOOKUP(E157,YieldData!T:U,2,FALSE)</f>
        <v>1469.6084724005136</v>
      </c>
      <c r="AA157">
        <f t="shared" si="4"/>
        <v>0.39368063528511299</v>
      </c>
    </row>
    <row r="158" spans="1:27" x14ac:dyDescent="0.25">
      <c r="A158">
        <v>159</v>
      </c>
      <c r="B158">
        <v>607</v>
      </c>
      <c r="C158" t="s">
        <v>23</v>
      </c>
      <c r="D158">
        <v>25110</v>
      </c>
      <c r="E158">
        <f t="shared" si="5"/>
        <v>25110607</v>
      </c>
      <c r="F158">
        <f>VLOOKUP(E158,YieldData!D:F,2,FALSE)</f>
        <v>6</v>
      </c>
      <c r="G158">
        <f>VLOOKUP($E158,YieldData!$D:$F,3,FALSE)</f>
        <v>3</v>
      </c>
      <c r="H158">
        <v>10</v>
      </c>
      <c r="I158" t="s">
        <v>24</v>
      </c>
      <c r="J158" t="s">
        <v>25</v>
      </c>
      <c r="K158" s="2">
        <v>2291.6925855058598</v>
      </c>
      <c r="L158" s="2">
        <v>2529660.59743607</v>
      </c>
      <c r="M158" s="3">
        <v>2291.6925855058598</v>
      </c>
      <c r="N158" s="3">
        <v>2529660.59743607</v>
      </c>
      <c r="O158" s="4">
        <v>5.5337964667524997E-2</v>
      </c>
      <c r="P158" s="4">
        <v>2.3729299443519302E-3</v>
      </c>
      <c r="Q158" s="5">
        <v>-3.4494244944370797E-2</v>
      </c>
      <c r="R158" s="5">
        <v>4.7486273831767701E-4</v>
      </c>
      <c r="S158" s="6">
        <v>0.24588375241191401</v>
      </c>
      <c r="T158" s="6">
        <v>3.6258319712521299E-3</v>
      </c>
      <c r="U158" s="7">
        <v>1.6299928246830901E-2</v>
      </c>
      <c r="V158" s="7">
        <v>1.60342405860006E-2</v>
      </c>
      <c r="W158" s="8">
        <v>0.84908571223554996</v>
      </c>
      <c r="X158" s="8">
        <v>0.12813916551276799</v>
      </c>
      <c r="Y158" s="2">
        <v>60</v>
      </c>
      <c r="Z158" s="2">
        <f>VLOOKUP(E158,YieldData!T:U,2,FALSE)</f>
        <v>429.81386392811288</v>
      </c>
      <c r="AA158">
        <f t="shared" si="4"/>
        <v>0.39178586805721699</v>
      </c>
    </row>
    <row r="159" spans="1:27" x14ac:dyDescent="0.25">
      <c r="A159">
        <v>160</v>
      </c>
      <c r="B159">
        <v>608</v>
      </c>
      <c r="C159" t="s">
        <v>23</v>
      </c>
      <c r="D159">
        <v>25110</v>
      </c>
      <c r="E159">
        <f t="shared" si="5"/>
        <v>25110608</v>
      </c>
      <c r="F159">
        <f>VLOOKUP(E159,YieldData!D:F,2,FALSE)</f>
        <v>14</v>
      </c>
      <c r="G159">
        <f>VLOOKUP($E159,YieldData!$D:$F,3,FALSE)</f>
        <v>3</v>
      </c>
      <c r="H159">
        <v>10</v>
      </c>
      <c r="I159" t="s">
        <v>24</v>
      </c>
      <c r="J159" t="s">
        <v>25</v>
      </c>
      <c r="K159" s="2">
        <v>3163.8922642682901</v>
      </c>
      <c r="L159" s="2">
        <v>5118406.9330660002</v>
      </c>
      <c r="M159" s="3">
        <v>3163.8922642682901</v>
      </c>
      <c r="N159" s="3">
        <v>5118406.9330660002</v>
      </c>
      <c r="O159" s="4">
        <v>5.4325290986307999E-2</v>
      </c>
      <c r="P159" s="4">
        <v>2.27622149768763E-3</v>
      </c>
      <c r="Q159" s="5">
        <v>-3.67845479964619E-2</v>
      </c>
      <c r="R159" s="5">
        <v>4.7438423050591303E-4</v>
      </c>
      <c r="S159" s="6">
        <v>0.24520310764457601</v>
      </c>
      <c r="T159" s="6">
        <v>4.6853344583461997E-3</v>
      </c>
      <c r="U159" s="7">
        <v>2.2795770941970099E-2</v>
      </c>
      <c r="V159" s="7">
        <v>2.2276123769179101E-2</v>
      </c>
      <c r="W159" s="8">
        <v>0.933503163383684</v>
      </c>
      <c r="X159" s="8">
        <v>6.20750073363905E-2</v>
      </c>
      <c r="Y159" s="2">
        <v>69</v>
      </c>
      <c r="Z159" s="2">
        <f>VLOOKUP(E159,YieldData!T:U,2,FALSE)</f>
        <v>260.46373555840825</v>
      </c>
      <c r="AA159">
        <f t="shared" si="4"/>
        <v>0.446201131348888</v>
      </c>
    </row>
    <row r="160" spans="1:27" x14ac:dyDescent="0.25">
      <c r="A160">
        <v>161</v>
      </c>
      <c r="B160">
        <v>609</v>
      </c>
      <c r="C160" t="s">
        <v>23</v>
      </c>
      <c r="D160">
        <v>25110</v>
      </c>
      <c r="E160">
        <f t="shared" si="5"/>
        <v>25110609</v>
      </c>
      <c r="F160">
        <f>VLOOKUP(E160,YieldData!D:F,2,FALSE)</f>
        <v>2</v>
      </c>
      <c r="G160">
        <f>VLOOKUP($E160,YieldData!$D:$F,3,FALSE)</f>
        <v>3</v>
      </c>
      <c r="H160">
        <v>10</v>
      </c>
      <c r="I160" t="s">
        <v>24</v>
      </c>
      <c r="J160" t="s">
        <v>25</v>
      </c>
      <c r="K160" s="2">
        <v>2929.1874349682498</v>
      </c>
      <c r="L160" s="2">
        <v>3558652.4784964598</v>
      </c>
      <c r="M160" s="3">
        <v>2929.1874349682498</v>
      </c>
      <c r="N160" s="3">
        <v>3558652.4784964598</v>
      </c>
      <c r="O160" s="4">
        <v>4.83985804276202E-2</v>
      </c>
      <c r="P160" s="4">
        <v>2.43651581147835E-3</v>
      </c>
      <c r="Q160" s="5">
        <v>-3.79780119273685E-2</v>
      </c>
      <c r="R160" s="5">
        <v>6.9674568370352904E-4</v>
      </c>
      <c r="S160" s="6">
        <v>0.232005654534508</v>
      </c>
      <c r="T160" s="6">
        <v>3.3285163155361698E-3</v>
      </c>
      <c r="U160" s="7">
        <v>1.35266047145779E-2</v>
      </c>
      <c r="V160" s="7">
        <v>1.3343635679456E-2</v>
      </c>
      <c r="W160" s="8">
        <v>0.88005310242548895</v>
      </c>
      <c r="X160" s="8">
        <v>0.105559639336612</v>
      </c>
      <c r="Y160" s="2">
        <v>50</v>
      </c>
      <c r="Z160" s="2">
        <f>VLOOKUP(E160,YieldData!T:U,2,FALSE)</f>
        <v>459.55551989730429</v>
      </c>
      <c r="AA160">
        <f t="shared" si="4"/>
        <v>0.30308321572942298</v>
      </c>
    </row>
    <row r="161" spans="1:27" x14ac:dyDescent="0.25">
      <c r="A161">
        <v>162</v>
      </c>
      <c r="B161">
        <v>610</v>
      </c>
      <c r="C161" t="s">
        <v>23</v>
      </c>
      <c r="D161">
        <v>25110</v>
      </c>
      <c r="E161">
        <f t="shared" si="5"/>
        <v>25110610</v>
      </c>
      <c r="F161">
        <f>VLOOKUP(E161,YieldData!D:F,2,FALSE)</f>
        <v>3</v>
      </c>
      <c r="G161">
        <f>VLOOKUP($E161,YieldData!$D:$F,3,FALSE)</f>
        <v>3</v>
      </c>
      <c r="H161">
        <v>10</v>
      </c>
      <c r="I161" t="s">
        <v>24</v>
      </c>
      <c r="J161" t="s">
        <v>25</v>
      </c>
      <c r="K161" s="2">
        <v>3153.62992040782</v>
      </c>
      <c r="L161" s="2">
        <v>5166972.90479693</v>
      </c>
      <c r="M161" s="3">
        <v>3153.62992040782</v>
      </c>
      <c r="N161" s="3">
        <v>5166972.90479693</v>
      </c>
      <c r="O161" s="4">
        <v>5.3951497118121597E-2</v>
      </c>
      <c r="P161" s="4">
        <v>2.9966751535824999E-3</v>
      </c>
      <c r="Q161" s="5">
        <v>-3.7759143006783E-2</v>
      </c>
      <c r="R161" s="5">
        <v>7.5625405092827195E-4</v>
      </c>
      <c r="S161" s="6">
        <v>0.23174681289392299</v>
      </c>
      <c r="T161" s="6">
        <v>4.8734213077059104E-3</v>
      </c>
      <c r="U161" s="7">
        <v>2.1340803616514799E-2</v>
      </c>
      <c r="V161" s="7">
        <v>2.0885373717489299E-2</v>
      </c>
      <c r="W161" s="8">
        <v>0.88497469130607298</v>
      </c>
      <c r="X161" s="8">
        <v>0.10179448705380401</v>
      </c>
      <c r="Y161" s="2">
        <v>61</v>
      </c>
      <c r="Z161" s="2">
        <f>VLOOKUP(E161,YieldData!T:U,2,FALSE)</f>
        <v>431.31578947368428</v>
      </c>
      <c r="AA161">
        <f t="shared" si="4"/>
        <v>0.388695850816972</v>
      </c>
    </row>
    <row r="162" spans="1:27" hidden="1" x14ac:dyDescent="0.25">
      <c r="A162">
        <v>163</v>
      </c>
      <c r="B162">
        <v>611</v>
      </c>
      <c r="C162" t="s">
        <v>23</v>
      </c>
      <c r="D162">
        <v>25110</v>
      </c>
      <c r="E162">
        <f t="shared" si="5"/>
        <v>25110611</v>
      </c>
      <c r="H162">
        <v>10</v>
      </c>
      <c r="I162" t="s">
        <v>24</v>
      </c>
      <c r="J162" t="s">
        <v>25</v>
      </c>
      <c r="K162" s="2">
        <v>2866.3265442803299</v>
      </c>
      <c r="L162" s="2">
        <v>3391860.5327996099</v>
      </c>
      <c r="M162" s="3">
        <v>2866.3265442803299</v>
      </c>
      <c r="N162" s="3">
        <v>3391860.5327996099</v>
      </c>
      <c r="O162" s="4">
        <v>5.45564022783648E-2</v>
      </c>
      <c r="P162" s="4">
        <v>1.84850277247034E-3</v>
      </c>
      <c r="Q162" s="5">
        <v>-3.6178627861113297E-2</v>
      </c>
      <c r="R162" s="5">
        <v>5.5640313315491203E-4</v>
      </c>
      <c r="S162" s="6">
        <v>0.22546194808491099</v>
      </c>
      <c r="T162" s="6">
        <v>2.42913252404781E-3</v>
      </c>
      <c r="U162" s="7">
        <v>7.8454822699276505E-3</v>
      </c>
      <c r="V162" s="7">
        <v>7.7839306778759096E-3</v>
      </c>
      <c r="W162" s="8">
        <v>0.43998469119265199</v>
      </c>
      <c r="X162" s="8">
        <v>0.24639816270853099</v>
      </c>
      <c r="Y162" s="2">
        <v>23</v>
      </c>
      <c r="Z162" s="2">
        <f>VLOOKUP(E162,YieldData!T:U,2,FALSE)</f>
        <v>0</v>
      </c>
      <c r="AA162">
        <f t="shared" si="4"/>
        <v>0.44827833658250699</v>
      </c>
    </row>
    <row r="163" spans="1:27" x14ac:dyDescent="0.25">
      <c r="A163">
        <v>164</v>
      </c>
      <c r="B163">
        <v>612</v>
      </c>
      <c r="C163" t="s">
        <v>23</v>
      </c>
      <c r="D163">
        <v>25110</v>
      </c>
      <c r="E163">
        <f t="shared" si="5"/>
        <v>25110612</v>
      </c>
      <c r="F163">
        <f>VLOOKUP(E163,YieldData!D:F,2,FALSE)</f>
        <v>15</v>
      </c>
      <c r="G163">
        <f>VLOOKUP($E163,YieldData!$D:$F,3,FALSE)</f>
        <v>3</v>
      </c>
      <c r="H163">
        <v>10</v>
      </c>
      <c r="I163" t="s">
        <v>24</v>
      </c>
      <c r="J163" t="s">
        <v>25</v>
      </c>
      <c r="K163" s="2">
        <v>3177.9060492923099</v>
      </c>
      <c r="L163" s="2">
        <v>5281778.0860843603</v>
      </c>
      <c r="M163" s="3">
        <v>3177.9060492923099</v>
      </c>
      <c r="N163" s="3">
        <v>5281778.0860843603</v>
      </c>
      <c r="O163" s="4">
        <v>5.2814918623801797E-2</v>
      </c>
      <c r="P163" s="4">
        <v>2.3167525315072701E-3</v>
      </c>
      <c r="Q163" s="5">
        <v>-3.1813119468318198E-2</v>
      </c>
      <c r="R163" s="5">
        <v>5.4481703783082404E-4</v>
      </c>
      <c r="S163" s="6">
        <v>0.23136960148969199</v>
      </c>
      <c r="T163" s="6">
        <v>4.2864093295273999E-3</v>
      </c>
      <c r="U163" s="7">
        <v>1.6999003589478898E-2</v>
      </c>
      <c r="V163" s="7">
        <v>1.6710037466407299E-2</v>
      </c>
      <c r="W163" s="8">
        <v>0.83581641595735701</v>
      </c>
      <c r="X163" s="8">
        <v>0.13722733477347401</v>
      </c>
      <c r="Y163" s="2">
        <v>61</v>
      </c>
      <c r="Z163" s="2">
        <f>VLOOKUP(E163,YieldData!T:U,2,FALSE)</f>
        <v>1202.8161103979462</v>
      </c>
      <c r="AA163">
        <f t="shared" si="4"/>
        <v>0.347999903956973</v>
      </c>
    </row>
    <row r="164" spans="1:27" x14ac:dyDescent="0.25">
      <c r="A164">
        <v>230</v>
      </c>
      <c r="B164">
        <v>101</v>
      </c>
      <c r="C164" t="s">
        <v>26</v>
      </c>
      <c r="D164">
        <v>25104</v>
      </c>
      <c r="E164">
        <f t="shared" si="5"/>
        <v>25104101</v>
      </c>
      <c r="F164">
        <f>VLOOKUP(E164,YieldData!D:F,2,FALSE)</f>
        <v>1</v>
      </c>
      <c r="G164">
        <f>VLOOKUP($E164,YieldData!$D:$F,3,FALSE)</f>
        <v>1</v>
      </c>
      <c r="H164">
        <v>10</v>
      </c>
      <c r="I164" t="s">
        <v>27</v>
      </c>
      <c r="J164" t="s">
        <v>28</v>
      </c>
      <c r="K164" s="2">
        <v>3727.6227800566899</v>
      </c>
      <c r="L164" s="2">
        <v>10385934.229830399</v>
      </c>
      <c r="M164" s="3">
        <v>3727.6227800566899</v>
      </c>
      <c r="N164" s="3">
        <v>10385934.229830399</v>
      </c>
      <c r="O164" s="4">
        <v>8.7768869103998004E-2</v>
      </c>
      <c r="P164" s="4">
        <v>2.5517994005960401E-2</v>
      </c>
      <c r="Q164" s="5">
        <v>-3.5806273159672698E-2</v>
      </c>
      <c r="R164" s="5">
        <v>1.3779096202565001E-3</v>
      </c>
      <c r="S164" s="6">
        <v>0.28588115102895101</v>
      </c>
      <c r="T164" s="6">
        <v>3.9320507931400801E-2</v>
      </c>
      <c r="U164" s="7">
        <v>0.18005907889544001</v>
      </c>
      <c r="V164" s="7">
        <v>0.14763780700281501</v>
      </c>
      <c r="W164" s="8">
        <v>0.99944983973592305</v>
      </c>
      <c r="X164" s="8">
        <v>5.49857587764079E-4</v>
      </c>
      <c r="Y164" s="2">
        <v>324</v>
      </c>
      <c r="Z164" s="2">
        <f>VLOOKUP(E164,YieldData!T:U,2,FALSE)</f>
        <v>534</v>
      </c>
      <c r="AA164">
        <f t="shared" si="4"/>
        <v>0.27361559622054799</v>
      </c>
    </row>
    <row r="165" spans="1:27" x14ac:dyDescent="0.25">
      <c r="A165">
        <v>231</v>
      </c>
      <c r="B165">
        <v>102</v>
      </c>
      <c r="C165" t="s">
        <v>26</v>
      </c>
      <c r="D165">
        <v>25104</v>
      </c>
      <c r="E165">
        <f t="shared" si="5"/>
        <v>25104102</v>
      </c>
      <c r="F165">
        <f>VLOOKUP(E165,YieldData!D:F,2,FALSE)</f>
        <v>2</v>
      </c>
      <c r="G165">
        <f>VLOOKUP($E165,YieldData!$D:$F,3,FALSE)</f>
        <v>1</v>
      </c>
      <c r="H165">
        <v>10</v>
      </c>
      <c r="I165" t="s">
        <v>27</v>
      </c>
      <c r="J165" t="s">
        <v>28</v>
      </c>
      <c r="K165" s="2">
        <v>2641.8665450445301</v>
      </c>
      <c r="L165" s="2">
        <v>4326537.4663091898</v>
      </c>
      <c r="M165" s="3">
        <v>2641.8665450445301</v>
      </c>
      <c r="N165" s="3">
        <v>4326537.4663091898</v>
      </c>
      <c r="O165" s="4">
        <v>2.3898839954073901E-2</v>
      </c>
      <c r="P165" s="4">
        <v>1.0942162216120399E-2</v>
      </c>
      <c r="Q165" s="5">
        <v>-4.9200399759944599E-2</v>
      </c>
      <c r="R165" s="5">
        <v>7.0105486596213804E-4</v>
      </c>
      <c r="S165" s="6">
        <v>0.213097661384899</v>
      </c>
      <c r="T165" s="6">
        <v>1.7865998621087901E-2</v>
      </c>
      <c r="U165" s="7">
        <v>7.4392206048167403E-2</v>
      </c>
      <c r="V165" s="7">
        <v>6.8858005727410701E-2</v>
      </c>
      <c r="W165" s="8">
        <v>0.99003027654264697</v>
      </c>
      <c r="X165" s="8">
        <v>9.8703280715374993E-3</v>
      </c>
      <c r="Y165" s="2">
        <v>213</v>
      </c>
      <c r="Z165" s="2">
        <f>VLOOKUP(E165,YieldData!T:U,2,FALSE)</f>
        <v>1547</v>
      </c>
      <c r="AA165">
        <f t="shared" si="4"/>
        <v>0.40237923302041001</v>
      </c>
    </row>
    <row r="166" spans="1:27" x14ac:dyDescent="0.25">
      <c r="A166">
        <v>232</v>
      </c>
      <c r="B166">
        <v>103</v>
      </c>
      <c r="C166" t="s">
        <v>26</v>
      </c>
      <c r="D166">
        <v>25104</v>
      </c>
      <c r="E166">
        <f t="shared" si="5"/>
        <v>25104103</v>
      </c>
      <c r="F166">
        <f>VLOOKUP(E166,YieldData!D:F,2,FALSE)</f>
        <v>3</v>
      </c>
      <c r="G166">
        <f>VLOOKUP($E166,YieldData!$D:$F,3,FALSE)</f>
        <v>1</v>
      </c>
      <c r="H166">
        <v>10</v>
      </c>
      <c r="I166" t="s">
        <v>27</v>
      </c>
      <c r="J166" t="s">
        <v>28</v>
      </c>
      <c r="K166" s="2">
        <v>3144.02432665168</v>
      </c>
      <c r="L166" s="2">
        <v>8069572.2234668201</v>
      </c>
      <c r="M166" s="3">
        <v>3144.02432665168</v>
      </c>
      <c r="N166" s="3">
        <v>8069572.2234668201</v>
      </c>
      <c r="O166" s="4">
        <v>4.8404230103949002E-2</v>
      </c>
      <c r="P166" s="4">
        <v>2.0384710113268999E-2</v>
      </c>
      <c r="Q166" s="5">
        <v>-4.4278827955967701E-2</v>
      </c>
      <c r="R166" s="5">
        <v>1.0672241348570299E-3</v>
      </c>
      <c r="S166" s="6">
        <v>0.24670516936947801</v>
      </c>
      <c r="T166" s="6">
        <v>3.0693246384611701E-2</v>
      </c>
      <c r="U166" s="7">
        <v>0.13097402286753099</v>
      </c>
      <c r="V166" s="7">
        <v>0.113819828201552</v>
      </c>
      <c r="W166" s="8">
        <v>0.97311519326444695</v>
      </c>
      <c r="X166" s="8">
        <v>2.6162013902302501E-2</v>
      </c>
      <c r="Y166" s="2">
        <v>202</v>
      </c>
      <c r="Z166" s="2">
        <f>VLOOKUP(E166,YieldData!T:U,2,FALSE)</f>
        <v>1172</v>
      </c>
      <c r="AA166">
        <f t="shared" si="4"/>
        <v>0.32019468793724098</v>
      </c>
    </row>
    <row r="167" spans="1:27" x14ac:dyDescent="0.25">
      <c r="A167">
        <v>233</v>
      </c>
      <c r="B167">
        <v>104</v>
      </c>
      <c r="C167" t="s">
        <v>26</v>
      </c>
      <c r="D167">
        <v>25104</v>
      </c>
      <c r="E167">
        <f t="shared" si="5"/>
        <v>25104104</v>
      </c>
      <c r="F167">
        <f>VLOOKUP(E167,YieldData!D:F,2,FALSE)</f>
        <v>4</v>
      </c>
      <c r="G167">
        <f>VLOOKUP($E167,YieldData!$D:$F,3,FALSE)</f>
        <v>1</v>
      </c>
      <c r="H167">
        <v>10</v>
      </c>
      <c r="I167" t="s">
        <v>27</v>
      </c>
      <c r="J167" t="s">
        <v>28</v>
      </c>
      <c r="K167" s="2">
        <v>3628.7134064342599</v>
      </c>
      <c r="L167" s="2">
        <v>9354415.3170313891</v>
      </c>
      <c r="M167" s="3">
        <v>3628.7134064342599</v>
      </c>
      <c r="N167" s="3">
        <v>9354415.3170313891</v>
      </c>
      <c r="O167" s="4">
        <v>8.3061486060103301E-2</v>
      </c>
      <c r="P167" s="4">
        <v>2.6234409509400002E-2</v>
      </c>
      <c r="Q167" s="5">
        <v>-3.5799358138938898E-2</v>
      </c>
      <c r="R167" s="5">
        <v>1.5394204333814001E-3</v>
      </c>
      <c r="S167" s="6">
        <v>0.28833520654192002</v>
      </c>
      <c r="T167" s="6">
        <v>3.8255439138466601E-2</v>
      </c>
      <c r="U167" s="7">
        <v>0.19007965242577801</v>
      </c>
      <c r="V167" s="7">
        <v>0.15394937815954399</v>
      </c>
      <c r="W167" s="8">
        <v>0.95297692158510605</v>
      </c>
      <c r="X167" s="8">
        <v>4.4811908511271002E-2</v>
      </c>
      <c r="Y167" s="2">
        <v>176</v>
      </c>
      <c r="Z167" s="2">
        <f>VLOOKUP(E167,YieldData!T:U,2,FALSE)</f>
        <v>1125</v>
      </c>
      <c r="AA167">
        <f t="shared" si="4"/>
        <v>0.41335522997944002</v>
      </c>
    </row>
    <row r="168" spans="1:27" x14ac:dyDescent="0.25">
      <c r="A168">
        <v>234</v>
      </c>
      <c r="B168">
        <v>105</v>
      </c>
      <c r="C168" t="s">
        <v>26</v>
      </c>
      <c r="D168">
        <v>25104</v>
      </c>
      <c r="E168">
        <f t="shared" si="5"/>
        <v>25104105</v>
      </c>
      <c r="F168">
        <f>VLOOKUP(E168,YieldData!D:F,2,FALSE)</f>
        <v>5</v>
      </c>
      <c r="G168">
        <f>VLOOKUP($E168,YieldData!$D:$F,3,FALSE)</f>
        <v>1</v>
      </c>
      <c r="H168">
        <v>10</v>
      </c>
      <c r="I168" t="s">
        <v>27</v>
      </c>
      <c r="J168" t="s">
        <v>28</v>
      </c>
      <c r="K168" s="2">
        <v>3125.9431210016701</v>
      </c>
      <c r="L168" s="2">
        <v>5939901.5202755304</v>
      </c>
      <c r="M168" s="3">
        <v>3125.9431210016701</v>
      </c>
      <c r="N168" s="3">
        <v>5939901.5202755304</v>
      </c>
      <c r="O168" s="4">
        <v>3.1946240463295902E-2</v>
      </c>
      <c r="P168" s="4">
        <v>1.44711286916826E-2</v>
      </c>
      <c r="Q168" s="5">
        <v>-4.6169009740028001E-2</v>
      </c>
      <c r="R168" s="5">
        <v>8.97270267580182E-4</v>
      </c>
      <c r="S168" s="6">
        <v>0.23067755359584399</v>
      </c>
      <c r="T168" s="6">
        <v>2.4078162500553401E-2</v>
      </c>
      <c r="U168" s="7">
        <v>0.10198391954795499</v>
      </c>
      <c r="V168" s="7">
        <v>9.1583199701556803E-2</v>
      </c>
      <c r="W168" s="8">
        <v>0.89240057260222805</v>
      </c>
      <c r="X168" s="8">
        <v>9.6021790621657901E-2</v>
      </c>
      <c r="Y168" s="2">
        <v>191</v>
      </c>
      <c r="Z168" s="2">
        <f>VLOOKUP(E168,YieldData!T:U,2,FALSE)</f>
        <v>2382</v>
      </c>
      <c r="AA168">
        <f t="shared" si="4"/>
        <v>0.52409286114396003</v>
      </c>
    </row>
    <row r="169" spans="1:27" x14ac:dyDescent="0.25">
      <c r="A169">
        <v>235</v>
      </c>
      <c r="B169">
        <v>106</v>
      </c>
      <c r="C169" t="s">
        <v>26</v>
      </c>
      <c r="D169">
        <v>25104</v>
      </c>
      <c r="E169">
        <f t="shared" si="5"/>
        <v>25104106</v>
      </c>
      <c r="F169">
        <f>VLOOKUP(E169,YieldData!D:F,2,FALSE)</f>
        <v>4</v>
      </c>
      <c r="G169">
        <f>VLOOKUP($E169,YieldData!$D:$F,3,FALSE)</f>
        <v>2</v>
      </c>
      <c r="H169">
        <v>10</v>
      </c>
      <c r="I169" t="s">
        <v>27</v>
      </c>
      <c r="J169" t="s">
        <v>28</v>
      </c>
      <c r="K169" s="2">
        <v>3160.0736780413099</v>
      </c>
      <c r="L169" s="2">
        <v>7036398.5473243203</v>
      </c>
      <c r="M169" s="3">
        <v>3160.0736780413099</v>
      </c>
      <c r="N169" s="3">
        <v>7036398.5473243203</v>
      </c>
      <c r="O169" s="4">
        <v>7.6543956024378704E-2</v>
      </c>
      <c r="P169" s="4">
        <v>2.5220182015069401E-2</v>
      </c>
      <c r="Q169" s="5">
        <v>-3.2938208583243797E-2</v>
      </c>
      <c r="R169" s="5">
        <v>1.5176811116503399E-3</v>
      </c>
      <c r="S169" s="6">
        <v>0.28365462655018098</v>
      </c>
      <c r="T169" s="6">
        <v>3.8531178123596202E-2</v>
      </c>
      <c r="U169" s="7">
        <v>0.175714952097312</v>
      </c>
      <c r="V169" s="7">
        <v>0.144839207706879</v>
      </c>
      <c r="W169" s="8">
        <v>0.85578970028942503</v>
      </c>
      <c r="X169" s="8">
        <v>0.12341368916800299</v>
      </c>
      <c r="Y169" s="2">
        <v>207</v>
      </c>
      <c r="Z169" s="2">
        <f>VLOOKUP(E169,YieldData!T:U,2,FALSE)</f>
        <v>1226</v>
      </c>
      <c r="AA169">
        <f t="shared" si="4"/>
        <v>0.36991281677170901</v>
      </c>
    </row>
    <row r="170" spans="1:27" x14ac:dyDescent="0.25">
      <c r="A170">
        <v>236</v>
      </c>
      <c r="B170">
        <v>107</v>
      </c>
      <c r="C170" t="s">
        <v>26</v>
      </c>
      <c r="D170">
        <v>25104</v>
      </c>
      <c r="E170">
        <f t="shared" si="5"/>
        <v>25104107</v>
      </c>
      <c r="F170">
        <f>VLOOKUP(E170,YieldData!D:F,2,FALSE)</f>
        <v>1</v>
      </c>
      <c r="G170">
        <f>VLOOKUP($E170,YieldData!$D:$F,3,FALSE)</f>
        <v>2</v>
      </c>
      <c r="H170">
        <v>10</v>
      </c>
      <c r="I170" t="s">
        <v>27</v>
      </c>
      <c r="J170" t="s">
        <v>28</v>
      </c>
      <c r="K170" s="2">
        <v>2284.6990731328101</v>
      </c>
      <c r="L170" s="2">
        <v>4771408.7666336801</v>
      </c>
      <c r="M170" s="3">
        <v>2284.6990731328101</v>
      </c>
      <c r="N170" s="3">
        <v>4771408.7666336801</v>
      </c>
      <c r="O170" s="4">
        <v>2.86195001808629E-2</v>
      </c>
      <c r="P170" s="4">
        <v>7.2432411531680903E-3</v>
      </c>
      <c r="Q170" s="5">
        <v>-4.3182713216261798E-2</v>
      </c>
      <c r="R170" s="5">
        <v>6.2420640620982596E-4</v>
      </c>
      <c r="S170" s="6">
        <v>0.218035011664893</v>
      </c>
      <c r="T170" s="6">
        <v>1.2438285896121899E-2</v>
      </c>
      <c r="U170" s="7">
        <v>5.5492435567780898E-2</v>
      </c>
      <c r="V170" s="7">
        <v>5.2413025162580201E-2</v>
      </c>
      <c r="W170" s="8">
        <v>0.93159990910286905</v>
      </c>
      <c r="X170" s="8">
        <v>6.3721518462082904E-2</v>
      </c>
      <c r="Y170" s="2">
        <v>222</v>
      </c>
      <c r="Z170" s="2">
        <f>VLOOKUP(E170,YieldData!T:U,2,FALSE)</f>
        <v>2154</v>
      </c>
      <c r="AA170">
        <f t="shared" si="4"/>
        <v>0.46171693735498798</v>
      </c>
    </row>
    <row r="171" spans="1:27" x14ac:dyDescent="0.25">
      <c r="A171">
        <v>237</v>
      </c>
      <c r="B171">
        <v>108</v>
      </c>
      <c r="C171" t="s">
        <v>26</v>
      </c>
      <c r="D171">
        <v>25104</v>
      </c>
      <c r="E171">
        <f t="shared" si="5"/>
        <v>25104108</v>
      </c>
      <c r="F171">
        <f>VLOOKUP(E171,YieldData!D:F,2,FALSE)</f>
        <v>5</v>
      </c>
      <c r="G171">
        <f>VLOOKUP($E171,YieldData!$D:$F,3,FALSE)</f>
        <v>2</v>
      </c>
      <c r="H171">
        <v>10</v>
      </c>
      <c r="I171" t="s">
        <v>27</v>
      </c>
      <c r="J171" t="s">
        <v>28</v>
      </c>
      <c r="K171" s="2">
        <v>2274.05102016409</v>
      </c>
      <c r="L171" s="2">
        <v>10771256.075565699</v>
      </c>
      <c r="M171" s="3">
        <v>2274.05102016409</v>
      </c>
      <c r="N171" s="3">
        <v>10771256.075565699</v>
      </c>
      <c r="O171" s="4">
        <v>4.3844678666445702E-2</v>
      </c>
      <c r="P171" s="4">
        <v>6.7840940526564999E-3</v>
      </c>
      <c r="Q171" s="5">
        <v>-3.4838685633806703E-2</v>
      </c>
      <c r="R171" s="5">
        <v>7.9344365030325104E-4</v>
      </c>
      <c r="S171" s="6">
        <v>0.235689042656858</v>
      </c>
      <c r="T171" s="6">
        <v>1.4103414316647699E-2</v>
      </c>
      <c r="U171" s="7">
        <v>6.76322147008874E-2</v>
      </c>
      <c r="V171" s="7">
        <v>6.3058098235530199E-2</v>
      </c>
      <c r="W171" s="8">
        <v>0.86397560100466497</v>
      </c>
      <c r="X171" s="8">
        <v>0.117521761873114</v>
      </c>
      <c r="Y171" s="2">
        <v>145</v>
      </c>
      <c r="Z171" s="2">
        <f>VLOOKUP(E171,YieldData!T:U,2,FALSE)</f>
        <v>2192</v>
      </c>
      <c r="AA171">
        <f t="shared" si="4"/>
        <v>0.52551636707210603</v>
      </c>
    </row>
    <row r="172" spans="1:27" x14ac:dyDescent="0.25">
      <c r="A172">
        <v>238</v>
      </c>
      <c r="B172">
        <v>109</v>
      </c>
      <c r="C172" t="s">
        <v>26</v>
      </c>
      <c r="D172">
        <v>25104</v>
      </c>
      <c r="E172">
        <f t="shared" si="5"/>
        <v>25104109</v>
      </c>
      <c r="F172">
        <f>VLOOKUP(E172,YieldData!D:F,2,FALSE)</f>
        <v>2</v>
      </c>
      <c r="G172">
        <f>VLOOKUP($E172,YieldData!$D:$F,3,FALSE)</f>
        <v>2</v>
      </c>
      <c r="H172">
        <v>10</v>
      </c>
      <c r="I172" t="s">
        <v>27</v>
      </c>
      <c r="J172" t="s">
        <v>28</v>
      </c>
      <c r="K172" s="2">
        <v>1947.82904682253</v>
      </c>
      <c r="L172" s="2">
        <v>5539608.7164266501</v>
      </c>
      <c r="M172" s="3">
        <v>1947.82904682253</v>
      </c>
      <c r="N172" s="3">
        <v>5539608.7164266501</v>
      </c>
      <c r="O172" s="4">
        <v>6.1532360091701203E-2</v>
      </c>
      <c r="P172" s="4">
        <v>7.3722076190713901E-3</v>
      </c>
      <c r="Q172" s="5">
        <v>-3.1754334713883697E-2</v>
      </c>
      <c r="R172" s="5">
        <v>7.1277645315826605E-4</v>
      </c>
      <c r="S172" s="6">
        <v>0.24975896684441101</v>
      </c>
      <c r="T172" s="6">
        <v>1.27725226184193E-2</v>
      </c>
      <c r="U172" s="7">
        <v>6.4253644058204301E-2</v>
      </c>
      <c r="V172" s="7">
        <v>6.0125113283413897E-2</v>
      </c>
      <c r="W172" s="8">
        <v>0.94942520061378999</v>
      </c>
      <c r="X172" s="8">
        <v>4.8016989053054002E-2</v>
      </c>
      <c r="Y172" s="2">
        <v>177</v>
      </c>
      <c r="Z172" s="2">
        <f>VLOOKUP(E172,YieldData!T:U,2,FALSE)</f>
        <v>1678</v>
      </c>
      <c r="AA172">
        <f t="shared" si="4"/>
        <v>0.42171660000503097</v>
      </c>
    </row>
    <row r="173" spans="1:27" x14ac:dyDescent="0.25">
      <c r="A173">
        <v>221</v>
      </c>
      <c r="B173">
        <v>201</v>
      </c>
      <c r="C173" t="s">
        <v>26</v>
      </c>
      <c r="D173">
        <v>25104</v>
      </c>
      <c r="E173">
        <f t="shared" si="5"/>
        <v>25104201</v>
      </c>
      <c r="F173">
        <f>VLOOKUP(E173,YieldData!D:F,2,FALSE)</f>
        <v>5</v>
      </c>
      <c r="G173">
        <f>VLOOKUP($E173,YieldData!$D:$F,3,FALSE)</f>
        <v>4</v>
      </c>
      <c r="H173">
        <v>10</v>
      </c>
      <c r="I173" t="s">
        <v>27</v>
      </c>
      <c r="J173" t="s">
        <v>28</v>
      </c>
      <c r="K173" s="2">
        <v>3014.5024427906001</v>
      </c>
      <c r="L173" s="2">
        <v>6563235.4765533004</v>
      </c>
      <c r="M173" s="3">
        <v>3014.5024427906001</v>
      </c>
      <c r="N173" s="3">
        <v>6563235.4765533004</v>
      </c>
      <c r="O173" s="4">
        <v>4.2069370531333798E-2</v>
      </c>
      <c r="P173" s="4">
        <v>1.26470544601052E-2</v>
      </c>
      <c r="Q173" s="5">
        <v>-4.6369276386438597E-2</v>
      </c>
      <c r="R173" s="5">
        <v>7.3787442266100398E-4</v>
      </c>
      <c r="S173" s="6">
        <v>0.22959104911366701</v>
      </c>
      <c r="T173" s="6">
        <v>2.10833321897551E-2</v>
      </c>
      <c r="U173" s="7">
        <v>9.4572701498582407E-2</v>
      </c>
      <c r="V173" s="7">
        <v>8.5628705629762006E-2</v>
      </c>
      <c r="W173" s="8">
        <v>0.99212708056452104</v>
      </c>
      <c r="X173" s="8">
        <v>7.8109365750289404E-3</v>
      </c>
      <c r="Y173" s="2">
        <v>219</v>
      </c>
      <c r="Z173" s="2">
        <f>VLOOKUP(E173,YieldData!T:U,2,FALSE)</f>
        <v>1492</v>
      </c>
      <c r="AA173">
        <f t="shared" si="4"/>
        <v>0.37392096802774499</v>
      </c>
    </row>
    <row r="174" spans="1:27" x14ac:dyDescent="0.25">
      <c r="A174">
        <v>222</v>
      </c>
      <c r="B174">
        <v>202</v>
      </c>
      <c r="C174" t="s">
        <v>26</v>
      </c>
      <c r="D174">
        <v>25104</v>
      </c>
      <c r="E174">
        <f t="shared" si="5"/>
        <v>25104202</v>
      </c>
      <c r="F174">
        <f>VLOOKUP(E174,YieldData!D:F,2,FALSE)</f>
        <v>1</v>
      </c>
      <c r="G174">
        <f>VLOOKUP($E174,YieldData!$D:$F,3,FALSE)</f>
        <v>4</v>
      </c>
      <c r="H174">
        <v>10</v>
      </c>
      <c r="I174" t="s">
        <v>27</v>
      </c>
      <c r="J174" t="s">
        <v>28</v>
      </c>
      <c r="K174" s="2">
        <v>2786.59758395071</v>
      </c>
      <c r="L174" s="2">
        <v>5122721.7510046801</v>
      </c>
      <c r="M174" s="3">
        <v>2786.59758395071</v>
      </c>
      <c r="N174" s="3">
        <v>5122721.7510046801</v>
      </c>
      <c r="O174" s="4">
        <v>3.7678580337558602E-2</v>
      </c>
      <c r="P174" s="4">
        <v>1.2389797083930801E-2</v>
      </c>
      <c r="Q174" s="5">
        <v>-4.6457433578312397E-2</v>
      </c>
      <c r="R174" s="5">
        <v>7.3771957242016299E-4</v>
      </c>
      <c r="S174" s="6">
        <v>0.230457189603301</v>
      </c>
      <c r="T174" s="6">
        <v>1.9731949391016902E-2</v>
      </c>
      <c r="U174" s="7">
        <v>9.1562921662975097E-2</v>
      </c>
      <c r="V174" s="7">
        <v>8.3179153039476095E-2</v>
      </c>
      <c r="W174" s="8">
        <v>0.990911289603992</v>
      </c>
      <c r="X174" s="8">
        <v>9.0061057393380998E-3</v>
      </c>
      <c r="Y174" s="2">
        <v>228</v>
      </c>
      <c r="Z174" s="2">
        <f>VLOOKUP(E174,YieldData!T:U,2,FALSE)</f>
        <v>3107</v>
      </c>
      <c r="AA174">
        <f t="shared" si="4"/>
        <v>0.58287292817679603</v>
      </c>
    </row>
    <row r="175" spans="1:27" x14ac:dyDescent="0.25">
      <c r="A175">
        <v>223</v>
      </c>
      <c r="B175">
        <v>203</v>
      </c>
      <c r="C175" t="s">
        <v>26</v>
      </c>
      <c r="D175">
        <v>25104</v>
      </c>
      <c r="E175">
        <f t="shared" si="5"/>
        <v>25104203</v>
      </c>
      <c r="F175">
        <f>VLOOKUP(E175,YieldData!D:F,2,FALSE)</f>
        <v>3</v>
      </c>
      <c r="G175">
        <f>VLOOKUP($E175,YieldData!$D:$F,3,FALSE)</f>
        <v>4</v>
      </c>
      <c r="H175">
        <v>10</v>
      </c>
      <c r="I175" t="s">
        <v>27</v>
      </c>
      <c r="J175" t="s">
        <v>28</v>
      </c>
      <c r="K175" s="2">
        <v>3010.6474978471001</v>
      </c>
      <c r="L175" s="2">
        <v>8673453.9709725492</v>
      </c>
      <c r="M175" s="3">
        <v>3010.6474978471001</v>
      </c>
      <c r="N175" s="3">
        <v>8673453.9709725492</v>
      </c>
      <c r="O175" s="4">
        <v>6.0754009850714899E-2</v>
      </c>
      <c r="P175" s="4">
        <v>1.9307314629990299E-2</v>
      </c>
      <c r="Q175" s="5">
        <v>-4.1144745449643798E-2</v>
      </c>
      <c r="R175" s="5">
        <v>1.0588702772029899E-3</v>
      </c>
      <c r="S175" s="6">
        <v>0.26016958166545101</v>
      </c>
      <c r="T175" s="6">
        <v>2.9804743776491002E-2</v>
      </c>
      <c r="U175" s="7">
        <v>0.146002774854081</v>
      </c>
      <c r="V175" s="7">
        <v>0.12468596458919801</v>
      </c>
      <c r="W175" s="8">
        <v>0.996555765505035</v>
      </c>
      <c r="X175" s="8">
        <v>3.4323717437032401E-3</v>
      </c>
      <c r="Y175" s="2">
        <v>202</v>
      </c>
      <c r="Z175" s="2">
        <f>VLOOKUP(E175,YieldData!T:U,2,FALSE)</f>
        <v>1849</v>
      </c>
      <c r="AA175">
        <f t="shared" si="4"/>
        <v>0.52339947137406895</v>
      </c>
    </row>
    <row r="176" spans="1:27" x14ac:dyDescent="0.25">
      <c r="A176">
        <v>224</v>
      </c>
      <c r="B176">
        <v>204</v>
      </c>
      <c r="C176" t="s">
        <v>26</v>
      </c>
      <c r="D176">
        <v>25104</v>
      </c>
      <c r="E176">
        <f t="shared" si="5"/>
        <v>25104204</v>
      </c>
      <c r="F176">
        <f>VLOOKUP(E176,YieldData!D:F,2,FALSE)</f>
        <v>4</v>
      </c>
      <c r="G176">
        <f>VLOOKUP($E176,YieldData!$D:$F,3,FALSE)</f>
        <v>3</v>
      </c>
      <c r="H176">
        <v>10</v>
      </c>
      <c r="I176" t="s">
        <v>27</v>
      </c>
      <c r="J176" t="s">
        <v>28</v>
      </c>
      <c r="K176" s="2">
        <v>3300.7066354697899</v>
      </c>
      <c r="L176" s="2">
        <v>9465383.8773685098</v>
      </c>
      <c r="M176" s="3">
        <v>3300.7066354697899</v>
      </c>
      <c r="N176" s="3">
        <v>9465383.8773685098</v>
      </c>
      <c r="O176" s="4">
        <v>8.9326220412143595E-2</v>
      </c>
      <c r="P176" s="4">
        <v>2.88028775867952E-2</v>
      </c>
      <c r="Q176" s="5">
        <v>-3.5577195299739302E-2</v>
      </c>
      <c r="R176" s="5">
        <v>1.6742894449283501E-3</v>
      </c>
      <c r="S176" s="6">
        <v>0.299186718459726</v>
      </c>
      <c r="T176" s="6">
        <v>4.1306435936079598E-2</v>
      </c>
      <c r="U176" s="7">
        <v>0.213812503286188</v>
      </c>
      <c r="V176" s="7">
        <v>0.168096716724835</v>
      </c>
      <c r="W176" s="8">
        <v>0.995649773945957</v>
      </c>
      <c r="X176" s="8">
        <v>4.3313015873035002E-3</v>
      </c>
      <c r="Y176" s="2">
        <v>193</v>
      </c>
      <c r="Z176" s="2">
        <f>VLOOKUP(E176,YieldData!T:U,2,FALSE)</f>
        <v>2033</v>
      </c>
      <c r="AA176">
        <f t="shared" si="4"/>
        <v>0.56408874635261996</v>
      </c>
    </row>
    <row r="177" spans="1:27" x14ac:dyDescent="0.25">
      <c r="A177">
        <v>225</v>
      </c>
      <c r="B177">
        <v>205</v>
      </c>
      <c r="C177" t="s">
        <v>26</v>
      </c>
      <c r="D177">
        <v>25104</v>
      </c>
      <c r="E177">
        <f t="shared" si="5"/>
        <v>25104205</v>
      </c>
      <c r="F177">
        <f>VLOOKUP(E177,YieldData!D:F,2,FALSE)</f>
        <v>2</v>
      </c>
      <c r="G177">
        <f>VLOOKUP($E177,YieldData!$D:$F,3,FALSE)</f>
        <v>3</v>
      </c>
      <c r="H177">
        <v>10</v>
      </c>
      <c r="I177" t="s">
        <v>27</v>
      </c>
      <c r="J177" t="s">
        <v>28</v>
      </c>
      <c r="K177" s="2">
        <v>2921.6881523942998</v>
      </c>
      <c r="L177" s="2">
        <v>6551767.7529600896</v>
      </c>
      <c r="M177" s="3">
        <v>2921.6881523942998</v>
      </c>
      <c r="N177" s="3">
        <v>6551767.7529600896</v>
      </c>
      <c r="O177" s="4">
        <v>5.1740982857927401E-2</v>
      </c>
      <c r="P177" s="4">
        <v>2.0332816723741601E-2</v>
      </c>
      <c r="Q177" s="5">
        <v>-4.1098024276857402E-2</v>
      </c>
      <c r="R177" s="5">
        <v>1.26453103211879E-3</v>
      </c>
      <c r="S177" s="6">
        <v>0.25120015821736902</v>
      </c>
      <c r="T177" s="6">
        <v>3.0726286007350102E-2</v>
      </c>
      <c r="U177" s="7">
        <v>0.133269919146912</v>
      </c>
      <c r="V177" s="7">
        <v>0.115509047797454</v>
      </c>
      <c r="W177" s="8">
        <v>0.95656962627349895</v>
      </c>
      <c r="X177" s="8">
        <v>4.1544176364624603E-2</v>
      </c>
      <c r="Y177" s="2">
        <v>210</v>
      </c>
      <c r="Z177" s="2">
        <f>VLOOKUP(E177,YieldData!T:U,2,FALSE)</f>
        <v>2592</v>
      </c>
      <c r="AA177">
        <f t="shared" si="4"/>
        <v>0.49701490669236598</v>
      </c>
    </row>
    <row r="178" spans="1:27" x14ac:dyDescent="0.25">
      <c r="A178">
        <v>226</v>
      </c>
      <c r="B178">
        <v>206</v>
      </c>
      <c r="C178" t="s">
        <v>26</v>
      </c>
      <c r="D178">
        <v>25104</v>
      </c>
      <c r="E178">
        <f t="shared" si="5"/>
        <v>25104206</v>
      </c>
      <c r="F178">
        <f>VLOOKUP(E178,YieldData!D:F,2,FALSE)</f>
        <v>3</v>
      </c>
      <c r="G178">
        <f>VLOOKUP($E178,YieldData!$D:$F,3,FALSE)</f>
        <v>3</v>
      </c>
      <c r="H178">
        <v>10</v>
      </c>
      <c r="I178" t="s">
        <v>27</v>
      </c>
      <c r="J178" t="s">
        <v>28</v>
      </c>
      <c r="K178" s="2">
        <v>3934.5640666857998</v>
      </c>
      <c r="L178" s="2">
        <v>13473403.8625955</v>
      </c>
      <c r="M178" s="3">
        <v>3934.5640666857998</v>
      </c>
      <c r="N178" s="3">
        <v>13473403.8625955</v>
      </c>
      <c r="O178" s="4">
        <v>8.3713136298121396E-2</v>
      </c>
      <c r="P178" s="4">
        <v>2.4309705908563101E-2</v>
      </c>
      <c r="Q178" s="5">
        <v>-3.6695828855307797E-2</v>
      </c>
      <c r="R178" s="5">
        <v>1.4030479464787399E-3</v>
      </c>
      <c r="S178" s="6">
        <v>0.29754725326100101</v>
      </c>
      <c r="T178" s="6">
        <v>4.1348804687536503E-2</v>
      </c>
      <c r="U178" s="7">
        <v>0.20490097588978201</v>
      </c>
      <c r="V178" s="7">
        <v>0.16291656596892801</v>
      </c>
      <c r="W178" s="8">
        <v>0.99094573420885801</v>
      </c>
      <c r="X178" s="8">
        <v>8.9722860621030392E-3</v>
      </c>
      <c r="Y178" s="2">
        <v>264</v>
      </c>
      <c r="Z178" s="2">
        <f>VLOOKUP(E178,YieldData!T:U,2,FALSE)</f>
        <v>1865</v>
      </c>
      <c r="AA178">
        <f t="shared" si="4"/>
        <v>0.49840916702550098</v>
      </c>
    </row>
    <row r="179" spans="1:27" x14ac:dyDescent="0.25">
      <c r="A179">
        <v>227</v>
      </c>
      <c r="B179">
        <v>207</v>
      </c>
      <c r="C179" t="s">
        <v>26</v>
      </c>
      <c r="D179">
        <v>25104</v>
      </c>
      <c r="E179">
        <f t="shared" si="5"/>
        <v>25104207</v>
      </c>
      <c r="F179">
        <f>VLOOKUP(E179,YieldData!D:F,2,FALSE)</f>
        <v>1</v>
      </c>
      <c r="G179">
        <f>VLOOKUP($E179,YieldData!$D:$F,3,FALSE)</f>
        <v>3</v>
      </c>
      <c r="H179">
        <v>10</v>
      </c>
      <c r="I179" t="s">
        <v>27</v>
      </c>
      <c r="J179" t="s">
        <v>28</v>
      </c>
      <c r="K179" s="2">
        <v>2631.6167854707701</v>
      </c>
      <c r="L179" s="2">
        <v>9786670.1351028606</v>
      </c>
      <c r="M179" s="3">
        <v>2631.6167854707701</v>
      </c>
      <c r="N179" s="3">
        <v>9786670.1351028606</v>
      </c>
      <c r="O179" s="4">
        <v>5.4304861258120403E-2</v>
      </c>
      <c r="P179" s="4">
        <v>1.51408667220021E-2</v>
      </c>
      <c r="Q179" s="5">
        <v>-4.1464120348619897E-2</v>
      </c>
      <c r="R179" s="5">
        <v>9.9190928446683401E-4</v>
      </c>
      <c r="S179" s="6">
        <v>0.24419159452692801</v>
      </c>
      <c r="T179" s="6">
        <v>2.5843781137901901E-2</v>
      </c>
      <c r="U179" s="7">
        <v>0.112651087832393</v>
      </c>
      <c r="V179" s="7">
        <v>9.9960820242663798E-2</v>
      </c>
      <c r="W179" s="8">
        <v>0.93638358270010302</v>
      </c>
      <c r="X179" s="8">
        <v>5.9569368749837502E-2</v>
      </c>
      <c r="Y179" s="2">
        <v>236</v>
      </c>
      <c r="Z179" s="2">
        <f>VLOOKUP(E179,YieldData!T:U,2,FALSE)</f>
        <v>2723</v>
      </c>
      <c r="AA179">
        <f t="shared" si="4"/>
        <v>0.59957852981281801</v>
      </c>
    </row>
    <row r="180" spans="1:27" x14ac:dyDescent="0.25">
      <c r="A180">
        <v>228</v>
      </c>
      <c r="B180">
        <v>208</v>
      </c>
      <c r="C180" t="s">
        <v>26</v>
      </c>
      <c r="D180">
        <v>25104</v>
      </c>
      <c r="E180">
        <f t="shared" si="5"/>
        <v>25104208</v>
      </c>
      <c r="F180">
        <f>VLOOKUP(E180,YieldData!D:F,2,FALSE)</f>
        <v>5</v>
      </c>
      <c r="G180">
        <f>VLOOKUP($E180,YieldData!$D:$F,3,FALSE)</f>
        <v>3</v>
      </c>
      <c r="H180">
        <v>10</v>
      </c>
      <c r="I180" t="s">
        <v>27</v>
      </c>
      <c r="J180" t="s">
        <v>28</v>
      </c>
      <c r="K180" s="2">
        <v>2417.5045446934701</v>
      </c>
      <c r="L180" s="2">
        <v>18519711.120264102</v>
      </c>
      <c r="M180" s="3">
        <v>2417.5045446934701</v>
      </c>
      <c r="N180" s="3">
        <v>18519711.120264102</v>
      </c>
      <c r="O180" s="4">
        <v>5.0824112510941599E-2</v>
      </c>
      <c r="P180" s="4">
        <v>7.9263720848899901E-3</v>
      </c>
      <c r="Q180" s="5">
        <v>-3.6735531435902302E-2</v>
      </c>
      <c r="R180" s="5">
        <v>8.48820166433067E-4</v>
      </c>
      <c r="S180" s="6">
        <v>0.24101784631473</v>
      </c>
      <c r="T180" s="6">
        <v>1.9166663243963999E-2</v>
      </c>
      <c r="U180" s="7">
        <v>9.0630755615088404E-2</v>
      </c>
      <c r="V180" s="7">
        <v>8.24168217518646E-2</v>
      </c>
      <c r="W180" s="8">
        <v>0.84765891287448403</v>
      </c>
      <c r="X180" s="8">
        <v>0.129133280299389</v>
      </c>
      <c r="Y180" s="2">
        <v>128</v>
      </c>
      <c r="Z180" s="2">
        <f>VLOOKUP(E180,YieldData!T:U,2,FALSE)</f>
        <v>2342</v>
      </c>
      <c r="AA180">
        <f t="shared" si="4"/>
        <v>0.597065084794412</v>
      </c>
    </row>
    <row r="181" spans="1:27" x14ac:dyDescent="0.25">
      <c r="A181">
        <v>229</v>
      </c>
      <c r="B181">
        <v>209</v>
      </c>
      <c r="C181" t="s">
        <v>26</v>
      </c>
      <c r="D181">
        <v>25104</v>
      </c>
      <c r="E181">
        <f t="shared" si="5"/>
        <v>25104209</v>
      </c>
      <c r="F181">
        <f>VLOOKUP(E181,YieldData!D:F,2,FALSE)</f>
        <v>3</v>
      </c>
      <c r="G181">
        <f>VLOOKUP($E181,YieldData!$D:$F,3,FALSE)</f>
        <v>2</v>
      </c>
      <c r="H181">
        <v>10</v>
      </c>
      <c r="I181" t="s">
        <v>27</v>
      </c>
      <c r="J181" t="s">
        <v>28</v>
      </c>
      <c r="K181" s="2">
        <v>2687.43392666721</v>
      </c>
      <c r="L181" s="2">
        <v>21233806.934693899</v>
      </c>
      <c r="M181" s="3">
        <v>2687.43392666721</v>
      </c>
      <c r="N181" s="3">
        <v>21233806.934693899</v>
      </c>
      <c r="O181" s="4">
        <v>7.4497449585404593E-2</v>
      </c>
      <c r="P181" s="4">
        <v>8.8286252879384904E-3</v>
      </c>
      <c r="Q181" s="5">
        <v>-3.2983436159016798E-2</v>
      </c>
      <c r="R181" s="5">
        <v>8.0583185762265097E-4</v>
      </c>
      <c r="S181" s="6">
        <v>0.27176593411567701</v>
      </c>
      <c r="T181" s="6">
        <v>2.1247222728305301E-2</v>
      </c>
      <c r="U181" s="7">
        <v>0.118489049298663</v>
      </c>
      <c r="V181" s="7">
        <v>0.104449394495086</v>
      </c>
      <c r="W181" s="8">
        <v>0.98610959203762405</v>
      </c>
      <c r="X181" s="8">
        <v>1.3697464529028799E-2</v>
      </c>
      <c r="Y181" s="2">
        <v>160</v>
      </c>
      <c r="Z181" s="2">
        <f>VLOOKUP(E181,YieldData!T:U,2,FALSE)</f>
        <v>2259</v>
      </c>
      <c r="AA181">
        <f t="shared" si="4"/>
        <v>0.65496356452428794</v>
      </c>
    </row>
    <row r="182" spans="1:27" x14ac:dyDescent="0.25">
      <c r="A182">
        <v>212</v>
      </c>
      <c r="B182">
        <v>301</v>
      </c>
      <c r="C182" t="s">
        <v>26</v>
      </c>
      <c r="D182">
        <v>25104</v>
      </c>
      <c r="E182">
        <f t="shared" si="5"/>
        <v>25104301</v>
      </c>
      <c r="F182">
        <f>VLOOKUP(E182,YieldData!D:F,2,FALSE)</f>
        <v>2</v>
      </c>
      <c r="G182">
        <f>VLOOKUP($E182,YieldData!$D:$F,3,FALSE)</f>
        <v>4</v>
      </c>
      <c r="H182">
        <v>10</v>
      </c>
      <c r="I182" t="s">
        <v>27</v>
      </c>
      <c r="J182" t="s">
        <v>28</v>
      </c>
      <c r="K182" s="2">
        <v>2745.77924921657</v>
      </c>
      <c r="L182" s="2">
        <v>3806835.3482822198</v>
      </c>
      <c r="M182" s="3">
        <v>2745.77924921657</v>
      </c>
      <c r="N182" s="3">
        <v>3806835.3482822198</v>
      </c>
      <c r="O182" s="4">
        <v>3.9104509726310202E-2</v>
      </c>
      <c r="P182" s="4">
        <v>9.0150384033873803E-3</v>
      </c>
      <c r="Q182" s="5">
        <v>-4.4861009383090497E-2</v>
      </c>
      <c r="R182" s="5">
        <v>7.0587130828520602E-4</v>
      </c>
      <c r="S182" s="6">
        <v>0.22314690941720999</v>
      </c>
      <c r="T182" s="6">
        <v>1.4867558878059401E-2</v>
      </c>
      <c r="U182" s="7">
        <v>6.8260191170493104E-2</v>
      </c>
      <c r="V182" s="7">
        <v>6.3600737471805197E-2</v>
      </c>
      <c r="W182" s="8">
        <v>0.93773931287699996</v>
      </c>
      <c r="X182" s="8">
        <v>5.8384293961876797E-2</v>
      </c>
      <c r="Y182" s="2">
        <v>202</v>
      </c>
      <c r="Z182" s="2">
        <f>VLOOKUP(E182,YieldData!T:U,2,FALSE)</f>
        <v>2760</v>
      </c>
      <c r="AA182">
        <f t="shared" si="4"/>
        <v>0.61340273771437603</v>
      </c>
    </row>
    <row r="183" spans="1:27" x14ac:dyDescent="0.25">
      <c r="A183">
        <v>213</v>
      </c>
      <c r="B183">
        <v>302</v>
      </c>
      <c r="C183" t="s">
        <v>26</v>
      </c>
      <c r="D183">
        <v>25104</v>
      </c>
      <c r="E183">
        <f t="shared" si="5"/>
        <v>25104302</v>
      </c>
      <c r="F183">
        <f>VLOOKUP(E183,YieldData!D:F,2,FALSE)</f>
        <v>4</v>
      </c>
      <c r="G183">
        <f>VLOOKUP($E183,YieldData!$D:$F,3,FALSE)</f>
        <v>4</v>
      </c>
      <c r="H183">
        <v>10</v>
      </c>
      <c r="I183" t="s">
        <v>27</v>
      </c>
      <c r="J183" t="s">
        <v>28</v>
      </c>
      <c r="K183" s="2">
        <v>3002.31089320921</v>
      </c>
      <c r="L183" s="2">
        <v>6802706.4137972901</v>
      </c>
      <c r="M183" s="3">
        <v>3002.31089320921</v>
      </c>
      <c r="N183" s="3">
        <v>6802706.4137972901</v>
      </c>
      <c r="O183" s="4">
        <v>6.6467297082580798E-2</v>
      </c>
      <c r="P183" s="4">
        <v>1.6567006375339598E-2</v>
      </c>
      <c r="Q183" s="5">
        <v>-3.8472770060811297E-2</v>
      </c>
      <c r="R183" s="5">
        <v>9.4032074851812197E-4</v>
      </c>
      <c r="S183" s="6">
        <v>0.257685730430951</v>
      </c>
      <c r="T183" s="6">
        <v>2.7229010088010701E-2</v>
      </c>
      <c r="U183" s="7">
        <v>0.12727676298162899</v>
      </c>
      <c r="V183" s="7">
        <v>0.111077388586484</v>
      </c>
      <c r="W183" s="8">
        <v>0.99022142148415104</v>
      </c>
      <c r="X183" s="8">
        <v>9.6829579180581996E-3</v>
      </c>
      <c r="Y183" s="2">
        <v>170</v>
      </c>
      <c r="Z183" s="2">
        <f>VLOOKUP(E183,YieldData!T:U,2,FALSE)</f>
        <v>2118</v>
      </c>
      <c r="AA183">
        <f t="shared" si="4"/>
        <v>0.63668411912937894</v>
      </c>
    </row>
    <row r="184" spans="1:27" hidden="1" x14ac:dyDescent="0.25">
      <c r="A184">
        <v>214</v>
      </c>
      <c r="B184">
        <v>303</v>
      </c>
      <c r="C184" t="s">
        <v>26</v>
      </c>
      <c r="D184" t="s">
        <v>100</v>
      </c>
      <c r="E184" t="e">
        <f t="shared" si="5"/>
        <v>#VALUE!</v>
      </c>
      <c r="H184">
        <v>10</v>
      </c>
      <c r="I184" t="s">
        <v>27</v>
      </c>
      <c r="J184" t="s">
        <v>28</v>
      </c>
      <c r="K184" s="2">
        <v>2790.5306775785298</v>
      </c>
      <c r="L184" s="2">
        <v>5212466.5728523601</v>
      </c>
      <c r="M184" s="3">
        <v>2790.5306775785298</v>
      </c>
      <c r="N184" s="3">
        <v>5212466.5728523601</v>
      </c>
      <c r="O184" s="4">
        <v>4.0458312656802303E-2</v>
      </c>
      <c r="P184" s="4">
        <v>1.3108152384325E-2</v>
      </c>
      <c r="Q184" s="5">
        <v>-4.52371441221898E-2</v>
      </c>
      <c r="R184" s="5">
        <v>8.40123514823533E-4</v>
      </c>
      <c r="S184" s="6">
        <v>0.23025212855909799</v>
      </c>
      <c r="T184" s="6">
        <v>2.1308256067996498E-2</v>
      </c>
      <c r="U184" s="7">
        <v>9.28390901432182E-2</v>
      </c>
      <c r="V184" s="7">
        <v>8.4219993484562605E-2</v>
      </c>
      <c r="W184" s="8">
        <v>0.97879407870983304</v>
      </c>
      <c r="X184" s="8">
        <v>2.0756230192491398E-2</v>
      </c>
      <c r="Y184" s="2">
        <v>184</v>
      </c>
      <c r="Z184" s="2" t="e">
        <f>VLOOKUP(E184,YieldData!T:U,2,FALSE)</f>
        <v>#VALUE!</v>
      </c>
      <c r="AA184">
        <f t="shared" si="4"/>
        <v>0.913534329143595</v>
      </c>
    </row>
    <row r="185" spans="1:27" hidden="1" x14ac:dyDescent="0.25">
      <c r="A185">
        <v>215</v>
      </c>
      <c r="B185">
        <v>304</v>
      </c>
      <c r="C185" t="s">
        <v>26</v>
      </c>
      <c r="D185" t="s">
        <v>100</v>
      </c>
      <c r="E185" t="e">
        <f t="shared" si="5"/>
        <v>#VALUE!</v>
      </c>
      <c r="H185">
        <v>10</v>
      </c>
      <c r="I185" t="s">
        <v>27</v>
      </c>
      <c r="J185" t="s">
        <v>28</v>
      </c>
      <c r="K185" s="2">
        <v>3240.8356545961001</v>
      </c>
      <c r="L185" s="2">
        <v>7643650.5413792999</v>
      </c>
      <c r="M185" s="3">
        <v>3240.8356545961001</v>
      </c>
      <c r="N185" s="3">
        <v>7643650.5413792999</v>
      </c>
      <c r="O185" s="4">
        <v>6.4734861193264201E-2</v>
      </c>
      <c r="P185" s="4">
        <v>2.1165349003068601E-2</v>
      </c>
      <c r="Q185" s="5">
        <v>-4.1065494940296897E-2</v>
      </c>
      <c r="R185" s="5">
        <v>1.45599838537025E-3</v>
      </c>
      <c r="S185" s="6">
        <v>0.26195777780131801</v>
      </c>
      <c r="T185" s="6">
        <v>3.2437105391381102E-2</v>
      </c>
      <c r="U185" s="7">
        <v>0.152758234500187</v>
      </c>
      <c r="V185" s="7">
        <v>0.129423156292439</v>
      </c>
      <c r="W185" s="8">
        <v>0.98215285654802098</v>
      </c>
      <c r="X185" s="8">
        <v>1.75286229225785E-2</v>
      </c>
      <c r="Y185" s="2">
        <v>258</v>
      </c>
      <c r="Z185" s="2" t="e">
        <f>VLOOKUP(E185,YieldData!T:U,2,FALSE)</f>
        <v>#VALUE!</v>
      </c>
      <c r="AA185">
        <f t="shared" si="4"/>
        <v>0.913534329143595</v>
      </c>
    </row>
    <row r="186" spans="1:27" hidden="1" x14ac:dyDescent="0.25">
      <c r="A186">
        <v>216</v>
      </c>
      <c r="B186">
        <v>305</v>
      </c>
      <c r="C186" t="s">
        <v>26</v>
      </c>
      <c r="D186" t="s">
        <v>100</v>
      </c>
      <c r="E186" t="e">
        <f t="shared" si="5"/>
        <v>#VALUE!</v>
      </c>
      <c r="H186">
        <v>10</v>
      </c>
      <c r="I186" t="s">
        <v>27</v>
      </c>
      <c r="J186" t="s">
        <v>28</v>
      </c>
      <c r="K186" s="2">
        <v>3142.5471951146501</v>
      </c>
      <c r="L186" s="2">
        <v>8862148.0147125293</v>
      </c>
      <c r="M186" s="3">
        <v>3142.5471951146501</v>
      </c>
      <c r="N186" s="3">
        <v>8862148.0147125293</v>
      </c>
      <c r="O186" s="4">
        <v>6.2745063769547194E-2</v>
      </c>
      <c r="P186" s="4">
        <v>1.8023052947197402E-2</v>
      </c>
      <c r="Q186" s="5">
        <v>-3.79436421682409E-2</v>
      </c>
      <c r="R186" s="5">
        <v>1.1464325922426199E-3</v>
      </c>
      <c r="S186" s="6">
        <v>0.25955768012708902</v>
      </c>
      <c r="T186" s="6">
        <v>3.1562263226588498E-2</v>
      </c>
      <c r="U186" s="7">
        <v>0.140813027599832</v>
      </c>
      <c r="V186" s="7">
        <v>0.12098471885800199</v>
      </c>
      <c r="W186" s="8">
        <v>0.98711732097745497</v>
      </c>
      <c r="X186" s="8">
        <v>1.27167156037435E-2</v>
      </c>
      <c r="Y186" s="2">
        <v>242</v>
      </c>
      <c r="Z186" s="2" t="e">
        <f>VLOOKUP(E186,YieldData!T:U,2,FALSE)</f>
        <v>#VALUE!</v>
      </c>
      <c r="AA186">
        <f t="shared" si="4"/>
        <v>0.913534329143595</v>
      </c>
    </row>
    <row r="187" spans="1:27" hidden="1" x14ac:dyDescent="0.25">
      <c r="A187">
        <v>217</v>
      </c>
      <c r="B187">
        <v>306</v>
      </c>
      <c r="C187" t="s">
        <v>26</v>
      </c>
      <c r="D187" t="s">
        <v>100</v>
      </c>
      <c r="E187" t="e">
        <f t="shared" si="5"/>
        <v>#VALUE!</v>
      </c>
      <c r="H187">
        <v>10</v>
      </c>
      <c r="I187" t="s">
        <v>27</v>
      </c>
      <c r="J187" t="s">
        <v>28</v>
      </c>
      <c r="K187" s="2">
        <v>2911.4496657138402</v>
      </c>
      <c r="L187" s="2">
        <v>10004029.4530495</v>
      </c>
      <c r="M187" s="3">
        <v>2911.4496657138402</v>
      </c>
      <c r="N187" s="3">
        <v>10004029.4530495</v>
      </c>
      <c r="O187" s="4">
        <v>5.3636604514910702E-2</v>
      </c>
      <c r="P187" s="4">
        <v>1.3812345466054501E-2</v>
      </c>
      <c r="Q187" s="5">
        <v>-4.2889621041338102E-2</v>
      </c>
      <c r="R187" s="5">
        <v>9.3275363611736801E-4</v>
      </c>
      <c r="S187" s="6">
        <v>0.24613547690766199</v>
      </c>
      <c r="T187" s="6">
        <v>2.6537691102144802E-2</v>
      </c>
      <c r="U187" s="7">
        <v>0.119446005908314</v>
      </c>
      <c r="V187" s="7">
        <v>0.105178657580972</v>
      </c>
      <c r="W187" s="8">
        <v>0.98207152254514996</v>
      </c>
      <c r="X187" s="8">
        <v>1.76070471509178E-2</v>
      </c>
      <c r="Y187" s="2">
        <v>282</v>
      </c>
      <c r="Z187" s="2" t="e">
        <f>VLOOKUP(E187,YieldData!T:U,2,FALSE)</f>
        <v>#VALUE!</v>
      </c>
      <c r="AA187">
        <f t="shared" si="4"/>
        <v>0.913534329143595</v>
      </c>
    </row>
    <row r="188" spans="1:27" hidden="1" x14ac:dyDescent="0.25">
      <c r="A188">
        <v>218</v>
      </c>
      <c r="B188">
        <v>307</v>
      </c>
      <c r="C188" t="s">
        <v>26</v>
      </c>
      <c r="D188" t="s">
        <v>100</v>
      </c>
      <c r="E188" t="e">
        <f t="shared" si="5"/>
        <v>#VALUE!</v>
      </c>
      <c r="H188">
        <v>10</v>
      </c>
      <c r="I188" t="s">
        <v>27</v>
      </c>
      <c r="J188" t="s">
        <v>28</v>
      </c>
      <c r="K188" s="2">
        <v>2210.0610413364202</v>
      </c>
      <c r="L188" s="2">
        <v>10710838.6953838</v>
      </c>
      <c r="M188" s="3">
        <v>2210.0610413364202</v>
      </c>
      <c r="N188" s="3">
        <v>10710838.6953838</v>
      </c>
      <c r="O188" s="4">
        <v>3.3997599046442499E-2</v>
      </c>
      <c r="P188" s="4">
        <v>8.6022768901134194E-3</v>
      </c>
      <c r="Q188" s="5">
        <v>-4.6345900926481602E-2</v>
      </c>
      <c r="R188" s="5">
        <v>6.4482946198237995E-4</v>
      </c>
      <c r="S188" s="6">
        <v>0.21111639661324</v>
      </c>
      <c r="T188" s="6">
        <v>1.8202397716765201E-2</v>
      </c>
      <c r="U188" s="7">
        <v>7.78685526155347E-2</v>
      </c>
      <c r="V188" s="7">
        <v>7.1805041129001296E-2</v>
      </c>
      <c r="W188" s="8">
        <v>0.98097723365078604</v>
      </c>
      <c r="X188" s="8">
        <v>1.8660900709685999E-2</v>
      </c>
      <c r="Y188" s="2">
        <v>164</v>
      </c>
      <c r="Z188" s="2" t="e">
        <f>VLOOKUP(E188,YieldData!T:U,2,FALSE)</f>
        <v>#VALUE!</v>
      </c>
      <c r="AA188">
        <f t="shared" si="4"/>
        <v>0.913534329143595</v>
      </c>
    </row>
    <row r="189" spans="1:27" hidden="1" x14ac:dyDescent="0.25">
      <c r="A189">
        <v>219</v>
      </c>
      <c r="B189">
        <v>308</v>
      </c>
      <c r="C189" t="s">
        <v>26</v>
      </c>
      <c r="D189" t="s">
        <v>100</v>
      </c>
      <c r="E189" t="e">
        <f t="shared" si="5"/>
        <v>#VALUE!</v>
      </c>
      <c r="H189">
        <v>10</v>
      </c>
      <c r="I189" t="s">
        <v>27</v>
      </c>
      <c r="J189" t="s">
        <v>28</v>
      </c>
      <c r="K189" s="2">
        <v>2339.5546890884998</v>
      </c>
      <c r="L189" s="2">
        <v>19260780.5412363</v>
      </c>
      <c r="M189" s="3">
        <v>2339.5546890884998</v>
      </c>
      <c r="N189" s="3">
        <v>19260780.5412363</v>
      </c>
      <c r="O189" s="4">
        <v>5.5250634638732803E-2</v>
      </c>
      <c r="P189" s="4">
        <v>8.4474832047765104E-3</v>
      </c>
      <c r="Q189" s="5">
        <v>-3.8744886579372501E-2</v>
      </c>
      <c r="R189" s="5">
        <v>8.6985413783301701E-4</v>
      </c>
      <c r="S189" s="6">
        <v>0.236317702321373</v>
      </c>
      <c r="T189" s="6">
        <v>2.02656938172785E-2</v>
      </c>
      <c r="U189" s="7">
        <v>9.3578442512169693E-2</v>
      </c>
      <c r="V189" s="7">
        <v>8.4821517609115604E-2</v>
      </c>
      <c r="W189" s="8">
        <v>0.91127190097470501</v>
      </c>
      <c r="X189" s="8">
        <v>8.0855423468467705E-2</v>
      </c>
      <c r="Y189" s="2">
        <v>114</v>
      </c>
      <c r="Z189" s="2" t="e">
        <f>VLOOKUP(E189,YieldData!T:U,2,FALSE)</f>
        <v>#VALUE!</v>
      </c>
      <c r="AA189">
        <f t="shared" si="4"/>
        <v>0.913534329143595</v>
      </c>
    </row>
    <row r="190" spans="1:27" hidden="1" x14ac:dyDescent="0.25">
      <c r="A190">
        <v>220</v>
      </c>
      <c r="B190">
        <v>309</v>
      </c>
      <c r="C190" t="s">
        <v>26</v>
      </c>
      <c r="D190" t="s">
        <v>100</v>
      </c>
      <c r="E190" t="e">
        <f t="shared" si="5"/>
        <v>#VALUE!</v>
      </c>
      <c r="H190">
        <v>10</v>
      </c>
      <c r="I190" t="s">
        <v>27</v>
      </c>
      <c r="J190" t="s">
        <v>28</v>
      </c>
      <c r="K190" s="2">
        <v>2521.1275876065502</v>
      </c>
      <c r="L190" s="2">
        <v>17592177.813297998</v>
      </c>
      <c r="M190" s="3">
        <v>2521.1275876065502</v>
      </c>
      <c r="N190" s="3">
        <v>17592177.813297998</v>
      </c>
      <c r="O190" s="4">
        <v>7.7045291709375394E-2</v>
      </c>
      <c r="P190" s="4">
        <v>1.11619394775548E-2</v>
      </c>
      <c r="Q190" s="5">
        <v>-3.4779605996775001E-2</v>
      </c>
      <c r="R190" s="5">
        <v>9.4685357484785497E-4</v>
      </c>
      <c r="S190" s="6">
        <v>0.26448888575559698</v>
      </c>
      <c r="T190" s="6">
        <v>2.3794474463761098E-2</v>
      </c>
      <c r="U190" s="7">
        <v>0.123826275199567</v>
      </c>
      <c r="V190" s="7">
        <v>0.108493328769854</v>
      </c>
      <c r="W190" s="8">
        <v>0.96766556179395202</v>
      </c>
      <c r="X190" s="8">
        <v>3.1288922311892099E-2</v>
      </c>
      <c r="Y190" s="2">
        <v>169</v>
      </c>
      <c r="Z190" s="2" t="e">
        <f>VLOOKUP(E190,YieldData!T:U,2,FALSE)</f>
        <v>#VALUE!</v>
      </c>
      <c r="AA190">
        <f t="shared" si="4"/>
        <v>0.913534329143595</v>
      </c>
    </row>
    <row r="191" spans="1:27" x14ac:dyDescent="0.25">
      <c r="A191">
        <v>203</v>
      </c>
      <c r="B191">
        <v>401</v>
      </c>
      <c r="C191" t="s">
        <v>26</v>
      </c>
      <c r="D191">
        <v>25105</v>
      </c>
      <c r="E191">
        <f t="shared" si="5"/>
        <v>25105401</v>
      </c>
      <c r="F191">
        <f>VLOOKUP(E191,YieldData!D:F,2,FALSE)</f>
        <v>1</v>
      </c>
      <c r="G191">
        <f>VLOOKUP($E191,YieldData!$D:$F,3,FALSE)</f>
        <v>1</v>
      </c>
      <c r="H191">
        <v>10</v>
      </c>
      <c r="I191" t="s">
        <v>27</v>
      </c>
      <c r="J191" t="s">
        <v>28</v>
      </c>
      <c r="K191" s="2">
        <v>3942.02704769311</v>
      </c>
      <c r="L191" s="2">
        <v>31320314.438861299</v>
      </c>
      <c r="M191" s="3">
        <v>3942.02704769311</v>
      </c>
      <c r="N191" s="3">
        <v>31320314.438861299</v>
      </c>
      <c r="O191" s="4">
        <v>8.9461196709325702E-2</v>
      </c>
      <c r="P191" s="4">
        <v>1.5926600846335001E-2</v>
      </c>
      <c r="Q191" s="5">
        <v>-2.83038357980697E-2</v>
      </c>
      <c r="R191" s="5">
        <v>1.1270791298742899E-3</v>
      </c>
      <c r="S191" s="6">
        <v>0.292390429830378</v>
      </c>
      <c r="T191" s="6">
        <v>3.2627747384703698E-2</v>
      </c>
      <c r="U191" s="7">
        <v>0.16968636599274201</v>
      </c>
      <c r="V191" s="7">
        <v>0.140892903188822</v>
      </c>
      <c r="W191" s="8">
        <v>0.99304043545878695</v>
      </c>
      <c r="X191" s="8">
        <v>6.91112900260356E-3</v>
      </c>
      <c r="Y191" s="2">
        <v>156</v>
      </c>
      <c r="Z191" s="2">
        <f>VLOOKUP(E191,YieldData!T:U,2,FALSE)</f>
        <v>622</v>
      </c>
      <c r="AA191">
        <f t="shared" si="4"/>
        <v>0.49484830026309301</v>
      </c>
    </row>
    <row r="192" spans="1:27" hidden="1" x14ac:dyDescent="0.25">
      <c r="A192">
        <v>204</v>
      </c>
      <c r="B192">
        <v>402</v>
      </c>
      <c r="C192" t="s">
        <v>26</v>
      </c>
      <c r="D192">
        <v>25105</v>
      </c>
      <c r="E192">
        <f t="shared" si="5"/>
        <v>25105402</v>
      </c>
      <c r="H192">
        <v>10</v>
      </c>
      <c r="I192" t="s">
        <v>27</v>
      </c>
      <c r="J192" t="s">
        <v>28</v>
      </c>
      <c r="K192" s="2">
        <v>4678.8132170482304</v>
      </c>
      <c r="L192" s="2">
        <v>48040171.248296998</v>
      </c>
      <c r="M192" s="3">
        <v>4678.8132170482304</v>
      </c>
      <c r="N192" s="3">
        <v>48040171.248296998</v>
      </c>
      <c r="O192" s="4">
        <v>8.3747631450386398E-2</v>
      </c>
      <c r="P192" s="4">
        <v>1.5907311107091E-2</v>
      </c>
      <c r="Q192" s="5">
        <v>-3.4420623196616498E-2</v>
      </c>
      <c r="R192" s="5">
        <v>9.42344029971523E-4</v>
      </c>
      <c r="S192" s="6">
        <v>0.29725519786201798</v>
      </c>
      <c r="T192" s="6">
        <v>3.99489676151751E-2</v>
      </c>
      <c r="U192" s="7">
        <v>0.19222083787572</v>
      </c>
      <c r="V192" s="7">
        <v>0.155271987361946</v>
      </c>
      <c r="W192" s="8">
        <v>0.82475698545157194</v>
      </c>
      <c r="X192" s="8">
        <v>0.14453290040038999</v>
      </c>
      <c r="Y192" s="2">
        <v>65</v>
      </c>
      <c r="Z192" s="2">
        <f>VLOOKUP(E192,YieldData!T:U,2,FALSE)</f>
        <v>0</v>
      </c>
      <c r="AA192">
        <f t="shared" si="4"/>
        <v>0.71958832461616296</v>
      </c>
    </row>
    <row r="193" spans="1:27" x14ac:dyDescent="0.25">
      <c r="A193">
        <v>205</v>
      </c>
      <c r="B193">
        <v>403</v>
      </c>
      <c r="C193" t="s">
        <v>26</v>
      </c>
      <c r="D193">
        <v>25105</v>
      </c>
      <c r="E193">
        <f t="shared" si="5"/>
        <v>25105403</v>
      </c>
      <c r="F193">
        <f>VLOOKUP(E193,YieldData!D:F,2,FALSE)</f>
        <v>3</v>
      </c>
      <c r="G193">
        <f>VLOOKUP($E193,YieldData!$D:$F,3,FALSE)</f>
        <v>1</v>
      </c>
      <c r="H193">
        <v>10</v>
      </c>
      <c r="I193" t="s">
        <v>27</v>
      </c>
      <c r="J193" t="s">
        <v>28</v>
      </c>
      <c r="K193" s="2">
        <v>4350.5296101411104</v>
      </c>
      <c r="L193" s="2">
        <v>41643290.153069802</v>
      </c>
      <c r="M193" s="3">
        <v>4350.5296101411104</v>
      </c>
      <c r="N193" s="3">
        <v>41643290.153069802</v>
      </c>
      <c r="O193" s="4">
        <v>6.8891461606164398E-2</v>
      </c>
      <c r="P193" s="4">
        <v>1.51814216665823E-2</v>
      </c>
      <c r="Q193" s="5">
        <v>-3.9364793640661901E-2</v>
      </c>
      <c r="R193" s="5">
        <v>1.0264978825470601E-3</v>
      </c>
      <c r="S193" s="6">
        <v>0.270641853081727</v>
      </c>
      <c r="T193" s="6">
        <v>3.6858528813776201E-2</v>
      </c>
      <c r="U193" s="7">
        <v>0.16083472853384401</v>
      </c>
      <c r="V193" s="7">
        <v>0.134966918631127</v>
      </c>
      <c r="W193" s="8">
        <v>0.86057887812462597</v>
      </c>
      <c r="X193" s="8">
        <v>0.119982872650164</v>
      </c>
      <c r="Y193" s="2">
        <v>44</v>
      </c>
      <c r="Z193" s="2">
        <f>VLOOKUP(E193,YieldData!T:U,2,FALSE)</f>
        <v>361</v>
      </c>
      <c r="AA193">
        <f t="shared" si="4"/>
        <v>0.58725109131136799</v>
      </c>
    </row>
    <row r="194" spans="1:27" hidden="1" x14ac:dyDescent="0.25">
      <c r="A194">
        <v>206</v>
      </c>
      <c r="B194">
        <v>404</v>
      </c>
      <c r="C194" t="s">
        <v>26</v>
      </c>
      <c r="D194">
        <v>25105</v>
      </c>
      <c r="E194">
        <f t="shared" si="5"/>
        <v>25105404</v>
      </c>
      <c r="H194">
        <v>10</v>
      </c>
      <c r="I194" t="s">
        <v>27</v>
      </c>
      <c r="J194" t="s">
        <v>28</v>
      </c>
      <c r="K194" s="2">
        <v>4282.9804227492295</v>
      </c>
      <c r="L194" s="2">
        <v>32770850.243646901</v>
      </c>
      <c r="M194" s="3">
        <v>4282.9804227492295</v>
      </c>
      <c r="N194" s="3">
        <v>32770850.243646901</v>
      </c>
      <c r="O194" s="4">
        <v>6.7099559194916503E-2</v>
      </c>
      <c r="P194" s="4">
        <v>1.2420649338098401E-2</v>
      </c>
      <c r="Q194" s="5">
        <v>-3.8912352451848702E-2</v>
      </c>
      <c r="R194" s="5">
        <v>1.26088572859999E-3</v>
      </c>
      <c r="S194" s="6">
        <v>0.26866883947194298</v>
      </c>
      <c r="T194" s="6">
        <v>2.9626528429210298E-2</v>
      </c>
      <c r="U194" s="7">
        <v>0.148545612416563</v>
      </c>
      <c r="V194" s="7">
        <v>0.126479813448415</v>
      </c>
      <c r="W194" s="8">
        <v>0.95605454175429105</v>
      </c>
      <c r="X194" s="8">
        <v>4.2014254945311802E-2</v>
      </c>
      <c r="Y194" s="2">
        <v>124</v>
      </c>
      <c r="Z194" s="2">
        <f>VLOOKUP(E194,YieldData!T:U,2,FALSE)</f>
        <v>0</v>
      </c>
      <c r="AA194">
        <f t="shared" ref="AA194:AA257" si="6">_xlfn.MAXIFS(U:U,E:E,E194)</f>
        <v>0.65126375340867504</v>
      </c>
    </row>
    <row r="195" spans="1:27" hidden="1" x14ac:dyDescent="0.25">
      <c r="A195">
        <v>207</v>
      </c>
      <c r="B195">
        <v>405</v>
      </c>
      <c r="C195" t="s">
        <v>26</v>
      </c>
      <c r="D195">
        <v>25105</v>
      </c>
      <c r="E195">
        <f t="shared" ref="E195:E258" si="7">D195*1000+B195</f>
        <v>25105405</v>
      </c>
      <c r="H195">
        <v>10</v>
      </c>
      <c r="I195" t="s">
        <v>27</v>
      </c>
      <c r="J195" t="s">
        <v>28</v>
      </c>
      <c r="K195" s="2">
        <v>4941.2946453133</v>
      </c>
      <c r="L195" s="2">
        <v>43375719.4876443</v>
      </c>
      <c r="M195" s="3">
        <v>4941.2946453133</v>
      </c>
      <c r="N195" s="3">
        <v>43375719.4876443</v>
      </c>
      <c r="O195" s="4">
        <v>6.06018254376215E-2</v>
      </c>
      <c r="P195" s="4">
        <v>1.51541553700776E-2</v>
      </c>
      <c r="Q195" s="5">
        <v>-3.7438273544135599E-2</v>
      </c>
      <c r="R195" s="5">
        <v>1.10701101195446E-3</v>
      </c>
      <c r="S195" s="6">
        <v>0.27269539422286598</v>
      </c>
      <c r="T195" s="6">
        <v>3.8131229337293598E-2</v>
      </c>
      <c r="U195" s="7">
        <v>0.17065148488799101</v>
      </c>
      <c r="V195" s="7">
        <v>0.14152955559351299</v>
      </c>
      <c r="W195" s="8">
        <v>0.76132041621815605</v>
      </c>
      <c r="X195" s="8">
        <v>0.181711640067377</v>
      </c>
      <c r="Y195" s="2">
        <v>53</v>
      </c>
      <c r="Z195" s="2">
        <f>VLOOKUP(E195,YieldData!T:U,2,FALSE)</f>
        <v>0</v>
      </c>
      <c r="AA195">
        <f t="shared" si="6"/>
        <v>0.65411339799323098</v>
      </c>
    </row>
    <row r="196" spans="1:27" x14ac:dyDescent="0.25">
      <c r="A196">
        <v>208</v>
      </c>
      <c r="B196">
        <v>406</v>
      </c>
      <c r="C196" t="s">
        <v>26</v>
      </c>
      <c r="D196">
        <v>25105</v>
      </c>
      <c r="E196">
        <f t="shared" si="7"/>
        <v>25105406</v>
      </c>
      <c r="F196">
        <f>VLOOKUP(E196,YieldData!D:F,2,FALSE)</f>
        <v>3</v>
      </c>
      <c r="G196">
        <f>VLOOKUP($E196,YieldData!$D:$F,3,FALSE)</f>
        <v>2</v>
      </c>
      <c r="H196">
        <v>10</v>
      </c>
      <c r="I196" t="s">
        <v>27</v>
      </c>
      <c r="J196" t="s">
        <v>28</v>
      </c>
      <c r="K196" s="2">
        <v>5162.9635330702104</v>
      </c>
      <c r="L196" s="2">
        <v>48581699.7005843</v>
      </c>
      <c r="M196" s="3">
        <v>5162.9635330702104</v>
      </c>
      <c r="N196" s="3">
        <v>48581699.7005843</v>
      </c>
      <c r="O196" s="4">
        <v>7.9335704704081703E-2</v>
      </c>
      <c r="P196" s="4">
        <v>1.39244792112763E-2</v>
      </c>
      <c r="Q196" s="5">
        <v>-3.4471182696526E-2</v>
      </c>
      <c r="R196" s="5">
        <v>1.1174877290884601E-3</v>
      </c>
      <c r="S196" s="6">
        <v>0.29277065732079599</v>
      </c>
      <c r="T196" s="6">
        <v>3.7065753612859603E-2</v>
      </c>
      <c r="U196" s="7">
        <v>0.174931228321971</v>
      </c>
      <c r="V196" s="7">
        <v>0.14433029367980299</v>
      </c>
      <c r="W196" s="8">
        <v>0.85950917310498198</v>
      </c>
      <c r="X196" s="8">
        <v>0.120753154453403</v>
      </c>
      <c r="Y196" s="2">
        <v>88</v>
      </c>
      <c r="Z196" s="2">
        <f>VLOOKUP(E196,YieldData!T:U,2,FALSE)</f>
        <v>604</v>
      </c>
      <c r="AA196">
        <f t="shared" si="6"/>
        <v>0.63115597120237299</v>
      </c>
    </row>
    <row r="197" spans="1:27" x14ac:dyDescent="0.25">
      <c r="A197">
        <v>209</v>
      </c>
      <c r="B197">
        <v>407</v>
      </c>
      <c r="C197" t="s">
        <v>26</v>
      </c>
      <c r="D197">
        <v>25105</v>
      </c>
      <c r="E197">
        <f t="shared" si="7"/>
        <v>25105407</v>
      </c>
      <c r="F197">
        <f>VLOOKUP(E197,YieldData!D:F,2,FALSE)</f>
        <v>2</v>
      </c>
      <c r="G197">
        <f>VLOOKUP($E197,YieldData!$D:$F,3,FALSE)</f>
        <v>2</v>
      </c>
      <c r="H197">
        <v>10</v>
      </c>
      <c r="I197" t="s">
        <v>27</v>
      </c>
      <c r="J197" t="s">
        <v>28</v>
      </c>
      <c r="K197" s="2">
        <v>5196.4487832005498</v>
      </c>
      <c r="L197" s="2">
        <v>74301399.073059395</v>
      </c>
      <c r="M197" s="3">
        <v>5196.4487832005498</v>
      </c>
      <c r="N197" s="3">
        <v>74301399.073059395</v>
      </c>
      <c r="O197" s="4">
        <v>6.2894976853997406E-2</v>
      </c>
      <c r="P197" s="4">
        <v>1.2216677017696499E-2</v>
      </c>
      <c r="Q197" s="5">
        <v>-3.8897975723088299E-2</v>
      </c>
      <c r="R197" s="5">
        <v>8.2736709323114998E-4</v>
      </c>
      <c r="S197" s="6">
        <v>0.27490436682312702</v>
      </c>
      <c r="T197" s="6">
        <v>3.68011894427583E-2</v>
      </c>
      <c r="U197" s="7">
        <v>0.17199608303009101</v>
      </c>
      <c r="V197" s="7">
        <v>0.14241343045254501</v>
      </c>
      <c r="W197" s="8">
        <v>0.50527181272973498</v>
      </c>
      <c r="X197" s="8">
        <v>0.249972207990454</v>
      </c>
      <c r="Y197" s="2">
        <v>28</v>
      </c>
      <c r="Z197" s="2">
        <f>VLOOKUP(E197,YieldData!T:U,2,FALSE)</f>
        <v>1430</v>
      </c>
      <c r="AA197">
        <f t="shared" si="6"/>
        <v>0.63048314552401197</v>
      </c>
    </row>
    <row r="198" spans="1:27" x14ac:dyDescent="0.25">
      <c r="A198">
        <v>210</v>
      </c>
      <c r="B198">
        <v>408</v>
      </c>
      <c r="C198" t="s">
        <v>26</v>
      </c>
      <c r="D198">
        <v>25105</v>
      </c>
      <c r="E198">
        <f t="shared" si="7"/>
        <v>25105408</v>
      </c>
      <c r="F198">
        <f>VLOOKUP(E198,YieldData!D:F,2,FALSE)</f>
        <v>4</v>
      </c>
      <c r="G198">
        <f>VLOOKUP($E198,YieldData!$D:$F,3,FALSE)</f>
        <v>2</v>
      </c>
      <c r="H198">
        <v>10</v>
      </c>
      <c r="I198" t="s">
        <v>27</v>
      </c>
      <c r="J198" t="s">
        <v>28</v>
      </c>
      <c r="K198" s="2">
        <v>4250.3964789321999</v>
      </c>
      <c r="L198" s="2">
        <v>60033195.417115502</v>
      </c>
      <c r="M198" s="3">
        <v>4250.3964789321999</v>
      </c>
      <c r="N198" s="3">
        <v>60033195.417115502</v>
      </c>
      <c r="O198" s="4">
        <v>6.23575591859633E-2</v>
      </c>
      <c r="P198" s="4">
        <v>8.7619509739896104E-3</v>
      </c>
      <c r="Q198" s="5">
        <v>-3.9097587242695797E-2</v>
      </c>
      <c r="R198" s="5">
        <v>8.5926953697428705E-4</v>
      </c>
      <c r="S198" s="6">
        <v>0.26656383705771303</v>
      </c>
      <c r="T198" s="6">
        <v>2.80388965411013E-2</v>
      </c>
      <c r="U198" s="7">
        <v>0.14199088636662599</v>
      </c>
      <c r="V198" s="7">
        <v>0.12182947455541999</v>
      </c>
      <c r="W198" s="8">
        <v>0.83251213853476502</v>
      </c>
      <c r="X198" s="8">
        <v>0.139435677726996</v>
      </c>
      <c r="Y198" s="2">
        <v>73</v>
      </c>
      <c r="Z198" s="2">
        <f>VLOOKUP(E198,YieldData!T:U,2,FALSE)</f>
        <v>1144</v>
      </c>
      <c r="AA198">
        <f t="shared" si="6"/>
        <v>0.56772434249082104</v>
      </c>
    </row>
    <row r="199" spans="1:27" x14ac:dyDescent="0.25">
      <c r="A199">
        <v>211</v>
      </c>
      <c r="B199">
        <v>409</v>
      </c>
      <c r="C199" t="s">
        <v>26</v>
      </c>
      <c r="D199">
        <v>25105</v>
      </c>
      <c r="E199">
        <f t="shared" si="7"/>
        <v>25105409</v>
      </c>
      <c r="F199">
        <f>VLOOKUP(E199,YieldData!D:F,2,FALSE)</f>
        <v>1</v>
      </c>
      <c r="G199">
        <f>VLOOKUP($E199,YieldData!$D:$F,3,FALSE)</f>
        <v>2</v>
      </c>
      <c r="H199">
        <v>10</v>
      </c>
      <c r="I199" t="s">
        <v>27</v>
      </c>
      <c r="J199" t="s">
        <v>28</v>
      </c>
      <c r="K199" s="2">
        <v>4422.4376058417902</v>
      </c>
      <c r="L199" s="2">
        <v>56534315.587117203</v>
      </c>
      <c r="M199" s="3">
        <v>4422.4376058417902</v>
      </c>
      <c r="N199" s="3">
        <v>56534315.587117203</v>
      </c>
      <c r="O199" s="4">
        <v>8.6079278303651793E-2</v>
      </c>
      <c r="P199" s="4">
        <v>9.6994294343470608E-3</v>
      </c>
      <c r="Q199" s="5">
        <v>-3.4081260285276402E-2</v>
      </c>
      <c r="R199" s="5">
        <v>1.2738530509743399E-3</v>
      </c>
      <c r="S199" s="6">
        <v>0.29572650980029902</v>
      </c>
      <c r="T199" s="6">
        <v>2.9294371113505999E-2</v>
      </c>
      <c r="U199" s="7">
        <v>0.170728733420942</v>
      </c>
      <c r="V199" s="7">
        <v>0.14158043300544301</v>
      </c>
      <c r="W199" s="8">
        <v>0.96045197740112997</v>
      </c>
      <c r="X199" s="8">
        <v>3.7983976507422801E-2</v>
      </c>
      <c r="Y199" s="2">
        <v>132</v>
      </c>
      <c r="Z199" s="2">
        <f>VLOOKUP(E199,YieldData!T:U,2,FALSE)</f>
        <v>840</v>
      </c>
      <c r="AA199">
        <f t="shared" si="6"/>
        <v>0.690714247005907</v>
      </c>
    </row>
    <row r="200" spans="1:27" hidden="1" x14ac:dyDescent="0.25">
      <c r="A200">
        <v>194</v>
      </c>
      <c r="B200">
        <v>501</v>
      </c>
      <c r="C200" t="s">
        <v>26</v>
      </c>
      <c r="D200">
        <v>25105</v>
      </c>
      <c r="E200">
        <f t="shared" si="7"/>
        <v>25105501</v>
      </c>
      <c r="H200">
        <v>10</v>
      </c>
      <c r="I200" t="s">
        <v>27</v>
      </c>
      <c r="J200" t="s">
        <v>28</v>
      </c>
      <c r="K200" s="2">
        <v>4473.8032420116397</v>
      </c>
      <c r="L200" s="2">
        <v>37992306.701966196</v>
      </c>
      <c r="M200" s="3">
        <v>4473.8032420116397</v>
      </c>
      <c r="N200" s="3">
        <v>37992306.701966196</v>
      </c>
      <c r="O200" s="4">
        <v>9.7607850512617805E-2</v>
      </c>
      <c r="P200" s="4">
        <v>1.1750941556676201E-2</v>
      </c>
      <c r="Q200" s="5">
        <v>-3.0400244346853698E-2</v>
      </c>
      <c r="R200" s="5">
        <v>1.0887751924686E-3</v>
      </c>
      <c r="S200" s="6">
        <v>0.292535758390437</v>
      </c>
      <c r="T200" s="6">
        <v>2.9676702839069698E-2</v>
      </c>
      <c r="U200" s="7">
        <v>0.15822993301855701</v>
      </c>
      <c r="V200" s="7">
        <v>0.13319322131552599</v>
      </c>
      <c r="W200" s="8">
        <v>0.96070977658231305</v>
      </c>
      <c r="X200" s="8">
        <v>3.7746501761431503E-2</v>
      </c>
      <c r="Y200" s="2">
        <v>139</v>
      </c>
      <c r="Z200" s="2">
        <f>VLOOKUP(E200,YieldData!T:U,2,FALSE)</f>
        <v>0</v>
      </c>
      <c r="AA200">
        <f t="shared" si="6"/>
        <v>0.64228367528992003</v>
      </c>
    </row>
    <row r="201" spans="1:27" x14ac:dyDescent="0.25">
      <c r="A201">
        <v>195</v>
      </c>
      <c r="B201">
        <v>502</v>
      </c>
      <c r="C201" t="s">
        <v>26</v>
      </c>
      <c r="D201">
        <v>25105</v>
      </c>
      <c r="E201">
        <f t="shared" si="7"/>
        <v>25105502</v>
      </c>
      <c r="F201">
        <f>VLOOKUP(E201,YieldData!D:F,2,FALSE)</f>
        <v>2</v>
      </c>
      <c r="G201">
        <f>VLOOKUP($E201,YieldData!$D:$F,3,FALSE)</f>
        <v>4</v>
      </c>
      <c r="H201">
        <v>10</v>
      </c>
      <c r="I201" t="s">
        <v>27</v>
      </c>
      <c r="J201" t="s">
        <v>28</v>
      </c>
      <c r="K201" s="2">
        <v>4286.2088236004702</v>
      </c>
      <c r="L201" s="2">
        <v>50505043.486484297</v>
      </c>
      <c r="M201" s="3">
        <v>4286.2088236004702</v>
      </c>
      <c r="N201" s="3">
        <v>50505043.486484297</v>
      </c>
      <c r="O201" s="4">
        <v>9.7434206551054295E-2</v>
      </c>
      <c r="P201" s="4">
        <v>1.3511107556067801E-2</v>
      </c>
      <c r="Q201" s="5">
        <v>-2.8166830068439602E-2</v>
      </c>
      <c r="R201" s="5">
        <v>9.72585986334946E-4</v>
      </c>
      <c r="S201" s="6">
        <v>0.299566384229564</v>
      </c>
      <c r="T201" s="6">
        <v>3.3760475791368601E-2</v>
      </c>
      <c r="U201" s="7">
        <v>0.169018338205803</v>
      </c>
      <c r="V201" s="7">
        <v>0.14045113955577601</v>
      </c>
      <c r="W201" s="8">
        <v>0.91550384787309902</v>
      </c>
      <c r="X201" s="8">
        <v>7.7356552402309597E-2</v>
      </c>
      <c r="Y201" s="2">
        <v>102</v>
      </c>
      <c r="Z201" s="2">
        <f>VLOOKUP(E201,YieldData!T:U,2,FALSE)</f>
        <v>1109</v>
      </c>
      <c r="AA201">
        <f t="shared" si="6"/>
        <v>0.68266872833138004</v>
      </c>
    </row>
    <row r="202" spans="1:27" hidden="1" x14ac:dyDescent="0.25">
      <c r="A202">
        <v>196</v>
      </c>
      <c r="B202">
        <v>503</v>
      </c>
      <c r="C202" t="s">
        <v>26</v>
      </c>
      <c r="D202">
        <v>25105</v>
      </c>
      <c r="E202">
        <f t="shared" si="7"/>
        <v>25105503</v>
      </c>
      <c r="H202">
        <v>10</v>
      </c>
      <c r="I202" t="s">
        <v>27</v>
      </c>
      <c r="J202" t="s">
        <v>28</v>
      </c>
      <c r="K202" s="2">
        <v>4856.2109670557502</v>
      </c>
      <c r="L202" s="2">
        <v>50759490.376269497</v>
      </c>
      <c r="M202" s="3">
        <v>4856.2109670557502</v>
      </c>
      <c r="N202" s="3">
        <v>50759490.376269497</v>
      </c>
      <c r="O202" s="4">
        <v>9.4177725748512298E-2</v>
      </c>
      <c r="P202" s="4">
        <v>1.36519782488738E-2</v>
      </c>
      <c r="Q202" s="5">
        <v>-3.1124353637073401E-2</v>
      </c>
      <c r="R202" s="5">
        <v>1.08105372619646E-3</v>
      </c>
      <c r="S202" s="6">
        <v>0.29946280258065699</v>
      </c>
      <c r="T202" s="6">
        <v>3.5205089336635798E-2</v>
      </c>
      <c r="U202" s="7">
        <v>0.186167992783769</v>
      </c>
      <c r="V202" s="7">
        <v>0.15150947124676201</v>
      </c>
      <c r="W202" s="8">
        <v>0.98639043695985795</v>
      </c>
      <c r="X202" s="8">
        <v>1.3424342834017101E-2</v>
      </c>
      <c r="Y202" s="2">
        <v>87</v>
      </c>
      <c r="Z202" s="2">
        <f>VLOOKUP(E202,YieldData!T:U,2,FALSE)</f>
        <v>0</v>
      </c>
      <c r="AA202">
        <f t="shared" si="6"/>
        <v>0.66826877768353599</v>
      </c>
    </row>
    <row r="203" spans="1:27" x14ac:dyDescent="0.25">
      <c r="A203">
        <v>197</v>
      </c>
      <c r="B203">
        <v>504</v>
      </c>
      <c r="C203" t="s">
        <v>26</v>
      </c>
      <c r="D203">
        <v>25105</v>
      </c>
      <c r="E203">
        <f t="shared" si="7"/>
        <v>25105504</v>
      </c>
      <c r="F203">
        <f>VLOOKUP(E203,YieldData!D:F,2,FALSE)</f>
        <v>5</v>
      </c>
      <c r="G203">
        <f>VLOOKUP($E203,YieldData!$D:$F,3,FALSE)</f>
        <v>3</v>
      </c>
      <c r="H203">
        <v>10</v>
      </c>
      <c r="I203" t="s">
        <v>27</v>
      </c>
      <c r="J203" t="s">
        <v>28</v>
      </c>
      <c r="K203" s="2">
        <v>4311.7914910080599</v>
      </c>
      <c r="L203" s="2">
        <v>42550452.775630899</v>
      </c>
      <c r="M203" s="3">
        <v>4311.7914910080599</v>
      </c>
      <c r="N203" s="3">
        <v>42550452.775630899</v>
      </c>
      <c r="O203" s="4">
        <v>9.1325030369276694E-2</v>
      </c>
      <c r="P203" s="4">
        <v>1.33537436029588E-2</v>
      </c>
      <c r="Q203" s="5">
        <v>-3.0840307461524E-2</v>
      </c>
      <c r="R203" s="5">
        <v>1.33811765088542E-3</v>
      </c>
      <c r="S203" s="6">
        <v>0.297594791084414</v>
      </c>
      <c r="T203" s="6">
        <v>3.4447450534277099E-2</v>
      </c>
      <c r="U203" s="7">
        <v>0.179038369176584</v>
      </c>
      <c r="V203" s="7">
        <v>0.14698363153927099</v>
      </c>
      <c r="W203" s="8">
        <v>0.96308796456871504</v>
      </c>
      <c r="X203" s="8">
        <v>3.5549537071610203E-2</v>
      </c>
      <c r="Y203" s="2">
        <v>115</v>
      </c>
      <c r="Z203" s="2">
        <f>VLOOKUP(E203,YieldData!T:U,2,FALSE)</f>
        <v>1282</v>
      </c>
      <c r="AA203">
        <f t="shared" si="6"/>
        <v>0.77873237369762105</v>
      </c>
    </row>
    <row r="204" spans="1:27" x14ac:dyDescent="0.25">
      <c r="A204">
        <v>198</v>
      </c>
      <c r="B204">
        <v>505</v>
      </c>
      <c r="C204" t="s">
        <v>26</v>
      </c>
      <c r="D204">
        <v>25105</v>
      </c>
      <c r="E204">
        <f t="shared" si="7"/>
        <v>25105505</v>
      </c>
      <c r="F204">
        <f>VLOOKUP(E204,YieldData!D:F,2,FALSE)</f>
        <v>3</v>
      </c>
      <c r="G204">
        <f>VLOOKUP($E204,YieldData!$D:$F,3,FALSE)</f>
        <v>3</v>
      </c>
      <c r="H204">
        <v>10</v>
      </c>
      <c r="I204" t="s">
        <v>27</v>
      </c>
      <c r="J204" t="s">
        <v>28</v>
      </c>
      <c r="K204" s="2">
        <v>4091.9620637692301</v>
      </c>
      <c r="L204" s="2">
        <v>42684971.877025701</v>
      </c>
      <c r="M204" s="3">
        <v>4091.9620637692301</v>
      </c>
      <c r="N204" s="3">
        <v>42684971.877025701</v>
      </c>
      <c r="O204" s="4">
        <v>6.0283920060489903E-2</v>
      </c>
      <c r="P204" s="4">
        <v>1.2388282797458501E-2</v>
      </c>
      <c r="Q204" s="5">
        <v>-3.5580341694570403E-2</v>
      </c>
      <c r="R204" s="5">
        <v>8.7431741072941695E-4</v>
      </c>
      <c r="S204" s="6">
        <v>0.26255451894181497</v>
      </c>
      <c r="T204" s="6">
        <v>3.3957521734186299E-2</v>
      </c>
      <c r="U204" s="7">
        <v>0.140610424091659</v>
      </c>
      <c r="V204" s="7">
        <v>0.12083913272839999</v>
      </c>
      <c r="W204" s="8">
        <v>0.917670274472284</v>
      </c>
      <c r="X204" s="8">
        <v>7.5551541822115098E-2</v>
      </c>
      <c r="Y204" s="2">
        <v>94</v>
      </c>
      <c r="Z204" s="2">
        <f>VLOOKUP(E204,YieldData!T:U,2,FALSE)</f>
        <v>1252</v>
      </c>
      <c r="AA204">
        <f t="shared" si="6"/>
        <v>0.81420300949738</v>
      </c>
    </row>
    <row r="205" spans="1:27" x14ac:dyDescent="0.25">
      <c r="A205">
        <v>199</v>
      </c>
      <c r="B205">
        <v>506</v>
      </c>
      <c r="C205" t="s">
        <v>26</v>
      </c>
      <c r="D205">
        <v>25105</v>
      </c>
      <c r="E205">
        <f t="shared" si="7"/>
        <v>25105506</v>
      </c>
      <c r="F205">
        <f>VLOOKUP(E205,YieldData!D:F,2,FALSE)</f>
        <v>1</v>
      </c>
      <c r="G205">
        <f>VLOOKUP($E205,YieldData!$D:$F,3,FALSE)</f>
        <v>3</v>
      </c>
      <c r="H205">
        <v>10</v>
      </c>
      <c r="I205" t="s">
        <v>27</v>
      </c>
      <c r="J205" t="s">
        <v>28</v>
      </c>
      <c r="K205" s="2">
        <v>4936.6766130479</v>
      </c>
      <c r="L205" s="2">
        <v>46302915.682468802</v>
      </c>
      <c r="M205" s="3">
        <v>4936.6766130479</v>
      </c>
      <c r="N205" s="3">
        <v>46302915.682468802</v>
      </c>
      <c r="O205" s="4">
        <v>8.7046397318154195E-2</v>
      </c>
      <c r="P205" s="4">
        <v>1.14921977116184E-2</v>
      </c>
      <c r="Q205" s="5">
        <v>-3.0045459058821899E-2</v>
      </c>
      <c r="R205" s="5">
        <v>1.3172303437283201E-3</v>
      </c>
      <c r="S205" s="6">
        <v>0.29759772811789997</v>
      </c>
      <c r="T205" s="6">
        <v>3.1895361138882097E-2</v>
      </c>
      <c r="U205" s="7">
        <v>0.17034024995515201</v>
      </c>
      <c r="V205" s="7">
        <v>0.141324449200494</v>
      </c>
      <c r="W205" s="8">
        <v>0.94231413261888797</v>
      </c>
      <c r="X205" s="8">
        <v>5.4358208085522698E-2</v>
      </c>
      <c r="Y205" s="2">
        <v>134</v>
      </c>
      <c r="Z205" s="2">
        <f>VLOOKUP(E205,YieldData!T:U,2,FALSE)</f>
        <v>1552</v>
      </c>
      <c r="AA205">
        <f t="shared" si="6"/>
        <v>0.75781857322250801</v>
      </c>
    </row>
    <row r="206" spans="1:27" x14ac:dyDescent="0.25">
      <c r="A206">
        <v>200</v>
      </c>
      <c r="B206">
        <v>507</v>
      </c>
      <c r="C206" t="s">
        <v>26</v>
      </c>
      <c r="D206">
        <v>25105</v>
      </c>
      <c r="E206">
        <f t="shared" si="7"/>
        <v>25105507</v>
      </c>
      <c r="F206">
        <f>VLOOKUP(E206,YieldData!D:F,2,FALSE)</f>
        <v>2</v>
      </c>
      <c r="G206">
        <f>VLOOKUP($E206,YieldData!$D:$F,3,FALSE)</f>
        <v>3</v>
      </c>
      <c r="H206">
        <v>10</v>
      </c>
      <c r="I206" t="s">
        <v>27</v>
      </c>
      <c r="J206" t="s">
        <v>28</v>
      </c>
      <c r="K206" s="2">
        <v>5620.0128393524301</v>
      </c>
      <c r="L206" s="2">
        <v>78249360.344007507</v>
      </c>
      <c r="M206" s="3">
        <v>5620.0128393524301</v>
      </c>
      <c r="N206" s="3">
        <v>78249360.344007507</v>
      </c>
      <c r="O206" s="4">
        <v>7.8598623228866099E-2</v>
      </c>
      <c r="P206" s="4">
        <v>1.11814816796136E-2</v>
      </c>
      <c r="Q206" s="5">
        <v>-3.38684499381052E-2</v>
      </c>
      <c r="R206" s="5">
        <v>8.7739201921208695E-4</v>
      </c>
      <c r="S206" s="6">
        <v>0.29447358395254802</v>
      </c>
      <c r="T206" s="6">
        <v>3.6071647755657299E-2</v>
      </c>
      <c r="U206" s="7">
        <v>0.18869240348692401</v>
      </c>
      <c r="V206" s="7">
        <v>0.153087580353091</v>
      </c>
      <c r="W206" s="8">
        <v>0.89286425902864297</v>
      </c>
      <c r="X206" s="8">
        <v>9.5657673978098406E-2</v>
      </c>
      <c r="Y206" s="2">
        <v>120</v>
      </c>
      <c r="Z206" s="2">
        <f>VLOOKUP(E206,YieldData!T:U,2,FALSE)</f>
        <v>1595</v>
      </c>
      <c r="AA206">
        <f t="shared" si="6"/>
        <v>0.77628760709304601</v>
      </c>
    </row>
    <row r="207" spans="1:27" hidden="1" x14ac:dyDescent="0.25">
      <c r="A207">
        <v>201</v>
      </c>
      <c r="B207">
        <v>508</v>
      </c>
      <c r="C207" t="s">
        <v>26</v>
      </c>
      <c r="D207">
        <v>25105</v>
      </c>
      <c r="E207">
        <f t="shared" si="7"/>
        <v>25105508</v>
      </c>
      <c r="H207">
        <v>10</v>
      </c>
      <c r="I207" t="s">
        <v>27</v>
      </c>
      <c r="J207" t="s">
        <v>28</v>
      </c>
      <c r="K207" s="2">
        <v>4426.7421060185598</v>
      </c>
      <c r="L207" s="2">
        <v>61703113.494584501</v>
      </c>
      <c r="M207" s="3">
        <v>4426.7421060185598</v>
      </c>
      <c r="N207" s="3">
        <v>61703113.494584501</v>
      </c>
      <c r="O207" s="4">
        <v>7.31066358160746E-2</v>
      </c>
      <c r="P207" s="4">
        <v>8.5303963102769994E-3</v>
      </c>
      <c r="Q207" s="5">
        <v>-3.2030614677538198E-2</v>
      </c>
      <c r="R207" s="5">
        <v>9.2932179420617596E-4</v>
      </c>
      <c r="S207" s="6">
        <v>0.27830964095924299</v>
      </c>
      <c r="T207" s="6">
        <v>2.7371649618029899E-2</v>
      </c>
      <c r="U207" s="7">
        <v>0.14261793129844</v>
      </c>
      <c r="V207" s="7">
        <v>0.12227805697048599</v>
      </c>
      <c r="W207" s="8">
        <v>0.89241974836147897</v>
      </c>
      <c r="X207" s="8">
        <v>9.6006741096106796E-2</v>
      </c>
      <c r="Y207" s="2">
        <v>67</v>
      </c>
      <c r="Z207" s="2">
        <f>VLOOKUP(E207,YieldData!T:U,2,FALSE)</f>
        <v>0</v>
      </c>
      <c r="AA207">
        <f t="shared" si="6"/>
        <v>0.68555196746800595</v>
      </c>
    </row>
    <row r="208" spans="1:27" hidden="1" x14ac:dyDescent="0.25">
      <c r="A208">
        <v>202</v>
      </c>
      <c r="B208">
        <v>509</v>
      </c>
      <c r="C208" t="s">
        <v>26</v>
      </c>
      <c r="D208">
        <v>25105</v>
      </c>
      <c r="E208">
        <f t="shared" si="7"/>
        <v>25105509</v>
      </c>
      <c r="H208">
        <v>10</v>
      </c>
      <c r="I208" t="s">
        <v>27</v>
      </c>
      <c r="J208" t="s">
        <v>28</v>
      </c>
      <c r="K208" s="2">
        <v>5450.4280247516699</v>
      </c>
      <c r="L208" s="2">
        <v>79632886.732524395</v>
      </c>
      <c r="M208" s="3">
        <v>5450.4280247516699</v>
      </c>
      <c r="N208" s="3">
        <v>79632886.732524395</v>
      </c>
      <c r="O208" s="4">
        <v>0.114074422328044</v>
      </c>
      <c r="P208" s="4">
        <v>1.06448672352629E-2</v>
      </c>
      <c r="Q208" s="5">
        <v>-2.3419693629463199E-2</v>
      </c>
      <c r="R208" s="5">
        <v>1.3056416677096399E-3</v>
      </c>
      <c r="S208" s="6">
        <v>0.32945167793957703</v>
      </c>
      <c r="T208" s="6">
        <v>3.37070294069408E-2</v>
      </c>
      <c r="U208" s="7">
        <v>0.20753948868262501</v>
      </c>
      <c r="V208" s="7">
        <v>0.164466849319894</v>
      </c>
      <c r="W208" s="8">
        <v>0.98427109627337594</v>
      </c>
      <c r="X208" s="8">
        <v>1.54815053142497E-2</v>
      </c>
      <c r="Y208" s="2">
        <v>132</v>
      </c>
      <c r="Z208" s="2">
        <f>VLOOKUP(E208,YieldData!T:U,2,FALSE)</f>
        <v>0</v>
      </c>
      <c r="AA208">
        <f t="shared" si="6"/>
        <v>0.85520816370840802</v>
      </c>
    </row>
    <row r="209" spans="1:27" x14ac:dyDescent="0.25">
      <c r="A209">
        <v>185</v>
      </c>
      <c r="B209">
        <v>601</v>
      </c>
      <c r="C209" t="s">
        <v>26</v>
      </c>
      <c r="D209">
        <v>25105</v>
      </c>
      <c r="E209">
        <f t="shared" si="7"/>
        <v>25105601</v>
      </c>
      <c r="F209">
        <f>VLOOKUP(E209,YieldData!D:F,2,FALSE)</f>
        <v>1</v>
      </c>
      <c r="G209">
        <f>VLOOKUP($E209,YieldData!$D:$F,3,FALSE)</f>
        <v>4</v>
      </c>
      <c r="H209">
        <v>10</v>
      </c>
      <c r="I209" t="s">
        <v>27</v>
      </c>
      <c r="J209" t="s">
        <v>28</v>
      </c>
      <c r="K209" s="2">
        <v>5730.4404523165704</v>
      </c>
      <c r="L209" s="2">
        <v>49596953.8314512</v>
      </c>
      <c r="M209" s="3">
        <v>5730.4404523165704</v>
      </c>
      <c r="N209" s="3">
        <v>49596953.8314512</v>
      </c>
      <c r="O209" s="4">
        <v>0.12810602110195199</v>
      </c>
      <c r="P209" s="4">
        <v>1.4371135059118001E-2</v>
      </c>
      <c r="Q209" s="5">
        <v>-1.78963774753465E-2</v>
      </c>
      <c r="R209" s="5">
        <v>1.3243653525002699E-3</v>
      </c>
      <c r="S209" s="6">
        <v>0.34037263099348503</v>
      </c>
      <c r="T209" s="6">
        <v>3.5852569382138398E-2</v>
      </c>
      <c r="U209" s="7">
        <v>0.23904464944171999</v>
      </c>
      <c r="V209" s="7">
        <v>0.18190230501523799</v>
      </c>
      <c r="W209" s="8">
        <v>0.97504140358141</v>
      </c>
      <c r="X209" s="8">
        <v>2.4335664883407701E-2</v>
      </c>
      <c r="Y209" s="2">
        <v>140</v>
      </c>
      <c r="Z209" s="2">
        <f>VLOOKUP(E209,YieldData!T:U,2,FALSE)</f>
        <v>1237</v>
      </c>
      <c r="AA209">
        <f t="shared" si="6"/>
        <v>0.72786906456203904</v>
      </c>
    </row>
    <row r="210" spans="1:27" x14ac:dyDescent="0.25">
      <c r="A210">
        <v>186</v>
      </c>
      <c r="B210">
        <v>602</v>
      </c>
      <c r="C210" t="s">
        <v>26</v>
      </c>
      <c r="D210">
        <v>25105</v>
      </c>
      <c r="E210">
        <f t="shared" si="7"/>
        <v>25105602</v>
      </c>
      <c r="F210">
        <f>VLOOKUP(E210,YieldData!D:F,2,FALSE)</f>
        <v>3</v>
      </c>
      <c r="G210">
        <f>VLOOKUP($E210,YieldData!$D:$F,3,FALSE)</f>
        <v>4</v>
      </c>
      <c r="H210">
        <v>10</v>
      </c>
      <c r="I210" t="s">
        <v>27</v>
      </c>
      <c r="J210" t="s">
        <v>28</v>
      </c>
      <c r="K210" s="2">
        <v>5292.12628881411</v>
      </c>
      <c r="L210" s="2">
        <v>54926839.757387497</v>
      </c>
      <c r="M210" s="3">
        <v>5292.12628881411</v>
      </c>
      <c r="N210" s="3">
        <v>54926839.757387497</v>
      </c>
      <c r="O210" s="4">
        <v>9.8336567800737101E-2</v>
      </c>
      <c r="P210" s="4">
        <v>1.4453803193690299E-2</v>
      </c>
      <c r="Q210" s="5">
        <v>-2.6424357252797102E-2</v>
      </c>
      <c r="R210" s="5">
        <v>9.0793002457212205E-4</v>
      </c>
      <c r="S210" s="6">
        <v>0.31172395857212698</v>
      </c>
      <c r="T210" s="6">
        <v>3.8550258367524598E-2</v>
      </c>
      <c r="U210" s="7">
        <v>0.191636629264613</v>
      </c>
      <c r="V210" s="7">
        <v>0.15491203158872699</v>
      </c>
      <c r="W210" s="8">
        <v>0.96396838701951904</v>
      </c>
      <c r="X210" s="8">
        <v>3.4733335846604999E-2</v>
      </c>
      <c r="Y210" s="2">
        <v>116</v>
      </c>
      <c r="Z210" s="2">
        <f>VLOOKUP(E210,YieldData!T:U,2,FALSE)</f>
        <v>691</v>
      </c>
      <c r="AA210">
        <f t="shared" si="6"/>
        <v>0.72686449202471604</v>
      </c>
    </row>
    <row r="211" spans="1:27" hidden="1" x14ac:dyDescent="0.25">
      <c r="A211">
        <v>187</v>
      </c>
      <c r="B211">
        <v>603</v>
      </c>
      <c r="C211" t="s">
        <v>26</v>
      </c>
      <c r="D211" t="s">
        <v>100</v>
      </c>
      <c r="E211" t="e">
        <f t="shared" si="7"/>
        <v>#VALUE!</v>
      </c>
      <c r="H211">
        <v>10</v>
      </c>
      <c r="I211" t="s">
        <v>27</v>
      </c>
      <c r="J211" t="s">
        <v>28</v>
      </c>
      <c r="K211" s="2">
        <v>2824.07617564065</v>
      </c>
      <c r="L211" s="2">
        <v>6445909.1833340498</v>
      </c>
      <c r="M211" s="3">
        <v>2824.07617564065</v>
      </c>
      <c r="N211" s="3">
        <v>6445909.1833340498</v>
      </c>
      <c r="O211" s="4">
        <v>6.5235840146694299E-2</v>
      </c>
      <c r="P211" s="4">
        <v>8.79204082365115E-3</v>
      </c>
      <c r="Q211" s="5">
        <v>-3.12645390166209E-2</v>
      </c>
      <c r="R211" s="5">
        <v>6.8062517994648395E-4</v>
      </c>
      <c r="S211" s="6">
        <v>0.24627935521764199</v>
      </c>
      <c r="T211" s="6">
        <v>1.5519320077096801E-2</v>
      </c>
      <c r="U211" s="7">
        <v>7.59458113612278E-2</v>
      </c>
      <c r="V211" s="7">
        <v>7.0178045097973901E-2</v>
      </c>
      <c r="W211" s="8">
        <v>0.96400801807898095</v>
      </c>
      <c r="X211" s="8">
        <v>3.4696559158405901E-2</v>
      </c>
      <c r="Y211" s="2">
        <v>111</v>
      </c>
      <c r="Z211" s="2" t="e">
        <f>VLOOKUP(E211,YieldData!T:U,2,FALSE)</f>
        <v>#VALUE!</v>
      </c>
      <c r="AA211">
        <f t="shared" si="6"/>
        <v>0.913534329143595</v>
      </c>
    </row>
    <row r="212" spans="1:27" hidden="1" x14ac:dyDescent="0.25">
      <c r="A212">
        <v>188</v>
      </c>
      <c r="B212">
        <v>604</v>
      </c>
      <c r="C212" t="s">
        <v>26</v>
      </c>
      <c r="D212" t="s">
        <v>100</v>
      </c>
      <c r="E212" t="e">
        <f t="shared" si="7"/>
        <v>#VALUE!</v>
      </c>
      <c r="H212">
        <v>10</v>
      </c>
      <c r="I212" t="s">
        <v>27</v>
      </c>
      <c r="J212" t="s">
        <v>28</v>
      </c>
      <c r="K212" s="2">
        <v>3278.4184333328699</v>
      </c>
      <c r="L212" s="2">
        <v>10305343.009343799</v>
      </c>
      <c r="M212" s="3">
        <v>3278.4184333328699</v>
      </c>
      <c r="N212" s="3">
        <v>10305343.009343799</v>
      </c>
      <c r="O212" s="4">
        <v>6.4400496330453499E-2</v>
      </c>
      <c r="P212" s="4">
        <v>1.06906909124889E-2</v>
      </c>
      <c r="Q212" s="5">
        <v>-3.44821865668863E-2</v>
      </c>
      <c r="R212" s="5">
        <v>8.8698032758180098E-4</v>
      </c>
      <c r="S212" s="6">
        <v>0.25124526884297099</v>
      </c>
      <c r="T212" s="6">
        <v>2.11400715137007E-2</v>
      </c>
      <c r="U212" s="7">
        <v>0.102192004652644</v>
      </c>
      <c r="V212" s="7">
        <v>9.1748798837798601E-2</v>
      </c>
      <c r="W212" s="8">
        <v>0.98929525972497301</v>
      </c>
      <c r="X212" s="8">
        <v>1.0590148810668901E-2</v>
      </c>
      <c r="Y212" s="2">
        <v>137</v>
      </c>
      <c r="Z212" s="2" t="e">
        <f>VLOOKUP(E212,YieldData!T:U,2,FALSE)</f>
        <v>#VALUE!</v>
      </c>
      <c r="AA212">
        <f t="shared" si="6"/>
        <v>0.913534329143595</v>
      </c>
    </row>
    <row r="213" spans="1:27" hidden="1" x14ac:dyDescent="0.25">
      <c r="A213">
        <v>189</v>
      </c>
      <c r="B213">
        <v>605</v>
      </c>
      <c r="C213" t="s">
        <v>26</v>
      </c>
      <c r="D213" t="s">
        <v>100</v>
      </c>
      <c r="E213" t="e">
        <f t="shared" si="7"/>
        <v>#VALUE!</v>
      </c>
      <c r="H213">
        <v>10</v>
      </c>
      <c r="I213" t="s">
        <v>27</v>
      </c>
      <c r="J213" t="s">
        <v>28</v>
      </c>
      <c r="K213" s="2">
        <v>2839.9332909473301</v>
      </c>
      <c r="L213" s="2">
        <v>13876982.278599201</v>
      </c>
      <c r="M213" s="3">
        <v>2839.9332909473301</v>
      </c>
      <c r="N213" s="3">
        <v>13876982.278599201</v>
      </c>
      <c r="O213" s="4">
        <v>4.6774966957405302E-2</v>
      </c>
      <c r="P213" s="4">
        <v>8.2226522803993396E-3</v>
      </c>
      <c r="Q213" s="5">
        <v>-3.60173631043086E-2</v>
      </c>
      <c r="R213" s="5">
        <v>6.4323743262331397E-4</v>
      </c>
      <c r="S213" s="6">
        <v>0.23152050447121</v>
      </c>
      <c r="T213" s="6">
        <v>1.7466571932779899E-2</v>
      </c>
      <c r="U213" s="7">
        <v>7.4766469408715203E-2</v>
      </c>
      <c r="V213" s="7">
        <v>6.9176444460908204E-2</v>
      </c>
      <c r="W213" s="8">
        <v>0.93539078548371302</v>
      </c>
      <c r="X213" s="8">
        <v>6.0434863915963803E-2</v>
      </c>
      <c r="Y213" s="2">
        <v>105</v>
      </c>
      <c r="Z213" s="2" t="e">
        <f>VLOOKUP(E213,YieldData!T:U,2,FALSE)</f>
        <v>#VALUE!</v>
      </c>
      <c r="AA213">
        <f t="shared" si="6"/>
        <v>0.913534329143595</v>
      </c>
    </row>
    <row r="214" spans="1:27" hidden="1" x14ac:dyDescent="0.25">
      <c r="A214">
        <v>190</v>
      </c>
      <c r="B214">
        <v>606</v>
      </c>
      <c r="C214" t="s">
        <v>26</v>
      </c>
      <c r="D214" t="s">
        <v>100</v>
      </c>
      <c r="E214" t="e">
        <f t="shared" si="7"/>
        <v>#VALUE!</v>
      </c>
      <c r="H214">
        <v>10</v>
      </c>
      <c r="I214" t="s">
        <v>27</v>
      </c>
      <c r="J214" t="s">
        <v>28</v>
      </c>
      <c r="K214" s="2">
        <v>2460.7593404602299</v>
      </c>
      <c r="L214" s="2">
        <v>13796153.460413501</v>
      </c>
      <c r="M214" s="3">
        <v>2460.7593404602299</v>
      </c>
      <c r="N214" s="3">
        <v>13796153.460413501</v>
      </c>
      <c r="O214" s="4">
        <v>6.3468217915977898E-2</v>
      </c>
      <c r="P214" s="4">
        <v>7.7566891430145401E-3</v>
      </c>
      <c r="Q214" s="5">
        <v>-3.4002534541416399E-2</v>
      </c>
      <c r="R214" s="5">
        <v>7.4312917425836005E-4</v>
      </c>
      <c r="S214" s="6">
        <v>0.24876128398703201</v>
      </c>
      <c r="T214" s="6">
        <v>1.73912437527587E-2</v>
      </c>
      <c r="U214" s="7">
        <v>8.6827323790541797E-2</v>
      </c>
      <c r="V214" s="7">
        <v>7.9288339633982102E-2</v>
      </c>
      <c r="W214" s="8">
        <v>0.98090441336328704</v>
      </c>
      <c r="X214" s="8">
        <v>1.8730945207749899E-2</v>
      </c>
      <c r="Y214" s="2">
        <v>124</v>
      </c>
      <c r="Z214" s="2" t="e">
        <f>VLOOKUP(E214,YieldData!T:U,2,FALSE)</f>
        <v>#VALUE!</v>
      </c>
      <c r="AA214">
        <f t="shared" si="6"/>
        <v>0.913534329143595</v>
      </c>
    </row>
    <row r="215" spans="1:27" hidden="1" x14ac:dyDescent="0.25">
      <c r="A215">
        <v>191</v>
      </c>
      <c r="B215">
        <v>607</v>
      </c>
      <c r="C215" t="s">
        <v>26</v>
      </c>
      <c r="D215" t="s">
        <v>100</v>
      </c>
      <c r="E215" t="e">
        <f t="shared" si="7"/>
        <v>#VALUE!</v>
      </c>
      <c r="H215">
        <v>10</v>
      </c>
      <c r="I215" t="s">
        <v>27</v>
      </c>
      <c r="J215" t="s">
        <v>28</v>
      </c>
      <c r="K215" s="2">
        <v>3242.5253816723898</v>
      </c>
      <c r="L215" s="2">
        <v>34385183.581425503</v>
      </c>
      <c r="M215" s="3">
        <v>3242.5253816723898</v>
      </c>
      <c r="N215" s="3">
        <v>34385183.581425503</v>
      </c>
      <c r="O215" s="4">
        <v>6.9878381736981202E-2</v>
      </c>
      <c r="P215" s="4">
        <v>7.7978853618479302E-3</v>
      </c>
      <c r="Q215" s="5">
        <v>-3.0047347247953601E-2</v>
      </c>
      <c r="R215" s="5">
        <v>6.8472014073657299E-4</v>
      </c>
      <c r="S215" s="6">
        <v>0.26910114002263502</v>
      </c>
      <c r="T215" s="6">
        <v>2.2881172669415001E-2</v>
      </c>
      <c r="U215" s="7">
        <v>0.12522765887227899</v>
      </c>
      <c r="V215" s="7">
        <v>0.109545692325517</v>
      </c>
      <c r="W215" s="8">
        <v>0.96144866952684804</v>
      </c>
      <c r="X215" s="8">
        <v>3.7065125391851701E-2</v>
      </c>
      <c r="Y215" s="2">
        <v>123</v>
      </c>
      <c r="Z215" s="2" t="e">
        <f>VLOOKUP(E215,YieldData!T:U,2,FALSE)</f>
        <v>#VALUE!</v>
      </c>
      <c r="AA215">
        <f t="shared" si="6"/>
        <v>0.913534329143595</v>
      </c>
    </row>
    <row r="216" spans="1:27" hidden="1" x14ac:dyDescent="0.25">
      <c r="A216">
        <v>192</v>
      </c>
      <c r="B216">
        <v>608</v>
      </c>
      <c r="C216" t="s">
        <v>26</v>
      </c>
      <c r="D216" t="s">
        <v>100</v>
      </c>
      <c r="E216" t="e">
        <f t="shared" si="7"/>
        <v>#VALUE!</v>
      </c>
      <c r="H216">
        <v>10</v>
      </c>
      <c r="I216" t="s">
        <v>27</v>
      </c>
      <c r="J216" t="s">
        <v>28</v>
      </c>
      <c r="K216" s="2">
        <v>1826.92868464705</v>
      </c>
      <c r="L216" s="2">
        <v>14809864.143074101</v>
      </c>
      <c r="M216" s="3">
        <v>1826.92868464705</v>
      </c>
      <c r="N216" s="3">
        <v>14809864.143074101</v>
      </c>
      <c r="O216" s="4">
        <v>7.0468730618687705E-2</v>
      </c>
      <c r="P216" s="4">
        <v>6.5624499927448097E-3</v>
      </c>
      <c r="Q216" s="5">
        <v>-2.9441802470080599E-2</v>
      </c>
      <c r="R216" s="5">
        <v>6.3422059838728602E-4</v>
      </c>
      <c r="S216" s="6">
        <v>0.25755127724263499</v>
      </c>
      <c r="T216" s="6">
        <v>1.5476195212787701E-2</v>
      </c>
      <c r="U216" s="7">
        <v>8.13540578730724E-2</v>
      </c>
      <c r="V216" s="7">
        <v>7.4735575140745594E-2</v>
      </c>
      <c r="W216" s="8">
        <v>0.93060743070572005</v>
      </c>
      <c r="X216" s="8">
        <v>6.4577240621156995E-2</v>
      </c>
      <c r="Y216" s="2">
        <v>131</v>
      </c>
      <c r="Z216" s="2" t="e">
        <f>VLOOKUP(E216,YieldData!T:U,2,FALSE)</f>
        <v>#VALUE!</v>
      </c>
      <c r="AA216">
        <f t="shared" si="6"/>
        <v>0.913534329143595</v>
      </c>
    </row>
    <row r="217" spans="1:27" hidden="1" x14ac:dyDescent="0.25">
      <c r="A217">
        <v>193</v>
      </c>
      <c r="B217">
        <v>609</v>
      </c>
      <c r="C217" t="s">
        <v>26</v>
      </c>
      <c r="D217" t="s">
        <v>100</v>
      </c>
      <c r="E217" t="e">
        <f t="shared" si="7"/>
        <v>#VALUE!</v>
      </c>
      <c r="H217">
        <v>10</v>
      </c>
      <c r="I217" t="s">
        <v>27</v>
      </c>
      <c r="J217" t="s">
        <v>28</v>
      </c>
      <c r="K217" s="2">
        <v>2058.1736322287202</v>
      </c>
      <c r="L217" s="2">
        <v>20920071.362847298</v>
      </c>
      <c r="M217" s="3">
        <v>2058.1736322287202</v>
      </c>
      <c r="N217" s="3">
        <v>20920071.362847298</v>
      </c>
      <c r="O217" s="4">
        <v>7.6284747343994402E-2</v>
      </c>
      <c r="P217" s="4">
        <v>7.9160707519155098E-3</v>
      </c>
      <c r="Q217" s="5">
        <v>-2.8791686364890701E-2</v>
      </c>
      <c r="R217" s="5">
        <v>8.2712899750531695E-4</v>
      </c>
      <c r="S217" s="6">
        <v>0.263423937678463</v>
      </c>
      <c r="T217" s="6">
        <v>1.9217420444040002E-2</v>
      </c>
      <c r="U217" s="7">
        <v>0.100155945419103</v>
      </c>
      <c r="V217" s="7">
        <v>9.0124732016274606E-2</v>
      </c>
      <c r="W217" s="8">
        <v>0.91787194781230097</v>
      </c>
      <c r="X217" s="8">
        <v>7.5383035231703199E-2</v>
      </c>
      <c r="Y217" s="2">
        <v>95</v>
      </c>
      <c r="Z217" s="2" t="e">
        <f>VLOOKUP(E217,YieldData!T:U,2,FALSE)</f>
        <v>#VALUE!</v>
      </c>
      <c r="AA217">
        <f t="shared" si="6"/>
        <v>0.913534329143595</v>
      </c>
    </row>
    <row r="218" spans="1:27" x14ac:dyDescent="0.25">
      <c r="A218">
        <v>176</v>
      </c>
      <c r="B218">
        <v>701</v>
      </c>
      <c r="C218" t="s">
        <v>26</v>
      </c>
      <c r="D218">
        <v>25106</v>
      </c>
      <c r="E218">
        <f t="shared" si="7"/>
        <v>25106701</v>
      </c>
      <c r="F218">
        <f>VLOOKUP(E218,YieldData!D:F,2,FALSE)</f>
        <v>1</v>
      </c>
      <c r="G218">
        <f>VLOOKUP($E218,YieldData!$D:$F,3,FALSE)</f>
        <v>1</v>
      </c>
      <c r="H218">
        <v>10</v>
      </c>
      <c r="I218" t="s">
        <v>27</v>
      </c>
      <c r="J218" t="s">
        <v>28</v>
      </c>
      <c r="K218" s="2">
        <v>3840.9585567701401</v>
      </c>
      <c r="L218" s="2">
        <v>36938638.389140896</v>
      </c>
      <c r="M218" s="3">
        <v>3840.9585567701401</v>
      </c>
      <c r="N218" s="3">
        <v>36938638.389140896</v>
      </c>
      <c r="O218" s="4">
        <v>7.5398200988461603E-2</v>
      </c>
      <c r="P218" s="4">
        <v>6.8575634972083696E-3</v>
      </c>
      <c r="Q218" s="5">
        <v>-3.13510034231844E-2</v>
      </c>
      <c r="R218" s="5">
        <v>6.4137254773525296E-4</v>
      </c>
      <c r="S218" s="6">
        <v>0.28161452818570498</v>
      </c>
      <c r="T218" s="6">
        <v>2.0839948348804399E-2</v>
      </c>
      <c r="U218" s="7">
        <v>0.117871506651542</v>
      </c>
      <c r="V218" s="7">
        <v>0.103977814571201</v>
      </c>
      <c r="W218" s="8">
        <v>0.92385629761398402</v>
      </c>
      <c r="X218" s="8">
        <v>7.0345838973036701E-2</v>
      </c>
      <c r="Y218" s="2">
        <v>98</v>
      </c>
      <c r="Z218" s="2">
        <f>VLOOKUP(E218,YieldData!T:U,2,FALSE)</f>
        <v>1542</v>
      </c>
      <c r="AA218">
        <f t="shared" si="6"/>
        <v>0.76417356330729402</v>
      </c>
    </row>
    <row r="219" spans="1:27" x14ac:dyDescent="0.25">
      <c r="A219">
        <v>177</v>
      </c>
      <c r="B219">
        <v>702</v>
      </c>
      <c r="C219" t="s">
        <v>26</v>
      </c>
      <c r="D219">
        <v>25106</v>
      </c>
      <c r="E219">
        <f t="shared" si="7"/>
        <v>25106702</v>
      </c>
      <c r="F219">
        <f>VLOOKUP(E219,YieldData!D:F,2,FALSE)</f>
        <v>2</v>
      </c>
      <c r="G219">
        <f>VLOOKUP($E219,YieldData!$D:$F,3,FALSE)</f>
        <v>1</v>
      </c>
      <c r="H219">
        <v>10</v>
      </c>
      <c r="I219" t="s">
        <v>27</v>
      </c>
      <c r="J219" t="s">
        <v>28</v>
      </c>
      <c r="K219" s="2">
        <v>3720.99240099192</v>
      </c>
      <c r="L219" s="2">
        <v>37315761.639227599</v>
      </c>
      <c r="M219" s="3">
        <v>3720.99240099192</v>
      </c>
      <c r="N219" s="3">
        <v>37315761.639227599</v>
      </c>
      <c r="O219" s="4">
        <v>6.4948790317359104E-2</v>
      </c>
      <c r="P219" s="4">
        <v>7.61136864344048E-3</v>
      </c>
      <c r="Q219" s="5">
        <v>-3.2745561284950597E-2</v>
      </c>
      <c r="R219" s="5">
        <v>6.71135456768535E-4</v>
      </c>
      <c r="S219" s="6">
        <v>0.27061297469604401</v>
      </c>
      <c r="T219" s="6">
        <v>2.2727529084735201E-2</v>
      </c>
      <c r="U219" s="7">
        <v>0.115347786589408</v>
      </c>
      <c r="V219" s="7">
        <v>0.102042674718299</v>
      </c>
      <c r="W219" s="8">
        <v>0.95709392685711503</v>
      </c>
      <c r="X219" s="8">
        <v>4.10651420302659E-2</v>
      </c>
      <c r="Y219" s="2">
        <v>120</v>
      </c>
      <c r="Z219" s="2">
        <f>VLOOKUP(E219,YieldData!T:U,2,FALSE)</f>
        <v>1239</v>
      </c>
      <c r="AA219">
        <f t="shared" si="6"/>
        <v>0.65016756896107197</v>
      </c>
    </row>
    <row r="220" spans="1:27" x14ac:dyDescent="0.25">
      <c r="A220">
        <v>178</v>
      </c>
      <c r="B220">
        <v>703</v>
      </c>
      <c r="C220" t="s">
        <v>26</v>
      </c>
      <c r="D220">
        <v>25106</v>
      </c>
      <c r="E220">
        <f t="shared" si="7"/>
        <v>25106703</v>
      </c>
      <c r="F220">
        <f>VLOOKUP(E220,YieldData!D:F,2,FALSE)</f>
        <v>3</v>
      </c>
      <c r="G220">
        <f>VLOOKUP($E220,YieldData!$D:$F,3,FALSE)</f>
        <v>1</v>
      </c>
      <c r="H220">
        <v>10</v>
      </c>
      <c r="I220" t="s">
        <v>27</v>
      </c>
      <c r="J220" t="s">
        <v>28</v>
      </c>
      <c r="K220" s="2">
        <v>4188.3013690302496</v>
      </c>
      <c r="L220" s="2">
        <v>36362179.306451097</v>
      </c>
      <c r="M220" s="3">
        <v>4188.3013690302496</v>
      </c>
      <c r="N220" s="3">
        <v>36362179.306451097</v>
      </c>
      <c r="O220" s="4">
        <v>8.1973766777956397E-2</v>
      </c>
      <c r="P220" s="4">
        <v>9.0497419543249403E-3</v>
      </c>
      <c r="Q220" s="5">
        <v>-2.78218608206184E-2</v>
      </c>
      <c r="R220" s="5">
        <v>8.1591104510336397E-4</v>
      </c>
      <c r="S220" s="6">
        <v>0.28588971946216002</v>
      </c>
      <c r="T220" s="6">
        <v>2.5084217861310001E-2</v>
      </c>
      <c r="U220" s="7">
        <v>0.13943196187141299</v>
      </c>
      <c r="V220" s="7">
        <v>0.11999068988009599</v>
      </c>
      <c r="W220" s="8">
        <v>0.931820944878061</v>
      </c>
      <c r="X220" s="8">
        <v>6.3530671564679606E-2</v>
      </c>
      <c r="Y220" s="2">
        <v>149</v>
      </c>
      <c r="Z220" s="2">
        <f>VLOOKUP(E220,YieldData!T:U,2,FALSE)</f>
        <v>975</v>
      </c>
      <c r="AA220">
        <f t="shared" si="6"/>
        <v>0.87971551881344601</v>
      </c>
    </row>
    <row r="221" spans="1:27" x14ac:dyDescent="0.25">
      <c r="A221">
        <v>179</v>
      </c>
      <c r="B221">
        <v>704</v>
      </c>
      <c r="C221" t="s">
        <v>26</v>
      </c>
      <c r="D221">
        <v>25106</v>
      </c>
      <c r="E221">
        <f t="shared" si="7"/>
        <v>25106704</v>
      </c>
      <c r="F221">
        <f>VLOOKUP(E221,YieldData!D:F,2,FALSE)</f>
        <v>4</v>
      </c>
      <c r="G221">
        <f>VLOOKUP($E221,YieldData!$D:$F,3,FALSE)</f>
        <v>1</v>
      </c>
      <c r="H221">
        <v>10</v>
      </c>
      <c r="I221" t="s">
        <v>27</v>
      </c>
      <c r="J221" t="s">
        <v>28</v>
      </c>
      <c r="K221" s="2">
        <v>5235.0317368562</v>
      </c>
      <c r="L221" s="2">
        <v>56322413.95544</v>
      </c>
      <c r="M221" s="3">
        <v>5235.0317368562</v>
      </c>
      <c r="N221" s="3">
        <v>56322413.95544</v>
      </c>
      <c r="O221" s="4">
        <v>7.6299750173677905E-2</v>
      </c>
      <c r="P221" s="4">
        <v>8.3801774277853895E-3</v>
      </c>
      <c r="Q221" s="5">
        <v>-2.9593290459524E-2</v>
      </c>
      <c r="R221" s="5">
        <v>1.0124397339644499E-3</v>
      </c>
      <c r="S221" s="6">
        <v>0.285721780396679</v>
      </c>
      <c r="T221" s="6">
        <v>2.8983178808720599E-2</v>
      </c>
      <c r="U221" s="7">
        <v>0.15111311630267699</v>
      </c>
      <c r="V221" s="7">
        <v>0.128277942384011</v>
      </c>
      <c r="W221" s="8">
        <v>0.93488221279235295</v>
      </c>
      <c r="X221" s="8">
        <v>6.0877460996667403E-2</v>
      </c>
      <c r="Y221" s="2">
        <v>121</v>
      </c>
      <c r="Z221" s="2">
        <f>VLOOKUP(E221,YieldData!T:U,2,FALSE)</f>
        <v>819</v>
      </c>
      <c r="AA221">
        <f t="shared" si="6"/>
        <v>0.63442830960101504</v>
      </c>
    </row>
    <row r="222" spans="1:27" x14ac:dyDescent="0.25">
      <c r="A222">
        <v>180</v>
      </c>
      <c r="B222">
        <v>705</v>
      </c>
      <c r="C222" t="s">
        <v>26</v>
      </c>
      <c r="D222">
        <v>25106</v>
      </c>
      <c r="E222">
        <f t="shared" si="7"/>
        <v>25106705</v>
      </c>
      <c r="F222">
        <f>VLOOKUP(E222,YieldData!D:F,2,FALSE)</f>
        <v>3</v>
      </c>
      <c r="G222">
        <f>VLOOKUP($E222,YieldData!$D:$F,3,FALSE)</f>
        <v>2</v>
      </c>
      <c r="H222">
        <v>10</v>
      </c>
      <c r="I222" t="s">
        <v>27</v>
      </c>
      <c r="J222" t="s">
        <v>28</v>
      </c>
      <c r="K222" s="2">
        <v>3843.9006476621598</v>
      </c>
      <c r="L222" s="2">
        <v>33911566.542676203</v>
      </c>
      <c r="M222" s="3">
        <v>3843.9006476621598</v>
      </c>
      <c r="N222" s="3">
        <v>33911566.542676203</v>
      </c>
      <c r="O222" s="4">
        <v>6.8064242478994993E-2</v>
      </c>
      <c r="P222" s="4">
        <v>7.8613761470256206E-3</v>
      </c>
      <c r="Q222" s="5">
        <v>-2.9374109376340499E-2</v>
      </c>
      <c r="R222" s="5">
        <v>8.8719399531477102E-4</v>
      </c>
      <c r="S222" s="6">
        <v>0.266183399864443</v>
      </c>
      <c r="T222" s="6">
        <v>2.30301292223015E-2</v>
      </c>
      <c r="U222" s="7">
        <v>0.11922762074444999</v>
      </c>
      <c r="V222" s="7">
        <v>0.10501239519613299</v>
      </c>
      <c r="W222" s="8">
        <v>0.949973518224277</v>
      </c>
      <c r="X222" s="8">
        <v>4.7523832896833103E-2</v>
      </c>
      <c r="Y222" s="2">
        <v>101</v>
      </c>
      <c r="Z222" s="2">
        <f>VLOOKUP(E222,YieldData!T:U,2,FALSE)</f>
        <v>1642</v>
      </c>
      <c r="AA222">
        <f t="shared" si="6"/>
        <v>0.883592151197785</v>
      </c>
    </row>
    <row r="223" spans="1:27" x14ac:dyDescent="0.25">
      <c r="A223">
        <v>181</v>
      </c>
      <c r="B223">
        <v>706</v>
      </c>
      <c r="C223" t="s">
        <v>26</v>
      </c>
      <c r="D223">
        <v>25106</v>
      </c>
      <c r="E223">
        <f t="shared" si="7"/>
        <v>25106706</v>
      </c>
      <c r="F223">
        <f>VLOOKUP(E223,YieldData!D:F,2,FALSE)</f>
        <v>2</v>
      </c>
      <c r="G223">
        <f>VLOOKUP($E223,YieldData!$D:$F,3,FALSE)</f>
        <v>2</v>
      </c>
      <c r="H223">
        <v>10</v>
      </c>
      <c r="I223" t="s">
        <v>27</v>
      </c>
      <c r="J223" t="s">
        <v>28</v>
      </c>
      <c r="K223" s="2">
        <v>4036.3207794393402</v>
      </c>
      <c r="L223" s="2">
        <v>58190145.9926548</v>
      </c>
      <c r="M223" s="3">
        <v>4036.3207794393402</v>
      </c>
      <c r="N223" s="3">
        <v>58190145.9926548</v>
      </c>
      <c r="O223" s="4">
        <v>7.4036190432360205E-2</v>
      </c>
      <c r="P223" s="4">
        <v>6.1815566473454398E-3</v>
      </c>
      <c r="Q223" s="5">
        <v>-2.8987335294777899E-2</v>
      </c>
      <c r="R223" s="5">
        <v>8.04180714627044E-4</v>
      </c>
      <c r="S223" s="6">
        <v>0.27772664871040298</v>
      </c>
      <c r="T223" s="6">
        <v>2.2966916283183599E-2</v>
      </c>
      <c r="U223" s="7">
        <v>0.12713372120979</v>
      </c>
      <c r="V223" s="7">
        <v>0.110970738141278</v>
      </c>
      <c r="W223" s="8">
        <v>0.87927490413396003</v>
      </c>
      <c r="X223" s="8">
        <v>0.10615054709405899</v>
      </c>
      <c r="Y223" s="2">
        <v>60</v>
      </c>
      <c r="Z223" s="2">
        <f>VLOOKUP(E223,YieldData!T:U,2,FALSE)</f>
        <v>1263</v>
      </c>
      <c r="AA223">
        <f t="shared" si="6"/>
        <v>0.73635303593109502</v>
      </c>
    </row>
    <row r="224" spans="1:27" x14ac:dyDescent="0.25">
      <c r="A224">
        <v>182</v>
      </c>
      <c r="B224">
        <v>707</v>
      </c>
      <c r="C224" t="s">
        <v>26</v>
      </c>
      <c r="D224">
        <v>25106</v>
      </c>
      <c r="E224">
        <f t="shared" si="7"/>
        <v>25106707</v>
      </c>
      <c r="F224">
        <f>VLOOKUP(E224,YieldData!D:F,2,FALSE)</f>
        <v>1</v>
      </c>
      <c r="G224">
        <f>VLOOKUP($E224,YieldData!$D:$F,3,FALSE)</f>
        <v>2</v>
      </c>
      <c r="H224">
        <v>10</v>
      </c>
      <c r="I224" t="s">
        <v>27</v>
      </c>
      <c r="J224" t="s">
        <v>28</v>
      </c>
      <c r="K224" s="2">
        <v>4038.1467711073901</v>
      </c>
      <c r="L224" s="2">
        <v>64785677.402244397</v>
      </c>
      <c r="M224" s="3">
        <v>4038.1467711073901</v>
      </c>
      <c r="N224" s="3">
        <v>64785677.402244397</v>
      </c>
      <c r="O224" s="4">
        <v>6.84461820003575E-2</v>
      </c>
      <c r="P224" s="4">
        <v>5.8586546444900399E-3</v>
      </c>
      <c r="Q224" s="5">
        <v>-3.1528449636454299E-2</v>
      </c>
      <c r="R224" s="5">
        <v>7.74466895138756E-4</v>
      </c>
      <c r="S224" s="6">
        <v>0.27817631817292099</v>
      </c>
      <c r="T224" s="6">
        <v>2.2782609104491199E-2</v>
      </c>
      <c r="U224" s="7">
        <v>0.13071035637407299</v>
      </c>
      <c r="V224" s="7">
        <v>0.11362515911064699</v>
      </c>
      <c r="W224" s="8">
        <v>0.95488416041719004</v>
      </c>
      <c r="X224" s="8">
        <v>4.3080400601523301E-2</v>
      </c>
      <c r="Y224" s="2">
        <v>115</v>
      </c>
      <c r="Z224" s="2">
        <f>VLOOKUP(E224,YieldData!T:U,2,FALSE)</f>
        <v>2142</v>
      </c>
      <c r="AA224">
        <f t="shared" si="6"/>
        <v>0.77565543967084505</v>
      </c>
    </row>
    <row r="225" spans="1:27" x14ac:dyDescent="0.25">
      <c r="A225">
        <v>183</v>
      </c>
      <c r="B225">
        <v>708</v>
      </c>
      <c r="C225" t="s">
        <v>26</v>
      </c>
      <c r="D225">
        <v>25106</v>
      </c>
      <c r="E225">
        <f t="shared" si="7"/>
        <v>25106708</v>
      </c>
      <c r="F225">
        <f>VLOOKUP(E225,YieldData!D:F,2,FALSE)</f>
        <v>4</v>
      </c>
      <c r="G225">
        <f>VLOOKUP($E225,YieldData!$D:$F,3,FALSE)</f>
        <v>2</v>
      </c>
      <c r="H225">
        <v>10</v>
      </c>
      <c r="I225" t="s">
        <v>27</v>
      </c>
      <c r="J225" t="s">
        <v>28</v>
      </c>
      <c r="K225" s="2">
        <v>3671.18558621493</v>
      </c>
      <c r="L225" s="2">
        <v>65146087.780515499</v>
      </c>
      <c r="M225" s="3">
        <v>3671.18558621493</v>
      </c>
      <c r="N225" s="3">
        <v>65146087.780515499</v>
      </c>
      <c r="O225" s="4">
        <v>7.0773547681592205E-2</v>
      </c>
      <c r="P225" s="4">
        <v>5.1860857416434298E-3</v>
      </c>
      <c r="Q225" s="5">
        <v>-3.2114651680520002E-2</v>
      </c>
      <c r="R225" s="5">
        <v>7.1510722805393997E-4</v>
      </c>
      <c r="S225" s="6">
        <v>0.279260905142107</v>
      </c>
      <c r="T225" s="6">
        <v>2.1000844670345499E-2</v>
      </c>
      <c r="U225" s="7">
        <v>0.12319374911062</v>
      </c>
      <c r="V225" s="7">
        <v>0.108017049290656</v>
      </c>
      <c r="W225" s="8">
        <v>0.96592452683734598</v>
      </c>
      <c r="X225" s="8">
        <v>3.29143352914835E-2</v>
      </c>
      <c r="Y225" s="2">
        <v>106</v>
      </c>
      <c r="Z225" s="2">
        <f>VLOOKUP(E225,YieldData!T:U,2,FALSE)</f>
        <v>1574</v>
      </c>
      <c r="AA225">
        <f t="shared" si="6"/>
        <v>0.61726430715098801</v>
      </c>
    </row>
    <row r="226" spans="1:27" x14ac:dyDescent="0.25">
      <c r="A226">
        <v>184</v>
      </c>
      <c r="B226">
        <v>709</v>
      </c>
      <c r="C226" t="s">
        <v>26</v>
      </c>
      <c r="D226">
        <v>25106</v>
      </c>
      <c r="E226">
        <f t="shared" si="7"/>
        <v>25106709</v>
      </c>
      <c r="F226">
        <f>VLOOKUP(E226,YieldData!D:F,2,FALSE)</f>
        <v>4</v>
      </c>
      <c r="G226">
        <f>VLOOKUP($E226,YieldData!$D:$F,3,FALSE)</f>
        <v>3</v>
      </c>
      <c r="H226">
        <v>10</v>
      </c>
      <c r="I226" t="s">
        <v>27</v>
      </c>
      <c r="J226" t="s">
        <v>28</v>
      </c>
      <c r="K226" s="2">
        <v>1947.1812713029999</v>
      </c>
      <c r="L226" s="2">
        <v>27685833.276893601</v>
      </c>
      <c r="M226" s="3">
        <v>1947.1812713029999</v>
      </c>
      <c r="N226" s="3">
        <v>27685833.276893601</v>
      </c>
      <c r="O226" s="4">
        <v>6.2008758186735798E-2</v>
      </c>
      <c r="P226" s="4">
        <v>3.55450408525588E-3</v>
      </c>
      <c r="Q226" s="5">
        <v>-3.1047452408145701E-2</v>
      </c>
      <c r="R226" s="5">
        <v>9.3362205920334302E-4</v>
      </c>
      <c r="S226" s="6">
        <v>0.244545110399434</v>
      </c>
      <c r="T226" s="6">
        <v>1.08103059095592E-2</v>
      </c>
      <c r="U226" s="7">
        <v>5.5002092925910399E-2</v>
      </c>
      <c r="V226" s="7">
        <v>5.1976862699694801E-2</v>
      </c>
      <c r="W226" s="8">
        <v>0.94437600908927799</v>
      </c>
      <c r="X226" s="8">
        <v>5.2529962546001001E-2</v>
      </c>
      <c r="Y226" s="2">
        <v>102</v>
      </c>
      <c r="Z226" s="2">
        <f>VLOOKUP(E226,YieldData!T:U,2,FALSE)</f>
        <v>1301</v>
      </c>
      <c r="AA226">
        <f t="shared" si="6"/>
        <v>0.44834597077044502</v>
      </c>
    </row>
    <row r="227" spans="1:27" hidden="1" x14ac:dyDescent="0.25">
      <c r="A227">
        <v>167</v>
      </c>
      <c r="B227">
        <v>801</v>
      </c>
      <c r="C227" t="s">
        <v>26</v>
      </c>
      <c r="D227" t="s">
        <v>100</v>
      </c>
      <c r="E227" t="e">
        <f t="shared" si="7"/>
        <v>#VALUE!</v>
      </c>
      <c r="H227">
        <v>10</v>
      </c>
      <c r="I227" t="s">
        <v>27</v>
      </c>
      <c r="J227" t="s">
        <v>28</v>
      </c>
      <c r="K227" s="2">
        <v>3354.63459790461</v>
      </c>
      <c r="L227" s="2">
        <v>13968108.984694</v>
      </c>
      <c r="M227" s="3">
        <v>3354.63459790461</v>
      </c>
      <c r="N227" s="3">
        <v>13968108.984694</v>
      </c>
      <c r="O227" s="4">
        <v>8.3563805940981603E-2</v>
      </c>
      <c r="P227" s="4">
        <v>7.6138673652308801E-3</v>
      </c>
      <c r="Q227" s="5">
        <v>-2.9225602534177001E-2</v>
      </c>
      <c r="R227" s="5">
        <v>6.11248300155158E-4</v>
      </c>
      <c r="S227" s="6">
        <v>0.28470247494755302</v>
      </c>
      <c r="T227" s="6">
        <v>1.6365323200381001E-2</v>
      </c>
      <c r="U227" s="7">
        <v>9.4161125197340101E-2</v>
      </c>
      <c r="V227" s="7">
        <v>8.5294807698845496E-2</v>
      </c>
      <c r="W227" s="8">
        <v>0.88945763319978499</v>
      </c>
      <c r="X227" s="8">
        <v>9.8322751942375705E-2</v>
      </c>
      <c r="Y227" s="2">
        <v>94</v>
      </c>
      <c r="Z227" s="2" t="e">
        <f>VLOOKUP(E227,YieldData!T:U,2,FALSE)</f>
        <v>#VALUE!</v>
      </c>
      <c r="AA227">
        <f t="shared" si="6"/>
        <v>0.913534329143595</v>
      </c>
    </row>
    <row r="228" spans="1:27" hidden="1" x14ac:dyDescent="0.25">
      <c r="A228">
        <v>168</v>
      </c>
      <c r="B228">
        <v>802</v>
      </c>
      <c r="C228" t="s">
        <v>26</v>
      </c>
      <c r="D228" t="s">
        <v>100</v>
      </c>
      <c r="E228" t="e">
        <f t="shared" si="7"/>
        <v>#VALUE!</v>
      </c>
      <c r="H228">
        <v>10</v>
      </c>
      <c r="I228" t="s">
        <v>27</v>
      </c>
      <c r="J228" t="s">
        <v>28</v>
      </c>
      <c r="K228" s="2">
        <v>2657.1946995318199</v>
      </c>
      <c r="L228" s="2">
        <v>5470673.90399634</v>
      </c>
      <c r="M228" s="3">
        <v>2657.1946995318199</v>
      </c>
      <c r="N228" s="3">
        <v>5470673.90399634</v>
      </c>
      <c r="O228" s="4">
        <v>6.1499673256385001E-2</v>
      </c>
      <c r="P228" s="4">
        <v>6.5791580751835598E-3</v>
      </c>
      <c r="Q228" s="5">
        <v>-3.4845117629428199E-2</v>
      </c>
      <c r="R228" s="5">
        <v>5.3402548479822905E-4</v>
      </c>
      <c r="S228" s="6">
        <v>0.25682707138495198</v>
      </c>
      <c r="T228" s="6">
        <v>1.15653423507597E-2</v>
      </c>
      <c r="U228" s="7">
        <v>6.1441621432955798E-2</v>
      </c>
      <c r="V228" s="7">
        <v>5.7666548588627201E-2</v>
      </c>
      <c r="W228" s="8">
        <v>0.94922006643878498</v>
      </c>
      <c r="X228" s="8">
        <v>4.8201331908882303E-2</v>
      </c>
      <c r="Y228" s="2">
        <v>95</v>
      </c>
      <c r="Z228" s="2" t="e">
        <f>VLOOKUP(E228,YieldData!T:U,2,FALSE)</f>
        <v>#VALUE!</v>
      </c>
      <c r="AA228">
        <f t="shared" si="6"/>
        <v>0.913534329143595</v>
      </c>
    </row>
    <row r="229" spans="1:27" x14ac:dyDescent="0.25">
      <c r="A229">
        <v>169</v>
      </c>
      <c r="B229">
        <v>803</v>
      </c>
      <c r="C229" t="s">
        <v>26</v>
      </c>
      <c r="D229">
        <v>25106</v>
      </c>
      <c r="E229">
        <f t="shared" si="7"/>
        <v>25106803</v>
      </c>
      <c r="F229">
        <f>VLOOKUP(E229,YieldData!D:F,2,FALSE)</f>
        <v>1</v>
      </c>
      <c r="G229">
        <f>VLOOKUP($E229,YieldData!$D:$F,3,FALSE)</f>
        <v>4</v>
      </c>
      <c r="H229">
        <v>10</v>
      </c>
      <c r="I229" t="s">
        <v>27</v>
      </c>
      <c r="J229" t="s">
        <v>28</v>
      </c>
      <c r="K229" s="2">
        <v>3868.0895683890599</v>
      </c>
      <c r="L229" s="2">
        <v>36044716.402129099</v>
      </c>
      <c r="M229" s="3">
        <v>3868.0895683890599</v>
      </c>
      <c r="N229" s="3">
        <v>36044716.402129099</v>
      </c>
      <c r="O229" s="4">
        <v>7.2998387783472896E-2</v>
      </c>
      <c r="P229" s="4">
        <v>6.9182919426774899E-3</v>
      </c>
      <c r="Q229" s="5">
        <v>-2.8931944822851299E-2</v>
      </c>
      <c r="R229" s="5">
        <v>8.2716064034227905E-4</v>
      </c>
      <c r="S229" s="6">
        <v>0.28134719121725599</v>
      </c>
      <c r="T229" s="6">
        <v>1.9645797574189699E-2</v>
      </c>
      <c r="U229" s="7">
        <v>0.115294832826748</v>
      </c>
      <c r="V229" s="7">
        <v>0.10200193435030799</v>
      </c>
      <c r="W229" s="8">
        <v>0.86788575875107898</v>
      </c>
      <c r="X229" s="8">
        <v>0.114660068508289</v>
      </c>
      <c r="Y229" s="2">
        <v>71</v>
      </c>
      <c r="Z229" s="2">
        <f>VLOOKUP(E229,YieldData!T:U,2,FALSE)</f>
        <v>1371</v>
      </c>
      <c r="AA229">
        <f t="shared" si="6"/>
        <v>0.87296955549071098</v>
      </c>
    </row>
    <row r="230" spans="1:27" x14ac:dyDescent="0.25">
      <c r="A230">
        <v>170</v>
      </c>
      <c r="B230">
        <v>804</v>
      </c>
      <c r="C230" t="s">
        <v>26</v>
      </c>
      <c r="D230">
        <v>25106</v>
      </c>
      <c r="E230">
        <f t="shared" si="7"/>
        <v>25106804</v>
      </c>
      <c r="F230">
        <f>VLOOKUP(E230,YieldData!D:F,2,FALSE)</f>
        <v>3</v>
      </c>
      <c r="G230">
        <f>VLOOKUP($E230,YieldData!$D:$F,3,FALSE)</f>
        <v>4</v>
      </c>
      <c r="H230">
        <v>10</v>
      </c>
      <c r="I230" t="s">
        <v>27</v>
      </c>
      <c r="J230" t="s">
        <v>28</v>
      </c>
      <c r="K230" s="2">
        <v>4464.7418743070502</v>
      </c>
      <c r="L230" s="2">
        <v>39331353.112895198</v>
      </c>
      <c r="M230" s="3">
        <v>4464.7418743070502</v>
      </c>
      <c r="N230" s="3">
        <v>39331353.112895198</v>
      </c>
      <c r="O230" s="4">
        <v>8.4514657805625601E-2</v>
      </c>
      <c r="P230" s="4">
        <v>9.1881350006768805E-3</v>
      </c>
      <c r="Q230" s="5">
        <v>-2.44709618687192E-2</v>
      </c>
      <c r="R230" s="5">
        <v>1.0740851604846601E-3</v>
      </c>
      <c r="S230" s="6">
        <v>0.29944812503453699</v>
      </c>
      <c r="T230" s="6">
        <v>2.6731796396999699E-2</v>
      </c>
      <c r="U230" s="7">
        <v>0.155788644453522</v>
      </c>
      <c r="V230" s="7">
        <v>0.131518542712843</v>
      </c>
      <c r="W230" s="8">
        <v>0.91299781181619299</v>
      </c>
      <c r="X230" s="8">
        <v>7.9432807435003902E-2</v>
      </c>
      <c r="Y230" s="2">
        <v>78</v>
      </c>
      <c r="Z230" s="2">
        <f>VLOOKUP(E230,YieldData!T:U,2,FALSE)</f>
        <v>646</v>
      </c>
      <c r="AA230">
        <f t="shared" si="6"/>
        <v>0.89469691443577204</v>
      </c>
    </row>
    <row r="231" spans="1:27" x14ac:dyDescent="0.25">
      <c r="A231">
        <v>171</v>
      </c>
      <c r="B231">
        <v>805</v>
      </c>
      <c r="C231" t="s">
        <v>26</v>
      </c>
      <c r="D231">
        <v>25106</v>
      </c>
      <c r="E231">
        <f t="shared" si="7"/>
        <v>25106805</v>
      </c>
      <c r="F231">
        <f>VLOOKUP(E231,YieldData!D:F,2,FALSE)</f>
        <v>2</v>
      </c>
      <c r="G231">
        <f>VLOOKUP($E231,YieldData!$D:$F,3,FALSE)</f>
        <v>4</v>
      </c>
      <c r="H231">
        <v>10</v>
      </c>
      <c r="I231" t="s">
        <v>27</v>
      </c>
      <c r="J231" t="s">
        <v>28</v>
      </c>
      <c r="K231" s="2">
        <v>3750.2560956155698</v>
      </c>
      <c r="L231" s="2">
        <v>39252673.954956397</v>
      </c>
      <c r="M231" s="3">
        <v>3750.2560956155698</v>
      </c>
      <c r="N231" s="3">
        <v>39252673.954956397</v>
      </c>
      <c r="O231" s="4">
        <v>7.9395428285383596E-2</v>
      </c>
      <c r="P231" s="4">
        <v>7.5038040003143998E-3</v>
      </c>
      <c r="Q231" s="5">
        <v>-2.09152131805968E-2</v>
      </c>
      <c r="R231" s="5">
        <v>8.73268675112766E-4</v>
      </c>
      <c r="S231" s="6">
        <v>0.284297072968278</v>
      </c>
      <c r="T231" s="6">
        <v>2.2576320216877901E-2</v>
      </c>
      <c r="U231" s="7">
        <v>0.12089381910102701</v>
      </c>
      <c r="V231" s="7">
        <v>0.106278503604086</v>
      </c>
      <c r="W231" s="8">
        <v>0.89260254475405199</v>
      </c>
      <c r="X231" s="8">
        <v>9.5863241852511799E-2</v>
      </c>
      <c r="Y231" s="2">
        <v>93</v>
      </c>
      <c r="Z231" s="2">
        <f>VLOOKUP(E231,YieldData!T:U,2,FALSE)</f>
        <v>1918</v>
      </c>
      <c r="AA231">
        <f t="shared" si="6"/>
        <v>0.80746058040370605</v>
      </c>
    </row>
    <row r="232" spans="1:27" x14ac:dyDescent="0.25">
      <c r="A232">
        <v>172</v>
      </c>
      <c r="B232">
        <v>806</v>
      </c>
      <c r="C232" t="s">
        <v>26</v>
      </c>
      <c r="D232">
        <v>25106</v>
      </c>
      <c r="E232">
        <f t="shared" si="7"/>
        <v>25106806</v>
      </c>
      <c r="F232">
        <f>VLOOKUP(E232,YieldData!D:F,2,FALSE)</f>
        <v>4</v>
      </c>
      <c r="G232">
        <f>VLOOKUP($E232,YieldData!$D:$F,3,FALSE)</f>
        <v>4</v>
      </c>
      <c r="H232">
        <v>10</v>
      </c>
      <c r="I232" t="s">
        <v>27</v>
      </c>
      <c r="J232" t="s">
        <v>28</v>
      </c>
      <c r="K232" s="2">
        <v>3693.75417864367</v>
      </c>
      <c r="L232" s="2">
        <v>61294953.408937603</v>
      </c>
      <c r="M232" s="3">
        <v>3693.75417864367</v>
      </c>
      <c r="N232" s="3">
        <v>61294953.408937603</v>
      </c>
      <c r="O232" s="4">
        <v>8.2331305236495303E-2</v>
      </c>
      <c r="P232" s="4">
        <v>5.7375381926785401E-3</v>
      </c>
      <c r="Q232" s="5">
        <v>-2.2710916657200798E-2</v>
      </c>
      <c r="R232" s="5">
        <v>7.9588633926872703E-4</v>
      </c>
      <c r="S232" s="6">
        <v>0.28732417125334597</v>
      </c>
      <c r="T232" s="6">
        <v>2.1795454896963402E-2</v>
      </c>
      <c r="U232" s="7">
        <v>0.12433461088044299</v>
      </c>
      <c r="V232" s="7">
        <v>0.10887551541750599</v>
      </c>
      <c r="W232" s="8">
        <v>0.96063348416289596</v>
      </c>
      <c r="X232" s="8">
        <v>3.7816793267916003E-2</v>
      </c>
      <c r="Y232" s="2">
        <v>105</v>
      </c>
      <c r="Z232" s="2">
        <f>VLOOKUP(E232,YieldData!T:U,2,FALSE)</f>
        <v>1642</v>
      </c>
      <c r="AA232">
        <f t="shared" si="6"/>
        <v>0.65630406430491595</v>
      </c>
    </row>
    <row r="233" spans="1:27" x14ac:dyDescent="0.25">
      <c r="A233">
        <v>173</v>
      </c>
      <c r="B233">
        <v>807</v>
      </c>
      <c r="C233" t="s">
        <v>26</v>
      </c>
      <c r="D233">
        <v>25106</v>
      </c>
      <c r="E233">
        <f t="shared" si="7"/>
        <v>25106807</v>
      </c>
      <c r="F233">
        <f>VLOOKUP(E233,YieldData!D:F,2,FALSE)</f>
        <v>2</v>
      </c>
      <c r="G233">
        <f>VLOOKUP($E233,YieldData!$D:$F,3,FALSE)</f>
        <v>3</v>
      </c>
      <c r="H233">
        <v>10</v>
      </c>
      <c r="I233" t="s">
        <v>27</v>
      </c>
      <c r="J233" t="s">
        <v>28</v>
      </c>
      <c r="K233" s="2">
        <v>3993.6109835368402</v>
      </c>
      <c r="L233" s="2">
        <v>62678483.307945602</v>
      </c>
      <c r="M233" s="3">
        <v>3993.6109835368402</v>
      </c>
      <c r="N233" s="3">
        <v>62678483.307945602</v>
      </c>
      <c r="O233" s="4">
        <v>8.3888806267583299E-2</v>
      </c>
      <c r="P233" s="4">
        <v>6.9209199879919601E-3</v>
      </c>
      <c r="Q233" s="5">
        <v>-2.8549625068716999E-2</v>
      </c>
      <c r="R233" s="5">
        <v>8.4967126462075205E-4</v>
      </c>
      <c r="S233" s="6">
        <v>0.29659379796895502</v>
      </c>
      <c r="T233" s="6">
        <v>2.4210218720387099E-2</v>
      </c>
      <c r="U233" s="7">
        <v>0.144620618431444</v>
      </c>
      <c r="V233" s="7">
        <v>0.12370549515607</v>
      </c>
      <c r="W233" s="8">
        <v>0.97125326529372502</v>
      </c>
      <c r="X233" s="8">
        <v>2.79203599500642E-2</v>
      </c>
      <c r="Y233" s="2">
        <v>128</v>
      </c>
      <c r="Z233" s="2">
        <f>VLOOKUP(E233,YieldData!T:U,2,FALSE)</f>
        <v>1837</v>
      </c>
      <c r="AA233">
        <f t="shared" si="6"/>
        <v>0.88711774211185002</v>
      </c>
    </row>
    <row r="234" spans="1:27" x14ac:dyDescent="0.25">
      <c r="A234">
        <v>174</v>
      </c>
      <c r="B234">
        <v>808</v>
      </c>
      <c r="C234" t="s">
        <v>26</v>
      </c>
      <c r="D234">
        <v>25106</v>
      </c>
      <c r="E234">
        <f t="shared" si="7"/>
        <v>25106808</v>
      </c>
      <c r="F234">
        <f>VLOOKUP(E234,YieldData!D:F,2,FALSE)</f>
        <v>3</v>
      </c>
      <c r="G234">
        <f>VLOOKUP($E234,YieldData!$D:$F,3,FALSE)</f>
        <v>3</v>
      </c>
      <c r="H234">
        <v>10</v>
      </c>
      <c r="I234" t="s">
        <v>27</v>
      </c>
      <c r="J234" t="s">
        <v>28</v>
      </c>
      <c r="K234" s="2">
        <v>3373.3972960608698</v>
      </c>
      <c r="L234" s="2">
        <v>48952723.841590501</v>
      </c>
      <c r="M234" s="3">
        <v>3373.3972960608698</v>
      </c>
      <c r="N234" s="3">
        <v>48952723.841590501</v>
      </c>
      <c r="O234" s="4">
        <v>7.8327880811426706E-2</v>
      </c>
      <c r="P234" s="4">
        <v>5.9330421796849001E-3</v>
      </c>
      <c r="Q234" s="5">
        <v>-3.1721948233934802E-2</v>
      </c>
      <c r="R234" s="5">
        <v>6.3711064805553499E-4</v>
      </c>
      <c r="S234" s="6">
        <v>0.28375594377920299</v>
      </c>
      <c r="T234" s="6">
        <v>1.9942499670362102E-2</v>
      </c>
      <c r="U234" s="7">
        <v>0.11622363478763401</v>
      </c>
      <c r="V234" s="7">
        <v>0.102715701504301</v>
      </c>
      <c r="W234" s="8">
        <v>0.97405646180701899</v>
      </c>
      <c r="X234" s="8">
        <v>2.5270471018964999E-2</v>
      </c>
      <c r="Y234" s="2">
        <v>136</v>
      </c>
      <c r="Z234" s="2">
        <f>VLOOKUP(E234,YieldData!T:U,2,FALSE)</f>
        <v>963</v>
      </c>
      <c r="AA234">
        <f t="shared" si="6"/>
        <v>0.87328453796889305</v>
      </c>
    </row>
    <row r="235" spans="1:27" x14ac:dyDescent="0.25">
      <c r="A235">
        <v>175</v>
      </c>
      <c r="B235">
        <v>809</v>
      </c>
      <c r="C235" t="s">
        <v>26</v>
      </c>
      <c r="D235">
        <v>25106</v>
      </c>
      <c r="E235">
        <f t="shared" si="7"/>
        <v>25106809</v>
      </c>
      <c r="F235">
        <f>VLOOKUP(E235,YieldData!D:F,2,FALSE)</f>
        <v>1</v>
      </c>
      <c r="G235">
        <f>VLOOKUP($E235,YieldData!$D:$F,3,FALSE)</f>
        <v>3</v>
      </c>
      <c r="H235">
        <v>10</v>
      </c>
      <c r="I235" t="s">
        <v>27</v>
      </c>
      <c r="J235" t="s">
        <v>28</v>
      </c>
      <c r="K235" s="2">
        <v>2647.9833163906001</v>
      </c>
      <c r="L235" s="2">
        <v>40421430.861180998</v>
      </c>
      <c r="M235" s="3">
        <v>2647.9833163906001</v>
      </c>
      <c r="N235" s="3">
        <v>40421430.861180998</v>
      </c>
      <c r="O235" s="4">
        <v>7.5741601228806896E-2</v>
      </c>
      <c r="P235" s="4">
        <v>4.7782881342615701E-3</v>
      </c>
      <c r="Q235" s="5">
        <v>-3.0390978015968999E-2</v>
      </c>
      <c r="R235" s="5">
        <v>9.9150393708384208E-4</v>
      </c>
      <c r="S235" s="6">
        <v>0.26941717580744501</v>
      </c>
      <c r="T235" s="6">
        <v>1.54653407312454E-2</v>
      </c>
      <c r="U235" s="7">
        <v>8.3752915146803802E-2</v>
      </c>
      <c r="V235" s="7">
        <v>7.6738364351104801E-2</v>
      </c>
      <c r="W235" s="8">
        <v>0.94253217241544296</v>
      </c>
      <c r="X235" s="8">
        <v>5.4165276377072399E-2</v>
      </c>
      <c r="Y235" s="2">
        <v>111</v>
      </c>
      <c r="Z235" s="2">
        <f>VLOOKUP(E235,YieldData!T:U,2,FALSE)</f>
        <v>1538</v>
      </c>
      <c r="AA235">
        <f t="shared" si="6"/>
        <v>0.67314914483913402</v>
      </c>
    </row>
    <row r="236" spans="1:27" hidden="1" x14ac:dyDescent="0.25">
      <c r="A236">
        <v>1</v>
      </c>
      <c r="B236">
        <v>101</v>
      </c>
      <c r="C236" t="s">
        <v>20</v>
      </c>
      <c r="D236">
        <v>25111</v>
      </c>
      <c r="E236">
        <f t="shared" si="7"/>
        <v>25111101</v>
      </c>
      <c r="F236">
        <f>VLOOKUP(E236,YieldData!D:F,2,FALSE)</f>
        <v>1</v>
      </c>
      <c r="G236">
        <f>VLOOKUP($E236,YieldData!$D:$F,3,FALSE)</f>
        <v>1</v>
      </c>
      <c r="H236">
        <v>16</v>
      </c>
      <c r="I236" t="s">
        <v>21</v>
      </c>
      <c r="J236" t="s">
        <v>22</v>
      </c>
      <c r="K236" s="2">
        <v>3973.4536450000001</v>
      </c>
      <c r="L236" s="2">
        <v>31517480.199999999</v>
      </c>
      <c r="M236" s="3">
        <v>15158.06133</v>
      </c>
      <c r="N236" s="3">
        <v>51530410.5</v>
      </c>
      <c r="O236" s="4">
        <v>8.0697937999999997E-2</v>
      </c>
      <c r="P236" s="4">
        <v>2.0720947E-2</v>
      </c>
      <c r="Q236" s="5">
        <v>-3.4021859000000002E-2</v>
      </c>
      <c r="R236" s="5">
        <v>1.5578969999999999E-3</v>
      </c>
      <c r="S236" s="6">
        <v>0.28850772699999999</v>
      </c>
      <c r="T236" s="6">
        <v>4.3256571000000001E-2</v>
      </c>
      <c r="U236" s="7">
        <v>0.17821561799999999</v>
      </c>
      <c r="V236" s="7">
        <v>0.14645481099999999</v>
      </c>
      <c r="W236" s="8">
        <v>0.47725098100000002</v>
      </c>
      <c r="X236" s="8">
        <v>0.24948248200000001</v>
      </c>
      <c r="Y236" s="2">
        <v>10</v>
      </c>
      <c r="Z236" s="2">
        <f>VLOOKUP(E236,YieldData!T:U,2,FALSE)</f>
        <v>2712.5032092426181</v>
      </c>
      <c r="AA236">
        <f t="shared" si="6"/>
        <v>0.63921348180219795</v>
      </c>
    </row>
    <row r="237" spans="1:27" hidden="1" x14ac:dyDescent="0.25">
      <c r="A237">
        <v>2</v>
      </c>
      <c r="B237">
        <v>102</v>
      </c>
      <c r="C237" t="s">
        <v>20</v>
      </c>
      <c r="D237">
        <v>25111</v>
      </c>
      <c r="E237">
        <f t="shared" si="7"/>
        <v>25111102</v>
      </c>
      <c r="F237">
        <f>VLOOKUP(E237,YieldData!D:F,2,FALSE)</f>
        <v>2</v>
      </c>
      <c r="G237">
        <f>VLOOKUP($E237,YieldData!$D:$F,3,FALSE)</f>
        <v>1</v>
      </c>
      <c r="H237">
        <v>16</v>
      </c>
      <c r="I237" t="s">
        <v>21</v>
      </c>
      <c r="J237" t="s">
        <v>22</v>
      </c>
      <c r="K237" s="2">
        <v>5194.7756399999998</v>
      </c>
      <c r="L237" s="2">
        <v>55726103.840000004</v>
      </c>
      <c r="M237" s="3">
        <v>14124.59554</v>
      </c>
      <c r="N237" s="3">
        <v>52347949.659999996</v>
      </c>
      <c r="O237" s="4">
        <v>8.7687511999999995E-2</v>
      </c>
      <c r="P237" s="4">
        <v>1.7659488000000001E-2</v>
      </c>
      <c r="Q237" s="5">
        <v>-3.4140259999999999E-2</v>
      </c>
      <c r="R237" s="5">
        <v>1.552583E-3</v>
      </c>
      <c r="S237" s="6">
        <v>0.30060167799999998</v>
      </c>
      <c r="T237" s="6">
        <v>4.4597696999999999E-2</v>
      </c>
      <c r="U237" s="7">
        <v>0.19635999300000001</v>
      </c>
      <c r="V237" s="7">
        <v>0.15780274599999999</v>
      </c>
      <c r="W237" s="8">
        <v>0.61160078900000003</v>
      </c>
      <c r="X237" s="8">
        <v>0.23754526400000001</v>
      </c>
      <c r="Y237" s="2">
        <v>19</v>
      </c>
      <c r="Z237" s="2">
        <f>VLOOKUP(E237,YieldData!T:U,2,FALSE)</f>
        <v>2630.8777278562261</v>
      </c>
      <c r="AA237">
        <f t="shared" si="6"/>
        <v>0.50606430314339002</v>
      </c>
    </row>
    <row r="238" spans="1:27" hidden="1" x14ac:dyDescent="0.25">
      <c r="A238">
        <v>3</v>
      </c>
      <c r="B238">
        <v>103</v>
      </c>
      <c r="C238" t="s">
        <v>20</v>
      </c>
      <c r="D238">
        <v>25111</v>
      </c>
      <c r="E238">
        <f t="shared" si="7"/>
        <v>25111103</v>
      </c>
      <c r="F238">
        <f>VLOOKUP(E238,YieldData!D:F,2,FALSE)</f>
        <v>3</v>
      </c>
      <c r="G238">
        <f>VLOOKUP($E238,YieldData!$D:$F,3,FALSE)</f>
        <v>1</v>
      </c>
      <c r="H238">
        <v>16</v>
      </c>
      <c r="I238" t="s">
        <v>21</v>
      </c>
      <c r="J238" t="s">
        <v>22</v>
      </c>
      <c r="K238" s="2">
        <v>4781.1615700000002</v>
      </c>
      <c r="L238" s="2">
        <v>57153275.189999998</v>
      </c>
      <c r="M238" s="3">
        <v>14509.17799</v>
      </c>
      <c r="N238" s="3">
        <v>48521901.859999999</v>
      </c>
      <c r="O238" s="4">
        <v>8.6392257E-2</v>
      </c>
      <c r="P238" s="4">
        <v>1.6102273E-2</v>
      </c>
      <c r="Q238" s="5">
        <v>-3.0812049000000001E-2</v>
      </c>
      <c r="R238" s="5">
        <v>1.2896660000000001E-3</v>
      </c>
      <c r="S238" s="6">
        <v>0.29965418199999999</v>
      </c>
      <c r="T238" s="6">
        <v>3.8945836999999997E-2</v>
      </c>
      <c r="U238" s="7">
        <v>0.180975673</v>
      </c>
      <c r="V238" s="7">
        <v>0.14822347799999999</v>
      </c>
      <c r="W238" s="8">
        <v>0.77498201700000002</v>
      </c>
      <c r="X238" s="8">
        <v>0.17438488999999999</v>
      </c>
      <c r="Y238" s="2">
        <v>17</v>
      </c>
      <c r="Z238" s="2">
        <f>VLOOKUP(E238,YieldData!T:U,2,FALSE)</f>
        <v>2507.2143774069318</v>
      </c>
      <c r="AA238">
        <f t="shared" si="6"/>
        <v>0.65522869037246001</v>
      </c>
    </row>
    <row r="239" spans="1:27" hidden="1" x14ac:dyDescent="0.25">
      <c r="A239">
        <v>4</v>
      </c>
      <c r="B239">
        <v>104</v>
      </c>
      <c r="C239" t="s">
        <v>20</v>
      </c>
      <c r="D239">
        <v>25111</v>
      </c>
      <c r="E239">
        <f t="shared" si="7"/>
        <v>25111104</v>
      </c>
      <c r="F239">
        <f>VLOOKUP(E239,YieldData!D:F,2,FALSE)</f>
        <v>4</v>
      </c>
      <c r="G239">
        <f>VLOOKUP($E239,YieldData!$D:$F,3,FALSE)</f>
        <v>1</v>
      </c>
      <c r="H239">
        <v>16</v>
      </c>
      <c r="I239" t="s">
        <v>21</v>
      </c>
      <c r="J239" t="s">
        <v>22</v>
      </c>
      <c r="K239" s="2">
        <v>6005.9341839999997</v>
      </c>
      <c r="L239" s="2">
        <v>67626000.129999995</v>
      </c>
      <c r="M239" s="3">
        <v>13469.20946</v>
      </c>
      <c r="N239" s="3">
        <v>57597314.07</v>
      </c>
      <c r="O239" s="4">
        <v>9.8846367000000004E-2</v>
      </c>
      <c r="P239" s="4">
        <v>2.1083472999999998E-2</v>
      </c>
      <c r="Q239" s="5">
        <v>-2.7137765000000001E-2</v>
      </c>
      <c r="R239" s="5">
        <v>1.6518450000000001E-3</v>
      </c>
      <c r="S239" s="6">
        <v>0.32370158500000001</v>
      </c>
      <c r="T239" s="6">
        <v>4.9508986999999997E-2</v>
      </c>
      <c r="U239" s="7">
        <v>0.22154848099999999</v>
      </c>
      <c r="V239" s="7">
        <v>0.172464752</v>
      </c>
      <c r="W239" s="8">
        <v>0.60906392499999995</v>
      </c>
      <c r="X239" s="8">
        <v>0.23810506000000001</v>
      </c>
      <c r="Y239" s="2">
        <v>17</v>
      </c>
      <c r="Z239" s="2">
        <f>VLOOKUP(E239,YieldData!T:U,2,FALSE)</f>
        <v>1929.165596919127</v>
      </c>
      <c r="AA239">
        <f t="shared" si="6"/>
        <v>0.87333663091604397</v>
      </c>
    </row>
    <row r="240" spans="1:27" hidden="1" x14ac:dyDescent="0.25">
      <c r="A240">
        <v>5</v>
      </c>
      <c r="B240">
        <v>105</v>
      </c>
      <c r="C240" t="s">
        <v>20</v>
      </c>
      <c r="D240">
        <v>25111</v>
      </c>
      <c r="E240">
        <f t="shared" si="7"/>
        <v>25111105</v>
      </c>
      <c r="F240">
        <f>VLOOKUP(E240,YieldData!D:F,2,FALSE)</f>
        <v>5</v>
      </c>
      <c r="G240">
        <f>VLOOKUP($E240,YieldData!$D:$F,3,FALSE)</f>
        <v>1</v>
      </c>
      <c r="H240">
        <v>16</v>
      </c>
      <c r="I240" t="s">
        <v>21</v>
      </c>
      <c r="J240" t="s">
        <v>22</v>
      </c>
      <c r="K240" s="2">
        <v>7195.9773029999997</v>
      </c>
      <c r="L240" s="2">
        <v>77778040.430000007</v>
      </c>
      <c r="M240" s="3">
        <v>12543.35144</v>
      </c>
      <c r="N240" s="3">
        <v>64671707.07</v>
      </c>
      <c r="O240" s="4">
        <v>0.12237219100000001</v>
      </c>
      <c r="P240" s="4">
        <v>2.1643979000000001E-2</v>
      </c>
      <c r="Q240" s="5">
        <v>-2.2402256999999998E-2</v>
      </c>
      <c r="R240" s="5">
        <v>1.799943E-3</v>
      </c>
      <c r="S240" s="6">
        <v>0.35623285999999998</v>
      </c>
      <c r="T240" s="6">
        <v>5.3162111999999997E-2</v>
      </c>
      <c r="U240" s="7">
        <v>0.26098985600000002</v>
      </c>
      <c r="V240" s="7">
        <v>0.19287415099999999</v>
      </c>
      <c r="W240" s="8">
        <v>0.47889035699999999</v>
      </c>
      <c r="X240" s="8">
        <v>0.24955438299999999</v>
      </c>
      <c r="Y240" s="2">
        <v>12</v>
      </c>
      <c r="Z240" s="2">
        <f>VLOOKUP(E240,YieldData!T:U,2,FALSE)</f>
        <v>2572.6668806161747</v>
      </c>
      <c r="AA240">
        <f t="shared" si="6"/>
        <v>0.89342757117379001</v>
      </c>
    </row>
    <row r="241" spans="1:27" hidden="1" x14ac:dyDescent="0.25">
      <c r="A241">
        <v>6</v>
      </c>
      <c r="B241">
        <v>106</v>
      </c>
      <c r="C241" t="s">
        <v>20</v>
      </c>
      <c r="D241">
        <v>25111</v>
      </c>
      <c r="E241">
        <f t="shared" si="7"/>
        <v>25111106</v>
      </c>
      <c r="F241">
        <f>VLOOKUP(E241,YieldData!D:F,2,FALSE)</f>
        <v>6</v>
      </c>
      <c r="G241">
        <f>VLOOKUP($E241,YieldData!$D:$F,3,FALSE)</f>
        <v>1</v>
      </c>
      <c r="H241">
        <v>16</v>
      </c>
      <c r="I241" t="s">
        <v>21</v>
      </c>
      <c r="J241" t="s">
        <v>22</v>
      </c>
      <c r="K241" s="2">
        <v>4989.9606739999999</v>
      </c>
      <c r="L241" s="2">
        <v>50263332.359999999</v>
      </c>
      <c r="M241" s="3">
        <v>14845.15992</v>
      </c>
      <c r="N241" s="3">
        <v>39460211</v>
      </c>
      <c r="O241" s="4">
        <v>8.3096311000000006E-2</v>
      </c>
      <c r="P241" s="4">
        <v>1.2090263E-2</v>
      </c>
      <c r="Q241" s="5">
        <v>-2.4722658000000002E-2</v>
      </c>
      <c r="R241" s="5">
        <v>1.4599089999999999E-3</v>
      </c>
      <c r="S241" s="6">
        <v>0.28888467699999998</v>
      </c>
      <c r="T241" s="6">
        <v>3.1831090999999999E-2</v>
      </c>
      <c r="U241" s="7">
        <v>0.15189718499999999</v>
      </c>
      <c r="V241" s="7">
        <v>0.12882442999999999</v>
      </c>
      <c r="W241" s="8">
        <v>0.87010084300000001</v>
      </c>
      <c r="X241" s="8">
        <v>0.113025366</v>
      </c>
      <c r="Y241" s="2">
        <v>27</v>
      </c>
      <c r="Z241" s="2">
        <f>VLOOKUP(E241,YieldData!T:U,2,FALSE)</f>
        <v>1598.7419768934531</v>
      </c>
      <c r="AA241">
        <f t="shared" si="6"/>
        <v>0.86296398564159205</v>
      </c>
    </row>
    <row r="242" spans="1:27" hidden="1" x14ac:dyDescent="0.25">
      <c r="A242">
        <v>7</v>
      </c>
      <c r="B242">
        <v>107</v>
      </c>
      <c r="C242" t="s">
        <v>20</v>
      </c>
      <c r="D242">
        <v>25111</v>
      </c>
      <c r="E242">
        <f t="shared" si="7"/>
        <v>25111107</v>
      </c>
      <c r="F242">
        <f>VLOOKUP(E242,YieldData!D:F,2,FALSE)</f>
        <v>7</v>
      </c>
      <c r="G242">
        <f>VLOOKUP($E242,YieldData!$D:$F,3,FALSE)</f>
        <v>1</v>
      </c>
      <c r="H242">
        <v>16</v>
      </c>
      <c r="I242" t="s">
        <v>21</v>
      </c>
      <c r="J242" t="s">
        <v>22</v>
      </c>
      <c r="K242" s="2">
        <v>5356.6983330000003</v>
      </c>
      <c r="L242" s="2">
        <v>56756326.770000003</v>
      </c>
      <c r="M242" s="3">
        <v>14485.063249999999</v>
      </c>
      <c r="N242" s="3">
        <v>44346315.18</v>
      </c>
      <c r="O242" s="4">
        <v>0.103006424</v>
      </c>
      <c r="P242" s="4">
        <v>1.2912997000000001E-2</v>
      </c>
      <c r="Q242" s="5">
        <v>-1.9883959E-2</v>
      </c>
      <c r="R242" s="5">
        <v>1.3325539999999999E-3</v>
      </c>
      <c r="S242" s="6">
        <v>0.31288251500000003</v>
      </c>
      <c r="T242" s="6">
        <v>3.5284576999999998E-2</v>
      </c>
      <c r="U242" s="7">
        <v>0.173885963</v>
      </c>
      <c r="V242" s="7">
        <v>0.143649635</v>
      </c>
      <c r="W242" s="8">
        <v>0.73421033400000002</v>
      </c>
      <c r="X242" s="8">
        <v>0.19514551899999999</v>
      </c>
      <c r="Y242" s="2">
        <v>19</v>
      </c>
      <c r="Z242" s="2">
        <f>VLOOKUP(E242,YieldData!T:U,2,FALSE)</f>
        <v>1100.0449293966624</v>
      </c>
      <c r="AA242">
        <f t="shared" si="6"/>
        <v>0.90252597766042897</v>
      </c>
    </row>
    <row r="243" spans="1:27" hidden="1" x14ac:dyDescent="0.25">
      <c r="A243">
        <v>8</v>
      </c>
      <c r="B243">
        <v>108</v>
      </c>
      <c r="C243" t="s">
        <v>20</v>
      </c>
      <c r="D243">
        <v>25111</v>
      </c>
      <c r="E243">
        <f t="shared" si="7"/>
        <v>25111108</v>
      </c>
      <c r="F243">
        <f>VLOOKUP(E243,YieldData!D:F,2,FALSE)</f>
        <v>8</v>
      </c>
      <c r="G243">
        <f>VLOOKUP($E243,YieldData!$D:$F,3,FALSE)</f>
        <v>1</v>
      </c>
      <c r="H243">
        <v>16</v>
      </c>
      <c r="I243" t="s">
        <v>21</v>
      </c>
      <c r="J243" t="s">
        <v>22</v>
      </c>
      <c r="K243" s="2">
        <v>6630.9142920000004</v>
      </c>
      <c r="L243" s="2">
        <v>75775518.590000004</v>
      </c>
      <c r="M243" s="3">
        <v>13594.95306</v>
      </c>
      <c r="N243" s="3">
        <v>54521050.210000001</v>
      </c>
      <c r="O243" s="4">
        <v>0.127683249</v>
      </c>
      <c r="P243" s="4">
        <v>1.6080316000000001E-2</v>
      </c>
      <c r="Q243" s="5">
        <v>-1.5621806E-2</v>
      </c>
      <c r="R243" s="5">
        <v>1.435242E-3</v>
      </c>
      <c r="S243" s="6">
        <v>0.346504433</v>
      </c>
      <c r="T243" s="6">
        <v>4.3976121E-2</v>
      </c>
      <c r="U243" s="7">
        <v>0.22483165499999999</v>
      </c>
      <c r="V243" s="7">
        <v>0.17428238200000001</v>
      </c>
      <c r="W243" s="8">
        <v>0.64685619999999999</v>
      </c>
      <c r="X243" s="8">
        <v>0.228433257</v>
      </c>
      <c r="Y243" s="2">
        <v>18</v>
      </c>
      <c r="Z243" s="2">
        <f>VLOOKUP(E243,YieldData!T:U,2,FALSE)</f>
        <v>1751.4040436456994</v>
      </c>
      <c r="AA243">
        <f t="shared" si="6"/>
        <v>0.80795082163274101</v>
      </c>
    </row>
    <row r="244" spans="1:27" hidden="1" x14ac:dyDescent="0.25">
      <c r="A244">
        <v>9</v>
      </c>
      <c r="B244">
        <v>109</v>
      </c>
      <c r="C244" t="s">
        <v>20</v>
      </c>
      <c r="D244">
        <v>25111</v>
      </c>
      <c r="E244">
        <f t="shared" si="7"/>
        <v>25111109</v>
      </c>
      <c r="F244">
        <f>VLOOKUP(E244,YieldData!D:F,2,FALSE)</f>
        <v>9</v>
      </c>
      <c r="G244">
        <f>VLOOKUP($E244,YieldData!$D:$F,3,FALSE)</f>
        <v>1</v>
      </c>
      <c r="H244">
        <v>16</v>
      </c>
      <c r="I244" t="s">
        <v>21</v>
      </c>
      <c r="J244" t="s">
        <v>22</v>
      </c>
      <c r="K244" s="2">
        <v>5071.6634089999998</v>
      </c>
      <c r="L244" s="2">
        <v>45730767.369999997</v>
      </c>
      <c r="M244" s="3">
        <v>14922.8328</v>
      </c>
      <c r="N244" s="3">
        <v>40702958.420000002</v>
      </c>
      <c r="O244" s="4">
        <v>0.100576421</v>
      </c>
      <c r="P244" s="4">
        <v>1.2553454E-2</v>
      </c>
      <c r="Q244" s="5">
        <v>-1.9225875999999999E-2</v>
      </c>
      <c r="R244" s="5">
        <v>1.303942E-3</v>
      </c>
      <c r="S244" s="6">
        <v>0.29967027000000002</v>
      </c>
      <c r="T244" s="6">
        <v>3.1199672000000001E-2</v>
      </c>
      <c r="U244" s="7">
        <v>0.140153624</v>
      </c>
      <c r="V244" s="7">
        <v>0.120510585</v>
      </c>
      <c r="W244" s="8">
        <v>0.84582541</v>
      </c>
      <c r="X244" s="8">
        <v>0.13040478599999999</v>
      </c>
      <c r="Y244" s="2">
        <v>27</v>
      </c>
      <c r="Z244" s="2">
        <f>VLOOKUP(E244,YieldData!T:U,2,FALSE)</f>
        <v>2836.1071887034655</v>
      </c>
      <c r="AA244">
        <f t="shared" si="6"/>
        <v>0.78055665195498003</v>
      </c>
    </row>
    <row r="245" spans="1:27" hidden="1" x14ac:dyDescent="0.25">
      <c r="A245">
        <v>10</v>
      </c>
      <c r="B245">
        <v>110</v>
      </c>
      <c r="C245" t="s">
        <v>20</v>
      </c>
      <c r="D245">
        <v>25111</v>
      </c>
      <c r="E245">
        <f t="shared" si="7"/>
        <v>25111110</v>
      </c>
      <c r="F245">
        <f>VLOOKUP(E245,YieldData!D:F,2,FALSE)</f>
        <v>10</v>
      </c>
      <c r="G245">
        <f>VLOOKUP($E245,YieldData!$D:$F,3,FALSE)</f>
        <v>1</v>
      </c>
      <c r="H245">
        <v>16</v>
      </c>
      <c r="I245" t="s">
        <v>21</v>
      </c>
      <c r="J245" t="s">
        <v>22</v>
      </c>
      <c r="K245" s="2">
        <v>7166.969658</v>
      </c>
      <c r="L245" s="2">
        <v>100512514.09999999</v>
      </c>
      <c r="M245" s="3">
        <v>13413.6728</v>
      </c>
      <c r="N245" s="3">
        <v>60958784.729999997</v>
      </c>
      <c r="O245" s="4">
        <v>0.12759954900000001</v>
      </c>
      <c r="P245" s="4">
        <v>1.4278594E-2</v>
      </c>
      <c r="Q245" s="5">
        <v>-1.405992E-2</v>
      </c>
      <c r="R245" s="5">
        <v>1.6421350000000001E-3</v>
      </c>
      <c r="S245" s="6">
        <v>0.35262481899999998</v>
      </c>
      <c r="T245" s="6">
        <v>4.2668996000000001E-2</v>
      </c>
      <c r="U245" s="7">
        <v>0.224652198</v>
      </c>
      <c r="V245" s="7">
        <v>0.174183588</v>
      </c>
      <c r="W245" s="8">
        <v>0.55090472000000001</v>
      </c>
      <c r="X245" s="8">
        <v>0.247408709</v>
      </c>
      <c r="Y245" s="2">
        <v>14</v>
      </c>
      <c r="Z245" s="2">
        <f>VLOOKUP(E245,YieldData!T:U,2,FALSE)</f>
        <v>1890.8279845956356</v>
      </c>
      <c r="AA245">
        <f t="shared" si="6"/>
        <v>0.82046498277841595</v>
      </c>
    </row>
    <row r="246" spans="1:27" hidden="1" x14ac:dyDescent="0.25">
      <c r="A246">
        <v>11</v>
      </c>
      <c r="B246">
        <v>201</v>
      </c>
      <c r="C246" t="s">
        <v>20</v>
      </c>
      <c r="D246">
        <v>25111</v>
      </c>
      <c r="E246">
        <f t="shared" si="7"/>
        <v>25111201</v>
      </c>
      <c r="F246">
        <f>VLOOKUP(E246,YieldData!D:F,2,FALSE)</f>
        <v>14</v>
      </c>
      <c r="G246">
        <f>VLOOKUP($E246,YieldData!$D:$F,3,FALSE)</f>
        <v>2</v>
      </c>
      <c r="H246">
        <v>16</v>
      </c>
      <c r="I246" t="s">
        <v>21</v>
      </c>
      <c r="J246" t="s">
        <v>22</v>
      </c>
      <c r="K246" s="2">
        <v>3812.0436709999999</v>
      </c>
      <c r="L246" s="2">
        <v>27750146.800000001</v>
      </c>
      <c r="M246" s="3">
        <v>15418.975189999999</v>
      </c>
      <c r="N246" s="3">
        <v>41061830.359999999</v>
      </c>
      <c r="O246" s="4">
        <v>4.0059206999999999E-2</v>
      </c>
      <c r="P246" s="4">
        <v>1.9612766E-2</v>
      </c>
      <c r="Q246" s="5">
        <v>-4.2160125E-2</v>
      </c>
      <c r="R246" s="5">
        <v>1.290504E-3</v>
      </c>
      <c r="S246" s="6">
        <v>0.242848805</v>
      </c>
      <c r="T246" s="6">
        <v>4.0001233999999997E-2</v>
      </c>
      <c r="U246" s="7">
        <v>0.150068058</v>
      </c>
      <c r="V246" s="7">
        <v>0.12754763599999999</v>
      </c>
      <c r="W246" s="8">
        <v>0.77261646500000003</v>
      </c>
      <c r="X246" s="8">
        <v>0.175680263</v>
      </c>
      <c r="Y246" s="2">
        <v>23</v>
      </c>
      <c r="Z246" s="2">
        <f>VLOOKUP(E246,YieldData!T:U,2,FALSE)</f>
        <v>2873.0102695763803</v>
      </c>
      <c r="AA246">
        <f t="shared" si="6"/>
        <v>0.73810771612085502</v>
      </c>
    </row>
    <row r="247" spans="1:27" hidden="1" x14ac:dyDescent="0.25">
      <c r="A247">
        <v>12</v>
      </c>
      <c r="B247">
        <v>202</v>
      </c>
      <c r="C247" t="s">
        <v>20</v>
      </c>
      <c r="D247">
        <v>25111</v>
      </c>
      <c r="E247">
        <f t="shared" si="7"/>
        <v>25111202</v>
      </c>
      <c r="F247">
        <f>VLOOKUP(E247,YieldData!D:F,2,FALSE)</f>
        <v>5</v>
      </c>
      <c r="G247">
        <f>VLOOKUP($E247,YieldData!$D:$F,3,FALSE)</f>
        <v>2</v>
      </c>
      <c r="H247">
        <v>16</v>
      </c>
      <c r="I247" t="s">
        <v>21</v>
      </c>
      <c r="J247" t="s">
        <v>22</v>
      </c>
      <c r="K247" s="2">
        <v>3211.3717179999999</v>
      </c>
      <c r="L247" s="2">
        <v>27096507.530000001</v>
      </c>
      <c r="M247" s="3">
        <v>15039.56055</v>
      </c>
      <c r="N247" s="3">
        <v>33994391.060000002</v>
      </c>
      <c r="O247" s="4">
        <v>3.403022E-2</v>
      </c>
      <c r="P247" s="4">
        <v>1.6757467000000002E-2</v>
      </c>
      <c r="Q247" s="5">
        <v>-4.2761552000000001E-2</v>
      </c>
      <c r="R247" s="5">
        <v>1.293443E-3</v>
      </c>
      <c r="S247" s="6">
        <v>0.230609702</v>
      </c>
      <c r="T247" s="6">
        <v>3.4587571999999997E-2</v>
      </c>
      <c r="U247" s="7">
        <v>0.13105175299999999</v>
      </c>
      <c r="V247" s="7">
        <v>0.113877191</v>
      </c>
      <c r="W247" s="8">
        <v>0.74017151299999995</v>
      </c>
      <c r="X247" s="8">
        <v>0.19231764500000001</v>
      </c>
      <c r="Y247" s="2">
        <v>22</v>
      </c>
      <c r="Z247" s="2">
        <f>VLOOKUP(E247,YieldData!T:U,2,FALSE)</f>
        <v>2254.9277920410782</v>
      </c>
      <c r="AA247">
        <f t="shared" si="6"/>
        <v>0.59069923211252795</v>
      </c>
    </row>
    <row r="248" spans="1:27" hidden="1" x14ac:dyDescent="0.25">
      <c r="A248">
        <v>13</v>
      </c>
      <c r="B248">
        <v>203</v>
      </c>
      <c r="C248" t="s">
        <v>20</v>
      </c>
      <c r="D248">
        <v>25111</v>
      </c>
      <c r="E248">
        <f t="shared" si="7"/>
        <v>25111203</v>
      </c>
      <c r="F248">
        <f>VLOOKUP(E248,YieldData!D:F,2,FALSE)</f>
        <v>7</v>
      </c>
      <c r="G248">
        <f>VLOOKUP($E248,YieldData!$D:$F,3,FALSE)</f>
        <v>2</v>
      </c>
      <c r="H248">
        <v>16</v>
      </c>
      <c r="I248" t="s">
        <v>21</v>
      </c>
      <c r="J248" t="s">
        <v>22</v>
      </c>
      <c r="K248" s="2">
        <v>3104.7678989999999</v>
      </c>
      <c r="L248" s="2">
        <v>24896948.940000001</v>
      </c>
      <c r="M248" s="3">
        <v>14435.675929999999</v>
      </c>
      <c r="N248" s="3">
        <v>37928419.18</v>
      </c>
      <c r="O248" s="4">
        <v>6.3105583000000007E-2</v>
      </c>
      <c r="P248" s="4">
        <v>1.9170340000000001E-2</v>
      </c>
      <c r="Q248" s="5">
        <v>-3.3621289999999998E-2</v>
      </c>
      <c r="R248" s="5">
        <v>1.388769E-3</v>
      </c>
      <c r="S248" s="6">
        <v>0.25801447300000002</v>
      </c>
      <c r="T248" s="6">
        <v>3.7286871999999999E-2</v>
      </c>
      <c r="U248" s="7">
        <v>0.144677536</v>
      </c>
      <c r="V248" s="7">
        <v>0.123745947</v>
      </c>
      <c r="W248" s="8">
        <v>0.69151926100000005</v>
      </c>
      <c r="X248" s="8">
        <v>0.21332037300000001</v>
      </c>
      <c r="Y248" s="2">
        <v>23</v>
      </c>
      <c r="Z248" s="2">
        <f>VLOOKUP(E248,YieldData!T:U,2,FALSE)</f>
        <v>1622.7968549422335</v>
      </c>
      <c r="AA248">
        <f t="shared" si="6"/>
        <v>0.52829037852060001</v>
      </c>
    </row>
    <row r="249" spans="1:27" hidden="1" x14ac:dyDescent="0.25">
      <c r="A249">
        <v>14</v>
      </c>
      <c r="B249">
        <v>204</v>
      </c>
      <c r="C249" t="s">
        <v>20</v>
      </c>
      <c r="D249">
        <v>25111</v>
      </c>
      <c r="E249">
        <f t="shared" si="7"/>
        <v>25111204</v>
      </c>
      <c r="F249">
        <f>VLOOKUP(E249,YieldData!D:F,2,FALSE)</f>
        <v>9</v>
      </c>
      <c r="G249">
        <f>VLOOKUP($E249,YieldData!$D:$F,3,FALSE)</f>
        <v>2</v>
      </c>
      <c r="H249">
        <v>16</v>
      </c>
      <c r="I249" t="s">
        <v>21</v>
      </c>
      <c r="J249" t="s">
        <v>22</v>
      </c>
      <c r="K249" s="2">
        <v>2908.841422</v>
      </c>
      <c r="L249" s="2">
        <v>15724910.970000001</v>
      </c>
      <c r="M249" s="3">
        <v>15889.688749999999</v>
      </c>
      <c r="N249" s="3">
        <v>25592967.079999998</v>
      </c>
      <c r="O249" s="4">
        <v>2.0720994E-2</v>
      </c>
      <c r="P249" s="4">
        <v>1.2444235E-2</v>
      </c>
      <c r="Q249" s="5">
        <v>-4.616833E-2</v>
      </c>
      <c r="R249" s="5">
        <v>1.1054509999999999E-3</v>
      </c>
      <c r="S249" s="6">
        <v>0.21263992200000001</v>
      </c>
      <c r="T249" s="6">
        <v>2.4857409E-2</v>
      </c>
      <c r="U249" s="7">
        <v>9.8135263E-2</v>
      </c>
      <c r="V249" s="7">
        <v>8.8504733000000002E-2</v>
      </c>
      <c r="W249" s="8">
        <v>0.91717696000000004</v>
      </c>
      <c r="X249" s="8">
        <v>7.5963383999999995E-2</v>
      </c>
      <c r="Y249" s="2">
        <v>46</v>
      </c>
      <c r="Z249" s="2">
        <f>VLOOKUP(E249,YieldData!T:U,2,FALSE)</f>
        <v>2654.4849165596916</v>
      </c>
      <c r="AA249">
        <f t="shared" si="6"/>
        <v>0.53304470543210503</v>
      </c>
    </row>
    <row r="250" spans="1:27" hidden="1" x14ac:dyDescent="0.25">
      <c r="A250">
        <v>15</v>
      </c>
      <c r="B250">
        <v>205</v>
      </c>
      <c r="C250" t="s">
        <v>20</v>
      </c>
      <c r="D250">
        <v>25111</v>
      </c>
      <c r="E250">
        <f t="shared" si="7"/>
        <v>25111205</v>
      </c>
      <c r="F250">
        <f>VLOOKUP(E250,YieldData!D:F,2,FALSE)</f>
        <v>3</v>
      </c>
      <c r="G250">
        <f>VLOOKUP($E250,YieldData!$D:$F,3,FALSE)</f>
        <v>2</v>
      </c>
      <c r="H250">
        <v>16</v>
      </c>
      <c r="I250" t="s">
        <v>21</v>
      </c>
      <c r="J250" t="s">
        <v>22</v>
      </c>
      <c r="K250" s="2">
        <v>3265.163931</v>
      </c>
      <c r="L250" s="2">
        <v>21405779.07</v>
      </c>
      <c r="M250" s="3">
        <v>15386.817779999999</v>
      </c>
      <c r="N250" s="3">
        <v>35726125.539999999</v>
      </c>
      <c r="O250" s="4">
        <v>4.5242571000000002E-2</v>
      </c>
      <c r="P250" s="4">
        <v>1.6539185000000001E-2</v>
      </c>
      <c r="Q250" s="5">
        <v>-4.0178684999999999E-2</v>
      </c>
      <c r="R250" s="5">
        <v>1.458008E-3</v>
      </c>
      <c r="S250" s="6">
        <v>0.244566752</v>
      </c>
      <c r="T250" s="6">
        <v>3.3531303999999998E-2</v>
      </c>
      <c r="U250" s="7">
        <v>0.13701170700000001</v>
      </c>
      <c r="V250" s="7">
        <v>0.118239499</v>
      </c>
      <c r="W250" s="8">
        <v>0.75556662500000005</v>
      </c>
      <c r="X250" s="8">
        <v>0.18468570000000001</v>
      </c>
      <c r="Y250" s="2">
        <v>24</v>
      </c>
      <c r="Z250" s="2">
        <f>VLOOKUP(E250,YieldData!T:U,2,FALSE)</f>
        <v>2797.6251604621311</v>
      </c>
      <c r="AA250">
        <f t="shared" si="6"/>
        <v>0.57540285422529902</v>
      </c>
    </row>
    <row r="251" spans="1:27" hidden="1" x14ac:dyDescent="0.25">
      <c r="A251">
        <v>16</v>
      </c>
      <c r="B251">
        <v>206</v>
      </c>
      <c r="C251" t="s">
        <v>20</v>
      </c>
      <c r="D251">
        <v>25111</v>
      </c>
      <c r="E251">
        <f t="shared" si="7"/>
        <v>25111206</v>
      </c>
      <c r="F251">
        <f>VLOOKUP(E251,YieldData!D:F,2,FALSE)</f>
        <v>13</v>
      </c>
      <c r="G251">
        <f>VLOOKUP($E251,YieldData!$D:$F,3,FALSE)</f>
        <v>2</v>
      </c>
      <c r="H251">
        <v>16</v>
      </c>
      <c r="I251" t="s">
        <v>21</v>
      </c>
      <c r="J251" t="s">
        <v>22</v>
      </c>
      <c r="K251" s="2">
        <v>2694.5255929999998</v>
      </c>
      <c r="L251" s="2">
        <v>17086552.260000002</v>
      </c>
      <c r="M251" s="3">
        <v>15830.15115</v>
      </c>
      <c r="N251" s="3">
        <v>33026676.59</v>
      </c>
      <c r="O251" s="4">
        <v>5.5423200999999998E-2</v>
      </c>
      <c r="P251" s="4">
        <v>1.6065039999999999E-2</v>
      </c>
      <c r="Q251" s="5">
        <v>-3.3268069999999997E-2</v>
      </c>
      <c r="R251" s="5">
        <v>1.452671E-3</v>
      </c>
      <c r="S251" s="6">
        <v>0.24637289200000001</v>
      </c>
      <c r="T251" s="6">
        <v>2.9719866000000001E-2</v>
      </c>
      <c r="U251" s="7">
        <v>0.116350276</v>
      </c>
      <c r="V251" s="7">
        <v>0.102812889</v>
      </c>
      <c r="W251" s="8">
        <v>0.74222945100000004</v>
      </c>
      <c r="X251" s="8">
        <v>0.191324893</v>
      </c>
      <c r="Y251" s="2">
        <v>22</v>
      </c>
      <c r="Z251" s="2">
        <f>VLOOKUP(E251,YieldData!T:U,2,FALSE)</f>
        <v>1323.0712451861359</v>
      </c>
      <c r="AA251">
        <f t="shared" si="6"/>
        <v>0.92605835924419999</v>
      </c>
    </row>
    <row r="252" spans="1:27" hidden="1" x14ac:dyDescent="0.25">
      <c r="A252">
        <v>17</v>
      </c>
      <c r="B252">
        <v>207</v>
      </c>
      <c r="C252" t="s">
        <v>20</v>
      </c>
      <c r="D252">
        <v>25111</v>
      </c>
      <c r="E252">
        <f t="shared" si="7"/>
        <v>25111207</v>
      </c>
      <c r="F252">
        <f>VLOOKUP(E252,YieldData!D:F,2,FALSE)</f>
        <v>14</v>
      </c>
      <c r="G252">
        <f>VLOOKUP($E252,YieldData!$D:$F,3,FALSE)</f>
        <v>1</v>
      </c>
      <c r="H252">
        <v>16</v>
      </c>
      <c r="I252" t="s">
        <v>21</v>
      </c>
      <c r="J252" t="s">
        <v>22</v>
      </c>
      <c r="K252" s="2">
        <v>3113.9160529999999</v>
      </c>
      <c r="L252" s="2">
        <v>24230984.100000001</v>
      </c>
      <c r="M252" s="3">
        <v>15082.052439999999</v>
      </c>
      <c r="N252" s="3">
        <v>30056486.75</v>
      </c>
      <c r="O252" s="4">
        <v>7.3089475000000001E-2</v>
      </c>
      <c r="P252" s="4">
        <v>1.2600056E-2</v>
      </c>
      <c r="Q252" s="5">
        <v>-2.6382081000000002E-2</v>
      </c>
      <c r="R252" s="5">
        <v>1.1260829999999999E-3</v>
      </c>
      <c r="S252" s="6">
        <v>0.26523624899999998</v>
      </c>
      <c r="T252" s="6">
        <v>2.6972046999999999E-2</v>
      </c>
      <c r="U252" s="7">
        <v>0.120518104</v>
      </c>
      <c r="V252" s="7">
        <v>0.105993491</v>
      </c>
      <c r="W252" s="8">
        <v>0.85182561199999995</v>
      </c>
      <c r="X252" s="8">
        <v>0.126218739</v>
      </c>
      <c r="Y252" s="2">
        <v>25</v>
      </c>
      <c r="Z252" s="2">
        <f>VLOOKUP(E252,YieldData!T:U,2,FALSE)</f>
        <v>2191.5661103979464</v>
      </c>
      <c r="AA252">
        <f t="shared" si="6"/>
        <v>0.61661964346714904</v>
      </c>
    </row>
    <row r="253" spans="1:27" hidden="1" x14ac:dyDescent="0.25">
      <c r="A253">
        <v>18</v>
      </c>
      <c r="B253">
        <v>208</v>
      </c>
      <c r="C253" t="s">
        <v>20</v>
      </c>
      <c r="D253">
        <v>25111</v>
      </c>
      <c r="E253">
        <f t="shared" si="7"/>
        <v>25111208</v>
      </c>
      <c r="F253">
        <f>VLOOKUP(E253,YieldData!D:F,2,FALSE)</f>
        <v>13</v>
      </c>
      <c r="G253">
        <f>VLOOKUP($E253,YieldData!$D:$F,3,FALSE)</f>
        <v>1</v>
      </c>
      <c r="H253">
        <v>16</v>
      </c>
      <c r="I253" t="s">
        <v>21</v>
      </c>
      <c r="J253" t="s">
        <v>22</v>
      </c>
      <c r="K253" s="2">
        <v>3207.8913699999998</v>
      </c>
      <c r="L253" s="2">
        <v>23641506.399999999</v>
      </c>
      <c r="M253" s="3">
        <v>15798.82747</v>
      </c>
      <c r="N253" s="3">
        <v>28661183.780000001</v>
      </c>
      <c r="O253" s="4">
        <v>6.3583958999999995E-2</v>
      </c>
      <c r="P253" s="4">
        <v>1.1901602000000001E-2</v>
      </c>
      <c r="Q253" s="5">
        <v>-3.0324416E-2</v>
      </c>
      <c r="R253" s="5">
        <v>1.0819479999999999E-3</v>
      </c>
      <c r="S253" s="6">
        <v>0.25459754400000001</v>
      </c>
      <c r="T253" s="6">
        <v>2.5028617E-2</v>
      </c>
      <c r="U253" s="7">
        <v>0.110313352</v>
      </c>
      <c r="V253" s="7">
        <v>9.8144316999999995E-2</v>
      </c>
      <c r="W253" s="8">
        <v>0.70791031400000004</v>
      </c>
      <c r="X253" s="8">
        <v>0.20677330099999999</v>
      </c>
      <c r="Y253" s="2">
        <v>19</v>
      </c>
      <c r="Z253" s="2">
        <f>VLOOKUP(E253,YieldData!T:U,2,FALSE)</f>
        <v>2785.418806161746</v>
      </c>
      <c r="AA253">
        <f t="shared" si="6"/>
        <v>0.53164133047877604</v>
      </c>
    </row>
    <row r="254" spans="1:27" hidden="1" x14ac:dyDescent="0.25">
      <c r="A254">
        <v>19</v>
      </c>
      <c r="B254">
        <v>209</v>
      </c>
      <c r="C254" t="s">
        <v>20</v>
      </c>
      <c r="D254">
        <v>25111</v>
      </c>
      <c r="E254">
        <f t="shared" si="7"/>
        <v>25111209</v>
      </c>
      <c r="F254">
        <f>VLOOKUP(E254,YieldData!D:F,2,FALSE)</f>
        <v>12</v>
      </c>
      <c r="G254">
        <f>VLOOKUP($E254,YieldData!$D:$F,3,FALSE)</f>
        <v>1</v>
      </c>
      <c r="H254">
        <v>16</v>
      </c>
      <c r="I254" t="s">
        <v>21</v>
      </c>
      <c r="J254" t="s">
        <v>22</v>
      </c>
      <c r="K254" s="2">
        <v>3663.785112</v>
      </c>
      <c r="L254" s="2">
        <v>22688122.100000001</v>
      </c>
      <c r="M254" s="3">
        <v>15091.88241</v>
      </c>
      <c r="N254" s="3">
        <v>43598097.869999997</v>
      </c>
      <c r="O254" s="4">
        <v>0.10272458299999999</v>
      </c>
      <c r="P254" s="4">
        <v>1.9325617E-2</v>
      </c>
      <c r="Q254" s="5">
        <v>-1.8928711000000001E-2</v>
      </c>
      <c r="R254" s="5">
        <v>1.651144E-3</v>
      </c>
      <c r="S254" s="6">
        <v>0.29862706500000002</v>
      </c>
      <c r="T254" s="6">
        <v>3.6254722000000003E-2</v>
      </c>
      <c r="U254" s="7">
        <v>0.16722177599999999</v>
      </c>
      <c r="V254" s="7">
        <v>0.13925865300000001</v>
      </c>
      <c r="W254" s="8">
        <v>0.63791933499999998</v>
      </c>
      <c r="X254" s="8">
        <v>0.23097825699999999</v>
      </c>
      <c r="Y254" s="2">
        <v>14</v>
      </c>
      <c r="Z254" s="2">
        <f>VLOOKUP(E254,YieldData!T:U,2,FALSE)</f>
        <v>2428.5847240051348</v>
      </c>
      <c r="AA254">
        <f t="shared" si="6"/>
        <v>0.86303736242041396</v>
      </c>
    </row>
    <row r="255" spans="1:27" hidden="1" x14ac:dyDescent="0.25">
      <c r="A255">
        <v>20</v>
      </c>
      <c r="B255">
        <v>210</v>
      </c>
      <c r="C255" t="s">
        <v>20</v>
      </c>
      <c r="D255">
        <v>25111</v>
      </c>
      <c r="E255">
        <f t="shared" si="7"/>
        <v>25111210</v>
      </c>
      <c r="F255">
        <f>VLOOKUP(E255,YieldData!D:F,2,FALSE)</f>
        <v>11</v>
      </c>
      <c r="G255">
        <f>VLOOKUP($E255,YieldData!$D:$F,3,FALSE)</f>
        <v>1</v>
      </c>
      <c r="H255">
        <v>16</v>
      </c>
      <c r="I255" t="s">
        <v>21</v>
      </c>
      <c r="J255" t="s">
        <v>22</v>
      </c>
      <c r="K255" s="2">
        <v>4062.872476</v>
      </c>
      <c r="L255" s="2">
        <v>36726344.43</v>
      </c>
      <c r="M255" s="3">
        <v>14815.23561</v>
      </c>
      <c r="N255" s="3">
        <v>43552401.240000002</v>
      </c>
      <c r="O255" s="4">
        <v>0.101638378</v>
      </c>
      <c r="P255" s="4">
        <v>1.5357542E-2</v>
      </c>
      <c r="Q255" s="5">
        <v>-1.8364609E-2</v>
      </c>
      <c r="R255" s="5">
        <v>1.707484E-3</v>
      </c>
      <c r="S255" s="6">
        <v>0.30290658199999998</v>
      </c>
      <c r="T255" s="6">
        <v>3.4488103999999999E-2</v>
      </c>
      <c r="U255" s="7">
        <v>0.168018471</v>
      </c>
      <c r="V255" s="7">
        <v>0.13978826499999999</v>
      </c>
      <c r="W255" s="8">
        <v>0.80218591800000005</v>
      </c>
      <c r="X255" s="8">
        <v>0.158683671</v>
      </c>
      <c r="Y255" s="2">
        <v>24</v>
      </c>
      <c r="Z255" s="2">
        <f>VLOOKUP(E255,YieldData!T:U,2,FALSE)</f>
        <v>2134.146341463415</v>
      </c>
      <c r="AA255">
        <f t="shared" si="6"/>
        <v>0.68992238198244005</v>
      </c>
    </row>
    <row r="256" spans="1:27" hidden="1" x14ac:dyDescent="0.25">
      <c r="A256">
        <v>21</v>
      </c>
      <c r="B256">
        <v>301</v>
      </c>
      <c r="C256" t="s">
        <v>20</v>
      </c>
      <c r="D256">
        <v>25111</v>
      </c>
      <c r="E256">
        <f t="shared" si="7"/>
        <v>25111301</v>
      </c>
      <c r="F256">
        <f>VLOOKUP(E256,YieldData!D:F,2,FALSE)</f>
        <v>4</v>
      </c>
      <c r="G256">
        <f>VLOOKUP($E256,YieldData!$D:$F,3,FALSE)</f>
        <v>2</v>
      </c>
      <c r="H256">
        <v>16</v>
      </c>
      <c r="I256" t="s">
        <v>21</v>
      </c>
      <c r="J256" t="s">
        <v>22</v>
      </c>
      <c r="K256" s="2">
        <v>3570.710106</v>
      </c>
      <c r="L256" s="2">
        <v>31100232.18</v>
      </c>
      <c r="M256" s="3">
        <v>14929.00728</v>
      </c>
      <c r="N256" s="3">
        <v>26441292.32</v>
      </c>
      <c r="O256" s="4">
        <v>3.2523621000000003E-2</v>
      </c>
      <c r="P256" s="4">
        <v>9.7584390000000007E-3</v>
      </c>
      <c r="Q256" s="5">
        <v>-3.8992244000000002E-2</v>
      </c>
      <c r="R256" s="5">
        <v>1.189563E-3</v>
      </c>
      <c r="S256" s="6">
        <v>0.224904511</v>
      </c>
      <c r="T256" s="6">
        <v>2.6227726E-2</v>
      </c>
      <c r="U256" s="7">
        <v>0.108021592</v>
      </c>
      <c r="V256" s="7">
        <v>9.6352927000000005E-2</v>
      </c>
      <c r="W256" s="8">
        <v>0.81847614899999999</v>
      </c>
      <c r="X256" s="8">
        <v>0.14857294200000001</v>
      </c>
      <c r="Y256" s="2">
        <v>30</v>
      </c>
      <c r="Z256" s="2">
        <f>VLOOKUP(E256,YieldData!T:U,2,FALSE)</f>
        <v>1772.581835686778</v>
      </c>
      <c r="AA256">
        <f t="shared" si="6"/>
        <v>0.74455341364378302</v>
      </c>
    </row>
    <row r="257" spans="1:27" hidden="1" x14ac:dyDescent="0.25">
      <c r="A257">
        <v>22</v>
      </c>
      <c r="B257">
        <v>302</v>
      </c>
      <c r="C257" t="s">
        <v>20</v>
      </c>
      <c r="D257">
        <v>25111</v>
      </c>
      <c r="E257">
        <f t="shared" si="7"/>
        <v>25111302</v>
      </c>
      <c r="F257">
        <f>VLOOKUP(E257,YieldData!D:F,2,FALSE)</f>
        <v>2</v>
      </c>
      <c r="G257">
        <f>VLOOKUP($E257,YieldData!$D:$F,3,FALSE)</f>
        <v>2</v>
      </c>
      <c r="H257">
        <v>16</v>
      </c>
      <c r="I257" t="s">
        <v>21</v>
      </c>
      <c r="J257" t="s">
        <v>22</v>
      </c>
      <c r="K257" s="2">
        <v>4695.713127</v>
      </c>
      <c r="L257" s="2">
        <v>52576190.369999997</v>
      </c>
      <c r="M257" s="3">
        <v>13890.416590000001</v>
      </c>
      <c r="N257" s="3">
        <v>45785324.57</v>
      </c>
      <c r="O257" s="4">
        <v>4.1972753000000002E-2</v>
      </c>
      <c r="P257" s="4">
        <v>2.0078202999999999E-2</v>
      </c>
      <c r="Q257" s="5">
        <v>-4.5721979000000003E-2</v>
      </c>
      <c r="R257" s="5">
        <v>1.526622E-3</v>
      </c>
      <c r="S257" s="6">
        <v>0.25616761500000002</v>
      </c>
      <c r="T257" s="6">
        <v>4.8054510000000002E-2</v>
      </c>
      <c r="U257" s="7">
        <v>0.18235948799999999</v>
      </c>
      <c r="V257" s="7">
        <v>0.149104505</v>
      </c>
      <c r="W257" s="8">
        <v>0.55948379999999998</v>
      </c>
      <c r="X257" s="8">
        <v>0.24646167799999999</v>
      </c>
      <c r="Y257" s="2">
        <v>17</v>
      </c>
      <c r="Z257" s="2">
        <f>VLOOKUP(E257,YieldData!T:U,2,FALSE)</f>
        <v>2060.9114249037229</v>
      </c>
      <c r="AA257">
        <f t="shared" si="6"/>
        <v>0.743042349873823</v>
      </c>
    </row>
    <row r="258" spans="1:27" hidden="1" x14ac:dyDescent="0.25">
      <c r="A258">
        <v>23</v>
      </c>
      <c r="B258">
        <v>303</v>
      </c>
      <c r="C258" t="s">
        <v>20</v>
      </c>
      <c r="D258">
        <v>25111</v>
      </c>
      <c r="E258">
        <f t="shared" si="7"/>
        <v>25111303</v>
      </c>
      <c r="F258">
        <f>VLOOKUP(E258,YieldData!D:F,2,FALSE)</f>
        <v>6</v>
      </c>
      <c r="G258">
        <f>VLOOKUP($E258,YieldData!$D:$F,3,FALSE)</f>
        <v>2</v>
      </c>
      <c r="H258">
        <v>16</v>
      </c>
      <c r="I258" t="s">
        <v>21</v>
      </c>
      <c r="J258" t="s">
        <v>22</v>
      </c>
      <c r="K258" s="2">
        <v>3584.9213239999999</v>
      </c>
      <c r="L258" s="2">
        <v>37650772.609999999</v>
      </c>
      <c r="M258" s="3">
        <v>13395.35031</v>
      </c>
      <c r="N258" s="3">
        <v>44809856.170000002</v>
      </c>
      <c r="O258" s="4">
        <v>7.5342366999999993E-2</v>
      </c>
      <c r="P258" s="4">
        <v>1.9861942E-2</v>
      </c>
      <c r="Q258" s="5">
        <v>-3.5177831999999999E-2</v>
      </c>
      <c r="R258" s="5">
        <v>1.327639E-3</v>
      </c>
      <c r="S258" s="6">
        <v>0.27819269899999999</v>
      </c>
      <c r="T258" s="6">
        <v>4.3260700999999999E-2</v>
      </c>
      <c r="U258" s="7">
        <v>0.177230521</v>
      </c>
      <c r="V258" s="7">
        <v>0.14581986299999999</v>
      </c>
      <c r="W258" s="8">
        <v>0.64696624199999997</v>
      </c>
      <c r="X258" s="8">
        <v>0.22840092400000001</v>
      </c>
      <c r="Y258" s="2">
        <v>23</v>
      </c>
      <c r="Z258" s="2">
        <f>VLOOKUP(E258,YieldData!T:U,2,FALSE)</f>
        <v>1677.4679075738127</v>
      </c>
      <c r="AA258">
        <f t="shared" ref="AA258:AA321" si="8">_xlfn.MAXIFS(U:U,E:E,E258)</f>
        <v>0.66252354515713296</v>
      </c>
    </row>
    <row r="259" spans="1:27" hidden="1" x14ac:dyDescent="0.25">
      <c r="A259">
        <v>24</v>
      </c>
      <c r="B259">
        <v>304</v>
      </c>
      <c r="C259" t="s">
        <v>20</v>
      </c>
      <c r="D259">
        <v>25111</v>
      </c>
      <c r="E259">
        <f t="shared" ref="E259:E322" si="9">D259*1000+B259</f>
        <v>25111304</v>
      </c>
      <c r="F259">
        <f>VLOOKUP(E259,YieldData!D:F,2,FALSE)</f>
        <v>8</v>
      </c>
      <c r="G259">
        <f>VLOOKUP($E259,YieldData!$D:$F,3,FALSE)</f>
        <v>2</v>
      </c>
      <c r="H259">
        <v>16</v>
      </c>
      <c r="I259" t="s">
        <v>21</v>
      </c>
      <c r="J259" t="s">
        <v>22</v>
      </c>
      <c r="K259" s="2">
        <v>3661.4101799999999</v>
      </c>
      <c r="L259" s="2">
        <v>32194206.620000001</v>
      </c>
      <c r="M259" s="3">
        <v>14104.074140000001</v>
      </c>
      <c r="N259" s="3">
        <v>47246660.159999996</v>
      </c>
      <c r="O259" s="4">
        <v>6.1256025999999998E-2</v>
      </c>
      <c r="P259" s="4">
        <v>2.3187612999999999E-2</v>
      </c>
      <c r="Q259" s="5">
        <v>-4.0871741000000003E-2</v>
      </c>
      <c r="R259" s="5">
        <v>1.452404E-3</v>
      </c>
      <c r="S259" s="6">
        <v>0.26891947999999999</v>
      </c>
      <c r="T259" s="6">
        <v>4.7252613999999998E-2</v>
      </c>
      <c r="U259" s="7">
        <v>0.17868076799999999</v>
      </c>
      <c r="V259" s="7">
        <v>0.14675395099999999</v>
      </c>
      <c r="W259" s="8">
        <v>0.66556632000000004</v>
      </c>
      <c r="X259" s="8">
        <v>0.22258779400000001</v>
      </c>
      <c r="Y259" s="2">
        <v>18</v>
      </c>
      <c r="Z259" s="2">
        <f>VLOOKUP(E259,YieldData!T:U,2,FALSE)</f>
        <v>2638.8783697047497</v>
      </c>
      <c r="AA259">
        <f t="shared" si="8"/>
        <v>0.72992272912131295</v>
      </c>
    </row>
    <row r="260" spans="1:27" hidden="1" x14ac:dyDescent="0.25">
      <c r="A260">
        <v>25</v>
      </c>
      <c r="B260">
        <v>305</v>
      </c>
      <c r="C260" t="s">
        <v>20</v>
      </c>
      <c r="D260">
        <v>25111</v>
      </c>
      <c r="E260">
        <f t="shared" si="9"/>
        <v>25111305</v>
      </c>
      <c r="F260">
        <f>VLOOKUP(E260,YieldData!D:F,2,FALSE)</f>
        <v>11</v>
      </c>
      <c r="G260">
        <f>VLOOKUP($E260,YieldData!$D:$F,3,FALSE)</f>
        <v>2</v>
      </c>
      <c r="H260">
        <v>16</v>
      </c>
      <c r="I260" t="s">
        <v>21</v>
      </c>
      <c r="J260" t="s">
        <v>22</v>
      </c>
      <c r="K260" s="2">
        <v>3057.8796480000001</v>
      </c>
      <c r="L260" s="2">
        <v>22493133.449999999</v>
      </c>
      <c r="M260" s="3">
        <v>15101.184719999999</v>
      </c>
      <c r="N260" s="3">
        <v>33131761.809999999</v>
      </c>
      <c r="O260" s="4">
        <v>4.1685055999999998E-2</v>
      </c>
      <c r="P260" s="4">
        <v>1.4618984999999999E-2</v>
      </c>
      <c r="Q260" s="5">
        <v>-4.5191760999999997E-2</v>
      </c>
      <c r="R260" s="5">
        <v>1.1714220000000001E-3</v>
      </c>
      <c r="S260" s="6">
        <v>0.24086005099999999</v>
      </c>
      <c r="T260" s="6">
        <v>3.0703884000000001E-2</v>
      </c>
      <c r="U260" s="7">
        <v>0.11806947199999999</v>
      </c>
      <c r="V260" s="7">
        <v>0.104129072</v>
      </c>
      <c r="W260" s="8">
        <v>0.78429519800000003</v>
      </c>
      <c r="X260" s="8">
        <v>0.169176241</v>
      </c>
      <c r="Y260" s="2">
        <v>27</v>
      </c>
      <c r="Z260" s="2">
        <f>VLOOKUP(E260,YieldData!T:U,2,FALSE)</f>
        <v>2035.834403080873</v>
      </c>
      <c r="AA260">
        <f t="shared" si="8"/>
        <v>0.59360086119251199</v>
      </c>
    </row>
    <row r="261" spans="1:27" hidden="1" x14ac:dyDescent="0.25">
      <c r="A261">
        <v>26</v>
      </c>
      <c r="B261">
        <v>306</v>
      </c>
      <c r="C261" t="s">
        <v>20</v>
      </c>
      <c r="D261">
        <v>25111</v>
      </c>
      <c r="E261">
        <f t="shared" si="9"/>
        <v>25111306</v>
      </c>
      <c r="F261">
        <f>VLOOKUP(E261,YieldData!D:F,2,FALSE)</f>
        <v>10</v>
      </c>
      <c r="G261">
        <f>VLOOKUP($E261,YieldData!$D:$F,3,FALSE)</f>
        <v>2</v>
      </c>
      <c r="H261">
        <v>16</v>
      </c>
      <c r="I261" t="s">
        <v>21</v>
      </c>
      <c r="J261" t="s">
        <v>22</v>
      </c>
      <c r="K261" s="2">
        <v>3130.292117</v>
      </c>
      <c r="L261" s="2">
        <v>19065899.640000001</v>
      </c>
      <c r="M261" s="3">
        <v>14853.42908</v>
      </c>
      <c r="N261" s="3">
        <v>29550787.120000001</v>
      </c>
      <c r="O261" s="4">
        <v>5.4090047000000002E-2</v>
      </c>
      <c r="P261" s="4">
        <v>1.2328833000000001E-2</v>
      </c>
      <c r="Q261" s="5">
        <v>-3.4784506999999999E-2</v>
      </c>
      <c r="R261" s="5">
        <v>1.132648E-3</v>
      </c>
      <c r="S261" s="6">
        <v>0.252390901</v>
      </c>
      <c r="T261" s="6">
        <v>2.5030443999999999E-2</v>
      </c>
      <c r="U261" s="7">
        <v>0.108948963</v>
      </c>
      <c r="V261" s="7">
        <v>9.7079085999999995E-2</v>
      </c>
      <c r="W261" s="8">
        <v>0.91611061699999996</v>
      </c>
      <c r="X261" s="8">
        <v>7.6851954E-2</v>
      </c>
      <c r="Y261" s="2">
        <v>47</v>
      </c>
      <c r="Z261" s="2">
        <f>VLOOKUP(E261,YieldData!T:U,2,FALSE)</f>
        <v>1864.1880616174585</v>
      </c>
      <c r="AA261">
        <f t="shared" si="8"/>
        <v>0.78637689505376895</v>
      </c>
    </row>
    <row r="262" spans="1:27" hidden="1" x14ac:dyDescent="0.25">
      <c r="A262">
        <v>27</v>
      </c>
      <c r="B262">
        <v>307</v>
      </c>
      <c r="C262" t="s">
        <v>20</v>
      </c>
      <c r="D262">
        <v>25111</v>
      </c>
      <c r="E262">
        <f t="shared" si="9"/>
        <v>25111307</v>
      </c>
      <c r="F262">
        <f>VLOOKUP(E262,YieldData!D:F,2,FALSE)</f>
        <v>1</v>
      </c>
      <c r="G262">
        <f>VLOOKUP($E262,YieldData!$D:$F,3,FALSE)</f>
        <v>2</v>
      </c>
      <c r="H262">
        <v>16</v>
      </c>
      <c r="I262" t="s">
        <v>21</v>
      </c>
      <c r="J262" t="s">
        <v>22</v>
      </c>
      <c r="K262" s="2">
        <v>4462.5980319999999</v>
      </c>
      <c r="L262" s="2">
        <v>36189409.270000003</v>
      </c>
      <c r="M262" s="3">
        <v>12569.27655</v>
      </c>
      <c r="N262" s="3">
        <v>41977192.189999998</v>
      </c>
      <c r="O262" s="4">
        <v>0.11370913000000001</v>
      </c>
      <c r="P262" s="4">
        <v>1.8941131999999999E-2</v>
      </c>
      <c r="Q262" s="5">
        <v>-1.6743502E-2</v>
      </c>
      <c r="R262" s="5">
        <v>1.461707E-3</v>
      </c>
      <c r="S262" s="6">
        <v>0.32559756699999998</v>
      </c>
      <c r="T262" s="6">
        <v>3.9493766E-2</v>
      </c>
      <c r="U262" s="7">
        <v>0.19259215399999999</v>
      </c>
      <c r="V262" s="7">
        <v>0.155500416</v>
      </c>
      <c r="W262" s="8">
        <v>0.65592067600000004</v>
      </c>
      <c r="X262" s="8">
        <v>0.225688743</v>
      </c>
      <c r="Y262" s="2">
        <v>32</v>
      </c>
      <c r="Z262" s="2">
        <f>VLOOKUP(E262,YieldData!T:U,2,FALSE)</f>
        <v>2916.8164313222082</v>
      </c>
      <c r="AA262">
        <f t="shared" si="8"/>
        <v>0.80669929447657795</v>
      </c>
    </row>
    <row r="263" spans="1:27" hidden="1" x14ac:dyDescent="0.25">
      <c r="A263">
        <v>28</v>
      </c>
      <c r="B263">
        <v>308</v>
      </c>
      <c r="C263" t="s">
        <v>20</v>
      </c>
      <c r="D263">
        <v>25111</v>
      </c>
      <c r="E263">
        <f t="shared" si="9"/>
        <v>25111308</v>
      </c>
      <c r="F263">
        <f>VLOOKUP(E263,YieldData!D:F,2,FALSE)</f>
        <v>12</v>
      </c>
      <c r="G263">
        <f>VLOOKUP($E263,YieldData!$D:$F,3,FALSE)</f>
        <v>2</v>
      </c>
      <c r="H263">
        <v>16</v>
      </c>
      <c r="I263" t="s">
        <v>21</v>
      </c>
      <c r="J263" t="s">
        <v>22</v>
      </c>
      <c r="K263" s="2">
        <v>3855.4248729999999</v>
      </c>
      <c r="L263" s="2">
        <v>24823190.050000001</v>
      </c>
      <c r="M263" s="3">
        <v>14549.12226</v>
      </c>
      <c r="N263" s="3">
        <v>35597324.420000002</v>
      </c>
      <c r="O263" s="4">
        <v>8.8486338999999997E-2</v>
      </c>
      <c r="P263" s="4">
        <v>1.4503495999999999E-2</v>
      </c>
      <c r="Q263" s="5">
        <v>-2.3953091999999999E-2</v>
      </c>
      <c r="R263" s="5">
        <v>1.040086E-3</v>
      </c>
      <c r="S263" s="6">
        <v>0.28801698799999997</v>
      </c>
      <c r="T263" s="6">
        <v>3.1617530999999997E-2</v>
      </c>
      <c r="U263" s="7">
        <v>0.14659164199999999</v>
      </c>
      <c r="V263" s="7">
        <v>0.12510253199999999</v>
      </c>
      <c r="W263" s="8">
        <v>0.90516264000000002</v>
      </c>
      <c r="X263" s="8">
        <v>8.5843236000000003E-2</v>
      </c>
      <c r="Y263" s="2">
        <v>42</v>
      </c>
      <c r="Z263" s="2">
        <f>VLOOKUP(E263,YieldData!T:U,2,FALSE)</f>
        <v>3189.6566110397944</v>
      </c>
      <c r="AA263">
        <f t="shared" si="8"/>
        <v>0.71376382555239204</v>
      </c>
    </row>
    <row r="264" spans="1:27" hidden="1" x14ac:dyDescent="0.25">
      <c r="A264">
        <v>29</v>
      </c>
      <c r="B264">
        <v>309</v>
      </c>
      <c r="C264" t="s">
        <v>20</v>
      </c>
      <c r="D264">
        <v>25111</v>
      </c>
      <c r="E264">
        <f t="shared" si="9"/>
        <v>25111309</v>
      </c>
      <c r="F264">
        <f>VLOOKUP(E264,YieldData!D:F,2,FALSE)</f>
        <v>5</v>
      </c>
      <c r="G264">
        <f>VLOOKUP($E264,YieldData!$D:$F,3,FALSE)</f>
        <v>3</v>
      </c>
      <c r="H264">
        <v>16</v>
      </c>
      <c r="I264" t="s">
        <v>21</v>
      </c>
      <c r="J264" t="s">
        <v>22</v>
      </c>
      <c r="K264" s="2">
        <v>4704.3405220000004</v>
      </c>
      <c r="L264" s="2">
        <v>42198718.240000002</v>
      </c>
      <c r="M264" s="3">
        <v>14468.289510000001</v>
      </c>
      <c r="N264" s="3">
        <v>46682480.93</v>
      </c>
      <c r="O264" s="4">
        <v>0.104662453</v>
      </c>
      <c r="P264" s="4">
        <v>1.6286335999999998E-2</v>
      </c>
      <c r="Q264" s="5">
        <v>-1.9162968999999998E-2</v>
      </c>
      <c r="R264" s="5">
        <v>1.178155E-3</v>
      </c>
      <c r="S264" s="6">
        <v>0.31182239299999998</v>
      </c>
      <c r="T264" s="6">
        <v>3.9101521E-2</v>
      </c>
      <c r="U264" s="7">
        <v>0.18171193199999999</v>
      </c>
      <c r="V264" s="7">
        <v>0.14869270600000001</v>
      </c>
      <c r="W264" s="8">
        <v>0.57268443199999997</v>
      </c>
      <c r="X264" s="8">
        <v>0.244716973</v>
      </c>
      <c r="Y264" s="2">
        <v>16</v>
      </c>
      <c r="Z264" s="2">
        <f>VLOOKUP(E264,YieldData!T:U,2,FALSE)</f>
        <v>3449.2297817715021</v>
      </c>
      <c r="AA264">
        <f t="shared" si="8"/>
        <v>0.94319581833187804</v>
      </c>
    </row>
    <row r="265" spans="1:27" hidden="1" x14ac:dyDescent="0.25">
      <c r="A265">
        <v>30</v>
      </c>
      <c r="B265">
        <v>310</v>
      </c>
      <c r="C265" t="s">
        <v>20</v>
      </c>
      <c r="D265">
        <v>25111</v>
      </c>
      <c r="E265">
        <f t="shared" si="9"/>
        <v>25111310</v>
      </c>
      <c r="H265">
        <v>16</v>
      </c>
      <c r="I265" t="s">
        <v>21</v>
      </c>
      <c r="J265" t="s">
        <v>22</v>
      </c>
      <c r="K265" s="2">
        <v>5129.2270120000003</v>
      </c>
      <c r="L265" s="2">
        <v>49149238.170000002</v>
      </c>
      <c r="M265" s="3">
        <v>14245.649579999999</v>
      </c>
      <c r="N265" s="3">
        <v>47964527.68</v>
      </c>
      <c r="O265" s="4">
        <v>0.109348001</v>
      </c>
      <c r="P265" s="4">
        <v>1.4642393E-2</v>
      </c>
      <c r="Q265" s="5">
        <v>-1.6800127000000002E-2</v>
      </c>
      <c r="R265" s="5">
        <v>1.4216369999999999E-3</v>
      </c>
      <c r="S265" s="6">
        <v>0.31900707</v>
      </c>
      <c r="T265" s="6">
        <v>3.7613315000000001E-2</v>
      </c>
      <c r="U265" s="7">
        <v>0.184581298</v>
      </c>
      <c r="V265" s="7">
        <v>0.15051104200000001</v>
      </c>
      <c r="W265" s="8">
        <v>0.573047152</v>
      </c>
      <c r="X265" s="8">
        <v>0.24466411399999999</v>
      </c>
      <c r="Y265" s="2">
        <v>17</v>
      </c>
      <c r="Z265" s="2">
        <f>VLOOKUP(E265,YieldData!T:U,2,FALSE)</f>
        <v>0</v>
      </c>
      <c r="AA265">
        <f t="shared" si="8"/>
        <v>0.87222249352932602</v>
      </c>
    </row>
    <row r="266" spans="1:27" hidden="1" x14ac:dyDescent="0.25">
      <c r="A266">
        <v>31</v>
      </c>
      <c r="B266">
        <v>401</v>
      </c>
      <c r="C266" t="s">
        <v>20</v>
      </c>
      <c r="D266">
        <v>25111</v>
      </c>
      <c r="E266">
        <f t="shared" si="9"/>
        <v>25111401</v>
      </c>
      <c r="F266">
        <f>VLOOKUP(E266,YieldData!D:F,2,FALSE)</f>
        <v>1</v>
      </c>
      <c r="G266">
        <f>VLOOKUP($E266,YieldData!$D:$F,3,FALSE)</f>
        <v>3</v>
      </c>
      <c r="H266">
        <v>16</v>
      </c>
      <c r="I266" t="s">
        <v>21</v>
      </c>
      <c r="J266" t="s">
        <v>22</v>
      </c>
      <c r="K266" s="2">
        <v>3493.2323660000002</v>
      </c>
      <c r="L266" s="2">
        <v>34885092.729999997</v>
      </c>
      <c r="M266" s="3">
        <v>15133.39194</v>
      </c>
      <c r="N266" s="3">
        <v>35528010.43</v>
      </c>
      <c r="O266" s="4">
        <v>6.0334687999999997E-2</v>
      </c>
      <c r="P266" s="4">
        <v>1.1818520000000001E-2</v>
      </c>
      <c r="Q266" s="5">
        <v>-3.5119450000000003E-2</v>
      </c>
      <c r="R266" s="5">
        <v>1.3753439999999999E-3</v>
      </c>
      <c r="S266" s="6">
        <v>0.249660417</v>
      </c>
      <c r="T266" s="6">
        <v>3.0147770000000001E-2</v>
      </c>
      <c r="U266" s="7">
        <v>0.13101797700000001</v>
      </c>
      <c r="V266" s="7">
        <v>0.11385226699999999</v>
      </c>
      <c r="W266" s="8">
        <v>0.76292185899999998</v>
      </c>
      <c r="X266" s="8">
        <v>0.18087209600000001</v>
      </c>
      <c r="Y266" s="2">
        <v>25</v>
      </c>
      <c r="Z266" s="2">
        <f>VLOOKUP(E266,YieldData!T:U,2,FALSE)</f>
        <v>1960.5166880616171</v>
      </c>
      <c r="AA266">
        <f t="shared" si="8"/>
        <v>0.70643112583573497</v>
      </c>
    </row>
    <row r="267" spans="1:27" hidden="1" x14ac:dyDescent="0.25">
      <c r="A267">
        <v>32</v>
      </c>
      <c r="B267">
        <v>402</v>
      </c>
      <c r="C267" t="s">
        <v>20</v>
      </c>
      <c r="D267">
        <v>25111</v>
      </c>
      <c r="E267">
        <f t="shared" si="9"/>
        <v>25111402</v>
      </c>
      <c r="F267">
        <f>VLOOKUP(E267,YieldData!D:F,2,FALSE)</f>
        <v>14</v>
      </c>
      <c r="G267">
        <f>VLOOKUP($E267,YieldData!$D:$F,3,FALSE)</f>
        <v>3</v>
      </c>
      <c r="H267">
        <v>16</v>
      </c>
      <c r="I267" t="s">
        <v>21</v>
      </c>
      <c r="J267" t="s">
        <v>22</v>
      </c>
      <c r="K267" s="2">
        <v>2161.6730259999999</v>
      </c>
      <c r="L267" s="2">
        <v>8547333.9890000001</v>
      </c>
      <c r="M267" s="3">
        <v>16444.983670000001</v>
      </c>
      <c r="N267" s="3">
        <v>9915478.0920000002</v>
      </c>
      <c r="O267" s="4">
        <v>-1.7261926E-2</v>
      </c>
      <c r="P267" s="4">
        <v>4.5218569999999998E-3</v>
      </c>
      <c r="Q267" s="5">
        <v>-5.7854324999999998E-2</v>
      </c>
      <c r="R267" s="5">
        <v>5.1211900000000001E-4</v>
      </c>
      <c r="S267" s="6">
        <v>0.15934968499999999</v>
      </c>
      <c r="T267" s="6">
        <v>9.8063279999999996E-3</v>
      </c>
      <c r="U267" s="7">
        <v>3.3954911999999997E-2</v>
      </c>
      <c r="V267" s="7">
        <v>3.2801975999999997E-2</v>
      </c>
      <c r="W267" s="8">
        <v>0.67554572099999999</v>
      </c>
      <c r="X267" s="8">
        <v>0.21918370000000001</v>
      </c>
      <c r="Y267" s="2">
        <v>27</v>
      </c>
      <c r="Z267" s="2">
        <f>VLOOKUP(E267,YieldData!T:U,2,FALSE)</f>
        <v>2271.8405006418484</v>
      </c>
      <c r="AA267">
        <f t="shared" si="8"/>
        <v>0.39816996591113002</v>
      </c>
    </row>
    <row r="268" spans="1:27" hidden="1" x14ac:dyDescent="0.25">
      <c r="A268">
        <v>33</v>
      </c>
      <c r="B268">
        <v>403</v>
      </c>
      <c r="C268" t="s">
        <v>20</v>
      </c>
      <c r="D268">
        <v>25111</v>
      </c>
      <c r="E268">
        <f t="shared" si="9"/>
        <v>25111403</v>
      </c>
      <c r="F268">
        <f>VLOOKUP(E268,YieldData!D:F,2,FALSE)</f>
        <v>9</v>
      </c>
      <c r="G268">
        <f>VLOOKUP($E268,YieldData!$D:$F,3,FALSE)</f>
        <v>3</v>
      </c>
      <c r="H268">
        <v>16</v>
      </c>
      <c r="I268" t="s">
        <v>21</v>
      </c>
      <c r="J268" t="s">
        <v>22</v>
      </c>
      <c r="K268" s="2">
        <v>4559.9573030000001</v>
      </c>
      <c r="L268" s="2">
        <v>53585307.530000001</v>
      </c>
      <c r="M268" s="3">
        <v>13646.950709999999</v>
      </c>
      <c r="N268" s="3">
        <v>42527598.229999997</v>
      </c>
      <c r="O268" s="4">
        <v>7.8126652000000005E-2</v>
      </c>
      <c r="P268" s="4">
        <v>1.3855928E-2</v>
      </c>
      <c r="Q268" s="5">
        <v>-3.4946623000000003E-2</v>
      </c>
      <c r="R268" s="5">
        <v>1.334317E-3</v>
      </c>
      <c r="S268" s="6">
        <v>0.28130377400000001</v>
      </c>
      <c r="T268" s="6">
        <v>3.7960590000000002E-2</v>
      </c>
      <c r="U268" s="7">
        <v>0.17479650999999999</v>
      </c>
      <c r="V268" s="7">
        <v>0.14424269000000001</v>
      </c>
      <c r="W268" s="8">
        <v>0.69455598200000002</v>
      </c>
      <c r="X268" s="8">
        <v>0.21214796999999999</v>
      </c>
      <c r="Y268" s="2">
        <v>20</v>
      </c>
      <c r="Z268" s="2">
        <f>VLOOKUP(E268,YieldData!T:U,2,FALSE)</f>
        <v>1551.3222079589218</v>
      </c>
      <c r="AA268">
        <f t="shared" si="8"/>
        <v>0.79020442072403196</v>
      </c>
    </row>
    <row r="269" spans="1:27" hidden="1" x14ac:dyDescent="0.25">
      <c r="A269">
        <v>34</v>
      </c>
      <c r="B269">
        <v>404</v>
      </c>
      <c r="C269" t="s">
        <v>20</v>
      </c>
      <c r="D269">
        <v>25111</v>
      </c>
      <c r="E269">
        <f t="shared" si="9"/>
        <v>25111404</v>
      </c>
      <c r="F269">
        <f>VLOOKUP(E269,YieldData!D:F,2,FALSE)</f>
        <v>6</v>
      </c>
      <c r="G269">
        <f>VLOOKUP($E269,YieldData!$D:$F,3,FALSE)</f>
        <v>3</v>
      </c>
      <c r="H269">
        <v>16</v>
      </c>
      <c r="I269" t="s">
        <v>21</v>
      </c>
      <c r="J269" t="s">
        <v>22</v>
      </c>
      <c r="K269" s="2">
        <v>3047.2136679999999</v>
      </c>
      <c r="L269" s="2">
        <v>25909762.579999998</v>
      </c>
      <c r="M269" s="3">
        <v>15518.96766</v>
      </c>
      <c r="N269" s="3">
        <v>27888060.359999999</v>
      </c>
      <c r="O269" s="4">
        <v>1.7013245E-2</v>
      </c>
      <c r="P269" s="4">
        <v>1.0976593E-2</v>
      </c>
      <c r="Q269" s="5">
        <v>-5.0641243000000002E-2</v>
      </c>
      <c r="R269" s="5">
        <v>1.0722049999999999E-3</v>
      </c>
      <c r="S269" s="6">
        <v>0.211511792</v>
      </c>
      <c r="T269" s="6">
        <v>2.6492936000000002E-2</v>
      </c>
      <c r="U269" s="7">
        <v>9.8836885999999999E-2</v>
      </c>
      <c r="V269" s="7">
        <v>8.9068155999999996E-2</v>
      </c>
      <c r="W269" s="8">
        <v>0.81089291299999999</v>
      </c>
      <c r="X269" s="8">
        <v>0.153345597</v>
      </c>
      <c r="Y269" s="2">
        <v>34</v>
      </c>
      <c r="Z269" s="2">
        <f>VLOOKUP(E269,YieldData!T:U,2,FALSE)</f>
        <v>2596.150513478819</v>
      </c>
      <c r="AA269">
        <f t="shared" si="8"/>
        <v>0.644271138595505</v>
      </c>
    </row>
    <row r="270" spans="1:27" hidden="1" x14ac:dyDescent="0.25">
      <c r="A270">
        <v>35</v>
      </c>
      <c r="B270">
        <v>405</v>
      </c>
      <c r="C270" t="s">
        <v>20</v>
      </c>
      <c r="D270">
        <v>25111</v>
      </c>
      <c r="E270">
        <f t="shared" si="9"/>
        <v>25111405</v>
      </c>
      <c r="F270">
        <f>VLOOKUP(E270,YieldData!D:F,2,FALSE)</f>
        <v>13</v>
      </c>
      <c r="G270">
        <f>VLOOKUP($E270,YieldData!$D:$F,3,FALSE)</f>
        <v>3</v>
      </c>
      <c r="H270">
        <v>16</v>
      </c>
      <c r="I270" t="s">
        <v>21</v>
      </c>
      <c r="J270" t="s">
        <v>22</v>
      </c>
      <c r="K270" s="2">
        <v>2307.7791400000001</v>
      </c>
      <c r="L270" s="2">
        <v>18334395.309999999</v>
      </c>
      <c r="M270" s="3">
        <v>16336.40878</v>
      </c>
      <c r="N270" s="3">
        <v>18375443.120000001</v>
      </c>
      <c r="O270" s="4">
        <v>3.75285E-4</v>
      </c>
      <c r="P270" s="4">
        <v>6.7815469999999997E-3</v>
      </c>
      <c r="Q270" s="5">
        <v>-5.3542843999999999E-2</v>
      </c>
      <c r="R270" s="5">
        <v>8.4016500000000003E-4</v>
      </c>
      <c r="S270" s="6">
        <v>0.192285066</v>
      </c>
      <c r="T270" s="6">
        <v>1.6446477000000001E-2</v>
      </c>
      <c r="U270" s="7">
        <v>6.2557376999999997E-2</v>
      </c>
      <c r="V270" s="7">
        <v>5.8643951999999999E-2</v>
      </c>
      <c r="W270" s="8">
        <v>0.86309574099999997</v>
      </c>
      <c r="X270" s="8">
        <v>0.118161483</v>
      </c>
      <c r="Y270" s="2">
        <v>31</v>
      </c>
      <c r="Z270" s="2">
        <f>VLOOKUP(E270,YieldData!T:U,2,FALSE)</f>
        <v>2056.2371630295247</v>
      </c>
      <c r="AA270">
        <f t="shared" si="8"/>
        <v>0.39605118520815102</v>
      </c>
    </row>
    <row r="271" spans="1:27" hidden="1" x14ac:dyDescent="0.25">
      <c r="A271">
        <v>36</v>
      </c>
      <c r="B271">
        <v>406</v>
      </c>
      <c r="C271" t="s">
        <v>20</v>
      </c>
      <c r="D271">
        <v>25111</v>
      </c>
      <c r="E271">
        <f t="shared" si="9"/>
        <v>25111406</v>
      </c>
      <c r="F271">
        <f>VLOOKUP(E271,YieldData!D:F,2,FALSE)</f>
        <v>12</v>
      </c>
      <c r="G271">
        <f>VLOOKUP($E271,YieldData!$D:$F,3,FALSE)</f>
        <v>3</v>
      </c>
      <c r="H271">
        <v>16</v>
      </c>
      <c r="I271" t="s">
        <v>21</v>
      </c>
      <c r="J271" t="s">
        <v>22</v>
      </c>
      <c r="K271" s="2">
        <v>3330.9711860000002</v>
      </c>
      <c r="L271" s="2">
        <v>33590728.68</v>
      </c>
      <c r="M271" s="3">
        <v>14083.309499999999</v>
      </c>
      <c r="N271" s="3">
        <v>35747867.18</v>
      </c>
      <c r="O271" s="4">
        <v>6.0695591E-2</v>
      </c>
      <c r="P271" s="4">
        <v>1.4753867E-2</v>
      </c>
      <c r="Q271" s="5">
        <v>-3.2423260000000002E-2</v>
      </c>
      <c r="R271" s="5">
        <v>1.3754489999999999E-3</v>
      </c>
      <c r="S271" s="6">
        <v>0.26686999</v>
      </c>
      <c r="T271" s="6">
        <v>3.3254064E-2</v>
      </c>
      <c r="U271" s="7">
        <v>0.138389559</v>
      </c>
      <c r="V271" s="7">
        <v>0.119237889</v>
      </c>
      <c r="W271" s="8">
        <v>0.77000926000000003</v>
      </c>
      <c r="X271" s="8">
        <v>0.177094999</v>
      </c>
      <c r="Y271" s="2">
        <v>30</v>
      </c>
      <c r="Z271" s="2">
        <f>VLOOKUP(E271,YieldData!T:U,2,FALSE)</f>
        <v>1804.3132220795892</v>
      </c>
      <c r="AA271">
        <f t="shared" si="8"/>
        <v>0.83448868898002404</v>
      </c>
    </row>
    <row r="272" spans="1:27" hidden="1" x14ac:dyDescent="0.25">
      <c r="A272">
        <v>37</v>
      </c>
      <c r="B272">
        <v>407</v>
      </c>
      <c r="C272" t="s">
        <v>20</v>
      </c>
      <c r="D272">
        <v>25111</v>
      </c>
      <c r="E272">
        <f t="shared" si="9"/>
        <v>25111407</v>
      </c>
      <c r="F272">
        <f>VLOOKUP(E272,YieldData!D:F,2,FALSE)</f>
        <v>11</v>
      </c>
      <c r="G272">
        <f>VLOOKUP($E272,YieldData!$D:$F,3,FALSE)</f>
        <v>3</v>
      </c>
      <c r="H272">
        <v>16</v>
      </c>
      <c r="I272" t="s">
        <v>21</v>
      </c>
      <c r="J272" t="s">
        <v>22</v>
      </c>
      <c r="K272" s="2">
        <v>2014.1027819999999</v>
      </c>
      <c r="L272" s="2">
        <v>10349324.84</v>
      </c>
      <c r="M272" s="3">
        <v>16250.0057</v>
      </c>
      <c r="N272" s="3">
        <v>11618067.199999999</v>
      </c>
      <c r="O272" s="4">
        <v>1.6558239999999998E-2</v>
      </c>
      <c r="P272" s="4">
        <v>4.694602E-3</v>
      </c>
      <c r="Q272" s="5">
        <v>-3.8578527000000001E-2</v>
      </c>
      <c r="R272" s="5">
        <v>6.7215299999999999E-4</v>
      </c>
      <c r="S272" s="6">
        <v>0.20077858900000001</v>
      </c>
      <c r="T272" s="6">
        <v>9.3514240000000005E-3</v>
      </c>
      <c r="U272" s="7">
        <v>3.8485378000000001E-2</v>
      </c>
      <c r="V272" s="7">
        <v>3.7004254E-2</v>
      </c>
      <c r="W272" s="8">
        <v>0.69997093399999999</v>
      </c>
      <c r="X272" s="8">
        <v>0.21001162500000001</v>
      </c>
      <c r="Y272" s="2">
        <v>20</v>
      </c>
      <c r="Z272" s="2">
        <f>VLOOKUP(E272,YieldData!T:U,2,FALSE)</f>
        <v>2259.0404364569963</v>
      </c>
      <c r="AA272">
        <f t="shared" si="8"/>
        <v>0.33240483947148503</v>
      </c>
    </row>
    <row r="273" spans="1:27" hidden="1" x14ac:dyDescent="0.25">
      <c r="A273">
        <v>38</v>
      </c>
      <c r="B273">
        <v>408</v>
      </c>
      <c r="C273" t="s">
        <v>20</v>
      </c>
      <c r="D273">
        <v>25111</v>
      </c>
      <c r="E273">
        <f t="shared" si="9"/>
        <v>25111408</v>
      </c>
      <c r="F273">
        <f>VLOOKUP(E273,YieldData!D:F,2,FALSE)</f>
        <v>4</v>
      </c>
      <c r="G273">
        <f>VLOOKUP($E273,YieldData!$D:$F,3,FALSE)</f>
        <v>3</v>
      </c>
      <c r="H273">
        <v>16</v>
      </c>
      <c r="I273" t="s">
        <v>21</v>
      </c>
      <c r="J273" t="s">
        <v>22</v>
      </c>
      <c r="K273" s="2">
        <v>4746.0140309999997</v>
      </c>
      <c r="L273" s="2">
        <v>41680191.32</v>
      </c>
      <c r="M273" s="3">
        <v>13882.15904</v>
      </c>
      <c r="N273" s="3">
        <v>42084329.039999999</v>
      </c>
      <c r="O273" s="4">
        <v>8.5796706E-2</v>
      </c>
      <c r="P273" s="4">
        <v>1.6249729000000001E-2</v>
      </c>
      <c r="Q273" s="5">
        <v>-2.1766112000000001E-2</v>
      </c>
      <c r="R273" s="5">
        <v>1.4011659999999999E-3</v>
      </c>
      <c r="S273" s="6">
        <v>0.29674959899999998</v>
      </c>
      <c r="T273" s="6">
        <v>3.6871850999999997E-2</v>
      </c>
      <c r="U273" s="7">
        <v>0.16903211400000001</v>
      </c>
      <c r="V273" s="7">
        <v>0.140460259</v>
      </c>
      <c r="W273" s="8">
        <v>0.74975779499999995</v>
      </c>
      <c r="X273" s="8">
        <v>0.18762104399999999</v>
      </c>
      <c r="Y273" s="2">
        <v>26</v>
      </c>
      <c r="Z273" s="2">
        <f>VLOOKUP(E273,YieldData!T:U,2,FALSE)</f>
        <v>2716.4634146341464</v>
      </c>
      <c r="AA273">
        <f t="shared" si="8"/>
        <v>0.91196698762035799</v>
      </c>
    </row>
    <row r="274" spans="1:27" hidden="1" x14ac:dyDescent="0.25">
      <c r="A274">
        <v>39</v>
      </c>
      <c r="B274">
        <v>410</v>
      </c>
      <c r="C274" t="s">
        <v>20</v>
      </c>
      <c r="D274">
        <v>25111</v>
      </c>
      <c r="E274">
        <f t="shared" si="9"/>
        <v>25111410</v>
      </c>
      <c r="F274">
        <f>VLOOKUP(E274,YieldData!D:F,2,FALSE)</f>
        <v>7</v>
      </c>
      <c r="G274">
        <f>VLOOKUP($E274,YieldData!$D:$F,3,FALSE)</f>
        <v>3</v>
      </c>
      <c r="H274">
        <v>16</v>
      </c>
      <c r="I274" t="s">
        <v>21</v>
      </c>
      <c r="J274" t="s">
        <v>22</v>
      </c>
      <c r="K274" s="2">
        <v>3332.6748339999999</v>
      </c>
      <c r="L274" s="2">
        <v>34088950.18</v>
      </c>
      <c r="M274" s="3">
        <v>15199.985629999999</v>
      </c>
      <c r="N274" s="3">
        <v>27090348.140000001</v>
      </c>
      <c r="O274" s="4">
        <v>7.0940847000000001E-2</v>
      </c>
      <c r="P274" s="4">
        <v>7.1506929999999996E-3</v>
      </c>
      <c r="Q274" s="5">
        <v>-2.5613543999999999E-2</v>
      </c>
      <c r="R274" s="5">
        <v>1.122882E-3</v>
      </c>
      <c r="S274" s="6">
        <v>0.270593374</v>
      </c>
      <c r="T274" s="6">
        <v>1.9654640000000001E-2</v>
      </c>
      <c r="U274" s="7">
        <v>0.10099780999999999</v>
      </c>
      <c r="V274" s="7">
        <v>9.0797251999999995E-2</v>
      </c>
      <c r="W274" s="8">
        <v>0.867962028</v>
      </c>
      <c r="X274" s="8">
        <v>0.114603946</v>
      </c>
      <c r="Y274" s="2">
        <v>33</v>
      </c>
      <c r="Z274" s="2">
        <f>VLOOKUP(E274,YieldData!T:U,2,FALSE)</f>
        <v>3008.472400513479</v>
      </c>
      <c r="AA274">
        <f t="shared" si="8"/>
        <v>0.76582808127827595</v>
      </c>
    </row>
    <row r="275" spans="1:27" hidden="1" x14ac:dyDescent="0.25">
      <c r="A275">
        <v>40</v>
      </c>
      <c r="B275">
        <v>409</v>
      </c>
      <c r="C275" t="s">
        <v>20</v>
      </c>
      <c r="D275">
        <v>25111</v>
      </c>
      <c r="E275">
        <f t="shared" si="9"/>
        <v>25111409</v>
      </c>
      <c r="F275">
        <f>VLOOKUP(E275,YieldData!D:F,2,FALSE)</f>
        <v>8</v>
      </c>
      <c r="G275">
        <f>VLOOKUP($E275,YieldData!$D:$F,3,FALSE)</f>
        <v>3</v>
      </c>
      <c r="H275">
        <v>16</v>
      </c>
      <c r="I275" t="s">
        <v>21</v>
      </c>
      <c r="J275" t="s">
        <v>22</v>
      </c>
      <c r="K275" s="2">
        <v>5686.9508589999996</v>
      </c>
      <c r="L275" s="2">
        <v>61720786.520000003</v>
      </c>
      <c r="M275" s="3">
        <v>13358.137430000001</v>
      </c>
      <c r="N275" s="3">
        <v>48832053.869999997</v>
      </c>
      <c r="O275" s="4">
        <v>0.117193899</v>
      </c>
      <c r="P275" s="4">
        <v>1.5534766E-2</v>
      </c>
      <c r="Q275" s="5">
        <v>-1.1640027000000001E-2</v>
      </c>
      <c r="R275" s="5">
        <v>1.6258329999999999E-3</v>
      </c>
      <c r="S275" s="6">
        <v>0.33517928600000002</v>
      </c>
      <c r="T275" s="6">
        <v>3.9669575999999998E-2</v>
      </c>
      <c r="U275" s="7">
        <v>0.20734762000000001</v>
      </c>
      <c r="V275" s="7">
        <v>0.164354585</v>
      </c>
      <c r="W275" s="8">
        <v>0.44219591000000003</v>
      </c>
      <c r="X275" s="8">
        <v>0.24665868699999999</v>
      </c>
      <c r="Y275" s="2">
        <v>11</v>
      </c>
      <c r="Z275" s="2">
        <f>VLOOKUP(E275,YieldData!T:U,2,FALSE)</f>
        <v>2987.8305519897308</v>
      </c>
      <c r="AA275">
        <f t="shared" si="8"/>
        <v>0.97096145336251505</v>
      </c>
    </row>
    <row r="276" spans="1:27" hidden="1" x14ac:dyDescent="0.25">
      <c r="A276">
        <v>41</v>
      </c>
      <c r="B276">
        <v>501</v>
      </c>
      <c r="C276" t="s">
        <v>20</v>
      </c>
      <c r="D276">
        <v>25111</v>
      </c>
      <c r="E276">
        <f t="shared" si="9"/>
        <v>25111501</v>
      </c>
      <c r="F276">
        <f>VLOOKUP(E276,YieldData!D:F,2,FALSE)</f>
        <v>10</v>
      </c>
      <c r="G276">
        <f>VLOOKUP($E276,YieldData!$D:$F,3,FALSE)</f>
        <v>3</v>
      </c>
      <c r="H276">
        <v>16</v>
      </c>
      <c r="I276" t="s">
        <v>21</v>
      </c>
      <c r="J276" t="s">
        <v>22</v>
      </c>
      <c r="K276" s="2">
        <v>3101.2158810000001</v>
      </c>
      <c r="L276" s="2">
        <v>27894285.899999999</v>
      </c>
      <c r="M276" s="3">
        <v>14934.137189999999</v>
      </c>
      <c r="N276" s="3">
        <v>30225108.699999999</v>
      </c>
      <c r="O276" s="4">
        <v>7.1544796999999993E-2</v>
      </c>
      <c r="P276" s="4">
        <v>1.0944002E-2</v>
      </c>
      <c r="Q276" s="5">
        <v>-2.9080656999999999E-2</v>
      </c>
      <c r="R276" s="5">
        <v>1.0678899999999999E-3</v>
      </c>
      <c r="S276" s="6">
        <v>0.26215708900000001</v>
      </c>
      <c r="T276" s="6">
        <v>2.5714475000000001E-2</v>
      </c>
      <c r="U276" s="7">
        <v>0.118147921</v>
      </c>
      <c r="V276" s="7">
        <v>0.10418899</v>
      </c>
      <c r="W276" s="8">
        <v>0.67009877799999995</v>
      </c>
      <c r="X276" s="8">
        <v>0.22106640599999999</v>
      </c>
      <c r="Y276" s="2">
        <v>19</v>
      </c>
      <c r="Z276" s="2">
        <f>VLOOKUP(E276,YieldData!T:U,2,FALSE)</f>
        <v>3019.9518613607192</v>
      </c>
      <c r="AA276">
        <f t="shared" si="8"/>
        <v>0.71092479188594404</v>
      </c>
    </row>
    <row r="277" spans="1:27" hidden="1" x14ac:dyDescent="0.25">
      <c r="A277">
        <v>42</v>
      </c>
      <c r="B277">
        <v>502</v>
      </c>
      <c r="C277" t="s">
        <v>20</v>
      </c>
      <c r="D277">
        <v>25111</v>
      </c>
      <c r="E277">
        <f t="shared" si="9"/>
        <v>25111502</v>
      </c>
      <c r="F277">
        <f>VLOOKUP(E277,YieldData!D:F,2,FALSE)</f>
        <v>2</v>
      </c>
      <c r="G277">
        <f>VLOOKUP($E277,YieldData!$D:$F,3,FALSE)</f>
        <v>3</v>
      </c>
      <c r="H277">
        <v>16</v>
      </c>
      <c r="I277" t="s">
        <v>21</v>
      </c>
      <c r="J277" t="s">
        <v>22</v>
      </c>
      <c r="K277" s="2">
        <v>4082.0426870000001</v>
      </c>
      <c r="L277" s="2">
        <v>42010359.689999998</v>
      </c>
      <c r="M277" s="3">
        <v>14317.09584</v>
      </c>
      <c r="N277" s="3">
        <v>47390095.420000002</v>
      </c>
      <c r="O277" s="4">
        <v>8.1256666000000005E-2</v>
      </c>
      <c r="P277" s="4">
        <v>1.6843723000000001E-2</v>
      </c>
      <c r="Q277" s="5">
        <v>-3.4620138000000002E-2</v>
      </c>
      <c r="R277" s="5">
        <v>1.028532E-3</v>
      </c>
      <c r="S277" s="6">
        <v>0.28732505699999999</v>
      </c>
      <c r="T277" s="6">
        <v>4.0442589000000001E-2</v>
      </c>
      <c r="U277" s="7">
        <v>0.17815996000000001</v>
      </c>
      <c r="V277" s="7">
        <v>0.146418989</v>
      </c>
      <c r="W277" s="8">
        <v>0.70756386900000001</v>
      </c>
      <c r="X277" s="8">
        <v>0.20691724</v>
      </c>
      <c r="Y277" s="2">
        <v>25</v>
      </c>
      <c r="Z277" s="2">
        <f>VLOOKUP(E277,YieldData!T:U,2,FALSE)</f>
        <v>3292.9252246469832</v>
      </c>
      <c r="AA277">
        <f t="shared" si="8"/>
        <v>0.77927017426353595</v>
      </c>
    </row>
    <row r="278" spans="1:27" hidden="1" x14ac:dyDescent="0.25">
      <c r="A278">
        <v>43</v>
      </c>
      <c r="B278">
        <v>503</v>
      </c>
      <c r="C278" t="s">
        <v>20</v>
      </c>
      <c r="D278" t="s">
        <v>100</v>
      </c>
      <c r="E278" t="e">
        <f t="shared" si="9"/>
        <v>#VALUE!</v>
      </c>
      <c r="H278">
        <v>16</v>
      </c>
      <c r="I278" t="s">
        <v>21</v>
      </c>
      <c r="J278" t="s">
        <v>22</v>
      </c>
      <c r="K278" s="2">
        <v>3359.0480050000001</v>
      </c>
      <c r="L278" s="2">
        <v>30860624.149999999</v>
      </c>
      <c r="M278" s="3">
        <v>14506.95444</v>
      </c>
      <c r="N278" s="3">
        <v>40208887.939999998</v>
      </c>
      <c r="O278" s="4">
        <v>9.2389605999999999E-2</v>
      </c>
      <c r="P278" s="4">
        <v>1.3651016E-2</v>
      </c>
      <c r="Q278" s="5">
        <v>-2.691143E-2</v>
      </c>
      <c r="R278" s="5">
        <v>1.0791010000000001E-3</v>
      </c>
      <c r="S278" s="6">
        <v>0.28538755199999999</v>
      </c>
      <c r="T278" s="6">
        <v>3.3844137000000003E-2</v>
      </c>
      <c r="U278" s="7">
        <v>0.15299421199999999</v>
      </c>
      <c r="V278" s="7">
        <v>0.12958698299999999</v>
      </c>
      <c r="W278" s="8">
        <v>0.69137397</v>
      </c>
      <c r="X278" s="8">
        <v>0.21337600400000001</v>
      </c>
      <c r="Y278" s="2">
        <v>22</v>
      </c>
      <c r="Z278" s="2" t="e">
        <f>VLOOKUP(E278,YieldData!T:U,2,FALSE)</f>
        <v>#VALUE!</v>
      </c>
      <c r="AA278">
        <f t="shared" si="8"/>
        <v>0.913534329143595</v>
      </c>
    </row>
    <row r="279" spans="1:27" hidden="1" x14ac:dyDescent="0.25">
      <c r="A279">
        <v>44</v>
      </c>
      <c r="B279">
        <v>504</v>
      </c>
      <c r="C279" t="s">
        <v>20</v>
      </c>
      <c r="D279" t="s">
        <v>100</v>
      </c>
      <c r="E279" t="e">
        <f t="shared" si="9"/>
        <v>#VALUE!</v>
      </c>
      <c r="H279">
        <v>16</v>
      </c>
      <c r="I279" t="s">
        <v>21</v>
      </c>
      <c r="J279" t="s">
        <v>22</v>
      </c>
      <c r="K279" s="2">
        <v>3830.0989570000002</v>
      </c>
      <c r="L279" s="2">
        <v>26242944.489999998</v>
      </c>
      <c r="M279" s="3">
        <v>14920.651239999999</v>
      </c>
      <c r="N279" s="3">
        <v>44224228.960000001</v>
      </c>
      <c r="O279" s="4">
        <v>7.6362256000000003E-2</v>
      </c>
      <c r="P279" s="4">
        <v>1.8156355999999998E-2</v>
      </c>
      <c r="Q279" s="5">
        <v>-3.6168709E-2</v>
      </c>
      <c r="R279" s="5">
        <v>1.3022400000000001E-3</v>
      </c>
      <c r="S279" s="6">
        <v>0.273408816</v>
      </c>
      <c r="T279" s="6">
        <v>3.9651467000000003E-2</v>
      </c>
      <c r="U279" s="7">
        <v>0.158118431</v>
      </c>
      <c r="V279" s="7">
        <v>0.13311699299999999</v>
      </c>
      <c r="W279" s="8">
        <v>0.67271066599999996</v>
      </c>
      <c r="X279" s="8">
        <v>0.22017102599999999</v>
      </c>
      <c r="Y279" s="2">
        <v>17</v>
      </c>
      <c r="Z279" s="2" t="e">
        <f>VLOOKUP(E279,YieldData!T:U,2,FALSE)</f>
        <v>#VALUE!</v>
      </c>
      <c r="AA279">
        <f t="shared" si="8"/>
        <v>0.913534329143595</v>
      </c>
    </row>
    <row r="280" spans="1:27" hidden="1" x14ac:dyDescent="0.25">
      <c r="A280">
        <v>45</v>
      </c>
      <c r="B280">
        <v>505</v>
      </c>
      <c r="C280" t="s">
        <v>20</v>
      </c>
      <c r="D280" t="s">
        <v>100</v>
      </c>
      <c r="E280" t="e">
        <f t="shared" si="9"/>
        <v>#VALUE!</v>
      </c>
      <c r="H280">
        <v>16</v>
      </c>
      <c r="I280" t="s">
        <v>21</v>
      </c>
      <c r="J280" t="s">
        <v>22</v>
      </c>
      <c r="K280" s="2">
        <v>4401.3935149999998</v>
      </c>
      <c r="L280" s="2">
        <v>39200959.75</v>
      </c>
      <c r="M280" s="3">
        <v>13978.341410000001</v>
      </c>
      <c r="N280" s="3">
        <v>51469874.780000001</v>
      </c>
      <c r="O280" s="4">
        <v>8.8966817000000004E-2</v>
      </c>
      <c r="P280" s="4">
        <v>1.9792869000000001E-2</v>
      </c>
      <c r="Q280" s="5">
        <v>-3.3512137999999997E-2</v>
      </c>
      <c r="R280" s="5">
        <v>1.6638060000000001E-3</v>
      </c>
      <c r="S280" s="6">
        <v>0.29817558700000002</v>
      </c>
      <c r="T280" s="6">
        <v>4.2219602000000002E-2</v>
      </c>
      <c r="U280" s="7">
        <v>0.191653505</v>
      </c>
      <c r="V280" s="7">
        <v>0.154922439</v>
      </c>
      <c r="W280" s="8">
        <v>0.62595290299999995</v>
      </c>
      <c r="X280" s="8">
        <v>0.234135866</v>
      </c>
      <c r="Y280" s="2">
        <v>21</v>
      </c>
      <c r="Z280" s="2" t="e">
        <f>VLOOKUP(E280,YieldData!T:U,2,FALSE)</f>
        <v>#VALUE!</v>
      </c>
      <c r="AA280">
        <f t="shared" si="8"/>
        <v>0.913534329143595</v>
      </c>
    </row>
    <row r="281" spans="1:27" hidden="1" x14ac:dyDescent="0.25">
      <c r="A281">
        <v>46</v>
      </c>
      <c r="B281">
        <v>506</v>
      </c>
      <c r="C281" t="s">
        <v>20</v>
      </c>
      <c r="D281" t="s">
        <v>100</v>
      </c>
      <c r="E281" t="e">
        <f t="shared" si="9"/>
        <v>#VALUE!</v>
      </c>
      <c r="H281">
        <v>16</v>
      </c>
      <c r="I281" t="s">
        <v>21</v>
      </c>
      <c r="J281" t="s">
        <v>22</v>
      </c>
      <c r="K281" s="2">
        <v>3087.2640670000001</v>
      </c>
      <c r="L281" s="2">
        <v>21936012.760000002</v>
      </c>
      <c r="M281" s="3">
        <v>14729.14162</v>
      </c>
      <c r="N281" s="3">
        <v>33883979.329999998</v>
      </c>
      <c r="O281" s="4">
        <v>6.5141283999999994E-2</v>
      </c>
      <c r="P281" s="4">
        <v>1.545798E-2</v>
      </c>
      <c r="Q281" s="5">
        <v>-3.3057499999999997E-2</v>
      </c>
      <c r="R281" s="5">
        <v>1.205982E-3</v>
      </c>
      <c r="S281" s="6">
        <v>0.26705583999999999</v>
      </c>
      <c r="T281" s="6">
        <v>3.0780946999999999E-2</v>
      </c>
      <c r="U281" s="7">
        <v>0.134674829</v>
      </c>
      <c r="V281" s="7">
        <v>0.11653751900000001</v>
      </c>
      <c r="W281" s="8">
        <v>0.92253887999999995</v>
      </c>
      <c r="X281" s="8">
        <v>7.1460894999999997E-2</v>
      </c>
      <c r="Y281" s="2">
        <v>40</v>
      </c>
      <c r="Z281" s="2" t="e">
        <f>VLOOKUP(E281,YieldData!T:U,2,FALSE)</f>
        <v>#VALUE!</v>
      </c>
      <c r="AA281">
        <f t="shared" si="8"/>
        <v>0.913534329143595</v>
      </c>
    </row>
    <row r="282" spans="1:27" hidden="1" x14ac:dyDescent="0.25">
      <c r="A282">
        <v>47</v>
      </c>
      <c r="B282">
        <v>510</v>
      </c>
      <c r="C282" t="s">
        <v>20</v>
      </c>
      <c r="D282" t="s">
        <v>100</v>
      </c>
      <c r="E282" t="e">
        <f t="shared" si="9"/>
        <v>#VALUE!</v>
      </c>
      <c r="H282">
        <v>16</v>
      </c>
      <c r="I282" t="s">
        <v>21</v>
      </c>
      <c r="J282" t="s">
        <v>22</v>
      </c>
      <c r="K282" s="2">
        <v>5131.8335660000002</v>
      </c>
      <c r="L282" s="2">
        <v>51566185.590000004</v>
      </c>
      <c r="M282" s="3">
        <v>13164.02743</v>
      </c>
      <c r="N282" s="3">
        <v>57730332.200000003</v>
      </c>
      <c r="O282" s="4">
        <v>0.121157612</v>
      </c>
      <c r="P282" s="4">
        <v>1.9469923E-2</v>
      </c>
      <c r="Q282" s="5">
        <v>-1.5682794E-2</v>
      </c>
      <c r="R282" s="5">
        <v>1.964642E-3</v>
      </c>
      <c r="S282" s="6">
        <v>0.34185890099999999</v>
      </c>
      <c r="T282" s="6">
        <v>4.1799041000000002E-2</v>
      </c>
      <c r="U282" s="7">
        <v>0.21951219499999999</v>
      </c>
      <c r="V282" s="7">
        <v>0.171326591</v>
      </c>
      <c r="W282" s="8">
        <v>0.67206681199999996</v>
      </c>
      <c r="X282" s="8">
        <v>0.220393012</v>
      </c>
      <c r="Y282" s="2">
        <v>16</v>
      </c>
      <c r="Z282" s="2" t="e">
        <f>VLOOKUP(E282,YieldData!T:U,2,FALSE)</f>
        <v>#VALUE!</v>
      </c>
      <c r="AA282">
        <f t="shared" si="8"/>
        <v>0.913534329143595</v>
      </c>
    </row>
    <row r="283" spans="1:27" hidden="1" x14ac:dyDescent="0.25">
      <c r="A283">
        <v>48</v>
      </c>
      <c r="B283">
        <v>509</v>
      </c>
      <c r="C283" t="s">
        <v>20</v>
      </c>
      <c r="D283" t="s">
        <v>100</v>
      </c>
      <c r="E283" t="e">
        <f t="shared" si="9"/>
        <v>#VALUE!</v>
      </c>
      <c r="H283">
        <v>16</v>
      </c>
      <c r="I283" t="s">
        <v>21</v>
      </c>
      <c r="J283" t="s">
        <v>22</v>
      </c>
      <c r="K283" s="2">
        <v>3629.1702639999999</v>
      </c>
      <c r="L283" s="2">
        <v>28657416.98</v>
      </c>
      <c r="M283" s="3">
        <v>14505.42042</v>
      </c>
      <c r="N283" s="3">
        <v>49560182.060000002</v>
      </c>
      <c r="O283" s="4">
        <v>0.105550486</v>
      </c>
      <c r="P283" s="4">
        <v>2.2113565000000002E-2</v>
      </c>
      <c r="Q283" s="5">
        <v>-1.7285450000000001E-2</v>
      </c>
      <c r="R283" s="5">
        <v>1.6283580000000001E-3</v>
      </c>
      <c r="S283" s="6">
        <v>0.31790710799999999</v>
      </c>
      <c r="T283" s="6">
        <v>4.4082834000000001E-2</v>
      </c>
      <c r="U283" s="7">
        <v>0.18612864000000001</v>
      </c>
      <c r="V283" s="7">
        <v>0.15148476899999999</v>
      </c>
      <c r="W283" s="8">
        <v>0.78190820999999999</v>
      </c>
      <c r="X283" s="8">
        <v>0.170527761</v>
      </c>
      <c r="Y283" s="2">
        <v>23</v>
      </c>
      <c r="Z283" s="2" t="e">
        <f>VLOOKUP(E283,YieldData!T:U,2,FALSE)</f>
        <v>#VALUE!</v>
      </c>
      <c r="AA283">
        <f t="shared" si="8"/>
        <v>0.913534329143595</v>
      </c>
    </row>
    <row r="284" spans="1:27" hidden="1" x14ac:dyDescent="0.25">
      <c r="A284">
        <v>49</v>
      </c>
      <c r="B284">
        <v>508</v>
      </c>
      <c r="C284" t="s">
        <v>20</v>
      </c>
      <c r="D284" t="s">
        <v>100</v>
      </c>
      <c r="E284" t="e">
        <f t="shared" si="9"/>
        <v>#VALUE!</v>
      </c>
      <c r="H284">
        <v>16</v>
      </c>
      <c r="I284" t="s">
        <v>21</v>
      </c>
      <c r="J284" t="s">
        <v>22</v>
      </c>
      <c r="K284" s="2">
        <v>3324.8217559999998</v>
      </c>
      <c r="L284" s="2">
        <v>28197523.98</v>
      </c>
      <c r="M284" s="3">
        <v>14881.390160000001</v>
      </c>
      <c r="N284" s="3">
        <v>42156234.079999998</v>
      </c>
      <c r="O284" s="4">
        <v>7.1770988999999993E-2</v>
      </c>
      <c r="P284" s="4">
        <v>1.9866971000000001E-2</v>
      </c>
      <c r="Q284" s="5">
        <v>-2.8011359E-2</v>
      </c>
      <c r="R284" s="5">
        <v>1.3726680000000001E-3</v>
      </c>
      <c r="S284" s="6">
        <v>0.28359910599999999</v>
      </c>
      <c r="T284" s="6">
        <v>3.9469401000000001E-2</v>
      </c>
      <c r="U284" s="7">
        <v>0.16128673199999999</v>
      </c>
      <c r="V284" s="7">
        <v>0.135273322</v>
      </c>
      <c r="W284" s="8">
        <v>0.678128065</v>
      </c>
      <c r="X284" s="8">
        <v>0.21827039300000001</v>
      </c>
      <c r="Y284" s="2">
        <v>19</v>
      </c>
      <c r="Z284" s="2" t="e">
        <f>VLOOKUP(E284,YieldData!T:U,2,FALSE)</f>
        <v>#VALUE!</v>
      </c>
      <c r="AA284">
        <f t="shared" si="8"/>
        <v>0.913534329143595</v>
      </c>
    </row>
    <row r="285" spans="1:27" hidden="1" x14ac:dyDescent="0.25">
      <c r="A285">
        <v>50</v>
      </c>
      <c r="B285">
        <v>507</v>
      </c>
      <c r="C285" t="s">
        <v>20</v>
      </c>
      <c r="D285" t="s">
        <v>100</v>
      </c>
      <c r="E285" t="e">
        <f t="shared" si="9"/>
        <v>#VALUE!</v>
      </c>
      <c r="H285">
        <v>16</v>
      </c>
      <c r="I285" t="s">
        <v>21</v>
      </c>
      <c r="J285" t="s">
        <v>22</v>
      </c>
      <c r="K285" s="2">
        <v>3932.1000039999999</v>
      </c>
      <c r="L285" s="2">
        <v>30785838.530000001</v>
      </c>
      <c r="M285" s="3">
        <v>13502.93339</v>
      </c>
      <c r="N285" s="3">
        <v>45778504.93</v>
      </c>
      <c r="O285" s="4">
        <v>0.102428934</v>
      </c>
      <c r="P285" s="4">
        <v>2.292756E-2</v>
      </c>
      <c r="Q285" s="5">
        <v>-2.3528305999999999E-2</v>
      </c>
      <c r="R285" s="5">
        <v>1.5449210000000001E-3</v>
      </c>
      <c r="S285" s="6">
        <v>0.31832540599999998</v>
      </c>
      <c r="T285" s="6">
        <v>4.4627775000000001E-2</v>
      </c>
      <c r="U285" s="7">
        <v>0.208886027</v>
      </c>
      <c r="V285" s="7">
        <v>0.165252655</v>
      </c>
      <c r="W285" s="8">
        <v>0.85844331900000004</v>
      </c>
      <c r="X285" s="8">
        <v>0.12151838700000001</v>
      </c>
      <c r="Y285" s="2">
        <v>35</v>
      </c>
      <c r="Z285" s="2" t="e">
        <f>VLOOKUP(E285,YieldData!T:U,2,FALSE)</f>
        <v>#VALUE!</v>
      </c>
      <c r="AA285">
        <f t="shared" si="8"/>
        <v>0.913534329143595</v>
      </c>
    </row>
    <row r="286" spans="1:27" hidden="1" x14ac:dyDescent="0.25">
      <c r="A286">
        <v>51</v>
      </c>
      <c r="B286">
        <v>601</v>
      </c>
      <c r="C286" t="s">
        <v>20</v>
      </c>
      <c r="D286">
        <v>25112</v>
      </c>
      <c r="E286">
        <f t="shared" si="9"/>
        <v>25112601</v>
      </c>
      <c r="F286">
        <f>VLOOKUP(E286,YieldData!D:F,2,FALSE)</f>
        <v>1</v>
      </c>
      <c r="G286">
        <f>VLOOKUP($E286,YieldData!$D:$F,3,FALSE)</f>
        <v>1</v>
      </c>
      <c r="H286">
        <v>16</v>
      </c>
      <c r="I286" t="s">
        <v>21</v>
      </c>
      <c r="J286" t="s">
        <v>22</v>
      </c>
      <c r="K286" s="2">
        <v>2691.43532</v>
      </c>
      <c r="L286" s="2">
        <v>17478405.16</v>
      </c>
      <c r="M286" s="3">
        <v>15079.930490000001</v>
      </c>
      <c r="N286" s="3">
        <v>20522649.43</v>
      </c>
      <c r="O286" s="4">
        <v>4.7883777000000002E-2</v>
      </c>
      <c r="P286" s="4">
        <v>6.5784060000000002E-3</v>
      </c>
      <c r="Q286" s="5">
        <v>-3.3678733000000002E-2</v>
      </c>
      <c r="R286" s="5">
        <v>9.2562500000000002E-4</v>
      </c>
      <c r="S286" s="6">
        <v>0.23740193400000001</v>
      </c>
      <c r="T286" s="6">
        <v>1.6580702999999999E-2</v>
      </c>
      <c r="U286" s="7">
        <v>7.8472841000000002E-2</v>
      </c>
      <c r="V286" s="7">
        <v>7.2314853999999998E-2</v>
      </c>
      <c r="W286" s="8">
        <v>0.727397768</v>
      </c>
      <c r="X286" s="8">
        <v>0.198290255</v>
      </c>
      <c r="Y286" s="2">
        <v>37</v>
      </c>
      <c r="Z286" s="2">
        <f>VLOOKUP(E286,YieldData!T:U,2,FALSE)</f>
        <v>2181.5917843388966</v>
      </c>
      <c r="AA286">
        <f t="shared" si="8"/>
        <v>0.56725628789781501</v>
      </c>
    </row>
    <row r="287" spans="1:27" hidden="1" x14ac:dyDescent="0.25">
      <c r="A287">
        <v>52</v>
      </c>
      <c r="B287">
        <v>602</v>
      </c>
      <c r="C287" t="s">
        <v>20</v>
      </c>
      <c r="D287">
        <v>25112</v>
      </c>
      <c r="E287">
        <f t="shared" si="9"/>
        <v>25112602</v>
      </c>
      <c r="F287">
        <f>VLOOKUP(E287,YieldData!D:F,2,FALSE)</f>
        <v>2</v>
      </c>
      <c r="G287">
        <f>VLOOKUP($E287,YieldData!$D:$F,3,FALSE)</f>
        <v>1</v>
      </c>
      <c r="H287">
        <v>16</v>
      </c>
      <c r="I287" t="s">
        <v>21</v>
      </c>
      <c r="J287" t="s">
        <v>22</v>
      </c>
      <c r="K287" s="2">
        <v>3042.9828309999998</v>
      </c>
      <c r="L287" s="2">
        <v>21048371.460000001</v>
      </c>
      <c r="M287" s="3">
        <v>15690.72539</v>
      </c>
      <c r="N287" s="3">
        <v>22889566.329999998</v>
      </c>
      <c r="O287" s="4">
        <v>4.0534162999999998E-2</v>
      </c>
      <c r="P287" s="4">
        <v>7.8731600000000006E-3</v>
      </c>
      <c r="Q287" s="5">
        <v>-4.0411603999999997E-2</v>
      </c>
      <c r="R287" s="5">
        <v>7.8694500000000005E-4</v>
      </c>
      <c r="S287" s="6">
        <v>0.23292431799999999</v>
      </c>
      <c r="T287" s="6">
        <v>1.9889546000000001E-2</v>
      </c>
      <c r="U287" s="7">
        <v>9.0572129000000001E-2</v>
      </c>
      <c r="V287" s="7">
        <v>8.2368817999999996E-2</v>
      </c>
      <c r="W287" s="8">
        <v>0.87410529599999998</v>
      </c>
      <c r="X287" s="8">
        <v>0.11004522799999999</v>
      </c>
      <c r="Y287" s="2">
        <v>36</v>
      </c>
      <c r="Z287" s="2">
        <f>VLOOKUP(E287,YieldData!T:U,2,FALSE)</f>
        <v>2508.231707317073</v>
      </c>
      <c r="AA287">
        <f t="shared" si="8"/>
        <v>0.55694771065448401</v>
      </c>
    </row>
    <row r="288" spans="1:27" hidden="1" x14ac:dyDescent="0.25">
      <c r="A288">
        <v>53</v>
      </c>
      <c r="B288">
        <v>603</v>
      </c>
      <c r="C288" t="s">
        <v>20</v>
      </c>
      <c r="D288">
        <v>25112</v>
      </c>
      <c r="E288">
        <f t="shared" si="9"/>
        <v>25112603</v>
      </c>
      <c r="F288">
        <f>VLOOKUP(E288,YieldData!D:F,2,FALSE)</f>
        <v>3</v>
      </c>
      <c r="G288">
        <f>VLOOKUP($E288,YieldData!$D:$F,3,FALSE)</f>
        <v>1</v>
      </c>
      <c r="H288">
        <v>16</v>
      </c>
      <c r="I288" t="s">
        <v>21</v>
      </c>
      <c r="J288" t="s">
        <v>22</v>
      </c>
      <c r="K288" s="2">
        <v>4641.4825199999996</v>
      </c>
      <c r="L288" s="2">
        <v>39887475.640000001</v>
      </c>
      <c r="M288" s="3">
        <v>14283.80431</v>
      </c>
      <c r="N288" s="3">
        <v>49570091.240000002</v>
      </c>
      <c r="O288" s="4">
        <v>9.9908091000000004E-2</v>
      </c>
      <c r="P288" s="4">
        <v>1.5749189E-2</v>
      </c>
      <c r="Q288" s="5">
        <v>-2.5791977000000001E-2</v>
      </c>
      <c r="R288" s="5">
        <v>1.2226439999999999E-3</v>
      </c>
      <c r="S288" s="6">
        <v>0.30341478799999999</v>
      </c>
      <c r="T288" s="6">
        <v>3.9494545999999998E-2</v>
      </c>
      <c r="U288" s="7">
        <v>0.18336001900000001</v>
      </c>
      <c r="V288" s="7">
        <v>0.149739122</v>
      </c>
      <c r="W288" s="8">
        <v>0.69540837799999999</v>
      </c>
      <c r="X288" s="8">
        <v>0.21181556600000001</v>
      </c>
      <c r="Y288" s="2">
        <v>19</v>
      </c>
      <c r="Z288" s="2">
        <f>VLOOKUP(E288,YieldData!T:U,2,FALSE)</f>
        <v>2318.1354300385115</v>
      </c>
      <c r="AA288">
        <f t="shared" si="8"/>
        <v>0.77373397558427004</v>
      </c>
    </row>
    <row r="289" spans="1:27" hidden="1" x14ac:dyDescent="0.25">
      <c r="A289">
        <v>54</v>
      </c>
      <c r="B289">
        <v>604</v>
      </c>
      <c r="C289" t="s">
        <v>20</v>
      </c>
      <c r="D289">
        <v>25112</v>
      </c>
      <c r="E289">
        <f t="shared" si="9"/>
        <v>25112604</v>
      </c>
      <c r="F289">
        <f>VLOOKUP(E289,YieldData!D:F,2,FALSE)</f>
        <v>4</v>
      </c>
      <c r="G289">
        <f>VLOOKUP($E289,YieldData!$D:$F,3,FALSE)</f>
        <v>1</v>
      </c>
      <c r="H289">
        <v>16</v>
      </c>
      <c r="I289" t="s">
        <v>21</v>
      </c>
      <c r="J289" t="s">
        <v>22</v>
      </c>
      <c r="K289" s="2">
        <v>4794.0178830000004</v>
      </c>
      <c r="L289" s="2">
        <v>34987270.299999997</v>
      </c>
      <c r="M289" s="3">
        <v>14724.54796</v>
      </c>
      <c r="N289" s="3">
        <v>49023689.289999999</v>
      </c>
      <c r="O289" s="4">
        <v>7.6307457999999995E-2</v>
      </c>
      <c r="P289" s="4">
        <v>1.7699139999999999E-2</v>
      </c>
      <c r="Q289" s="5">
        <v>-3.46705E-2</v>
      </c>
      <c r="R289" s="5">
        <v>1.3733720000000001E-3</v>
      </c>
      <c r="S289" s="6">
        <v>0.28110060199999998</v>
      </c>
      <c r="T289" s="6">
        <v>4.1278866999999997E-2</v>
      </c>
      <c r="U289" s="7">
        <v>0.171720278</v>
      </c>
      <c r="V289" s="7">
        <v>0.142232424</v>
      </c>
      <c r="W289" s="8">
        <v>0.67427967200000005</v>
      </c>
      <c r="X289" s="8">
        <v>0.21962659600000001</v>
      </c>
      <c r="Y289" s="2">
        <v>18</v>
      </c>
      <c r="Z289" s="2">
        <f>VLOOKUP(E289,YieldData!T:U,2,FALSE)</f>
        <v>634.45924261874211</v>
      </c>
      <c r="AA289">
        <f t="shared" si="8"/>
        <v>0.83857877413982296</v>
      </c>
    </row>
    <row r="290" spans="1:27" hidden="1" x14ac:dyDescent="0.25">
      <c r="A290">
        <v>55</v>
      </c>
      <c r="B290">
        <v>605</v>
      </c>
      <c r="C290" t="s">
        <v>20</v>
      </c>
      <c r="D290">
        <v>25112</v>
      </c>
      <c r="E290">
        <f t="shared" si="9"/>
        <v>25112605</v>
      </c>
      <c r="F290">
        <f>VLOOKUP(E290,YieldData!D:F,2,FALSE)</f>
        <v>3</v>
      </c>
      <c r="G290">
        <f>VLOOKUP($E290,YieldData!$D:$F,3,FALSE)</f>
        <v>2</v>
      </c>
      <c r="H290">
        <v>16</v>
      </c>
      <c r="I290" t="s">
        <v>21</v>
      </c>
      <c r="J290" t="s">
        <v>22</v>
      </c>
      <c r="K290" s="2">
        <v>4091.7135579999999</v>
      </c>
      <c r="L290" s="2">
        <v>25271324.93</v>
      </c>
      <c r="M290" s="3">
        <v>14675.68756</v>
      </c>
      <c r="N290" s="3">
        <v>36959058.07</v>
      </c>
      <c r="O290" s="4">
        <v>6.7720168999999997E-2</v>
      </c>
      <c r="P290" s="4">
        <v>1.3975477E-2</v>
      </c>
      <c r="Q290" s="5">
        <v>-3.6303739000000002E-2</v>
      </c>
      <c r="R290" s="5">
        <v>1.383839E-3</v>
      </c>
      <c r="S290" s="6">
        <v>0.26830957999999999</v>
      </c>
      <c r="T290" s="6">
        <v>3.2312898999999999E-2</v>
      </c>
      <c r="U290" s="7">
        <v>0.14368424299999999</v>
      </c>
      <c r="V290" s="7">
        <v>0.12303908199999999</v>
      </c>
      <c r="W290" s="8">
        <v>0.83254196499999999</v>
      </c>
      <c r="X290" s="8">
        <v>0.13941584200000001</v>
      </c>
      <c r="Y290" s="2">
        <v>24</v>
      </c>
      <c r="Z290" s="2">
        <f>VLOOKUP(E290,YieldData!T:U,2,FALSE)</f>
        <v>1653.1209884467266</v>
      </c>
      <c r="AA290">
        <f t="shared" si="8"/>
        <v>0.73001203691320005</v>
      </c>
    </row>
    <row r="291" spans="1:27" hidden="1" x14ac:dyDescent="0.25">
      <c r="A291">
        <v>56</v>
      </c>
      <c r="B291">
        <v>606</v>
      </c>
      <c r="C291" t="s">
        <v>20</v>
      </c>
      <c r="D291">
        <v>25112</v>
      </c>
      <c r="E291">
        <f t="shared" si="9"/>
        <v>25112606</v>
      </c>
      <c r="F291">
        <f>VLOOKUP(E291,YieldData!D:F,2,FALSE)</f>
        <v>4</v>
      </c>
      <c r="G291">
        <f>VLOOKUP($E291,YieldData!$D:$F,3,FALSE)</f>
        <v>2</v>
      </c>
      <c r="H291">
        <v>16</v>
      </c>
      <c r="I291" t="s">
        <v>21</v>
      </c>
      <c r="J291" t="s">
        <v>22</v>
      </c>
      <c r="K291" s="2">
        <v>4184.0376729999998</v>
      </c>
      <c r="L291" s="2">
        <v>36265582.740000002</v>
      </c>
      <c r="M291" s="3">
        <v>13221.434869999999</v>
      </c>
      <c r="N291" s="3">
        <v>41593460.119999997</v>
      </c>
      <c r="O291" s="4">
        <v>0.106207512</v>
      </c>
      <c r="P291" s="4">
        <v>1.5895064E-2</v>
      </c>
      <c r="Q291" s="5">
        <v>-2.3139320000000001E-2</v>
      </c>
      <c r="R291" s="5">
        <v>1.544974E-3</v>
      </c>
      <c r="S291" s="6">
        <v>0.313694786</v>
      </c>
      <c r="T291" s="6">
        <v>3.9377343000000002E-2</v>
      </c>
      <c r="U291" s="7">
        <v>0.185603517</v>
      </c>
      <c r="V291" s="7">
        <v>0.15115485100000001</v>
      </c>
      <c r="W291" s="8">
        <v>0.65681257500000001</v>
      </c>
      <c r="X291" s="8">
        <v>0.22540981600000001</v>
      </c>
      <c r="Y291" s="2">
        <v>15</v>
      </c>
      <c r="Z291" s="2">
        <f>VLOOKUP(E291,YieldData!T:U,2,FALSE)</f>
        <v>258.99550706033375</v>
      </c>
      <c r="AA291">
        <f t="shared" si="8"/>
        <v>0.83590551181102402</v>
      </c>
    </row>
    <row r="292" spans="1:27" hidden="1" x14ac:dyDescent="0.25">
      <c r="A292">
        <v>57</v>
      </c>
      <c r="B292">
        <v>607</v>
      </c>
      <c r="C292" t="s">
        <v>20</v>
      </c>
      <c r="D292">
        <v>25112</v>
      </c>
      <c r="E292">
        <f t="shared" si="9"/>
        <v>25112607</v>
      </c>
      <c r="F292">
        <f>VLOOKUP(E292,YieldData!D:F,2,FALSE)</f>
        <v>1</v>
      </c>
      <c r="G292">
        <f>VLOOKUP($E292,YieldData!$D:$F,3,FALSE)</f>
        <v>2</v>
      </c>
      <c r="H292">
        <v>16</v>
      </c>
      <c r="I292" t="s">
        <v>21</v>
      </c>
      <c r="J292" t="s">
        <v>22</v>
      </c>
      <c r="K292" s="2">
        <v>3116.9730169999998</v>
      </c>
      <c r="L292" s="2">
        <v>27932529.899999999</v>
      </c>
      <c r="M292" s="3">
        <v>15206.18669</v>
      </c>
      <c r="N292" s="3">
        <v>24767822.579999998</v>
      </c>
      <c r="O292" s="4">
        <v>5.3829093000000001E-2</v>
      </c>
      <c r="P292" s="4">
        <v>9.4708729999999994E-3</v>
      </c>
      <c r="Q292" s="5">
        <v>-3.4948448E-2</v>
      </c>
      <c r="R292" s="5">
        <v>9.6827600000000001E-4</v>
      </c>
      <c r="S292" s="6">
        <v>0.25452647299999998</v>
      </c>
      <c r="T292" s="6">
        <v>2.3772063E-2</v>
      </c>
      <c r="U292" s="7">
        <v>0.107918263</v>
      </c>
      <c r="V292" s="7">
        <v>9.6271912000000001E-2</v>
      </c>
      <c r="W292" s="8">
        <v>0.74607836400000005</v>
      </c>
      <c r="X292" s="8">
        <v>0.18944543899999999</v>
      </c>
      <c r="Y292" s="2">
        <v>25</v>
      </c>
      <c r="Z292" s="2">
        <f>VLOOKUP(E292,YieldData!T:U,2,FALSE)</f>
        <v>1494.5314505776639</v>
      </c>
      <c r="AA292">
        <f t="shared" si="8"/>
        <v>0.50546796745290101</v>
      </c>
    </row>
    <row r="293" spans="1:27" hidden="1" x14ac:dyDescent="0.25">
      <c r="A293">
        <v>58</v>
      </c>
      <c r="B293">
        <v>608</v>
      </c>
      <c r="C293" t="s">
        <v>20</v>
      </c>
      <c r="D293">
        <v>25112</v>
      </c>
      <c r="E293">
        <f t="shared" si="9"/>
        <v>25112608</v>
      </c>
      <c r="F293">
        <f>VLOOKUP(E293,YieldData!D:F,2,FALSE)</f>
        <v>2</v>
      </c>
      <c r="G293">
        <f>VLOOKUP($E293,YieldData!$D:$F,3,FALSE)</f>
        <v>2</v>
      </c>
      <c r="H293">
        <v>16</v>
      </c>
      <c r="I293" t="s">
        <v>21</v>
      </c>
      <c r="J293" t="s">
        <v>22</v>
      </c>
      <c r="K293" s="2">
        <v>4149.1687570000004</v>
      </c>
      <c r="L293" s="2">
        <v>44265643.079999998</v>
      </c>
      <c r="M293" s="3">
        <v>14721.67866</v>
      </c>
      <c r="N293" s="3">
        <v>36273435.719999999</v>
      </c>
      <c r="O293" s="4">
        <v>5.4800014000000001E-2</v>
      </c>
      <c r="P293" s="4">
        <v>1.4228800999999999E-2</v>
      </c>
      <c r="Q293" s="5">
        <v>-3.3992986000000003E-2</v>
      </c>
      <c r="R293" s="5">
        <v>1.1590420000000001E-3</v>
      </c>
      <c r="S293" s="6">
        <v>0.27468992800000003</v>
      </c>
      <c r="T293" s="6">
        <v>3.2060714999999997E-2</v>
      </c>
      <c r="U293" s="7">
        <v>0.14797499</v>
      </c>
      <c r="V293" s="7">
        <v>0.12607839200000001</v>
      </c>
      <c r="W293" s="8">
        <v>0.62443877000000003</v>
      </c>
      <c r="X293" s="8">
        <v>0.234514993</v>
      </c>
      <c r="Y293" s="2">
        <v>16</v>
      </c>
      <c r="Z293" s="2">
        <f>VLOOKUP(E293,YieldData!T:U,2,FALSE)</f>
        <v>1636.4489730423622</v>
      </c>
      <c r="AA293">
        <f t="shared" si="8"/>
        <v>0.63237323006172097</v>
      </c>
    </row>
    <row r="294" spans="1:27" hidden="1" x14ac:dyDescent="0.25">
      <c r="A294">
        <v>59</v>
      </c>
      <c r="B294">
        <v>609</v>
      </c>
      <c r="C294" t="s">
        <v>20</v>
      </c>
      <c r="D294">
        <v>25112</v>
      </c>
      <c r="E294">
        <f t="shared" si="9"/>
        <v>25112609</v>
      </c>
      <c r="F294">
        <f>VLOOKUP(E294,YieldData!D:F,2,FALSE)</f>
        <v>4</v>
      </c>
      <c r="G294">
        <f>VLOOKUP($E294,YieldData!$D:$F,3,FALSE)</f>
        <v>3</v>
      </c>
      <c r="H294">
        <v>16</v>
      </c>
      <c r="I294" t="s">
        <v>21</v>
      </c>
      <c r="J294" t="s">
        <v>22</v>
      </c>
      <c r="K294" s="2">
        <v>3804.4584070000001</v>
      </c>
      <c r="L294" s="2">
        <v>29227106.93</v>
      </c>
      <c r="M294" s="3">
        <v>14613.041380000001</v>
      </c>
      <c r="N294" s="3">
        <v>43132675.149999999</v>
      </c>
      <c r="O294" s="4">
        <v>8.9774357999999999E-2</v>
      </c>
      <c r="P294" s="4">
        <v>1.9226711E-2</v>
      </c>
      <c r="Q294" s="5">
        <v>-2.4948194E-2</v>
      </c>
      <c r="R294" s="5">
        <v>1.344767E-3</v>
      </c>
      <c r="S294" s="6">
        <v>0.304863514</v>
      </c>
      <c r="T294" s="6">
        <v>3.8175372999999999E-2</v>
      </c>
      <c r="U294" s="7">
        <v>0.17248999600000001</v>
      </c>
      <c r="V294" s="7">
        <v>0.14273719700000001</v>
      </c>
      <c r="W294" s="8">
        <v>0.65101566799999999</v>
      </c>
      <c r="X294" s="8">
        <v>0.227194268</v>
      </c>
      <c r="Y294" s="2">
        <v>16</v>
      </c>
      <c r="Z294" s="2">
        <f>VLOOKUP(E294,YieldData!T:U,2,FALSE)</f>
        <v>428.16431322207961</v>
      </c>
      <c r="AA294">
        <f t="shared" si="8"/>
        <v>0.74996470784512503</v>
      </c>
    </row>
    <row r="295" spans="1:27" hidden="1" x14ac:dyDescent="0.25">
      <c r="A295">
        <v>60</v>
      </c>
      <c r="B295">
        <v>610</v>
      </c>
      <c r="C295" t="s">
        <v>20</v>
      </c>
      <c r="D295">
        <v>25112</v>
      </c>
      <c r="E295">
        <f t="shared" si="9"/>
        <v>25112610</v>
      </c>
      <c r="F295">
        <f>VLOOKUP(E295,YieldData!D:F,2,FALSE)</f>
        <v>3</v>
      </c>
      <c r="G295">
        <f>VLOOKUP($E295,YieldData!$D:$F,3,FALSE)</f>
        <v>3</v>
      </c>
      <c r="H295">
        <v>16</v>
      </c>
      <c r="I295" t="s">
        <v>21</v>
      </c>
      <c r="J295" t="s">
        <v>22</v>
      </c>
      <c r="K295" s="2">
        <v>2460.2917050000001</v>
      </c>
      <c r="L295" s="2">
        <v>12110562.949999999</v>
      </c>
      <c r="M295" s="3">
        <v>15546.1834</v>
      </c>
      <c r="N295" s="3">
        <v>25096349.809999999</v>
      </c>
      <c r="O295" s="4">
        <v>6.1492919E-2</v>
      </c>
      <c r="P295" s="4">
        <v>9.1385990000000007E-3</v>
      </c>
      <c r="Q295" s="5">
        <v>-2.9645713000000001E-2</v>
      </c>
      <c r="R295" s="5">
        <v>1.0966019999999999E-3</v>
      </c>
      <c r="S295" s="6">
        <v>0.25995445700000003</v>
      </c>
      <c r="T295" s="6">
        <v>1.8188927000000001E-2</v>
      </c>
      <c r="U295" s="7">
        <v>8.9715268000000001E-2</v>
      </c>
      <c r="V295" s="7">
        <v>8.1666437999999994E-2</v>
      </c>
      <c r="W295" s="8">
        <v>0.89267063999999996</v>
      </c>
      <c r="X295" s="8">
        <v>9.5809768000000003E-2</v>
      </c>
      <c r="Y295" s="2">
        <v>33</v>
      </c>
      <c r="Z295" s="2">
        <f>VLOOKUP(E295,YieldData!T:U,2,FALSE)</f>
        <v>2054.942233632863</v>
      </c>
      <c r="AA295">
        <f t="shared" si="8"/>
        <v>0.57715333087188103</v>
      </c>
    </row>
    <row r="296" spans="1:27" hidden="1" x14ac:dyDescent="0.25">
      <c r="A296">
        <v>61</v>
      </c>
      <c r="B296">
        <v>701</v>
      </c>
      <c r="C296" t="s">
        <v>20</v>
      </c>
      <c r="D296" t="s">
        <v>100</v>
      </c>
      <c r="E296" t="e">
        <f t="shared" si="9"/>
        <v>#VALUE!</v>
      </c>
      <c r="H296">
        <v>16</v>
      </c>
      <c r="I296" t="s">
        <v>21</v>
      </c>
      <c r="J296" t="s">
        <v>22</v>
      </c>
      <c r="K296" s="2">
        <v>3250.9233519999998</v>
      </c>
      <c r="L296" s="2">
        <v>25522726.68</v>
      </c>
      <c r="M296" s="3">
        <v>13773.638779999999</v>
      </c>
      <c r="N296" s="3">
        <v>34484643.600000001</v>
      </c>
      <c r="O296" s="4">
        <v>8.6220565999999998E-2</v>
      </c>
      <c r="P296" s="4">
        <v>1.2562488E-2</v>
      </c>
      <c r="Q296" s="5">
        <v>-2.6403540999999999E-2</v>
      </c>
      <c r="R296" s="5">
        <v>1.294878E-3</v>
      </c>
      <c r="S296" s="6">
        <v>0.28789174200000001</v>
      </c>
      <c r="T296" s="6">
        <v>2.8501822999999999E-2</v>
      </c>
      <c r="U296" s="7">
        <v>0.136409172</v>
      </c>
      <c r="V296" s="7">
        <v>0.11780171</v>
      </c>
      <c r="W296" s="8">
        <v>0.56756207199999997</v>
      </c>
      <c r="X296" s="8">
        <v>0.24543536599999999</v>
      </c>
      <c r="Y296" s="2">
        <v>23</v>
      </c>
      <c r="Z296" s="2" t="e">
        <f>VLOOKUP(E296,YieldData!T:U,2,FALSE)</f>
        <v>#VALUE!</v>
      </c>
      <c r="AA296">
        <f t="shared" si="8"/>
        <v>0.913534329143595</v>
      </c>
    </row>
    <row r="297" spans="1:27" hidden="1" x14ac:dyDescent="0.25">
      <c r="A297">
        <v>62</v>
      </c>
      <c r="B297">
        <v>702</v>
      </c>
      <c r="C297" t="s">
        <v>20</v>
      </c>
      <c r="D297" t="s">
        <v>100</v>
      </c>
      <c r="E297" t="e">
        <f t="shared" si="9"/>
        <v>#VALUE!</v>
      </c>
      <c r="H297">
        <v>16</v>
      </c>
      <c r="I297" t="s">
        <v>21</v>
      </c>
      <c r="J297" t="s">
        <v>22</v>
      </c>
      <c r="K297" s="2">
        <v>4089.1620710000002</v>
      </c>
      <c r="L297" s="2">
        <v>33944250.880000003</v>
      </c>
      <c r="M297" s="3">
        <v>15223.6108</v>
      </c>
      <c r="N297" s="3">
        <v>40022069.299999997</v>
      </c>
      <c r="O297" s="4">
        <v>7.9569584999999998E-2</v>
      </c>
      <c r="P297" s="4">
        <v>1.2357744E-2</v>
      </c>
      <c r="Q297" s="5">
        <v>-3.2029825999999997E-2</v>
      </c>
      <c r="R297" s="5">
        <v>1.020045E-3</v>
      </c>
      <c r="S297" s="6">
        <v>0.28149373799999999</v>
      </c>
      <c r="T297" s="6">
        <v>3.0805018E-2</v>
      </c>
      <c r="U297" s="7">
        <v>0.15149105400000001</v>
      </c>
      <c r="V297" s="7">
        <v>0.128541514</v>
      </c>
      <c r="W297" s="8">
        <v>0.77664664800000005</v>
      </c>
      <c r="X297" s="8">
        <v>0.17346663200000001</v>
      </c>
      <c r="Y297" s="2">
        <v>29</v>
      </c>
      <c r="Z297" s="2" t="e">
        <f>VLOOKUP(E297,YieldData!T:U,2,FALSE)</f>
        <v>#VALUE!</v>
      </c>
      <c r="AA297">
        <f t="shared" si="8"/>
        <v>0.913534329143595</v>
      </c>
    </row>
    <row r="298" spans="1:27" hidden="1" x14ac:dyDescent="0.25">
      <c r="A298">
        <v>63</v>
      </c>
      <c r="B298">
        <v>703</v>
      </c>
      <c r="C298" t="s">
        <v>20</v>
      </c>
      <c r="D298" t="s">
        <v>100</v>
      </c>
      <c r="E298" t="e">
        <f t="shared" si="9"/>
        <v>#VALUE!</v>
      </c>
      <c r="H298">
        <v>16</v>
      </c>
      <c r="I298" t="s">
        <v>21</v>
      </c>
      <c r="J298" t="s">
        <v>22</v>
      </c>
      <c r="K298" s="2">
        <v>3876.974142</v>
      </c>
      <c r="L298" s="2">
        <v>30928523.760000002</v>
      </c>
      <c r="M298" s="3">
        <v>14842.38135</v>
      </c>
      <c r="N298" s="3">
        <v>39153653.07</v>
      </c>
      <c r="O298" s="4">
        <v>8.4691975000000003E-2</v>
      </c>
      <c r="P298" s="4">
        <v>1.3589558E-2</v>
      </c>
      <c r="Q298" s="5">
        <v>-2.6623299E-2</v>
      </c>
      <c r="R298" s="5">
        <v>9.4529200000000003E-4</v>
      </c>
      <c r="S298" s="6">
        <v>0.282652499</v>
      </c>
      <c r="T298" s="6">
        <v>3.2874820999999999E-2</v>
      </c>
      <c r="U298" s="7">
        <v>0.14147373099999999</v>
      </c>
      <c r="V298" s="7">
        <v>0.121458914</v>
      </c>
      <c r="W298" s="8">
        <v>0.75342351100000005</v>
      </c>
      <c r="X298" s="8">
        <v>0.185776524</v>
      </c>
      <c r="Y298" s="2">
        <v>25</v>
      </c>
      <c r="Z298" s="2" t="e">
        <f>VLOOKUP(E298,YieldData!T:U,2,FALSE)</f>
        <v>#VALUE!</v>
      </c>
      <c r="AA298">
        <f t="shared" si="8"/>
        <v>0.913534329143595</v>
      </c>
    </row>
    <row r="299" spans="1:27" hidden="1" x14ac:dyDescent="0.25">
      <c r="A299">
        <v>64</v>
      </c>
      <c r="B299">
        <v>704</v>
      </c>
      <c r="C299" t="s">
        <v>20</v>
      </c>
      <c r="D299" t="s">
        <v>100</v>
      </c>
      <c r="E299" t="e">
        <f t="shared" si="9"/>
        <v>#VALUE!</v>
      </c>
      <c r="H299">
        <v>16</v>
      </c>
      <c r="I299" t="s">
        <v>21</v>
      </c>
      <c r="J299" t="s">
        <v>22</v>
      </c>
      <c r="K299" s="2">
        <v>3313.9437160000002</v>
      </c>
      <c r="L299" s="2">
        <v>14981901.73</v>
      </c>
      <c r="M299" s="3">
        <v>15677.052600000001</v>
      </c>
      <c r="N299" s="3">
        <v>29461416.66</v>
      </c>
      <c r="O299" s="4">
        <v>5.4189360999999998E-2</v>
      </c>
      <c r="P299" s="4">
        <v>1.1898842999999999E-2</v>
      </c>
      <c r="Q299" s="5">
        <v>-3.4270150999999999E-2</v>
      </c>
      <c r="R299" s="5">
        <v>1.0179239999999999E-3</v>
      </c>
      <c r="S299" s="6">
        <v>0.24441532699999999</v>
      </c>
      <c r="T299" s="6">
        <v>2.5484377999999999E-2</v>
      </c>
      <c r="U299" s="7">
        <v>0.106818473</v>
      </c>
      <c r="V299" s="7">
        <v>9.5408285999999995E-2</v>
      </c>
      <c r="W299" s="8">
        <v>0.85884131699999999</v>
      </c>
      <c r="X299" s="8">
        <v>0.121232909</v>
      </c>
      <c r="Y299" s="2">
        <v>37</v>
      </c>
      <c r="Z299" s="2" t="e">
        <f>VLOOKUP(E299,YieldData!T:U,2,FALSE)</f>
        <v>#VALUE!</v>
      </c>
      <c r="AA299">
        <f t="shared" si="8"/>
        <v>0.913534329143595</v>
      </c>
    </row>
    <row r="300" spans="1:27" hidden="1" x14ac:dyDescent="0.25">
      <c r="A300">
        <v>65</v>
      </c>
      <c r="B300">
        <v>705</v>
      </c>
      <c r="C300" t="s">
        <v>20</v>
      </c>
      <c r="D300" t="s">
        <v>100</v>
      </c>
      <c r="E300" t="e">
        <f t="shared" si="9"/>
        <v>#VALUE!</v>
      </c>
      <c r="H300">
        <v>16</v>
      </c>
      <c r="I300" t="s">
        <v>21</v>
      </c>
      <c r="J300" t="s">
        <v>22</v>
      </c>
      <c r="K300" s="2">
        <v>4634.1364359999998</v>
      </c>
      <c r="L300" s="2">
        <v>39268825.770000003</v>
      </c>
      <c r="M300" s="3">
        <v>13975.45276</v>
      </c>
      <c r="N300" s="3">
        <v>47741080.850000001</v>
      </c>
      <c r="O300" s="4">
        <v>9.8624860999999994E-2</v>
      </c>
      <c r="P300" s="4">
        <v>1.5595309999999999E-2</v>
      </c>
      <c r="Q300" s="5">
        <v>-2.3203868999999998E-2</v>
      </c>
      <c r="R300" s="5">
        <v>1.4889689999999999E-3</v>
      </c>
      <c r="S300" s="6">
        <v>0.30432371800000002</v>
      </c>
      <c r="T300" s="6">
        <v>3.8010369000000002E-2</v>
      </c>
      <c r="U300" s="7">
        <v>0.18019874</v>
      </c>
      <c r="V300" s="7">
        <v>0.147727154</v>
      </c>
      <c r="W300" s="8">
        <v>0.79587346999999997</v>
      </c>
      <c r="X300" s="8">
        <v>0.162458889</v>
      </c>
      <c r="Y300" s="2">
        <v>22</v>
      </c>
      <c r="Z300" s="2" t="e">
        <f>VLOOKUP(E300,YieldData!T:U,2,FALSE)</f>
        <v>#VALUE!</v>
      </c>
      <c r="AA300">
        <f t="shared" si="8"/>
        <v>0.913534329143595</v>
      </c>
    </row>
    <row r="301" spans="1:27" hidden="1" x14ac:dyDescent="0.25">
      <c r="A301">
        <v>66</v>
      </c>
      <c r="B301">
        <v>706</v>
      </c>
      <c r="C301" t="s">
        <v>20</v>
      </c>
      <c r="D301" t="s">
        <v>100</v>
      </c>
      <c r="E301" t="e">
        <f t="shared" si="9"/>
        <v>#VALUE!</v>
      </c>
      <c r="H301">
        <v>16</v>
      </c>
      <c r="I301" t="s">
        <v>21</v>
      </c>
      <c r="J301" t="s">
        <v>22</v>
      </c>
      <c r="K301" s="2">
        <v>4121.7103200000001</v>
      </c>
      <c r="L301" s="2">
        <v>37992070.850000001</v>
      </c>
      <c r="M301" s="3">
        <v>14031.16453</v>
      </c>
      <c r="N301" s="3">
        <v>41310884.960000001</v>
      </c>
      <c r="O301" s="4">
        <v>9.7530199999999997E-2</v>
      </c>
      <c r="P301" s="4">
        <v>1.4509407E-2</v>
      </c>
      <c r="Q301" s="5">
        <v>-2.0954303000000001E-2</v>
      </c>
      <c r="R301" s="5">
        <v>1.333363E-3</v>
      </c>
      <c r="S301" s="6">
        <v>0.30114463000000002</v>
      </c>
      <c r="T301" s="6">
        <v>3.5439263999999998E-2</v>
      </c>
      <c r="U301" s="7">
        <v>0.165664072</v>
      </c>
      <c r="V301" s="7">
        <v>0.138219487</v>
      </c>
      <c r="W301" s="8">
        <v>0.68276272800000004</v>
      </c>
      <c r="X301" s="8">
        <v>0.21659778499999999</v>
      </c>
      <c r="Y301" s="2">
        <v>18</v>
      </c>
      <c r="Z301" s="2" t="e">
        <f>VLOOKUP(E301,YieldData!T:U,2,FALSE)</f>
        <v>#VALUE!</v>
      </c>
      <c r="AA301">
        <f t="shared" si="8"/>
        <v>0.913534329143595</v>
      </c>
    </row>
    <row r="302" spans="1:27" hidden="1" x14ac:dyDescent="0.25">
      <c r="A302">
        <v>67</v>
      </c>
      <c r="B302">
        <v>707</v>
      </c>
      <c r="C302" t="s">
        <v>20</v>
      </c>
      <c r="D302" t="s">
        <v>100</v>
      </c>
      <c r="E302" t="e">
        <f t="shared" si="9"/>
        <v>#VALUE!</v>
      </c>
      <c r="H302">
        <v>16</v>
      </c>
      <c r="I302" t="s">
        <v>21</v>
      </c>
      <c r="J302" t="s">
        <v>22</v>
      </c>
      <c r="K302" s="2">
        <v>2858.2200549999998</v>
      </c>
      <c r="L302" s="2">
        <v>20607037.120000001</v>
      </c>
      <c r="M302" s="3">
        <v>14757.24919</v>
      </c>
      <c r="N302" s="3">
        <v>22565755.379999999</v>
      </c>
      <c r="O302" s="4">
        <v>6.7559733999999996E-2</v>
      </c>
      <c r="P302" s="4">
        <v>8.2415990000000005E-3</v>
      </c>
      <c r="Q302" s="5">
        <v>-2.6414213999999998E-2</v>
      </c>
      <c r="R302" s="5">
        <v>8.5742499999999998E-4</v>
      </c>
      <c r="S302" s="6">
        <v>0.25837797499999998</v>
      </c>
      <c r="T302" s="6">
        <v>1.9675251000000001E-2</v>
      </c>
      <c r="U302" s="7">
        <v>9.8595812000000005E-2</v>
      </c>
      <c r="V302" s="7">
        <v>8.8874677999999999E-2</v>
      </c>
      <c r="W302" s="8">
        <v>0.91796646299999995</v>
      </c>
      <c r="X302" s="8">
        <v>7.5304036000000005E-2</v>
      </c>
      <c r="Y302" s="2">
        <v>44</v>
      </c>
      <c r="Z302" s="2" t="e">
        <f>VLOOKUP(E302,YieldData!T:U,2,FALSE)</f>
        <v>#VALUE!</v>
      </c>
      <c r="AA302">
        <f t="shared" si="8"/>
        <v>0.913534329143595</v>
      </c>
    </row>
    <row r="303" spans="1:27" hidden="1" x14ac:dyDescent="0.25">
      <c r="A303">
        <v>68</v>
      </c>
      <c r="B303">
        <v>708</v>
      </c>
      <c r="C303" t="s">
        <v>20</v>
      </c>
      <c r="D303" t="s">
        <v>100</v>
      </c>
      <c r="E303" t="e">
        <f t="shared" si="9"/>
        <v>#VALUE!</v>
      </c>
      <c r="H303">
        <v>16</v>
      </c>
      <c r="I303" t="s">
        <v>21</v>
      </c>
      <c r="J303" t="s">
        <v>22</v>
      </c>
      <c r="K303" s="2">
        <v>3402.0810019999999</v>
      </c>
      <c r="L303" s="2">
        <v>31718344.84</v>
      </c>
      <c r="M303" s="3">
        <v>14791.09186</v>
      </c>
      <c r="N303" s="3">
        <v>24591563.739999998</v>
      </c>
      <c r="O303" s="4">
        <v>5.8638377999999998E-2</v>
      </c>
      <c r="P303" s="4">
        <v>8.8613790000000008E-3</v>
      </c>
      <c r="Q303" s="5">
        <v>-2.8099308999999999E-2</v>
      </c>
      <c r="R303" s="5">
        <v>8.4174E-4</v>
      </c>
      <c r="S303" s="6">
        <v>0.26154945000000002</v>
      </c>
      <c r="T303" s="6">
        <v>2.2348494E-2</v>
      </c>
      <c r="U303" s="7">
        <v>0.1084391</v>
      </c>
      <c r="V303" s="7">
        <v>9.6680061999999997E-2</v>
      </c>
      <c r="W303" s="8">
        <v>0.76412758800000002</v>
      </c>
      <c r="X303" s="8">
        <v>0.18023661699999999</v>
      </c>
      <c r="Y303" s="2">
        <v>24</v>
      </c>
      <c r="Z303" s="2" t="e">
        <f>VLOOKUP(E303,YieldData!T:U,2,FALSE)</f>
        <v>#VALUE!</v>
      </c>
      <c r="AA303">
        <f t="shared" si="8"/>
        <v>0.913534329143595</v>
      </c>
    </row>
    <row r="304" spans="1:27" hidden="1" x14ac:dyDescent="0.25">
      <c r="A304">
        <v>69</v>
      </c>
      <c r="B304">
        <v>709</v>
      </c>
      <c r="C304" t="s">
        <v>20</v>
      </c>
      <c r="D304">
        <v>25112</v>
      </c>
      <c r="E304">
        <f t="shared" si="9"/>
        <v>25112709</v>
      </c>
      <c r="F304">
        <f>VLOOKUP(E304,YieldData!D:F,2,FALSE)</f>
        <v>2</v>
      </c>
      <c r="G304">
        <f>VLOOKUP($E304,YieldData!$D:$F,3,FALSE)</f>
        <v>3</v>
      </c>
      <c r="H304">
        <v>16</v>
      </c>
      <c r="I304" t="s">
        <v>21</v>
      </c>
      <c r="J304" t="s">
        <v>22</v>
      </c>
      <c r="K304" s="2">
        <v>2941.3280180000002</v>
      </c>
      <c r="L304" s="2">
        <v>18795348.030000001</v>
      </c>
      <c r="M304" s="3">
        <v>14866.967420000001</v>
      </c>
      <c r="N304" s="3">
        <v>31426019.690000001</v>
      </c>
      <c r="O304" s="4">
        <v>7.8184182000000005E-2</v>
      </c>
      <c r="P304" s="4">
        <v>1.5444685E-2</v>
      </c>
      <c r="Q304" s="5">
        <v>-2.3989127999999998E-2</v>
      </c>
      <c r="R304" s="5">
        <v>1.1856690000000001E-3</v>
      </c>
      <c r="S304" s="6">
        <v>0.28377485099999999</v>
      </c>
      <c r="T304" s="6">
        <v>3.0099127E-2</v>
      </c>
      <c r="U304" s="7">
        <v>0.13474101699999999</v>
      </c>
      <c r="V304" s="7">
        <v>0.116585876</v>
      </c>
      <c r="W304" s="8">
        <v>0.75588508099999996</v>
      </c>
      <c r="X304" s="8">
        <v>0.184522825</v>
      </c>
      <c r="Y304" s="2">
        <v>22</v>
      </c>
      <c r="Z304" s="2">
        <f>VLOOKUP(E304,YieldData!T:U,2,FALSE)</f>
        <v>1822.0876123234914</v>
      </c>
      <c r="AA304">
        <f t="shared" si="8"/>
        <v>0.67412448923316004</v>
      </c>
    </row>
    <row r="305" spans="1:27" hidden="1" x14ac:dyDescent="0.25">
      <c r="A305">
        <v>70</v>
      </c>
      <c r="B305">
        <v>710</v>
      </c>
      <c r="C305" t="s">
        <v>20</v>
      </c>
      <c r="D305">
        <v>25112</v>
      </c>
      <c r="E305">
        <f t="shared" si="9"/>
        <v>25112710</v>
      </c>
      <c r="F305">
        <f>VLOOKUP(E305,YieldData!D:F,2,FALSE)</f>
        <v>1</v>
      </c>
      <c r="G305">
        <f>VLOOKUP($E305,YieldData!$D:$F,3,FALSE)</f>
        <v>3</v>
      </c>
      <c r="H305">
        <v>16</v>
      </c>
      <c r="I305" t="s">
        <v>21</v>
      </c>
      <c r="J305" t="s">
        <v>22</v>
      </c>
      <c r="K305" s="2">
        <v>3950.080097</v>
      </c>
      <c r="L305" s="2">
        <v>36203004.189999998</v>
      </c>
      <c r="M305" s="3">
        <v>14249.066650000001</v>
      </c>
      <c r="N305" s="3">
        <v>41504151.759999998</v>
      </c>
      <c r="O305" s="4">
        <v>8.8379788000000001E-2</v>
      </c>
      <c r="P305" s="4">
        <v>1.486259E-2</v>
      </c>
      <c r="Q305" s="5">
        <v>-2.4416219999999999E-2</v>
      </c>
      <c r="R305" s="5">
        <v>1.634819E-3</v>
      </c>
      <c r="S305" s="6">
        <v>0.30237637899999997</v>
      </c>
      <c r="T305" s="6">
        <v>3.1099838000000001E-2</v>
      </c>
      <c r="U305" s="7">
        <v>0.15955926100000001</v>
      </c>
      <c r="V305" s="7">
        <v>0.134100104</v>
      </c>
      <c r="W305" s="8">
        <v>0.88702907499999994</v>
      </c>
      <c r="X305" s="8">
        <v>0.10020849499999999</v>
      </c>
      <c r="Y305" s="2">
        <v>29</v>
      </c>
      <c r="Z305" s="2">
        <f>VLOOKUP(E305,YieldData!T:U,2,FALSE)</f>
        <v>1640.641848523748</v>
      </c>
      <c r="AA305">
        <f t="shared" si="8"/>
        <v>0.55894961800801102</v>
      </c>
    </row>
    <row r="306" spans="1:27" hidden="1" x14ac:dyDescent="0.25">
      <c r="A306">
        <v>71</v>
      </c>
      <c r="B306">
        <v>801</v>
      </c>
      <c r="C306" t="s">
        <v>20</v>
      </c>
      <c r="D306">
        <v>25113</v>
      </c>
      <c r="E306">
        <f t="shared" si="9"/>
        <v>25113801</v>
      </c>
      <c r="F306">
        <f>VLOOKUP(E306,YieldData!D:F,2,FALSE)</f>
        <v>1</v>
      </c>
      <c r="G306">
        <f>VLOOKUP($E306,YieldData!$D:$F,3,FALSE)</f>
        <v>1</v>
      </c>
      <c r="H306">
        <v>16</v>
      </c>
      <c r="I306" t="s">
        <v>21</v>
      </c>
      <c r="J306" t="s">
        <v>22</v>
      </c>
      <c r="K306" s="2">
        <v>3753.2546400000001</v>
      </c>
      <c r="L306" s="2">
        <v>39682723.439999998</v>
      </c>
      <c r="M306" s="3">
        <v>13142.38322</v>
      </c>
      <c r="N306" s="3">
        <v>33064985.760000002</v>
      </c>
      <c r="O306" s="4">
        <v>7.5526169000000004E-2</v>
      </c>
      <c r="P306" s="4">
        <v>1.1124386999999999E-2</v>
      </c>
      <c r="Q306" s="5">
        <v>-2.8457671E-2</v>
      </c>
      <c r="R306" s="5">
        <v>1.359964E-3</v>
      </c>
      <c r="S306" s="6">
        <v>0.279220358</v>
      </c>
      <c r="T306" s="6">
        <v>3.0605857E-2</v>
      </c>
      <c r="U306" s="7">
        <v>0.14023028000000001</v>
      </c>
      <c r="V306" s="7">
        <v>0.120565749</v>
      </c>
      <c r="W306" s="8">
        <v>0.67569164100000001</v>
      </c>
      <c r="X306" s="8">
        <v>0.21913244700000001</v>
      </c>
      <c r="Y306" s="2">
        <v>21</v>
      </c>
      <c r="Z306" s="2">
        <f>VLOOKUP(E306,YieldData!T:U,2,FALSE)</f>
        <v>2262.7551347881895</v>
      </c>
      <c r="AA306">
        <f t="shared" si="8"/>
        <v>0.68267076923076897</v>
      </c>
    </row>
    <row r="307" spans="1:27" hidden="1" x14ac:dyDescent="0.25">
      <c r="A307">
        <v>72</v>
      </c>
      <c r="B307">
        <v>802</v>
      </c>
      <c r="C307" t="s">
        <v>20</v>
      </c>
      <c r="D307">
        <v>25113</v>
      </c>
      <c r="E307">
        <f t="shared" si="9"/>
        <v>25113802</v>
      </c>
      <c r="F307">
        <f>VLOOKUP(E307,YieldData!D:F,2,FALSE)</f>
        <v>2</v>
      </c>
      <c r="G307">
        <f>VLOOKUP($E307,YieldData!$D:$F,3,FALSE)</f>
        <v>1</v>
      </c>
      <c r="H307">
        <v>16</v>
      </c>
      <c r="I307" t="s">
        <v>21</v>
      </c>
      <c r="J307" t="s">
        <v>22</v>
      </c>
      <c r="K307" s="2">
        <v>3400.6715439999998</v>
      </c>
      <c r="L307" s="2">
        <v>24734619.02</v>
      </c>
      <c r="M307" s="3">
        <v>15233.18561</v>
      </c>
      <c r="N307" s="3">
        <v>34068002.409999996</v>
      </c>
      <c r="O307" s="4">
        <v>6.1802094000000002E-2</v>
      </c>
      <c r="P307" s="4">
        <v>1.2860699E-2</v>
      </c>
      <c r="Q307" s="5">
        <v>-3.5364014999999999E-2</v>
      </c>
      <c r="R307" s="5">
        <v>9.05352E-4</v>
      </c>
      <c r="S307" s="6">
        <v>0.25205696799999999</v>
      </c>
      <c r="T307" s="6">
        <v>2.9236228E-2</v>
      </c>
      <c r="U307" s="7">
        <v>0.11705202300000001</v>
      </c>
      <c r="V307" s="7">
        <v>0.103350847</v>
      </c>
      <c r="W307" s="8">
        <v>0.84222619700000001</v>
      </c>
      <c r="X307" s="8">
        <v>0.13288122999999999</v>
      </c>
      <c r="Y307" s="2">
        <v>29</v>
      </c>
      <c r="Z307" s="2">
        <f>VLOOKUP(E307,YieldData!T:U,2,FALSE)</f>
        <v>1414.4736842105262</v>
      </c>
      <c r="AA307">
        <f t="shared" si="8"/>
        <v>0.68109840157979096</v>
      </c>
    </row>
    <row r="308" spans="1:27" hidden="1" x14ac:dyDescent="0.25">
      <c r="A308">
        <v>73</v>
      </c>
      <c r="B308">
        <v>803</v>
      </c>
      <c r="C308" t="s">
        <v>20</v>
      </c>
      <c r="D308">
        <v>25113</v>
      </c>
      <c r="E308">
        <f t="shared" si="9"/>
        <v>25113803</v>
      </c>
      <c r="F308">
        <f>VLOOKUP(E308,YieldData!D:F,2,FALSE)</f>
        <v>3</v>
      </c>
      <c r="G308">
        <f>VLOOKUP($E308,YieldData!$D:$F,3,FALSE)</f>
        <v>1</v>
      </c>
      <c r="H308">
        <v>16</v>
      </c>
      <c r="I308" t="s">
        <v>21</v>
      </c>
      <c r="J308" t="s">
        <v>22</v>
      </c>
      <c r="K308" s="2">
        <v>4701.4843380000002</v>
      </c>
      <c r="L308" s="2">
        <v>43767078.359999999</v>
      </c>
      <c r="M308" s="3">
        <v>13654.398209999999</v>
      </c>
      <c r="N308" s="3">
        <v>39194475.579999998</v>
      </c>
      <c r="O308" s="4">
        <v>9.5105944999999997E-2</v>
      </c>
      <c r="P308" s="4">
        <v>1.3313118000000001E-2</v>
      </c>
      <c r="Q308" s="5">
        <v>-2.2973343E-2</v>
      </c>
      <c r="R308" s="5">
        <v>1.272083E-3</v>
      </c>
      <c r="S308" s="6">
        <v>0.30103201099999999</v>
      </c>
      <c r="T308" s="6">
        <v>3.6364003999999998E-2</v>
      </c>
      <c r="U308" s="7">
        <v>0.17112771299999999</v>
      </c>
      <c r="V308" s="7">
        <v>0.14184301899999999</v>
      </c>
      <c r="W308" s="8">
        <v>0.68851837299999996</v>
      </c>
      <c r="X308" s="8">
        <v>0.21446082299999999</v>
      </c>
      <c r="Y308" s="2">
        <v>27</v>
      </c>
      <c r="Z308" s="2">
        <f>VLOOKUP(E308,YieldData!T:U,2,FALSE)</f>
        <v>1660.9900513478819</v>
      </c>
      <c r="AA308">
        <f t="shared" si="8"/>
        <v>0.78146565888925401</v>
      </c>
    </row>
    <row r="309" spans="1:27" hidden="1" x14ac:dyDescent="0.25">
      <c r="A309">
        <v>74</v>
      </c>
      <c r="B309">
        <v>804</v>
      </c>
      <c r="C309" t="s">
        <v>20</v>
      </c>
      <c r="D309">
        <v>25113</v>
      </c>
      <c r="E309">
        <f t="shared" si="9"/>
        <v>25113804</v>
      </c>
      <c r="F309">
        <f>VLOOKUP(E309,YieldData!D:F,2,FALSE)</f>
        <v>3</v>
      </c>
      <c r="G309">
        <f>VLOOKUP($E309,YieldData!$D:$F,3,FALSE)</f>
        <v>2</v>
      </c>
      <c r="H309">
        <v>16</v>
      </c>
      <c r="I309" t="s">
        <v>21</v>
      </c>
      <c r="J309" t="s">
        <v>22</v>
      </c>
      <c r="K309" s="2">
        <v>4096.2656859999997</v>
      </c>
      <c r="L309" s="2">
        <v>29917941.600000001</v>
      </c>
      <c r="M309" s="3">
        <v>14213.059719999999</v>
      </c>
      <c r="N309" s="3">
        <v>34351081.149999999</v>
      </c>
      <c r="O309" s="4">
        <v>8.3551238E-2</v>
      </c>
      <c r="P309" s="4">
        <v>1.399706E-2</v>
      </c>
      <c r="Q309" s="5">
        <v>-2.6448381999999999E-2</v>
      </c>
      <c r="R309" s="5">
        <v>1.2599379999999999E-3</v>
      </c>
      <c r="S309" s="6">
        <v>0.288463741</v>
      </c>
      <c r="T309" s="6">
        <v>3.4040715999999999E-2</v>
      </c>
      <c r="U309" s="7">
        <v>0.15303059299999999</v>
      </c>
      <c r="V309" s="7">
        <v>0.12961223099999999</v>
      </c>
      <c r="W309" s="8">
        <v>0.84623409400000005</v>
      </c>
      <c r="X309" s="8">
        <v>0.13012195200000001</v>
      </c>
      <c r="Y309" s="2">
        <v>25</v>
      </c>
      <c r="Z309" s="2">
        <f>VLOOKUP(E309,YieldData!T:U,2,FALSE)</f>
        <v>1550.2759948652119</v>
      </c>
      <c r="AA309">
        <f t="shared" si="8"/>
        <v>0.78450725493156903</v>
      </c>
    </row>
    <row r="310" spans="1:27" hidden="1" x14ac:dyDescent="0.25">
      <c r="A310">
        <v>75</v>
      </c>
      <c r="B310">
        <v>805</v>
      </c>
      <c r="C310" t="s">
        <v>20</v>
      </c>
      <c r="D310">
        <v>25113</v>
      </c>
      <c r="E310">
        <f t="shared" si="9"/>
        <v>25113805</v>
      </c>
      <c r="F310">
        <f>VLOOKUP(E310,YieldData!D:F,2,FALSE)</f>
        <v>2</v>
      </c>
      <c r="G310">
        <f>VLOOKUP($E310,YieldData!$D:$F,3,FALSE)</f>
        <v>2</v>
      </c>
      <c r="H310">
        <v>16</v>
      </c>
      <c r="I310" t="s">
        <v>21</v>
      </c>
      <c r="J310" t="s">
        <v>22</v>
      </c>
      <c r="K310" s="2">
        <v>4379.1791219999996</v>
      </c>
      <c r="L310" s="2">
        <v>45153404.509999998</v>
      </c>
      <c r="M310" s="3">
        <v>12721.23683</v>
      </c>
      <c r="N310" s="3">
        <v>39057348.68</v>
      </c>
      <c r="O310" s="4">
        <v>0.116825436</v>
      </c>
      <c r="P310" s="4">
        <v>1.3769939E-2</v>
      </c>
      <c r="Q310" s="5">
        <v>-1.3241271000000001E-2</v>
      </c>
      <c r="R310" s="5">
        <v>1.6390269999999999E-3</v>
      </c>
      <c r="S310" s="6">
        <v>0.326047745</v>
      </c>
      <c r="T310" s="6">
        <v>3.4108527E-2</v>
      </c>
      <c r="U310" s="7">
        <v>0.182381977</v>
      </c>
      <c r="V310" s="7">
        <v>0.149118791</v>
      </c>
      <c r="W310" s="8">
        <v>0.58756816300000003</v>
      </c>
      <c r="X310" s="8">
        <v>0.242331817</v>
      </c>
      <c r="Y310" s="2">
        <v>14</v>
      </c>
      <c r="Z310" s="2">
        <f>VLOOKUP(E310,YieldData!T:U,2,FALSE)</f>
        <v>1315.7814505776639</v>
      </c>
      <c r="AA310">
        <f t="shared" si="8"/>
        <v>0.77694368514816503</v>
      </c>
    </row>
    <row r="311" spans="1:27" hidden="1" x14ac:dyDescent="0.25">
      <c r="A311">
        <v>76</v>
      </c>
      <c r="B311">
        <v>806</v>
      </c>
      <c r="C311" t="s">
        <v>20</v>
      </c>
      <c r="D311">
        <v>25113</v>
      </c>
      <c r="E311">
        <f t="shared" si="9"/>
        <v>25113806</v>
      </c>
      <c r="F311">
        <f>VLOOKUP(E311,YieldData!D:F,2,FALSE)</f>
        <v>1</v>
      </c>
      <c r="G311">
        <f>VLOOKUP($E311,YieldData!$D:$F,3,FALSE)</f>
        <v>2</v>
      </c>
      <c r="H311">
        <v>16</v>
      </c>
      <c r="I311" t="s">
        <v>21</v>
      </c>
      <c r="J311" t="s">
        <v>22</v>
      </c>
      <c r="K311" s="2">
        <v>3339.4125760000002</v>
      </c>
      <c r="L311" s="2">
        <v>27110402.859999999</v>
      </c>
      <c r="M311" s="3">
        <v>13339.937669999999</v>
      </c>
      <c r="N311" s="3">
        <v>36072394.280000001</v>
      </c>
      <c r="O311" s="4">
        <v>0.117796416</v>
      </c>
      <c r="P311" s="4">
        <v>1.5388159E-2</v>
      </c>
      <c r="Q311" s="5">
        <v>-1.0269367999999999E-2</v>
      </c>
      <c r="R311" s="5">
        <v>1.2958760000000001E-3</v>
      </c>
      <c r="S311" s="6">
        <v>0.31736637099999998</v>
      </c>
      <c r="T311" s="6">
        <v>3.3465204999999998E-2</v>
      </c>
      <c r="U311" s="7">
        <v>0.16095589499999999</v>
      </c>
      <c r="V311" s="7">
        <v>0.13504909500000001</v>
      </c>
      <c r="W311" s="8">
        <v>0.68624982700000003</v>
      </c>
      <c r="X311" s="8">
        <v>0.215311002</v>
      </c>
      <c r="Y311" s="2">
        <v>22</v>
      </c>
      <c r="Z311" s="2">
        <f>VLOOKUP(E311,YieldData!T:U,2,FALSE)</f>
        <v>1287.3668164313224</v>
      </c>
      <c r="AA311">
        <f t="shared" si="8"/>
        <v>0.81061416648833695</v>
      </c>
    </row>
    <row r="312" spans="1:27" hidden="1" x14ac:dyDescent="0.25">
      <c r="A312">
        <v>77</v>
      </c>
      <c r="B312">
        <v>807</v>
      </c>
      <c r="C312" t="s">
        <v>20</v>
      </c>
      <c r="D312">
        <v>25113</v>
      </c>
      <c r="E312">
        <f t="shared" si="9"/>
        <v>25113807</v>
      </c>
      <c r="F312">
        <f>VLOOKUP(E312,YieldData!D:F,2,FALSE)</f>
        <v>1</v>
      </c>
      <c r="G312">
        <f>VLOOKUP($E312,YieldData!$D:$F,3,FALSE)</f>
        <v>3</v>
      </c>
      <c r="H312">
        <v>16</v>
      </c>
      <c r="I312" t="s">
        <v>21</v>
      </c>
      <c r="J312" t="s">
        <v>22</v>
      </c>
      <c r="K312" s="2">
        <v>4219.3678849999997</v>
      </c>
      <c r="L312" s="2">
        <v>50180114.039999999</v>
      </c>
      <c r="M312" s="3">
        <v>13594.78076</v>
      </c>
      <c r="N312" s="3">
        <v>31844558.129999999</v>
      </c>
      <c r="O312" s="4">
        <v>0.10112476500000001</v>
      </c>
      <c r="P312" s="4">
        <v>1.0389796E-2</v>
      </c>
      <c r="Q312" s="5">
        <v>-1.6946901E-2</v>
      </c>
      <c r="R312" s="5">
        <v>9.14765E-4</v>
      </c>
      <c r="S312" s="6">
        <v>0.31121339199999998</v>
      </c>
      <c r="T312" s="6">
        <v>2.9888697999999998E-2</v>
      </c>
      <c r="U312" s="7">
        <v>0.16194868800000001</v>
      </c>
      <c r="V312" s="7">
        <v>0.13572131100000001</v>
      </c>
      <c r="W312" s="8">
        <v>0.60640709599999998</v>
      </c>
      <c r="X312" s="8">
        <v>0.23867753</v>
      </c>
      <c r="Y312" s="2">
        <v>15</v>
      </c>
      <c r="Z312" s="2">
        <f>VLOOKUP(E312,YieldData!T:U,2,FALSE)</f>
        <v>1015.1347881899873</v>
      </c>
      <c r="AA312">
        <f t="shared" si="8"/>
        <v>0.75823454358516995</v>
      </c>
    </row>
    <row r="313" spans="1:27" hidden="1" x14ac:dyDescent="0.25">
      <c r="A313">
        <v>78</v>
      </c>
      <c r="B313">
        <v>808</v>
      </c>
      <c r="C313" t="s">
        <v>20</v>
      </c>
      <c r="D313">
        <v>25113</v>
      </c>
      <c r="E313">
        <f t="shared" si="9"/>
        <v>25113808</v>
      </c>
      <c r="F313">
        <f>VLOOKUP(E313,YieldData!D:F,2,FALSE)</f>
        <v>2</v>
      </c>
      <c r="G313">
        <f>VLOOKUP($E313,YieldData!$D:$F,3,FALSE)</f>
        <v>3</v>
      </c>
      <c r="H313">
        <v>16</v>
      </c>
      <c r="I313" t="s">
        <v>21</v>
      </c>
      <c r="J313" t="s">
        <v>22</v>
      </c>
      <c r="K313" s="2">
        <v>2866.6912229999998</v>
      </c>
      <c r="L313" s="2">
        <v>19320138.550000001</v>
      </c>
      <c r="M313" s="3">
        <v>15409.299720000001</v>
      </c>
      <c r="N313" s="3">
        <v>21253280.350000001</v>
      </c>
      <c r="O313" s="4">
        <v>6.0838955E-2</v>
      </c>
      <c r="P313" s="4">
        <v>7.9380869999999999E-3</v>
      </c>
      <c r="Q313" s="5">
        <v>-2.4134508999999998E-2</v>
      </c>
      <c r="R313" s="5">
        <v>8.6985399999999998E-4</v>
      </c>
      <c r="S313" s="6">
        <v>0.257525795</v>
      </c>
      <c r="T313" s="6">
        <v>1.8637296000000001E-2</v>
      </c>
      <c r="U313" s="7">
        <v>9.5002225999999995E-2</v>
      </c>
      <c r="V313" s="7">
        <v>8.5976803000000004E-2</v>
      </c>
      <c r="W313" s="8">
        <v>0.81089291299999999</v>
      </c>
      <c r="X313" s="8">
        <v>0.153345597</v>
      </c>
      <c r="Y313" s="2">
        <v>35</v>
      </c>
      <c r="Z313" s="2">
        <f>VLOOKUP(E313,YieldData!T:U,2,FALSE)</f>
        <v>1853.831835686778</v>
      </c>
      <c r="AA313">
        <f t="shared" si="8"/>
        <v>0.55782939431633305</v>
      </c>
    </row>
    <row r="314" spans="1:27" hidden="1" x14ac:dyDescent="0.25">
      <c r="A314">
        <v>79</v>
      </c>
      <c r="B314">
        <v>809</v>
      </c>
      <c r="C314" t="s">
        <v>20</v>
      </c>
      <c r="D314">
        <v>25113</v>
      </c>
      <c r="E314">
        <f t="shared" si="9"/>
        <v>25113809</v>
      </c>
      <c r="F314">
        <f>VLOOKUP(E314,YieldData!D:F,2,FALSE)</f>
        <v>3</v>
      </c>
      <c r="G314">
        <f>VLOOKUP($E314,YieldData!$D:$F,3,FALSE)</f>
        <v>3</v>
      </c>
      <c r="H314">
        <v>16</v>
      </c>
      <c r="I314" t="s">
        <v>21</v>
      </c>
      <c r="J314" t="s">
        <v>22</v>
      </c>
      <c r="K314" s="2">
        <v>3131.9123500000001</v>
      </c>
      <c r="L314" s="2">
        <v>27526286.579999998</v>
      </c>
      <c r="M314" s="3">
        <v>15205.1661</v>
      </c>
      <c r="N314" s="3">
        <v>32793676.170000002</v>
      </c>
      <c r="O314" s="4">
        <v>7.1796209999999999E-2</v>
      </c>
      <c r="P314" s="4">
        <v>1.3364367E-2</v>
      </c>
      <c r="Q314" s="5">
        <v>-2.4463794000000001E-2</v>
      </c>
      <c r="R314" s="5">
        <v>1.1618500000000001E-3</v>
      </c>
      <c r="S314" s="6">
        <v>0.28466101500000002</v>
      </c>
      <c r="T314" s="6">
        <v>3.0232678999999998E-2</v>
      </c>
      <c r="U314" s="7">
        <v>0.13910853400000001</v>
      </c>
      <c r="V314" s="7">
        <v>0.11975735</v>
      </c>
      <c r="W314" s="8">
        <v>0.85838179400000003</v>
      </c>
      <c r="X314" s="8">
        <v>0.12156249</v>
      </c>
      <c r="Y314" s="2">
        <v>26</v>
      </c>
      <c r="Z314" s="2">
        <f>VLOOKUP(E314,YieldData!T:U,2,FALSE)</f>
        <v>2012.4261874197691</v>
      </c>
      <c r="AA314">
        <f t="shared" si="8"/>
        <v>0.68753068546610396</v>
      </c>
    </row>
    <row r="315" spans="1:27" hidden="1" x14ac:dyDescent="0.25">
      <c r="A315">
        <v>80</v>
      </c>
      <c r="B315">
        <v>901</v>
      </c>
      <c r="C315" t="s">
        <v>20</v>
      </c>
      <c r="D315">
        <v>25114</v>
      </c>
      <c r="E315">
        <f t="shared" si="9"/>
        <v>25114901</v>
      </c>
      <c r="F315">
        <f>VLOOKUP(E315,YieldData!D:F,2,FALSE)</f>
        <v>1</v>
      </c>
      <c r="G315">
        <f>VLOOKUP($E315,YieldData!$D:$F,3,FALSE)</f>
        <v>1</v>
      </c>
      <c r="H315">
        <v>16</v>
      </c>
      <c r="I315" t="s">
        <v>21</v>
      </c>
      <c r="J315" t="s">
        <v>22</v>
      </c>
      <c r="K315" s="2">
        <v>3847.1701849999999</v>
      </c>
      <c r="L315" s="2">
        <v>27260630.890000001</v>
      </c>
      <c r="M315" s="3">
        <v>14268.38204</v>
      </c>
      <c r="N315" s="3">
        <v>31199942.989999998</v>
      </c>
      <c r="O315" s="4">
        <v>5.7893040999999999E-2</v>
      </c>
      <c r="P315" s="4">
        <v>9.4987960000000003E-3</v>
      </c>
      <c r="Q315" s="5">
        <v>-2.8117395999999999E-2</v>
      </c>
      <c r="R315" s="5">
        <v>1.2922000000000001E-3</v>
      </c>
      <c r="S315" s="6">
        <v>0.24706066099999999</v>
      </c>
      <c r="T315" s="6">
        <v>2.4240751000000001E-2</v>
      </c>
      <c r="U315" s="7">
        <v>0.102310047</v>
      </c>
      <c r="V315" s="7">
        <v>9.1842701999999998E-2</v>
      </c>
      <c r="W315" s="8">
        <v>0.87510315400000005</v>
      </c>
      <c r="X315" s="8">
        <v>0.109297624</v>
      </c>
      <c r="Y315" s="2">
        <v>39</v>
      </c>
      <c r="Z315" s="2">
        <f>VLOOKUP(E315,YieldData!T:U,2,FALSE)</f>
        <v>799.50738125802309</v>
      </c>
      <c r="AA315">
        <f t="shared" si="8"/>
        <v>0.58475062791532095</v>
      </c>
    </row>
    <row r="316" spans="1:27" hidden="1" x14ac:dyDescent="0.25">
      <c r="A316">
        <v>81</v>
      </c>
      <c r="B316">
        <v>902</v>
      </c>
      <c r="C316" t="s">
        <v>20</v>
      </c>
      <c r="D316">
        <v>25114</v>
      </c>
      <c r="E316">
        <f t="shared" si="9"/>
        <v>25114902</v>
      </c>
      <c r="F316">
        <f>VLOOKUP(E316,YieldData!D:F,2,FALSE)</f>
        <v>2</v>
      </c>
      <c r="G316">
        <f>VLOOKUP($E316,YieldData!$D:$F,3,FALSE)</f>
        <v>1</v>
      </c>
      <c r="H316">
        <v>16</v>
      </c>
      <c r="I316" t="s">
        <v>21</v>
      </c>
      <c r="J316" t="s">
        <v>22</v>
      </c>
      <c r="K316" s="2">
        <v>4482.1689280000001</v>
      </c>
      <c r="L316" s="2">
        <v>37772995.460000001</v>
      </c>
      <c r="M316" s="3">
        <v>15129.42733</v>
      </c>
      <c r="N316" s="3">
        <v>31746337.739999998</v>
      </c>
      <c r="O316" s="4">
        <v>4.7216792E-2</v>
      </c>
      <c r="P316" s="4">
        <v>1.020066E-2</v>
      </c>
      <c r="Q316" s="5">
        <v>-3.6959753999999997E-2</v>
      </c>
      <c r="R316" s="5">
        <v>8.7003700000000005E-4</v>
      </c>
      <c r="S316" s="6">
        <v>0.248475585</v>
      </c>
      <c r="T316" s="6">
        <v>2.8958758000000001E-2</v>
      </c>
      <c r="U316" s="7">
        <v>0.128444108</v>
      </c>
      <c r="V316" s="7">
        <v>0.111946219</v>
      </c>
      <c r="W316" s="8">
        <v>0.63981119799999997</v>
      </c>
      <c r="X316" s="8">
        <v>0.230452829</v>
      </c>
      <c r="Y316" s="2">
        <v>18</v>
      </c>
      <c r="Z316" s="2">
        <f>VLOOKUP(E316,YieldData!T:U,2,FALSE)</f>
        <v>662.83697047496776</v>
      </c>
      <c r="AA316">
        <f t="shared" si="8"/>
        <v>0.69582853422805302</v>
      </c>
    </row>
    <row r="317" spans="1:27" hidden="1" x14ac:dyDescent="0.25">
      <c r="A317">
        <v>82</v>
      </c>
      <c r="B317">
        <v>903</v>
      </c>
      <c r="C317" t="s">
        <v>20</v>
      </c>
      <c r="D317">
        <v>25114</v>
      </c>
      <c r="E317">
        <f t="shared" si="9"/>
        <v>25114903</v>
      </c>
      <c r="F317">
        <f>VLOOKUP(E317,YieldData!D:F,2,FALSE)</f>
        <v>3</v>
      </c>
      <c r="G317">
        <f>VLOOKUP($E317,YieldData!$D:$F,3,FALSE)</f>
        <v>1</v>
      </c>
      <c r="H317">
        <v>16</v>
      </c>
      <c r="I317" t="s">
        <v>21</v>
      </c>
      <c r="J317" t="s">
        <v>22</v>
      </c>
      <c r="K317" s="2">
        <v>3326.2551239999998</v>
      </c>
      <c r="L317" s="2">
        <v>13103655.34</v>
      </c>
      <c r="M317" s="3">
        <v>16525.747360000001</v>
      </c>
      <c r="N317" s="3">
        <v>16730962.220000001</v>
      </c>
      <c r="O317" s="4">
        <v>3.9412443999999998E-2</v>
      </c>
      <c r="P317" s="4">
        <v>5.5107439999999997E-3</v>
      </c>
      <c r="Q317" s="5">
        <v>-3.2733019000000002E-2</v>
      </c>
      <c r="R317" s="5">
        <v>7.66663E-4</v>
      </c>
      <c r="S317" s="6">
        <v>0.220280956</v>
      </c>
      <c r="T317" s="6">
        <v>1.3631091E-2</v>
      </c>
      <c r="U317" s="7">
        <v>6.0783377E-2</v>
      </c>
      <c r="V317" s="7">
        <v>5.7088758000000003E-2</v>
      </c>
      <c r="W317" s="8">
        <v>0.82976975799999997</v>
      </c>
      <c r="X317" s="8">
        <v>0.14125190700000001</v>
      </c>
      <c r="Y317" s="2">
        <v>44</v>
      </c>
      <c r="Z317" s="2">
        <f>VLOOKUP(E317,YieldData!T:U,2,FALSE)</f>
        <v>1684.5876123234921</v>
      </c>
      <c r="AA317">
        <f t="shared" si="8"/>
        <v>0.48949604096351501</v>
      </c>
    </row>
    <row r="318" spans="1:27" hidden="1" x14ac:dyDescent="0.25">
      <c r="A318">
        <v>83</v>
      </c>
      <c r="B318">
        <v>904</v>
      </c>
      <c r="C318" t="s">
        <v>20</v>
      </c>
      <c r="D318">
        <v>25114</v>
      </c>
      <c r="E318">
        <f t="shared" si="9"/>
        <v>25114904</v>
      </c>
      <c r="F318">
        <f>VLOOKUP(E318,YieldData!D:F,2,FALSE)</f>
        <v>3</v>
      </c>
      <c r="G318">
        <f>VLOOKUP($E318,YieldData!$D:$F,3,FALSE)</f>
        <v>2</v>
      </c>
      <c r="H318">
        <v>16</v>
      </c>
      <c r="I318" t="s">
        <v>21</v>
      </c>
      <c r="J318" t="s">
        <v>22</v>
      </c>
      <c r="K318" s="2">
        <v>3646.1588620000002</v>
      </c>
      <c r="L318" s="2">
        <v>21455866.739999998</v>
      </c>
      <c r="M318" s="3">
        <v>14545.48236</v>
      </c>
      <c r="N318" s="3">
        <v>21884048.359999999</v>
      </c>
      <c r="O318" s="4">
        <v>7.0915751999999999E-2</v>
      </c>
      <c r="P318" s="4">
        <v>7.5396969999999997E-3</v>
      </c>
      <c r="Q318" s="5">
        <v>-2.4779681000000001E-2</v>
      </c>
      <c r="R318" s="5">
        <v>1.0345770000000001E-3</v>
      </c>
      <c r="S318" s="6">
        <v>0.270322338</v>
      </c>
      <c r="T318" s="6">
        <v>1.8809943999999999E-2</v>
      </c>
      <c r="U318" s="7">
        <v>9.0629900999999999E-2</v>
      </c>
      <c r="V318" s="7">
        <v>8.2416121999999994E-2</v>
      </c>
      <c r="W318" s="8">
        <v>0.83502056999999996</v>
      </c>
      <c r="X318" s="8">
        <v>0.13776121799999999</v>
      </c>
      <c r="Y318" s="2">
        <v>35</v>
      </c>
      <c r="Z318" s="2">
        <f>VLOOKUP(E318,YieldData!T:U,2,FALSE)</f>
        <v>1847.6765083440309</v>
      </c>
      <c r="AA318">
        <f t="shared" si="8"/>
        <v>0.48544629944256501</v>
      </c>
    </row>
    <row r="319" spans="1:27" hidden="1" x14ac:dyDescent="0.25">
      <c r="A319">
        <v>84</v>
      </c>
      <c r="B319">
        <v>905</v>
      </c>
      <c r="C319" t="s">
        <v>20</v>
      </c>
      <c r="D319">
        <v>25114</v>
      </c>
      <c r="E319">
        <f t="shared" si="9"/>
        <v>25114905</v>
      </c>
      <c r="F319">
        <f>VLOOKUP(E319,YieldData!D:F,2,FALSE)</f>
        <v>2</v>
      </c>
      <c r="G319">
        <f>VLOOKUP($E319,YieldData!$D:$F,3,FALSE)</f>
        <v>2</v>
      </c>
      <c r="H319">
        <v>16</v>
      </c>
      <c r="I319" t="s">
        <v>21</v>
      </c>
      <c r="J319" t="s">
        <v>22</v>
      </c>
      <c r="K319" s="2">
        <v>3547.5863220000001</v>
      </c>
      <c r="L319" s="2">
        <v>32153468.75</v>
      </c>
      <c r="M319" s="3">
        <v>12875.311309999999</v>
      </c>
      <c r="N319" s="3">
        <v>21560532.030000001</v>
      </c>
      <c r="O319" s="4">
        <v>0.107648022</v>
      </c>
      <c r="P319" s="4">
        <v>6.4129319999999997E-3</v>
      </c>
      <c r="Q319" s="5">
        <v>-1.1431044E-2</v>
      </c>
      <c r="R319" s="5">
        <v>1.320622E-3</v>
      </c>
      <c r="S319" s="6">
        <v>0.31591867200000001</v>
      </c>
      <c r="T319" s="6">
        <v>1.6780922E-2</v>
      </c>
      <c r="U319" s="7">
        <v>0.105055575</v>
      </c>
      <c r="V319" s="7">
        <v>9.4018902000000001E-2</v>
      </c>
      <c r="W319" s="8">
        <v>0.84652136499999997</v>
      </c>
      <c r="X319" s="8">
        <v>0.12992294400000001</v>
      </c>
      <c r="Y319" s="2">
        <v>31</v>
      </c>
      <c r="Z319" s="2">
        <f>VLOOKUP(E319,YieldData!T:U,2,FALSE)</f>
        <v>830.78947368421052</v>
      </c>
      <c r="AA319">
        <f t="shared" si="8"/>
        <v>0.57706139224248698</v>
      </c>
    </row>
    <row r="320" spans="1:27" hidden="1" x14ac:dyDescent="0.25">
      <c r="A320">
        <v>85</v>
      </c>
      <c r="B320">
        <v>906</v>
      </c>
      <c r="C320" t="s">
        <v>20</v>
      </c>
      <c r="D320">
        <v>25114</v>
      </c>
      <c r="E320">
        <f t="shared" si="9"/>
        <v>25114906</v>
      </c>
      <c r="F320">
        <f>VLOOKUP(E320,YieldData!D:F,2,FALSE)</f>
        <v>1</v>
      </c>
      <c r="G320">
        <f>VLOOKUP($E320,YieldData!$D:$F,3,FALSE)</f>
        <v>2</v>
      </c>
      <c r="H320">
        <v>16</v>
      </c>
      <c r="I320" t="s">
        <v>21</v>
      </c>
      <c r="J320" t="s">
        <v>22</v>
      </c>
      <c r="K320" s="2">
        <v>3804.4642950000002</v>
      </c>
      <c r="L320" s="2">
        <v>35141359.460000001</v>
      </c>
      <c r="M320" s="3">
        <v>12901.317290000001</v>
      </c>
      <c r="N320" s="3">
        <v>26527220.390000001</v>
      </c>
      <c r="O320" s="4">
        <v>0.141742284</v>
      </c>
      <c r="P320" s="4">
        <v>9.0509539999999999E-3</v>
      </c>
      <c r="Q320" s="5">
        <v>-2.4025699999999999E-4</v>
      </c>
      <c r="R320" s="5">
        <v>1.347619E-3</v>
      </c>
      <c r="S320" s="6">
        <v>0.34269012300000001</v>
      </c>
      <c r="T320" s="6">
        <v>2.3506844999999998E-2</v>
      </c>
      <c r="U320" s="7">
        <v>0.15255160700000001</v>
      </c>
      <c r="V320" s="7">
        <v>0.12927961399999999</v>
      </c>
      <c r="W320" s="8">
        <v>0.77896024100000005</v>
      </c>
      <c r="X320" s="8">
        <v>0.17218118399999999</v>
      </c>
      <c r="Y320" s="2">
        <v>29</v>
      </c>
      <c r="Z320" s="2">
        <f>VLOOKUP(E320,YieldData!T:U,2,FALSE)</f>
        <v>861.67522464698322</v>
      </c>
      <c r="AA320">
        <f t="shared" si="8"/>
        <v>0.66744298000234203</v>
      </c>
    </row>
    <row r="321" spans="1:27" hidden="1" x14ac:dyDescent="0.25">
      <c r="A321">
        <v>86</v>
      </c>
      <c r="B321">
        <v>907</v>
      </c>
      <c r="C321" t="s">
        <v>20</v>
      </c>
      <c r="D321">
        <v>25114</v>
      </c>
      <c r="E321">
        <f t="shared" si="9"/>
        <v>25114907</v>
      </c>
      <c r="F321">
        <f>VLOOKUP(E321,YieldData!D:F,2,FALSE)</f>
        <v>1</v>
      </c>
      <c r="G321">
        <f>VLOOKUP($E321,YieldData!$D:$F,3,FALSE)</f>
        <v>3</v>
      </c>
      <c r="H321">
        <v>16</v>
      </c>
      <c r="I321" t="s">
        <v>21</v>
      </c>
      <c r="J321" t="s">
        <v>22</v>
      </c>
      <c r="K321" s="2">
        <v>5037.8046599999998</v>
      </c>
      <c r="L321" s="2">
        <v>52035072.560000002</v>
      </c>
      <c r="M321" s="3">
        <v>12438.719349999999</v>
      </c>
      <c r="N321" s="3">
        <v>39968860.909999996</v>
      </c>
      <c r="O321" s="4">
        <v>0.15017509200000001</v>
      </c>
      <c r="P321" s="4">
        <v>1.2654682E-2</v>
      </c>
      <c r="Q321" s="5">
        <v>-4.3352499999999998E-4</v>
      </c>
      <c r="R321" s="5">
        <v>1.1219419999999999E-3</v>
      </c>
      <c r="S321" s="6">
        <v>0.36466738799999998</v>
      </c>
      <c r="T321" s="6">
        <v>3.2164802999999999E-2</v>
      </c>
      <c r="U321" s="7">
        <v>0.193481872</v>
      </c>
      <c r="V321" s="7">
        <v>0.15604663699999999</v>
      </c>
      <c r="W321" s="8">
        <v>0.75139066700000001</v>
      </c>
      <c r="X321" s="8">
        <v>0.186802733</v>
      </c>
      <c r="Y321" s="2">
        <v>21</v>
      </c>
      <c r="Z321" s="2">
        <f>VLOOKUP(E321,YieldData!T:U,2,FALSE)</f>
        <v>684.6052631578948</v>
      </c>
      <c r="AA321">
        <f t="shared" si="8"/>
        <v>0.80336726028577399</v>
      </c>
    </row>
    <row r="322" spans="1:27" hidden="1" x14ac:dyDescent="0.25">
      <c r="A322">
        <v>87</v>
      </c>
      <c r="B322">
        <v>908</v>
      </c>
      <c r="C322" t="s">
        <v>20</v>
      </c>
      <c r="D322">
        <v>25114</v>
      </c>
      <c r="E322">
        <f t="shared" si="9"/>
        <v>25114908</v>
      </c>
      <c r="F322">
        <f>VLOOKUP(E322,YieldData!D:F,2,FALSE)</f>
        <v>2</v>
      </c>
      <c r="G322">
        <f>VLOOKUP($E322,YieldData!$D:$F,3,FALSE)</f>
        <v>3</v>
      </c>
      <c r="H322">
        <v>16</v>
      </c>
      <c r="I322" t="s">
        <v>21</v>
      </c>
      <c r="J322" t="s">
        <v>22</v>
      </c>
      <c r="K322" s="2">
        <v>3540.8734899999999</v>
      </c>
      <c r="L322" s="2">
        <v>26579927.359999999</v>
      </c>
      <c r="M322" s="3">
        <v>14508.020350000001</v>
      </c>
      <c r="N322" s="3">
        <v>35630222.700000003</v>
      </c>
      <c r="O322" s="4">
        <v>0.12016197200000001</v>
      </c>
      <c r="P322" s="4">
        <v>1.4227474E-2</v>
      </c>
      <c r="Q322" s="5">
        <v>-8.1167459999999993E-3</v>
      </c>
      <c r="R322" s="5">
        <v>1.1820369999999999E-3</v>
      </c>
      <c r="S322" s="6">
        <v>0.32207227599999999</v>
      </c>
      <c r="T322" s="6">
        <v>2.9866520000000001E-2</v>
      </c>
      <c r="U322" s="7">
        <v>0.14933890799999999</v>
      </c>
      <c r="V322" s="7">
        <v>0.12703679900000001</v>
      </c>
      <c r="W322" s="8">
        <v>0.75286791200000003</v>
      </c>
      <c r="X322" s="8">
        <v>0.18605781900000001</v>
      </c>
      <c r="Y322" s="2">
        <v>26</v>
      </c>
      <c r="Z322" s="2">
        <f>VLOOKUP(E322,YieldData!T:U,2,FALSE)</f>
        <v>766.58536585365857</v>
      </c>
      <c r="AA322">
        <f t="shared" ref="AA322:AA385" si="10">_xlfn.MAXIFS(U:U,E:E,E322)</f>
        <v>0.70041031368359696</v>
      </c>
    </row>
    <row r="323" spans="1:27" hidden="1" x14ac:dyDescent="0.25">
      <c r="A323">
        <v>88</v>
      </c>
      <c r="B323">
        <v>909</v>
      </c>
      <c r="C323" t="s">
        <v>20</v>
      </c>
      <c r="D323">
        <v>25114</v>
      </c>
      <c r="E323">
        <f t="shared" ref="E323:E386" si="11">D323*1000+B323</f>
        <v>25114909</v>
      </c>
      <c r="F323">
        <f>VLOOKUP(E323,YieldData!D:F,2,FALSE)</f>
        <v>3</v>
      </c>
      <c r="G323">
        <f>VLOOKUP($E323,YieldData!$D:$F,3,FALSE)</f>
        <v>3</v>
      </c>
      <c r="H323">
        <v>16</v>
      </c>
      <c r="I323" t="s">
        <v>21</v>
      </c>
      <c r="J323" t="s">
        <v>22</v>
      </c>
      <c r="K323" s="2">
        <v>3639.3770049999998</v>
      </c>
      <c r="L323" s="2">
        <v>29367040.390000001</v>
      </c>
      <c r="M323" s="3">
        <v>12966.46746</v>
      </c>
      <c r="N323" s="3">
        <v>35960714.789999999</v>
      </c>
      <c r="O323" s="4">
        <v>0.15929942</v>
      </c>
      <c r="P323" s="4">
        <v>1.4642087999999999E-2</v>
      </c>
      <c r="Q323" s="5">
        <v>4.0650419999999996E-3</v>
      </c>
      <c r="R323" s="5">
        <v>1.356573E-3</v>
      </c>
      <c r="S323" s="6">
        <v>0.36325334999999997</v>
      </c>
      <c r="T323" s="6">
        <v>3.2130171999999999E-2</v>
      </c>
      <c r="U323" s="7">
        <v>0.18374581100000001</v>
      </c>
      <c r="V323" s="7">
        <v>0.14998328799999999</v>
      </c>
      <c r="W323" s="8">
        <v>0.800188397</v>
      </c>
      <c r="X323" s="8">
        <v>0.15988692600000001</v>
      </c>
      <c r="Y323" s="2">
        <v>28</v>
      </c>
      <c r="Z323" s="2">
        <f>VLOOKUP(E323,YieldData!T:U,2,FALSE)</f>
        <v>1461.7875481386391</v>
      </c>
      <c r="AA323">
        <f t="shared" si="10"/>
        <v>0.73401941908943602</v>
      </c>
    </row>
    <row r="324" spans="1:27" hidden="1" x14ac:dyDescent="0.25">
      <c r="A324">
        <v>89</v>
      </c>
      <c r="B324">
        <v>910</v>
      </c>
      <c r="C324" t="s">
        <v>20</v>
      </c>
      <c r="D324" t="s">
        <v>100</v>
      </c>
      <c r="E324" t="e">
        <f t="shared" si="11"/>
        <v>#VALUE!</v>
      </c>
      <c r="H324">
        <v>16</v>
      </c>
      <c r="I324" t="s">
        <v>21</v>
      </c>
      <c r="J324" t="s">
        <v>22</v>
      </c>
      <c r="K324" s="2">
        <v>2725.5278760000001</v>
      </c>
      <c r="L324" s="2">
        <v>15372405.550000001</v>
      </c>
      <c r="M324" s="3">
        <v>15391.66466</v>
      </c>
      <c r="N324" s="3">
        <v>24225107.5</v>
      </c>
      <c r="O324" s="4">
        <v>8.1159190000000006E-2</v>
      </c>
      <c r="P324" s="4">
        <v>9.0732929999999996E-3</v>
      </c>
      <c r="Q324" s="5">
        <v>-2.0581625999999999E-2</v>
      </c>
      <c r="R324" s="5">
        <v>1.0655009999999999E-3</v>
      </c>
      <c r="S324" s="6">
        <v>0.27674807800000001</v>
      </c>
      <c r="T324" s="6">
        <v>1.8546020999999999E-2</v>
      </c>
      <c r="U324" s="7">
        <v>9.2725086999999998E-2</v>
      </c>
      <c r="V324" s="7">
        <v>8.4127145E-2</v>
      </c>
      <c r="W324" s="8">
        <v>0.83317960999999996</v>
      </c>
      <c r="X324" s="8">
        <v>0.13899134699999999</v>
      </c>
      <c r="Y324" s="2">
        <v>34</v>
      </c>
      <c r="Z324" s="2" t="e">
        <f>VLOOKUP(E324,YieldData!T:U,2,FALSE)</f>
        <v>#VALUE!</v>
      </c>
      <c r="AA324">
        <f t="shared" si="10"/>
        <v>0.913534329143595</v>
      </c>
    </row>
    <row r="325" spans="1:27" hidden="1" x14ac:dyDescent="0.25">
      <c r="A325">
        <v>90</v>
      </c>
      <c r="B325">
        <v>810</v>
      </c>
      <c r="C325" t="s">
        <v>20</v>
      </c>
      <c r="D325" t="s">
        <v>100</v>
      </c>
      <c r="E325" t="e">
        <f t="shared" si="11"/>
        <v>#VALUE!</v>
      </c>
      <c r="H325">
        <v>16</v>
      </c>
      <c r="I325" t="s">
        <v>21</v>
      </c>
      <c r="J325" t="s">
        <v>22</v>
      </c>
      <c r="K325" s="2">
        <v>3113.4333310000002</v>
      </c>
      <c r="L325" s="2">
        <v>22733438.66</v>
      </c>
      <c r="M325" s="3">
        <v>14765.467979999999</v>
      </c>
      <c r="N325" s="3">
        <v>33660645.640000001</v>
      </c>
      <c r="O325" s="4">
        <v>7.1500929000000005E-2</v>
      </c>
      <c r="P325" s="4">
        <v>1.3768917E-2</v>
      </c>
      <c r="Q325" s="5">
        <v>-2.7815195000000001E-2</v>
      </c>
      <c r="R325" s="5">
        <v>1.2579620000000001E-3</v>
      </c>
      <c r="S325" s="6">
        <v>0.28327182299999998</v>
      </c>
      <c r="T325" s="6">
        <v>2.796357E-2</v>
      </c>
      <c r="U325" s="7">
        <v>0.13173302100000001</v>
      </c>
      <c r="V325" s="7">
        <v>0.114379432</v>
      </c>
      <c r="W325" s="8">
        <v>0.80028934500000004</v>
      </c>
      <c r="X325" s="8">
        <v>0.15982631</v>
      </c>
      <c r="Y325" s="2">
        <v>24</v>
      </c>
      <c r="Z325" s="2" t="e">
        <f>VLOOKUP(E325,YieldData!T:U,2,FALSE)</f>
        <v>#VALUE!</v>
      </c>
      <c r="AA325">
        <f t="shared" si="10"/>
        <v>0.913534329143595</v>
      </c>
    </row>
    <row r="326" spans="1:27" hidden="1" x14ac:dyDescent="0.25">
      <c r="A326">
        <v>93</v>
      </c>
      <c r="B326">
        <v>101</v>
      </c>
      <c r="C326" t="s">
        <v>23</v>
      </c>
      <c r="D326">
        <v>25107</v>
      </c>
      <c r="E326">
        <f t="shared" si="11"/>
        <v>25107101</v>
      </c>
      <c r="F326">
        <f>VLOOKUP(E326,YieldData!D:F,2,FALSE)</f>
        <v>1</v>
      </c>
      <c r="G326">
        <f>VLOOKUP($E326,YieldData!$D:$F,3,FALSE)</f>
        <v>1</v>
      </c>
      <c r="H326">
        <v>16</v>
      </c>
      <c r="I326" t="s">
        <v>24</v>
      </c>
      <c r="J326" t="s">
        <v>25</v>
      </c>
      <c r="K326" s="2">
        <v>3104.8161519999999</v>
      </c>
      <c r="L326" s="2">
        <v>14679775.029999999</v>
      </c>
      <c r="M326" s="3">
        <v>15146.30744</v>
      </c>
      <c r="N326" s="3">
        <v>26190306.420000002</v>
      </c>
      <c r="O326" s="4">
        <v>8.1303703000000005E-2</v>
      </c>
      <c r="P326" s="4">
        <v>1.0302641E-2</v>
      </c>
      <c r="Q326" s="5">
        <v>-2.8866408E-2</v>
      </c>
      <c r="R326" s="5">
        <v>1.2860479999999999E-3</v>
      </c>
      <c r="S326" s="6">
        <v>0.28623997899999998</v>
      </c>
      <c r="T326" s="6">
        <v>1.9166315E-2</v>
      </c>
      <c r="U326" s="7">
        <v>0.11578713</v>
      </c>
      <c r="V326" s="7">
        <v>0.10238047</v>
      </c>
      <c r="W326" s="8">
        <v>0.94374686100000005</v>
      </c>
      <c r="X326" s="8">
        <v>5.3088722999999997E-2</v>
      </c>
      <c r="Y326" s="2">
        <v>70</v>
      </c>
      <c r="Z326" s="2">
        <f>VLOOKUP(E326,YieldData!T:U,2,FALSE)</f>
        <v>1035.2455070603337</v>
      </c>
      <c r="AA326">
        <f t="shared" si="10"/>
        <v>0.390075587236282</v>
      </c>
    </row>
    <row r="327" spans="1:27" hidden="1" x14ac:dyDescent="0.25">
      <c r="A327">
        <v>94</v>
      </c>
      <c r="B327">
        <v>102</v>
      </c>
      <c r="C327" t="s">
        <v>23</v>
      </c>
      <c r="D327">
        <v>25107</v>
      </c>
      <c r="E327">
        <f t="shared" si="11"/>
        <v>25107102</v>
      </c>
      <c r="F327">
        <f>VLOOKUP(E327,YieldData!D:F,2,FALSE)</f>
        <v>2</v>
      </c>
      <c r="G327">
        <f>VLOOKUP($E327,YieldData!$D:$F,3,FALSE)</f>
        <v>1</v>
      </c>
      <c r="H327">
        <v>16</v>
      </c>
      <c r="I327" t="s">
        <v>24</v>
      </c>
      <c r="J327" t="s">
        <v>25</v>
      </c>
      <c r="K327" s="2">
        <v>2827.3330900000001</v>
      </c>
      <c r="L327" s="2">
        <v>18067681.719999999</v>
      </c>
      <c r="M327" s="3">
        <v>15811.30233</v>
      </c>
      <c r="N327" s="3">
        <v>21344377.129999999</v>
      </c>
      <c r="O327" s="4">
        <v>7.4063195999999998E-2</v>
      </c>
      <c r="P327" s="4">
        <v>6.3460239999999996E-3</v>
      </c>
      <c r="Q327" s="5">
        <v>-2.8775813000000001E-2</v>
      </c>
      <c r="R327" s="5">
        <v>9.1340599999999996E-4</v>
      </c>
      <c r="S327" s="6">
        <v>0.27220911199999998</v>
      </c>
      <c r="T327" s="6">
        <v>1.4671171E-2</v>
      </c>
      <c r="U327" s="7">
        <v>7.9541661999999999E-2</v>
      </c>
      <c r="V327" s="7">
        <v>7.3214786000000004E-2</v>
      </c>
      <c r="W327" s="8">
        <v>0.90445265699999999</v>
      </c>
      <c r="X327" s="8">
        <v>8.6418047999999997E-2</v>
      </c>
      <c r="Y327" s="2">
        <v>40</v>
      </c>
      <c r="Z327" s="2">
        <f>VLOOKUP(E327,YieldData!T:U,2,FALSE)</f>
        <v>1326.2869062901154</v>
      </c>
      <c r="AA327">
        <f t="shared" si="10"/>
        <v>0.56265473812627798</v>
      </c>
    </row>
    <row r="328" spans="1:27" hidden="1" x14ac:dyDescent="0.25">
      <c r="A328">
        <v>95</v>
      </c>
      <c r="B328">
        <v>103</v>
      </c>
      <c r="C328" t="s">
        <v>23</v>
      </c>
      <c r="D328">
        <v>25107</v>
      </c>
      <c r="E328">
        <f t="shared" si="11"/>
        <v>25107103</v>
      </c>
      <c r="F328">
        <f>VLOOKUP(E328,YieldData!D:F,2,FALSE)</f>
        <v>3</v>
      </c>
      <c r="G328">
        <f>VLOOKUP($E328,YieldData!$D:$F,3,FALSE)</f>
        <v>1</v>
      </c>
      <c r="H328">
        <v>16</v>
      </c>
      <c r="I328" t="s">
        <v>24</v>
      </c>
      <c r="J328" t="s">
        <v>25</v>
      </c>
      <c r="K328" s="2">
        <v>2378.7479130000002</v>
      </c>
      <c r="L328" s="2">
        <v>12356865.09</v>
      </c>
      <c r="M328" s="3">
        <v>16055.29969</v>
      </c>
      <c r="N328" s="3">
        <v>18494085.739999998</v>
      </c>
      <c r="O328" s="4">
        <v>6.7926659E-2</v>
      </c>
      <c r="P328" s="4">
        <v>5.1617099999999999E-3</v>
      </c>
      <c r="Q328" s="5">
        <v>-2.6420196E-2</v>
      </c>
      <c r="R328" s="5">
        <v>7.7468999999999997E-4</v>
      </c>
      <c r="S328" s="6">
        <v>0.26107872900000001</v>
      </c>
      <c r="T328" s="6">
        <v>1.1553295E-2</v>
      </c>
      <c r="U328" s="7">
        <v>6.1769615999999999E-2</v>
      </c>
      <c r="V328" s="7">
        <v>5.7954130999999999E-2</v>
      </c>
      <c r="W328" s="8">
        <v>0.96165484599999995</v>
      </c>
      <c r="X328" s="8">
        <v>3.6874802999999998E-2</v>
      </c>
      <c r="Y328" s="2">
        <v>66</v>
      </c>
      <c r="Z328" s="2">
        <f>VLOOKUP(E328,YieldData!T:U,2,FALSE)</f>
        <v>2390.8279845956354</v>
      </c>
      <c r="AA328">
        <f t="shared" si="10"/>
        <v>0.45615461895421699</v>
      </c>
    </row>
    <row r="329" spans="1:27" hidden="1" x14ac:dyDescent="0.25">
      <c r="A329">
        <v>96</v>
      </c>
      <c r="B329">
        <v>104</v>
      </c>
      <c r="C329" t="s">
        <v>23</v>
      </c>
      <c r="D329">
        <v>25107</v>
      </c>
      <c r="E329">
        <f t="shared" si="11"/>
        <v>25107104</v>
      </c>
      <c r="F329">
        <f>VLOOKUP(E329,YieldData!D:F,2,FALSE)</f>
        <v>4</v>
      </c>
      <c r="G329">
        <f>VLOOKUP($E329,YieldData!$D:$F,3,FALSE)</f>
        <v>1</v>
      </c>
      <c r="H329">
        <v>16</v>
      </c>
      <c r="I329" t="s">
        <v>24</v>
      </c>
      <c r="J329" t="s">
        <v>25</v>
      </c>
      <c r="K329" s="2">
        <v>2637.9012819999998</v>
      </c>
      <c r="L329" s="2">
        <v>11996923.57</v>
      </c>
      <c r="M329" s="3">
        <v>15548.877350000001</v>
      </c>
      <c r="N329" s="3">
        <v>15832679.35</v>
      </c>
      <c r="O329" s="4">
        <v>7.1251394999999995E-2</v>
      </c>
      <c r="P329" s="4">
        <v>4.8541260000000003E-3</v>
      </c>
      <c r="Q329" s="5">
        <v>-2.3905138999999999E-2</v>
      </c>
      <c r="R329" s="5">
        <v>6.5107000000000001E-4</v>
      </c>
      <c r="S329" s="6">
        <v>0.26907827899999998</v>
      </c>
      <c r="T329" s="6">
        <v>1.1293694E-2</v>
      </c>
      <c r="U329" s="7">
        <v>6.3515921000000003E-2</v>
      </c>
      <c r="V329" s="7">
        <v>5.9481648999999998E-2</v>
      </c>
      <c r="W329" s="8">
        <v>0.92564997999999998</v>
      </c>
      <c r="X329" s="8">
        <v>6.8822095E-2</v>
      </c>
      <c r="Y329" s="2">
        <v>51</v>
      </c>
      <c r="Z329" s="2">
        <f>VLOOKUP(E329,YieldData!T:U,2,FALSE)</f>
        <v>2488.1899871630299</v>
      </c>
      <c r="AA329">
        <f t="shared" si="10"/>
        <v>0.44924173563603298</v>
      </c>
    </row>
    <row r="330" spans="1:27" hidden="1" x14ac:dyDescent="0.25">
      <c r="A330">
        <v>97</v>
      </c>
      <c r="B330">
        <v>105</v>
      </c>
      <c r="C330" t="s">
        <v>23</v>
      </c>
      <c r="D330">
        <v>25107</v>
      </c>
      <c r="E330">
        <f t="shared" si="11"/>
        <v>25107105</v>
      </c>
      <c r="F330">
        <f>VLOOKUP(E330,YieldData!D:F,2,FALSE)</f>
        <v>5</v>
      </c>
      <c r="G330">
        <f>VLOOKUP($E330,YieldData!$D:$F,3,FALSE)</f>
        <v>1</v>
      </c>
      <c r="H330">
        <v>16</v>
      </c>
      <c r="I330" t="s">
        <v>24</v>
      </c>
      <c r="J330" t="s">
        <v>25</v>
      </c>
      <c r="K330" s="2">
        <v>2239.8796779999998</v>
      </c>
      <c r="L330" s="2">
        <v>6778260.4740000004</v>
      </c>
      <c r="M330" s="3">
        <v>14697.289140000001</v>
      </c>
      <c r="N330" s="3">
        <v>17455483.5</v>
      </c>
      <c r="O330" s="4">
        <v>8.2057558000000003E-2</v>
      </c>
      <c r="P330" s="4">
        <v>7.0064460000000004E-3</v>
      </c>
      <c r="Q330" s="5">
        <v>-1.3849194E-2</v>
      </c>
      <c r="R330" s="5">
        <v>1.0328449999999999E-3</v>
      </c>
      <c r="S330" s="6">
        <v>0.278811478</v>
      </c>
      <c r="T330" s="6">
        <v>1.1654584000000001E-2</v>
      </c>
      <c r="U330" s="7">
        <v>6.4266637000000001E-2</v>
      </c>
      <c r="V330" s="7">
        <v>6.0136436000000001E-2</v>
      </c>
      <c r="W330" s="8">
        <v>0.93364271399999998</v>
      </c>
      <c r="X330" s="8">
        <v>6.1953996999999997E-2</v>
      </c>
      <c r="Y330" s="2">
        <v>68</v>
      </c>
      <c r="Z330" s="2">
        <f>VLOOKUP(E330,YieldData!T:U,2,FALSE)</f>
        <v>2505.2118100128368</v>
      </c>
      <c r="AA330">
        <f t="shared" si="10"/>
        <v>0.49696215854183601</v>
      </c>
    </row>
    <row r="331" spans="1:27" hidden="1" x14ac:dyDescent="0.25">
      <c r="A331">
        <v>98</v>
      </c>
      <c r="B331">
        <v>106</v>
      </c>
      <c r="C331" t="s">
        <v>23</v>
      </c>
      <c r="D331">
        <v>25107</v>
      </c>
      <c r="E331">
        <f t="shared" si="11"/>
        <v>25107106</v>
      </c>
      <c r="F331">
        <f>VLOOKUP(E331,YieldData!D:F,2,FALSE)</f>
        <v>6</v>
      </c>
      <c r="G331">
        <f>VLOOKUP($E331,YieldData!$D:$F,3,FALSE)</f>
        <v>1</v>
      </c>
      <c r="H331">
        <v>16</v>
      </c>
      <c r="I331" t="s">
        <v>24</v>
      </c>
      <c r="J331" t="s">
        <v>25</v>
      </c>
      <c r="K331" s="2">
        <v>2652.4781640000001</v>
      </c>
      <c r="L331" s="2">
        <v>16624394.74</v>
      </c>
      <c r="M331" s="3">
        <v>13545.320400000001</v>
      </c>
      <c r="N331" s="3">
        <v>21462126.399999999</v>
      </c>
      <c r="O331" s="4">
        <v>0.10451932999999999</v>
      </c>
      <c r="P331" s="4">
        <v>7.7314009999999997E-3</v>
      </c>
      <c r="Q331" s="5">
        <v>-8.0622780000000008E-3</v>
      </c>
      <c r="R331" s="5">
        <v>1.367446E-3</v>
      </c>
      <c r="S331" s="6">
        <v>0.30522803900000001</v>
      </c>
      <c r="T331" s="6">
        <v>1.5599000999999999E-2</v>
      </c>
      <c r="U331" s="7">
        <v>9.5154929999999999E-2</v>
      </c>
      <c r="V331" s="7">
        <v>8.6100468999999999E-2</v>
      </c>
      <c r="W331" s="8">
        <v>0.76253933699999998</v>
      </c>
      <c r="X331" s="8">
        <v>0.18107309699999999</v>
      </c>
      <c r="Y331" s="2">
        <v>30</v>
      </c>
      <c r="Z331" s="2">
        <f>VLOOKUP(E331,YieldData!T:U,2,FALSE)</f>
        <v>2315.9114249037225</v>
      </c>
      <c r="AA331">
        <f t="shared" si="10"/>
        <v>0.39903159423798601</v>
      </c>
    </row>
    <row r="332" spans="1:27" hidden="1" x14ac:dyDescent="0.25">
      <c r="A332">
        <v>99</v>
      </c>
      <c r="B332">
        <v>107</v>
      </c>
      <c r="C332" t="s">
        <v>23</v>
      </c>
      <c r="D332">
        <v>25107</v>
      </c>
      <c r="E332">
        <f t="shared" si="11"/>
        <v>25107107</v>
      </c>
      <c r="F332">
        <f>VLOOKUP(E332,YieldData!D:F,2,FALSE)</f>
        <v>7</v>
      </c>
      <c r="G332">
        <f>VLOOKUP($E332,YieldData!$D:$F,3,FALSE)</f>
        <v>1</v>
      </c>
      <c r="H332">
        <v>16</v>
      </c>
      <c r="I332" t="s">
        <v>24</v>
      </c>
      <c r="J332" t="s">
        <v>25</v>
      </c>
      <c r="K332" s="2">
        <v>2097.5324270000001</v>
      </c>
      <c r="L332" s="2">
        <v>8309858.2170000002</v>
      </c>
      <c r="M332" s="3">
        <v>13815.17289</v>
      </c>
      <c r="N332" s="3">
        <v>18053132.52</v>
      </c>
      <c r="O332" s="4">
        <v>9.5964141000000003E-2</v>
      </c>
      <c r="P332" s="4">
        <v>6.8312019999999998E-3</v>
      </c>
      <c r="Q332" s="5">
        <v>-7.5783279999999996E-3</v>
      </c>
      <c r="R332" s="5">
        <v>1.168487E-3</v>
      </c>
      <c r="S332" s="6">
        <v>0.29225193100000002</v>
      </c>
      <c r="T332" s="6">
        <v>1.1680670000000001E-2</v>
      </c>
      <c r="U332" s="7">
        <v>6.6642672999999999E-2</v>
      </c>
      <c r="V332" s="7">
        <v>6.2201426999999997E-2</v>
      </c>
      <c r="W332" s="8">
        <v>0.91643030299999995</v>
      </c>
      <c r="X332" s="8">
        <v>7.6585802999999994E-2</v>
      </c>
      <c r="Y332" s="2">
        <v>46</v>
      </c>
      <c r="Z332" s="2">
        <f>VLOOKUP(E332,YieldData!T:U,2,FALSE)</f>
        <v>2008.0359435173295</v>
      </c>
      <c r="AA332">
        <f t="shared" si="10"/>
        <v>0.46002398174293102</v>
      </c>
    </row>
    <row r="333" spans="1:27" hidden="1" x14ac:dyDescent="0.25">
      <c r="A333">
        <v>100</v>
      </c>
      <c r="B333">
        <v>108</v>
      </c>
      <c r="C333" t="s">
        <v>23</v>
      </c>
      <c r="D333">
        <v>25107</v>
      </c>
      <c r="E333">
        <f t="shared" si="11"/>
        <v>25107108</v>
      </c>
      <c r="F333">
        <f>VLOOKUP(E333,YieldData!D:F,2,FALSE)</f>
        <v>4</v>
      </c>
      <c r="G333">
        <f>VLOOKUP($E333,YieldData!$D:$F,3,FALSE)</f>
        <v>2</v>
      </c>
      <c r="H333">
        <v>16</v>
      </c>
      <c r="I333" t="s">
        <v>24</v>
      </c>
      <c r="J333" t="s">
        <v>25</v>
      </c>
      <c r="K333" s="2">
        <v>2472.7835519999999</v>
      </c>
      <c r="L333" s="2">
        <v>11997334.1</v>
      </c>
      <c r="M333" s="3">
        <v>13751.22637</v>
      </c>
      <c r="N333" s="3">
        <v>14582633.939999999</v>
      </c>
      <c r="O333" s="4">
        <v>8.5574441000000001E-2</v>
      </c>
      <c r="P333" s="4">
        <v>4.8107540000000004E-3</v>
      </c>
      <c r="Q333" s="5">
        <v>-1.40561E-2</v>
      </c>
      <c r="R333" s="5">
        <v>7.6021699999999999E-4</v>
      </c>
      <c r="S333" s="6">
        <v>0.29855669499999998</v>
      </c>
      <c r="T333" s="6">
        <v>1.0651888999999999E-2</v>
      </c>
      <c r="U333" s="7">
        <v>6.6521933000000005E-2</v>
      </c>
      <c r="V333" s="7">
        <v>6.2096764999999998E-2</v>
      </c>
      <c r="W333" s="8">
        <v>0.93424293899999999</v>
      </c>
      <c r="X333" s="8">
        <v>6.1433069999999999E-2</v>
      </c>
      <c r="Y333" s="2">
        <v>56</v>
      </c>
      <c r="Z333" s="2">
        <f>VLOOKUP(E333,YieldData!T:U,2,FALSE)</f>
        <v>2547.5978818998715</v>
      </c>
      <c r="AA333">
        <f t="shared" si="10"/>
        <v>0.50343837828140903</v>
      </c>
    </row>
    <row r="334" spans="1:27" hidden="1" x14ac:dyDescent="0.25">
      <c r="A334">
        <v>101</v>
      </c>
      <c r="B334">
        <v>109</v>
      </c>
      <c r="C334" t="s">
        <v>23</v>
      </c>
      <c r="D334">
        <v>25107</v>
      </c>
      <c r="E334">
        <f t="shared" si="11"/>
        <v>25107109</v>
      </c>
      <c r="F334">
        <f>VLOOKUP(E334,YieldData!D:F,2,FALSE)</f>
        <v>2</v>
      </c>
      <c r="G334">
        <f>VLOOKUP($E334,YieldData!$D:$F,3,FALSE)</f>
        <v>2</v>
      </c>
      <c r="H334">
        <v>16</v>
      </c>
      <c r="I334" t="s">
        <v>24</v>
      </c>
      <c r="J334" t="s">
        <v>25</v>
      </c>
      <c r="K334" s="2">
        <v>2357.5420819999999</v>
      </c>
      <c r="L334" s="2">
        <v>11782092.720000001</v>
      </c>
      <c r="M334" s="3">
        <v>14138.138059999999</v>
      </c>
      <c r="N334" s="3">
        <v>16737866.76</v>
      </c>
      <c r="O334" s="4">
        <v>8.6296444999999999E-2</v>
      </c>
      <c r="P334" s="4">
        <v>5.717359E-3</v>
      </c>
      <c r="Q334" s="5">
        <v>-1.3163668999999999E-2</v>
      </c>
      <c r="R334" s="5">
        <v>9.5430099999999996E-4</v>
      </c>
      <c r="S334" s="6">
        <v>0.29334239699999998</v>
      </c>
      <c r="T334" s="6">
        <v>1.1080052999999999E-2</v>
      </c>
      <c r="U334" s="7">
        <v>6.5175043000000002E-2</v>
      </c>
      <c r="V334" s="7">
        <v>6.0927256999999999E-2</v>
      </c>
      <c r="W334" s="8">
        <v>0.83415865300000003</v>
      </c>
      <c r="X334" s="8">
        <v>0.13833799499999999</v>
      </c>
      <c r="Y334" s="2">
        <v>48</v>
      </c>
      <c r="Z334" s="2">
        <f>VLOOKUP(E334,YieldData!T:U,2,FALSE)</f>
        <v>1584.2105263157894</v>
      </c>
      <c r="AA334">
        <f t="shared" si="10"/>
        <v>0.39993302556988097</v>
      </c>
    </row>
    <row r="335" spans="1:27" hidden="1" x14ac:dyDescent="0.25">
      <c r="A335">
        <v>102</v>
      </c>
      <c r="B335">
        <v>110</v>
      </c>
      <c r="C335" t="s">
        <v>23</v>
      </c>
      <c r="D335">
        <v>25107</v>
      </c>
      <c r="E335">
        <f t="shared" si="11"/>
        <v>25107110</v>
      </c>
      <c r="F335">
        <f>VLOOKUP(E335,YieldData!D:F,2,FALSE)</f>
        <v>1</v>
      </c>
      <c r="G335">
        <f>VLOOKUP($E335,YieldData!$D:$F,3,FALSE)</f>
        <v>2</v>
      </c>
      <c r="H335">
        <v>16</v>
      </c>
      <c r="I335" t="s">
        <v>24</v>
      </c>
      <c r="J335" t="s">
        <v>25</v>
      </c>
      <c r="K335" s="2">
        <v>1792.3280789999999</v>
      </c>
      <c r="L335" s="2">
        <v>5378986.9469999997</v>
      </c>
      <c r="M335" s="3">
        <v>14663.189710000001</v>
      </c>
      <c r="N335" s="3">
        <v>15183994.550000001</v>
      </c>
      <c r="O335" s="4">
        <v>8.5329730000000006E-2</v>
      </c>
      <c r="P335" s="4">
        <v>5.7923999999999996E-3</v>
      </c>
      <c r="Q335" s="5">
        <v>-1.1553983E-2</v>
      </c>
      <c r="R335" s="5">
        <v>1.0965829999999999E-3</v>
      </c>
      <c r="S335" s="6">
        <v>0.28127754799999999</v>
      </c>
      <c r="T335" s="6">
        <v>8.6105539999999994E-3</v>
      </c>
      <c r="U335" s="7">
        <v>4.8045875000000002E-2</v>
      </c>
      <c r="V335" s="7">
        <v>4.5737469000000003E-2</v>
      </c>
      <c r="W335" s="8">
        <v>0.83819695299999997</v>
      </c>
      <c r="X335" s="8">
        <v>0.135622821</v>
      </c>
      <c r="Y335" s="2">
        <v>49</v>
      </c>
      <c r="Z335" s="2">
        <f>VLOOKUP(E335,YieldData!T:U,2,FALSE)</f>
        <v>1585.0449293966622</v>
      </c>
      <c r="AA335">
        <f t="shared" si="10"/>
        <v>0.54967766627994596</v>
      </c>
    </row>
    <row r="336" spans="1:27" hidden="1" x14ac:dyDescent="0.25">
      <c r="A336">
        <v>103</v>
      </c>
      <c r="B336">
        <v>111</v>
      </c>
      <c r="C336" t="s">
        <v>23</v>
      </c>
      <c r="D336">
        <v>25107</v>
      </c>
      <c r="E336">
        <f t="shared" si="11"/>
        <v>25107111</v>
      </c>
      <c r="F336">
        <f>VLOOKUP(E336,YieldData!D:F,2,FALSE)</f>
        <v>5</v>
      </c>
      <c r="G336">
        <f>VLOOKUP($E336,YieldData!$D:$F,3,FALSE)</f>
        <v>2</v>
      </c>
      <c r="H336">
        <v>16</v>
      </c>
      <c r="I336" t="s">
        <v>24</v>
      </c>
      <c r="J336" t="s">
        <v>25</v>
      </c>
      <c r="K336" s="2">
        <v>2048.9308310000001</v>
      </c>
      <c r="L336" s="2">
        <v>7107632.9450000003</v>
      </c>
      <c r="M336" s="3">
        <v>14782.270500000001</v>
      </c>
      <c r="N336" s="3">
        <v>14343278.119999999</v>
      </c>
      <c r="O336" s="4">
        <v>6.7621026000000001E-2</v>
      </c>
      <c r="P336" s="4">
        <v>6.0243060000000001E-3</v>
      </c>
      <c r="Q336" s="5">
        <v>-2.2642355999999999E-2</v>
      </c>
      <c r="R336" s="5">
        <v>8.9840500000000002E-4</v>
      </c>
      <c r="S336" s="6">
        <v>0.27301122300000003</v>
      </c>
      <c r="T336" s="6">
        <v>1.0841419999999999E-2</v>
      </c>
      <c r="U336" s="7">
        <v>5.9413188999999998E-2</v>
      </c>
      <c r="V336" s="7">
        <v>5.5883262000000003E-2</v>
      </c>
      <c r="W336" s="8">
        <v>0.90666408499999995</v>
      </c>
      <c r="X336" s="8">
        <v>8.4624322000000002E-2</v>
      </c>
      <c r="Y336" s="2">
        <v>53</v>
      </c>
      <c r="Z336" s="2">
        <f>VLOOKUP(E336,YieldData!T:U,2,FALSE)</f>
        <v>2037.9974326059053</v>
      </c>
      <c r="AA336">
        <f t="shared" si="10"/>
        <v>0.53001900013312198</v>
      </c>
    </row>
    <row r="337" spans="1:27" hidden="1" x14ac:dyDescent="0.25">
      <c r="A337">
        <v>104</v>
      </c>
      <c r="B337">
        <v>112</v>
      </c>
      <c r="C337" t="s">
        <v>23</v>
      </c>
      <c r="D337">
        <v>25107</v>
      </c>
      <c r="E337">
        <f t="shared" si="11"/>
        <v>25107112</v>
      </c>
      <c r="F337">
        <f>VLOOKUP(E337,YieldData!D:F,2,FALSE)</f>
        <v>3</v>
      </c>
      <c r="G337">
        <f>VLOOKUP($E337,YieldData!$D:$F,3,FALSE)</f>
        <v>2</v>
      </c>
      <c r="H337">
        <v>16</v>
      </c>
      <c r="I337" t="s">
        <v>24</v>
      </c>
      <c r="J337" t="s">
        <v>25</v>
      </c>
      <c r="K337" s="2">
        <v>2140.3473359999998</v>
      </c>
      <c r="L337" s="2">
        <v>8523926.7719999999</v>
      </c>
      <c r="M337" s="3">
        <v>15397.30524</v>
      </c>
      <c r="N337" s="3">
        <v>14145056.699999999</v>
      </c>
      <c r="O337" s="4">
        <v>5.8804659000000002E-2</v>
      </c>
      <c r="P337" s="4">
        <v>5.1391149999999997E-3</v>
      </c>
      <c r="Q337" s="5">
        <v>-2.7893673000000001E-2</v>
      </c>
      <c r="R337" s="5">
        <v>9.5789400000000004E-4</v>
      </c>
      <c r="S337" s="6">
        <v>0.25493196299999998</v>
      </c>
      <c r="T337" s="6">
        <v>1.1430589999999999E-2</v>
      </c>
      <c r="U337" s="7">
        <v>5.3060995E-2</v>
      </c>
      <c r="V337" s="7">
        <v>5.0245525999999999E-2</v>
      </c>
      <c r="W337" s="8">
        <v>0.93600812600000005</v>
      </c>
      <c r="X337" s="8">
        <v>5.9896914000000002E-2</v>
      </c>
      <c r="Y337" s="2">
        <v>74</v>
      </c>
      <c r="Z337" s="2">
        <f>VLOOKUP(E337,YieldData!T:U,2,FALSE)</f>
        <v>3938.173940949936</v>
      </c>
      <c r="AA337">
        <f t="shared" si="10"/>
        <v>0.47124059695716303</v>
      </c>
    </row>
    <row r="338" spans="1:27" hidden="1" x14ac:dyDescent="0.25">
      <c r="A338">
        <v>105</v>
      </c>
      <c r="B338">
        <v>201</v>
      </c>
      <c r="C338" t="s">
        <v>23</v>
      </c>
      <c r="D338" t="s">
        <v>100</v>
      </c>
      <c r="E338" t="e">
        <f t="shared" si="11"/>
        <v>#VALUE!</v>
      </c>
      <c r="H338">
        <v>16</v>
      </c>
      <c r="I338" t="s">
        <v>24</v>
      </c>
      <c r="J338" t="s">
        <v>25</v>
      </c>
      <c r="K338" s="2">
        <v>3125.9264229999999</v>
      </c>
      <c r="L338" s="2">
        <v>9458240.5010000002</v>
      </c>
      <c r="M338" s="3">
        <v>13659.69853</v>
      </c>
      <c r="N338" s="3">
        <v>14165141.119999999</v>
      </c>
      <c r="O338" s="4">
        <v>6.7900891000000005E-2</v>
      </c>
      <c r="P338" s="4">
        <v>4.4942749999999998E-3</v>
      </c>
      <c r="Q338" s="5">
        <v>-3.0962498000000001E-2</v>
      </c>
      <c r="R338" s="5">
        <v>9.6688199999999996E-4</v>
      </c>
      <c r="S338" s="6">
        <v>0.26627741700000002</v>
      </c>
      <c r="T338" s="6">
        <v>9.0189980000000003E-3</v>
      </c>
      <c r="U338" s="7">
        <v>4.8747912999999997E-2</v>
      </c>
      <c r="V338" s="7">
        <v>4.6371554000000002E-2</v>
      </c>
      <c r="W338" s="8">
        <v>0.87653213799999996</v>
      </c>
      <c r="X338" s="8">
        <v>0.108223549</v>
      </c>
      <c r="Y338" s="2">
        <v>48</v>
      </c>
      <c r="Z338" s="2" t="e">
        <f>VLOOKUP(E338,YieldData!T:U,2,FALSE)</f>
        <v>#VALUE!</v>
      </c>
      <c r="AA338">
        <f t="shared" si="10"/>
        <v>0.913534329143595</v>
      </c>
    </row>
    <row r="339" spans="1:27" hidden="1" x14ac:dyDescent="0.25">
      <c r="A339">
        <v>106</v>
      </c>
      <c r="B339">
        <v>202</v>
      </c>
      <c r="C339" t="s">
        <v>23</v>
      </c>
      <c r="D339" t="s">
        <v>100</v>
      </c>
      <c r="E339" t="e">
        <f t="shared" si="11"/>
        <v>#VALUE!</v>
      </c>
      <c r="H339">
        <v>16</v>
      </c>
      <c r="I339" t="s">
        <v>24</v>
      </c>
      <c r="J339" t="s">
        <v>25</v>
      </c>
      <c r="K339" s="2">
        <v>3100.802385</v>
      </c>
      <c r="L339" s="2">
        <v>12538713.76</v>
      </c>
      <c r="M339" s="3">
        <v>15558.241910000001</v>
      </c>
      <c r="N339" s="3">
        <v>17890363.559999999</v>
      </c>
      <c r="O339" s="4">
        <v>6.1358334E-2</v>
      </c>
      <c r="P339" s="4">
        <v>4.9574689999999999E-3</v>
      </c>
      <c r="Q339" s="5">
        <v>-3.1716398999999999E-2</v>
      </c>
      <c r="R339" s="5">
        <v>8.9029099999999998E-4</v>
      </c>
      <c r="S339" s="6">
        <v>0.25337990999999999</v>
      </c>
      <c r="T339" s="6">
        <v>1.1040911E-2</v>
      </c>
      <c r="U339" s="7">
        <v>5.6486171000000002E-2</v>
      </c>
      <c r="V339" s="7">
        <v>5.3295482999999998E-2</v>
      </c>
      <c r="W339" s="8">
        <v>0.91847254099999998</v>
      </c>
      <c r="X339" s="8">
        <v>7.4880732000000005E-2</v>
      </c>
      <c r="Y339" s="2">
        <v>55</v>
      </c>
      <c r="Z339" s="2" t="e">
        <f>VLOOKUP(E339,YieldData!T:U,2,FALSE)</f>
        <v>#VALUE!</v>
      </c>
      <c r="AA339">
        <f t="shared" si="10"/>
        <v>0.913534329143595</v>
      </c>
    </row>
    <row r="340" spans="1:27" hidden="1" x14ac:dyDescent="0.25">
      <c r="A340">
        <v>107</v>
      </c>
      <c r="B340">
        <v>203</v>
      </c>
      <c r="C340" t="s">
        <v>23</v>
      </c>
      <c r="D340" t="s">
        <v>100</v>
      </c>
      <c r="E340" t="e">
        <f t="shared" si="11"/>
        <v>#VALUE!</v>
      </c>
      <c r="H340">
        <v>16</v>
      </c>
      <c r="I340" t="s">
        <v>24</v>
      </c>
      <c r="J340" t="s">
        <v>25</v>
      </c>
      <c r="K340" s="2">
        <v>3096.7547319999999</v>
      </c>
      <c r="L340" s="2">
        <v>14275021.869999999</v>
      </c>
      <c r="M340" s="3">
        <v>15735.0782</v>
      </c>
      <c r="N340" s="3">
        <v>17325187.829999998</v>
      </c>
      <c r="O340" s="4">
        <v>5.6303730000000003E-2</v>
      </c>
      <c r="P340" s="4">
        <v>4.8926789999999996E-3</v>
      </c>
      <c r="Q340" s="5">
        <v>-3.2174148999999999E-2</v>
      </c>
      <c r="R340" s="5">
        <v>6.98162E-4</v>
      </c>
      <c r="S340" s="6">
        <v>0.24878098300000001</v>
      </c>
      <c r="T340" s="6">
        <v>1.2073326000000001E-2</v>
      </c>
      <c r="U340" s="7">
        <v>6.4148815999999997E-2</v>
      </c>
      <c r="V340" s="7">
        <v>6.0033745999999999E-2</v>
      </c>
      <c r="W340" s="8">
        <v>0.82199941899999995</v>
      </c>
      <c r="X340" s="8">
        <v>0.146316374</v>
      </c>
      <c r="Y340" s="2">
        <v>42</v>
      </c>
      <c r="Z340" s="2" t="e">
        <f>VLOOKUP(E340,YieldData!T:U,2,FALSE)</f>
        <v>#VALUE!</v>
      </c>
      <c r="AA340">
        <f t="shared" si="10"/>
        <v>0.913534329143595</v>
      </c>
    </row>
    <row r="341" spans="1:27" hidden="1" x14ac:dyDescent="0.25">
      <c r="A341">
        <v>108</v>
      </c>
      <c r="B341">
        <v>204</v>
      </c>
      <c r="C341" t="s">
        <v>23</v>
      </c>
      <c r="D341">
        <v>25107</v>
      </c>
      <c r="E341">
        <f t="shared" si="11"/>
        <v>25107204</v>
      </c>
      <c r="F341">
        <f>VLOOKUP(E341,YieldData!D:F,2,FALSE)</f>
        <v>5</v>
      </c>
      <c r="G341">
        <f>VLOOKUP($E341,YieldData!$D:$F,3,FALSE)</f>
        <v>3</v>
      </c>
      <c r="H341">
        <v>16</v>
      </c>
      <c r="I341" t="s">
        <v>24</v>
      </c>
      <c r="J341" t="s">
        <v>25</v>
      </c>
      <c r="K341" s="2">
        <v>2621.5060760000001</v>
      </c>
      <c r="L341" s="2">
        <v>6116328.3700000001</v>
      </c>
      <c r="M341" s="3">
        <v>14883.7137</v>
      </c>
      <c r="N341" s="3">
        <v>14639024.27</v>
      </c>
      <c r="O341" s="4">
        <v>6.8256498999999998E-2</v>
      </c>
      <c r="P341" s="4">
        <v>6.3079529999999998E-3</v>
      </c>
      <c r="Q341" s="5">
        <v>-2.3626753E-2</v>
      </c>
      <c r="R341" s="5">
        <v>7.5640699999999996E-4</v>
      </c>
      <c r="S341" s="6">
        <v>0.26117535800000002</v>
      </c>
      <c r="T341" s="6">
        <v>1.2019449E-2</v>
      </c>
      <c r="U341" s="7">
        <v>6.0342908000000001E-2</v>
      </c>
      <c r="V341" s="7">
        <v>5.6701640999999997E-2</v>
      </c>
      <c r="W341" s="8">
        <v>0.94755725599999996</v>
      </c>
      <c r="X341" s="8">
        <v>4.9692502E-2</v>
      </c>
      <c r="Y341" s="2">
        <v>73</v>
      </c>
      <c r="Z341" s="2">
        <f>VLOOKUP(E341,YieldData!T:U,2,FALSE)</f>
        <v>2665.7028241335051</v>
      </c>
      <c r="AA341">
        <f t="shared" si="10"/>
        <v>0.44989833751943498</v>
      </c>
    </row>
    <row r="342" spans="1:27" hidden="1" x14ac:dyDescent="0.25">
      <c r="A342">
        <v>109</v>
      </c>
      <c r="B342">
        <v>205</v>
      </c>
      <c r="C342" t="s">
        <v>23</v>
      </c>
      <c r="D342">
        <v>25107</v>
      </c>
      <c r="E342">
        <f t="shared" si="11"/>
        <v>25107205</v>
      </c>
      <c r="F342">
        <f>VLOOKUP(E342,YieldData!D:F,2,FALSE)</f>
        <v>2</v>
      </c>
      <c r="G342">
        <f>VLOOKUP($E342,YieldData!$D:$F,3,FALSE)</f>
        <v>3</v>
      </c>
      <c r="H342">
        <v>16</v>
      </c>
      <c r="I342" t="s">
        <v>24</v>
      </c>
      <c r="J342" t="s">
        <v>25</v>
      </c>
      <c r="K342" s="2">
        <v>2746.5104230000002</v>
      </c>
      <c r="L342" s="2">
        <v>17844538.18</v>
      </c>
      <c r="M342" s="3">
        <v>13473.1134</v>
      </c>
      <c r="N342" s="3">
        <v>20400308.68</v>
      </c>
      <c r="O342" s="4">
        <v>8.8255199000000006E-2</v>
      </c>
      <c r="P342" s="4">
        <v>8.1950819999999994E-3</v>
      </c>
      <c r="Q342" s="5">
        <v>-1.2073407E-2</v>
      </c>
      <c r="R342" s="5">
        <v>1.2129840000000001E-3</v>
      </c>
      <c r="S342" s="6">
        <v>0.29255128499999999</v>
      </c>
      <c r="T342" s="6">
        <v>1.8108526E-2</v>
      </c>
      <c r="U342" s="7">
        <v>9.5180235000000002E-2</v>
      </c>
      <c r="V342" s="7">
        <v>8.6120957999999997E-2</v>
      </c>
      <c r="W342" s="8">
        <v>0.78519393299999996</v>
      </c>
      <c r="X342" s="8">
        <v>0.16866442000000001</v>
      </c>
      <c r="Y342" s="2">
        <v>38</v>
      </c>
      <c r="Z342" s="2">
        <f>VLOOKUP(E342,YieldData!T:U,2,FALSE)</f>
        <v>2740.9948652118101</v>
      </c>
      <c r="AA342">
        <f t="shared" si="10"/>
        <v>0.47171805072103401</v>
      </c>
    </row>
    <row r="343" spans="1:27" hidden="1" x14ac:dyDescent="0.25">
      <c r="A343">
        <v>110</v>
      </c>
      <c r="B343">
        <v>206</v>
      </c>
      <c r="C343" t="s">
        <v>23</v>
      </c>
      <c r="D343">
        <v>25107</v>
      </c>
      <c r="E343">
        <f t="shared" si="11"/>
        <v>25107206</v>
      </c>
      <c r="F343">
        <f>VLOOKUP(E343,YieldData!D:F,2,FALSE)</f>
        <v>1</v>
      </c>
      <c r="G343">
        <f>VLOOKUP($E343,YieldData!$D:$F,3,FALSE)</f>
        <v>3</v>
      </c>
      <c r="H343">
        <v>16</v>
      </c>
      <c r="I343" t="s">
        <v>24</v>
      </c>
      <c r="J343" t="s">
        <v>25</v>
      </c>
      <c r="K343" s="2">
        <v>2373.3892999999998</v>
      </c>
      <c r="L343" s="2">
        <v>10243042.199999999</v>
      </c>
      <c r="M343" s="3">
        <v>13553.283589999999</v>
      </c>
      <c r="N343" s="3">
        <v>20266059.02</v>
      </c>
      <c r="O343" s="4">
        <v>9.6135964000000004E-2</v>
      </c>
      <c r="P343" s="4">
        <v>8.6982929999999993E-3</v>
      </c>
      <c r="Q343" s="5">
        <v>-1.3575494E-2</v>
      </c>
      <c r="R343" s="5">
        <v>1.5297920000000001E-3</v>
      </c>
      <c r="S343" s="6">
        <v>0.29653713399999998</v>
      </c>
      <c r="T343" s="6">
        <v>1.5178185E-2</v>
      </c>
      <c r="U343" s="7">
        <v>9.3939563000000004E-2</v>
      </c>
      <c r="V343" s="7">
        <v>8.5114920999999996E-2</v>
      </c>
      <c r="W343" s="8">
        <v>0.92303184699999996</v>
      </c>
      <c r="X343" s="8">
        <v>7.1044056999999994E-2</v>
      </c>
      <c r="Y343" s="2">
        <v>61</v>
      </c>
      <c r="Z343" s="2">
        <f>VLOOKUP(E343,YieldData!T:U,2,FALSE)</f>
        <v>1823.433889602054</v>
      </c>
      <c r="AA343">
        <f t="shared" si="10"/>
        <v>0.46218889407149599</v>
      </c>
    </row>
    <row r="344" spans="1:27" hidden="1" x14ac:dyDescent="0.25">
      <c r="A344">
        <v>111</v>
      </c>
      <c r="B344">
        <v>207</v>
      </c>
      <c r="C344" t="s">
        <v>23</v>
      </c>
      <c r="D344">
        <v>25107</v>
      </c>
      <c r="E344">
        <f t="shared" si="11"/>
        <v>25107207</v>
      </c>
      <c r="F344">
        <f>VLOOKUP(E344,YieldData!D:F,2,FALSE)</f>
        <v>3</v>
      </c>
      <c r="G344">
        <f>VLOOKUP($E344,YieldData!$D:$F,3,FALSE)</f>
        <v>3</v>
      </c>
      <c r="H344">
        <v>16</v>
      </c>
      <c r="I344" t="s">
        <v>24</v>
      </c>
      <c r="J344" t="s">
        <v>25</v>
      </c>
      <c r="K344" s="2">
        <v>2286.5610419999998</v>
      </c>
      <c r="L344" s="2">
        <v>9969153.0160000008</v>
      </c>
      <c r="M344" s="3">
        <v>13552.47956</v>
      </c>
      <c r="N344" s="3">
        <v>15110537.449999999</v>
      </c>
      <c r="O344" s="4">
        <v>7.4462223999999994E-2</v>
      </c>
      <c r="P344" s="4">
        <v>5.0411859999999996E-3</v>
      </c>
      <c r="Q344" s="5">
        <v>-1.6253503999999998E-2</v>
      </c>
      <c r="R344" s="5">
        <v>1.115507E-3</v>
      </c>
      <c r="S344" s="6">
        <v>0.27864670200000002</v>
      </c>
      <c r="T344" s="6">
        <v>9.8275879999999999E-3</v>
      </c>
      <c r="U344" s="7">
        <v>5.6712375000000002E-2</v>
      </c>
      <c r="V344" s="7">
        <v>5.3496082E-2</v>
      </c>
      <c r="W344" s="8">
        <v>0.87511824800000004</v>
      </c>
      <c r="X344" s="8">
        <v>0.1092863</v>
      </c>
      <c r="Y344" s="2">
        <v>48</v>
      </c>
      <c r="Z344" s="2">
        <f>VLOOKUP(E344,YieldData!T:U,2,FALSE)</f>
        <v>2319.6341463414633</v>
      </c>
      <c r="AA344">
        <f t="shared" si="10"/>
        <v>0.402401164200825</v>
      </c>
    </row>
    <row r="345" spans="1:27" hidden="1" x14ac:dyDescent="0.25">
      <c r="A345">
        <v>112</v>
      </c>
      <c r="B345">
        <v>208</v>
      </c>
      <c r="C345" t="s">
        <v>23</v>
      </c>
      <c r="D345">
        <v>25107</v>
      </c>
      <c r="E345">
        <f t="shared" si="11"/>
        <v>25107208</v>
      </c>
      <c r="F345">
        <f>VLOOKUP(E345,YieldData!D:F,2,FALSE)</f>
        <v>4</v>
      </c>
      <c r="G345">
        <f>VLOOKUP($E345,YieldData!$D:$F,3,FALSE)</f>
        <v>3</v>
      </c>
      <c r="H345">
        <v>16</v>
      </c>
      <c r="I345" t="s">
        <v>24</v>
      </c>
      <c r="J345" t="s">
        <v>25</v>
      </c>
      <c r="K345" s="2">
        <v>2477.6381489999999</v>
      </c>
      <c r="L345" s="2">
        <v>10063670.25</v>
      </c>
      <c r="M345" s="3">
        <v>15024.6392</v>
      </c>
      <c r="N345" s="3">
        <v>13638696.310000001</v>
      </c>
      <c r="O345" s="4">
        <v>6.1012770000000001E-2</v>
      </c>
      <c r="P345" s="4">
        <v>4.346127E-3</v>
      </c>
      <c r="Q345" s="5">
        <v>-2.5180767999999999E-2</v>
      </c>
      <c r="R345" s="5">
        <v>6.1596000000000003E-4</v>
      </c>
      <c r="S345" s="6">
        <v>0.26597526500000002</v>
      </c>
      <c r="T345" s="6">
        <v>9.7596209999999996E-3</v>
      </c>
      <c r="U345" s="7">
        <v>5.4341037000000002E-2</v>
      </c>
      <c r="V345" s="7">
        <v>5.1388088999999998E-2</v>
      </c>
      <c r="W345" s="8">
        <v>0.94349868800000003</v>
      </c>
      <c r="X345" s="8">
        <v>5.3308913999999999E-2</v>
      </c>
      <c r="Y345" s="2">
        <v>55</v>
      </c>
      <c r="Z345" s="2">
        <f>VLOOKUP(E345,YieldData!T:U,2,FALSE)</f>
        <v>1785.5487804878051</v>
      </c>
      <c r="AA345">
        <f t="shared" si="10"/>
        <v>0.41079926784624798</v>
      </c>
    </row>
    <row r="346" spans="1:27" hidden="1" x14ac:dyDescent="0.25">
      <c r="A346">
        <v>113</v>
      </c>
      <c r="B346">
        <v>209</v>
      </c>
      <c r="C346" t="s">
        <v>23</v>
      </c>
      <c r="D346">
        <v>25107</v>
      </c>
      <c r="E346">
        <f t="shared" si="11"/>
        <v>25107209</v>
      </c>
      <c r="F346">
        <f>VLOOKUP(E346,YieldData!D:F,2,FALSE)</f>
        <v>6</v>
      </c>
      <c r="G346">
        <f>VLOOKUP($E346,YieldData!$D:$F,3,FALSE)</f>
        <v>3</v>
      </c>
      <c r="H346">
        <v>16</v>
      </c>
      <c r="I346" t="s">
        <v>24</v>
      </c>
      <c r="J346" t="s">
        <v>25</v>
      </c>
      <c r="K346" s="2">
        <v>2952.570608</v>
      </c>
      <c r="L346" s="2">
        <v>16321697.01</v>
      </c>
      <c r="M346" s="3">
        <v>15016.945379999999</v>
      </c>
      <c r="N346" s="3">
        <v>19934982.800000001</v>
      </c>
      <c r="O346" s="4">
        <v>6.8218720999999996E-2</v>
      </c>
      <c r="P346" s="4">
        <v>7.1512390000000002E-3</v>
      </c>
      <c r="Q346" s="5">
        <v>-2.3830547000000001E-2</v>
      </c>
      <c r="R346" s="5">
        <v>7.4998600000000001E-4</v>
      </c>
      <c r="S346" s="6">
        <v>0.276172101</v>
      </c>
      <c r="T346" s="6">
        <v>1.5794397000000002E-2</v>
      </c>
      <c r="U346" s="7">
        <v>8.8864143000000007E-2</v>
      </c>
      <c r="V346" s="7">
        <v>8.0967307000000002E-2</v>
      </c>
      <c r="W346" s="8">
        <v>0.83292074800000004</v>
      </c>
      <c r="X346" s="8">
        <v>0.13916377599999999</v>
      </c>
      <c r="Y346" s="2">
        <v>45</v>
      </c>
      <c r="Z346" s="2">
        <f>VLOOKUP(E346,YieldData!T:U,2,FALSE)</f>
        <v>1467.1453786906291</v>
      </c>
      <c r="AA346">
        <f t="shared" si="10"/>
        <v>0.45786634450916802</v>
      </c>
    </row>
    <row r="347" spans="1:27" hidden="1" x14ac:dyDescent="0.25">
      <c r="A347">
        <v>114</v>
      </c>
      <c r="B347">
        <v>210</v>
      </c>
      <c r="C347" t="s">
        <v>23</v>
      </c>
      <c r="D347">
        <v>25107</v>
      </c>
      <c r="E347">
        <f t="shared" si="11"/>
        <v>25107210</v>
      </c>
      <c r="F347">
        <f>VLOOKUP(E347,YieldData!D:F,2,FALSE)</f>
        <v>7</v>
      </c>
      <c r="G347">
        <f>VLOOKUP($E347,YieldData!$D:$F,3,FALSE)</f>
        <v>3</v>
      </c>
      <c r="H347">
        <v>16</v>
      </c>
      <c r="I347" t="s">
        <v>24</v>
      </c>
      <c r="J347" t="s">
        <v>25</v>
      </c>
      <c r="K347" s="2">
        <v>2433.9496680000002</v>
      </c>
      <c r="L347" s="2">
        <v>5427303.1689999998</v>
      </c>
      <c r="M347" s="3">
        <v>16065.918170000001</v>
      </c>
      <c r="N347" s="3">
        <v>16062931.49</v>
      </c>
      <c r="O347" s="4">
        <v>5.1933168000000002E-2</v>
      </c>
      <c r="P347" s="4">
        <v>5.673071E-3</v>
      </c>
      <c r="Q347" s="5">
        <v>-2.5352676000000001E-2</v>
      </c>
      <c r="R347" s="5">
        <v>8.6410399999999998E-4</v>
      </c>
      <c r="S347" s="6">
        <v>0.252831421</v>
      </c>
      <c r="T347" s="6">
        <v>9.9932600000000003E-3</v>
      </c>
      <c r="U347" s="7">
        <v>5.0897150000000002E-2</v>
      </c>
      <c r="V347" s="7">
        <v>4.8306630000000003E-2</v>
      </c>
      <c r="W347" s="8">
        <v>0.97476428199999998</v>
      </c>
      <c r="X347" s="8">
        <v>2.4598877000000002E-2</v>
      </c>
      <c r="Y347" s="2">
        <v>54</v>
      </c>
      <c r="Z347" s="2">
        <f>VLOOKUP(E347,YieldData!T:U,2,FALSE)</f>
        <v>1599.6951219512193</v>
      </c>
      <c r="AA347">
        <f t="shared" si="10"/>
        <v>0.55738738057425197</v>
      </c>
    </row>
    <row r="348" spans="1:27" hidden="1" x14ac:dyDescent="0.25">
      <c r="A348">
        <v>115</v>
      </c>
      <c r="B348">
        <v>211</v>
      </c>
      <c r="C348" t="s">
        <v>23</v>
      </c>
      <c r="D348">
        <v>25107</v>
      </c>
      <c r="E348">
        <f t="shared" si="11"/>
        <v>25107211</v>
      </c>
      <c r="F348">
        <f>VLOOKUP(E348,YieldData!D:F,2,FALSE)</f>
        <v>7</v>
      </c>
      <c r="G348">
        <f>VLOOKUP($E348,YieldData!$D:$F,3,FALSE)</f>
        <v>2</v>
      </c>
      <c r="H348">
        <v>16</v>
      </c>
      <c r="I348" t="s">
        <v>24</v>
      </c>
      <c r="J348" t="s">
        <v>25</v>
      </c>
      <c r="K348" s="2">
        <v>2059.375419</v>
      </c>
      <c r="L348" s="2">
        <v>5570674.6140000001</v>
      </c>
      <c r="M348" s="3">
        <v>15858.798409999999</v>
      </c>
      <c r="N348" s="3">
        <v>12627170.18</v>
      </c>
      <c r="O348" s="4">
        <v>4.6034348000000003E-2</v>
      </c>
      <c r="P348" s="4">
        <v>4.176529E-3</v>
      </c>
      <c r="Q348" s="5">
        <v>-2.9655704000000001E-2</v>
      </c>
      <c r="R348" s="5">
        <v>7.56816E-4</v>
      </c>
      <c r="S348" s="6">
        <v>0.24629199600000001</v>
      </c>
      <c r="T348" s="6">
        <v>7.721421E-3</v>
      </c>
      <c r="U348" s="7">
        <v>3.9188725000000001E-2</v>
      </c>
      <c r="V348" s="7">
        <v>3.7652969000000001E-2</v>
      </c>
      <c r="W348" s="8">
        <v>0.89195311700000002</v>
      </c>
      <c r="X348" s="8">
        <v>9.6372754000000005E-2</v>
      </c>
      <c r="Y348" s="2">
        <v>54</v>
      </c>
      <c r="Z348" s="2">
        <f>VLOOKUP(E348,YieldData!T:U,2,FALSE)</f>
        <v>1675.2695763799745</v>
      </c>
      <c r="AA348">
        <f t="shared" si="10"/>
        <v>0.44863414213785402</v>
      </c>
    </row>
    <row r="349" spans="1:27" hidden="1" x14ac:dyDescent="0.25">
      <c r="A349">
        <v>116</v>
      </c>
      <c r="B349">
        <v>212</v>
      </c>
      <c r="C349" t="s">
        <v>23</v>
      </c>
      <c r="D349">
        <v>25107</v>
      </c>
      <c r="E349">
        <f t="shared" si="11"/>
        <v>25107212</v>
      </c>
      <c r="F349">
        <f>VLOOKUP(E349,YieldData!D:F,2,FALSE)</f>
        <v>6</v>
      </c>
      <c r="G349">
        <f>VLOOKUP($E349,YieldData!$D:$F,3,FALSE)</f>
        <v>2</v>
      </c>
      <c r="H349">
        <v>16</v>
      </c>
      <c r="I349" t="s">
        <v>24</v>
      </c>
      <c r="J349" t="s">
        <v>25</v>
      </c>
      <c r="K349" s="2">
        <v>2338.541295</v>
      </c>
      <c r="L349" s="2">
        <v>9757133.8310000002</v>
      </c>
      <c r="M349" s="3">
        <v>15161.31358</v>
      </c>
      <c r="N349" s="3">
        <v>16093497.91</v>
      </c>
      <c r="O349" s="4">
        <v>5.7748877999999997E-2</v>
      </c>
      <c r="P349" s="4">
        <v>5.9437480000000004E-3</v>
      </c>
      <c r="Q349" s="5">
        <v>-2.9689922000000001E-2</v>
      </c>
      <c r="R349" s="5">
        <v>9.6162000000000005E-4</v>
      </c>
      <c r="S349" s="6">
        <v>0.25604681099999999</v>
      </c>
      <c r="T349" s="6">
        <v>1.2095691E-2</v>
      </c>
      <c r="U349" s="7">
        <v>6.2931226000000007E-2</v>
      </c>
      <c r="V349" s="7">
        <v>5.8970887E-2</v>
      </c>
      <c r="W349" s="8">
        <v>0.79002128699999996</v>
      </c>
      <c r="X349" s="8">
        <v>0.165887653</v>
      </c>
      <c r="Y349" s="2">
        <v>56</v>
      </c>
      <c r="Z349" s="2">
        <f>VLOOKUP(E349,YieldData!T:U,2,FALSE)</f>
        <v>2312.836970474968</v>
      </c>
      <c r="AA349">
        <f t="shared" si="10"/>
        <v>0.36414733317388198</v>
      </c>
    </row>
    <row r="350" spans="1:27" hidden="1" x14ac:dyDescent="0.25">
      <c r="A350">
        <v>117</v>
      </c>
      <c r="B350">
        <v>301</v>
      </c>
      <c r="C350" t="s">
        <v>23</v>
      </c>
      <c r="D350">
        <v>25110</v>
      </c>
      <c r="E350">
        <f t="shared" si="11"/>
        <v>25110301</v>
      </c>
      <c r="F350">
        <f>VLOOKUP(E350,YieldData!D:F,2,FALSE)</f>
        <v>1</v>
      </c>
      <c r="G350">
        <f>VLOOKUP($E350,YieldData!$D:$F,3,FALSE)</f>
        <v>1</v>
      </c>
      <c r="H350">
        <v>16</v>
      </c>
      <c r="I350" t="s">
        <v>24</v>
      </c>
      <c r="J350" t="s">
        <v>25</v>
      </c>
      <c r="K350" s="2">
        <v>4578.8309879999997</v>
      </c>
      <c r="L350" s="2">
        <v>35153299.020000003</v>
      </c>
      <c r="M350" s="3">
        <v>15599.515429999999</v>
      </c>
      <c r="N350" s="3">
        <v>28312637.800000001</v>
      </c>
      <c r="O350" s="4">
        <v>5.1846710999999997E-2</v>
      </c>
      <c r="P350" s="4">
        <v>8.0330990000000001E-3</v>
      </c>
      <c r="Q350" s="5">
        <v>-4.9836349000000002E-2</v>
      </c>
      <c r="R350" s="5">
        <v>1.2244770000000001E-3</v>
      </c>
      <c r="S350" s="6">
        <v>0.25453538399999998</v>
      </c>
      <c r="T350" s="6">
        <v>2.3589657E-2</v>
      </c>
      <c r="U350" s="7">
        <v>0.121648906</v>
      </c>
      <c r="V350" s="7">
        <v>0.10685045</v>
      </c>
      <c r="W350" s="8">
        <v>0.76513717199999998</v>
      </c>
      <c r="X350" s="8">
        <v>0.17970227999999999</v>
      </c>
      <c r="Y350" s="2">
        <v>25</v>
      </c>
      <c r="Z350" s="2">
        <f>VLOOKUP(E350,YieldData!T:U,2,FALSE)</f>
        <v>1782.9894094993581</v>
      </c>
      <c r="AA350">
        <f t="shared" si="10"/>
        <v>0.52055802064242296</v>
      </c>
    </row>
    <row r="351" spans="1:27" hidden="1" x14ac:dyDescent="0.25">
      <c r="A351">
        <v>118</v>
      </c>
      <c r="B351">
        <v>302</v>
      </c>
      <c r="C351" t="s">
        <v>23</v>
      </c>
      <c r="D351">
        <v>25110</v>
      </c>
      <c r="E351">
        <f t="shared" si="11"/>
        <v>25110302</v>
      </c>
      <c r="F351">
        <f>VLOOKUP(E351,YieldData!D:F,2,FALSE)</f>
        <v>2</v>
      </c>
      <c r="G351">
        <f>VLOOKUP($E351,YieldData!$D:$F,3,FALSE)</f>
        <v>1</v>
      </c>
      <c r="H351">
        <v>16</v>
      </c>
      <c r="I351" t="s">
        <v>24</v>
      </c>
      <c r="J351" t="s">
        <v>25</v>
      </c>
      <c r="K351" s="2">
        <v>5380.8908060000003</v>
      </c>
      <c r="L351" s="2">
        <v>51610775.840000004</v>
      </c>
      <c r="M351" s="3">
        <v>15538.38112</v>
      </c>
      <c r="N351" s="3">
        <v>39348097.450000003</v>
      </c>
      <c r="O351" s="4">
        <v>6.6373050000000003E-2</v>
      </c>
      <c r="P351" s="4">
        <v>9.9722089999999992E-3</v>
      </c>
      <c r="Q351" s="5">
        <v>-4.5241800999999998E-2</v>
      </c>
      <c r="R351" s="5">
        <v>1.3902509999999999E-3</v>
      </c>
      <c r="S351" s="6">
        <v>0.27308882499999998</v>
      </c>
      <c r="T351" s="6">
        <v>3.0783628E-2</v>
      </c>
      <c r="U351" s="7">
        <v>0.15296409699999999</v>
      </c>
      <c r="V351" s="7">
        <v>0.129566082</v>
      </c>
      <c r="W351" s="8">
        <v>0.747291123</v>
      </c>
      <c r="X351" s="8">
        <v>0.18884709999999999</v>
      </c>
      <c r="Y351" s="2">
        <v>20</v>
      </c>
      <c r="Z351" s="2">
        <f>VLOOKUP(E351,YieldData!T:U,2,FALSE)</f>
        <v>1480.0224646983313</v>
      </c>
      <c r="AA351">
        <f t="shared" si="10"/>
        <v>0.51252795617906299</v>
      </c>
    </row>
    <row r="352" spans="1:27" hidden="1" x14ac:dyDescent="0.25">
      <c r="A352">
        <v>119</v>
      </c>
      <c r="B352">
        <v>303</v>
      </c>
      <c r="C352" t="s">
        <v>23</v>
      </c>
      <c r="D352">
        <v>25110</v>
      </c>
      <c r="E352">
        <f t="shared" si="11"/>
        <v>25110303</v>
      </c>
      <c r="F352">
        <f>VLOOKUP(E352,YieldData!D:F,2,FALSE)</f>
        <v>3</v>
      </c>
      <c r="G352">
        <f>VLOOKUP($E352,YieldData!$D:$F,3,FALSE)</f>
        <v>1</v>
      </c>
      <c r="H352">
        <v>16</v>
      </c>
      <c r="I352" t="s">
        <v>24</v>
      </c>
      <c r="J352" t="s">
        <v>25</v>
      </c>
      <c r="K352" s="2">
        <v>5376.7376279999999</v>
      </c>
      <c r="L352" s="2">
        <v>47777121.159999996</v>
      </c>
      <c r="M352" s="3">
        <v>14407.935229999999</v>
      </c>
      <c r="N352" s="3">
        <v>39260725.200000003</v>
      </c>
      <c r="O352" s="4">
        <v>8.6924485999999995E-2</v>
      </c>
      <c r="P352" s="4">
        <v>1.1332963999999999E-2</v>
      </c>
      <c r="Q352" s="5">
        <v>-3.4647249999999997E-2</v>
      </c>
      <c r="R352" s="5">
        <v>1.28247E-3</v>
      </c>
      <c r="S352" s="6">
        <v>0.29846002199999999</v>
      </c>
      <c r="T352" s="6">
        <v>3.2752718E-2</v>
      </c>
      <c r="U352" s="7">
        <v>0.172862867</v>
      </c>
      <c r="V352" s="7">
        <v>0.14298129600000001</v>
      </c>
      <c r="W352" s="8">
        <v>0.71814681000000002</v>
      </c>
      <c r="X352" s="8">
        <v>0.202411969</v>
      </c>
      <c r="Y352" s="2">
        <v>17</v>
      </c>
      <c r="Z352" s="2">
        <f>VLOOKUP(E352,YieldData!T:U,2,FALSE)</f>
        <v>1611.0173299101414</v>
      </c>
      <c r="AA352">
        <f t="shared" si="10"/>
        <v>0.61807200095682302</v>
      </c>
    </row>
    <row r="353" spans="1:27" hidden="1" x14ac:dyDescent="0.25">
      <c r="A353">
        <v>120</v>
      </c>
      <c r="B353">
        <v>304</v>
      </c>
      <c r="C353" t="s">
        <v>23</v>
      </c>
      <c r="D353">
        <v>25110</v>
      </c>
      <c r="E353">
        <f t="shared" si="11"/>
        <v>25110304</v>
      </c>
      <c r="F353">
        <f>VLOOKUP(E353,YieldData!D:F,2,FALSE)</f>
        <v>4</v>
      </c>
      <c r="G353">
        <f>VLOOKUP($E353,YieldData!$D:$F,3,FALSE)</f>
        <v>1</v>
      </c>
      <c r="H353">
        <v>16</v>
      </c>
      <c r="I353" t="s">
        <v>24</v>
      </c>
      <c r="J353" t="s">
        <v>25</v>
      </c>
      <c r="K353" s="2">
        <v>4625.7373850000004</v>
      </c>
      <c r="L353" s="2">
        <v>42052903.399999999</v>
      </c>
      <c r="M353" s="3">
        <v>15288.92452</v>
      </c>
      <c r="N353" s="3">
        <v>35719698.390000001</v>
      </c>
      <c r="O353" s="4">
        <v>7.4337729000000005E-2</v>
      </c>
      <c r="P353" s="4">
        <v>9.8699619999999995E-3</v>
      </c>
      <c r="Q353" s="5">
        <v>-3.3139912000000001E-2</v>
      </c>
      <c r="R353" s="5">
        <v>9.0271399999999999E-4</v>
      </c>
      <c r="S353" s="6">
        <v>0.28130666199999999</v>
      </c>
      <c r="T353" s="6">
        <v>2.7764825E-2</v>
      </c>
      <c r="U353" s="7">
        <v>0.141195459</v>
      </c>
      <c r="V353" s="7">
        <v>0.121259301</v>
      </c>
      <c r="W353" s="8">
        <v>0.83390345399999999</v>
      </c>
      <c r="X353" s="8">
        <v>0.13850848299999999</v>
      </c>
      <c r="Y353" s="2">
        <v>26</v>
      </c>
      <c r="Z353" s="2">
        <f>VLOOKUP(E353,YieldData!T:U,2,FALSE)</f>
        <v>1064.6341463414635</v>
      </c>
      <c r="AA353">
        <f t="shared" si="10"/>
        <v>0.569009030560373</v>
      </c>
    </row>
    <row r="354" spans="1:27" hidden="1" x14ac:dyDescent="0.25">
      <c r="A354">
        <v>121</v>
      </c>
      <c r="B354">
        <v>305</v>
      </c>
      <c r="C354" t="s">
        <v>23</v>
      </c>
      <c r="D354">
        <v>25110</v>
      </c>
      <c r="E354">
        <f t="shared" si="11"/>
        <v>25110305</v>
      </c>
      <c r="F354">
        <f>VLOOKUP(E354,YieldData!D:F,2,FALSE)</f>
        <v>5</v>
      </c>
      <c r="G354">
        <f>VLOOKUP($E354,YieldData!$D:$F,3,FALSE)</f>
        <v>1</v>
      </c>
      <c r="H354">
        <v>16</v>
      </c>
      <c r="I354" t="s">
        <v>24</v>
      </c>
      <c r="J354" t="s">
        <v>25</v>
      </c>
      <c r="K354" s="2">
        <v>4363.3259740000003</v>
      </c>
      <c r="L354" s="2">
        <v>40386089.329999998</v>
      </c>
      <c r="M354" s="3">
        <v>14484.576870000001</v>
      </c>
      <c r="N354" s="3">
        <v>34089270.840000004</v>
      </c>
      <c r="O354" s="4">
        <v>8.4443382999999997E-2</v>
      </c>
      <c r="P354" s="4">
        <v>9.9948459999999999E-3</v>
      </c>
      <c r="Q354" s="5">
        <v>-2.2550315000000001E-2</v>
      </c>
      <c r="R354" s="5">
        <v>1.210617E-3</v>
      </c>
      <c r="S354" s="6">
        <v>0.293359594</v>
      </c>
      <c r="T354" s="6">
        <v>2.7154609999999999E-2</v>
      </c>
      <c r="U354" s="7">
        <v>0.143214962</v>
      </c>
      <c r="V354" s="7">
        <v>0.122704436</v>
      </c>
      <c r="W354" s="8">
        <v>0.769573018</v>
      </c>
      <c r="X354" s="8">
        <v>0.17733038800000001</v>
      </c>
      <c r="Y354" s="2">
        <v>19</v>
      </c>
      <c r="Z354" s="2">
        <f>VLOOKUP(E354,YieldData!T:U,2,FALSE)</f>
        <v>1594.5442875481385</v>
      </c>
      <c r="AA354">
        <f t="shared" si="10"/>
        <v>0.53438191495723897</v>
      </c>
    </row>
    <row r="355" spans="1:27" hidden="1" x14ac:dyDescent="0.25">
      <c r="A355">
        <v>122</v>
      </c>
      <c r="B355">
        <v>306</v>
      </c>
      <c r="C355" t="s">
        <v>23</v>
      </c>
      <c r="D355">
        <v>25110</v>
      </c>
      <c r="E355">
        <f t="shared" si="11"/>
        <v>25110306</v>
      </c>
      <c r="F355">
        <f>VLOOKUP(E355,YieldData!D:F,2,FALSE)</f>
        <v>6</v>
      </c>
      <c r="G355">
        <f>VLOOKUP($E355,YieldData!$D:$F,3,FALSE)</f>
        <v>1</v>
      </c>
      <c r="H355">
        <v>16</v>
      </c>
      <c r="I355" t="s">
        <v>24</v>
      </c>
      <c r="J355" t="s">
        <v>25</v>
      </c>
      <c r="K355" s="2">
        <v>2592.7611350000002</v>
      </c>
      <c r="L355" s="2">
        <v>17081967.280000001</v>
      </c>
      <c r="M355" s="3">
        <v>14809.772300000001</v>
      </c>
      <c r="N355" s="3">
        <v>20729102.18</v>
      </c>
      <c r="O355" s="4">
        <v>7.2926860999999996E-2</v>
      </c>
      <c r="P355" s="4">
        <v>6.1335900000000004E-3</v>
      </c>
      <c r="Q355" s="5">
        <v>-1.9715789000000001E-2</v>
      </c>
      <c r="R355" s="5">
        <v>1.4305399999999999E-3</v>
      </c>
      <c r="S355" s="6">
        <v>0.26040080399999999</v>
      </c>
      <c r="T355" s="6">
        <v>1.201266E-2</v>
      </c>
      <c r="U355" s="7">
        <v>6.2444345999999998E-2</v>
      </c>
      <c r="V355" s="7">
        <v>5.8545049000000002E-2</v>
      </c>
      <c r="W355" s="8">
        <v>0.82793139699999996</v>
      </c>
      <c r="X355" s="8">
        <v>0.142460999</v>
      </c>
      <c r="Y355" s="2">
        <v>36</v>
      </c>
      <c r="Z355" s="2">
        <f>VLOOKUP(E355,YieldData!T:U,2,FALSE)</f>
        <v>875.55519897304237</v>
      </c>
      <c r="AA355">
        <f t="shared" si="10"/>
        <v>0.44526830668404699</v>
      </c>
    </row>
    <row r="356" spans="1:27" hidden="1" x14ac:dyDescent="0.25">
      <c r="A356">
        <v>123</v>
      </c>
      <c r="B356">
        <v>307</v>
      </c>
      <c r="C356" t="s">
        <v>23</v>
      </c>
      <c r="D356">
        <v>25110</v>
      </c>
      <c r="E356">
        <f t="shared" si="11"/>
        <v>25110307</v>
      </c>
      <c r="F356">
        <f>VLOOKUP(E356,YieldData!D:F,2,FALSE)</f>
        <v>7</v>
      </c>
      <c r="G356">
        <f>VLOOKUP($E356,YieldData!$D:$F,3,FALSE)</f>
        <v>1</v>
      </c>
      <c r="H356">
        <v>16</v>
      </c>
      <c r="I356" t="s">
        <v>24</v>
      </c>
      <c r="J356" t="s">
        <v>25</v>
      </c>
      <c r="K356" s="2">
        <v>3261.1240419999999</v>
      </c>
      <c r="L356" s="2">
        <v>20979982.93</v>
      </c>
      <c r="M356" s="3">
        <v>15250.36954</v>
      </c>
      <c r="N356" s="3">
        <v>23635119.210000001</v>
      </c>
      <c r="O356" s="4">
        <v>6.3286282999999999E-2</v>
      </c>
      <c r="P356" s="4">
        <v>7.8016029999999998E-3</v>
      </c>
      <c r="Q356" s="5">
        <v>-2.8840210000000002E-2</v>
      </c>
      <c r="R356" s="5">
        <v>1.1998499999999999E-3</v>
      </c>
      <c r="S356" s="6">
        <v>0.263047639</v>
      </c>
      <c r="T356" s="6">
        <v>1.7505514E-2</v>
      </c>
      <c r="U356" s="7">
        <v>9.2644113E-2</v>
      </c>
      <c r="V356" s="7">
        <v>8.4061180999999999E-2</v>
      </c>
      <c r="W356" s="8">
        <v>0.90307342700000004</v>
      </c>
      <c r="X356" s="8">
        <v>8.7531812000000001E-2</v>
      </c>
      <c r="Y356" s="2">
        <v>45</v>
      </c>
      <c r="Z356" s="2">
        <f>VLOOKUP(E356,YieldData!T:U,2,FALSE)</f>
        <v>1489.1415275994866</v>
      </c>
      <c r="AA356">
        <f t="shared" si="10"/>
        <v>0.48000382701875199</v>
      </c>
    </row>
    <row r="357" spans="1:27" hidden="1" x14ac:dyDescent="0.25">
      <c r="A357">
        <v>124</v>
      </c>
      <c r="B357">
        <v>308</v>
      </c>
      <c r="C357" t="s">
        <v>23</v>
      </c>
      <c r="D357">
        <v>25110</v>
      </c>
      <c r="E357">
        <f t="shared" si="11"/>
        <v>25110308</v>
      </c>
      <c r="F357">
        <f>VLOOKUP(E357,YieldData!D:F,2,FALSE)</f>
        <v>8</v>
      </c>
      <c r="G357">
        <f>VLOOKUP($E357,YieldData!$D:$F,3,FALSE)</f>
        <v>1</v>
      </c>
      <c r="H357">
        <v>16</v>
      </c>
      <c r="I357" t="s">
        <v>24</v>
      </c>
      <c r="J357" t="s">
        <v>25</v>
      </c>
      <c r="K357" s="2">
        <v>5221.7900490000002</v>
      </c>
      <c r="L357" s="2">
        <v>49997783.159999996</v>
      </c>
      <c r="M357" s="3">
        <v>15249.058069999999</v>
      </c>
      <c r="N357" s="3">
        <v>36693793.590000004</v>
      </c>
      <c r="O357" s="4">
        <v>6.9727022999999999E-2</v>
      </c>
      <c r="P357" s="4">
        <v>9.3130869999999994E-3</v>
      </c>
      <c r="Q357" s="5">
        <v>-3.2450117000000001E-2</v>
      </c>
      <c r="R357" s="5">
        <v>1.0129710000000001E-3</v>
      </c>
      <c r="S357" s="6">
        <v>0.28869573199999998</v>
      </c>
      <c r="T357" s="6">
        <v>2.7897253E-2</v>
      </c>
      <c r="U357" s="7">
        <v>0.15428698599999999</v>
      </c>
      <c r="V357" s="7">
        <v>0.13048251199999999</v>
      </c>
      <c r="W357" s="8">
        <v>0.81742832899999995</v>
      </c>
      <c r="X357" s="8">
        <v>0.14923925599999999</v>
      </c>
      <c r="Y357" s="2">
        <v>20</v>
      </c>
      <c r="Z357" s="2">
        <f>VLOOKUP(E357,YieldData!T:U,2,FALSE)</f>
        <v>1340.4685494223365</v>
      </c>
      <c r="AA357">
        <f t="shared" si="10"/>
        <v>0.50702018752391897</v>
      </c>
    </row>
    <row r="358" spans="1:27" hidden="1" x14ac:dyDescent="0.25">
      <c r="A358">
        <v>125</v>
      </c>
      <c r="B358">
        <v>309</v>
      </c>
      <c r="C358" t="s">
        <v>23</v>
      </c>
      <c r="D358">
        <v>25110</v>
      </c>
      <c r="E358">
        <f t="shared" si="11"/>
        <v>25110309</v>
      </c>
      <c r="F358">
        <f>VLOOKUP(E358,YieldData!D:F,2,FALSE)</f>
        <v>9</v>
      </c>
      <c r="G358">
        <f>VLOOKUP($E358,YieldData!$D:$F,3,FALSE)</f>
        <v>1</v>
      </c>
      <c r="H358">
        <v>16</v>
      </c>
      <c r="I358" t="s">
        <v>24</v>
      </c>
      <c r="J358" t="s">
        <v>25</v>
      </c>
      <c r="K358" s="2">
        <v>2575.1249640000001</v>
      </c>
      <c r="L358" s="2">
        <v>7258135.6509999996</v>
      </c>
      <c r="M358" s="3">
        <v>15840.896000000001</v>
      </c>
      <c r="N358" s="3">
        <v>12788248.85</v>
      </c>
      <c r="O358" s="4">
        <v>5.5117698E-2</v>
      </c>
      <c r="P358" s="4">
        <v>3.6056019999999999E-3</v>
      </c>
      <c r="Q358" s="5">
        <v>-2.5448430000000001E-2</v>
      </c>
      <c r="R358" s="5">
        <v>6.7295099999999997E-4</v>
      </c>
      <c r="S358" s="6">
        <v>0.23924290600000001</v>
      </c>
      <c r="T358" s="6">
        <v>6.9815390000000001E-3</v>
      </c>
      <c r="U358" s="7">
        <v>3.0886527E-2</v>
      </c>
      <c r="V358" s="7">
        <v>2.9932548999999999E-2</v>
      </c>
      <c r="W358" s="8">
        <v>0.84657976599999996</v>
      </c>
      <c r="X358" s="8">
        <v>0.129882466</v>
      </c>
      <c r="Y358" s="2">
        <v>57</v>
      </c>
      <c r="Z358" s="2">
        <f>VLOOKUP(E358,YieldData!T:U,2,FALSE)</f>
        <v>1535.1412066752248</v>
      </c>
      <c r="AA358">
        <f t="shared" si="10"/>
        <v>0.30382214355760701</v>
      </c>
    </row>
    <row r="359" spans="1:27" hidden="1" x14ac:dyDescent="0.25">
      <c r="A359">
        <v>126</v>
      </c>
      <c r="B359">
        <v>310</v>
      </c>
      <c r="C359" t="s">
        <v>23</v>
      </c>
      <c r="D359">
        <v>25110</v>
      </c>
      <c r="E359">
        <f t="shared" si="11"/>
        <v>25110310</v>
      </c>
      <c r="F359">
        <f>VLOOKUP(E359,YieldData!D:F,2,FALSE)</f>
        <v>10</v>
      </c>
      <c r="G359">
        <f>VLOOKUP($E359,YieldData!$D:$F,3,FALSE)</f>
        <v>1</v>
      </c>
      <c r="H359">
        <v>16</v>
      </c>
      <c r="I359" t="s">
        <v>24</v>
      </c>
      <c r="J359" t="s">
        <v>25</v>
      </c>
      <c r="K359" s="2">
        <v>4770.3989590000001</v>
      </c>
      <c r="L359" s="2">
        <v>44949593.43</v>
      </c>
      <c r="M359" s="3">
        <v>14198.181699999999</v>
      </c>
      <c r="N359" s="3">
        <v>37391481.57</v>
      </c>
      <c r="O359" s="4">
        <v>8.9056626999999999E-2</v>
      </c>
      <c r="P359" s="4">
        <v>1.0187180000000001E-2</v>
      </c>
      <c r="Q359" s="5">
        <v>-2.0818950999999999E-2</v>
      </c>
      <c r="R359" s="5">
        <v>1.4497150000000001E-3</v>
      </c>
      <c r="S359" s="6">
        <v>0.30049386099999997</v>
      </c>
      <c r="T359" s="6">
        <v>2.6948526E-2</v>
      </c>
      <c r="U359" s="7">
        <v>0.15097068499999999</v>
      </c>
      <c r="V359" s="7">
        <v>0.12817853700000001</v>
      </c>
      <c r="W359" s="8">
        <v>0.81598210699999996</v>
      </c>
      <c r="X359" s="8">
        <v>0.15015530799999999</v>
      </c>
      <c r="Y359" s="2">
        <v>33</v>
      </c>
      <c r="Z359" s="2">
        <f>VLOOKUP(E359,YieldData!T:U,2,FALSE)</f>
        <v>1065.8279845956356</v>
      </c>
      <c r="AA359">
        <f t="shared" si="10"/>
        <v>0.59022628330861604</v>
      </c>
    </row>
    <row r="360" spans="1:27" hidden="1" x14ac:dyDescent="0.25">
      <c r="A360">
        <v>127</v>
      </c>
      <c r="B360">
        <v>311</v>
      </c>
      <c r="C360" t="s">
        <v>23</v>
      </c>
      <c r="D360">
        <v>25110</v>
      </c>
      <c r="E360">
        <f t="shared" si="11"/>
        <v>25110311</v>
      </c>
      <c r="F360">
        <f>VLOOKUP(E360,YieldData!D:F,2,FALSE)</f>
        <v>11</v>
      </c>
      <c r="G360">
        <f>VLOOKUP($E360,YieldData!$D:$F,3,FALSE)</f>
        <v>1</v>
      </c>
      <c r="H360">
        <v>16</v>
      </c>
      <c r="I360" t="s">
        <v>24</v>
      </c>
      <c r="J360" t="s">
        <v>25</v>
      </c>
      <c r="K360" s="2">
        <v>5022.5702529999999</v>
      </c>
      <c r="L360" s="2">
        <v>51766703.039999999</v>
      </c>
      <c r="M360" s="3">
        <v>14815.77526</v>
      </c>
      <c r="N360" s="3">
        <v>40732046.840000004</v>
      </c>
      <c r="O360" s="4">
        <v>8.3317074000000005E-2</v>
      </c>
      <c r="P360" s="4">
        <v>9.7369610000000006E-3</v>
      </c>
      <c r="Q360" s="5">
        <v>-2.8072986000000001E-2</v>
      </c>
      <c r="R360" s="5">
        <v>1.3822820000000001E-3</v>
      </c>
      <c r="S360" s="6">
        <v>0.29689262900000002</v>
      </c>
      <c r="T360" s="6">
        <v>2.9545517E-2</v>
      </c>
      <c r="U360" s="7">
        <v>0.15725783800000001</v>
      </c>
      <c r="V360" s="7">
        <v>0.13252781</v>
      </c>
      <c r="W360" s="8">
        <v>0.55749761099999995</v>
      </c>
      <c r="X360" s="8">
        <v>0.24669402500000001</v>
      </c>
      <c r="Y360" s="2">
        <v>22</v>
      </c>
      <c r="Z360" s="2">
        <f>VLOOKUP(E360,YieldData!T:U,2,FALSE)</f>
        <v>854.77695763799738</v>
      </c>
      <c r="AA360">
        <f t="shared" si="10"/>
        <v>0.44120778089615798</v>
      </c>
    </row>
    <row r="361" spans="1:27" hidden="1" x14ac:dyDescent="0.25">
      <c r="A361">
        <v>128</v>
      </c>
      <c r="B361">
        <v>312</v>
      </c>
      <c r="C361" t="s">
        <v>23</v>
      </c>
      <c r="D361">
        <v>25110</v>
      </c>
      <c r="E361">
        <f t="shared" si="11"/>
        <v>25110312</v>
      </c>
      <c r="F361">
        <f>VLOOKUP(E361,YieldData!D:F,2,FALSE)</f>
        <v>12</v>
      </c>
      <c r="G361">
        <f>VLOOKUP($E361,YieldData!$D:$F,3,FALSE)</f>
        <v>1</v>
      </c>
      <c r="H361">
        <v>16</v>
      </c>
      <c r="I361" t="s">
        <v>24</v>
      </c>
      <c r="J361" t="s">
        <v>25</v>
      </c>
      <c r="K361" s="2">
        <v>3844.6268789999999</v>
      </c>
      <c r="L361" s="2">
        <v>32914302.440000001</v>
      </c>
      <c r="M361" s="3">
        <v>15013.43505</v>
      </c>
      <c r="N361" s="3">
        <v>27555105.199999999</v>
      </c>
      <c r="O361" s="4">
        <v>7.1423393000000002E-2</v>
      </c>
      <c r="P361" s="4">
        <v>7.214158E-3</v>
      </c>
      <c r="Q361" s="5">
        <v>-3.0005877E-2</v>
      </c>
      <c r="R361" s="5">
        <v>1.096791E-3</v>
      </c>
      <c r="S361" s="6">
        <v>0.26819097400000003</v>
      </c>
      <c r="T361" s="6">
        <v>2.0402100999999999E-2</v>
      </c>
      <c r="U361" s="7">
        <v>9.8296782999999999E-2</v>
      </c>
      <c r="V361" s="7">
        <v>8.8634525000000006E-2</v>
      </c>
      <c r="W361" s="8">
        <v>0.47075708599999999</v>
      </c>
      <c r="X361" s="8">
        <v>0.249144852</v>
      </c>
      <c r="Y361" s="2">
        <v>33</v>
      </c>
      <c r="Z361" s="2">
        <f>VLOOKUP(E361,YieldData!T:U,2,FALSE)</f>
        <v>1500.4236200256737</v>
      </c>
      <c r="AA361">
        <f t="shared" si="10"/>
        <v>0.35516668062150902</v>
      </c>
    </row>
    <row r="362" spans="1:27" hidden="1" x14ac:dyDescent="0.25">
      <c r="A362">
        <v>129</v>
      </c>
      <c r="B362">
        <v>401</v>
      </c>
      <c r="C362" t="s">
        <v>23</v>
      </c>
      <c r="D362">
        <v>25110</v>
      </c>
      <c r="E362">
        <f t="shared" si="11"/>
        <v>25110401</v>
      </c>
      <c r="F362">
        <f>VLOOKUP(E362,YieldData!D:F,2,FALSE)</f>
        <v>3</v>
      </c>
      <c r="G362">
        <f>VLOOKUP($E362,YieldData!$D:$F,3,FALSE)</f>
        <v>2</v>
      </c>
      <c r="H362">
        <v>16</v>
      </c>
      <c r="I362" t="s">
        <v>24</v>
      </c>
      <c r="J362" t="s">
        <v>25</v>
      </c>
      <c r="K362" s="2">
        <v>5208.0708400000003</v>
      </c>
      <c r="L362" s="2">
        <v>40498406.850000001</v>
      </c>
      <c r="M362" s="3">
        <v>15729.51647</v>
      </c>
      <c r="N362" s="3">
        <v>36096455.700000003</v>
      </c>
      <c r="O362" s="4">
        <v>5.0268024000000001E-2</v>
      </c>
      <c r="P362" s="4">
        <v>1.0247703E-2</v>
      </c>
      <c r="Q362" s="5">
        <v>-4.5527842999999998E-2</v>
      </c>
      <c r="R362" s="5">
        <v>1.122077E-3</v>
      </c>
      <c r="S362" s="6">
        <v>0.25654811799999999</v>
      </c>
      <c r="T362" s="6">
        <v>2.8687542E-2</v>
      </c>
      <c r="U362" s="7">
        <v>0.13694817100000001</v>
      </c>
      <c r="V362" s="7">
        <v>0.11819337000000001</v>
      </c>
      <c r="W362" s="8">
        <v>0.70276379200000005</v>
      </c>
      <c r="X362" s="8">
        <v>0.20888684499999999</v>
      </c>
      <c r="Y362" s="2">
        <v>23</v>
      </c>
      <c r="Z362" s="2">
        <f>VLOOKUP(E362,YieldData!T:U,2,FALSE)</f>
        <v>1017.8177150192552</v>
      </c>
      <c r="AA362">
        <f t="shared" si="10"/>
        <v>0.456787465614161</v>
      </c>
    </row>
    <row r="363" spans="1:27" hidden="1" x14ac:dyDescent="0.25">
      <c r="A363">
        <v>130</v>
      </c>
      <c r="B363">
        <v>402</v>
      </c>
      <c r="C363" t="s">
        <v>23</v>
      </c>
      <c r="D363">
        <v>25110</v>
      </c>
      <c r="E363">
        <f t="shared" si="11"/>
        <v>25110402</v>
      </c>
      <c r="F363">
        <f>VLOOKUP(E363,YieldData!D:F,2,FALSE)</f>
        <v>15</v>
      </c>
      <c r="G363">
        <f>VLOOKUP($E363,YieldData!$D:$F,3,FALSE)</f>
        <v>2</v>
      </c>
      <c r="H363">
        <v>16</v>
      </c>
      <c r="I363" t="s">
        <v>24</v>
      </c>
      <c r="J363" t="s">
        <v>25</v>
      </c>
      <c r="K363" s="2">
        <v>4599.546171</v>
      </c>
      <c r="L363" s="2">
        <v>45834054.509999998</v>
      </c>
      <c r="M363" s="3">
        <v>15791.53241</v>
      </c>
      <c r="N363" s="3">
        <v>30978882.329999998</v>
      </c>
      <c r="O363" s="4">
        <v>5.8269410000000001E-2</v>
      </c>
      <c r="P363" s="4">
        <v>7.5339020000000003E-3</v>
      </c>
      <c r="Q363" s="5">
        <v>-4.1803466999999997E-2</v>
      </c>
      <c r="R363" s="5">
        <v>1.045706E-3</v>
      </c>
      <c r="S363" s="6">
        <v>0.25643175099999999</v>
      </c>
      <c r="T363" s="6">
        <v>2.3869207999999999E-2</v>
      </c>
      <c r="U363" s="7">
        <v>0.12068085100000001</v>
      </c>
      <c r="V363" s="7">
        <v>0.106116983</v>
      </c>
      <c r="W363" s="8">
        <v>0.85699835499999999</v>
      </c>
      <c r="X363" s="8">
        <v>0.122552175</v>
      </c>
      <c r="Y363" s="2">
        <v>32</v>
      </c>
      <c r="Z363" s="2">
        <f>VLOOKUP(E363,YieldData!T:U,2,FALSE)</f>
        <v>894.42394094993597</v>
      </c>
      <c r="AA363">
        <f t="shared" si="10"/>
        <v>0.448570906210007</v>
      </c>
    </row>
    <row r="364" spans="1:27" hidden="1" x14ac:dyDescent="0.25">
      <c r="A364">
        <v>131</v>
      </c>
      <c r="B364">
        <v>403</v>
      </c>
      <c r="C364" t="s">
        <v>23</v>
      </c>
      <c r="D364">
        <v>25110</v>
      </c>
      <c r="E364">
        <f t="shared" si="11"/>
        <v>25110403</v>
      </c>
      <c r="F364">
        <f>VLOOKUP(E364,YieldData!D:F,2,FALSE)</f>
        <v>7</v>
      </c>
      <c r="G364">
        <f>VLOOKUP($E364,YieldData!$D:$F,3,FALSE)</f>
        <v>2</v>
      </c>
      <c r="H364">
        <v>16</v>
      </c>
      <c r="I364" t="s">
        <v>24</v>
      </c>
      <c r="J364" t="s">
        <v>25</v>
      </c>
      <c r="K364" s="2">
        <v>4173.6966460000003</v>
      </c>
      <c r="L364" s="2">
        <v>31791003.260000002</v>
      </c>
      <c r="M364" s="3">
        <v>15620.26721</v>
      </c>
      <c r="N364" s="3">
        <v>31450644.030000001</v>
      </c>
      <c r="O364" s="4">
        <v>7.0383449000000001E-2</v>
      </c>
      <c r="P364" s="4">
        <v>9.6205800000000001E-3</v>
      </c>
      <c r="Q364" s="5">
        <v>-3.5478793000000002E-2</v>
      </c>
      <c r="R364" s="5">
        <v>9.6071100000000005E-4</v>
      </c>
      <c r="S364" s="6">
        <v>0.26509903299999998</v>
      </c>
      <c r="T364" s="6">
        <v>2.5267030999999999E-2</v>
      </c>
      <c r="U364" s="7">
        <v>0.125751168</v>
      </c>
      <c r="V364" s="7">
        <v>0.109937812</v>
      </c>
      <c r="W364" s="8">
        <v>0.82263388299999995</v>
      </c>
      <c r="X364" s="8">
        <v>0.145907378</v>
      </c>
      <c r="Y364" s="2">
        <v>20</v>
      </c>
      <c r="Z364" s="2">
        <f>VLOOKUP(E364,YieldData!T:U,2,FALSE)</f>
        <v>1357.461489088575</v>
      </c>
      <c r="AA364">
        <f t="shared" si="10"/>
        <v>0.53847349789513999</v>
      </c>
    </row>
    <row r="365" spans="1:27" hidden="1" x14ac:dyDescent="0.25">
      <c r="A365">
        <v>132</v>
      </c>
      <c r="B365">
        <v>404</v>
      </c>
      <c r="C365" t="s">
        <v>23</v>
      </c>
      <c r="D365">
        <v>25110</v>
      </c>
      <c r="E365">
        <f t="shared" si="11"/>
        <v>25110404</v>
      </c>
      <c r="F365">
        <f>VLOOKUP(E365,YieldData!D:F,2,FALSE)</f>
        <v>14</v>
      </c>
      <c r="G365">
        <f>VLOOKUP($E365,YieldData!$D:$F,3,FALSE)</f>
        <v>2</v>
      </c>
      <c r="H365">
        <v>16</v>
      </c>
      <c r="I365" t="s">
        <v>24</v>
      </c>
      <c r="J365" t="s">
        <v>25</v>
      </c>
      <c r="K365" s="2">
        <v>5501.0017459999999</v>
      </c>
      <c r="L365" s="2">
        <v>53350322.079999998</v>
      </c>
      <c r="M365" s="3">
        <v>14464.33769</v>
      </c>
      <c r="N365" s="3">
        <v>42646251.590000004</v>
      </c>
      <c r="O365" s="4">
        <v>9.0573575000000003E-2</v>
      </c>
      <c r="P365" s="4">
        <v>1.040876E-2</v>
      </c>
      <c r="Q365" s="5">
        <v>-2.5761421999999999E-2</v>
      </c>
      <c r="R365" s="5">
        <v>1.1243049999999999E-3</v>
      </c>
      <c r="S365" s="6">
        <v>0.29869108500000002</v>
      </c>
      <c r="T365" s="6">
        <v>3.1377368000000003E-2</v>
      </c>
      <c r="U365" s="7">
        <v>0.170768374</v>
      </c>
      <c r="V365" s="7">
        <v>0.141606537</v>
      </c>
      <c r="W365" s="8">
        <v>0.79580707299999998</v>
      </c>
      <c r="X365" s="8">
        <v>0.16249817599999999</v>
      </c>
      <c r="Y365" s="2">
        <v>24</v>
      </c>
      <c r="Z365" s="2">
        <f>VLOOKUP(E365,YieldData!T:U,2,FALSE)</f>
        <v>1325.8616816431324</v>
      </c>
      <c r="AA365">
        <f t="shared" si="10"/>
        <v>0.53480834778448805</v>
      </c>
    </row>
    <row r="366" spans="1:27" hidden="1" x14ac:dyDescent="0.25">
      <c r="A366">
        <v>133</v>
      </c>
      <c r="B366">
        <v>405</v>
      </c>
      <c r="C366" t="s">
        <v>23</v>
      </c>
      <c r="D366">
        <v>25110</v>
      </c>
      <c r="E366">
        <f t="shared" si="11"/>
        <v>25110405</v>
      </c>
      <c r="F366">
        <f>VLOOKUP(E366,YieldData!D:F,2,FALSE)</f>
        <v>9</v>
      </c>
      <c r="G366">
        <f>VLOOKUP($E366,YieldData!$D:$F,3,FALSE)</f>
        <v>2</v>
      </c>
      <c r="H366">
        <v>16</v>
      </c>
      <c r="I366" t="s">
        <v>24</v>
      </c>
      <c r="J366" t="s">
        <v>25</v>
      </c>
      <c r="K366" s="2">
        <v>3218.7317250000001</v>
      </c>
      <c r="L366" s="2">
        <v>10601654.07</v>
      </c>
      <c r="M366" s="3">
        <v>16328.39076</v>
      </c>
      <c r="N366" s="3">
        <v>15332731.83</v>
      </c>
      <c r="O366" s="4">
        <v>5.2319567999999997E-2</v>
      </c>
      <c r="P366" s="4">
        <v>3.9980429999999997E-3</v>
      </c>
      <c r="Q366" s="5">
        <v>-2.9225305E-2</v>
      </c>
      <c r="R366" s="5">
        <v>7.7141700000000004E-4</v>
      </c>
      <c r="S366" s="6">
        <v>0.23306766900000001</v>
      </c>
      <c r="T366" s="6">
        <v>9.4876260000000007E-3</v>
      </c>
      <c r="U366" s="7">
        <v>4.6990702000000002E-2</v>
      </c>
      <c r="V366" s="7">
        <v>4.4782575999999998E-2</v>
      </c>
      <c r="W366" s="8">
        <v>0.94033992399999999</v>
      </c>
      <c r="X366" s="8">
        <v>5.6100751999999997E-2</v>
      </c>
      <c r="Y366" s="2">
        <v>53</v>
      </c>
      <c r="Z366" s="2">
        <f>VLOOKUP(E366,YieldData!T:U,2,FALSE)</f>
        <v>2104.1399229781773</v>
      </c>
      <c r="AA366">
        <f t="shared" si="10"/>
        <v>0.36840909090909102</v>
      </c>
    </row>
    <row r="367" spans="1:27" hidden="1" x14ac:dyDescent="0.25">
      <c r="A367">
        <v>134</v>
      </c>
      <c r="B367">
        <v>406</v>
      </c>
      <c r="C367" t="s">
        <v>23</v>
      </c>
      <c r="D367">
        <v>25110</v>
      </c>
      <c r="E367">
        <f t="shared" si="11"/>
        <v>25110406</v>
      </c>
      <c r="F367">
        <f>VLOOKUP(E367,YieldData!D:F,2,FALSE)</f>
        <v>8</v>
      </c>
      <c r="G367">
        <f>VLOOKUP($E367,YieldData!$D:$F,3,FALSE)</f>
        <v>2</v>
      </c>
      <c r="H367">
        <v>16</v>
      </c>
      <c r="I367" t="s">
        <v>24</v>
      </c>
      <c r="J367" t="s">
        <v>25</v>
      </c>
      <c r="K367" s="2">
        <v>5429.1673899999996</v>
      </c>
      <c r="L367" s="2">
        <v>54136093.770000003</v>
      </c>
      <c r="M367" s="3">
        <v>13887.153329999999</v>
      </c>
      <c r="N367" s="3">
        <v>38102722.609999999</v>
      </c>
      <c r="O367" s="4">
        <v>9.0555555999999995E-2</v>
      </c>
      <c r="P367" s="4">
        <v>8.6624920000000008E-3</v>
      </c>
      <c r="Q367" s="5">
        <v>-2.1737017000000001E-2</v>
      </c>
      <c r="R367" s="5">
        <v>1.642194E-3</v>
      </c>
      <c r="S367" s="6">
        <v>0.29990917099999997</v>
      </c>
      <c r="T367" s="6">
        <v>2.6603367999999999E-2</v>
      </c>
      <c r="U367" s="7">
        <v>0.15459609999999999</v>
      </c>
      <c r="V367" s="7">
        <v>0.13069614600000001</v>
      </c>
      <c r="W367" s="8">
        <v>0.75495367400000002</v>
      </c>
      <c r="X367" s="8">
        <v>0.184998624</v>
      </c>
      <c r="Y367" s="2">
        <v>17</v>
      </c>
      <c r="Z367" s="2">
        <f>VLOOKUP(E367,YieldData!T:U,2,FALSE)</f>
        <v>1424.2105263157896</v>
      </c>
      <c r="AA367">
        <f t="shared" si="10"/>
        <v>0.442391372108971</v>
      </c>
    </row>
    <row r="368" spans="1:27" hidden="1" x14ac:dyDescent="0.25">
      <c r="A368">
        <v>135</v>
      </c>
      <c r="B368">
        <v>407</v>
      </c>
      <c r="C368" t="s">
        <v>23</v>
      </c>
      <c r="D368">
        <v>25110</v>
      </c>
      <c r="E368">
        <f t="shared" si="11"/>
        <v>25110407</v>
      </c>
      <c r="F368">
        <f>VLOOKUP(E368,YieldData!D:F,2,FALSE)</f>
        <v>11</v>
      </c>
      <c r="G368">
        <f>VLOOKUP($E368,YieldData!$D:$F,3,FALSE)</f>
        <v>2</v>
      </c>
      <c r="H368">
        <v>16</v>
      </c>
      <c r="I368" t="s">
        <v>24</v>
      </c>
      <c r="J368" t="s">
        <v>25</v>
      </c>
      <c r="K368" s="2">
        <v>5320.4692859999996</v>
      </c>
      <c r="L368" s="2">
        <v>50666120.460000001</v>
      </c>
      <c r="M368" s="3">
        <v>14808.131729999999</v>
      </c>
      <c r="N368" s="3">
        <v>43501451.149999999</v>
      </c>
      <c r="O368" s="4">
        <v>7.9948457000000001E-2</v>
      </c>
      <c r="P368" s="4">
        <v>1.0583471000000001E-2</v>
      </c>
      <c r="Q368" s="5">
        <v>-2.8472205E-2</v>
      </c>
      <c r="R368" s="5">
        <v>1.279421E-3</v>
      </c>
      <c r="S368" s="6">
        <v>0.29276395500000002</v>
      </c>
      <c r="T368" s="6">
        <v>3.0802537000000001E-2</v>
      </c>
      <c r="U368" s="7">
        <v>0.158392698</v>
      </c>
      <c r="V368" s="7">
        <v>0.13330445099999999</v>
      </c>
      <c r="W368" s="8">
        <v>0.78629095000000004</v>
      </c>
      <c r="X368" s="8">
        <v>0.16803749200000001</v>
      </c>
      <c r="Y368" s="2">
        <v>25</v>
      </c>
      <c r="Z368" s="2">
        <f>VLOOKUP(E368,YieldData!T:U,2,FALSE)</f>
        <v>1069.6983311938379</v>
      </c>
      <c r="AA368">
        <f t="shared" si="10"/>
        <v>0.54326923076923095</v>
      </c>
    </row>
    <row r="369" spans="1:27" hidden="1" x14ac:dyDescent="0.25">
      <c r="A369">
        <v>136</v>
      </c>
      <c r="B369">
        <v>408</v>
      </c>
      <c r="C369" t="s">
        <v>23</v>
      </c>
      <c r="D369">
        <v>25110</v>
      </c>
      <c r="E369">
        <f t="shared" si="11"/>
        <v>25110408</v>
      </c>
      <c r="H369">
        <v>16</v>
      </c>
      <c r="I369" t="s">
        <v>24</v>
      </c>
      <c r="J369" t="s">
        <v>25</v>
      </c>
      <c r="K369" s="2">
        <v>4805.7931740000004</v>
      </c>
      <c r="L369" s="2">
        <v>36149701.299999997</v>
      </c>
      <c r="M369" s="3">
        <v>15710.5497</v>
      </c>
      <c r="N369" s="3">
        <v>32582137.899999999</v>
      </c>
      <c r="O369" s="4">
        <v>6.6818374E-2</v>
      </c>
      <c r="P369" s="4">
        <v>8.2553569999999996E-3</v>
      </c>
      <c r="Q369" s="5">
        <v>-3.4206294999999998E-2</v>
      </c>
      <c r="R369" s="5">
        <v>1.0381839999999999E-3</v>
      </c>
      <c r="S369" s="6">
        <v>0.27314608200000001</v>
      </c>
      <c r="T369" s="6">
        <v>2.3309831E-2</v>
      </c>
      <c r="U369" s="7">
        <v>0.127634529</v>
      </c>
      <c r="V369" s="7">
        <v>0.11134395599999999</v>
      </c>
      <c r="W369" s="8">
        <v>0.932023987</v>
      </c>
      <c r="X369" s="8">
        <v>6.3355274000000003E-2</v>
      </c>
      <c r="Y369" s="2">
        <v>35</v>
      </c>
      <c r="Z369" s="2">
        <f>VLOOKUP(E369,YieldData!T:U,2,FALSE)</f>
        <v>0</v>
      </c>
      <c r="AA369">
        <f t="shared" si="10"/>
        <v>0.51172284238286203</v>
      </c>
    </row>
    <row r="370" spans="1:27" hidden="1" x14ac:dyDescent="0.25">
      <c r="A370">
        <v>137</v>
      </c>
      <c r="B370">
        <v>409</v>
      </c>
      <c r="C370" t="s">
        <v>23</v>
      </c>
      <c r="D370">
        <v>25110</v>
      </c>
      <c r="E370">
        <f t="shared" si="11"/>
        <v>25110409</v>
      </c>
      <c r="F370">
        <f>VLOOKUP(E370,YieldData!D:F,2,FALSE)</f>
        <v>10</v>
      </c>
      <c r="G370">
        <f>VLOOKUP($E370,YieldData!$D:$F,3,FALSE)</f>
        <v>2</v>
      </c>
      <c r="H370">
        <v>16</v>
      </c>
      <c r="I370" t="s">
        <v>24</v>
      </c>
      <c r="J370" t="s">
        <v>25</v>
      </c>
      <c r="K370" s="2">
        <v>4006.7730860000001</v>
      </c>
      <c r="L370" s="2">
        <v>30898553.329999998</v>
      </c>
      <c r="M370" s="3">
        <v>15405.332179999999</v>
      </c>
      <c r="N370" s="3">
        <v>25618697.16</v>
      </c>
      <c r="O370" s="4">
        <v>5.9077457999999999E-2</v>
      </c>
      <c r="P370" s="4">
        <v>6.4430470000000004E-3</v>
      </c>
      <c r="Q370" s="5">
        <v>-3.0599626000000001E-2</v>
      </c>
      <c r="R370" s="5">
        <v>9.5002800000000001E-4</v>
      </c>
      <c r="S370" s="6">
        <v>0.25642910200000002</v>
      </c>
      <c r="T370" s="6">
        <v>1.8223763E-2</v>
      </c>
      <c r="U370" s="7">
        <v>9.0509324000000002E-2</v>
      </c>
      <c r="V370" s="7">
        <v>8.2317386000000006E-2</v>
      </c>
      <c r="W370" s="8">
        <v>0.82442501599999995</v>
      </c>
      <c r="X370" s="8">
        <v>0.14474840899999999</v>
      </c>
      <c r="Y370" s="2">
        <v>30</v>
      </c>
      <c r="Z370" s="2">
        <f>VLOOKUP(E370,YieldData!T:U,2,FALSE)</f>
        <v>402.03947368421052</v>
      </c>
      <c r="AA370">
        <f t="shared" si="10"/>
        <v>0.47419659622307497</v>
      </c>
    </row>
    <row r="371" spans="1:27" hidden="1" x14ac:dyDescent="0.25">
      <c r="A371">
        <v>138</v>
      </c>
      <c r="B371">
        <v>410</v>
      </c>
      <c r="C371" t="s">
        <v>23</v>
      </c>
      <c r="D371">
        <v>25110</v>
      </c>
      <c r="E371">
        <f t="shared" si="11"/>
        <v>25110410</v>
      </c>
      <c r="F371">
        <f>VLOOKUP(E371,YieldData!D:F,2,FALSE)</f>
        <v>15</v>
      </c>
      <c r="G371">
        <f>VLOOKUP($E371,YieldData!$D:$F,3,FALSE)</f>
        <v>1</v>
      </c>
      <c r="H371">
        <v>16</v>
      </c>
      <c r="I371" t="s">
        <v>24</v>
      </c>
      <c r="J371" t="s">
        <v>25</v>
      </c>
      <c r="K371" s="2">
        <v>4187.6230699999996</v>
      </c>
      <c r="L371" s="2">
        <v>34544084.75</v>
      </c>
      <c r="M371" s="3">
        <v>15780.6317</v>
      </c>
      <c r="N371" s="3">
        <v>26872411.98</v>
      </c>
      <c r="O371" s="4">
        <v>5.6546020000000002E-2</v>
      </c>
      <c r="P371" s="4">
        <v>6.3483860000000001E-3</v>
      </c>
      <c r="Q371" s="5">
        <v>-3.1849947000000003E-2</v>
      </c>
      <c r="R371" s="5">
        <v>1.1449209999999999E-3</v>
      </c>
      <c r="S371" s="6">
        <v>0.259676456</v>
      </c>
      <c r="T371" s="6">
        <v>1.9287182E-2</v>
      </c>
      <c r="U371" s="7">
        <v>0.101646823</v>
      </c>
      <c r="V371" s="7">
        <v>9.1314747000000002E-2</v>
      </c>
      <c r="W371" s="8">
        <v>0.92711398199999995</v>
      </c>
      <c r="X371" s="8">
        <v>6.7573647000000001E-2</v>
      </c>
      <c r="Y371" s="2">
        <v>29</v>
      </c>
      <c r="Z371" s="2">
        <f>VLOOKUP(E371,YieldData!T:U,2,FALSE)</f>
        <v>837.17747111681626</v>
      </c>
      <c r="AA371">
        <f t="shared" si="10"/>
        <v>0.45241141791133999</v>
      </c>
    </row>
    <row r="372" spans="1:27" hidden="1" x14ac:dyDescent="0.25">
      <c r="A372">
        <v>139</v>
      </c>
      <c r="B372">
        <v>411</v>
      </c>
      <c r="C372" t="s">
        <v>23</v>
      </c>
      <c r="D372">
        <v>25110</v>
      </c>
      <c r="E372">
        <f t="shared" si="11"/>
        <v>25110411</v>
      </c>
      <c r="F372">
        <f>VLOOKUP(E372,YieldData!D:F,2,FALSE)</f>
        <v>14</v>
      </c>
      <c r="G372">
        <f>VLOOKUP($E372,YieldData!$D:$F,3,FALSE)</f>
        <v>1</v>
      </c>
      <c r="H372">
        <v>16</v>
      </c>
      <c r="I372" t="s">
        <v>24</v>
      </c>
      <c r="J372" t="s">
        <v>25</v>
      </c>
      <c r="K372" s="2">
        <v>4667.4953370000003</v>
      </c>
      <c r="L372" s="2">
        <v>43894886.219999999</v>
      </c>
      <c r="M372" s="3">
        <v>15523.075199999999</v>
      </c>
      <c r="N372" s="3">
        <v>37420208.68</v>
      </c>
      <c r="O372" s="4">
        <v>6.5852203999999998E-2</v>
      </c>
      <c r="P372" s="4">
        <v>8.9698060000000003E-3</v>
      </c>
      <c r="Q372" s="5">
        <v>-3.3507829000000003E-2</v>
      </c>
      <c r="R372" s="5">
        <v>1.514746E-3</v>
      </c>
      <c r="S372" s="6">
        <v>0.27200180499999999</v>
      </c>
      <c r="T372" s="6">
        <v>2.6360716999999999E-2</v>
      </c>
      <c r="U372" s="7">
        <v>0.135074627</v>
      </c>
      <c r="V372" s="7">
        <v>0.116829472</v>
      </c>
      <c r="W372" s="8">
        <v>0.82092148300000001</v>
      </c>
      <c r="X372" s="8">
        <v>0.14700940200000001</v>
      </c>
      <c r="Y372" s="2">
        <v>23</v>
      </c>
      <c r="Z372" s="2">
        <f>VLOOKUP(E372,YieldData!T:U,2,FALSE)</f>
        <v>231.2130937098845</v>
      </c>
      <c r="AA372">
        <f t="shared" si="10"/>
        <v>0.35523588630082897</v>
      </c>
    </row>
    <row r="373" spans="1:27" hidden="1" x14ac:dyDescent="0.25">
      <c r="A373">
        <v>140</v>
      </c>
      <c r="B373">
        <v>412</v>
      </c>
      <c r="C373" t="s">
        <v>23</v>
      </c>
      <c r="D373">
        <v>25110</v>
      </c>
      <c r="E373">
        <f t="shared" si="11"/>
        <v>25110412</v>
      </c>
      <c r="F373">
        <f>VLOOKUP(E373,YieldData!D:F,2,FALSE)</f>
        <v>13</v>
      </c>
      <c r="G373">
        <f>VLOOKUP($E373,YieldData!$D:$F,3,FALSE)</f>
        <v>1</v>
      </c>
      <c r="H373">
        <v>16</v>
      </c>
      <c r="I373" t="s">
        <v>24</v>
      </c>
      <c r="J373" t="s">
        <v>25</v>
      </c>
      <c r="K373" s="2">
        <v>3913.915904</v>
      </c>
      <c r="L373" s="2">
        <v>33697458.280000001</v>
      </c>
      <c r="M373" s="3">
        <v>15696.346579999999</v>
      </c>
      <c r="N373" s="3">
        <v>32309100.68</v>
      </c>
      <c r="O373" s="4">
        <v>6.1716036000000002E-2</v>
      </c>
      <c r="P373" s="4">
        <v>8.2896050000000002E-3</v>
      </c>
      <c r="Q373" s="5">
        <v>-3.4551750999999999E-2</v>
      </c>
      <c r="R373" s="5">
        <v>1.136488E-3</v>
      </c>
      <c r="S373" s="6">
        <v>0.25467932100000001</v>
      </c>
      <c r="T373" s="6">
        <v>2.3256941E-2</v>
      </c>
      <c r="U373" s="7">
        <v>0.106731251</v>
      </c>
      <c r="V373" s="7">
        <v>9.5339691000000004E-2</v>
      </c>
      <c r="W373" s="8">
        <v>0.55255352199999996</v>
      </c>
      <c r="X373" s="8">
        <v>0.247238127</v>
      </c>
      <c r="Y373" s="2">
        <v>22</v>
      </c>
      <c r="Z373" s="2">
        <f>VLOOKUP(E373,YieldData!T:U,2,FALSE)</f>
        <v>646.25641848523742</v>
      </c>
      <c r="AA373">
        <f t="shared" si="10"/>
        <v>0.32691870686871299</v>
      </c>
    </row>
    <row r="374" spans="1:27" hidden="1" x14ac:dyDescent="0.25">
      <c r="A374">
        <v>141</v>
      </c>
      <c r="B374">
        <v>501</v>
      </c>
      <c r="C374" t="s">
        <v>23</v>
      </c>
      <c r="D374">
        <v>25110</v>
      </c>
      <c r="E374">
        <f t="shared" si="11"/>
        <v>25110501</v>
      </c>
      <c r="F374">
        <f>VLOOKUP(E374,YieldData!D:F,2,FALSE)</f>
        <v>2</v>
      </c>
      <c r="G374">
        <f>VLOOKUP($E374,YieldData!$D:$F,3,FALSE)</f>
        <v>2</v>
      </c>
      <c r="H374">
        <v>16</v>
      </c>
      <c r="I374" t="s">
        <v>24</v>
      </c>
      <c r="J374" t="s">
        <v>25</v>
      </c>
      <c r="K374" s="2">
        <v>5307.9871190000003</v>
      </c>
      <c r="L374" s="2">
        <v>53219510.259999998</v>
      </c>
      <c r="M374" s="3">
        <v>15364.571260000001</v>
      </c>
      <c r="N374" s="3">
        <v>37082822.909999996</v>
      </c>
      <c r="O374" s="4">
        <v>6.8642988000000002E-2</v>
      </c>
      <c r="P374" s="4">
        <v>9.3343490000000005E-3</v>
      </c>
      <c r="Q374" s="5">
        <v>-4.1583472000000003E-2</v>
      </c>
      <c r="R374" s="5">
        <v>1.398451E-3</v>
      </c>
      <c r="S374" s="6">
        <v>0.27973663700000001</v>
      </c>
      <c r="T374" s="6">
        <v>2.8616600999999998E-2</v>
      </c>
      <c r="U374" s="7">
        <v>0.15322535800000001</v>
      </c>
      <c r="V374" s="7">
        <v>0.12974734700000001</v>
      </c>
      <c r="W374" s="8">
        <v>0.66016456599999995</v>
      </c>
      <c r="X374" s="8">
        <v>0.22434731199999999</v>
      </c>
      <c r="Y374" s="2">
        <v>24</v>
      </c>
      <c r="Z374" s="2">
        <f>VLOOKUP(E374,YieldData!T:U,2,FALSE)</f>
        <v>1158.1290115532736</v>
      </c>
      <c r="AA374">
        <f t="shared" si="10"/>
        <v>0.38311944600590803</v>
      </c>
    </row>
    <row r="375" spans="1:27" hidden="1" x14ac:dyDescent="0.25">
      <c r="A375">
        <v>142</v>
      </c>
      <c r="B375">
        <v>502</v>
      </c>
      <c r="C375" t="s">
        <v>23</v>
      </c>
      <c r="D375">
        <v>25110</v>
      </c>
      <c r="E375">
        <f t="shared" si="11"/>
        <v>25110502</v>
      </c>
      <c r="F375">
        <f>VLOOKUP(E375,YieldData!D:F,2,FALSE)</f>
        <v>5</v>
      </c>
      <c r="G375">
        <f>VLOOKUP($E375,YieldData!$D:$F,3,FALSE)</f>
        <v>2</v>
      </c>
      <c r="H375">
        <v>16</v>
      </c>
      <c r="I375" t="s">
        <v>24</v>
      </c>
      <c r="J375" t="s">
        <v>25</v>
      </c>
      <c r="K375" s="2">
        <v>4220.09105</v>
      </c>
      <c r="L375" s="2">
        <v>34219621.850000001</v>
      </c>
      <c r="M375" s="3">
        <v>15702.03758</v>
      </c>
      <c r="N375" s="3">
        <v>28942399.32</v>
      </c>
      <c r="O375" s="4">
        <v>6.5518174999999998E-2</v>
      </c>
      <c r="P375" s="4">
        <v>7.8663399999999994E-3</v>
      </c>
      <c r="Q375" s="5">
        <v>-3.8151795000000002E-2</v>
      </c>
      <c r="R375" s="5">
        <v>1.0041329999999999E-3</v>
      </c>
      <c r="S375" s="6">
        <v>0.26335367500000001</v>
      </c>
      <c r="T375" s="6">
        <v>2.2838731000000001E-2</v>
      </c>
      <c r="U375" s="7">
        <v>0.114468559</v>
      </c>
      <c r="V375" s="7">
        <v>0.10136550799999999</v>
      </c>
      <c r="W375" s="8">
        <v>0.63961248699999995</v>
      </c>
      <c r="X375" s="8">
        <v>0.230508354</v>
      </c>
      <c r="Y375" s="2">
        <v>13</v>
      </c>
      <c r="Z375" s="2">
        <f>VLOOKUP(E375,YieldData!T:U,2,FALSE)</f>
        <v>769.25866495507046</v>
      </c>
      <c r="AA375">
        <f t="shared" si="10"/>
        <v>0.42938299068326702</v>
      </c>
    </row>
    <row r="376" spans="1:27" hidden="1" x14ac:dyDescent="0.25">
      <c r="A376">
        <v>143</v>
      </c>
      <c r="B376">
        <v>503</v>
      </c>
      <c r="C376" t="s">
        <v>23</v>
      </c>
      <c r="D376">
        <v>25110</v>
      </c>
      <c r="E376">
        <f t="shared" si="11"/>
        <v>25110503</v>
      </c>
      <c r="F376">
        <f>VLOOKUP(E376,YieldData!D:F,2,FALSE)</f>
        <v>6</v>
      </c>
      <c r="G376">
        <f>VLOOKUP($E376,YieldData!$D:$F,3,FALSE)</f>
        <v>2</v>
      </c>
      <c r="H376">
        <v>16</v>
      </c>
      <c r="I376" t="s">
        <v>24</v>
      </c>
      <c r="J376" t="s">
        <v>25</v>
      </c>
      <c r="K376" s="2">
        <v>4345.6724759999997</v>
      </c>
      <c r="L376" s="2">
        <v>31987448.66</v>
      </c>
      <c r="M376" s="3">
        <v>14987.5506</v>
      </c>
      <c r="N376" s="3">
        <v>29494502.879999999</v>
      </c>
      <c r="O376" s="4">
        <v>7.4114737E-2</v>
      </c>
      <c r="P376" s="4">
        <v>9.0286749999999999E-3</v>
      </c>
      <c r="Q376" s="5">
        <v>-3.2157524E-2</v>
      </c>
      <c r="R376" s="5">
        <v>9.8271800000000005E-4</v>
      </c>
      <c r="S376" s="6">
        <v>0.273612619</v>
      </c>
      <c r="T376" s="6">
        <v>2.4324239000000001E-2</v>
      </c>
      <c r="U376" s="7">
        <v>0.12276698799999999</v>
      </c>
      <c r="V376" s="7">
        <v>0.107695254</v>
      </c>
      <c r="W376" s="8">
        <v>0.77068981999999997</v>
      </c>
      <c r="X376" s="8">
        <v>0.17672702100000001</v>
      </c>
      <c r="Y376" s="2">
        <v>26</v>
      </c>
      <c r="Z376" s="2">
        <f>VLOOKUP(E376,YieldData!T:U,2,FALSE)</f>
        <v>712.86906290115519</v>
      </c>
      <c r="AA376">
        <f t="shared" si="10"/>
        <v>0.33415054174938402</v>
      </c>
    </row>
    <row r="377" spans="1:27" hidden="1" x14ac:dyDescent="0.25">
      <c r="A377">
        <v>144</v>
      </c>
      <c r="B377">
        <v>504</v>
      </c>
      <c r="C377" t="s">
        <v>23</v>
      </c>
      <c r="D377">
        <v>25110</v>
      </c>
      <c r="E377">
        <f t="shared" si="11"/>
        <v>25110504</v>
      </c>
      <c r="F377">
        <f>VLOOKUP(E377,YieldData!D:F,2,FALSE)</f>
        <v>13</v>
      </c>
      <c r="G377">
        <f>VLOOKUP($E377,YieldData!$D:$F,3,FALSE)</f>
        <v>2</v>
      </c>
      <c r="H377">
        <v>16</v>
      </c>
      <c r="I377" t="s">
        <v>24</v>
      </c>
      <c r="J377" t="s">
        <v>25</v>
      </c>
      <c r="K377" s="2">
        <v>4475.1467220000004</v>
      </c>
      <c r="L377" s="2">
        <v>44251250.18</v>
      </c>
      <c r="M377" s="3">
        <v>14536.188169999999</v>
      </c>
      <c r="N377" s="3">
        <v>29939871.739999998</v>
      </c>
      <c r="O377" s="4">
        <v>8.2149254000000005E-2</v>
      </c>
      <c r="P377" s="4">
        <v>7.5709820000000004E-3</v>
      </c>
      <c r="Q377" s="5">
        <v>-2.3732189000000001E-2</v>
      </c>
      <c r="R377" s="5">
        <v>8.5517700000000004E-4</v>
      </c>
      <c r="S377" s="6">
        <v>0.28309013700000002</v>
      </c>
      <c r="T377" s="6">
        <v>2.5137369999999999E-2</v>
      </c>
      <c r="U377" s="7">
        <v>0.128881469</v>
      </c>
      <c r="V377" s="7">
        <v>0.112271036</v>
      </c>
      <c r="W377" s="8">
        <v>0.64299295599999995</v>
      </c>
      <c r="X377" s="8">
        <v>0.229553014</v>
      </c>
      <c r="Y377" s="2">
        <v>18</v>
      </c>
      <c r="Z377" s="2">
        <f>VLOOKUP(E377,YieldData!T:U,2,FALSE)</f>
        <v>1186.1986521181002</v>
      </c>
      <c r="AA377">
        <f t="shared" si="10"/>
        <v>0.50452680803224403</v>
      </c>
    </row>
    <row r="378" spans="1:27" hidden="1" x14ac:dyDescent="0.25">
      <c r="A378">
        <v>145</v>
      </c>
      <c r="B378">
        <v>505</v>
      </c>
      <c r="C378" t="s">
        <v>23</v>
      </c>
      <c r="D378">
        <v>25110</v>
      </c>
      <c r="E378">
        <f t="shared" si="11"/>
        <v>25110505</v>
      </c>
      <c r="F378">
        <f>VLOOKUP(E378,YieldData!D:F,2,FALSE)</f>
        <v>12</v>
      </c>
      <c r="G378">
        <f>VLOOKUP($E378,YieldData!$D:$F,3,FALSE)</f>
        <v>2</v>
      </c>
      <c r="H378">
        <v>16</v>
      </c>
      <c r="I378" t="s">
        <v>24</v>
      </c>
      <c r="J378" t="s">
        <v>25</v>
      </c>
      <c r="K378" s="2">
        <v>4687.2698710000004</v>
      </c>
      <c r="L378" s="2">
        <v>46307723.829999998</v>
      </c>
      <c r="M378" s="3">
        <v>13773.499750000001</v>
      </c>
      <c r="N378" s="3">
        <v>31347869.949999999</v>
      </c>
      <c r="O378" s="4">
        <v>8.9845604999999995E-2</v>
      </c>
      <c r="P378" s="4">
        <v>8.6307229999999999E-3</v>
      </c>
      <c r="Q378" s="5">
        <v>-1.6589012E-2</v>
      </c>
      <c r="R378" s="5">
        <v>1.146874E-3</v>
      </c>
      <c r="S378" s="6">
        <v>0.29897762900000002</v>
      </c>
      <c r="T378" s="6">
        <v>2.7659077000000001E-2</v>
      </c>
      <c r="U378" s="7">
        <v>0.14726999499999999</v>
      </c>
      <c r="V378" s="7">
        <v>0.12558154399999999</v>
      </c>
      <c r="W378" s="8">
        <v>0.69910763399999998</v>
      </c>
      <c r="X378" s="8">
        <v>0.21035614999999999</v>
      </c>
      <c r="Y378" s="2">
        <v>13</v>
      </c>
      <c r="Z378" s="2">
        <f>VLOOKUP(E378,YieldData!T:U,2,FALSE)</f>
        <v>1316.9335686777922</v>
      </c>
      <c r="AA378">
        <f t="shared" si="10"/>
        <v>0.55529377997297202</v>
      </c>
    </row>
    <row r="379" spans="1:27" hidden="1" x14ac:dyDescent="0.25">
      <c r="A379">
        <v>146</v>
      </c>
      <c r="B379">
        <v>506</v>
      </c>
      <c r="C379" t="s">
        <v>23</v>
      </c>
      <c r="D379">
        <v>25110</v>
      </c>
      <c r="E379">
        <f t="shared" si="11"/>
        <v>25110506</v>
      </c>
      <c r="F379">
        <f>VLOOKUP(E379,YieldData!D:F,2,FALSE)</f>
        <v>4</v>
      </c>
      <c r="G379">
        <f>VLOOKUP($E379,YieldData!$D:$F,3,FALSE)</f>
        <v>2</v>
      </c>
      <c r="H379">
        <v>16</v>
      </c>
      <c r="I379" t="s">
        <v>24</v>
      </c>
      <c r="J379" t="s">
        <v>25</v>
      </c>
      <c r="K379" s="2">
        <v>3746.906575</v>
      </c>
      <c r="L379" s="2">
        <v>26043757.850000001</v>
      </c>
      <c r="M379" s="3">
        <v>15145.666590000001</v>
      </c>
      <c r="N379" s="3">
        <v>26648437.620000001</v>
      </c>
      <c r="O379" s="4">
        <v>6.4302973999999999E-2</v>
      </c>
      <c r="P379" s="4">
        <v>7.5000379999999997E-3</v>
      </c>
      <c r="Q379" s="5">
        <v>-2.6185361000000001E-2</v>
      </c>
      <c r="R379" s="5">
        <v>1.396486E-3</v>
      </c>
      <c r="S379" s="6">
        <v>0.26202331800000001</v>
      </c>
      <c r="T379" s="6">
        <v>1.7784050999999999E-2</v>
      </c>
      <c r="U379" s="7">
        <v>9.5291606000000001E-2</v>
      </c>
      <c r="V379" s="7">
        <v>8.6211116000000004E-2</v>
      </c>
      <c r="W379" s="8">
        <v>0.79178039200000006</v>
      </c>
      <c r="X379" s="8">
        <v>0.16486420299999999</v>
      </c>
      <c r="Y379" s="2">
        <v>39</v>
      </c>
      <c r="Z379" s="2">
        <f>VLOOKUP(E379,YieldData!T:U,2,FALSE)</f>
        <v>695.94030808729133</v>
      </c>
      <c r="AA379">
        <f t="shared" si="10"/>
        <v>0.45165147032184</v>
      </c>
    </row>
    <row r="380" spans="1:27" hidden="1" x14ac:dyDescent="0.25">
      <c r="A380">
        <v>147</v>
      </c>
      <c r="B380">
        <v>507</v>
      </c>
      <c r="C380" t="s">
        <v>23</v>
      </c>
      <c r="D380">
        <v>25110</v>
      </c>
      <c r="E380">
        <f t="shared" si="11"/>
        <v>25110507</v>
      </c>
      <c r="F380">
        <f>VLOOKUP(E380,YieldData!D:F,2,FALSE)</f>
        <v>4</v>
      </c>
      <c r="G380">
        <f>VLOOKUP($E380,YieldData!$D:$F,3,FALSE)</f>
        <v>3</v>
      </c>
      <c r="H380">
        <v>16</v>
      </c>
      <c r="I380" t="s">
        <v>24</v>
      </c>
      <c r="J380" t="s">
        <v>25</v>
      </c>
      <c r="K380" s="2">
        <v>4824.7323409999999</v>
      </c>
      <c r="L380" s="2">
        <v>36231482.899999999</v>
      </c>
      <c r="M380" s="3">
        <v>15362.4413</v>
      </c>
      <c r="N380" s="3">
        <v>35934425.340000004</v>
      </c>
      <c r="O380" s="4">
        <v>7.2160967000000006E-2</v>
      </c>
      <c r="P380" s="4">
        <v>1.0257769999999999E-2</v>
      </c>
      <c r="Q380" s="5">
        <v>-3.2564360000000001E-2</v>
      </c>
      <c r="R380" s="5">
        <v>1.203338E-3</v>
      </c>
      <c r="S380" s="6">
        <v>0.28111049999999999</v>
      </c>
      <c r="T380" s="6">
        <v>2.6599670999999998E-2</v>
      </c>
      <c r="U380" s="7">
        <v>0.14006569099999999</v>
      </c>
      <c r="V380" s="7">
        <v>0.120447293</v>
      </c>
      <c r="W380" s="8">
        <v>0.74116197900000003</v>
      </c>
      <c r="X380" s="8">
        <v>0.19184090000000001</v>
      </c>
      <c r="Y380" s="2">
        <v>20</v>
      </c>
      <c r="Z380" s="2">
        <f>VLOOKUP(E380,YieldData!T:U,2,FALSE)</f>
        <v>641.50994865211806</v>
      </c>
      <c r="AA380">
        <f t="shared" si="10"/>
        <v>0.51023727516264805</v>
      </c>
    </row>
    <row r="381" spans="1:27" hidden="1" x14ac:dyDescent="0.25">
      <c r="A381">
        <v>148</v>
      </c>
      <c r="B381">
        <v>508</v>
      </c>
      <c r="C381" t="s">
        <v>23</v>
      </c>
      <c r="D381">
        <v>25110</v>
      </c>
      <c r="E381">
        <f t="shared" si="11"/>
        <v>25110508</v>
      </c>
      <c r="F381">
        <f>VLOOKUP(E381,YieldData!D:F,2,FALSE)</f>
        <v>13</v>
      </c>
      <c r="G381">
        <f>VLOOKUP($E381,YieldData!$D:$F,3,FALSE)</f>
        <v>3</v>
      </c>
      <c r="H381">
        <v>16</v>
      </c>
      <c r="I381" t="s">
        <v>24</v>
      </c>
      <c r="J381" t="s">
        <v>25</v>
      </c>
      <c r="K381" s="2">
        <v>5208.4335780000001</v>
      </c>
      <c r="L381" s="2">
        <v>50088320.07</v>
      </c>
      <c r="M381" s="3">
        <v>14951.72732</v>
      </c>
      <c r="N381" s="3">
        <v>36927952.75</v>
      </c>
      <c r="O381" s="4">
        <v>7.6703042999999999E-2</v>
      </c>
      <c r="P381" s="4">
        <v>8.1179319999999996E-3</v>
      </c>
      <c r="Q381" s="5">
        <v>-3.2604147999999999E-2</v>
      </c>
      <c r="R381" s="5">
        <v>8.9121100000000004E-4</v>
      </c>
      <c r="S381" s="6">
        <v>0.290291727</v>
      </c>
      <c r="T381" s="6">
        <v>2.6719157E-2</v>
      </c>
      <c r="U381" s="7">
        <v>0.146864044</v>
      </c>
      <c r="V381" s="7">
        <v>0.12529499599999999</v>
      </c>
      <c r="W381" s="8">
        <v>0.68994426799999997</v>
      </c>
      <c r="X381" s="8">
        <v>0.21392117499999999</v>
      </c>
      <c r="Y381" s="2">
        <v>14</v>
      </c>
      <c r="Z381" s="2">
        <f>VLOOKUP(E381,YieldData!T:U,2,FALSE)</f>
        <v>394.67265725288831</v>
      </c>
      <c r="AA381">
        <f t="shared" si="10"/>
        <v>0.41675238619237898</v>
      </c>
    </row>
    <row r="382" spans="1:27" hidden="1" x14ac:dyDescent="0.25">
      <c r="A382">
        <v>149</v>
      </c>
      <c r="B382">
        <v>509</v>
      </c>
      <c r="C382" t="s">
        <v>23</v>
      </c>
      <c r="D382">
        <v>25110</v>
      </c>
      <c r="E382">
        <f t="shared" si="11"/>
        <v>25110509</v>
      </c>
      <c r="F382">
        <f>VLOOKUP(E382,YieldData!D:F,2,FALSE)</f>
        <v>8</v>
      </c>
      <c r="G382">
        <f>VLOOKUP($E382,YieldData!$D:$F,3,FALSE)</f>
        <v>3</v>
      </c>
      <c r="H382">
        <v>16</v>
      </c>
      <c r="I382" t="s">
        <v>24</v>
      </c>
      <c r="J382" t="s">
        <v>25</v>
      </c>
      <c r="K382" s="2">
        <v>4881.4749499999998</v>
      </c>
      <c r="L382" s="2">
        <v>45221060.170000002</v>
      </c>
      <c r="M382" s="3">
        <v>14992.14359</v>
      </c>
      <c r="N382" s="3">
        <v>32955003.91</v>
      </c>
      <c r="O382" s="4">
        <v>7.3676239000000004E-2</v>
      </c>
      <c r="P382" s="4">
        <v>8.2866199999999997E-3</v>
      </c>
      <c r="Q382" s="5">
        <v>-3.0082988000000001E-2</v>
      </c>
      <c r="R382" s="5">
        <v>1.1171460000000001E-3</v>
      </c>
      <c r="S382" s="6">
        <v>0.28658987600000002</v>
      </c>
      <c r="T382" s="6">
        <v>2.5425883999999999E-2</v>
      </c>
      <c r="U382" s="7">
        <v>0.14412910400000001</v>
      </c>
      <c r="V382" s="7">
        <v>0.123355905</v>
      </c>
      <c r="W382" s="8">
        <v>0.75154878400000003</v>
      </c>
      <c r="X382" s="8">
        <v>0.186723209</v>
      </c>
      <c r="Y382" s="2">
        <v>28</v>
      </c>
      <c r="Z382" s="2">
        <f>VLOOKUP(E382,YieldData!T:U,2,FALSE)</f>
        <v>690.69801026957646</v>
      </c>
      <c r="AA382">
        <f t="shared" si="10"/>
        <v>0.46421439077765703</v>
      </c>
    </row>
    <row r="383" spans="1:27" hidden="1" x14ac:dyDescent="0.25">
      <c r="A383">
        <v>150</v>
      </c>
      <c r="B383">
        <v>510</v>
      </c>
      <c r="C383" t="s">
        <v>23</v>
      </c>
      <c r="D383">
        <v>25110</v>
      </c>
      <c r="E383">
        <f t="shared" si="11"/>
        <v>25110510</v>
      </c>
      <c r="F383">
        <f>VLOOKUP(E383,YieldData!D:F,2,FALSE)</f>
        <v>5</v>
      </c>
      <c r="G383">
        <f>VLOOKUP($E383,YieldData!$D:$F,3,FALSE)</f>
        <v>3</v>
      </c>
      <c r="H383">
        <v>16</v>
      </c>
      <c r="I383" t="s">
        <v>24</v>
      </c>
      <c r="J383" t="s">
        <v>25</v>
      </c>
      <c r="K383" s="2">
        <v>3129.8591980000001</v>
      </c>
      <c r="L383" s="2">
        <v>8862850.1170000006</v>
      </c>
      <c r="M383" s="3">
        <v>16330.16482</v>
      </c>
      <c r="N383" s="3">
        <v>15456597.52</v>
      </c>
      <c r="O383" s="4">
        <v>4.5773777000000002E-2</v>
      </c>
      <c r="P383" s="4">
        <v>4.158063E-3</v>
      </c>
      <c r="Q383" s="5">
        <v>-3.0846881E-2</v>
      </c>
      <c r="R383" s="5">
        <v>8.9031500000000003E-4</v>
      </c>
      <c r="S383" s="6">
        <v>0.234152057</v>
      </c>
      <c r="T383" s="6">
        <v>9.0968439999999998E-3</v>
      </c>
      <c r="U383" s="7">
        <v>4.4184752000000001E-2</v>
      </c>
      <c r="V383" s="7">
        <v>4.2232459999999999E-2</v>
      </c>
      <c r="W383" s="8">
        <v>0.96377054299999998</v>
      </c>
      <c r="X383" s="8">
        <v>3.4916884000000002E-2</v>
      </c>
      <c r="Y383" s="2">
        <v>81</v>
      </c>
      <c r="Z383" s="2">
        <f>VLOOKUP(E383,YieldData!T:U,2,FALSE)</f>
        <v>1385.9820282413348</v>
      </c>
      <c r="AA383">
        <f t="shared" si="10"/>
        <v>0.377397751734035</v>
      </c>
    </row>
    <row r="384" spans="1:27" hidden="1" x14ac:dyDescent="0.25">
      <c r="A384">
        <v>151</v>
      </c>
      <c r="B384">
        <v>511</v>
      </c>
      <c r="C384" t="s">
        <v>23</v>
      </c>
      <c r="D384">
        <v>25110</v>
      </c>
      <c r="E384">
        <f t="shared" si="11"/>
        <v>25110511</v>
      </c>
      <c r="F384">
        <f>VLOOKUP(E384,YieldData!D:F,2,FALSE)</f>
        <v>1</v>
      </c>
      <c r="G384">
        <f>VLOOKUP($E384,YieldData!$D:$F,3,FALSE)</f>
        <v>3</v>
      </c>
      <c r="H384">
        <v>16</v>
      </c>
      <c r="I384" t="s">
        <v>24</v>
      </c>
      <c r="J384" t="s">
        <v>25</v>
      </c>
      <c r="K384" s="2">
        <v>3826.6914310000002</v>
      </c>
      <c r="L384" s="2">
        <v>26145379.079999998</v>
      </c>
      <c r="M384" s="3">
        <v>16202.50397</v>
      </c>
      <c r="N384" s="3">
        <v>26583340.079999998</v>
      </c>
      <c r="O384" s="4">
        <v>4.6369778E-2</v>
      </c>
      <c r="P384" s="4">
        <v>5.9918080000000004E-3</v>
      </c>
      <c r="Q384" s="5">
        <v>-3.4504735000000002E-2</v>
      </c>
      <c r="R384" s="5">
        <v>1.249226E-3</v>
      </c>
      <c r="S384" s="6">
        <v>0.23454502199999999</v>
      </c>
      <c r="T384" s="6">
        <v>1.589405E-2</v>
      </c>
      <c r="U384" s="7">
        <v>7.6884506000000005E-2</v>
      </c>
      <c r="V384" s="7">
        <v>7.0973279E-2</v>
      </c>
      <c r="W384" s="8">
        <v>0.91473471299999998</v>
      </c>
      <c r="X384" s="8">
        <v>7.7995118000000002E-2</v>
      </c>
      <c r="Y384" s="2">
        <v>42</v>
      </c>
      <c r="Z384" s="2">
        <f>VLOOKUP(E384,YieldData!T:U,2,FALSE)</f>
        <v>557.27214377406938</v>
      </c>
      <c r="AA384">
        <f t="shared" si="10"/>
        <v>0.36131758172046902</v>
      </c>
    </row>
    <row r="385" spans="1:27" hidden="1" x14ac:dyDescent="0.25">
      <c r="A385">
        <v>152</v>
      </c>
      <c r="B385">
        <v>512</v>
      </c>
      <c r="C385" t="s">
        <v>23</v>
      </c>
      <c r="D385">
        <v>25110</v>
      </c>
      <c r="E385">
        <f t="shared" si="11"/>
        <v>25110512</v>
      </c>
      <c r="F385">
        <f>VLOOKUP(E385,YieldData!D:F,2,FALSE)</f>
        <v>10</v>
      </c>
      <c r="G385">
        <f>VLOOKUP($E385,YieldData!$D:$F,3,FALSE)</f>
        <v>3</v>
      </c>
      <c r="H385">
        <v>16</v>
      </c>
      <c r="I385" t="s">
        <v>24</v>
      </c>
      <c r="J385" t="s">
        <v>25</v>
      </c>
      <c r="K385" s="2">
        <v>3229.0965689999998</v>
      </c>
      <c r="L385" s="2">
        <v>5238853.7300000004</v>
      </c>
      <c r="M385" s="3">
        <v>17706.925449999999</v>
      </c>
      <c r="N385" s="3">
        <v>11737681.6</v>
      </c>
      <c r="O385" s="4">
        <v>2.0020157E-2</v>
      </c>
      <c r="P385" s="4">
        <v>3.1252290000000002E-3</v>
      </c>
      <c r="Q385" s="5">
        <v>-4.3280548000000002E-2</v>
      </c>
      <c r="R385" s="5">
        <v>6.25137E-4</v>
      </c>
      <c r="S385" s="6">
        <v>0.18881189500000001</v>
      </c>
      <c r="T385" s="6">
        <v>6.1151060000000004E-3</v>
      </c>
      <c r="U385" s="7">
        <v>2.3768438999999999E-2</v>
      </c>
      <c r="V385" s="7">
        <v>2.3203499999999998E-2</v>
      </c>
      <c r="W385" s="8">
        <v>0.73154249999999998</v>
      </c>
      <c r="X385" s="8">
        <v>0.196388071</v>
      </c>
      <c r="Y385" s="2">
        <v>34</v>
      </c>
      <c r="Z385" s="2">
        <f>VLOOKUP(E385,YieldData!T:U,2,FALSE)</f>
        <v>1164.9743260590499</v>
      </c>
      <c r="AA385">
        <f t="shared" si="10"/>
        <v>0.17485979408564201</v>
      </c>
    </row>
    <row r="386" spans="1:27" hidden="1" x14ac:dyDescent="0.25">
      <c r="A386">
        <v>153</v>
      </c>
      <c r="B386">
        <v>601</v>
      </c>
      <c r="C386" t="s">
        <v>23</v>
      </c>
      <c r="D386" t="s">
        <v>100</v>
      </c>
      <c r="E386" t="e">
        <f t="shared" si="11"/>
        <v>#VALUE!</v>
      </c>
      <c r="H386">
        <v>16</v>
      </c>
      <c r="I386" t="s">
        <v>24</v>
      </c>
      <c r="J386" t="s">
        <v>25</v>
      </c>
      <c r="K386" s="2">
        <v>3121.842893</v>
      </c>
      <c r="L386" s="2">
        <v>9656844.3479999993</v>
      </c>
      <c r="M386" s="3">
        <v>16085.65481</v>
      </c>
      <c r="N386" s="3">
        <v>18906875.010000002</v>
      </c>
      <c r="O386" s="4">
        <v>5.1620933000000001E-2</v>
      </c>
      <c r="P386" s="4">
        <v>7.1854400000000004E-3</v>
      </c>
      <c r="Q386" s="5">
        <v>-4.4011979999999999E-2</v>
      </c>
      <c r="R386" s="5">
        <v>8.4050800000000001E-4</v>
      </c>
      <c r="S386" s="6">
        <v>0.23710009600000001</v>
      </c>
      <c r="T386" s="6">
        <v>1.4892394999999999E-2</v>
      </c>
      <c r="U386" s="7">
        <v>7.0514248000000002E-2</v>
      </c>
      <c r="V386" s="7">
        <v>6.5541987999999995E-2</v>
      </c>
      <c r="W386" s="8">
        <v>0.89225617400000001</v>
      </c>
      <c r="X386" s="8">
        <v>9.6135094000000004E-2</v>
      </c>
      <c r="Y386" s="2">
        <v>63</v>
      </c>
      <c r="Z386" s="2" t="e">
        <f>VLOOKUP(E386,YieldData!T:U,2,FALSE)</f>
        <v>#VALUE!</v>
      </c>
      <c r="AA386">
        <f t="shared" ref="AA386:AA449" si="12">_xlfn.MAXIFS(U:U,E:E,E386)</f>
        <v>0.913534329143595</v>
      </c>
    </row>
    <row r="387" spans="1:27" hidden="1" x14ac:dyDescent="0.25">
      <c r="A387">
        <v>154</v>
      </c>
      <c r="B387">
        <v>602</v>
      </c>
      <c r="C387" t="s">
        <v>23</v>
      </c>
      <c r="D387" t="s">
        <v>100</v>
      </c>
      <c r="E387" t="e">
        <f t="shared" ref="E387:E450" si="13">D387*1000+B387</f>
        <v>#VALUE!</v>
      </c>
      <c r="H387">
        <v>16</v>
      </c>
      <c r="I387" t="s">
        <v>24</v>
      </c>
      <c r="J387" t="s">
        <v>25</v>
      </c>
      <c r="K387" s="2">
        <v>2572.8562630000001</v>
      </c>
      <c r="L387" s="2">
        <v>5395631.9919999996</v>
      </c>
      <c r="M387" s="3">
        <v>16257.955330000001</v>
      </c>
      <c r="N387" s="3">
        <v>10919231.130000001</v>
      </c>
      <c r="O387" s="4">
        <v>4.0479220000000003E-2</v>
      </c>
      <c r="P387" s="4">
        <v>3.7549039999999999E-3</v>
      </c>
      <c r="Q387" s="5">
        <v>-4.2207645000000002E-2</v>
      </c>
      <c r="R387" s="5">
        <v>6.2080000000000002E-4</v>
      </c>
      <c r="S387" s="6">
        <v>0.21821769899999999</v>
      </c>
      <c r="T387" s="6">
        <v>6.8996709999999996E-3</v>
      </c>
      <c r="U387" s="7">
        <v>3.1223911E-2</v>
      </c>
      <c r="V387" s="7">
        <v>3.0248977999999999E-2</v>
      </c>
      <c r="W387" s="8">
        <v>0.884304439</v>
      </c>
      <c r="X387" s="8">
        <v>0.102310098</v>
      </c>
      <c r="Y387" s="2">
        <v>58</v>
      </c>
      <c r="Z387" s="2" t="e">
        <f>VLOOKUP(E387,YieldData!T:U,2,FALSE)</f>
        <v>#VALUE!</v>
      </c>
      <c r="AA387">
        <f t="shared" si="12"/>
        <v>0.913534329143595</v>
      </c>
    </row>
    <row r="388" spans="1:27" hidden="1" x14ac:dyDescent="0.25">
      <c r="A388">
        <v>155</v>
      </c>
      <c r="B388">
        <v>603</v>
      </c>
      <c r="C388" t="s">
        <v>23</v>
      </c>
      <c r="D388" t="s">
        <v>100</v>
      </c>
      <c r="E388" t="e">
        <f t="shared" si="13"/>
        <v>#VALUE!</v>
      </c>
      <c r="H388">
        <v>16</v>
      </c>
      <c r="I388" t="s">
        <v>24</v>
      </c>
      <c r="J388" t="s">
        <v>25</v>
      </c>
      <c r="K388" s="2">
        <v>2837.6674320000002</v>
      </c>
      <c r="L388" s="2">
        <v>12906521.18</v>
      </c>
      <c r="M388" s="3">
        <v>15711.17216</v>
      </c>
      <c r="N388" s="3">
        <v>13481476.83</v>
      </c>
      <c r="O388" s="4">
        <v>5.7654592999999997E-2</v>
      </c>
      <c r="P388" s="4">
        <v>3.6795069999999998E-3</v>
      </c>
      <c r="Q388" s="5">
        <v>-3.7148659000000001E-2</v>
      </c>
      <c r="R388" s="5">
        <v>6.1910299999999997E-4</v>
      </c>
      <c r="S388" s="6">
        <v>0.24105686300000001</v>
      </c>
      <c r="T388" s="6">
        <v>9.8117840000000005E-3</v>
      </c>
      <c r="U388" s="7">
        <v>5.2772210999999999E-2</v>
      </c>
      <c r="V388" s="7">
        <v>4.9987305000000003E-2</v>
      </c>
      <c r="W388" s="8">
        <v>0.91905792900000005</v>
      </c>
      <c r="X388" s="8">
        <v>7.4390452999999995E-2</v>
      </c>
      <c r="Y388" s="2">
        <v>62</v>
      </c>
      <c r="Z388" s="2" t="e">
        <f>VLOOKUP(E388,YieldData!T:U,2,FALSE)</f>
        <v>#VALUE!</v>
      </c>
      <c r="AA388">
        <f t="shared" si="12"/>
        <v>0.913534329143595</v>
      </c>
    </row>
    <row r="389" spans="1:27" hidden="1" x14ac:dyDescent="0.25">
      <c r="A389">
        <v>156</v>
      </c>
      <c r="B389">
        <v>604</v>
      </c>
      <c r="C389" t="s">
        <v>23</v>
      </c>
      <c r="D389">
        <v>25110</v>
      </c>
      <c r="E389">
        <f t="shared" si="13"/>
        <v>25110604</v>
      </c>
      <c r="F389">
        <f>VLOOKUP(E389,YieldData!D:F,2,FALSE)</f>
        <v>7</v>
      </c>
      <c r="G389">
        <f>VLOOKUP($E389,YieldData!$D:$F,3,FALSE)</f>
        <v>3</v>
      </c>
      <c r="H389">
        <v>16</v>
      </c>
      <c r="I389" t="s">
        <v>24</v>
      </c>
      <c r="J389" t="s">
        <v>25</v>
      </c>
      <c r="K389" s="2">
        <v>3689.0033010000002</v>
      </c>
      <c r="L389" s="2">
        <v>25754577.989999998</v>
      </c>
      <c r="M389" s="3">
        <v>14808.22891</v>
      </c>
      <c r="N389" s="3">
        <v>23511297.920000002</v>
      </c>
      <c r="O389" s="4">
        <v>8.0753918999999993E-2</v>
      </c>
      <c r="P389" s="4">
        <v>8.4651689999999998E-3</v>
      </c>
      <c r="Q389" s="5">
        <v>-2.7995445000000001E-2</v>
      </c>
      <c r="R389" s="5">
        <v>1.016524E-3</v>
      </c>
      <c r="S389" s="6">
        <v>0.27718082199999999</v>
      </c>
      <c r="T389" s="6">
        <v>2.1206372000000001E-2</v>
      </c>
      <c r="U389" s="7">
        <v>0.114859974</v>
      </c>
      <c r="V389" s="7">
        <v>0.10166716100000001</v>
      </c>
      <c r="W389" s="8">
        <v>0.91950819900000003</v>
      </c>
      <c r="X389" s="8">
        <v>7.4012870999999994E-2</v>
      </c>
      <c r="Y389" s="2">
        <v>38</v>
      </c>
      <c r="Z389" s="2">
        <f>VLOOKUP(E389,YieldData!T:U,2,FALSE)</f>
        <v>223.72432605905007</v>
      </c>
      <c r="AA389">
        <f t="shared" si="12"/>
        <v>0.34746522836265398</v>
      </c>
    </row>
    <row r="390" spans="1:27" hidden="1" x14ac:dyDescent="0.25">
      <c r="A390">
        <v>157</v>
      </c>
      <c r="B390">
        <v>605</v>
      </c>
      <c r="C390" t="s">
        <v>23</v>
      </c>
      <c r="D390">
        <v>25110</v>
      </c>
      <c r="E390">
        <f t="shared" si="13"/>
        <v>25110605</v>
      </c>
      <c r="F390">
        <f>VLOOKUP(E390,YieldData!D:F,2,FALSE)</f>
        <v>11</v>
      </c>
      <c r="G390">
        <f>VLOOKUP($E390,YieldData!$D:$F,3,FALSE)</f>
        <v>3</v>
      </c>
      <c r="H390">
        <v>16</v>
      </c>
      <c r="I390" t="s">
        <v>24</v>
      </c>
      <c r="J390" t="s">
        <v>25</v>
      </c>
      <c r="K390" s="2">
        <v>5089.2473449999998</v>
      </c>
      <c r="L390" s="2">
        <v>51416396.490000002</v>
      </c>
      <c r="M390" s="3">
        <v>13404.27851</v>
      </c>
      <c r="N390" s="3">
        <v>34347535.740000002</v>
      </c>
      <c r="O390" s="4">
        <v>9.6166085999999998E-2</v>
      </c>
      <c r="P390" s="4">
        <v>1.0674124E-2</v>
      </c>
      <c r="Q390" s="5">
        <v>-2.1670057E-2</v>
      </c>
      <c r="R390" s="5">
        <v>1.386242E-3</v>
      </c>
      <c r="S390" s="6">
        <v>0.31133443</v>
      </c>
      <c r="T390" s="6">
        <v>3.0758473000000001E-2</v>
      </c>
      <c r="U390" s="7">
        <v>0.169606588</v>
      </c>
      <c r="V390" s="7">
        <v>0.140840194</v>
      </c>
      <c r="W390" s="8">
        <v>0.60652600400000001</v>
      </c>
      <c r="X390" s="8">
        <v>0.238652211</v>
      </c>
      <c r="Y390" s="2">
        <v>14</v>
      </c>
      <c r="Z390" s="2">
        <f>VLOOKUP(E390,YieldData!T:U,2,FALSE)</f>
        <v>429.84595635430037</v>
      </c>
      <c r="AA390">
        <f t="shared" si="12"/>
        <v>0.46992620588200101</v>
      </c>
    </row>
    <row r="391" spans="1:27" hidden="1" x14ac:dyDescent="0.25">
      <c r="A391">
        <v>158</v>
      </c>
      <c r="B391">
        <v>606</v>
      </c>
      <c r="C391" t="s">
        <v>23</v>
      </c>
      <c r="D391">
        <v>25110</v>
      </c>
      <c r="E391">
        <f t="shared" si="13"/>
        <v>25110606</v>
      </c>
      <c r="F391">
        <f>VLOOKUP(E391,YieldData!D:F,2,FALSE)</f>
        <v>9</v>
      </c>
      <c r="G391">
        <f>VLOOKUP($E391,YieldData!$D:$F,3,FALSE)</f>
        <v>3</v>
      </c>
      <c r="H391">
        <v>16</v>
      </c>
      <c r="I391" t="s">
        <v>24</v>
      </c>
      <c r="J391" t="s">
        <v>25</v>
      </c>
      <c r="K391" s="2">
        <v>2633.506261</v>
      </c>
      <c r="L391" s="2">
        <v>7181037.5120000001</v>
      </c>
      <c r="M391" s="3">
        <v>15485.600200000001</v>
      </c>
      <c r="N391" s="3">
        <v>16209302.470000001</v>
      </c>
      <c r="O391" s="4">
        <v>4.6926415999999999E-2</v>
      </c>
      <c r="P391" s="4">
        <v>5.3474050000000004E-3</v>
      </c>
      <c r="Q391" s="5">
        <v>-3.3326266E-2</v>
      </c>
      <c r="R391" s="5">
        <v>1.152969E-3</v>
      </c>
      <c r="S391" s="6">
        <v>0.23689521799999999</v>
      </c>
      <c r="T391" s="6">
        <v>8.8006079999999997E-3</v>
      </c>
      <c r="U391" s="7">
        <v>4.1645788000000003E-2</v>
      </c>
      <c r="V391" s="7">
        <v>3.9911415999999998E-2</v>
      </c>
      <c r="W391" s="8">
        <v>0.88236771599999997</v>
      </c>
      <c r="X391" s="8">
        <v>0.10379492999999999</v>
      </c>
      <c r="Y391" s="2">
        <v>63</v>
      </c>
      <c r="Z391" s="2">
        <f>VLOOKUP(E391,YieldData!T:U,2,FALSE)</f>
        <v>1469.6084724005136</v>
      </c>
      <c r="AA391">
        <f t="shared" si="12"/>
        <v>0.39368063528511299</v>
      </c>
    </row>
    <row r="392" spans="1:27" hidden="1" x14ac:dyDescent="0.25">
      <c r="A392">
        <v>159</v>
      </c>
      <c r="B392">
        <v>607</v>
      </c>
      <c r="C392" t="s">
        <v>23</v>
      </c>
      <c r="D392">
        <v>25110</v>
      </c>
      <c r="E392">
        <f t="shared" si="13"/>
        <v>25110607</v>
      </c>
      <c r="F392">
        <f>VLOOKUP(E392,YieldData!D:F,2,FALSE)</f>
        <v>6</v>
      </c>
      <c r="G392">
        <f>VLOOKUP($E392,YieldData!$D:$F,3,FALSE)</f>
        <v>3</v>
      </c>
      <c r="H392">
        <v>16</v>
      </c>
      <c r="I392" t="s">
        <v>24</v>
      </c>
      <c r="J392" t="s">
        <v>25</v>
      </c>
      <c r="K392" s="2">
        <v>3103.6993910000001</v>
      </c>
      <c r="L392" s="2">
        <v>15355752.960000001</v>
      </c>
      <c r="M392" s="3">
        <v>15726.945750000001</v>
      </c>
      <c r="N392" s="3">
        <v>18469027.09</v>
      </c>
      <c r="O392" s="4">
        <v>5.1320017000000002E-2</v>
      </c>
      <c r="P392" s="4">
        <v>5.6060349999999997E-3</v>
      </c>
      <c r="Q392" s="5">
        <v>-3.5521217000000001E-2</v>
      </c>
      <c r="R392" s="5">
        <v>1.133488E-3</v>
      </c>
      <c r="S392" s="6">
        <v>0.24137051300000001</v>
      </c>
      <c r="T392" s="6">
        <v>1.1865231E-2</v>
      </c>
      <c r="U392" s="7">
        <v>6.1302895000000003E-2</v>
      </c>
      <c r="V392" s="7">
        <v>5.7544850000000002E-2</v>
      </c>
      <c r="W392" s="8">
        <v>0.89876687899999996</v>
      </c>
      <c r="X392" s="8">
        <v>9.0984975999999995E-2</v>
      </c>
      <c r="Y392" s="2">
        <v>36</v>
      </c>
      <c r="Z392" s="2">
        <f>VLOOKUP(E392,YieldData!T:U,2,FALSE)</f>
        <v>429.81386392811288</v>
      </c>
      <c r="AA392">
        <f t="shared" si="12"/>
        <v>0.39178586805721699</v>
      </c>
    </row>
    <row r="393" spans="1:27" hidden="1" x14ac:dyDescent="0.25">
      <c r="A393">
        <v>160</v>
      </c>
      <c r="B393">
        <v>608</v>
      </c>
      <c r="C393" t="s">
        <v>23</v>
      </c>
      <c r="D393">
        <v>25110</v>
      </c>
      <c r="E393">
        <f t="shared" si="13"/>
        <v>25110608</v>
      </c>
      <c r="F393">
        <f>VLOOKUP(E393,YieldData!D:F,2,FALSE)</f>
        <v>14</v>
      </c>
      <c r="G393">
        <f>VLOOKUP($E393,YieldData!$D:$F,3,FALSE)</f>
        <v>3</v>
      </c>
      <c r="H393">
        <v>16</v>
      </c>
      <c r="I393" t="s">
        <v>24</v>
      </c>
      <c r="J393" t="s">
        <v>25</v>
      </c>
      <c r="K393" s="2">
        <v>5009.4503850000001</v>
      </c>
      <c r="L393" s="2">
        <v>47652263.119999997</v>
      </c>
      <c r="M393" s="3">
        <v>14673.88126</v>
      </c>
      <c r="N393" s="3">
        <v>36069437.200000003</v>
      </c>
      <c r="O393" s="4">
        <v>7.7520902000000003E-2</v>
      </c>
      <c r="P393" s="4">
        <v>9.1970309999999996E-3</v>
      </c>
      <c r="Q393" s="5">
        <v>-3.4296990999999999E-2</v>
      </c>
      <c r="R393" s="5">
        <v>1.0401550000000001E-3</v>
      </c>
      <c r="S393" s="6">
        <v>0.290648448</v>
      </c>
      <c r="T393" s="6">
        <v>2.7412648000000001E-2</v>
      </c>
      <c r="U393" s="7">
        <v>0.15305838499999999</v>
      </c>
      <c r="V393" s="7">
        <v>0.129631516</v>
      </c>
      <c r="W393" s="8">
        <v>0.69036370800000002</v>
      </c>
      <c r="X393" s="8">
        <v>0.21376165899999999</v>
      </c>
      <c r="Y393" s="2">
        <v>23</v>
      </c>
      <c r="Z393" s="2">
        <f>VLOOKUP(E393,YieldData!T:U,2,FALSE)</f>
        <v>260.46373555840825</v>
      </c>
      <c r="AA393">
        <f t="shared" si="12"/>
        <v>0.446201131348888</v>
      </c>
    </row>
    <row r="394" spans="1:27" hidden="1" x14ac:dyDescent="0.25">
      <c r="A394">
        <v>161</v>
      </c>
      <c r="B394">
        <v>609</v>
      </c>
      <c r="C394" t="s">
        <v>23</v>
      </c>
      <c r="D394">
        <v>25110</v>
      </c>
      <c r="E394">
        <f t="shared" si="13"/>
        <v>25110609</v>
      </c>
      <c r="F394">
        <f>VLOOKUP(E394,YieldData!D:F,2,FALSE)</f>
        <v>2</v>
      </c>
      <c r="G394">
        <f>VLOOKUP($E394,YieldData!$D:$F,3,FALSE)</f>
        <v>3</v>
      </c>
      <c r="H394">
        <v>16</v>
      </c>
      <c r="I394" t="s">
        <v>24</v>
      </c>
      <c r="J394" t="s">
        <v>25</v>
      </c>
      <c r="K394" s="2">
        <v>4495.6193979999998</v>
      </c>
      <c r="L394" s="2">
        <v>38274601.659999996</v>
      </c>
      <c r="M394" s="3">
        <v>14579.67006</v>
      </c>
      <c r="N394" s="3">
        <v>26533391.809999999</v>
      </c>
      <c r="O394" s="4">
        <v>6.9102336E-2</v>
      </c>
      <c r="P394" s="4">
        <v>7.2726429999999996E-3</v>
      </c>
      <c r="Q394" s="5">
        <v>-3.1292680000000003E-2</v>
      </c>
      <c r="R394" s="5">
        <v>1.1276599999999999E-3</v>
      </c>
      <c r="S394" s="6">
        <v>0.27345506600000002</v>
      </c>
      <c r="T394" s="6">
        <v>2.1238798E-2</v>
      </c>
      <c r="U394" s="7">
        <v>0.118753478</v>
      </c>
      <c r="V394" s="7">
        <v>0.104651089</v>
      </c>
      <c r="W394" s="8">
        <v>0.87031920900000004</v>
      </c>
      <c r="X394" s="8">
        <v>0.11286368400000001</v>
      </c>
      <c r="Y394" s="2">
        <v>29</v>
      </c>
      <c r="Z394" s="2">
        <f>VLOOKUP(E394,YieldData!T:U,2,FALSE)</f>
        <v>459.55551989730429</v>
      </c>
      <c r="AA394">
        <f t="shared" si="12"/>
        <v>0.30308321572942298</v>
      </c>
    </row>
    <row r="395" spans="1:27" hidden="1" x14ac:dyDescent="0.25">
      <c r="A395">
        <v>162</v>
      </c>
      <c r="B395">
        <v>610</v>
      </c>
      <c r="C395" t="s">
        <v>23</v>
      </c>
      <c r="D395">
        <v>25110</v>
      </c>
      <c r="E395">
        <f t="shared" si="13"/>
        <v>25110610</v>
      </c>
      <c r="F395">
        <f>VLOOKUP(E395,YieldData!D:F,2,FALSE)</f>
        <v>3</v>
      </c>
      <c r="G395">
        <f>VLOOKUP($E395,YieldData!$D:$F,3,FALSE)</f>
        <v>3</v>
      </c>
      <c r="H395">
        <v>16</v>
      </c>
      <c r="I395" t="s">
        <v>24</v>
      </c>
      <c r="J395" t="s">
        <v>25</v>
      </c>
      <c r="K395" s="2">
        <v>4541.4640870000003</v>
      </c>
      <c r="L395" s="2">
        <v>32969324.129999999</v>
      </c>
      <c r="M395" s="3">
        <v>14827.596879999999</v>
      </c>
      <c r="N395" s="3">
        <v>31376992.300000001</v>
      </c>
      <c r="O395" s="4">
        <v>7.1081456000000001E-2</v>
      </c>
      <c r="P395" s="4">
        <v>9.883144E-3</v>
      </c>
      <c r="Q395" s="5">
        <v>-3.11472E-2</v>
      </c>
      <c r="R395" s="5">
        <v>1.361129E-3</v>
      </c>
      <c r="S395" s="6">
        <v>0.27207061599999999</v>
      </c>
      <c r="T395" s="6">
        <v>2.5686292999999999E-2</v>
      </c>
      <c r="U395" s="7">
        <v>0.13282605</v>
      </c>
      <c r="V395" s="7">
        <v>0.11518329099999999</v>
      </c>
      <c r="W395" s="8">
        <v>0.845370493</v>
      </c>
      <c r="X395" s="8">
        <v>0.130719223</v>
      </c>
      <c r="Y395" s="2">
        <v>31</v>
      </c>
      <c r="Z395" s="2">
        <f>VLOOKUP(E395,YieldData!T:U,2,FALSE)</f>
        <v>431.31578947368428</v>
      </c>
      <c r="AA395">
        <f t="shared" si="12"/>
        <v>0.388695850816972</v>
      </c>
    </row>
    <row r="396" spans="1:27" hidden="1" x14ac:dyDescent="0.25">
      <c r="A396">
        <v>163</v>
      </c>
      <c r="B396">
        <v>611</v>
      </c>
      <c r="C396" t="s">
        <v>23</v>
      </c>
      <c r="D396">
        <v>25110</v>
      </c>
      <c r="E396">
        <f t="shared" si="13"/>
        <v>25110611</v>
      </c>
      <c r="H396">
        <v>16</v>
      </c>
      <c r="I396" t="s">
        <v>24</v>
      </c>
      <c r="J396" t="s">
        <v>25</v>
      </c>
      <c r="K396" s="2">
        <v>5508.8912259999997</v>
      </c>
      <c r="L396" s="2">
        <v>51954374.359999999</v>
      </c>
      <c r="M396" s="3">
        <v>15275.587729999999</v>
      </c>
      <c r="N396" s="3">
        <v>39532381.649999999</v>
      </c>
      <c r="O396" s="4">
        <v>5.6296570999999997E-2</v>
      </c>
      <c r="P396" s="4">
        <v>7.9541709999999995E-3</v>
      </c>
      <c r="Q396" s="5">
        <v>-3.9100937000000002E-2</v>
      </c>
      <c r="R396" s="5">
        <v>1.2904629999999999E-3</v>
      </c>
      <c r="S396" s="6">
        <v>0.25691999900000001</v>
      </c>
      <c r="T396" s="6">
        <v>2.6504166999999999E-2</v>
      </c>
      <c r="U396" s="7">
        <v>0.132138484</v>
      </c>
      <c r="V396" s="7">
        <v>0.114677905</v>
      </c>
      <c r="W396" s="8">
        <v>0.57544191200000006</v>
      </c>
      <c r="X396" s="8">
        <v>0.244308518</v>
      </c>
      <c r="Y396" s="2">
        <v>12</v>
      </c>
      <c r="Z396" s="2">
        <f>VLOOKUP(E396,YieldData!T:U,2,FALSE)</f>
        <v>0</v>
      </c>
      <c r="AA396">
        <f t="shared" si="12"/>
        <v>0.44827833658250699</v>
      </c>
    </row>
    <row r="397" spans="1:27" hidden="1" x14ac:dyDescent="0.25">
      <c r="A397">
        <v>164</v>
      </c>
      <c r="B397">
        <v>612</v>
      </c>
      <c r="C397" t="s">
        <v>23</v>
      </c>
      <c r="D397">
        <v>25110</v>
      </c>
      <c r="E397">
        <f t="shared" si="13"/>
        <v>25110612</v>
      </c>
      <c r="F397">
        <f>VLOOKUP(E397,YieldData!D:F,2,FALSE)</f>
        <v>15</v>
      </c>
      <c r="G397">
        <f>VLOOKUP($E397,YieldData!$D:$F,3,FALSE)</f>
        <v>3</v>
      </c>
      <c r="H397">
        <v>16</v>
      </c>
      <c r="I397" t="s">
        <v>24</v>
      </c>
      <c r="J397" t="s">
        <v>25</v>
      </c>
      <c r="K397" s="2">
        <v>3901.246263</v>
      </c>
      <c r="L397" s="2">
        <v>23338692.809999999</v>
      </c>
      <c r="M397" s="3">
        <v>16448.531650000001</v>
      </c>
      <c r="N397" s="3">
        <v>20276709.809999999</v>
      </c>
      <c r="O397" s="4">
        <v>4.0848031E-2</v>
      </c>
      <c r="P397" s="4">
        <v>4.7194230000000004E-3</v>
      </c>
      <c r="Q397" s="5">
        <v>-3.7701289999999998E-2</v>
      </c>
      <c r="R397" s="5">
        <v>9.9342300000000001E-4</v>
      </c>
      <c r="S397" s="6">
        <v>0.213275347</v>
      </c>
      <c r="T397" s="6">
        <v>1.3164043E-2</v>
      </c>
      <c r="U397" s="7">
        <v>6.0729650000000003E-2</v>
      </c>
      <c r="V397" s="7">
        <v>5.7041558999999999E-2</v>
      </c>
      <c r="W397" s="8">
        <v>0.64018680400000005</v>
      </c>
      <c r="X397" s="8">
        <v>0.23034766000000001</v>
      </c>
      <c r="Y397" s="2">
        <v>18</v>
      </c>
      <c r="Z397" s="2">
        <f>VLOOKUP(E397,YieldData!T:U,2,FALSE)</f>
        <v>1202.8161103979462</v>
      </c>
      <c r="AA397">
        <f t="shared" si="12"/>
        <v>0.347999903956973</v>
      </c>
    </row>
    <row r="398" spans="1:27" hidden="1" x14ac:dyDescent="0.25">
      <c r="A398">
        <v>230</v>
      </c>
      <c r="B398">
        <v>101</v>
      </c>
      <c r="C398" t="s">
        <v>26</v>
      </c>
      <c r="D398">
        <v>25104</v>
      </c>
      <c r="E398">
        <f t="shared" si="13"/>
        <v>25104101</v>
      </c>
      <c r="F398">
        <f>VLOOKUP(E398,YieldData!D:F,2,FALSE)</f>
        <v>1</v>
      </c>
      <c r="G398">
        <f>VLOOKUP($E398,YieldData!$D:$F,3,FALSE)</f>
        <v>1</v>
      </c>
      <c r="H398">
        <v>16</v>
      </c>
      <c r="I398" t="s">
        <v>27</v>
      </c>
      <c r="J398" t="s">
        <v>28</v>
      </c>
      <c r="K398" s="2">
        <v>2237.064558</v>
      </c>
      <c r="L398" s="2">
        <v>2010525.824</v>
      </c>
      <c r="M398" s="3">
        <v>15341.385109999999</v>
      </c>
      <c r="N398" s="3">
        <v>13184724.619999999</v>
      </c>
      <c r="O398" s="4">
        <v>-1.483517E-3</v>
      </c>
      <c r="P398" s="4">
        <v>8.4380400000000008E-3</v>
      </c>
      <c r="Q398" s="5">
        <v>-5.6901327000000002E-2</v>
      </c>
      <c r="R398" s="5">
        <v>7.2005799999999998E-4</v>
      </c>
      <c r="S398" s="6">
        <v>0.188043776</v>
      </c>
      <c r="T398" s="6">
        <v>1.1763528000000001E-2</v>
      </c>
      <c r="U398" s="7">
        <v>4.1515943999999999E-2</v>
      </c>
      <c r="V398" s="7">
        <v>3.9792371E-2</v>
      </c>
      <c r="W398" s="8">
        <v>0.69133337399999994</v>
      </c>
      <c r="X398" s="8">
        <v>0.21339153999999999</v>
      </c>
      <c r="Y398" s="2">
        <v>54</v>
      </c>
      <c r="Z398" s="2">
        <f>VLOOKUP(E398,YieldData!T:U,2,FALSE)</f>
        <v>534</v>
      </c>
      <c r="AA398">
        <f t="shared" si="12"/>
        <v>0.27361559622054799</v>
      </c>
    </row>
    <row r="399" spans="1:27" hidden="1" x14ac:dyDescent="0.25">
      <c r="A399">
        <v>231</v>
      </c>
      <c r="B399">
        <v>102</v>
      </c>
      <c r="C399" t="s">
        <v>26</v>
      </c>
      <c r="D399">
        <v>25104</v>
      </c>
      <c r="E399">
        <f t="shared" si="13"/>
        <v>25104102</v>
      </c>
      <c r="F399">
        <f>VLOOKUP(E399,YieldData!D:F,2,FALSE)</f>
        <v>2</v>
      </c>
      <c r="G399">
        <f>VLOOKUP($E399,YieldData!$D:$F,3,FALSE)</f>
        <v>1</v>
      </c>
      <c r="H399">
        <v>16</v>
      </c>
      <c r="I399" t="s">
        <v>27</v>
      </c>
      <c r="J399" t="s">
        <v>28</v>
      </c>
      <c r="K399" s="2">
        <v>3071.2060649999999</v>
      </c>
      <c r="L399" s="2">
        <v>9452915.4440000001</v>
      </c>
      <c r="M399" s="3">
        <v>13478.791219999999</v>
      </c>
      <c r="N399" s="3">
        <v>28794478.870000001</v>
      </c>
      <c r="O399" s="4">
        <v>2.8991398000000002E-2</v>
      </c>
      <c r="P399" s="4">
        <v>2.0384251999999999E-2</v>
      </c>
      <c r="Q399" s="5">
        <v>-4.7902678999999997E-2</v>
      </c>
      <c r="R399" s="5">
        <v>1.458193E-3</v>
      </c>
      <c r="S399" s="6">
        <v>0.234549911</v>
      </c>
      <c r="T399" s="6">
        <v>3.1536069999999999E-2</v>
      </c>
      <c r="U399" s="7">
        <v>0.11808749</v>
      </c>
      <c r="V399" s="7">
        <v>0.104142834</v>
      </c>
      <c r="W399" s="8">
        <v>0.85877524100000002</v>
      </c>
      <c r="X399" s="8">
        <v>0.12128032599999999</v>
      </c>
      <c r="Y399" s="2">
        <v>38</v>
      </c>
      <c r="Z399" s="2">
        <f>VLOOKUP(E399,YieldData!T:U,2,FALSE)</f>
        <v>1547</v>
      </c>
      <c r="AA399">
        <f t="shared" si="12"/>
        <v>0.40237923302041001</v>
      </c>
    </row>
    <row r="400" spans="1:27" hidden="1" x14ac:dyDescent="0.25">
      <c r="A400">
        <v>232</v>
      </c>
      <c r="B400">
        <v>103</v>
      </c>
      <c r="C400" t="s">
        <v>26</v>
      </c>
      <c r="D400">
        <v>25104</v>
      </c>
      <c r="E400">
        <f t="shared" si="13"/>
        <v>25104103</v>
      </c>
      <c r="F400">
        <f>VLOOKUP(E400,YieldData!D:F,2,FALSE)</f>
        <v>3</v>
      </c>
      <c r="G400">
        <f>VLOOKUP($E400,YieldData!$D:$F,3,FALSE)</f>
        <v>1</v>
      </c>
      <c r="H400">
        <v>16</v>
      </c>
      <c r="I400" t="s">
        <v>27</v>
      </c>
      <c r="J400" t="s">
        <v>28</v>
      </c>
      <c r="K400" s="2">
        <v>2799.2230009999998</v>
      </c>
      <c r="L400" s="2">
        <v>9958454.2899999991</v>
      </c>
      <c r="M400" s="3">
        <v>15040.16584</v>
      </c>
      <c r="N400" s="3">
        <v>22947141.91</v>
      </c>
      <c r="O400" s="4">
        <v>4.8961589999999998E-3</v>
      </c>
      <c r="P400" s="4">
        <v>1.4698325E-2</v>
      </c>
      <c r="Q400" s="5">
        <v>-5.2198748000000003E-2</v>
      </c>
      <c r="R400" s="5">
        <v>1.2116099999999999E-3</v>
      </c>
      <c r="S400" s="6">
        <v>0.204974199</v>
      </c>
      <c r="T400" s="6">
        <v>2.3535914000000002E-2</v>
      </c>
      <c r="U400" s="7">
        <v>7.8297162000000003E-2</v>
      </c>
      <c r="V400" s="7">
        <v>7.2166716000000006E-2</v>
      </c>
      <c r="W400" s="8">
        <v>0.729759143</v>
      </c>
      <c r="X400" s="8">
        <v>0.197210736</v>
      </c>
      <c r="Y400" s="2">
        <v>22</v>
      </c>
      <c r="Z400" s="2">
        <f>VLOOKUP(E400,YieldData!T:U,2,FALSE)</f>
        <v>1172</v>
      </c>
      <c r="AA400">
        <f t="shared" si="12"/>
        <v>0.32019468793724098</v>
      </c>
    </row>
    <row r="401" spans="1:27" hidden="1" x14ac:dyDescent="0.25">
      <c r="A401">
        <v>233</v>
      </c>
      <c r="B401">
        <v>104</v>
      </c>
      <c r="C401" t="s">
        <v>26</v>
      </c>
      <c r="D401">
        <v>25104</v>
      </c>
      <c r="E401">
        <f t="shared" si="13"/>
        <v>25104104</v>
      </c>
      <c r="F401">
        <f>VLOOKUP(E401,YieldData!D:F,2,FALSE)</f>
        <v>4</v>
      </c>
      <c r="G401">
        <f>VLOOKUP($E401,YieldData!$D:$F,3,FALSE)</f>
        <v>1</v>
      </c>
      <c r="H401">
        <v>16</v>
      </c>
      <c r="I401" t="s">
        <v>27</v>
      </c>
      <c r="J401" t="s">
        <v>28</v>
      </c>
      <c r="K401" s="2">
        <v>2633.1994129999998</v>
      </c>
      <c r="L401" s="2">
        <v>5117837.1950000003</v>
      </c>
      <c r="M401" s="3">
        <v>15355.69867</v>
      </c>
      <c r="N401" s="3">
        <v>21199046.890000001</v>
      </c>
      <c r="O401" s="4">
        <v>1.3939798999999999E-2</v>
      </c>
      <c r="P401" s="4">
        <v>1.2460374E-2</v>
      </c>
      <c r="Q401" s="5">
        <v>-4.7836792000000003E-2</v>
      </c>
      <c r="R401" s="5">
        <v>1.1204279999999999E-3</v>
      </c>
      <c r="S401" s="6">
        <v>0.209562416</v>
      </c>
      <c r="T401" s="6">
        <v>1.9852252000000001E-2</v>
      </c>
      <c r="U401" s="7">
        <v>7.2451558999999999E-2</v>
      </c>
      <c r="V401" s="7">
        <v>6.7202330000000005E-2</v>
      </c>
      <c r="W401" s="8">
        <v>0.87108076999999995</v>
      </c>
      <c r="X401" s="8">
        <v>0.11229906200000001</v>
      </c>
      <c r="Y401" s="2">
        <v>42</v>
      </c>
      <c r="Z401" s="2">
        <f>VLOOKUP(E401,YieldData!T:U,2,FALSE)</f>
        <v>1125</v>
      </c>
      <c r="AA401">
        <f t="shared" si="12"/>
        <v>0.41335522997944002</v>
      </c>
    </row>
    <row r="402" spans="1:27" hidden="1" x14ac:dyDescent="0.25">
      <c r="A402">
        <v>234</v>
      </c>
      <c r="B402">
        <v>105</v>
      </c>
      <c r="C402" t="s">
        <v>26</v>
      </c>
      <c r="D402">
        <v>25104</v>
      </c>
      <c r="E402">
        <f t="shared" si="13"/>
        <v>25104105</v>
      </c>
      <c r="F402">
        <f>VLOOKUP(E402,YieldData!D:F,2,FALSE)</f>
        <v>5</v>
      </c>
      <c r="G402">
        <f>VLOOKUP($E402,YieldData!$D:$F,3,FALSE)</f>
        <v>1</v>
      </c>
      <c r="H402">
        <v>16</v>
      </c>
      <c r="I402" t="s">
        <v>27</v>
      </c>
      <c r="J402" t="s">
        <v>28</v>
      </c>
      <c r="K402" s="2">
        <v>3280.3467900000001</v>
      </c>
      <c r="L402" s="2">
        <v>10823110.26</v>
      </c>
      <c r="M402" s="3">
        <v>14253.212799999999</v>
      </c>
      <c r="N402" s="3">
        <v>33341431.809999999</v>
      </c>
      <c r="O402" s="4">
        <v>4.6245949000000001E-2</v>
      </c>
      <c r="P402" s="4">
        <v>2.0641049000000002E-2</v>
      </c>
      <c r="Q402" s="5">
        <v>-3.9782344999999997E-2</v>
      </c>
      <c r="R402" s="5">
        <v>1.326951E-3</v>
      </c>
      <c r="S402" s="6">
        <v>0.25077971999999998</v>
      </c>
      <c r="T402" s="6">
        <v>3.5927204999999997E-2</v>
      </c>
      <c r="U402" s="7">
        <v>0.133398981</v>
      </c>
      <c r="V402" s="7">
        <v>0.11560369299999999</v>
      </c>
      <c r="W402" s="8">
        <v>0.75178920400000004</v>
      </c>
      <c r="X402" s="8">
        <v>0.186602197</v>
      </c>
      <c r="Y402" s="2">
        <v>26</v>
      </c>
      <c r="Z402" s="2">
        <f>VLOOKUP(E402,YieldData!T:U,2,FALSE)</f>
        <v>2382</v>
      </c>
      <c r="AA402">
        <f t="shared" si="12"/>
        <v>0.52409286114396003</v>
      </c>
    </row>
    <row r="403" spans="1:27" hidden="1" x14ac:dyDescent="0.25">
      <c r="A403">
        <v>235</v>
      </c>
      <c r="B403">
        <v>106</v>
      </c>
      <c r="C403" t="s">
        <v>26</v>
      </c>
      <c r="D403">
        <v>25104</v>
      </c>
      <c r="E403">
        <f t="shared" si="13"/>
        <v>25104106</v>
      </c>
      <c r="F403">
        <f>VLOOKUP(E403,YieldData!D:F,2,FALSE)</f>
        <v>4</v>
      </c>
      <c r="G403">
        <f>VLOOKUP($E403,YieldData!$D:$F,3,FALSE)</f>
        <v>2</v>
      </c>
      <c r="H403">
        <v>16</v>
      </c>
      <c r="I403" t="s">
        <v>27</v>
      </c>
      <c r="J403" t="s">
        <v>28</v>
      </c>
      <c r="K403" s="2">
        <v>2935.386242</v>
      </c>
      <c r="L403" s="2">
        <v>10525461.42</v>
      </c>
      <c r="M403" s="3">
        <v>13881.386039999999</v>
      </c>
      <c r="N403" s="3">
        <v>27463243.530000001</v>
      </c>
      <c r="O403" s="4">
        <v>6.4135285E-2</v>
      </c>
      <c r="P403" s="4">
        <v>1.9313956E-2</v>
      </c>
      <c r="Q403" s="5">
        <v>-3.2840342000000002E-2</v>
      </c>
      <c r="R403" s="5">
        <v>1.771637E-3</v>
      </c>
      <c r="S403" s="6">
        <v>0.26174586100000002</v>
      </c>
      <c r="T403" s="6">
        <v>2.989988E-2</v>
      </c>
      <c r="U403" s="7">
        <v>0.12911124700000001</v>
      </c>
      <c r="V403" s="7">
        <v>0.112441533</v>
      </c>
      <c r="W403" s="8">
        <v>0.90494701300000002</v>
      </c>
      <c r="X403" s="8">
        <v>8.6017916E-2</v>
      </c>
      <c r="Y403" s="2">
        <v>68</v>
      </c>
      <c r="Z403" s="2">
        <f>VLOOKUP(E403,YieldData!T:U,2,FALSE)</f>
        <v>1226</v>
      </c>
      <c r="AA403">
        <f t="shared" si="12"/>
        <v>0.36991281677170901</v>
      </c>
    </row>
    <row r="404" spans="1:27" hidden="1" x14ac:dyDescent="0.25">
      <c r="A404">
        <v>236</v>
      </c>
      <c r="B404">
        <v>107</v>
      </c>
      <c r="C404" t="s">
        <v>26</v>
      </c>
      <c r="D404">
        <v>25104</v>
      </c>
      <c r="E404">
        <f t="shared" si="13"/>
        <v>25104107</v>
      </c>
      <c r="F404">
        <f>VLOOKUP(E404,YieldData!D:F,2,FALSE)</f>
        <v>1</v>
      </c>
      <c r="G404">
        <f>VLOOKUP($E404,YieldData!$D:$F,3,FALSE)</f>
        <v>2</v>
      </c>
      <c r="H404">
        <v>16</v>
      </c>
      <c r="I404" t="s">
        <v>27</v>
      </c>
      <c r="J404" t="s">
        <v>28</v>
      </c>
      <c r="K404" s="2">
        <v>2725.3208749999999</v>
      </c>
      <c r="L404" s="2">
        <v>7875967.0199999996</v>
      </c>
      <c r="M404" s="3">
        <v>14289.07185</v>
      </c>
      <c r="N404" s="3">
        <v>21834668.030000001</v>
      </c>
      <c r="O404" s="4">
        <v>4.2431397000000003E-2</v>
      </c>
      <c r="P404" s="4">
        <v>1.3420270999999999E-2</v>
      </c>
      <c r="Q404" s="5">
        <v>-4.0386868999999999E-2</v>
      </c>
      <c r="R404" s="5">
        <v>1.2224499999999999E-3</v>
      </c>
      <c r="S404" s="6">
        <v>0.23588382299999999</v>
      </c>
      <c r="T404" s="6">
        <v>2.2012492000000002E-2</v>
      </c>
      <c r="U404" s="7">
        <v>9.3221282000000003E-2</v>
      </c>
      <c r="V404" s="7">
        <v>8.4531074999999997E-2</v>
      </c>
      <c r="W404" s="8">
        <v>0.93588547600000005</v>
      </c>
      <c r="X404" s="8">
        <v>6.0003850999999997E-2</v>
      </c>
      <c r="Y404" s="2">
        <v>67</v>
      </c>
      <c r="Z404" s="2">
        <f>VLOOKUP(E404,YieldData!T:U,2,FALSE)</f>
        <v>2154</v>
      </c>
      <c r="AA404">
        <f t="shared" si="12"/>
        <v>0.46171693735498798</v>
      </c>
    </row>
    <row r="405" spans="1:27" hidden="1" x14ac:dyDescent="0.25">
      <c r="A405">
        <v>237</v>
      </c>
      <c r="B405">
        <v>108</v>
      </c>
      <c r="C405" t="s">
        <v>26</v>
      </c>
      <c r="D405">
        <v>25104</v>
      </c>
      <c r="E405">
        <f t="shared" si="13"/>
        <v>25104108</v>
      </c>
      <c r="F405">
        <f>VLOOKUP(E405,YieldData!D:F,2,FALSE)</f>
        <v>5</v>
      </c>
      <c r="G405">
        <f>VLOOKUP($E405,YieldData!$D:$F,3,FALSE)</f>
        <v>2</v>
      </c>
      <c r="H405">
        <v>16</v>
      </c>
      <c r="I405" t="s">
        <v>27</v>
      </c>
      <c r="J405" t="s">
        <v>28</v>
      </c>
      <c r="K405" s="2">
        <v>3012.7758520000002</v>
      </c>
      <c r="L405" s="2">
        <v>15786401.35</v>
      </c>
      <c r="M405" s="3">
        <v>12913.098470000001</v>
      </c>
      <c r="N405" s="3">
        <v>31092797.359999999</v>
      </c>
      <c r="O405" s="4">
        <v>7.1900807999999997E-2</v>
      </c>
      <c r="P405" s="4">
        <v>1.7422657000000001E-2</v>
      </c>
      <c r="Q405" s="5">
        <v>-3.1506310000000003E-2</v>
      </c>
      <c r="R405" s="5">
        <v>1.5495649999999999E-3</v>
      </c>
      <c r="S405" s="6">
        <v>0.27130211199999998</v>
      </c>
      <c r="T405" s="6">
        <v>3.2740765999999998E-2</v>
      </c>
      <c r="U405" s="7">
        <v>0.13419792899999999</v>
      </c>
      <c r="V405" s="7">
        <v>0.116188845</v>
      </c>
      <c r="W405" s="8">
        <v>0.68533157899999997</v>
      </c>
      <c r="X405" s="8">
        <v>0.21565220600000001</v>
      </c>
      <c r="Y405" s="2">
        <v>23</v>
      </c>
      <c r="Z405" s="2">
        <f>VLOOKUP(E405,YieldData!T:U,2,FALSE)</f>
        <v>2192</v>
      </c>
      <c r="AA405">
        <f t="shared" si="12"/>
        <v>0.52551636707210603</v>
      </c>
    </row>
    <row r="406" spans="1:27" hidden="1" x14ac:dyDescent="0.25">
      <c r="A406">
        <v>238</v>
      </c>
      <c r="B406">
        <v>109</v>
      </c>
      <c r="C406" t="s">
        <v>26</v>
      </c>
      <c r="D406">
        <v>25104</v>
      </c>
      <c r="E406">
        <f t="shared" si="13"/>
        <v>25104109</v>
      </c>
      <c r="F406">
        <f>VLOOKUP(E406,YieldData!D:F,2,FALSE)</f>
        <v>2</v>
      </c>
      <c r="G406">
        <f>VLOOKUP($E406,YieldData!$D:$F,3,FALSE)</f>
        <v>2</v>
      </c>
      <c r="H406">
        <v>16</v>
      </c>
      <c r="I406" t="s">
        <v>27</v>
      </c>
      <c r="J406" t="s">
        <v>28</v>
      </c>
      <c r="K406" s="2">
        <v>2671.4481689999998</v>
      </c>
      <c r="L406" s="2">
        <v>10188182.65</v>
      </c>
      <c r="M406" s="3">
        <v>13428.997789999999</v>
      </c>
      <c r="N406" s="3">
        <v>26946940.190000001</v>
      </c>
      <c r="O406" s="4">
        <v>7.3449416000000003E-2</v>
      </c>
      <c r="P406" s="4">
        <v>1.5342569E-2</v>
      </c>
      <c r="Q406" s="5">
        <v>-2.9254909999999999E-2</v>
      </c>
      <c r="R406" s="5">
        <v>1.526346E-3</v>
      </c>
      <c r="S406" s="6">
        <v>0.26477777200000002</v>
      </c>
      <c r="T406" s="6">
        <v>2.6019189000000002E-2</v>
      </c>
      <c r="U406" s="7">
        <v>0.111208663</v>
      </c>
      <c r="V406" s="7">
        <v>9.8841295999999995E-2</v>
      </c>
      <c r="W406" s="8">
        <v>0.90067666099999999</v>
      </c>
      <c r="X406" s="8">
        <v>8.9458212999999995E-2</v>
      </c>
      <c r="Y406" s="2">
        <v>40</v>
      </c>
      <c r="Z406" s="2">
        <f>VLOOKUP(E406,YieldData!T:U,2,FALSE)</f>
        <v>1678</v>
      </c>
      <c r="AA406">
        <f t="shared" si="12"/>
        <v>0.42171660000503097</v>
      </c>
    </row>
    <row r="407" spans="1:27" hidden="1" x14ac:dyDescent="0.25">
      <c r="A407">
        <v>221</v>
      </c>
      <c r="B407">
        <v>201</v>
      </c>
      <c r="C407" t="s">
        <v>26</v>
      </c>
      <c r="D407">
        <v>25104</v>
      </c>
      <c r="E407">
        <f t="shared" si="13"/>
        <v>25104201</v>
      </c>
      <c r="F407">
        <f>VLOOKUP(E407,YieldData!D:F,2,FALSE)</f>
        <v>5</v>
      </c>
      <c r="G407">
        <f>VLOOKUP($E407,YieldData!$D:$F,3,FALSE)</f>
        <v>4</v>
      </c>
      <c r="H407">
        <v>16</v>
      </c>
      <c r="I407" t="s">
        <v>27</v>
      </c>
      <c r="J407" t="s">
        <v>28</v>
      </c>
      <c r="K407" s="2">
        <v>2538.2252020000001</v>
      </c>
      <c r="L407" s="2">
        <v>8596478.3910000008</v>
      </c>
      <c r="M407" s="3">
        <v>15927.76915</v>
      </c>
      <c r="N407" s="3">
        <v>23123092.48</v>
      </c>
      <c r="O407" s="4">
        <v>1.5983588E-2</v>
      </c>
      <c r="P407" s="4">
        <v>1.2627510999999999E-2</v>
      </c>
      <c r="Q407" s="5">
        <v>-5.1996454999999997E-2</v>
      </c>
      <c r="R407" s="5">
        <v>1.012263E-3</v>
      </c>
      <c r="S407" s="6">
        <v>0.199363764</v>
      </c>
      <c r="T407" s="6">
        <v>2.0762079999999999E-2</v>
      </c>
      <c r="U407" s="7">
        <v>7.1205607000000004E-2</v>
      </c>
      <c r="V407" s="7">
        <v>6.6135368E-2</v>
      </c>
      <c r="W407" s="8">
        <v>0.86805133700000003</v>
      </c>
      <c r="X407" s="8">
        <v>0.114538214</v>
      </c>
      <c r="Y407" s="2">
        <v>42</v>
      </c>
      <c r="Z407" s="2">
        <f>VLOOKUP(E407,YieldData!T:U,2,FALSE)</f>
        <v>1492</v>
      </c>
      <c r="AA407">
        <f t="shared" si="12"/>
        <v>0.37392096802774499</v>
      </c>
    </row>
    <row r="408" spans="1:27" hidden="1" x14ac:dyDescent="0.25">
      <c r="A408">
        <v>222</v>
      </c>
      <c r="B408">
        <v>202</v>
      </c>
      <c r="C408" t="s">
        <v>26</v>
      </c>
      <c r="D408">
        <v>25104</v>
      </c>
      <c r="E408">
        <f t="shared" si="13"/>
        <v>25104202</v>
      </c>
      <c r="F408">
        <f>VLOOKUP(E408,YieldData!D:F,2,FALSE)</f>
        <v>1</v>
      </c>
      <c r="G408">
        <f>VLOOKUP($E408,YieldData!$D:$F,3,FALSE)</f>
        <v>4</v>
      </c>
      <c r="H408">
        <v>16</v>
      </c>
      <c r="I408" t="s">
        <v>27</v>
      </c>
      <c r="J408" t="s">
        <v>28</v>
      </c>
      <c r="K408" s="2">
        <v>3388.2667919999999</v>
      </c>
      <c r="L408" s="2">
        <v>12275357.539999999</v>
      </c>
      <c r="M408" s="3">
        <v>13572.677309999999</v>
      </c>
      <c r="N408" s="3">
        <v>35497389.07</v>
      </c>
      <c r="O408" s="4">
        <v>6.7008527999999998E-2</v>
      </c>
      <c r="P408" s="4">
        <v>2.5150529000000001E-2</v>
      </c>
      <c r="Q408" s="5">
        <v>-3.5717388000000003E-2</v>
      </c>
      <c r="R408" s="5">
        <v>1.8240439999999999E-3</v>
      </c>
      <c r="S408" s="6">
        <v>0.26683873699999999</v>
      </c>
      <c r="T408" s="6">
        <v>3.9403306999999999E-2</v>
      </c>
      <c r="U408" s="7">
        <v>0.15841232199999999</v>
      </c>
      <c r="V408" s="7">
        <v>0.13331785800000001</v>
      </c>
      <c r="W408" s="8">
        <v>0.90420968199999996</v>
      </c>
      <c r="X408" s="8">
        <v>8.6614532999999994E-2</v>
      </c>
      <c r="Y408" s="2">
        <v>49</v>
      </c>
      <c r="Z408" s="2">
        <f>VLOOKUP(E408,YieldData!T:U,2,FALSE)</f>
        <v>3107</v>
      </c>
      <c r="AA408">
        <f t="shared" si="12"/>
        <v>0.58287292817679603</v>
      </c>
    </row>
    <row r="409" spans="1:27" hidden="1" x14ac:dyDescent="0.25">
      <c r="A409">
        <v>223</v>
      </c>
      <c r="B409">
        <v>203</v>
      </c>
      <c r="C409" t="s">
        <v>26</v>
      </c>
      <c r="D409">
        <v>25104</v>
      </c>
      <c r="E409">
        <f t="shared" si="13"/>
        <v>25104203</v>
      </c>
      <c r="F409">
        <f>VLOOKUP(E409,YieldData!D:F,2,FALSE)</f>
        <v>3</v>
      </c>
      <c r="G409">
        <f>VLOOKUP($E409,YieldData!$D:$F,3,FALSE)</f>
        <v>4</v>
      </c>
      <c r="H409">
        <v>16</v>
      </c>
      <c r="I409" t="s">
        <v>27</v>
      </c>
      <c r="J409" t="s">
        <v>28</v>
      </c>
      <c r="K409" s="2">
        <v>3235.5829779999999</v>
      </c>
      <c r="L409" s="2">
        <v>12382447.27</v>
      </c>
      <c r="M409" s="3">
        <v>15092.784149999999</v>
      </c>
      <c r="N409" s="3">
        <v>33022698.539999999</v>
      </c>
      <c r="O409" s="4">
        <v>4.4572607E-2</v>
      </c>
      <c r="P409" s="4">
        <v>2.0916994000000001E-2</v>
      </c>
      <c r="Q409" s="5">
        <v>-4.1251573999999999E-2</v>
      </c>
      <c r="R409" s="5">
        <v>1.62754E-3</v>
      </c>
      <c r="S409" s="6">
        <v>0.242771617</v>
      </c>
      <c r="T409" s="6">
        <v>3.4196170999999997E-2</v>
      </c>
      <c r="U409" s="7">
        <v>0.12665627400000001</v>
      </c>
      <c r="V409" s="7">
        <v>0.110614463</v>
      </c>
      <c r="W409" s="8">
        <v>0.79124309299999995</v>
      </c>
      <c r="X409" s="8">
        <v>0.165177461</v>
      </c>
      <c r="Y409" s="2">
        <v>39</v>
      </c>
      <c r="Z409" s="2">
        <f>VLOOKUP(E409,YieldData!T:U,2,FALSE)</f>
        <v>1849</v>
      </c>
      <c r="AA409">
        <f t="shared" si="12"/>
        <v>0.52339947137406895</v>
      </c>
    </row>
    <row r="410" spans="1:27" hidden="1" x14ac:dyDescent="0.25">
      <c r="A410">
        <v>224</v>
      </c>
      <c r="B410">
        <v>204</v>
      </c>
      <c r="C410" t="s">
        <v>26</v>
      </c>
      <c r="D410">
        <v>25104</v>
      </c>
      <c r="E410">
        <f t="shared" si="13"/>
        <v>25104204</v>
      </c>
      <c r="F410">
        <f>VLOOKUP(E410,YieldData!D:F,2,FALSE)</f>
        <v>4</v>
      </c>
      <c r="G410">
        <f>VLOOKUP($E410,YieldData!$D:$F,3,FALSE)</f>
        <v>3</v>
      </c>
      <c r="H410">
        <v>16</v>
      </c>
      <c r="I410" t="s">
        <v>27</v>
      </c>
      <c r="J410" t="s">
        <v>28</v>
      </c>
      <c r="K410" s="2">
        <v>3321.326814</v>
      </c>
      <c r="L410" s="2">
        <v>12684500.050000001</v>
      </c>
      <c r="M410" s="3">
        <v>14585.961020000001</v>
      </c>
      <c r="N410" s="3">
        <v>41785965.009999998</v>
      </c>
      <c r="O410" s="4">
        <v>5.5740743000000002E-2</v>
      </c>
      <c r="P410" s="4">
        <v>2.5011562000000001E-2</v>
      </c>
      <c r="Q410" s="5">
        <v>-3.7848819999999998E-2</v>
      </c>
      <c r="R410" s="5">
        <v>1.7152929999999999E-3</v>
      </c>
      <c r="S410" s="6">
        <v>0.255998701</v>
      </c>
      <c r="T410" s="6">
        <v>3.9825816E-2</v>
      </c>
      <c r="U410" s="7">
        <v>0.153488657</v>
      </c>
      <c r="V410" s="7">
        <v>0.12992988899999999</v>
      </c>
      <c r="W410" s="8">
        <v>0.70197552600000002</v>
      </c>
      <c r="X410" s="8">
        <v>0.20920588700000001</v>
      </c>
      <c r="Y410" s="2">
        <v>32</v>
      </c>
      <c r="Z410" s="2">
        <f>VLOOKUP(E410,YieldData!T:U,2,FALSE)</f>
        <v>2033</v>
      </c>
      <c r="AA410">
        <f t="shared" si="12"/>
        <v>0.56408874635261996</v>
      </c>
    </row>
    <row r="411" spans="1:27" hidden="1" x14ac:dyDescent="0.25">
      <c r="A411">
        <v>225</v>
      </c>
      <c r="B411">
        <v>205</v>
      </c>
      <c r="C411" t="s">
        <v>26</v>
      </c>
      <c r="D411">
        <v>25104</v>
      </c>
      <c r="E411">
        <f t="shared" si="13"/>
        <v>25104205</v>
      </c>
      <c r="F411">
        <f>VLOOKUP(E411,YieldData!D:F,2,FALSE)</f>
        <v>2</v>
      </c>
      <c r="G411">
        <f>VLOOKUP($E411,YieldData!$D:$F,3,FALSE)</f>
        <v>3</v>
      </c>
      <c r="H411">
        <v>16</v>
      </c>
      <c r="I411" t="s">
        <v>27</v>
      </c>
      <c r="J411" t="s">
        <v>28</v>
      </c>
      <c r="K411" s="2">
        <v>3142.8506739999998</v>
      </c>
      <c r="L411" s="2">
        <v>12291282</v>
      </c>
      <c r="M411" s="3">
        <v>14810.753790000001</v>
      </c>
      <c r="N411" s="3">
        <v>35749126.899999999</v>
      </c>
      <c r="O411" s="4">
        <v>4.3687942E-2</v>
      </c>
      <c r="P411" s="4">
        <v>1.9299831999999999E-2</v>
      </c>
      <c r="Q411" s="5">
        <v>-3.7704251000000001E-2</v>
      </c>
      <c r="R411" s="5">
        <v>1.288371E-3</v>
      </c>
      <c r="S411" s="6">
        <v>0.23996559200000001</v>
      </c>
      <c r="T411" s="6">
        <v>3.2934961999999998E-2</v>
      </c>
      <c r="U411" s="7">
        <v>0.12107623300000001</v>
      </c>
      <c r="V411" s="7">
        <v>0.106416779</v>
      </c>
      <c r="W411" s="8">
        <v>0.84432067099999997</v>
      </c>
      <c r="X411" s="8">
        <v>0.131443276</v>
      </c>
      <c r="Y411" s="2">
        <v>47</v>
      </c>
      <c r="Z411" s="2">
        <f>VLOOKUP(E411,YieldData!T:U,2,FALSE)</f>
        <v>2592</v>
      </c>
      <c r="AA411">
        <f t="shared" si="12"/>
        <v>0.49701490669236598</v>
      </c>
    </row>
    <row r="412" spans="1:27" hidden="1" x14ac:dyDescent="0.25">
      <c r="A412">
        <v>226</v>
      </c>
      <c r="B412">
        <v>206</v>
      </c>
      <c r="C412" t="s">
        <v>26</v>
      </c>
      <c r="D412">
        <v>25104</v>
      </c>
      <c r="E412">
        <f t="shared" si="13"/>
        <v>25104206</v>
      </c>
      <c r="F412">
        <f>VLOOKUP(E412,YieldData!D:F,2,FALSE)</f>
        <v>3</v>
      </c>
      <c r="G412">
        <f>VLOOKUP($E412,YieldData!$D:$F,3,FALSE)</f>
        <v>3</v>
      </c>
      <c r="H412">
        <v>16</v>
      </c>
      <c r="I412" t="s">
        <v>27</v>
      </c>
      <c r="J412" t="s">
        <v>28</v>
      </c>
      <c r="K412" s="2">
        <v>3277.77529</v>
      </c>
      <c r="L412" s="2">
        <v>17608227.289999999</v>
      </c>
      <c r="M412" s="3">
        <v>14206.57728</v>
      </c>
      <c r="N412" s="3">
        <v>31383502.890000001</v>
      </c>
      <c r="O412" s="4">
        <v>5.0933552999999999E-2</v>
      </c>
      <c r="P412" s="4">
        <v>1.9034036000000001E-2</v>
      </c>
      <c r="Q412" s="5">
        <v>-3.8984261999999999E-2</v>
      </c>
      <c r="R412" s="5">
        <v>1.3588929999999999E-3</v>
      </c>
      <c r="S412" s="6">
        <v>0.25168664899999998</v>
      </c>
      <c r="T412" s="6">
        <v>3.3119003000000001E-2</v>
      </c>
      <c r="U412" s="7">
        <v>0.130676759</v>
      </c>
      <c r="V412" s="7">
        <v>0.11360034300000001</v>
      </c>
      <c r="W412" s="8">
        <v>0.90260850800000003</v>
      </c>
      <c r="X412" s="8">
        <v>8.7906389000000001E-2</v>
      </c>
      <c r="Y412" s="2">
        <v>42</v>
      </c>
      <c r="Z412" s="2">
        <f>VLOOKUP(E412,YieldData!T:U,2,FALSE)</f>
        <v>1865</v>
      </c>
      <c r="AA412">
        <f t="shared" si="12"/>
        <v>0.49840916702550098</v>
      </c>
    </row>
    <row r="413" spans="1:27" hidden="1" x14ac:dyDescent="0.25">
      <c r="A413">
        <v>227</v>
      </c>
      <c r="B413">
        <v>207</v>
      </c>
      <c r="C413" t="s">
        <v>26</v>
      </c>
      <c r="D413">
        <v>25104</v>
      </c>
      <c r="E413">
        <f t="shared" si="13"/>
        <v>25104207</v>
      </c>
      <c r="F413">
        <f>VLOOKUP(E413,YieldData!D:F,2,FALSE)</f>
        <v>1</v>
      </c>
      <c r="G413">
        <f>VLOOKUP($E413,YieldData!$D:$F,3,FALSE)</f>
        <v>3</v>
      </c>
      <c r="H413">
        <v>16</v>
      </c>
      <c r="I413" t="s">
        <v>27</v>
      </c>
      <c r="J413" t="s">
        <v>28</v>
      </c>
      <c r="K413" s="2">
        <v>2827.4005929999998</v>
      </c>
      <c r="L413" s="2">
        <v>15155160.699999999</v>
      </c>
      <c r="M413" s="3">
        <v>13927.202370000001</v>
      </c>
      <c r="N413" s="3">
        <v>31378543.52</v>
      </c>
      <c r="O413" s="4">
        <v>5.4980813000000003E-2</v>
      </c>
      <c r="P413" s="4">
        <v>1.8309829999999999E-2</v>
      </c>
      <c r="Q413" s="5">
        <v>-3.7977834000000002E-2</v>
      </c>
      <c r="R413" s="5">
        <v>1.5351270000000001E-3</v>
      </c>
      <c r="S413" s="6">
        <v>0.25453589199999999</v>
      </c>
      <c r="T413" s="6">
        <v>3.1760472999999997E-2</v>
      </c>
      <c r="U413" s="7">
        <v>0.132448803</v>
      </c>
      <c r="V413" s="7">
        <v>0.114906118</v>
      </c>
      <c r="W413" s="8">
        <v>0.87196747100000005</v>
      </c>
      <c r="X413" s="8">
        <v>0.11164019999999999</v>
      </c>
      <c r="Y413" s="2">
        <v>51</v>
      </c>
      <c r="Z413" s="2">
        <f>VLOOKUP(E413,YieldData!T:U,2,FALSE)</f>
        <v>2723</v>
      </c>
      <c r="AA413">
        <f t="shared" si="12"/>
        <v>0.59957852981281801</v>
      </c>
    </row>
    <row r="414" spans="1:27" hidden="1" x14ac:dyDescent="0.25">
      <c r="A414">
        <v>228</v>
      </c>
      <c r="B414">
        <v>208</v>
      </c>
      <c r="C414" t="s">
        <v>26</v>
      </c>
      <c r="D414">
        <v>25104</v>
      </c>
      <c r="E414">
        <f t="shared" si="13"/>
        <v>25104208</v>
      </c>
      <c r="F414">
        <f>VLOOKUP(E414,YieldData!D:F,2,FALSE)</f>
        <v>5</v>
      </c>
      <c r="G414">
        <f>VLOOKUP($E414,YieldData!$D:$F,3,FALSE)</f>
        <v>3</v>
      </c>
      <c r="H414">
        <v>16</v>
      </c>
      <c r="I414" t="s">
        <v>27</v>
      </c>
      <c r="J414" t="s">
        <v>28</v>
      </c>
      <c r="K414" s="2">
        <v>3261.6363160000001</v>
      </c>
      <c r="L414" s="2">
        <v>27438003.239999998</v>
      </c>
      <c r="M414" s="3">
        <v>12612.76066</v>
      </c>
      <c r="N414" s="3">
        <v>41352277.380000003</v>
      </c>
      <c r="O414" s="4">
        <v>8.1566299999999994E-2</v>
      </c>
      <c r="P414" s="4">
        <v>2.1939752999999999E-2</v>
      </c>
      <c r="Q414" s="5">
        <v>-3.0680783999999999E-2</v>
      </c>
      <c r="R414" s="5">
        <v>1.7281180000000001E-3</v>
      </c>
      <c r="S414" s="6">
        <v>0.29098186700000001</v>
      </c>
      <c r="T414" s="6">
        <v>4.3551723000000001E-2</v>
      </c>
      <c r="U414" s="7">
        <v>0.17891925</v>
      </c>
      <c r="V414" s="7">
        <v>0.14690715200000001</v>
      </c>
      <c r="W414" s="8">
        <v>0.41469540100000002</v>
      </c>
      <c r="X414" s="8">
        <v>0.24272312500000001</v>
      </c>
      <c r="Y414" s="2">
        <v>11</v>
      </c>
      <c r="Z414" s="2">
        <f>VLOOKUP(E414,YieldData!T:U,2,FALSE)</f>
        <v>2342</v>
      </c>
      <c r="AA414">
        <f t="shared" si="12"/>
        <v>0.597065084794412</v>
      </c>
    </row>
    <row r="415" spans="1:27" hidden="1" x14ac:dyDescent="0.25">
      <c r="A415">
        <v>229</v>
      </c>
      <c r="B415">
        <v>209</v>
      </c>
      <c r="C415" t="s">
        <v>26</v>
      </c>
      <c r="D415">
        <v>25104</v>
      </c>
      <c r="E415">
        <f t="shared" si="13"/>
        <v>25104209</v>
      </c>
      <c r="F415">
        <f>VLOOKUP(E415,YieldData!D:F,2,FALSE)</f>
        <v>3</v>
      </c>
      <c r="G415">
        <f>VLOOKUP($E415,YieldData!$D:$F,3,FALSE)</f>
        <v>2</v>
      </c>
      <c r="H415">
        <v>16</v>
      </c>
      <c r="I415" t="s">
        <v>27</v>
      </c>
      <c r="J415" t="s">
        <v>28</v>
      </c>
      <c r="K415" s="2">
        <v>3598.0274519999998</v>
      </c>
      <c r="L415" s="2">
        <v>33578932.130000003</v>
      </c>
      <c r="M415" s="3">
        <v>11808.557199999999</v>
      </c>
      <c r="N415" s="3">
        <v>41905571.799999997</v>
      </c>
      <c r="O415" s="4">
        <v>0.109533491</v>
      </c>
      <c r="P415" s="4">
        <v>2.1702734000000001E-2</v>
      </c>
      <c r="Q415" s="5">
        <v>-2.1444405E-2</v>
      </c>
      <c r="R415" s="5">
        <v>1.9260670000000001E-3</v>
      </c>
      <c r="S415" s="6">
        <v>0.31906305800000001</v>
      </c>
      <c r="T415" s="6">
        <v>4.5352193999999998E-2</v>
      </c>
      <c r="U415" s="7">
        <v>0.20611998200000001</v>
      </c>
      <c r="V415" s="7">
        <v>0.163634535</v>
      </c>
      <c r="W415" s="8">
        <v>0.68143722399999995</v>
      </c>
      <c r="X415" s="8">
        <v>0.21708053399999999</v>
      </c>
      <c r="Y415" s="2">
        <v>26</v>
      </c>
      <c r="Z415" s="2">
        <f>VLOOKUP(E415,YieldData!T:U,2,FALSE)</f>
        <v>2259</v>
      </c>
      <c r="AA415">
        <f t="shared" si="12"/>
        <v>0.65496356452428794</v>
      </c>
    </row>
    <row r="416" spans="1:27" hidden="1" x14ac:dyDescent="0.25">
      <c r="A416">
        <v>212</v>
      </c>
      <c r="B416">
        <v>301</v>
      </c>
      <c r="C416" t="s">
        <v>26</v>
      </c>
      <c r="D416">
        <v>25104</v>
      </c>
      <c r="E416">
        <f t="shared" si="13"/>
        <v>25104301</v>
      </c>
      <c r="F416">
        <f>VLOOKUP(E416,YieldData!D:F,2,FALSE)</f>
        <v>2</v>
      </c>
      <c r="G416">
        <f>VLOOKUP($E416,YieldData!$D:$F,3,FALSE)</f>
        <v>4</v>
      </c>
      <c r="H416">
        <v>16</v>
      </c>
      <c r="I416" t="s">
        <v>27</v>
      </c>
      <c r="J416" t="s">
        <v>28</v>
      </c>
      <c r="K416" s="2">
        <v>2788.9178109999998</v>
      </c>
      <c r="L416" s="2">
        <v>11273924.41</v>
      </c>
      <c r="M416" s="3">
        <v>14828.605589999999</v>
      </c>
      <c r="N416" s="3">
        <v>34807929.810000002</v>
      </c>
      <c r="O416" s="4">
        <v>5.0394028E-2</v>
      </c>
      <c r="P416" s="4">
        <v>1.9205686999999999E-2</v>
      </c>
      <c r="Q416" s="5">
        <v>-3.8346554999999997E-2</v>
      </c>
      <c r="R416" s="5">
        <v>1.4329480000000001E-3</v>
      </c>
      <c r="S416" s="6">
        <v>0.23584006900000001</v>
      </c>
      <c r="T416" s="6">
        <v>3.3615817999999999E-2</v>
      </c>
      <c r="U416" s="7">
        <v>0.133853944</v>
      </c>
      <c r="V416" s="7">
        <v>0.11593706600000001</v>
      </c>
      <c r="W416" s="8">
        <v>0.90167180199999997</v>
      </c>
      <c r="X416" s="8">
        <v>8.8659763000000003E-2</v>
      </c>
      <c r="Y416" s="2">
        <v>39</v>
      </c>
      <c r="Z416" s="2">
        <f>VLOOKUP(E416,YieldData!T:U,2,FALSE)</f>
        <v>2760</v>
      </c>
      <c r="AA416">
        <f t="shared" si="12"/>
        <v>0.61340273771437603</v>
      </c>
    </row>
    <row r="417" spans="1:27" hidden="1" x14ac:dyDescent="0.25">
      <c r="A417">
        <v>213</v>
      </c>
      <c r="B417">
        <v>302</v>
      </c>
      <c r="C417" t="s">
        <v>26</v>
      </c>
      <c r="D417">
        <v>25104</v>
      </c>
      <c r="E417">
        <f t="shared" si="13"/>
        <v>25104302</v>
      </c>
      <c r="F417">
        <f>VLOOKUP(E417,YieldData!D:F,2,FALSE)</f>
        <v>4</v>
      </c>
      <c r="G417">
        <f>VLOOKUP($E417,YieldData!$D:$F,3,FALSE)</f>
        <v>4</v>
      </c>
      <c r="H417">
        <v>16</v>
      </c>
      <c r="I417" t="s">
        <v>27</v>
      </c>
      <c r="J417" t="s">
        <v>28</v>
      </c>
      <c r="K417" s="2">
        <v>3400.31351</v>
      </c>
      <c r="L417" s="2">
        <v>13197053.869999999</v>
      </c>
      <c r="M417" s="3">
        <v>13884.46753</v>
      </c>
      <c r="N417" s="3">
        <v>41111075</v>
      </c>
      <c r="O417" s="4">
        <v>7.0957345000000005E-2</v>
      </c>
      <c r="P417" s="4">
        <v>2.6677486E-2</v>
      </c>
      <c r="Q417" s="5">
        <v>-3.2574394E-2</v>
      </c>
      <c r="R417" s="5">
        <v>1.815203E-3</v>
      </c>
      <c r="S417" s="6">
        <v>0.26275116300000001</v>
      </c>
      <c r="T417" s="6">
        <v>4.4386712000000002E-2</v>
      </c>
      <c r="U417" s="7">
        <v>0.16484384499999999</v>
      </c>
      <c r="V417" s="7">
        <v>0.137670352</v>
      </c>
      <c r="W417" s="8">
        <v>0.76704352600000003</v>
      </c>
      <c r="X417" s="8">
        <v>0.178687755</v>
      </c>
      <c r="Y417" s="2">
        <v>32</v>
      </c>
      <c r="Z417" s="2">
        <f>VLOOKUP(E417,YieldData!T:U,2,FALSE)</f>
        <v>2118</v>
      </c>
      <c r="AA417">
        <f t="shared" si="12"/>
        <v>0.63668411912937894</v>
      </c>
    </row>
    <row r="418" spans="1:27" hidden="1" x14ac:dyDescent="0.25">
      <c r="A418">
        <v>214</v>
      </c>
      <c r="B418">
        <v>303</v>
      </c>
      <c r="C418" t="s">
        <v>26</v>
      </c>
      <c r="D418" t="s">
        <v>100</v>
      </c>
      <c r="E418" t="e">
        <f t="shared" si="13"/>
        <v>#VALUE!</v>
      </c>
      <c r="H418">
        <v>16</v>
      </c>
      <c r="I418" t="s">
        <v>27</v>
      </c>
      <c r="J418" t="s">
        <v>28</v>
      </c>
      <c r="K418" s="2">
        <v>3232.0756280000001</v>
      </c>
      <c r="L418" s="2">
        <v>14240787.460000001</v>
      </c>
      <c r="M418" s="3">
        <v>14953.146049999999</v>
      </c>
      <c r="N418" s="3">
        <v>39862362.579999998</v>
      </c>
      <c r="O418" s="4">
        <v>4.7172349000000002E-2</v>
      </c>
      <c r="P418" s="4">
        <v>2.2493823999999999E-2</v>
      </c>
      <c r="Q418" s="5">
        <v>-4.1116382999999999E-2</v>
      </c>
      <c r="R418" s="5">
        <v>1.703991E-3</v>
      </c>
      <c r="S418" s="6">
        <v>0.237382764</v>
      </c>
      <c r="T418" s="6">
        <v>3.9033331999999997E-2</v>
      </c>
      <c r="U418" s="7">
        <v>0.14158498999999999</v>
      </c>
      <c r="V418" s="7">
        <v>0.121538681</v>
      </c>
      <c r="W418" s="8">
        <v>0.830643511</v>
      </c>
      <c r="X418" s="8">
        <v>0.14067486800000001</v>
      </c>
      <c r="Y418" s="2">
        <v>37</v>
      </c>
      <c r="Z418" s="2" t="e">
        <f>VLOOKUP(E418,YieldData!T:U,2,FALSE)</f>
        <v>#VALUE!</v>
      </c>
      <c r="AA418">
        <f t="shared" si="12"/>
        <v>0.913534329143595</v>
      </c>
    </row>
    <row r="419" spans="1:27" hidden="1" x14ac:dyDescent="0.25">
      <c r="A419">
        <v>215</v>
      </c>
      <c r="B419">
        <v>304</v>
      </c>
      <c r="C419" t="s">
        <v>26</v>
      </c>
      <c r="D419" t="s">
        <v>100</v>
      </c>
      <c r="E419" t="e">
        <f t="shared" si="13"/>
        <v>#VALUE!</v>
      </c>
      <c r="H419">
        <v>16</v>
      </c>
      <c r="I419" t="s">
        <v>27</v>
      </c>
      <c r="J419" t="s">
        <v>28</v>
      </c>
      <c r="K419" s="2">
        <v>2996.488844</v>
      </c>
      <c r="L419" s="2">
        <v>13969763.890000001</v>
      </c>
      <c r="M419" s="3">
        <v>15200.385920000001</v>
      </c>
      <c r="N419" s="3">
        <v>38815526.57</v>
      </c>
      <c r="O419" s="4">
        <v>3.9858432999999999E-2</v>
      </c>
      <c r="P419" s="4">
        <v>1.9718785999999999E-2</v>
      </c>
      <c r="Q419" s="5">
        <v>-4.2742190999999999E-2</v>
      </c>
      <c r="R419" s="5">
        <v>1.5765009999999999E-3</v>
      </c>
      <c r="S419" s="6">
        <v>0.23185361199999999</v>
      </c>
      <c r="T419" s="6">
        <v>3.6409547E-2</v>
      </c>
      <c r="U419" s="7">
        <v>0.144918821</v>
      </c>
      <c r="V419" s="7">
        <v>0.12391735700000001</v>
      </c>
      <c r="W419" s="8">
        <v>0.96044508299999998</v>
      </c>
      <c r="X419" s="8">
        <v>3.7990325999999998E-2</v>
      </c>
      <c r="Y419" s="2">
        <v>60</v>
      </c>
      <c r="Z419" s="2" t="e">
        <f>VLOOKUP(E419,YieldData!T:U,2,FALSE)</f>
        <v>#VALUE!</v>
      </c>
      <c r="AA419">
        <f t="shared" si="12"/>
        <v>0.913534329143595</v>
      </c>
    </row>
    <row r="420" spans="1:27" hidden="1" x14ac:dyDescent="0.25">
      <c r="A420">
        <v>216</v>
      </c>
      <c r="B420">
        <v>305</v>
      </c>
      <c r="C420" t="s">
        <v>26</v>
      </c>
      <c r="D420" t="s">
        <v>100</v>
      </c>
      <c r="E420" t="e">
        <f t="shared" si="13"/>
        <v>#VALUE!</v>
      </c>
      <c r="H420">
        <v>16</v>
      </c>
      <c r="I420" t="s">
        <v>27</v>
      </c>
      <c r="J420" t="s">
        <v>28</v>
      </c>
      <c r="K420" s="2">
        <v>3402.509446</v>
      </c>
      <c r="L420" s="2">
        <v>24462557.84</v>
      </c>
      <c r="M420" s="3">
        <v>14306.74244</v>
      </c>
      <c r="N420" s="3">
        <v>45142871.090000004</v>
      </c>
      <c r="O420" s="4">
        <v>5.2617975999999997E-2</v>
      </c>
      <c r="P420" s="4">
        <v>2.2553555999999999E-2</v>
      </c>
      <c r="Q420" s="5">
        <v>-3.8888178000000002E-2</v>
      </c>
      <c r="R420" s="5">
        <v>1.477234E-3</v>
      </c>
      <c r="S420" s="6">
        <v>0.25125652900000001</v>
      </c>
      <c r="T420" s="6">
        <v>4.4863948000000001E-2</v>
      </c>
      <c r="U420" s="7">
        <v>0.17247910899999999</v>
      </c>
      <c r="V420" s="7">
        <v>0.14273006599999999</v>
      </c>
      <c r="W420" s="8">
        <v>0.91242920900000002</v>
      </c>
      <c r="X420" s="8">
        <v>7.9902147000000007E-2</v>
      </c>
      <c r="Y420" s="2">
        <v>47</v>
      </c>
      <c r="Z420" s="2" t="e">
        <f>VLOOKUP(E420,YieldData!T:U,2,FALSE)</f>
        <v>#VALUE!</v>
      </c>
      <c r="AA420">
        <f t="shared" si="12"/>
        <v>0.913534329143595</v>
      </c>
    </row>
    <row r="421" spans="1:27" hidden="1" x14ac:dyDescent="0.25">
      <c r="A421">
        <v>217</v>
      </c>
      <c r="B421">
        <v>306</v>
      </c>
      <c r="C421" t="s">
        <v>26</v>
      </c>
      <c r="D421" t="s">
        <v>100</v>
      </c>
      <c r="E421" t="e">
        <f t="shared" si="13"/>
        <v>#VALUE!</v>
      </c>
      <c r="H421">
        <v>16</v>
      </c>
      <c r="I421" t="s">
        <v>27</v>
      </c>
      <c r="J421" t="s">
        <v>28</v>
      </c>
      <c r="K421" s="2">
        <v>3653.8737489999999</v>
      </c>
      <c r="L421" s="2">
        <v>31093952.07</v>
      </c>
      <c r="M421" s="3">
        <v>13705.91812</v>
      </c>
      <c r="N421" s="3">
        <v>40906424.210000001</v>
      </c>
      <c r="O421" s="4">
        <v>5.7043450000000002E-2</v>
      </c>
      <c r="P421" s="4">
        <v>2.1401409E-2</v>
      </c>
      <c r="Q421" s="5">
        <v>-4.1556412000000001E-2</v>
      </c>
      <c r="R421" s="5">
        <v>1.4625459999999999E-3</v>
      </c>
      <c r="S421" s="6">
        <v>0.25938135400000001</v>
      </c>
      <c r="T421" s="6">
        <v>4.3325149E-2</v>
      </c>
      <c r="U421" s="7">
        <v>0.17650005599999999</v>
      </c>
      <c r="V421" s="7">
        <v>0.14534778600000001</v>
      </c>
      <c r="W421" s="8">
        <v>0.85898141299999997</v>
      </c>
      <c r="X421" s="8">
        <v>0.121132345</v>
      </c>
      <c r="Y421" s="2">
        <v>49</v>
      </c>
      <c r="Z421" s="2" t="e">
        <f>VLOOKUP(E421,YieldData!T:U,2,FALSE)</f>
        <v>#VALUE!</v>
      </c>
      <c r="AA421">
        <f t="shared" si="12"/>
        <v>0.913534329143595</v>
      </c>
    </row>
    <row r="422" spans="1:27" hidden="1" x14ac:dyDescent="0.25">
      <c r="A422">
        <v>218</v>
      </c>
      <c r="B422">
        <v>307</v>
      </c>
      <c r="C422" t="s">
        <v>26</v>
      </c>
      <c r="D422" t="s">
        <v>100</v>
      </c>
      <c r="E422" t="e">
        <f t="shared" si="13"/>
        <v>#VALUE!</v>
      </c>
      <c r="H422">
        <v>16</v>
      </c>
      <c r="I422" t="s">
        <v>27</v>
      </c>
      <c r="J422" t="s">
        <v>28</v>
      </c>
      <c r="K422" s="2">
        <v>3219.4306900000001</v>
      </c>
      <c r="L422" s="2">
        <v>26346298.07</v>
      </c>
      <c r="M422" s="3">
        <v>13765.163339999999</v>
      </c>
      <c r="N422" s="3">
        <v>36073642.270000003</v>
      </c>
      <c r="O422" s="4">
        <v>3.8676345000000001E-2</v>
      </c>
      <c r="P422" s="4">
        <v>1.9091592000000001E-2</v>
      </c>
      <c r="Q422" s="5">
        <v>-4.4907282999999999E-2</v>
      </c>
      <c r="R422" s="5">
        <v>1.6895899999999999E-3</v>
      </c>
      <c r="S422" s="6">
        <v>0.236539678</v>
      </c>
      <c r="T422" s="6">
        <v>3.8115824E-2</v>
      </c>
      <c r="U422" s="7">
        <v>0.14027123599999999</v>
      </c>
      <c r="V422" s="7">
        <v>0.120595217</v>
      </c>
      <c r="W422" s="8">
        <v>0.85600887699999995</v>
      </c>
      <c r="X422" s="8">
        <v>0.12325767999999999</v>
      </c>
      <c r="Y422" s="2">
        <v>44</v>
      </c>
      <c r="Z422" s="2" t="e">
        <f>VLOOKUP(E422,YieldData!T:U,2,FALSE)</f>
        <v>#VALUE!</v>
      </c>
      <c r="AA422">
        <f t="shared" si="12"/>
        <v>0.913534329143595</v>
      </c>
    </row>
    <row r="423" spans="1:27" hidden="1" x14ac:dyDescent="0.25">
      <c r="A423">
        <v>219</v>
      </c>
      <c r="B423">
        <v>308</v>
      </c>
      <c r="C423" t="s">
        <v>26</v>
      </c>
      <c r="D423" t="s">
        <v>100</v>
      </c>
      <c r="E423" t="e">
        <f t="shared" si="13"/>
        <v>#VALUE!</v>
      </c>
      <c r="H423">
        <v>16</v>
      </c>
      <c r="I423" t="s">
        <v>27</v>
      </c>
      <c r="J423" t="s">
        <v>28</v>
      </c>
      <c r="K423" s="2">
        <v>3708.3111840000001</v>
      </c>
      <c r="L423" s="2">
        <v>40827206.560000002</v>
      </c>
      <c r="M423" s="3">
        <v>12440.94139</v>
      </c>
      <c r="N423" s="3">
        <v>43133150.619999997</v>
      </c>
      <c r="O423" s="4">
        <v>6.6520424999999994E-2</v>
      </c>
      <c r="P423" s="4">
        <v>2.1460845999999999E-2</v>
      </c>
      <c r="Q423" s="5">
        <v>-4.0268455000000002E-2</v>
      </c>
      <c r="R423" s="5">
        <v>1.9863039999999999E-3</v>
      </c>
      <c r="S423" s="6">
        <v>0.27324821599999999</v>
      </c>
      <c r="T423" s="6">
        <v>4.6841659000000001E-2</v>
      </c>
      <c r="U423" s="7">
        <v>0.18669635400000001</v>
      </c>
      <c r="V423" s="7">
        <v>0.15184082500000001</v>
      </c>
      <c r="W423" s="8">
        <v>0.65551967499999997</v>
      </c>
      <c r="X423" s="8">
        <v>0.22581363099999999</v>
      </c>
      <c r="Y423" s="2">
        <v>21</v>
      </c>
      <c r="Z423" s="2" t="e">
        <f>VLOOKUP(E423,YieldData!T:U,2,FALSE)</f>
        <v>#VALUE!</v>
      </c>
      <c r="AA423">
        <f t="shared" si="12"/>
        <v>0.913534329143595</v>
      </c>
    </row>
    <row r="424" spans="1:27" hidden="1" x14ac:dyDescent="0.25">
      <c r="A424">
        <v>220</v>
      </c>
      <c r="B424">
        <v>309</v>
      </c>
      <c r="C424" t="s">
        <v>26</v>
      </c>
      <c r="D424" t="s">
        <v>100</v>
      </c>
      <c r="E424" t="e">
        <f t="shared" si="13"/>
        <v>#VALUE!</v>
      </c>
      <c r="H424">
        <v>16</v>
      </c>
      <c r="I424" t="s">
        <v>27</v>
      </c>
      <c r="J424" t="s">
        <v>28</v>
      </c>
      <c r="K424" s="2">
        <v>3944.1556919999998</v>
      </c>
      <c r="L424" s="2">
        <v>38360033.68</v>
      </c>
      <c r="M424" s="3">
        <v>11768.319939999999</v>
      </c>
      <c r="N424" s="3">
        <v>41478252.579999998</v>
      </c>
      <c r="O424" s="4">
        <v>8.7280937000000003E-2</v>
      </c>
      <c r="P424" s="4">
        <v>2.1875735E-2</v>
      </c>
      <c r="Q424" s="5">
        <v>-3.3949786000000003E-2</v>
      </c>
      <c r="R424" s="5">
        <v>1.9435089999999999E-3</v>
      </c>
      <c r="S424" s="6">
        <v>0.29350144900000003</v>
      </c>
      <c r="T424" s="6">
        <v>4.6804245000000001E-2</v>
      </c>
      <c r="U424" s="7">
        <v>0.203928729</v>
      </c>
      <c r="V424" s="7">
        <v>0.16234180200000001</v>
      </c>
      <c r="W424" s="8">
        <v>0.80148282400000004</v>
      </c>
      <c r="X424" s="8">
        <v>0.159108107</v>
      </c>
      <c r="Y424" s="2">
        <v>29</v>
      </c>
      <c r="Z424" s="2" t="e">
        <f>VLOOKUP(E424,YieldData!T:U,2,FALSE)</f>
        <v>#VALUE!</v>
      </c>
      <c r="AA424">
        <f t="shared" si="12"/>
        <v>0.913534329143595</v>
      </c>
    </row>
    <row r="425" spans="1:27" hidden="1" x14ac:dyDescent="0.25">
      <c r="A425">
        <v>203</v>
      </c>
      <c r="B425">
        <v>401</v>
      </c>
      <c r="C425" t="s">
        <v>26</v>
      </c>
      <c r="D425">
        <v>25105</v>
      </c>
      <c r="E425">
        <f t="shared" si="13"/>
        <v>25105401</v>
      </c>
      <c r="F425">
        <f>VLOOKUP(E425,YieldData!D:F,2,FALSE)</f>
        <v>1</v>
      </c>
      <c r="G425">
        <f>VLOOKUP($E425,YieldData!$D:$F,3,FALSE)</f>
        <v>1</v>
      </c>
      <c r="H425">
        <v>16</v>
      </c>
      <c r="I425" t="s">
        <v>27</v>
      </c>
      <c r="J425" t="s">
        <v>28</v>
      </c>
      <c r="K425" s="2">
        <v>4384.3600049999995</v>
      </c>
      <c r="L425" s="2">
        <v>43214660.25</v>
      </c>
      <c r="M425" s="3">
        <v>13340.806420000001</v>
      </c>
      <c r="N425" s="3">
        <v>49852595.020000003</v>
      </c>
      <c r="O425" s="4">
        <v>7.6521020999999995E-2</v>
      </c>
      <c r="P425" s="4">
        <v>2.4156046E-2</v>
      </c>
      <c r="Q425" s="5">
        <v>-3.1828624999999999E-2</v>
      </c>
      <c r="R425" s="5">
        <v>1.8370870000000001E-3</v>
      </c>
      <c r="S425" s="6">
        <v>0.277130877</v>
      </c>
      <c r="T425" s="6">
        <v>4.7993653999999997E-2</v>
      </c>
      <c r="U425" s="7">
        <v>0.19285972700000001</v>
      </c>
      <c r="V425" s="7">
        <v>0.15566485299999999</v>
      </c>
      <c r="W425" s="8">
        <v>0.83091837499999999</v>
      </c>
      <c r="X425" s="8">
        <v>0.14049302899999999</v>
      </c>
      <c r="Y425" s="2">
        <v>36</v>
      </c>
      <c r="Z425" s="2">
        <f>VLOOKUP(E425,YieldData!T:U,2,FALSE)</f>
        <v>622</v>
      </c>
      <c r="AA425">
        <f t="shared" si="12"/>
        <v>0.49484830026309301</v>
      </c>
    </row>
    <row r="426" spans="1:27" hidden="1" x14ac:dyDescent="0.25">
      <c r="A426">
        <v>204</v>
      </c>
      <c r="B426">
        <v>402</v>
      </c>
      <c r="C426" t="s">
        <v>26</v>
      </c>
      <c r="D426">
        <v>25105</v>
      </c>
      <c r="E426">
        <f t="shared" si="13"/>
        <v>25105402</v>
      </c>
      <c r="H426">
        <v>16</v>
      </c>
      <c r="I426" t="s">
        <v>27</v>
      </c>
      <c r="J426" t="s">
        <v>28</v>
      </c>
      <c r="K426" s="2">
        <v>8924.8401620000004</v>
      </c>
      <c r="L426" s="2">
        <v>87601535.340000004</v>
      </c>
      <c r="M426" s="3">
        <v>10266.28671</v>
      </c>
      <c r="N426" s="3">
        <v>77975721.099999994</v>
      </c>
      <c r="O426" s="4">
        <v>0.14721642700000001</v>
      </c>
      <c r="P426" s="4">
        <v>3.2557066000000003E-2</v>
      </c>
      <c r="Q426" s="5">
        <v>-1.8578929000000001E-2</v>
      </c>
      <c r="R426" s="5">
        <v>2.3944639999999998E-3</v>
      </c>
      <c r="S426" s="6">
        <v>0.39340119299999998</v>
      </c>
      <c r="T426" s="6">
        <v>6.9387991999999996E-2</v>
      </c>
      <c r="U426" s="7">
        <v>0.36939059000000002</v>
      </c>
      <c r="V426" s="7">
        <v>0.232941182</v>
      </c>
      <c r="W426" s="8">
        <v>0.64351527399999997</v>
      </c>
      <c r="X426" s="8">
        <v>0.229403366</v>
      </c>
      <c r="Y426" s="2">
        <v>26</v>
      </c>
      <c r="Z426" s="2">
        <f>VLOOKUP(E426,YieldData!T:U,2,FALSE)</f>
        <v>0</v>
      </c>
      <c r="AA426">
        <f t="shared" si="12"/>
        <v>0.71958832461616296</v>
      </c>
    </row>
    <row r="427" spans="1:27" hidden="1" x14ac:dyDescent="0.25">
      <c r="A427">
        <v>205</v>
      </c>
      <c r="B427">
        <v>403</v>
      </c>
      <c r="C427" t="s">
        <v>26</v>
      </c>
      <c r="D427">
        <v>25105</v>
      </c>
      <c r="E427">
        <f t="shared" si="13"/>
        <v>25105403</v>
      </c>
      <c r="F427">
        <f>VLOOKUP(E427,YieldData!D:F,2,FALSE)</f>
        <v>3</v>
      </c>
      <c r="G427">
        <f>VLOOKUP($E427,YieldData!$D:$F,3,FALSE)</f>
        <v>1</v>
      </c>
      <c r="H427">
        <v>16</v>
      </c>
      <c r="I427" t="s">
        <v>27</v>
      </c>
      <c r="J427" t="s">
        <v>28</v>
      </c>
      <c r="K427" s="2">
        <v>7155.5762139999997</v>
      </c>
      <c r="L427" s="2">
        <v>66054941.219999999</v>
      </c>
      <c r="M427" s="3">
        <v>12997.308069999999</v>
      </c>
      <c r="N427" s="3">
        <v>78745129.489999995</v>
      </c>
      <c r="O427" s="4">
        <v>9.8329121000000005E-2</v>
      </c>
      <c r="P427" s="4">
        <v>3.2357746E-2</v>
      </c>
      <c r="Q427" s="5">
        <v>-3.0666901E-2</v>
      </c>
      <c r="R427" s="5">
        <v>2.5091409999999999E-3</v>
      </c>
      <c r="S427" s="6">
        <v>0.31921630699999998</v>
      </c>
      <c r="T427" s="6">
        <v>6.6714759999999998E-2</v>
      </c>
      <c r="U427" s="7">
        <v>0.27255523999999998</v>
      </c>
      <c r="V427" s="7">
        <v>0.19826888100000001</v>
      </c>
      <c r="W427" s="8">
        <v>0.68802851399999998</v>
      </c>
      <c r="X427" s="8">
        <v>0.21464527799999999</v>
      </c>
      <c r="Y427" s="2">
        <v>26</v>
      </c>
      <c r="Z427" s="2">
        <f>VLOOKUP(E427,YieldData!T:U,2,FALSE)</f>
        <v>361</v>
      </c>
      <c r="AA427">
        <f t="shared" si="12"/>
        <v>0.58725109131136799</v>
      </c>
    </row>
    <row r="428" spans="1:27" hidden="1" x14ac:dyDescent="0.25">
      <c r="A428">
        <v>206</v>
      </c>
      <c r="B428">
        <v>404</v>
      </c>
      <c r="C428" t="s">
        <v>26</v>
      </c>
      <c r="D428">
        <v>25105</v>
      </c>
      <c r="E428">
        <f t="shared" si="13"/>
        <v>25105404</v>
      </c>
      <c r="H428">
        <v>16</v>
      </c>
      <c r="I428" t="s">
        <v>27</v>
      </c>
      <c r="J428" t="s">
        <v>28</v>
      </c>
      <c r="K428" s="2">
        <v>6938.4894789999998</v>
      </c>
      <c r="L428" s="2">
        <v>58252991.829999998</v>
      </c>
      <c r="M428" s="3">
        <v>12020.86205</v>
      </c>
      <c r="N428" s="3">
        <v>62708804.219999999</v>
      </c>
      <c r="O428" s="4">
        <v>0.10684787599999999</v>
      </c>
      <c r="P428" s="4">
        <v>2.4649197000000001E-2</v>
      </c>
      <c r="Q428" s="5">
        <v>-2.6834462E-2</v>
      </c>
      <c r="R428" s="5">
        <v>2.254748E-3</v>
      </c>
      <c r="S428" s="6">
        <v>0.33011540499999997</v>
      </c>
      <c r="T428" s="6">
        <v>6.0131298E-2</v>
      </c>
      <c r="U428" s="7">
        <v>0.270029674</v>
      </c>
      <c r="V428" s="7">
        <v>0.197113649</v>
      </c>
      <c r="W428" s="8">
        <v>0.80429267199999999</v>
      </c>
      <c r="X428" s="8">
        <v>0.15740597000000001</v>
      </c>
      <c r="Y428" s="2">
        <v>31</v>
      </c>
      <c r="Z428" s="2">
        <f>VLOOKUP(E428,YieldData!T:U,2,FALSE)</f>
        <v>0</v>
      </c>
      <c r="AA428">
        <f t="shared" si="12"/>
        <v>0.65126375340867504</v>
      </c>
    </row>
    <row r="429" spans="1:27" hidden="1" x14ac:dyDescent="0.25">
      <c r="A429">
        <v>207</v>
      </c>
      <c r="B429">
        <v>405</v>
      </c>
      <c r="C429" t="s">
        <v>26</v>
      </c>
      <c r="D429">
        <v>25105</v>
      </c>
      <c r="E429">
        <f t="shared" si="13"/>
        <v>25105405</v>
      </c>
      <c r="H429">
        <v>16</v>
      </c>
      <c r="I429" t="s">
        <v>27</v>
      </c>
      <c r="J429" t="s">
        <v>28</v>
      </c>
      <c r="K429" s="2">
        <v>7937.9201880000001</v>
      </c>
      <c r="L429" s="2">
        <v>85927030.930000007</v>
      </c>
      <c r="M429" s="3">
        <v>11912.014010000001</v>
      </c>
      <c r="N429" s="3">
        <v>77862710.530000001</v>
      </c>
      <c r="O429" s="4">
        <v>0.10584760999999999</v>
      </c>
      <c r="P429" s="4">
        <v>3.0085849000000001E-2</v>
      </c>
      <c r="Q429" s="5">
        <v>-3.1235632999999999E-2</v>
      </c>
      <c r="R429" s="5">
        <v>1.8617900000000001E-3</v>
      </c>
      <c r="S429" s="6">
        <v>0.33396477000000002</v>
      </c>
      <c r="T429" s="6">
        <v>7.3581239000000007E-2</v>
      </c>
      <c r="U429" s="7">
        <v>0.29304681799999999</v>
      </c>
      <c r="V429" s="7">
        <v>0.20717038099999999</v>
      </c>
      <c r="W429" s="8">
        <v>0.58311206800000004</v>
      </c>
      <c r="X429" s="8">
        <v>0.24309238399999999</v>
      </c>
      <c r="Y429" s="2">
        <v>14</v>
      </c>
      <c r="Z429" s="2">
        <f>VLOOKUP(E429,YieldData!T:U,2,FALSE)</f>
        <v>0</v>
      </c>
      <c r="AA429">
        <f t="shared" si="12"/>
        <v>0.65411339799323098</v>
      </c>
    </row>
    <row r="430" spans="1:27" hidden="1" x14ac:dyDescent="0.25">
      <c r="A430">
        <v>208</v>
      </c>
      <c r="B430">
        <v>406</v>
      </c>
      <c r="C430" t="s">
        <v>26</v>
      </c>
      <c r="D430">
        <v>25105</v>
      </c>
      <c r="E430">
        <f t="shared" si="13"/>
        <v>25105406</v>
      </c>
      <c r="F430">
        <f>VLOOKUP(E430,YieldData!D:F,2,FALSE)</f>
        <v>3</v>
      </c>
      <c r="G430">
        <f>VLOOKUP($E430,YieldData!$D:$F,3,FALSE)</f>
        <v>2</v>
      </c>
      <c r="H430">
        <v>16</v>
      </c>
      <c r="I430" t="s">
        <v>27</v>
      </c>
      <c r="J430" t="s">
        <v>28</v>
      </c>
      <c r="K430" s="2">
        <v>8162.5785290000003</v>
      </c>
      <c r="L430" s="2">
        <v>88239895</v>
      </c>
      <c r="M430" s="3">
        <v>10358.39869</v>
      </c>
      <c r="N430" s="3">
        <v>67836273.150000006</v>
      </c>
      <c r="O430" s="4">
        <v>0.13213750699999999</v>
      </c>
      <c r="P430" s="4">
        <v>2.8735086E-2</v>
      </c>
      <c r="Q430" s="5">
        <v>-2.6238096999999998E-2</v>
      </c>
      <c r="R430" s="5">
        <v>2.1040329999999999E-3</v>
      </c>
      <c r="S430" s="6">
        <v>0.36278707399999999</v>
      </c>
      <c r="T430" s="6">
        <v>6.529749E-2</v>
      </c>
      <c r="U430" s="7">
        <v>0.31388811599999999</v>
      </c>
      <c r="V430" s="7">
        <v>0.215362367</v>
      </c>
      <c r="W430" s="8">
        <v>0.88283698099999997</v>
      </c>
      <c r="X430" s="8">
        <v>0.103435846</v>
      </c>
      <c r="Y430" s="2">
        <v>40</v>
      </c>
      <c r="Z430" s="2">
        <f>VLOOKUP(E430,YieldData!T:U,2,FALSE)</f>
        <v>604</v>
      </c>
      <c r="AA430">
        <f t="shared" si="12"/>
        <v>0.63115597120237299</v>
      </c>
    </row>
    <row r="431" spans="1:27" hidden="1" x14ac:dyDescent="0.25">
      <c r="A431">
        <v>209</v>
      </c>
      <c r="B431">
        <v>407</v>
      </c>
      <c r="C431" t="s">
        <v>26</v>
      </c>
      <c r="D431">
        <v>25105</v>
      </c>
      <c r="E431">
        <f t="shared" si="13"/>
        <v>25105407</v>
      </c>
      <c r="F431">
        <f>VLOOKUP(E431,YieldData!D:F,2,FALSE)</f>
        <v>2</v>
      </c>
      <c r="G431">
        <f>VLOOKUP($E431,YieldData!$D:$F,3,FALSE)</f>
        <v>2</v>
      </c>
      <c r="H431">
        <v>16</v>
      </c>
      <c r="I431" t="s">
        <v>27</v>
      </c>
      <c r="J431" t="s">
        <v>28</v>
      </c>
      <c r="K431" s="2">
        <v>7692.2360939999999</v>
      </c>
      <c r="L431" s="2">
        <v>91900483.760000005</v>
      </c>
      <c r="M431" s="3">
        <v>11424.48028</v>
      </c>
      <c r="N431" s="3">
        <v>74887743.099999994</v>
      </c>
      <c r="O431" s="4">
        <v>0.101211649</v>
      </c>
      <c r="P431" s="4">
        <v>2.7340077000000001E-2</v>
      </c>
      <c r="Q431" s="5">
        <v>-3.5648808999999997E-2</v>
      </c>
      <c r="R431" s="5">
        <v>2.1204399999999999E-3</v>
      </c>
      <c r="S431" s="6">
        <v>0.33388709700000002</v>
      </c>
      <c r="T431" s="6">
        <v>6.7410805000000004E-2</v>
      </c>
      <c r="U431" s="7">
        <v>0.29430629000000003</v>
      </c>
      <c r="V431" s="7">
        <v>0.20769009799999999</v>
      </c>
      <c r="W431" s="8">
        <v>0.61969242700000005</v>
      </c>
      <c r="X431" s="8">
        <v>0.235673723</v>
      </c>
      <c r="Y431" s="2">
        <v>15</v>
      </c>
      <c r="Z431" s="2">
        <f>VLOOKUP(E431,YieldData!T:U,2,FALSE)</f>
        <v>1430</v>
      </c>
      <c r="AA431">
        <f t="shared" si="12"/>
        <v>0.63048314552401197</v>
      </c>
    </row>
    <row r="432" spans="1:27" hidden="1" x14ac:dyDescent="0.25">
      <c r="A432">
        <v>210</v>
      </c>
      <c r="B432">
        <v>408</v>
      </c>
      <c r="C432" t="s">
        <v>26</v>
      </c>
      <c r="D432">
        <v>25105</v>
      </c>
      <c r="E432">
        <f t="shared" si="13"/>
        <v>25105408</v>
      </c>
      <c r="F432">
        <f>VLOOKUP(E432,YieldData!D:F,2,FALSE)</f>
        <v>4</v>
      </c>
      <c r="G432">
        <f>VLOOKUP($E432,YieldData!$D:$F,3,FALSE)</f>
        <v>2</v>
      </c>
      <c r="H432">
        <v>16</v>
      </c>
      <c r="I432" t="s">
        <v>27</v>
      </c>
      <c r="J432" t="s">
        <v>28</v>
      </c>
      <c r="K432" s="2">
        <v>6643.059201</v>
      </c>
      <c r="L432" s="2">
        <v>82117001.480000004</v>
      </c>
      <c r="M432" s="3">
        <v>11857.227650000001</v>
      </c>
      <c r="N432" s="3">
        <v>54602179.450000003</v>
      </c>
      <c r="O432" s="4">
        <v>8.0407220000000001E-2</v>
      </c>
      <c r="P432" s="4">
        <v>2.0428796999999999E-2</v>
      </c>
      <c r="Q432" s="5">
        <v>-4.0915277999999999E-2</v>
      </c>
      <c r="R432" s="5">
        <v>2.268946E-3</v>
      </c>
      <c r="S432" s="6">
        <v>0.301371008</v>
      </c>
      <c r="T432" s="6">
        <v>5.4328357000000001E-2</v>
      </c>
      <c r="U432" s="7">
        <v>0.244072136</v>
      </c>
      <c r="V432" s="7">
        <v>0.18450092900000001</v>
      </c>
      <c r="W432" s="8">
        <v>0.59151847099999999</v>
      </c>
      <c r="X432" s="8">
        <v>0.24162436900000001</v>
      </c>
      <c r="Y432" s="2">
        <v>19</v>
      </c>
      <c r="Z432" s="2">
        <f>VLOOKUP(E432,YieldData!T:U,2,FALSE)</f>
        <v>1144</v>
      </c>
      <c r="AA432">
        <f t="shared" si="12"/>
        <v>0.56772434249082104</v>
      </c>
    </row>
    <row r="433" spans="1:27" hidden="1" x14ac:dyDescent="0.25">
      <c r="A433">
        <v>211</v>
      </c>
      <c r="B433">
        <v>409</v>
      </c>
      <c r="C433" t="s">
        <v>26</v>
      </c>
      <c r="D433">
        <v>25105</v>
      </c>
      <c r="E433">
        <f t="shared" si="13"/>
        <v>25105409</v>
      </c>
      <c r="F433">
        <f>VLOOKUP(E433,YieldData!D:F,2,FALSE)</f>
        <v>1</v>
      </c>
      <c r="G433">
        <f>VLOOKUP($E433,YieldData!$D:$F,3,FALSE)</f>
        <v>2</v>
      </c>
      <c r="H433">
        <v>16</v>
      </c>
      <c r="I433" t="s">
        <v>27</v>
      </c>
      <c r="J433" t="s">
        <v>28</v>
      </c>
      <c r="K433" s="2">
        <v>6498.6075330000003</v>
      </c>
      <c r="L433" s="2">
        <v>74052849.530000001</v>
      </c>
      <c r="M433" s="3">
        <v>10346.53642</v>
      </c>
      <c r="N433" s="3">
        <v>52932760.590000004</v>
      </c>
      <c r="O433" s="4">
        <v>0.12098842999999999</v>
      </c>
      <c r="P433" s="4">
        <v>2.4262187000000001E-2</v>
      </c>
      <c r="Q433" s="5">
        <v>-2.7635778E-2</v>
      </c>
      <c r="R433" s="5">
        <v>2.7078340000000001E-3</v>
      </c>
      <c r="S433" s="6">
        <v>0.34158128999999998</v>
      </c>
      <c r="T433" s="6">
        <v>5.847405E-2</v>
      </c>
      <c r="U433" s="7">
        <v>0.285921443</v>
      </c>
      <c r="V433" s="7">
        <v>0.20417037099999999</v>
      </c>
      <c r="W433" s="8">
        <v>0.71314573699999995</v>
      </c>
      <c r="X433" s="8">
        <v>0.204568895</v>
      </c>
      <c r="Y433" s="2">
        <v>26</v>
      </c>
      <c r="Z433" s="2">
        <f>VLOOKUP(E433,YieldData!T:U,2,FALSE)</f>
        <v>840</v>
      </c>
      <c r="AA433">
        <f t="shared" si="12"/>
        <v>0.690714247005907</v>
      </c>
    </row>
    <row r="434" spans="1:27" hidden="1" x14ac:dyDescent="0.25">
      <c r="A434">
        <v>194</v>
      </c>
      <c r="B434">
        <v>501</v>
      </c>
      <c r="C434" t="s">
        <v>26</v>
      </c>
      <c r="D434">
        <v>25105</v>
      </c>
      <c r="E434">
        <f t="shared" si="13"/>
        <v>25105501</v>
      </c>
      <c r="H434">
        <v>16</v>
      </c>
      <c r="I434" t="s">
        <v>27</v>
      </c>
      <c r="J434" t="s">
        <v>28</v>
      </c>
      <c r="K434" s="2">
        <v>6521.1525330000004</v>
      </c>
      <c r="L434" s="2">
        <v>69892171.670000002</v>
      </c>
      <c r="M434" s="3">
        <v>11350.217909999999</v>
      </c>
      <c r="N434" s="3">
        <v>57775498.82</v>
      </c>
      <c r="O434" s="4">
        <v>0.13460335500000001</v>
      </c>
      <c r="P434" s="4">
        <v>2.3932960999999999E-2</v>
      </c>
      <c r="Q434" s="5">
        <v>-1.7097736999999998E-2</v>
      </c>
      <c r="R434" s="5">
        <v>1.8060859999999999E-3</v>
      </c>
      <c r="S434" s="6">
        <v>0.35325615500000002</v>
      </c>
      <c r="T434" s="6">
        <v>5.4844341999999997E-2</v>
      </c>
      <c r="U434" s="7">
        <v>0.266670925</v>
      </c>
      <c r="V434" s="7">
        <v>0.195557543</v>
      </c>
      <c r="W434" s="8">
        <v>0.755774536</v>
      </c>
      <c r="X434" s="8">
        <v>0.18457938700000001</v>
      </c>
      <c r="Y434" s="2">
        <v>27</v>
      </c>
      <c r="Z434" s="2">
        <f>VLOOKUP(E434,YieldData!T:U,2,FALSE)</f>
        <v>0</v>
      </c>
      <c r="AA434">
        <f t="shared" si="12"/>
        <v>0.64228367528992003</v>
      </c>
    </row>
    <row r="435" spans="1:27" hidden="1" x14ac:dyDescent="0.25">
      <c r="A435">
        <v>195</v>
      </c>
      <c r="B435">
        <v>502</v>
      </c>
      <c r="C435" t="s">
        <v>26</v>
      </c>
      <c r="D435">
        <v>25105</v>
      </c>
      <c r="E435">
        <f t="shared" si="13"/>
        <v>25105502</v>
      </c>
      <c r="F435">
        <f>VLOOKUP(E435,YieldData!D:F,2,FALSE)</f>
        <v>2</v>
      </c>
      <c r="G435">
        <f>VLOOKUP($E435,YieldData!$D:$F,3,FALSE)</f>
        <v>4</v>
      </c>
      <c r="H435">
        <v>16</v>
      </c>
      <c r="I435" t="s">
        <v>27</v>
      </c>
      <c r="J435" t="s">
        <v>28</v>
      </c>
      <c r="K435" s="2">
        <v>7029.0138450000004</v>
      </c>
      <c r="L435" s="2">
        <v>74070105.200000003</v>
      </c>
      <c r="M435" s="3">
        <v>12455.180490000001</v>
      </c>
      <c r="N435" s="3">
        <v>61880846.609999999</v>
      </c>
      <c r="O435" s="4">
        <v>0.108065314</v>
      </c>
      <c r="P435" s="4">
        <v>2.3166869E-2</v>
      </c>
      <c r="Q435" s="5">
        <v>-2.0989133E-2</v>
      </c>
      <c r="R435" s="5">
        <v>1.720584E-3</v>
      </c>
      <c r="S435" s="6">
        <v>0.32960153800000003</v>
      </c>
      <c r="T435" s="6">
        <v>5.5430137999999997E-2</v>
      </c>
      <c r="U435" s="7">
        <v>0.25320440700000002</v>
      </c>
      <c r="V435" s="7">
        <v>0.18909193599999999</v>
      </c>
      <c r="W435" s="8">
        <v>0.56030202399999995</v>
      </c>
      <c r="X435" s="8">
        <v>0.24636366600000001</v>
      </c>
      <c r="Y435" s="2">
        <v>18</v>
      </c>
      <c r="Z435" s="2">
        <f>VLOOKUP(E435,YieldData!T:U,2,FALSE)</f>
        <v>1109</v>
      </c>
      <c r="AA435">
        <f t="shared" si="12"/>
        <v>0.68266872833138004</v>
      </c>
    </row>
    <row r="436" spans="1:27" hidden="1" x14ac:dyDescent="0.25">
      <c r="A436">
        <v>196</v>
      </c>
      <c r="B436">
        <v>503</v>
      </c>
      <c r="C436" t="s">
        <v>26</v>
      </c>
      <c r="D436">
        <v>25105</v>
      </c>
      <c r="E436">
        <f t="shared" si="13"/>
        <v>25105503</v>
      </c>
      <c r="H436">
        <v>16</v>
      </c>
      <c r="I436" t="s">
        <v>27</v>
      </c>
      <c r="J436" t="s">
        <v>28</v>
      </c>
      <c r="K436" s="2">
        <v>7933.0366560000002</v>
      </c>
      <c r="L436" s="2">
        <v>71800502.790000007</v>
      </c>
      <c r="M436" s="3">
        <v>11802.339089999999</v>
      </c>
      <c r="N436" s="3">
        <v>69263030.430000007</v>
      </c>
      <c r="O436" s="4">
        <v>0.125017402</v>
      </c>
      <c r="P436" s="4">
        <v>2.5577521999999998E-2</v>
      </c>
      <c r="Q436" s="5">
        <v>-1.9829111999999999E-2</v>
      </c>
      <c r="R436" s="5">
        <v>2.0784520000000002E-3</v>
      </c>
      <c r="S436" s="6">
        <v>0.35377893999999999</v>
      </c>
      <c r="T436" s="6">
        <v>6.0123805000000002E-2</v>
      </c>
      <c r="U436" s="7">
        <v>0.29054689</v>
      </c>
      <c r="V436" s="7">
        <v>0.20612939499999999</v>
      </c>
      <c r="W436" s="8">
        <v>0.39522392899999997</v>
      </c>
      <c r="X436" s="8">
        <v>0.239021975</v>
      </c>
      <c r="Y436" s="2">
        <v>12</v>
      </c>
      <c r="Z436" s="2">
        <f>VLOOKUP(E436,YieldData!T:U,2,FALSE)</f>
        <v>0</v>
      </c>
      <c r="AA436">
        <f t="shared" si="12"/>
        <v>0.66826877768353599</v>
      </c>
    </row>
    <row r="437" spans="1:27" hidden="1" x14ac:dyDescent="0.25">
      <c r="A437">
        <v>197</v>
      </c>
      <c r="B437">
        <v>504</v>
      </c>
      <c r="C437" t="s">
        <v>26</v>
      </c>
      <c r="D437">
        <v>25105</v>
      </c>
      <c r="E437">
        <f t="shared" si="13"/>
        <v>25105504</v>
      </c>
      <c r="F437">
        <f>VLOOKUP(E437,YieldData!D:F,2,FALSE)</f>
        <v>5</v>
      </c>
      <c r="G437">
        <f>VLOOKUP($E437,YieldData!$D:$F,3,FALSE)</f>
        <v>3</v>
      </c>
      <c r="H437">
        <v>16</v>
      </c>
      <c r="I437" t="s">
        <v>27</v>
      </c>
      <c r="J437" t="s">
        <v>28</v>
      </c>
      <c r="K437" s="2">
        <v>7252.1952140000003</v>
      </c>
      <c r="L437" s="2">
        <v>65978872.560000002</v>
      </c>
      <c r="M437" s="3">
        <v>12042.38975</v>
      </c>
      <c r="N437" s="3">
        <v>63736387.100000001</v>
      </c>
      <c r="O437" s="4">
        <v>0.111157306</v>
      </c>
      <c r="P437" s="4">
        <v>2.2890280999999998E-2</v>
      </c>
      <c r="Q437" s="5">
        <v>-2.2844091E-2</v>
      </c>
      <c r="R437" s="5">
        <v>2.077293E-3</v>
      </c>
      <c r="S437" s="6">
        <v>0.32875229</v>
      </c>
      <c r="T437" s="6">
        <v>5.8226352000000002E-2</v>
      </c>
      <c r="U437" s="7">
        <v>0.26753569199999999</v>
      </c>
      <c r="V437" s="7">
        <v>0.19596034600000001</v>
      </c>
      <c r="W437" s="8">
        <v>0.76824761500000005</v>
      </c>
      <c r="X437" s="8">
        <v>0.178043217</v>
      </c>
      <c r="Y437" s="2">
        <v>27</v>
      </c>
      <c r="Z437" s="2">
        <f>VLOOKUP(E437,YieldData!T:U,2,FALSE)</f>
        <v>1282</v>
      </c>
      <c r="AA437">
        <f t="shared" si="12"/>
        <v>0.77873237369762105</v>
      </c>
    </row>
    <row r="438" spans="1:27" hidden="1" x14ac:dyDescent="0.25">
      <c r="A438">
        <v>198</v>
      </c>
      <c r="B438">
        <v>505</v>
      </c>
      <c r="C438" t="s">
        <v>26</v>
      </c>
      <c r="D438">
        <v>25105</v>
      </c>
      <c r="E438">
        <f t="shared" si="13"/>
        <v>25105505</v>
      </c>
      <c r="F438">
        <f>VLOOKUP(E438,YieldData!D:F,2,FALSE)</f>
        <v>3</v>
      </c>
      <c r="G438">
        <f>VLOOKUP($E438,YieldData!$D:$F,3,FALSE)</f>
        <v>3</v>
      </c>
      <c r="H438">
        <v>16</v>
      </c>
      <c r="I438" t="s">
        <v>27</v>
      </c>
      <c r="J438" t="s">
        <v>28</v>
      </c>
      <c r="K438" s="2">
        <v>7372.3274570000003</v>
      </c>
      <c r="L438" s="2">
        <v>85185085.170000002</v>
      </c>
      <c r="M438" s="3">
        <v>12989.78204</v>
      </c>
      <c r="N438" s="3">
        <v>81055310.349999994</v>
      </c>
      <c r="O438" s="4">
        <v>0.101251616</v>
      </c>
      <c r="P438" s="4">
        <v>2.6895545999999999E-2</v>
      </c>
      <c r="Q438" s="5">
        <v>-2.7799903000000001E-2</v>
      </c>
      <c r="R438" s="5">
        <v>1.8158709999999999E-3</v>
      </c>
      <c r="S438" s="6">
        <v>0.314805524</v>
      </c>
      <c r="T438" s="6">
        <v>6.8664770999999999E-2</v>
      </c>
      <c r="U438" s="7">
        <v>0.27207969300000001</v>
      </c>
      <c r="V438" s="7">
        <v>0.198052334</v>
      </c>
      <c r="W438" s="8">
        <v>0.84315953099999996</v>
      </c>
      <c r="X438" s="8">
        <v>0.13224153599999999</v>
      </c>
      <c r="Y438" s="2">
        <v>34</v>
      </c>
      <c r="Z438" s="2">
        <f>VLOOKUP(E438,YieldData!T:U,2,FALSE)</f>
        <v>1252</v>
      </c>
      <c r="AA438">
        <f t="shared" si="12"/>
        <v>0.81420300949738</v>
      </c>
    </row>
    <row r="439" spans="1:27" hidden="1" x14ac:dyDescent="0.25">
      <c r="A439">
        <v>199</v>
      </c>
      <c r="B439">
        <v>506</v>
      </c>
      <c r="C439" t="s">
        <v>26</v>
      </c>
      <c r="D439">
        <v>25105</v>
      </c>
      <c r="E439">
        <f t="shared" si="13"/>
        <v>25105506</v>
      </c>
      <c r="F439">
        <f>VLOOKUP(E439,YieldData!D:F,2,FALSE)</f>
        <v>1</v>
      </c>
      <c r="G439">
        <f>VLOOKUP($E439,YieldData!$D:$F,3,FALSE)</f>
        <v>3</v>
      </c>
      <c r="H439">
        <v>16</v>
      </c>
      <c r="I439" t="s">
        <v>27</v>
      </c>
      <c r="J439" t="s">
        <v>28</v>
      </c>
      <c r="K439" s="2">
        <v>7772.5013520000002</v>
      </c>
      <c r="L439" s="2">
        <v>82510693.730000004</v>
      </c>
      <c r="M439" s="3">
        <v>11144.8711</v>
      </c>
      <c r="N439" s="3">
        <v>66482156.460000001</v>
      </c>
      <c r="O439" s="4">
        <v>0.119229821</v>
      </c>
      <c r="P439" s="4">
        <v>2.6184461999999999E-2</v>
      </c>
      <c r="Q439" s="5">
        <v>-2.6003459999999999E-2</v>
      </c>
      <c r="R439" s="5">
        <v>2.0247799999999999E-3</v>
      </c>
      <c r="S439" s="6">
        <v>0.34812022599999998</v>
      </c>
      <c r="T439" s="6">
        <v>6.2683974000000003E-2</v>
      </c>
      <c r="U439" s="7">
        <v>0.28487142399999998</v>
      </c>
      <c r="V439" s="7">
        <v>0.20371969600000001</v>
      </c>
      <c r="W439" s="8">
        <v>0.59704116500000004</v>
      </c>
      <c r="X439" s="8">
        <v>0.24058301200000001</v>
      </c>
      <c r="Y439" s="2">
        <v>19</v>
      </c>
      <c r="Z439" s="2">
        <f>VLOOKUP(E439,YieldData!T:U,2,FALSE)</f>
        <v>1552</v>
      </c>
      <c r="AA439">
        <f t="shared" si="12"/>
        <v>0.75781857322250801</v>
      </c>
    </row>
    <row r="440" spans="1:27" hidden="1" x14ac:dyDescent="0.25">
      <c r="A440">
        <v>200</v>
      </c>
      <c r="B440">
        <v>507</v>
      </c>
      <c r="C440" t="s">
        <v>26</v>
      </c>
      <c r="D440">
        <v>25105</v>
      </c>
      <c r="E440">
        <f t="shared" si="13"/>
        <v>25105507</v>
      </c>
      <c r="F440">
        <f>VLOOKUP(E440,YieldData!D:F,2,FALSE)</f>
        <v>2</v>
      </c>
      <c r="G440">
        <f>VLOOKUP($E440,YieldData!$D:$F,3,FALSE)</f>
        <v>3</v>
      </c>
      <c r="H440">
        <v>16</v>
      </c>
      <c r="I440" t="s">
        <v>27</v>
      </c>
      <c r="J440" t="s">
        <v>28</v>
      </c>
      <c r="K440" s="2">
        <v>8901.3840500000006</v>
      </c>
      <c r="L440" s="2">
        <v>111693451.2</v>
      </c>
      <c r="M440" s="3">
        <v>10914.20508</v>
      </c>
      <c r="N440" s="3">
        <v>80515780.019999996</v>
      </c>
      <c r="O440" s="4">
        <v>0.117165353</v>
      </c>
      <c r="P440" s="4">
        <v>2.6711149999999999E-2</v>
      </c>
      <c r="Q440" s="5">
        <v>-3.1931804000000001E-2</v>
      </c>
      <c r="R440" s="5">
        <v>2.172888E-3</v>
      </c>
      <c r="S440" s="6">
        <v>0.35977082100000002</v>
      </c>
      <c r="T440" s="6">
        <v>7.1329940999999994E-2</v>
      </c>
      <c r="U440" s="7">
        <v>0.32697879200000002</v>
      </c>
      <c r="V440" s="7">
        <v>0.22006366199999999</v>
      </c>
      <c r="W440" s="8">
        <v>0.81945205499999996</v>
      </c>
      <c r="X440" s="8">
        <v>0.14795038499999999</v>
      </c>
      <c r="Y440" s="2">
        <v>33</v>
      </c>
      <c r="Z440" s="2">
        <f>VLOOKUP(E440,YieldData!T:U,2,FALSE)</f>
        <v>1595</v>
      </c>
      <c r="AA440">
        <f t="shared" si="12"/>
        <v>0.77628760709304601</v>
      </c>
    </row>
    <row r="441" spans="1:27" hidden="1" x14ac:dyDescent="0.25">
      <c r="A441">
        <v>201</v>
      </c>
      <c r="B441">
        <v>508</v>
      </c>
      <c r="C441" t="s">
        <v>26</v>
      </c>
      <c r="D441">
        <v>25105</v>
      </c>
      <c r="E441">
        <f t="shared" si="13"/>
        <v>25105508</v>
      </c>
      <c r="H441">
        <v>16</v>
      </c>
      <c r="I441" t="s">
        <v>27</v>
      </c>
      <c r="J441" t="s">
        <v>28</v>
      </c>
      <c r="K441" s="2">
        <v>7254.4576079999997</v>
      </c>
      <c r="L441" s="2">
        <v>91521648.859999999</v>
      </c>
      <c r="M441" s="3">
        <v>11916.89352</v>
      </c>
      <c r="N441" s="3">
        <v>61797006.170000002</v>
      </c>
      <c r="O441" s="4">
        <v>9.2372060000000006E-2</v>
      </c>
      <c r="P441" s="4">
        <v>2.1347527000000002E-2</v>
      </c>
      <c r="Q441" s="5">
        <v>-3.4831230999999997E-2</v>
      </c>
      <c r="R441" s="5">
        <v>2.3328569999999998E-3</v>
      </c>
      <c r="S441" s="6">
        <v>0.31873415500000002</v>
      </c>
      <c r="T441" s="6">
        <v>5.6495693999999999E-2</v>
      </c>
      <c r="U441" s="7">
        <v>0.25857079300000002</v>
      </c>
      <c r="V441" s="7">
        <v>0.191711938</v>
      </c>
      <c r="W441" s="8">
        <v>0.80133480000000001</v>
      </c>
      <c r="X441" s="8">
        <v>0.15919733799999999</v>
      </c>
      <c r="Y441" s="2">
        <v>29</v>
      </c>
      <c r="Z441" s="2">
        <f>VLOOKUP(E441,YieldData!T:U,2,FALSE)</f>
        <v>0</v>
      </c>
      <c r="AA441">
        <f t="shared" si="12"/>
        <v>0.68555196746800595</v>
      </c>
    </row>
    <row r="442" spans="1:27" hidden="1" x14ac:dyDescent="0.25">
      <c r="A442">
        <v>202</v>
      </c>
      <c r="B442">
        <v>509</v>
      </c>
      <c r="C442" t="s">
        <v>26</v>
      </c>
      <c r="D442">
        <v>25105</v>
      </c>
      <c r="E442">
        <f t="shared" si="13"/>
        <v>25105509</v>
      </c>
      <c r="H442">
        <v>16</v>
      </c>
      <c r="I442" t="s">
        <v>27</v>
      </c>
      <c r="J442" t="s">
        <v>28</v>
      </c>
      <c r="K442" s="2">
        <v>7418.1606620000002</v>
      </c>
      <c r="L442" s="2">
        <v>91072336.609999999</v>
      </c>
      <c r="M442" s="3">
        <v>10774.2991</v>
      </c>
      <c r="N442" s="3">
        <v>60848113.119999997</v>
      </c>
      <c r="O442" s="4">
        <v>0.132148656</v>
      </c>
      <c r="P442" s="4">
        <v>2.2139203E-2</v>
      </c>
      <c r="Q442" s="5">
        <v>-2.3583272999999998E-2</v>
      </c>
      <c r="R442" s="5">
        <v>2.364512E-3</v>
      </c>
      <c r="S442" s="6">
        <v>0.360539691</v>
      </c>
      <c r="T442" s="6">
        <v>5.8216255000000001E-2</v>
      </c>
      <c r="U442" s="7">
        <v>0.28787974500000002</v>
      </c>
      <c r="V442" s="7">
        <v>0.20500499699999999</v>
      </c>
      <c r="W442" s="8">
        <v>0.64752741300000005</v>
      </c>
      <c r="X442" s="8">
        <v>0.22823566200000001</v>
      </c>
      <c r="Y442" s="2">
        <v>24</v>
      </c>
      <c r="Z442" s="2">
        <f>VLOOKUP(E442,YieldData!T:U,2,FALSE)</f>
        <v>0</v>
      </c>
      <c r="AA442">
        <f t="shared" si="12"/>
        <v>0.85520816370840802</v>
      </c>
    </row>
    <row r="443" spans="1:27" hidden="1" x14ac:dyDescent="0.25">
      <c r="A443">
        <v>185</v>
      </c>
      <c r="B443">
        <v>601</v>
      </c>
      <c r="C443" t="s">
        <v>26</v>
      </c>
      <c r="D443">
        <v>25105</v>
      </c>
      <c r="E443">
        <f t="shared" si="13"/>
        <v>25105601</v>
      </c>
      <c r="F443">
        <f>VLOOKUP(E443,YieldData!D:F,2,FALSE)</f>
        <v>1</v>
      </c>
      <c r="G443">
        <f>VLOOKUP($E443,YieldData!$D:$F,3,FALSE)</f>
        <v>4</v>
      </c>
      <c r="H443">
        <v>16</v>
      </c>
      <c r="I443" t="s">
        <v>27</v>
      </c>
      <c r="J443" t="s">
        <v>28</v>
      </c>
      <c r="K443" s="2">
        <v>5798.5005369999999</v>
      </c>
      <c r="L443" s="2">
        <v>52367174.82</v>
      </c>
      <c r="M443" s="3">
        <v>12559.76058</v>
      </c>
      <c r="N443" s="3">
        <v>53618041.5</v>
      </c>
      <c r="O443" s="4">
        <v>0.11896407000000001</v>
      </c>
      <c r="P443" s="4">
        <v>2.1886142000000001E-2</v>
      </c>
      <c r="Q443" s="5">
        <v>-1.7839041E-2</v>
      </c>
      <c r="R443" s="5">
        <v>1.816275E-3</v>
      </c>
      <c r="S443" s="6">
        <v>0.32480168399999998</v>
      </c>
      <c r="T443" s="6">
        <v>5.1253879000000002E-2</v>
      </c>
      <c r="U443" s="7">
        <v>0.2300837</v>
      </c>
      <c r="V443" s="7">
        <v>0.17714519100000001</v>
      </c>
      <c r="W443" s="8">
        <v>0.83182165200000002</v>
      </c>
      <c r="X443" s="8">
        <v>0.13989439100000001</v>
      </c>
      <c r="Y443" s="2">
        <v>23</v>
      </c>
      <c r="Z443" s="2">
        <f>VLOOKUP(E443,YieldData!T:U,2,FALSE)</f>
        <v>1237</v>
      </c>
      <c r="AA443">
        <f t="shared" si="12"/>
        <v>0.72786906456203904</v>
      </c>
    </row>
    <row r="444" spans="1:27" hidden="1" x14ac:dyDescent="0.25">
      <c r="A444">
        <v>186</v>
      </c>
      <c r="B444">
        <v>602</v>
      </c>
      <c r="C444" t="s">
        <v>26</v>
      </c>
      <c r="D444">
        <v>25105</v>
      </c>
      <c r="E444">
        <f t="shared" si="13"/>
        <v>25105602</v>
      </c>
      <c r="F444">
        <f>VLOOKUP(E444,YieldData!D:F,2,FALSE)</f>
        <v>3</v>
      </c>
      <c r="G444">
        <f>VLOOKUP($E444,YieldData!$D:$F,3,FALSE)</f>
        <v>4</v>
      </c>
      <c r="H444">
        <v>16</v>
      </c>
      <c r="I444" t="s">
        <v>27</v>
      </c>
      <c r="J444" t="s">
        <v>28</v>
      </c>
      <c r="K444" s="2">
        <v>6189.687011</v>
      </c>
      <c r="L444" s="2">
        <v>59911725.689999998</v>
      </c>
      <c r="M444" s="3">
        <v>13565.56099</v>
      </c>
      <c r="N444" s="3">
        <v>65914251.060000002</v>
      </c>
      <c r="O444" s="4">
        <v>0.112559117</v>
      </c>
      <c r="P444" s="4">
        <v>2.5411755000000001E-2</v>
      </c>
      <c r="Q444" s="5">
        <v>-1.9685922000000002E-2</v>
      </c>
      <c r="R444" s="5">
        <v>1.7138559999999999E-3</v>
      </c>
      <c r="S444" s="6">
        <v>0.32708494399999999</v>
      </c>
      <c r="T444" s="6">
        <v>5.8019504E-2</v>
      </c>
      <c r="U444" s="7">
        <v>0.246725743</v>
      </c>
      <c r="V444" s="7">
        <v>0.18585215099999999</v>
      </c>
      <c r="W444" s="8">
        <v>0.36865675199999998</v>
      </c>
      <c r="X444" s="8">
        <v>0.23274895100000001</v>
      </c>
      <c r="Y444" s="2">
        <v>8</v>
      </c>
      <c r="Z444" s="2">
        <f>VLOOKUP(E444,YieldData!T:U,2,FALSE)</f>
        <v>691</v>
      </c>
      <c r="AA444">
        <f t="shared" si="12"/>
        <v>0.72686449202471604</v>
      </c>
    </row>
    <row r="445" spans="1:27" hidden="1" x14ac:dyDescent="0.25">
      <c r="A445">
        <v>187</v>
      </c>
      <c r="B445">
        <v>603</v>
      </c>
      <c r="C445" t="s">
        <v>26</v>
      </c>
      <c r="D445" t="s">
        <v>100</v>
      </c>
      <c r="E445" t="e">
        <f t="shared" si="13"/>
        <v>#VALUE!</v>
      </c>
      <c r="H445">
        <v>16</v>
      </c>
      <c r="I445" t="s">
        <v>27</v>
      </c>
      <c r="J445" t="s">
        <v>28</v>
      </c>
      <c r="K445" s="2">
        <v>4155.033617</v>
      </c>
      <c r="L445" s="2">
        <v>20135031.609999999</v>
      </c>
      <c r="M445" s="3">
        <v>13727.747149999999</v>
      </c>
      <c r="N445" s="3">
        <v>41118739.619999997</v>
      </c>
      <c r="O445" s="4">
        <v>8.3617764999999997E-2</v>
      </c>
      <c r="P445" s="4">
        <v>1.8482452999999999E-2</v>
      </c>
      <c r="Q445" s="5">
        <v>-2.5180147999999999E-2</v>
      </c>
      <c r="R445" s="5">
        <v>1.476591E-3</v>
      </c>
      <c r="S445" s="6">
        <v>0.28055512700000002</v>
      </c>
      <c r="T445" s="6">
        <v>3.6371246000000003E-2</v>
      </c>
      <c r="U445" s="7">
        <v>0.15054657799999999</v>
      </c>
      <c r="V445" s="7">
        <v>0.127882306</v>
      </c>
      <c r="W445" s="8">
        <v>0.83722949199999996</v>
      </c>
      <c r="X445" s="8">
        <v>0.13627626900000001</v>
      </c>
      <c r="Y445" s="2">
        <v>32</v>
      </c>
      <c r="Z445" s="2" t="e">
        <f>VLOOKUP(E445,YieldData!T:U,2,FALSE)</f>
        <v>#VALUE!</v>
      </c>
      <c r="AA445">
        <f t="shared" si="12"/>
        <v>0.913534329143595</v>
      </c>
    </row>
    <row r="446" spans="1:27" hidden="1" x14ac:dyDescent="0.25">
      <c r="A446">
        <v>188</v>
      </c>
      <c r="B446">
        <v>604</v>
      </c>
      <c r="C446" t="s">
        <v>26</v>
      </c>
      <c r="D446" t="s">
        <v>100</v>
      </c>
      <c r="E446" t="e">
        <f t="shared" si="13"/>
        <v>#VALUE!</v>
      </c>
      <c r="H446">
        <v>16</v>
      </c>
      <c r="I446" t="s">
        <v>27</v>
      </c>
      <c r="J446" t="s">
        <v>28</v>
      </c>
      <c r="K446" s="2">
        <v>4511.0677999999998</v>
      </c>
      <c r="L446" s="2">
        <v>27645399.640000001</v>
      </c>
      <c r="M446" s="3">
        <v>14404.70433</v>
      </c>
      <c r="N446" s="3">
        <v>49778533.560000002</v>
      </c>
      <c r="O446" s="4">
        <v>7.9490851000000001E-2</v>
      </c>
      <c r="P446" s="4">
        <v>2.0415432000000001E-2</v>
      </c>
      <c r="Q446" s="5">
        <v>-2.5300168000000001E-2</v>
      </c>
      <c r="R446" s="5">
        <v>1.4380319999999999E-3</v>
      </c>
      <c r="S446" s="6">
        <v>0.27319338500000001</v>
      </c>
      <c r="T446" s="6">
        <v>4.3611403E-2</v>
      </c>
      <c r="U446" s="7">
        <v>0.182392369</v>
      </c>
      <c r="V446" s="7">
        <v>0.14912539299999999</v>
      </c>
      <c r="W446" s="8">
        <v>0.82872690999999998</v>
      </c>
      <c r="X446" s="8">
        <v>0.14193861899999999</v>
      </c>
      <c r="Y446" s="2">
        <v>38</v>
      </c>
      <c r="Z446" s="2" t="e">
        <f>VLOOKUP(E446,YieldData!T:U,2,FALSE)</f>
        <v>#VALUE!</v>
      </c>
      <c r="AA446">
        <f t="shared" si="12"/>
        <v>0.913534329143595</v>
      </c>
    </row>
    <row r="447" spans="1:27" hidden="1" x14ac:dyDescent="0.25">
      <c r="A447">
        <v>189</v>
      </c>
      <c r="B447">
        <v>605</v>
      </c>
      <c r="C447" t="s">
        <v>26</v>
      </c>
      <c r="D447" t="s">
        <v>100</v>
      </c>
      <c r="E447" t="e">
        <f t="shared" si="13"/>
        <v>#VALUE!</v>
      </c>
      <c r="H447">
        <v>16</v>
      </c>
      <c r="I447" t="s">
        <v>27</v>
      </c>
      <c r="J447" t="s">
        <v>28</v>
      </c>
      <c r="K447" s="2">
        <v>3692.7480500000001</v>
      </c>
      <c r="L447" s="2">
        <v>28214840.550000001</v>
      </c>
      <c r="M447" s="3">
        <v>15157.859280000001</v>
      </c>
      <c r="N447" s="3">
        <v>40803186.719999999</v>
      </c>
      <c r="O447" s="4">
        <v>4.9634536999999999E-2</v>
      </c>
      <c r="P447" s="4">
        <v>1.5935195999999999E-2</v>
      </c>
      <c r="Q447" s="5">
        <v>-3.5995065E-2</v>
      </c>
      <c r="R447" s="5">
        <v>1.011096E-3</v>
      </c>
      <c r="S447" s="6">
        <v>0.23567596800000001</v>
      </c>
      <c r="T447" s="6">
        <v>3.7593355000000002E-2</v>
      </c>
      <c r="U447" s="7">
        <v>0.141963016</v>
      </c>
      <c r="V447" s="7">
        <v>0.12180951800000001</v>
      </c>
      <c r="W447" s="8">
        <v>0.89033575399999998</v>
      </c>
      <c r="X447" s="8">
        <v>9.7637999000000003E-2</v>
      </c>
      <c r="Y447" s="2">
        <v>42</v>
      </c>
      <c r="Z447" s="2" t="e">
        <f>VLOOKUP(E447,YieldData!T:U,2,FALSE)</f>
        <v>#VALUE!</v>
      </c>
      <c r="AA447">
        <f t="shared" si="12"/>
        <v>0.913534329143595</v>
      </c>
    </row>
    <row r="448" spans="1:27" hidden="1" x14ac:dyDescent="0.25">
      <c r="A448">
        <v>190</v>
      </c>
      <c r="B448">
        <v>606</v>
      </c>
      <c r="C448" t="s">
        <v>26</v>
      </c>
      <c r="D448" t="s">
        <v>100</v>
      </c>
      <c r="E448" t="e">
        <f t="shared" si="13"/>
        <v>#VALUE!</v>
      </c>
      <c r="H448">
        <v>16</v>
      </c>
      <c r="I448" t="s">
        <v>27</v>
      </c>
      <c r="J448" t="s">
        <v>28</v>
      </c>
      <c r="K448" s="2">
        <v>4553.0569949999999</v>
      </c>
      <c r="L448" s="2">
        <v>42652101.880000003</v>
      </c>
      <c r="M448" s="3">
        <v>13067.26318</v>
      </c>
      <c r="N448" s="3">
        <v>45008908.32</v>
      </c>
      <c r="O448" s="4">
        <v>7.7298334999999996E-2</v>
      </c>
      <c r="P448" s="4">
        <v>1.7861399E-2</v>
      </c>
      <c r="Q448" s="5">
        <v>-3.3359672999999999E-2</v>
      </c>
      <c r="R448" s="5">
        <v>1.498575E-3</v>
      </c>
      <c r="S448" s="6">
        <v>0.28107985200000002</v>
      </c>
      <c r="T448" s="6">
        <v>4.1938560999999999E-2</v>
      </c>
      <c r="U448" s="7">
        <v>0.185747204</v>
      </c>
      <c r="V448" s="7">
        <v>0.15124518000000001</v>
      </c>
      <c r="W448" s="8">
        <v>0.90754363699999996</v>
      </c>
      <c r="X448" s="8">
        <v>8.3908183999999997E-2</v>
      </c>
      <c r="Y448" s="2">
        <v>46</v>
      </c>
      <c r="Z448" s="2" t="e">
        <f>VLOOKUP(E448,YieldData!T:U,2,FALSE)</f>
        <v>#VALUE!</v>
      </c>
      <c r="AA448">
        <f t="shared" si="12"/>
        <v>0.913534329143595</v>
      </c>
    </row>
    <row r="449" spans="1:27" hidden="1" x14ac:dyDescent="0.25">
      <c r="A449">
        <v>191</v>
      </c>
      <c r="B449">
        <v>607</v>
      </c>
      <c r="C449" t="s">
        <v>26</v>
      </c>
      <c r="D449" t="s">
        <v>100</v>
      </c>
      <c r="E449" t="e">
        <f t="shared" si="13"/>
        <v>#VALUE!</v>
      </c>
      <c r="H449">
        <v>16</v>
      </c>
      <c r="I449" t="s">
        <v>27</v>
      </c>
      <c r="J449" t="s">
        <v>28</v>
      </c>
      <c r="K449" s="2">
        <v>5589.5091430000002</v>
      </c>
      <c r="L449" s="2">
        <v>70071984.5</v>
      </c>
      <c r="M449" s="3">
        <v>13245.104810000001</v>
      </c>
      <c r="N449" s="3">
        <v>56641469</v>
      </c>
      <c r="O449" s="4">
        <v>7.8427579999999997E-2</v>
      </c>
      <c r="P449" s="4">
        <v>1.8890832E-2</v>
      </c>
      <c r="Q449" s="5">
        <v>-3.6025387999999998E-2</v>
      </c>
      <c r="R449" s="5">
        <v>1.6263289999999999E-3</v>
      </c>
      <c r="S449" s="6">
        <v>0.29454161499999998</v>
      </c>
      <c r="T449" s="6">
        <v>5.0444456999999998E-2</v>
      </c>
      <c r="U449" s="7">
        <v>0.21443603899999999</v>
      </c>
      <c r="V449" s="7">
        <v>0.16845322400000001</v>
      </c>
      <c r="W449" s="8">
        <v>0.63129590899999999</v>
      </c>
      <c r="X449" s="8">
        <v>0.23276138399999999</v>
      </c>
      <c r="Y449" s="2">
        <v>21</v>
      </c>
      <c r="Z449" s="2" t="e">
        <f>VLOOKUP(E449,YieldData!T:U,2,FALSE)</f>
        <v>#VALUE!</v>
      </c>
      <c r="AA449">
        <f t="shared" si="12"/>
        <v>0.913534329143595</v>
      </c>
    </row>
    <row r="450" spans="1:27" hidden="1" x14ac:dyDescent="0.25">
      <c r="A450">
        <v>192</v>
      </c>
      <c r="B450">
        <v>608</v>
      </c>
      <c r="C450" t="s">
        <v>26</v>
      </c>
      <c r="D450" t="s">
        <v>100</v>
      </c>
      <c r="E450" t="e">
        <f t="shared" si="13"/>
        <v>#VALUE!</v>
      </c>
      <c r="H450">
        <v>16</v>
      </c>
      <c r="I450" t="s">
        <v>27</v>
      </c>
      <c r="J450" t="s">
        <v>28</v>
      </c>
      <c r="K450" s="2">
        <v>4410.6105639999996</v>
      </c>
      <c r="L450" s="2">
        <v>37403346.969999999</v>
      </c>
      <c r="M450" s="3">
        <v>13109.23374</v>
      </c>
      <c r="N450" s="3">
        <v>36991314.509999998</v>
      </c>
      <c r="O450" s="4">
        <v>6.7925166999999995E-2</v>
      </c>
      <c r="P450" s="4">
        <v>1.4722004E-2</v>
      </c>
      <c r="Q450" s="5">
        <v>-3.8414293000000002E-2</v>
      </c>
      <c r="R450" s="5">
        <v>1.5874940000000001E-3</v>
      </c>
      <c r="S450" s="6">
        <v>0.27711653200000003</v>
      </c>
      <c r="T450" s="6">
        <v>3.4390082000000002E-2</v>
      </c>
      <c r="U450" s="7">
        <v>0.160967521</v>
      </c>
      <c r="V450" s="7">
        <v>0.13505697799999999</v>
      </c>
      <c r="W450" s="8">
        <v>0.74111662700000003</v>
      </c>
      <c r="X450" s="8">
        <v>0.19186277199999999</v>
      </c>
      <c r="Y450" s="2">
        <v>32</v>
      </c>
      <c r="Z450" s="2" t="e">
        <f>VLOOKUP(E450,YieldData!T:U,2,FALSE)</f>
        <v>#VALUE!</v>
      </c>
      <c r="AA450">
        <f t="shared" ref="AA450:AA513" si="14">_xlfn.MAXIFS(U:U,E:E,E450)</f>
        <v>0.913534329143595</v>
      </c>
    </row>
    <row r="451" spans="1:27" hidden="1" x14ac:dyDescent="0.25">
      <c r="A451">
        <v>193</v>
      </c>
      <c r="B451">
        <v>609</v>
      </c>
      <c r="C451" t="s">
        <v>26</v>
      </c>
      <c r="D451" t="s">
        <v>100</v>
      </c>
      <c r="E451" t="e">
        <f t="shared" ref="E451:E514" si="15">D451*1000+B451</f>
        <v>#VALUE!</v>
      </c>
      <c r="H451">
        <v>16</v>
      </c>
      <c r="I451" t="s">
        <v>27</v>
      </c>
      <c r="J451" t="s">
        <v>28</v>
      </c>
      <c r="K451" s="2">
        <v>4574.9677460000003</v>
      </c>
      <c r="L451" s="2">
        <v>48010556.670000002</v>
      </c>
      <c r="M451" s="3">
        <v>13690.733270000001</v>
      </c>
      <c r="N451" s="3">
        <v>45770002.939999998</v>
      </c>
      <c r="O451" s="4">
        <v>7.5183783000000004E-2</v>
      </c>
      <c r="P451" s="4">
        <v>1.6634197999999999E-2</v>
      </c>
      <c r="Q451" s="5">
        <v>-3.5547136999999999E-2</v>
      </c>
      <c r="R451" s="5">
        <v>1.6502629999999999E-3</v>
      </c>
      <c r="S451" s="6">
        <v>0.27964236100000001</v>
      </c>
      <c r="T451" s="6">
        <v>4.1862228000000001E-2</v>
      </c>
      <c r="U451" s="7">
        <v>0.18293420399999999</v>
      </c>
      <c r="V451" s="7">
        <v>0.14946928100000001</v>
      </c>
      <c r="W451" s="8">
        <v>0.72275284900000003</v>
      </c>
      <c r="X451" s="8">
        <v>0.200381168</v>
      </c>
      <c r="Y451" s="2">
        <v>24</v>
      </c>
      <c r="Z451" s="2" t="e">
        <f>VLOOKUP(E451,YieldData!T:U,2,FALSE)</f>
        <v>#VALUE!</v>
      </c>
      <c r="AA451">
        <f t="shared" si="14"/>
        <v>0.913534329143595</v>
      </c>
    </row>
    <row r="452" spans="1:27" hidden="1" x14ac:dyDescent="0.25">
      <c r="A452">
        <v>176</v>
      </c>
      <c r="B452">
        <v>701</v>
      </c>
      <c r="C452" t="s">
        <v>26</v>
      </c>
      <c r="D452">
        <v>25106</v>
      </c>
      <c r="E452">
        <f t="shared" si="15"/>
        <v>25106701</v>
      </c>
      <c r="F452">
        <f>VLOOKUP(E452,YieldData!D:F,2,FALSE)</f>
        <v>1</v>
      </c>
      <c r="G452">
        <f>VLOOKUP($E452,YieldData!$D:$F,3,FALSE)</f>
        <v>1</v>
      </c>
      <c r="H452">
        <v>16</v>
      </c>
      <c r="I452" t="s">
        <v>27</v>
      </c>
      <c r="J452" t="s">
        <v>28</v>
      </c>
      <c r="K452" s="2">
        <v>5501.833329</v>
      </c>
      <c r="L452" s="2">
        <v>52191616.600000001</v>
      </c>
      <c r="M452" s="3">
        <v>13872.089089999999</v>
      </c>
      <c r="N452" s="3">
        <v>44460921.380000003</v>
      </c>
      <c r="O452" s="4">
        <v>9.0826029000000003E-2</v>
      </c>
      <c r="P452" s="4">
        <v>1.6001017999999999E-2</v>
      </c>
      <c r="Q452" s="5">
        <v>-2.825153E-2</v>
      </c>
      <c r="R452" s="5">
        <v>1.396649E-3</v>
      </c>
      <c r="S452" s="6">
        <v>0.30014057100000002</v>
      </c>
      <c r="T452" s="6">
        <v>4.2538646999999999E-2</v>
      </c>
      <c r="U452" s="7">
        <v>0.19017337600000001</v>
      </c>
      <c r="V452" s="7">
        <v>0.15400746300000001</v>
      </c>
      <c r="W452" s="8">
        <v>0.76928331999999999</v>
      </c>
      <c r="X452" s="8">
        <v>0.177486493</v>
      </c>
      <c r="Y452" s="2">
        <v>28</v>
      </c>
      <c r="Z452" s="2">
        <f>VLOOKUP(E452,YieldData!T:U,2,FALSE)</f>
        <v>1542</v>
      </c>
      <c r="AA452">
        <f t="shared" si="14"/>
        <v>0.76417356330729402</v>
      </c>
    </row>
    <row r="453" spans="1:27" hidden="1" x14ac:dyDescent="0.25">
      <c r="A453">
        <v>177</v>
      </c>
      <c r="B453">
        <v>702</v>
      </c>
      <c r="C453" t="s">
        <v>26</v>
      </c>
      <c r="D453">
        <v>25106</v>
      </c>
      <c r="E453">
        <f t="shared" si="15"/>
        <v>25106702</v>
      </c>
      <c r="F453">
        <f>VLOOKUP(E453,YieldData!D:F,2,FALSE)</f>
        <v>2</v>
      </c>
      <c r="G453">
        <f>VLOOKUP($E453,YieldData!$D:$F,3,FALSE)</f>
        <v>1</v>
      </c>
      <c r="H453">
        <v>16</v>
      </c>
      <c r="I453" t="s">
        <v>27</v>
      </c>
      <c r="J453" t="s">
        <v>28</v>
      </c>
      <c r="K453" s="2">
        <v>5431.772833</v>
      </c>
      <c r="L453" s="2">
        <v>46808639.990000002</v>
      </c>
      <c r="M453" s="3">
        <v>14448.442730000001</v>
      </c>
      <c r="N453" s="3">
        <v>44815175.590000004</v>
      </c>
      <c r="O453" s="4">
        <v>7.9876779999999994E-2</v>
      </c>
      <c r="P453" s="4">
        <v>1.6332103000000001E-2</v>
      </c>
      <c r="Q453" s="5">
        <v>-2.7471209999999999E-2</v>
      </c>
      <c r="R453" s="5">
        <v>1.4097319999999999E-3</v>
      </c>
      <c r="S453" s="6">
        <v>0.28688716800000003</v>
      </c>
      <c r="T453" s="6">
        <v>4.1580857999999998E-2</v>
      </c>
      <c r="U453" s="7">
        <v>0.17852042300000001</v>
      </c>
      <c r="V453" s="7">
        <v>0.14665088100000001</v>
      </c>
      <c r="W453" s="8">
        <v>0.59568852299999997</v>
      </c>
      <c r="X453" s="8">
        <v>0.24084370699999999</v>
      </c>
      <c r="Y453" s="2">
        <v>14</v>
      </c>
      <c r="Z453" s="2">
        <f>VLOOKUP(E453,YieldData!T:U,2,FALSE)</f>
        <v>1239</v>
      </c>
      <c r="AA453">
        <f t="shared" si="14"/>
        <v>0.65016756896107197</v>
      </c>
    </row>
    <row r="454" spans="1:27" hidden="1" x14ac:dyDescent="0.25">
      <c r="A454">
        <v>178</v>
      </c>
      <c r="B454">
        <v>703</v>
      </c>
      <c r="C454" t="s">
        <v>26</v>
      </c>
      <c r="D454">
        <v>25106</v>
      </c>
      <c r="E454">
        <f t="shared" si="15"/>
        <v>25106703</v>
      </c>
      <c r="F454">
        <f>VLOOKUP(E454,YieldData!D:F,2,FALSE)</f>
        <v>3</v>
      </c>
      <c r="G454">
        <f>VLOOKUP($E454,YieldData!$D:$F,3,FALSE)</f>
        <v>1</v>
      </c>
      <c r="H454">
        <v>16</v>
      </c>
      <c r="I454" t="s">
        <v>27</v>
      </c>
      <c r="J454" t="s">
        <v>28</v>
      </c>
      <c r="K454" s="2">
        <v>7233.2538869999998</v>
      </c>
      <c r="L454" s="2">
        <v>79754350.409999996</v>
      </c>
      <c r="M454" s="3">
        <v>12570.240229999999</v>
      </c>
      <c r="N454" s="3">
        <v>61995009.140000001</v>
      </c>
      <c r="O454" s="4">
        <v>0.11657292</v>
      </c>
      <c r="P454" s="4">
        <v>1.9501451E-2</v>
      </c>
      <c r="Q454" s="5">
        <v>-2.027499E-2</v>
      </c>
      <c r="R454" s="5">
        <v>2.0202029999999999E-3</v>
      </c>
      <c r="S454" s="6">
        <v>0.34572398700000001</v>
      </c>
      <c r="T454" s="6">
        <v>5.2575293000000002E-2</v>
      </c>
      <c r="U454" s="7">
        <v>0.26366413900000002</v>
      </c>
      <c r="V454" s="7">
        <v>0.19414536099999999</v>
      </c>
      <c r="W454" s="8">
        <v>0.65590234300000005</v>
      </c>
      <c r="X454" s="8">
        <v>0.22569445899999999</v>
      </c>
      <c r="Y454" s="2">
        <v>21</v>
      </c>
      <c r="Z454" s="2">
        <f>VLOOKUP(E454,YieldData!T:U,2,FALSE)</f>
        <v>975</v>
      </c>
      <c r="AA454">
        <f t="shared" si="14"/>
        <v>0.87971551881344601</v>
      </c>
    </row>
    <row r="455" spans="1:27" hidden="1" x14ac:dyDescent="0.25">
      <c r="A455">
        <v>179</v>
      </c>
      <c r="B455">
        <v>704</v>
      </c>
      <c r="C455" t="s">
        <v>26</v>
      </c>
      <c r="D455">
        <v>25106</v>
      </c>
      <c r="E455">
        <f t="shared" si="15"/>
        <v>25106704</v>
      </c>
      <c r="F455">
        <f>VLOOKUP(E455,YieldData!D:F,2,FALSE)</f>
        <v>4</v>
      </c>
      <c r="G455">
        <f>VLOOKUP($E455,YieldData!$D:$F,3,FALSE)</f>
        <v>1</v>
      </c>
      <c r="H455">
        <v>16</v>
      </c>
      <c r="I455" t="s">
        <v>27</v>
      </c>
      <c r="J455" t="s">
        <v>28</v>
      </c>
      <c r="K455" s="2">
        <v>6795.8729700000004</v>
      </c>
      <c r="L455" s="2">
        <v>82942615.450000003</v>
      </c>
      <c r="M455" s="3">
        <v>13581.057199999999</v>
      </c>
      <c r="N455" s="3">
        <v>61903427.140000001</v>
      </c>
      <c r="O455" s="4">
        <v>9.4511252000000004E-2</v>
      </c>
      <c r="P455" s="4">
        <v>1.7926691000000002E-2</v>
      </c>
      <c r="Q455" s="5">
        <v>-2.4284061999999999E-2</v>
      </c>
      <c r="R455" s="5">
        <v>1.5357350000000001E-3</v>
      </c>
      <c r="S455" s="6">
        <v>0.313442206</v>
      </c>
      <c r="T455" s="6">
        <v>5.1179460000000003E-2</v>
      </c>
      <c r="U455" s="7">
        <v>0.22540015699999999</v>
      </c>
      <c r="V455" s="7">
        <v>0.17459492600000001</v>
      </c>
      <c r="W455" s="8">
        <v>0.51455640000000002</v>
      </c>
      <c r="X455" s="8">
        <v>0.24978811100000001</v>
      </c>
      <c r="Y455" s="2">
        <v>9</v>
      </c>
      <c r="Z455" s="2">
        <f>VLOOKUP(E455,YieldData!T:U,2,FALSE)</f>
        <v>819</v>
      </c>
      <c r="AA455">
        <f t="shared" si="14"/>
        <v>0.63442830960101504</v>
      </c>
    </row>
    <row r="456" spans="1:27" hidden="1" x14ac:dyDescent="0.25">
      <c r="A456">
        <v>180</v>
      </c>
      <c r="B456">
        <v>705</v>
      </c>
      <c r="C456" t="s">
        <v>26</v>
      </c>
      <c r="D456">
        <v>25106</v>
      </c>
      <c r="E456">
        <f t="shared" si="15"/>
        <v>25106705</v>
      </c>
      <c r="F456">
        <f>VLOOKUP(E456,YieldData!D:F,2,FALSE)</f>
        <v>3</v>
      </c>
      <c r="G456">
        <f>VLOOKUP($E456,YieldData!$D:$F,3,FALSE)</f>
        <v>2</v>
      </c>
      <c r="H456">
        <v>16</v>
      </c>
      <c r="I456" t="s">
        <v>27</v>
      </c>
      <c r="J456" t="s">
        <v>28</v>
      </c>
      <c r="K456" s="2">
        <v>6489.5246269999998</v>
      </c>
      <c r="L456" s="2">
        <v>70981987.090000004</v>
      </c>
      <c r="M456" s="3">
        <v>13631.54783</v>
      </c>
      <c r="N456" s="3">
        <v>57318942.359999999</v>
      </c>
      <c r="O456" s="4">
        <v>9.3030326999999996E-2</v>
      </c>
      <c r="P456" s="4">
        <v>1.8163776999999999E-2</v>
      </c>
      <c r="Q456" s="5">
        <v>-2.8089253000000002E-2</v>
      </c>
      <c r="R456" s="5">
        <v>1.412157E-3</v>
      </c>
      <c r="S456" s="6">
        <v>0.30579375399999997</v>
      </c>
      <c r="T456" s="6">
        <v>4.9675309000000001E-2</v>
      </c>
      <c r="U456" s="7">
        <v>0.225159628</v>
      </c>
      <c r="V456" s="7">
        <v>0.17446276999999999</v>
      </c>
      <c r="W456" s="8">
        <v>0.79637654999999996</v>
      </c>
      <c r="X456" s="8">
        <v>0.162160941</v>
      </c>
      <c r="Y456" s="2">
        <v>28</v>
      </c>
      <c r="Z456" s="2">
        <f>VLOOKUP(E456,YieldData!T:U,2,FALSE)</f>
        <v>1642</v>
      </c>
      <c r="AA456">
        <f t="shared" si="14"/>
        <v>0.883592151197785</v>
      </c>
    </row>
    <row r="457" spans="1:27" hidden="1" x14ac:dyDescent="0.25">
      <c r="A457">
        <v>181</v>
      </c>
      <c r="B457">
        <v>706</v>
      </c>
      <c r="C457" t="s">
        <v>26</v>
      </c>
      <c r="D457">
        <v>25106</v>
      </c>
      <c r="E457">
        <f t="shared" si="15"/>
        <v>25106706</v>
      </c>
      <c r="F457">
        <f>VLOOKUP(E457,YieldData!D:F,2,FALSE)</f>
        <v>2</v>
      </c>
      <c r="G457">
        <f>VLOOKUP($E457,YieldData!$D:$F,3,FALSE)</f>
        <v>2</v>
      </c>
      <c r="H457">
        <v>16</v>
      </c>
      <c r="I457" t="s">
        <v>27</v>
      </c>
      <c r="J457" t="s">
        <v>28</v>
      </c>
      <c r="K457" s="2">
        <v>5882.5570479999997</v>
      </c>
      <c r="L457" s="2">
        <v>75697144.650000006</v>
      </c>
      <c r="M457" s="3">
        <v>13316.045099999999</v>
      </c>
      <c r="N457" s="3">
        <v>50714598.799999997</v>
      </c>
      <c r="O457" s="4">
        <v>9.0627335000000003E-2</v>
      </c>
      <c r="P457" s="4">
        <v>1.6491308999999999E-2</v>
      </c>
      <c r="Q457" s="5">
        <v>-2.8107081999999999E-2</v>
      </c>
      <c r="R457" s="5">
        <v>1.696426E-3</v>
      </c>
      <c r="S457" s="6">
        <v>0.30224606599999998</v>
      </c>
      <c r="T457" s="6">
        <v>4.6930734000000002E-2</v>
      </c>
      <c r="U457" s="7">
        <v>0.208915986</v>
      </c>
      <c r="V457" s="7">
        <v>0.165270097</v>
      </c>
      <c r="W457" s="8">
        <v>0.67564221199999996</v>
      </c>
      <c r="X457" s="8">
        <v>0.219149813</v>
      </c>
      <c r="Y457" s="2">
        <v>23</v>
      </c>
      <c r="Z457" s="2">
        <f>VLOOKUP(E457,YieldData!T:U,2,FALSE)</f>
        <v>1263</v>
      </c>
      <c r="AA457">
        <f t="shared" si="14"/>
        <v>0.73635303593109502</v>
      </c>
    </row>
    <row r="458" spans="1:27" hidden="1" x14ac:dyDescent="0.25">
      <c r="A458">
        <v>182</v>
      </c>
      <c r="B458">
        <v>707</v>
      </c>
      <c r="C458" t="s">
        <v>26</v>
      </c>
      <c r="D458">
        <v>25106</v>
      </c>
      <c r="E458">
        <f t="shared" si="15"/>
        <v>25106707</v>
      </c>
      <c r="F458">
        <f>VLOOKUP(E458,YieldData!D:F,2,FALSE)</f>
        <v>1</v>
      </c>
      <c r="G458">
        <f>VLOOKUP($E458,YieldData!$D:$F,3,FALSE)</f>
        <v>2</v>
      </c>
      <c r="H458">
        <v>16</v>
      </c>
      <c r="I458" t="s">
        <v>27</v>
      </c>
      <c r="J458" t="s">
        <v>28</v>
      </c>
      <c r="K458" s="2">
        <v>6081.1180329999997</v>
      </c>
      <c r="L458" s="2">
        <v>87778165.120000005</v>
      </c>
      <c r="M458" s="3">
        <v>13742.49005</v>
      </c>
      <c r="N458" s="3">
        <v>53626853.299999997</v>
      </c>
      <c r="O458" s="4">
        <v>7.3978418000000004E-2</v>
      </c>
      <c r="P458" s="4">
        <v>1.5948404999999999E-2</v>
      </c>
      <c r="Q458" s="5">
        <v>-3.6240661E-2</v>
      </c>
      <c r="R458" s="5">
        <v>1.5478989999999999E-3</v>
      </c>
      <c r="S458" s="6">
        <v>0.29175905099999999</v>
      </c>
      <c r="T458" s="6">
        <v>4.8864553999999998E-2</v>
      </c>
      <c r="U458" s="7">
        <v>0.20651266400000001</v>
      </c>
      <c r="V458" s="7">
        <v>0.163865183</v>
      </c>
      <c r="W458" s="8">
        <v>0.65884871599999995</v>
      </c>
      <c r="X458" s="8">
        <v>0.22476708500000001</v>
      </c>
      <c r="Y458" s="2">
        <v>23</v>
      </c>
      <c r="Z458" s="2">
        <f>VLOOKUP(E458,YieldData!T:U,2,FALSE)</f>
        <v>2142</v>
      </c>
      <c r="AA458">
        <f t="shared" si="14"/>
        <v>0.77565543967084505</v>
      </c>
    </row>
    <row r="459" spans="1:27" hidden="1" x14ac:dyDescent="0.25">
      <c r="A459">
        <v>183</v>
      </c>
      <c r="B459">
        <v>708</v>
      </c>
      <c r="C459" t="s">
        <v>26</v>
      </c>
      <c r="D459">
        <v>25106</v>
      </c>
      <c r="E459">
        <f t="shared" si="15"/>
        <v>25106708</v>
      </c>
      <c r="F459">
        <f>VLOOKUP(E459,YieldData!D:F,2,FALSE)</f>
        <v>4</v>
      </c>
      <c r="G459">
        <f>VLOOKUP($E459,YieldData!$D:$F,3,FALSE)</f>
        <v>2</v>
      </c>
      <c r="H459">
        <v>16</v>
      </c>
      <c r="I459" t="s">
        <v>27</v>
      </c>
      <c r="J459" t="s">
        <v>28</v>
      </c>
      <c r="K459" s="2">
        <v>6407.1144199999999</v>
      </c>
      <c r="L459" s="2">
        <v>89498865.980000004</v>
      </c>
      <c r="M459" s="3">
        <v>13103.66459</v>
      </c>
      <c r="N459" s="3">
        <v>48808005.840000004</v>
      </c>
      <c r="O459" s="4">
        <v>7.8361264E-2</v>
      </c>
      <c r="P459" s="4">
        <v>1.4183539E-2</v>
      </c>
      <c r="Q459" s="5">
        <v>-3.5835350000000002E-2</v>
      </c>
      <c r="R459" s="5">
        <v>1.798322E-3</v>
      </c>
      <c r="S459" s="6">
        <v>0.297724457</v>
      </c>
      <c r="T459" s="6">
        <v>4.3775069E-2</v>
      </c>
      <c r="U459" s="7">
        <v>0.20687372100000001</v>
      </c>
      <c r="V459" s="7">
        <v>0.16407698500000001</v>
      </c>
      <c r="W459" s="8">
        <v>0.62623218000000003</v>
      </c>
      <c r="X459" s="8">
        <v>0.23406543699999999</v>
      </c>
      <c r="Y459" s="2">
        <v>13</v>
      </c>
      <c r="Z459" s="2">
        <f>VLOOKUP(E459,YieldData!T:U,2,FALSE)</f>
        <v>1574</v>
      </c>
      <c r="AA459">
        <f t="shared" si="14"/>
        <v>0.61726430715098801</v>
      </c>
    </row>
    <row r="460" spans="1:27" hidden="1" x14ac:dyDescent="0.25">
      <c r="A460">
        <v>184</v>
      </c>
      <c r="B460">
        <v>709</v>
      </c>
      <c r="C460" t="s">
        <v>26</v>
      </c>
      <c r="D460">
        <v>25106</v>
      </c>
      <c r="E460">
        <f t="shared" si="15"/>
        <v>25106709</v>
      </c>
      <c r="F460">
        <f>VLOOKUP(E460,YieldData!D:F,2,FALSE)</f>
        <v>4</v>
      </c>
      <c r="G460">
        <f>VLOOKUP($E460,YieldData!$D:$F,3,FALSE)</f>
        <v>3</v>
      </c>
      <c r="H460">
        <v>16</v>
      </c>
      <c r="I460" t="s">
        <v>27</v>
      </c>
      <c r="J460" t="s">
        <v>28</v>
      </c>
      <c r="K460" s="2">
        <v>4464.9427379999997</v>
      </c>
      <c r="L460" s="2">
        <v>62117564.060000002</v>
      </c>
      <c r="M460" s="3">
        <v>14279.02161</v>
      </c>
      <c r="N460" s="3">
        <v>33240299.969999999</v>
      </c>
      <c r="O460" s="4">
        <v>6.0153998E-2</v>
      </c>
      <c r="P460" s="4">
        <v>9.0134480000000003E-3</v>
      </c>
      <c r="Q460" s="5">
        <v>-3.3467354999999997E-2</v>
      </c>
      <c r="R460" s="5">
        <v>1.498026E-3</v>
      </c>
      <c r="S460" s="6">
        <v>0.25316962799999998</v>
      </c>
      <c r="T460" s="6">
        <v>2.9257225000000001E-2</v>
      </c>
      <c r="U460" s="7">
        <v>0.12833212799999999</v>
      </c>
      <c r="V460" s="7">
        <v>0.11186299299999999</v>
      </c>
      <c r="W460" s="8">
        <v>0.79841901999999998</v>
      </c>
      <c r="X460" s="8">
        <v>0.16094608899999999</v>
      </c>
      <c r="Y460" s="2">
        <v>26</v>
      </c>
      <c r="Z460" s="2">
        <f>VLOOKUP(E460,YieldData!T:U,2,FALSE)</f>
        <v>1301</v>
      </c>
      <c r="AA460">
        <f t="shared" si="14"/>
        <v>0.44834597077044502</v>
      </c>
    </row>
    <row r="461" spans="1:27" hidden="1" x14ac:dyDescent="0.25">
      <c r="A461">
        <v>167</v>
      </c>
      <c r="B461">
        <v>801</v>
      </c>
      <c r="C461" t="s">
        <v>26</v>
      </c>
      <c r="D461" t="s">
        <v>100</v>
      </c>
      <c r="E461" t="e">
        <f t="shared" si="15"/>
        <v>#VALUE!</v>
      </c>
      <c r="H461">
        <v>16</v>
      </c>
      <c r="I461" t="s">
        <v>27</v>
      </c>
      <c r="J461" t="s">
        <v>28</v>
      </c>
      <c r="K461" s="2">
        <v>4465.2482449999998</v>
      </c>
      <c r="L461" s="2">
        <v>27702690.390000001</v>
      </c>
      <c r="M461" s="3">
        <v>14037.927170000001</v>
      </c>
      <c r="N461" s="3">
        <v>43129387.18</v>
      </c>
      <c r="O461" s="4">
        <v>0.115908091</v>
      </c>
      <c r="P461" s="4">
        <v>1.6301149000000001E-2</v>
      </c>
      <c r="Q461" s="5">
        <v>-1.9621375999999999E-2</v>
      </c>
      <c r="R461" s="5">
        <v>1.214148E-3</v>
      </c>
      <c r="S461" s="6">
        <v>0.31925858099999999</v>
      </c>
      <c r="T461" s="6">
        <v>3.5805956999999999E-2</v>
      </c>
      <c r="U461" s="7">
        <v>0.178772193</v>
      </c>
      <c r="V461" s="7">
        <v>0.14681269599999999</v>
      </c>
      <c r="W461" s="8">
        <v>0.85601004700000005</v>
      </c>
      <c r="X461" s="8">
        <v>0.123256847</v>
      </c>
      <c r="Y461" s="2">
        <v>33</v>
      </c>
      <c r="Z461" s="2" t="e">
        <f>VLOOKUP(E461,YieldData!T:U,2,FALSE)</f>
        <v>#VALUE!</v>
      </c>
      <c r="AA461">
        <f t="shared" si="14"/>
        <v>0.913534329143595</v>
      </c>
    </row>
    <row r="462" spans="1:27" hidden="1" x14ac:dyDescent="0.25">
      <c r="A462">
        <v>168</v>
      </c>
      <c r="B462">
        <v>802</v>
      </c>
      <c r="C462" t="s">
        <v>26</v>
      </c>
      <c r="D462" t="s">
        <v>100</v>
      </c>
      <c r="E462" t="e">
        <f t="shared" si="15"/>
        <v>#VALUE!</v>
      </c>
      <c r="H462">
        <v>16</v>
      </c>
      <c r="I462" t="s">
        <v>27</v>
      </c>
      <c r="J462" t="s">
        <v>28</v>
      </c>
      <c r="K462" s="2">
        <v>2956.3804129999999</v>
      </c>
      <c r="L462" s="2">
        <v>13336672.74</v>
      </c>
      <c r="M462" s="3">
        <v>15841.54278</v>
      </c>
      <c r="N462" s="3">
        <v>30469514.579999998</v>
      </c>
      <c r="O462" s="4">
        <v>7.7215371000000005E-2</v>
      </c>
      <c r="P462" s="4">
        <v>1.2592056000000001E-2</v>
      </c>
      <c r="Q462" s="5">
        <v>-2.7435261999999998E-2</v>
      </c>
      <c r="R462" s="5">
        <v>1.08219E-3</v>
      </c>
      <c r="S462" s="6">
        <v>0.26890472399999998</v>
      </c>
      <c r="T462" s="6">
        <v>2.4581068000000001E-2</v>
      </c>
      <c r="U462" s="7">
        <v>0.11766353</v>
      </c>
      <c r="V462" s="7">
        <v>0.103818824</v>
      </c>
      <c r="W462" s="8">
        <v>0.88382701600000002</v>
      </c>
      <c r="X462" s="8">
        <v>0.102676822</v>
      </c>
      <c r="Y462" s="2">
        <v>27</v>
      </c>
      <c r="Z462" s="2" t="e">
        <f>VLOOKUP(E462,YieldData!T:U,2,FALSE)</f>
        <v>#VALUE!</v>
      </c>
      <c r="AA462">
        <f t="shared" si="14"/>
        <v>0.913534329143595</v>
      </c>
    </row>
    <row r="463" spans="1:27" hidden="1" x14ac:dyDescent="0.25">
      <c r="A463">
        <v>169</v>
      </c>
      <c r="B463">
        <v>803</v>
      </c>
      <c r="C463" t="s">
        <v>26</v>
      </c>
      <c r="D463">
        <v>25106</v>
      </c>
      <c r="E463">
        <f t="shared" si="15"/>
        <v>25106803</v>
      </c>
      <c r="F463">
        <f>VLOOKUP(E463,YieldData!D:F,2,FALSE)</f>
        <v>1</v>
      </c>
      <c r="G463">
        <f>VLOOKUP($E463,YieldData!$D:$F,3,FALSE)</f>
        <v>4</v>
      </c>
      <c r="H463">
        <v>16</v>
      </c>
      <c r="I463" t="s">
        <v>27</v>
      </c>
      <c r="J463" t="s">
        <v>28</v>
      </c>
      <c r="K463" s="2">
        <v>5895.2178629999999</v>
      </c>
      <c r="L463" s="2">
        <v>60944619.899999999</v>
      </c>
      <c r="M463" s="3">
        <v>14228.06791</v>
      </c>
      <c r="N463" s="3">
        <v>52205983.520000003</v>
      </c>
      <c r="O463" s="4">
        <v>0.101245687</v>
      </c>
      <c r="P463" s="4">
        <v>1.5896541E-2</v>
      </c>
      <c r="Q463" s="5">
        <v>-2.3853907000000001E-2</v>
      </c>
      <c r="R463" s="5">
        <v>1.6885820000000001E-3</v>
      </c>
      <c r="S463" s="6">
        <v>0.31983778600000001</v>
      </c>
      <c r="T463" s="6">
        <v>4.2287102999999999E-2</v>
      </c>
      <c r="U463" s="7">
        <v>0.20608700599999999</v>
      </c>
      <c r="V463" s="7">
        <v>0.16361515200000001</v>
      </c>
      <c r="W463" s="8">
        <v>0.41601517399999999</v>
      </c>
      <c r="X463" s="8">
        <v>0.24294654900000001</v>
      </c>
      <c r="Y463" s="2">
        <v>11</v>
      </c>
      <c r="Z463" s="2">
        <f>VLOOKUP(E463,YieldData!T:U,2,FALSE)</f>
        <v>1371</v>
      </c>
      <c r="AA463">
        <f t="shared" si="14"/>
        <v>0.87296955549071098</v>
      </c>
    </row>
    <row r="464" spans="1:27" hidden="1" x14ac:dyDescent="0.25">
      <c r="A464">
        <v>170</v>
      </c>
      <c r="B464">
        <v>804</v>
      </c>
      <c r="C464" t="s">
        <v>26</v>
      </c>
      <c r="D464">
        <v>25106</v>
      </c>
      <c r="E464">
        <f t="shared" si="15"/>
        <v>25106804</v>
      </c>
      <c r="F464">
        <f>VLOOKUP(E464,YieldData!D:F,2,FALSE)</f>
        <v>3</v>
      </c>
      <c r="G464">
        <f>VLOOKUP($E464,YieldData!$D:$F,3,FALSE)</f>
        <v>4</v>
      </c>
      <c r="H464">
        <v>16</v>
      </c>
      <c r="I464" t="s">
        <v>27</v>
      </c>
      <c r="J464" t="s">
        <v>28</v>
      </c>
      <c r="K464" s="2">
        <v>7754.386614</v>
      </c>
      <c r="L464" s="2">
        <v>70896946.930000007</v>
      </c>
      <c r="M464" s="3">
        <v>12469.71809</v>
      </c>
      <c r="N464" s="3">
        <v>65485274.18</v>
      </c>
      <c r="O464" s="4">
        <v>0.14316000000000001</v>
      </c>
      <c r="P464" s="4">
        <v>2.0891089000000002E-2</v>
      </c>
      <c r="Q464" s="5">
        <v>-1.7216398000000001E-2</v>
      </c>
      <c r="R464" s="5">
        <v>1.8590690000000001E-3</v>
      </c>
      <c r="S464" s="6">
        <v>0.37796136499999999</v>
      </c>
      <c r="T464" s="6">
        <v>5.3778931000000002E-2</v>
      </c>
      <c r="U464" s="7">
        <v>0.30141916200000002</v>
      </c>
      <c r="V464" s="7">
        <v>0.21056565099999999</v>
      </c>
      <c r="W464" s="8">
        <v>0.74435059199999998</v>
      </c>
      <c r="X464" s="8">
        <v>0.19029278799999999</v>
      </c>
      <c r="Y464" s="2">
        <v>26</v>
      </c>
      <c r="Z464" s="2">
        <f>VLOOKUP(E464,YieldData!T:U,2,FALSE)</f>
        <v>646</v>
      </c>
      <c r="AA464">
        <f t="shared" si="14"/>
        <v>0.89469691443577204</v>
      </c>
    </row>
    <row r="465" spans="1:27" hidden="1" x14ac:dyDescent="0.25">
      <c r="A465">
        <v>171</v>
      </c>
      <c r="B465">
        <v>805</v>
      </c>
      <c r="C465" t="s">
        <v>26</v>
      </c>
      <c r="D465">
        <v>25106</v>
      </c>
      <c r="E465">
        <f t="shared" si="15"/>
        <v>25106805</v>
      </c>
      <c r="F465">
        <f>VLOOKUP(E465,YieldData!D:F,2,FALSE)</f>
        <v>2</v>
      </c>
      <c r="G465">
        <f>VLOOKUP($E465,YieldData!$D:$F,3,FALSE)</f>
        <v>4</v>
      </c>
      <c r="H465">
        <v>16</v>
      </c>
      <c r="I465" t="s">
        <v>27</v>
      </c>
      <c r="J465" t="s">
        <v>28</v>
      </c>
      <c r="K465" s="2">
        <v>5421.4550040000004</v>
      </c>
      <c r="L465" s="2">
        <v>53540992.549999997</v>
      </c>
      <c r="M465" s="3">
        <v>14167.997359999999</v>
      </c>
      <c r="N465" s="3">
        <v>48300047.390000001</v>
      </c>
      <c r="O465" s="4">
        <v>9.4088650999999995E-2</v>
      </c>
      <c r="P465" s="4">
        <v>1.5754048999999999E-2</v>
      </c>
      <c r="Q465" s="5">
        <v>-2.5627619000000001E-2</v>
      </c>
      <c r="R465" s="5">
        <v>1.133869E-3</v>
      </c>
      <c r="S465" s="6">
        <v>0.30134689399999998</v>
      </c>
      <c r="T465" s="6">
        <v>4.1298962000000002E-2</v>
      </c>
      <c r="U465" s="7">
        <v>0.181922001</v>
      </c>
      <c r="V465" s="7">
        <v>0.148826386</v>
      </c>
      <c r="W465" s="8">
        <v>0.70323696899999999</v>
      </c>
      <c r="X465" s="8">
        <v>0.20869473499999999</v>
      </c>
      <c r="Y465" s="2">
        <v>19</v>
      </c>
      <c r="Z465" s="2">
        <f>VLOOKUP(E465,YieldData!T:U,2,FALSE)</f>
        <v>1918</v>
      </c>
      <c r="AA465">
        <f t="shared" si="14"/>
        <v>0.80746058040370605</v>
      </c>
    </row>
    <row r="466" spans="1:27" hidden="1" x14ac:dyDescent="0.25">
      <c r="A466">
        <v>172</v>
      </c>
      <c r="B466">
        <v>806</v>
      </c>
      <c r="C466" t="s">
        <v>26</v>
      </c>
      <c r="D466">
        <v>25106</v>
      </c>
      <c r="E466">
        <f t="shared" si="15"/>
        <v>25106806</v>
      </c>
      <c r="F466">
        <f>VLOOKUP(E466,YieldData!D:F,2,FALSE)</f>
        <v>4</v>
      </c>
      <c r="G466">
        <f>VLOOKUP($E466,YieldData!$D:$F,3,FALSE)</f>
        <v>4</v>
      </c>
      <c r="H466">
        <v>16</v>
      </c>
      <c r="I466" t="s">
        <v>27</v>
      </c>
      <c r="J466" t="s">
        <v>28</v>
      </c>
      <c r="K466" s="2">
        <v>6049.4434789999996</v>
      </c>
      <c r="L466" s="2">
        <v>77517553.689999998</v>
      </c>
      <c r="M466" s="3">
        <v>13630.605030000001</v>
      </c>
      <c r="N466" s="3">
        <v>50932053.640000001</v>
      </c>
      <c r="O466" s="4">
        <v>9.6515174999999995E-2</v>
      </c>
      <c r="P466" s="4">
        <v>1.5180116E-2</v>
      </c>
      <c r="Q466" s="5">
        <v>-2.6255269000000001E-2</v>
      </c>
      <c r="R466" s="5">
        <v>1.399527E-3</v>
      </c>
      <c r="S466" s="6">
        <v>0.31016656399999998</v>
      </c>
      <c r="T466" s="6">
        <v>4.5063829999999999E-2</v>
      </c>
      <c r="U466" s="7">
        <v>0.19982661500000001</v>
      </c>
      <c r="V466" s="7">
        <v>0.15989593899999999</v>
      </c>
      <c r="W466" s="8">
        <v>0.46142687900000001</v>
      </c>
      <c r="X466" s="8">
        <v>0.24851211400000001</v>
      </c>
      <c r="Y466" s="2">
        <v>14</v>
      </c>
      <c r="Z466" s="2">
        <f>VLOOKUP(E466,YieldData!T:U,2,FALSE)</f>
        <v>1642</v>
      </c>
      <c r="AA466">
        <f t="shared" si="14"/>
        <v>0.65630406430491595</v>
      </c>
    </row>
    <row r="467" spans="1:27" hidden="1" x14ac:dyDescent="0.25">
      <c r="A467">
        <v>173</v>
      </c>
      <c r="B467">
        <v>807</v>
      </c>
      <c r="C467" t="s">
        <v>26</v>
      </c>
      <c r="D467">
        <v>25106</v>
      </c>
      <c r="E467">
        <f t="shared" si="15"/>
        <v>25106807</v>
      </c>
      <c r="F467">
        <f>VLOOKUP(E467,YieldData!D:F,2,FALSE)</f>
        <v>2</v>
      </c>
      <c r="G467">
        <f>VLOOKUP($E467,YieldData!$D:$F,3,FALSE)</f>
        <v>3</v>
      </c>
      <c r="H467">
        <v>16</v>
      </c>
      <c r="I467" t="s">
        <v>27</v>
      </c>
      <c r="J467" t="s">
        <v>28</v>
      </c>
      <c r="K467" s="2">
        <v>6492.3470219999999</v>
      </c>
      <c r="L467" s="2">
        <v>85673486.239999995</v>
      </c>
      <c r="M467" s="3">
        <v>13167.667579999999</v>
      </c>
      <c r="N467" s="3">
        <v>58979791.390000001</v>
      </c>
      <c r="O467" s="4">
        <v>0.10154555699999999</v>
      </c>
      <c r="P467" s="4">
        <v>1.6847926999999999E-2</v>
      </c>
      <c r="Q467" s="5">
        <v>-2.8115622999999999E-2</v>
      </c>
      <c r="R467" s="5">
        <v>1.6228620000000001E-3</v>
      </c>
      <c r="S467" s="6">
        <v>0.32461199499999999</v>
      </c>
      <c r="T467" s="6">
        <v>5.0108202999999997E-2</v>
      </c>
      <c r="U467" s="7">
        <v>0.23062136</v>
      </c>
      <c r="V467" s="7">
        <v>0.17743514799999999</v>
      </c>
      <c r="W467" s="8">
        <v>0.50836461700000002</v>
      </c>
      <c r="X467" s="8">
        <v>0.249930033</v>
      </c>
      <c r="Y467" s="2">
        <v>19</v>
      </c>
      <c r="Z467" s="2">
        <f>VLOOKUP(E467,YieldData!T:U,2,FALSE)</f>
        <v>1837</v>
      </c>
      <c r="AA467">
        <f t="shared" si="14"/>
        <v>0.88711774211185002</v>
      </c>
    </row>
    <row r="468" spans="1:27" hidden="1" x14ac:dyDescent="0.25">
      <c r="A468">
        <v>174</v>
      </c>
      <c r="B468">
        <v>808</v>
      </c>
      <c r="C468" t="s">
        <v>26</v>
      </c>
      <c r="D468">
        <v>25106</v>
      </c>
      <c r="E468">
        <f t="shared" si="15"/>
        <v>25106808</v>
      </c>
      <c r="F468">
        <f>VLOOKUP(E468,YieldData!D:F,2,FALSE)</f>
        <v>3</v>
      </c>
      <c r="G468">
        <f>VLOOKUP($E468,YieldData!$D:$F,3,FALSE)</f>
        <v>3</v>
      </c>
      <c r="H468">
        <v>16</v>
      </c>
      <c r="I468" t="s">
        <v>27</v>
      </c>
      <c r="J468" t="s">
        <v>28</v>
      </c>
      <c r="K468" s="2">
        <v>6100.8380299999999</v>
      </c>
      <c r="L468" s="2">
        <v>80315503.180000007</v>
      </c>
      <c r="M468" s="3">
        <v>13564.47335</v>
      </c>
      <c r="N468" s="3">
        <v>55690811.670000002</v>
      </c>
      <c r="O468" s="4">
        <v>9.6799378000000005E-2</v>
      </c>
      <c r="P468" s="4">
        <v>1.6446848999999999E-2</v>
      </c>
      <c r="Q468" s="5">
        <v>-2.793081E-2</v>
      </c>
      <c r="R468" s="5">
        <v>2.0101030000000001E-3</v>
      </c>
      <c r="S468" s="6">
        <v>0.31278193100000001</v>
      </c>
      <c r="T468" s="6">
        <v>4.4411045000000003E-2</v>
      </c>
      <c r="U468" s="7">
        <v>0.21429772</v>
      </c>
      <c r="V468" s="7">
        <v>0.168374207</v>
      </c>
      <c r="W468" s="8">
        <v>0.78309859199999998</v>
      </c>
      <c r="X468" s="8">
        <v>0.16985518699999999</v>
      </c>
      <c r="Y468" s="2">
        <v>28</v>
      </c>
      <c r="Z468" s="2">
        <f>VLOOKUP(E468,YieldData!T:U,2,FALSE)</f>
        <v>963</v>
      </c>
      <c r="AA468">
        <f t="shared" si="14"/>
        <v>0.87328453796889305</v>
      </c>
    </row>
    <row r="469" spans="1:27" hidden="1" x14ac:dyDescent="0.25">
      <c r="A469">
        <v>175</v>
      </c>
      <c r="B469">
        <v>809</v>
      </c>
      <c r="C469" t="s">
        <v>26</v>
      </c>
      <c r="D469">
        <v>25106</v>
      </c>
      <c r="E469">
        <f t="shared" si="15"/>
        <v>25106809</v>
      </c>
      <c r="F469">
        <f>VLOOKUP(E469,YieldData!D:F,2,FALSE)</f>
        <v>1</v>
      </c>
      <c r="G469">
        <f>VLOOKUP($E469,YieldData!$D:$F,3,FALSE)</f>
        <v>3</v>
      </c>
      <c r="H469">
        <v>16</v>
      </c>
      <c r="I469" t="s">
        <v>27</v>
      </c>
      <c r="J469" t="s">
        <v>28</v>
      </c>
      <c r="K469" s="2">
        <v>4499.9335620000002</v>
      </c>
      <c r="L469" s="2">
        <v>60708266.32</v>
      </c>
      <c r="M469" s="3">
        <v>14352.450629999999</v>
      </c>
      <c r="N469" s="3">
        <v>35682712.420000002</v>
      </c>
      <c r="O469" s="4">
        <v>8.1006438E-2</v>
      </c>
      <c r="P469" s="4">
        <v>1.0044505E-2</v>
      </c>
      <c r="Q469" s="5">
        <v>-2.4179005E-2</v>
      </c>
      <c r="R469" s="5">
        <v>1.5868200000000001E-3</v>
      </c>
      <c r="S469" s="6">
        <v>0.278352139</v>
      </c>
      <c r="T469" s="6">
        <v>2.9827064E-2</v>
      </c>
      <c r="U469" s="7">
        <v>0.13913624199999999</v>
      </c>
      <c r="V469" s="7">
        <v>0.11977734800000001</v>
      </c>
      <c r="W469" s="8">
        <v>0.78486946700000004</v>
      </c>
      <c r="X469" s="8">
        <v>0.16884938699999999</v>
      </c>
      <c r="Y469" s="2">
        <v>27</v>
      </c>
      <c r="Z469" s="2">
        <f>VLOOKUP(E469,YieldData!T:U,2,FALSE)</f>
        <v>1538</v>
      </c>
      <c r="AA469">
        <f t="shared" si="14"/>
        <v>0.67314914483913402</v>
      </c>
    </row>
    <row r="470" spans="1:27" hidden="1" x14ac:dyDescent="0.25">
      <c r="A470">
        <v>1</v>
      </c>
      <c r="B470">
        <v>101</v>
      </c>
      <c r="C470" t="s">
        <v>20</v>
      </c>
      <c r="D470">
        <v>25111</v>
      </c>
      <c r="E470">
        <f t="shared" si="15"/>
        <v>25111101</v>
      </c>
      <c r="F470">
        <f>VLOOKUP(E470,YieldData!D:F,2,FALSE)</f>
        <v>1</v>
      </c>
      <c r="G470">
        <f>VLOOKUP($E470,YieldData!$D:$F,3,FALSE)</f>
        <v>1</v>
      </c>
      <c r="H470">
        <v>23</v>
      </c>
      <c r="I470" t="s">
        <v>21</v>
      </c>
      <c r="J470" t="s">
        <v>22</v>
      </c>
      <c r="K470" s="2">
        <v>16744.396739780401</v>
      </c>
      <c r="L470" s="2">
        <v>311624345.092614</v>
      </c>
      <c r="M470" s="3">
        <v>7226.3209074078804</v>
      </c>
      <c r="N470" s="3">
        <v>103718700.285795</v>
      </c>
      <c r="O470" s="4">
        <v>0.57557811179761298</v>
      </c>
      <c r="P470" s="4">
        <v>8.4626579369330296E-3</v>
      </c>
      <c r="Q470" s="5">
        <v>0.15874787415948</v>
      </c>
      <c r="R470" s="5">
        <v>1.9811587880831901E-3</v>
      </c>
      <c r="S470" s="6">
        <v>0.55285267055453102</v>
      </c>
      <c r="T470" s="6">
        <v>5.2296971810153199E-2</v>
      </c>
      <c r="U470" s="7">
        <v>0.48158203171717701</v>
      </c>
      <c r="V470" s="7">
        <v>0.24966077844417001</v>
      </c>
      <c r="W470" s="8">
        <v>0.63995072241890705</v>
      </c>
      <c r="X470" s="8">
        <v>0.230413795294485</v>
      </c>
      <c r="Y470" s="2">
        <v>42</v>
      </c>
      <c r="Z470" s="2">
        <f>VLOOKUP(E470,YieldData!T:U,2,FALSE)</f>
        <v>2712.5032092426181</v>
      </c>
      <c r="AA470">
        <f t="shared" si="14"/>
        <v>0.63921348180219795</v>
      </c>
    </row>
    <row r="471" spans="1:27" hidden="1" x14ac:dyDescent="0.25">
      <c r="A471">
        <v>2</v>
      </c>
      <c r="B471">
        <v>102</v>
      </c>
      <c r="C471" t="s">
        <v>20</v>
      </c>
      <c r="D471">
        <v>25111</v>
      </c>
      <c r="E471">
        <f t="shared" si="15"/>
        <v>25111102</v>
      </c>
      <c r="F471">
        <f>VLOOKUP(E471,YieldData!D:F,2,FALSE)</f>
        <v>2</v>
      </c>
      <c r="G471">
        <f>VLOOKUP($E471,YieldData!$D:$F,3,FALSE)</f>
        <v>1</v>
      </c>
      <c r="H471">
        <v>23</v>
      </c>
      <c r="I471" t="s">
        <v>21</v>
      </c>
      <c r="J471" t="s">
        <v>22</v>
      </c>
      <c r="K471" s="2">
        <v>15932.695077026099</v>
      </c>
      <c r="L471" s="2">
        <v>334093233.12171602</v>
      </c>
      <c r="M471" s="3">
        <v>9268.6983034376208</v>
      </c>
      <c r="N471" s="3">
        <v>79922752.202002302</v>
      </c>
      <c r="O471" s="4">
        <v>0.55808192921734501</v>
      </c>
      <c r="P471" s="4">
        <v>6.2948227909549199E-3</v>
      </c>
      <c r="Q471" s="5">
        <v>0.154817941423219</v>
      </c>
      <c r="R471" s="5">
        <v>2.2593593701977599E-3</v>
      </c>
      <c r="S471" s="6">
        <v>0.52049475743651596</v>
      </c>
      <c r="T471" s="6">
        <v>4.6103953010912899E-2</v>
      </c>
      <c r="U471" s="7">
        <v>0.43882164386183098</v>
      </c>
      <c r="V471" s="7">
        <v>0.24625720874000201</v>
      </c>
      <c r="W471" s="8">
        <v>0.58490814276145797</v>
      </c>
      <c r="X471" s="8">
        <v>0.24279060729278901</v>
      </c>
      <c r="Y471" s="2">
        <v>48</v>
      </c>
      <c r="Z471" s="2">
        <f>VLOOKUP(E471,YieldData!T:U,2,FALSE)</f>
        <v>2630.8777278562261</v>
      </c>
      <c r="AA471">
        <f t="shared" si="14"/>
        <v>0.50606430314339002</v>
      </c>
    </row>
    <row r="472" spans="1:27" hidden="1" x14ac:dyDescent="0.25">
      <c r="A472">
        <v>3</v>
      </c>
      <c r="B472">
        <v>103</v>
      </c>
      <c r="C472" t="s">
        <v>20</v>
      </c>
      <c r="D472">
        <v>25111</v>
      </c>
      <c r="E472">
        <f t="shared" si="15"/>
        <v>25111103</v>
      </c>
      <c r="F472">
        <f>VLOOKUP(E472,YieldData!D:F,2,FALSE)</f>
        <v>3</v>
      </c>
      <c r="G472">
        <f>VLOOKUP($E472,YieldData!$D:$F,3,FALSE)</f>
        <v>1</v>
      </c>
      <c r="H472">
        <v>23</v>
      </c>
      <c r="I472" t="s">
        <v>21</v>
      </c>
      <c r="J472" t="s">
        <v>22</v>
      </c>
      <c r="K472" s="2">
        <v>15157.850900489701</v>
      </c>
      <c r="L472" s="2">
        <v>311022721.04312497</v>
      </c>
      <c r="M472" s="3">
        <v>9502.2903590456608</v>
      </c>
      <c r="N472" s="3">
        <v>76931432.492298797</v>
      </c>
      <c r="O472" s="4">
        <v>0.547869327723985</v>
      </c>
      <c r="P472" s="4">
        <v>6.0968941785551796E-3</v>
      </c>
      <c r="Q472" s="5">
        <v>0.151031668269547</v>
      </c>
      <c r="R472" s="5">
        <v>1.84141847754823E-3</v>
      </c>
      <c r="S472" s="6">
        <v>0.52063394895227799</v>
      </c>
      <c r="T472" s="6">
        <v>4.2616688098729497E-2</v>
      </c>
      <c r="U472" s="7">
        <v>0.42559548510249801</v>
      </c>
      <c r="V472" s="7">
        <v>0.24446396816304999</v>
      </c>
      <c r="W472" s="8">
        <v>0.72631214992047599</v>
      </c>
      <c r="X472" s="8">
        <v>0.198782810798383</v>
      </c>
      <c r="Y472" s="2">
        <v>39</v>
      </c>
      <c r="Z472" s="2">
        <f>VLOOKUP(E472,YieldData!T:U,2,FALSE)</f>
        <v>2507.2143774069318</v>
      </c>
      <c r="AA472">
        <f t="shared" si="14"/>
        <v>0.65522869037246001</v>
      </c>
    </row>
    <row r="473" spans="1:27" hidden="1" x14ac:dyDescent="0.25">
      <c r="A473">
        <v>4</v>
      </c>
      <c r="B473">
        <v>104</v>
      </c>
      <c r="C473" t="s">
        <v>20</v>
      </c>
      <c r="D473">
        <v>25111</v>
      </c>
      <c r="E473">
        <f t="shared" si="15"/>
        <v>25111104</v>
      </c>
      <c r="F473">
        <f>VLOOKUP(E473,YieldData!D:F,2,FALSE)</f>
        <v>4</v>
      </c>
      <c r="G473">
        <f>VLOOKUP($E473,YieldData!$D:$F,3,FALSE)</f>
        <v>1</v>
      </c>
      <c r="H473">
        <v>23</v>
      </c>
      <c r="I473" t="s">
        <v>21</v>
      </c>
      <c r="J473" t="s">
        <v>22</v>
      </c>
      <c r="K473" s="2">
        <v>17782.228975120099</v>
      </c>
      <c r="L473" s="2">
        <v>350060074.28894901</v>
      </c>
      <c r="M473" s="3">
        <v>6710.8658967326101</v>
      </c>
      <c r="N473" s="3">
        <v>96022092.5565947</v>
      </c>
      <c r="O473" s="4">
        <v>0.56178429563486398</v>
      </c>
      <c r="P473" s="4">
        <v>7.7906431702424398E-3</v>
      </c>
      <c r="Q473" s="5">
        <v>0.15264187594332801</v>
      </c>
      <c r="R473" s="5">
        <v>2.0511068803100402E-3</v>
      </c>
      <c r="S473" s="6">
        <v>0.56552764359441698</v>
      </c>
      <c r="T473" s="6">
        <v>4.5115307484385497E-2</v>
      </c>
      <c r="U473" s="7">
        <v>0.48967156543352902</v>
      </c>
      <c r="V473" s="7">
        <v>0.249893323439351</v>
      </c>
      <c r="W473" s="8">
        <v>0.62405289320013502</v>
      </c>
      <c r="X473" s="8">
        <v>0.23461087968841299</v>
      </c>
      <c r="Y473" s="2">
        <v>42</v>
      </c>
      <c r="Z473" s="2">
        <f>VLOOKUP(E473,YieldData!T:U,2,FALSE)</f>
        <v>1929.165596919127</v>
      </c>
      <c r="AA473">
        <f t="shared" si="14"/>
        <v>0.87333663091604397</v>
      </c>
    </row>
    <row r="474" spans="1:27" hidden="1" x14ac:dyDescent="0.25">
      <c r="A474">
        <v>5</v>
      </c>
      <c r="B474">
        <v>105</v>
      </c>
      <c r="C474" t="s">
        <v>20</v>
      </c>
      <c r="D474">
        <v>25111</v>
      </c>
      <c r="E474">
        <f t="shared" si="15"/>
        <v>25111105</v>
      </c>
      <c r="F474">
        <f>VLOOKUP(E474,YieldData!D:F,2,FALSE)</f>
        <v>5</v>
      </c>
      <c r="G474">
        <f>VLOOKUP($E474,YieldData!$D:$F,3,FALSE)</f>
        <v>1</v>
      </c>
      <c r="H474">
        <v>23</v>
      </c>
      <c r="I474" t="s">
        <v>21</v>
      </c>
      <c r="J474" t="s">
        <v>22</v>
      </c>
      <c r="K474" s="2">
        <v>19579.707824203098</v>
      </c>
      <c r="L474" s="2">
        <v>355848813.94007897</v>
      </c>
      <c r="M474" s="3">
        <v>5503.0157897441004</v>
      </c>
      <c r="N474" s="3">
        <v>86530476.969346702</v>
      </c>
      <c r="O474" s="4">
        <v>0.56958532701193598</v>
      </c>
      <c r="P474" s="4">
        <v>7.2342604669579803E-3</v>
      </c>
      <c r="Q474" s="5">
        <v>0.16095840924027699</v>
      </c>
      <c r="R474" s="5">
        <v>2.8822875091016101E-3</v>
      </c>
      <c r="S474" s="6">
        <v>0.60592746924198004</v>
      </c>
      <c r="T474" s="6">
        <v>4.1685315443905302E-2</v>
      </c>
      <c r="U474" s="7">
        <v>0.59612158359863099</v>
      </c>
      <c r="V474" s="7">
        <v>0.24076064116662299</v>
      </c>
      <c r="W474" s="8">
        <v>0.83248999220514996</v>
      </c>
      <c r="X474" s="8">
        <v>0.13945040508342099</v>
      </c>
      <c r="Y474" s="2">
        <v>64</v>
      </c>
      <c r="Z474" s="2">
        <f>VLOOKUP(E474,YieldData!T:U,2,FALSE)</f>
        <v>2572.6668806161747</v>
      </c>
      <c r="AA474">
        <f t="shared" si="14"/>
        <v>0.89342757117379001</v>
      </c>
    </row>
    <row r="475" spans="1:27" hidden="1" x14ac:dyDescent="0.25">
      <c r="A475">
        <v>6</v>
      </c>
      <c r="B475">
        <v>106</v>
      </c>
      <c r="C475" t="s">
        <v>20</v>
      </c>
      <c r="D475">
        <v>25111</v>
      </c>
      <c r="E475">
        <f t="shared" si="15"/>
        <v>25111106</v>
      </c>
      <c r="F475">
        <f>VLOOKUP(E475,YieldData!D:F,2,FALSE)</f>
        <v>6</v>
      </c>
      <c r="G475">
        <f>VLOOKUP($E475,YieldData!$D:$F,3,FALSE)</f>
        <v>1</v>
      </c>
      <c r="H475">
        <v>23</v>
      </c>
      <c r="I475" t="s">
        <v>21</v>
      </c>
      <c r="J475" t="s">
        <v>22</v>
      </c>
      <c r="K475" s="2">
        <v>11590.344938664401</v>
      </c>
      <c r="L475" s="2">
        <v>212936716.85714301</v>
      </c>
      <c r="M475" s="3">
        <v>12414.6798236461</v>
      </c>
      <c r="N475" s="3">
        <v>86918614.389580101</v>
      </c>
      <c r="O475" s="4">
        <v>0.51766085484493796</v>
      </c>
      <c r="P475" s="4">
        <v>8.3790316557187799E-3</v>
      </c>
      <c r="Q475" s="5">
        <v>0.159976003264411</v>
      </c>
      <c r="R475" s="5">
        <v>3.4121104547308301E-3</v>
      </c>
      <c r="S475" s="6">
        <v>0.50895416051114495</v>
      </c>
      <c r="T475" s="6">
        <v>4.0967785572653001E-2</v>
      </c>
      <c r="U475" s="7">
        <v>0.37699357061151501</v>
      </c>
      <c r="V475" s="7">
        <v>0.234869418329127</v>
      </c>
      <c r="W475" s="8">
        <v>0.65377636354073498</v>
      </c>
      <c r="X475" s="8">
        <v>0.22635283001655199</v>
      </c>
      <c r="Y475" s="2">
        <v>21</v>
      </c>
      <c r="Z475" s="2">
        <f>VLOOKUP(E475,YieldData!T:U,2,FALSE)</f>
        <v>1598.7419768934531</v>
      </c>
      <c r="AA475">
        <f t="shared" si="14"/>
        <v>0.86296398564159205</v>
      </c>
    </row>
    <row r="476" spans="1:27" hidden="1" x14ac:dyDescent="0.25">
      <c r="A476">
        <v>7</v>
      </c>
      <c r="B476">
        <v>107</v>
      </c>
      <c r="C476" t="s">
        <v>20</v>
      </c>
      <c r="D476">
        <v>25111</v>
      </c>
      <c r="E476">
        <f t="shared" si="15"/>
        <v>25111107</v>
      </c>
      <c r="F476">
        <f>VLOOKUP(E476,YieldData!D:F,2,FALSE)</f>
        <v>7</v>
      </c>
      <c r="G476">
        <f>VLOOKUP($E476,YieldData!$D:$F,3,FALSE)</f>
        <v>1</v>
      </c>
      <c r="H476">
        <v>23</v>
      </c>
      <c r="I476" t="s">
        <v>21</v>
      </c>
      <c r="J476" t="s">
        <v>22</v>
      </c>
      <c r="K476" s="2">
        <v>13818.9561042691</v>
      </c>
      <c r="L476" s="2">
        <v>250308362.559127</v>
      </c>
      <c r="M476" s="3">
        <v>10241.2433095387</v>
      </c>
      <c r="N476" s="3">
        <v>89143335.884782299</v>
      </c>
      <c r="O476" s="4">
        <v>0.542867117291428</v>
      </c>
      <c r="P476" s="4">
        <v>9.0263649347436005E-3</v>
      </c>
      <c r="Q476" s="5">
        <v>0.167695195591234</v>
      </c>
      <c r="R476" s="5">
        <v>3.5886656166680899E-3</v>
      </c>
      <c r="S476" s="6">
        <v>0.55965308364453004</v>
      </c>
      <c r="T476" s="6">
        <v>4.2908277746294902E-2</v>
      </c>
      <c r="U476" s="7">
        <v>0.46166577422966498</v>
      </c>
      <c r="V476" s="7">
        <v>0.248530487134589</v>
      </c>
      <c r="W476" s="8">
        <v>0.87693168820422995</v>
      </c>
      <c r="X476" s="8">
        <v>0.10792250242739</v>
      </c>
      <c r="Y476" s="2">
        <v>45</v>
      </c>
      <c r="Z476" s="2">
        <f>VLOOKUP(E476,YieldData!T:U,2,FALSE)</f>
        <v>1100.0449293966624</v>
      </c>
      <c r="AA476">
        <f t="shared" si="14"/>
        <v>0.90252597766042897</v>
      </c>
    </row>
    <row r="477" spans="1:27" hidden="1" x14ac:dyDescent="0.25">
      <c r="A477">
        <v>8</v>
      </c>
      <c r="B477">
        <v>108</v>
      </c>
      <c r="C477" t="s">
        <v>20</v>
      </c>
      <c r="D477">
        <v>25111</v>
      </c>
      <c r="E477">
        <f t="shared" si="15"/>
        <v>25111108</v>
      </c>
      <c r="F477">
        <f>VLOOKUP(E477,YieldData!D:F,2,FALSE)</f>
        <v>8</v>
      </c>
      <c r="G477">
        <f>VLOOKUP($E477,YieldData!$D:$F,3,FALSE)</f>
        <v>1</v>
      </c>
      <c r="H477">
        <v>23</v>
      </c>
      <c r="I477" t="s">
        <v>21</v>
      </c>
      <c r="J477" t="s">
        <v>22</v>
      </c>
      <c r="K477" s="2">
        <v>17636.0661292445</v>
      </c>
      <c r="L477" s="2">
        <v>306804769.35353798</v>
      </c>
      <c r="M477" s="3">
        <v>7643.2381536581497</v>
      </c>
      <c r="N477" s="3">
        <v>97081193.547882095</v>
      </c>
      <c r="O477" s="4">
        <v>0.55983754176769895</v>
      </c>
      <c r="P477" s="4">
        <v>8.3485285213147492E-3</v>
      </c>
      <c r="Q477" s="5">
        <v>0.159976061946114</v>
      </c>
      <c r="R477" s="5">
        <v>2.6767574405235201E-3</v>
      </c>
      <c r="S477" s="6">
        <v>0.59468090424299203</v>
      </c>
      <c r="T477" s="6">
        <v>4.47930843057305E-2</v>
      </c>
      <c r="U477" s="7">
        <v>0.53983422837254402</v>
      </c>
      <c r="V477" s="7">
        <v>0.248413234250006</v>
      </c>
      <c r="W477" s="8">
        <v>0.70954277444894898</v>
      </c>
      <c r="X477" s="8">
        <v>0.20609182567603301</v>
      </c>
      <c r="Y477" s="2">
        <v>39</v>
      </c>
      <c r="Z477" s="2">
        <f>VLOOKUP(E477,YieldData!T:U,2,FALSE)</f>
        <v>1751.4040436456994</v>
      </c>
      <c r="AA477">
        <f t="shared" si="14"/>
        <v>0.80795082163274101</v>
      </c>
    </row>
    <row r="478" spans="1:27" hidden="1" x14ac:dyDescent="0.25">
      <c r="A478">
        <v>9</v>
      </c>
      <c r="B478">
        <v>109</v>
      </c>
      <c r="C478" t="s">
        <v>20</v>
      </c>
      <c r="D478">
        <v>25111</v>
      </c>
      <c r="E478">
        <f t="shared" si="15"/>
        <v>25111109</v>
      </c>
      <c r="F478">
        <f>VLOOKUP(E478,YieldData!D:F,2,FALSE)</f>
        <v>9</v>
      </c>
      <c r="G478">
        <f>VLOOKUP($E478,YieldData!$D:$F,3,FALSE)</f>
        <v>1</v>
      </c>
      <c r="H478">
        <v>23</v>
      </c>
      <c r="I478" t="s">
        <v>21</v>
      </c>
      <c r="J478" t="s">
        <v>22</v>
      </c>
      <c r="K478" s="2">
        <v>13134.3502852564</v>
      </c>
      <c r="L478" s="2">
        <v>270745911.00120902</v>
      </c>
      <c r="M478" s="3">
        <v>10368.2532409126</v>
      </c>
      <c r="N478" s="3">
        <v>91445074.636207104</v>
      </c>
      <c r="O478" s="4">
        <v>0.52073875426191696</v>
      </c>
      <c r="P478" s="4">
        <v>7.4444074549883197E-3</v>
      </c>
      <c r="Q478" s="5">
        <v>0.1421108125353</v>
      </c>
      <c r="R478" s="5">
        <v>1.66777287041422E-3</v>
      </c>
      <c r="S478" s="6">
        <v>0.500600432636783</v>
      </c>
      <c r="T478" s="6">
        <v>4.2878446898200799E-2</v>
      </c>
      <c r="U478" s="7">
        <v>0.37055819349591601</v>
      </c>
      <c r="V478" s="7">
        <v>0.23324481872880701</v>
      </c>
      <c r="W478" s="8">
        <v>0.66820552073865003</v>
      </c>
      <c r="X478" s="8">
        <v>0.221706902792904</v>
      </c>
      <c r="Y478" s="2">
        <v>37</v>
      </c>
      <c r="Z478" s="2">
        <f>VLOOKUP(E478,YieldData!T:U,2,FALSE)</f>
        <v>2836.1071887034655</v>
      </c>
      <c r="AA478">
        <f t="shared" si="14"/>
        <v>0.78055665195498003</v>
      </c>
    </row>
    <row r="479" spans="1:27" hidden="1" x14ac:dyDescent="0.25">
      <c r="A479">
        <v>10</v>
      </c>
      <c r="B479">
        <v>110</v>
      </c>
      <c r="C479" t="s">
        <v>20</v>
      </c>
      <c r="D479">
        <v>25111</v>
      </c>
      <c r="E479">
        <f t="shared" si="15"/>
        <v>25111110</v>
      </c>
      <c r="F479">
        <f>VLOOKUP(E479,YieldData!D:F,2,FALSE)</f>
        <v>10</v>
      </c>
      <c r="G479">
        <f>VLOOKUP($E479,YieldData!$D:$F,3,FALSE)</f>
        <v>1</v>
      </c>
      <c r="H479">
        <v>23</v>
      </c>
      <c r="I479" t="s">
        <v>21</v>
      </c>
      <c r="J479" t="s">
        <v>22</v>
      </c>
      <c r="K479" s="2">
        <v>19188.0295165881</v>
      </c>
      <c r="L479" s="2">
        <v>355958424.09705299</v>
      </c>
      <c r="M479" s="3">
        <v>6057.8462209504196</v>
      </c>
      <c r="N479" s="3">
        <v>90168816.744857803</v>
      </c>
      <c r="O479" s="4">
        <v>0.55838100576681204</v>
      </c>
      <c r="P479" s="4">
        <v>8.2002044243056401E-3</v>
      </c>
      <c r="Q479" s="5">
        <v>0.15175705958044</v>
      </c>
      <c r="R479" s="5">
        <v>2.1847088420770999E-3</v>
      </c>
      <c r="S479" s="6">
        <v>0.59194910663446698</v>
      </c>
      <c r="T479" s="6">
        <v>4.6263452229990697E-2</v>
      </c>
      <c r="U479" s="7">
        <v>0.54982419212093703</v>
      </c>
      <c r="V479" s="7">
        <v>0.247517549879747</v>
      </c>
      <c r="W479" s="8">
        <v>0.68530080133955296</v>
      </c>
      <c r="X479" s="8">
        <v>0.21566361302290399</v>
      </c>
      <c r="Y479" s="2">
        <v>46</v>
      </c>
      <c r="Z479" s="2">
        <f>VLOOKUP(E479,YieldData!T:U,2,FALSE)</f>
        <v>1890.8279845956356</v>
      </c>
      <c r="AA479">
        <f t="shared" si="14"/>
        <v>0.82046498277841595</v>
      </c>
    </row>
    <row r="480" spans="1:27" hidden="1" x14ac:dyDescent="0.25">
      <c r="A480">
        <v>11</v>
      </c>
      <c r="B480">
        <v>201</v>
      </c>
      <c r="C480" t="s">
        <v>20</v>
      </c>
      <c r="D480">
        <v>25111</v>
      </c>
      <c r="E480">
        <f t="shared" si="15"/>
        <v>25111201</v>
      </c>
      <c r="F480">
        <f>VLOOKUP(E480,YieldData!D:F,2,FALSE)</f>
        <v>14</v>
      </c>
      <c r="G480">
        <f>VLOOKUP($E480,YieldData!$D:$F,3,FALSE)</f>
        <v>2</v>
      </c>
      <c r="H480">
        <v>23</v>
      </c>
      <c r="I480" t="s">
        <v>21</v>
      </c>
      <c r="J480" t="s">
        <v>22</v>
      </c>
      <c r="K480" s="2">
        <v>14635.7393715567</v>
      </c>
      <c r="L480" s="2">
        <v>277242116.93532199</v>
      </c>
      <c r="M480" s="3">
        <v>8948.8946692868794</v>
      </c>
      <c r="N480" s="3">
        <v>93610534.326051801</v>
      </c>
      <c r="O480" s="4">
        <v>0.54785545082419296</v>
      </c>
      <c r="P480" s="4">
        <v>9.1444038679723404E-3</v>
      </c>
      <c r="Q480" s="5">
        <v>0.15293889643813099</v>
      </c>
      <c r="R480" s="5">
        <v>1.6569406693641099E-3</v>
      </c>
      <c r="S480" s="6">
        <v>0.51741468329401197</v>
      </c>
      <c r="T480" s="6">
        <v>4.9457144286272799E-2</v>
      </c>
      <c r="U480" s="7">
        <v>0.423638535420019</v>
      </c>
      <c r="V480" s="7">
        <v>0.244168926727306</v>
      </c>
      <c r="W480" s="8">
        <v>0.27001401498994598</v>
      </c>
      <c r="X480" s="8">
        <v>0.19710644669862901</v>
      </c>
      <c r="Y480" s="2">
        <v>7</v>
      </c>
      <c r="Z480" s="2">
        <f>VLOOKUP(E480,YieldData!T:U,2,FALSE)</f>
        <v>2873.0102695763803</v>
      </c>
      <c r="AA480">
        <f t="shared" si="14"/>
        <v>0.73810771612085502</v>
      </c>
    </row>
    <row r="481" spans="1:27" hidden="1" x14ac:dyDescent="0.25">
      <c r="A481">
        <v>12</v>
      </c>
      <c r="B481">
        <v>202</v>
      </c>
      <c r="C481" t="s">
        <v>20</v>
      </c>
      <c r="D481">
        <v>25111</v>
      </c>
      <c r="E481">
        <f t="shared" si="15"/>
        <v>25111202</v>
      </c>
      <c r="F481">
        <f>VLOOKUP(E481,YieldData!D:F,2,FALSE)</f>
        <v>5</v>
      </c>
      <c r="G481">
        <f>VLOOKUP($E481,YieldData!$D:$F,3,FALSE)</f>
        <v>2</v>
      </c>
      <c r="H481">
        <v>23</v>
      </c>
      <c r="I481" t="s">
        <v>21</v>
      </c>
      <c r="J481" t="s">
        <v>22</v>
      </c>
      <c r="K481" s="2">
        <v>11139.983531269099</v>
      </c>
      <c r="L481" s="2">
        <v>191084588.89199501</v>
      </c>
      <c r="M481" s="3">
        <v>10402.6718971601</v>
      </c>
      <c r="N481" s="3">
        <v>90101806.725782499</v>
      </c>
      <c r="O481" s="4">
        <v>0.54823181906677199</v>
      </c>
      <c r="P481" s="4">
        <v>1.08772843394109E-2</v>
      </c>
      <c r="Q481" s="5">
        <v>0.16122491206807699</v>
      </c>
      <c r="R481" s="5">
        <v>1.5451523063096399E-3</v>
      </c>
      <c r="S481" s="6">
        <v>0.49253288796034</v>
      </c>
      <c r="T481" s="6">
        <v>4.6827156496789701E-2</v>
      </c>
      <c r="U481" s="7">
        <v>0.36715582505112798</v>
      </c>
      <c r="V481" s="7">
        <v>0.232352425182141</v>
      </c>
      <c r="W481" s="8">
        <v>0.57117056776184405</v>
      </c>
      <c r="X481" s="8">
        <v>0.24493475028457801</v>
      </c>
      <c r="Y481" s="2">
        <v>31</v>
      </c>
      <c r="Z481" s="2">
        <f>VLOOKUP(E481,YieldData!T:U,2,FALSE)</f>
        <v>2254.9277920410782</v>
      </c>
      <c r="AA481">
        <f t="shared" si="14"/>
        <v>0.59069923211252795</v>
      </c>
    </row>
    <row r="482" spans="1:27" hidden="1" x14ac:dyDescent="0.25">
      <c r="A482">
        <v>13</v>
      </c>
      <c r="B482">
        <v>203</v>
      </c>
      <c r="C482" t="s">
        <v>20</v>
      </c>
      <c r="D482">
        <v>25111</v>
      </c>
      <c r="E482">
        <f t="shared" si="15"/>
        <v>25111203</v>
      </c>
      <c r="F482">
        <f>VLOOKUP(E482,YieldData!D:F,2,FALSE)</f>
        <v>7</v>
      </c>
      <c r="G482">
        <f>VLOOKUP($E482,YieldData!$D:$F,3,FALSE)</f>
        <v>2</v>
      </c>
      <c r="H482">
        <v>23</v>
      </c>
      <c r="I482" t="s">
        <v>21</v>
      </c>
      <c r="J482" t="s">
        <v>22</v>
      </c>
      <c r="K482" s="2">
        <v>10394.4162241676</v>
      </c>
      <c r="L482" s="2">
        <v>183978196.28869101</v>
      </c>
      <c r="M482" s="3">
        <v>9130.8323531129809</v>
      </c>
      <c r="N482" s="3">
        <v>89676192.9697413</v>
      </c>
      <c r="O482" s="4">
        <v>0.57605825534245103</v>
      </c>
      <c r="P482" s="4">
        <v>1.09502108781812E-2</v>
      </c>
      <c r="Q482" s="5">
        <v>0.178400070159699</v>
      </c>
      <c r="R482" s="5">
        <v>1.29501029439816E-3</v>
      </c>
      <c r="S482" s="6">
        <v>0.52546728228817996</v>
      </c>
      <c r="T482" s="6">
        <v>4.5201358397621599E-2</v>
      </c>
      <c r="U482" s="7">
        <v>0.37526310753922698</v>
      </c>
      <c r="V482" s="7">
        <v>0.23444070765929501</v>
      </c>
      <c r="W482" s="8">
        <v>0.94331746525368998</v>
      </c>
      <c r="X482" s="8">
        <v>5.3469625001099301E-2</v>
      </c>
      <c r="Y482" s="2">
        <v>85</v>
      </c>
      <c r="Z482" s="2">
        <f>VLOOKUP(E482,YieldData!T:U,2,FALSE)</f>
        <v>1622.7968549422335</v>
      </c>
      <c r="AA482">
        <f t="shared" si="14"/>
        <v>0.52829037852060001</v>
      </c>
    </row>
    <row r="483" spans="1:27" hidden="1" x14ac:dyDescent="0.25">
      <c r="A483">
        <v>14</v>
      </c>
      <c r="B483">
        <v>204</v>
      </c>
      <c r="C483" t="s">
        <v>20</v>
      </c>
      <c r="D483">
        <v>25111</v>
      </c>
      <c r="E483">
        <f t="shared" si="15"/>
        <v>25111204</v>
      </c>
      <c r="F483">
        <f>VLOOKUP(E483,YieldData!D:F,2,FALSE)</f>
        <v>9</v>
      </c>
      <c r="G483">
        <f>VLOOKUP($E483,YieldData!$D:$F,3,FALSE)</f>
        <v>2</v>
      </c>
      <c r="H483">
        <v>23</v>
      </c>
      <c r="I483" t="s">
        <v>21</v>
      </c>
      <c r="J483" t="s">
        <v>22</v>
      </c>
      <c r="K483" s="2">
        <v>8708.7808448548094</v>
      </c>
      <c r="L483" s="2">
        <v>167368529.13161099</v>
      </c>
      <c r="M483" s="3">
        <v>12395.999659589201</v>
      </c>
      <c r="N483" s="3">
        <v>66058313.132031597</v>
      </c>
      <c r="O483" s="4">
        <v>0.52734392811817099</v>
      </c>
      <c r="P483" s="4">
        <v>7.3727320103388399E-3</v>
      </c>
      <c r="Q483" s="5">
        <v>0.16188551021613401</v>
      </c>
      <c r="R483" s="5">
        <v>1.2729337394452799E-3</v>
      </c>
      <c r="S483" s="6">
        <v>0.46353687061759602</v>
      </c>
      <c r="T483" s="6">
        <v>3.3836354875852299E-2</v>
      </c>
      <c r="U483" s="7">
        <v>0.28549729703870302</v>
      </c>
      <c r="V483" s="7">
        <v>0.203988590422262</v>
      </c>
      <c r="W483" s="8">
        <v>0.70748567806441598</v>
      </c>
      <c r="X483" s="8">
        <v>0.20694969339827901</v>
      </c>
      <c r="Y483" s="2">
        <v>25</v>
      </c>
      <c r="Z483" s="2">
        <f>VLOOKUP(E483,YieldData!T:U,2,FALSE)</f>
        <v>2654.4849165596916</v>
      </c>
      <c r="AA483">
        <f t="shared" si="14"/>
        <v>0.53304470543210503</v>
      </c>
    </row>
    <row r="484" spans="1:27" hidden="1" x14ac:dyDescent="0.25">
      <c r="A484">
        <v>15</v>
      </c>
      <c r="B484">
        <v>205</v>
      </c>
      <c r="C484" t="s">
        <v>20</v>
      </c>
      <c r="D484">
        <v>25111</v>
      </c>
      <c r="E484">
        <f t="shared" si="15"/>
        <v>25111205</v>
      </c>
      <c r="F484">
        <f>VLOOKUP(E484,YieldData!D:F,2,FALSE)</f>
        <v>3</v>
      </c>
      <c r="G484">
        <f>VLOOKUP($E484,YieldData!$D:$F,3,FALSE)</f>
        <v>2</v>
      </c>
      <c r="H484">
        <v>23</v>
      </c>
      <c r="I484" t="s">
        <v>21</v>
      </c>
      <c r="J484" t="s">
        <v>22</v>
      </c>
      <c r="K484" s="2">
        <v>10042.3029053911</v>
      </c>
      <c r="L484" s="2">
        <v>194808933.07323101</v>
      </c>
      <c r="M484" s="3">
        <v>11485.1335888012</v>
      </c>
      <c r="N484" s="3">
        <v>70408823.990911007</v>
      </c>
      <c r="O484" s="4">
        <v>0.54986741486692103</v>
      </c>
      <c r="P484" s="4">
        <v>7.9244713641372297E-3</v>
      </c>
      <c r="Q484" s="5">
        <v>0.18146938270866</v>
      </c>
      <c r="R484" s="5">
        <v>1.79747861982853E-3</v>
      </c>
      <c r="S484" s="6">
        <v>0.50520553959185099</v>
      </c>
      <c r="T484" s="6">
        <v>3.6883744789133699E-2</v>
      </c>
      <c r="U484" s="7">
        <v>0.36339182306130802</v>
      </c>
      <c r="V484" s="7">
        <v>0.23133820599347399</v>
      </c>
      <c r="W484" s="8">
        <v>0.71106378739196496</v>
      </c>
      <c r="X484" s="8">
        <v>0.205452077652298</v>
      </c>
      <c r="Y484" s="2">
        <v>45</v>
      </c>
      <c r="Z484" s="2">
        <f>VLOOKUP(E484,YieldData!T:U,2,FALSE)</f>
        <v>2797.6251604621311</v>
      </c>
      <c r="AA484">
        <f t="shared" si="14"/>
        <v>0.57540285422529902</v>
      </c>
    </row>
    <row r="485" spans="1:27" hidden="1" x14ac:dyDescent="0.25">
      <c r="A485">
        <v>16</v>
      </c>
      <c r="B485">
        <v>206</v>
      </c>
      <c r="C485" t="s">
        <v>20</v>
      </c>
      <c r="D485">
        <v>25111</v>
      </c>
      <c r="E485">
        <f t="shared" si="15"/>
        <v>25111206</v>
      </c>
      <c r="F485">
        <f>VLOOKUP(E485,YieldData!D:F,2,FALSE)</f>
        <v>13</v>
      </c>
      <c r="G485">
        <f>VLOOKUP($E485,YieldData!$D:$F,3,FALSE)</f>
        <v>2</v>
      </c>
      <c r="H485">
        <v>23</v>
      </c>
      <c r="I485" t="s">
        <v>21</v>
      </c>
      <c r="J485" t="s">
        <v>22</v>
      </c>
      <c r="K485" s="2">
        <v>8505.6289811392999</v>
      </c>
      <c r="L485" s="2">
        <v>136285970.24336299</v>
      </c>
      <c r="M485" s="3">
        <v>12118.6029929056</v>
      </c>
      <c r="N485" s="3">
        <v>98026415.420965299</v>
      </c>
      <c r="O485" s="4">
        <v>0.57105623283207796</v>
      </c>
      <c r="P485" s="4">
        <v>1.07349128968158E-2</v>
      </c>
      <c r="Q485" s="5">
        <v>0.20224378850638999</v>
      </c>
      <c r="R485" s="5">
        <v>3.2626929874065699E-3</v>
      </c>
      <c r="S485" s="6">
        <v>0.52703829094965904</v>
      </c>
      <c r="T485" s="6">
        <v>4.1471597828418097E-2</v>
      </c>
      <c r="U485" s="7">
        <v>0.38370827502900301</v>
      </c>
      <c r="V485" s="7">
        <v>0.23647623470346099</v>
      </c>
      <c r="W485" s="8">
        <v>0.78897831780618799</v>
      </c>
      <c r="X485" s="8">
        <v>0.16649153183794899</v>
      </c>
      <c r="Y485" s="2">
        <v>50</v>
      </c>
      <c r="Z485" s="2">
        <f>VLOOKUP(E485,YieldData!T:U,2,FALSE)</f>
        <v>1323.0712451861359</v>
      </c>
      <c r="AA485">
        <f t="shared" si="14"/>
        <v>0.92605835924419999</v>
      </c>
    </row>
    <row r="486" spans="1:27" hidden="1" x14ac:dyDescent="0.25">
      <c r="A486">
        <v>17</v>
      </c>
      <c r="B486">
        <v>207</v>
      </c>
      <c r="C486" t="s">
        <v>20</v>
      </c>
      <c r="D486">
        <v>25111</v>
      </c>
      <c r="E486">
        <f t="shared" si="15"/>
        <v>25111207</v>
      </c>
      <c r="F486">
        <f>VLOOKUP(E486,YieldData!D:F,2,FALSE)</f>
        <v>14</v>
      </c>
      <c r="G486">
        <f>VLOOKUP($E486,YieldData!$D:$F,3,FALSE)</f>
        <v>1</v>
      </c>
      <c r="H486">
        <v>23</v>
      </c>
      <c r="I486" t="s">
        <v>21</v>
      </c>
      <c r="J486" t="s">
        <v>22</v>
      </c>
      <c r="K486" s="2">
        <v>9260.3404976660004</v>
      </c>
      <c r="L486" s="2">
        <v>147065934.53988299</v>
      </c>
      <c r="M486" s="3">
        <v>11561.789995199901</v>
      </c>
      <c r="N486" s="3">
        <v>89498679.993369102</v>
      </c>
      <c r="O486" s="4">
        <v>0.56132656821275595</v>
      </c>
      <c r="P486" s="4">
        <v>1.0905957714665401E-2</v>
      </c>
      <c r="Q486" s="5">
        <v>0.193811065400921</v>
      </c>
      <c r="R486" s="5">
        <v>3.63920862842488E-3</v>
      </c>
      <c r="S486" s="6">
        <v>0.533208339586419</v>
      </c>
      <c r="T486" s="6">
        <v>4.1200860348917498E-2</v>
      </c>
      <c r="U486" s="7">
        <v>0.41887942921479099</v>
      </c>
      <c r="V486" s="7">
        <v>0.243419452995456</v>
      </c>
      <c r="W486" s="8">
        <v>0.95328829170778595</v>
      </c>
      <c r="X486" s="8">
        <v>4.4529724600632599E-2</v>
      </c>
      <c r="Y486" s="2">
        <v>85</v>
      </c>
      <c r="Z486" s="2">
        <f>VLOOKUP(E486,YieldData!T:U,2,FALSE)</f>
        <v>2191.5661103979464</v>
      </c>
      <c r="AA486">
        <f t="shared" si="14"/>
        <v>0.61661964346714904</v>
      </c>
    </row>
    <row r="487" spans="1:27" hidden="1" x14ac:dyDescent="0.25">
      <c r="A487">
        <v>18</v>
      </c>
      <c r="B487">
        <v>208</v>
      </c>
      <c r="C487" t="s">
        <v>20</v>
      </c>
      <c r="D487">
        <v>25111</v>
      </c>
      <c r="E487">
        <f t="shared" si="15"/>
        <v>25111208</v>
      </c>
      <c r="F487">
        <f>VLOOKUP(E487,YieldData!D:F,2,FALSE)</f>
        <v>13</v>
      </c>
      <c r="G487">
        <f>VLOOKUP($E487,YieldData!$D:$F,3,FALSE)</f>
        <v>1</v>
      </c>
      <c r="H487">
        <v>23</v>
      </c>
      <c r="I487" t="s">
        <v>21</v>
      </c>
      <c r="J487" t="s">
        <v>22</v>
      </c>
      <c r="K487" s="2">
        <v>8666.7781006708992</v>
      </c>
      <c r="L487" s="2">
        <v>155616919.10845101</v>
      </c>
      <c r="M487" s="3">
        <v>11863.658029463901</v>
      </c>
      <c r="N487" s="3">
        <v>84498082.893525496</v>
      </c>
      <c r="O487" s="4">
        <v>0.53418480579947503</v>
      </c>
      <c r="P487" s="4">
        <v>9.8471437927789996E-3</v>
      </c>
      <c r="Q487" s="5">
        <v>0.17092981885262401</v>
      </c>
      <c r="R487" s="5">
        <v>2.0393239423380201E-3</v>
      </c>
      <c r="S487" s="6">
        <v>0.49237690667341599</v>
      </c>
      <c r="T487" s="6">
        <v>4.1209473897206403E-2</v>
      </c>
      <c r="U487" s="7">
        <v>0.33478037288176099</v>
      </c>
      <c r="V487" s="7">
        <v>0.22270247481497499</v>
      </c>
      <c r="W487" s="8">
        <v>0.712532593354544</v>
      </c>
      <c r="X487" s="8">
        <v>0.204829896762142</v>
      </c>
      <c r="Y487" s="2">
        <v>28</v>
      </c>
      <c r="Z487" s="2">
        <f>VLOOKUP(E487,YieldData!T:U,2,FALSE)</f>
        <v>2785.418806161746</v>
      </c>
      <c r="AA487">
        <f t="shared" si="14"/>
        <v>0.53164133047877604</v>
      </c>
    </row>
    <row r="488" spans="1:27" hidden="1" x14ac:dyDescent="0.25">
      <c r="A488">
        <v>19</v>
      </c>
      <c r="B488">
        <v>209</v>
      </c>
      <c r="C488" t="s">
        <v>20</v>
      </c>
      <c r="D488">
        <v>25111</v>
      </c>
      <c r="E488">
        <f t="shared" si="15"/>
        <v>25111209</v>
      </c>
      <c r="F488">
        <f>VLOOKUP(E488,YieldData!D:F,2,FALSE)</f>
        <v>12</v>
      </c>
      <c r="G488">
        <f>VLOOKUP($E488,YieldData!$D:$F,3,FALSE)</f>
        <v>1</v>
      </c>
      <c r="H488">
        <v>23</v>
      </c>
      <c r="I488" t="s">
        <v>21</v>
      </c>
      <c r="J488" t="s">
        <v>22</v>
      </c>
      <c r="K488" s="2">
        <v>12247.1131263032</v>
      </c>
      <c r="L488" s="2">
        <v>184471392.16890001</v>
      </c>
      <c r="M488" s="3">
        <v>8424.0858881421991</v>
      </c>
      <c r="N488" s="3">
        <v>115782430.235503</v>
      </c>
      <c r="O488" s="4">
        <v>0.56752357158997302</v>
      </c>
      <c r="P488" s="4">
        <v>1.3192272484896E-2</v>
      </c>
      <c r="Q488" s="5">
        <v>0.164509773193629</v>
      </c>
      <c r="R488" s="5">
        <v>2.1315196293344098E-3</v>
      </c>
      <c r="S488" s="6">
        <v>0.55263403461104699</v>
      </c>
      <c r="T488" s="6">
        <v>5.00119518543811E-2</v>
      </c>
      <c r="U488" s="7">
        <v>0.45578709701299203</v>
      </c>
      <c r="V488" s="7">
        <v>0.248045219209341</v>
      </c>
      <c r="W488" s="8">
        <v>0.50350452873960405</v>
      </c>
      <c r="X488" s="8">
        <v>0.249987718278085</v>
      </c>
      <c r="Y488" s="2">
        <v>21</v>
      </c>
      <c r="Z488" s="2">
        <f>VLOOKUP(E488,YieldData!T:U,2,FALSE)</f>
        <v>2428.5847240051348</v>
      </c>
      <c r="AA488">
        <f t="shared" si="14"/>
        <v>0.86303736242041396</v>
      </c>
    </row>
    <row r="489" spans="1:27" hidden="1" x14ac:dyDescent="0.25">
      <c r="A489">
        <v>20</v>
      </c>
      <c r="B489">
        <v>210</v>
      </c>
      <c r="C489" t="s">
        <v>20</v>
      </c>
      <c r="D489">
        <v>25111</v>
      </c>
      <c r="E489">
        <f t="shared" si="15"/>
        <v>25111210</v>
      </c>
      <c r="F489">
        <f>VLOOKUP(E489,YieldData!D:F,2,FALSE)</f>
        <v>11</v>
      </c>
      <c r="G489">
        <f>VLOOKUP($E489,YieldData!$D:$F,3,FALSE)</f>
        <v>1</v>
      </c>
      <c r="H489">
        <v>23</v>
      </c>
      <c r="I489" t="s">
        <v>21</v>
      </c>
      <c r="J489" t="s">
        <v>22</v>
      </c>
      <c r="K489" s="2">
        <v>13268.560923781701</v>
      </c>
      <c r="L489" s="2">
        <v>215813912.19226101</v>
      </c>
      <c r="M489" s="3">
        <v>7607.8452603545302</v>
      </c>
      <c r="N489" s="3">
        <v>99247550.285013705</v>
      </c>
      <c r="O489" s="4">
        <v>0.55609507360752197</v>
      </c>
      <c r="P489" s="4">
        <v>1.05043897196457E-2</v>
      </c>
      <c r="Q489" s="5">
        <v>0.16050818325385999</v>
      </c>
      <c r="R489" s="5">
        <v>2.2958734770379399E-3</v>
      </c>
      <c r="S489" s="6">
        <v>0.55416069671517298</v>
      </c>
      <c r="T489" s="6">
        <v>4.8624711593437099E-2</v>
      </c>
      <c r="U489" s="7">
        <v>0.47577299910930099</v>
      </c>
      <c r="V489" s="7">
        <v>0.249413052427962</v>
      </c>
      <c r="W489" s="8">
        <v>0.69159021212159799</v>
      </c>
      <c r="X489" s="8">
        <v>0.213293190618769</v>
      </c>
      <c r="Y489" s="2">
        <v>44</v>
      </c>
      <c r="Z489" s="2">
        <f>VLOOKUP(E489,YieldData!T:U,2,FALSE)</f>
        <v>2134.146341463415</v>
      </c>
      <c r="AA489">
        <f t="shared" si="14"/>
        <v>0.68992238198244005</v>
      </c>
    </row>
    <row r="490" spans="1:27" hidden="1" x14ac:dyDescent="0.25">
      <c r="A490">
        <v>21</v>
      </c>
      <c r="B490">
        <v>301</v>
      </c>
      <c r="C490" t="s">
        <v>20</v>
      </c>
      <c r="D490">
        <v>25111</v>
      </c>
      <c r="E490">
        <f t="shared" si="15"/>
        <v>25111301</v>
      </c>
      <c r="F490">
        <f>VLOOKUP(E490,YieldData!D:F,2,FALSE)</f>
        <v>4</v>
      </c>
      <c r="G490">
        <f>VLOOKUP($E490,YieldData!$D:$F,3,FALSE)</f>
        <v>2</v>
      </c>
      <c r="H490">
        <v>23</v>
      </c>
      <c r="I490" t="s">
        <v>21</v>
      </c>
      <c r="J490" t="s">
        <v>22</v>
      </c>
      <c r="K490" s="2">
        <v>10593.157208185499</v>
      </c>
      <c r="L490" s="2">
        <v>206555622.681063</v>
      </c>
      <c r="M490" s="3">
        <v>11062.789789545701</v>
      </c>
      <c r="N490" s="3">
        <v>69211219.479955897</v>
      </c>
      <c r="O490" s="4">
        <v>0.52300521052943705</v>
      </c>
      <c r="P490" s="4">
        <v>7.6404344040037304E-3</v>
      </c>
      <c r="Q490" s="5">
        <v>0.14551621440154999</v>
      </c>
      <c r="R490" s="5">
        <v>1.64974237533402E-3</v>
      </c>
      <c r="S490" s="6">
        <v>0.46949613633522302</v>
      </c>
      <c r="T490" s="6">
        <v>3.7425930084036801E-2</v>
      </c>
      <c r="U490" s="7">
        <v>0.32205150341962202</v>
      </c>
      <c r="V490" s="7">
        <v>0.21833433256454399</v>
      </c>
      <c r="W490" s="8">
        <v>0.73524333657062702</v>
      </c>
      <c r="X490" s="8">
        <v>0.19466057259936301</v>
      </c>
      <c r="Y490" s="2">
        <v>41</v>
      </c>
      <c r="Z490" s="2">
        <f>VLOOKUP(E490,YieldData!T:U,2,FALSE)</f>
        <v>1772.581835686778</v>
      </c>
      <c r="AA490">
        <f t="shared" si="14"/>
        <v>0.74455341364378302</v>
      </c>
    </row>
    <row r="491" spans="1:27" hidden="1" x14ac:dyDescent="0.25">
      <c r="A491">
        <v>22</v>
      </c>
      <c r="B491">
        <v>302</v>
      </c>
      <c r="C491" t="s">
        <v>20</v>
      </c>
      <c r="D491">
        <v>25111</v>
      </c>
      <c r="E491">
        <f t="shared" si="15"/>
        <v>25111302</v>
      </c>
      <c r="F491">
        <f>VLOOKUP(E491,YieldData!D:F,2,FALSE)</f>
        <v>2</v>
      </c>
      <c r="G491">
        <f>VLOOKUP($E491,YieldData!$D:$F,3,FALSE)</f>
        <v>2</v>
      </c>
      <c r="H491">
        <v>23</v>
      </c>
      <c r="I491" t="s">
        <v>21</v>
      </c>
      <c r="J491" t="s">
        <v>22</v>
      </c>
      <c r="K491" s="2">
        <v>17556.244686831</v>
      </c>
      <c r="L491" s="2">
        <v>298673229.36451101</v>
      </c>
      <c r="M491" s="3">
        <v>6293.6371374199798</v>
      </c>
      <c r="N491" s="3">
        <v>101407454.764328</v>
      </c>
      <c r="O491" s="4">
        <v>0.57550268935347104</v>
      </c>
      <c r="P491" s="4">
        <v>1.14112847657115E-2</v>
      </c>
      <c r="Q491" s="5">
        <v>0.15751604794919799</v>
      </c>
      <c r="R491" s="5">
        <v>2.01570504451423E-3</v>
      </c>
      <c r="S491" s="6">
        <v>0.59034621261487297</v>
      </c>
      <c r="T491" s="6">
        <v>4.9342520879997701E-2</v>
      </c>
      <c r="U491" s="7">
        <v>0.54978292849198096</v>
      </c>
      <c r="V491" s="7">
        <v>0.24752166003081899</v>
      </c>
      <c r="W491" s="8">
        <v>0.63439136986628997</v>
      </c>
      <c r="X491" s="8">
        <v>0.23193895970514999</v>
      </c>
      <c r="Y491" s="2">
        <v>32</v>
      </c>
      <c r="Z491" s="2">
        <f>VLOOKUP(E491,YieldData!T:U,2,FALSE)</f>
        <v>2060.9114249037229</v>
      </c>
      <c r="AA491">
        <f t="shared" si="14"/>
        <v>0.743042349873823</v>
      </c>
    </row>
    <row r="492" spans="1:27" hidden="1" x14ac:dyDescent="0.25">
      <c r="A492">
        <v>23</v>
      </c>
      <c r="B492">
        <v>303</v>
      </c>
      <c r="C492" t="s">
        <v>20</v>
      </c>
      <c r="D492">
        <v>25111</v>
      </c>
      <c r="E492">
        <f t="shared" si="15"/>
        <v>25111303</v>
      </c>
      <c r="F492">
        <f>VLOOKUP(E492,YieldData!D:F,2,FALSE)</f>
        <v>6</v>
      </c>
      <c r="G492">
        <f>VLOOKUP($E492,YieldData!$D:$F,3,FALSE)</f>
        <v>2</v>
      </c>
      <c r="H492">
        <v>23</v>
      </c>
      <c r="I492" t="s">
        <v>21</v>
      </c>
      <c r="J492" t="s">
        <v>22</v>
      </c>
      <c r="K492" s="2">
        <v>16070.7409105554</v>
      </c>
      <c r="L492" s="2">
        <v>321173365.45625198</v>
      </c>
      <c r="M492" s="3">
        <v>5987.8296767936799</v>
      </c>
      <c r="N492" s="3">
        <v>104063342.746051</v>
      </c>
      <c r="O492" s="4">
        <v>0.59744002231036197</v>
      </c>
      <c r="P492" s="4">
        <v>9.3780976193988796E-3</v>
      </c>
      <c r="Q492" s="5">
        <v>0.17464819255254299</v>
      </c>
      <c r="R492" s="5">
        <v>1.84166231222352E-3</v>
      </c>
      <c r="S492" s="6">
        <v>0.60232347587124901</v>
      </c>
      <c r="T492" s="6">
        <v>4.2799759120754698E-2</v>
      </c>
      <c r="U492" s="7">
        <v>0.54233066494832605</v>
      </c>
      <c r="V492" s="7">
        <v>0.24820811480497099</v>
      </c>
      <c r="W492" s="8">
        <v>0.97578896502162105</v>
      </c>
      <c r="X492" s="8">
        <v>2.3624860763660702E-2</v>
      </c>
      <c r="Y492" s="2">
        <v>206</v>
      </c>
      <c r="Z492" s="2">
        <f>VLOOKUP(E492,YieldData!T:U,2,FALSE)</f>
        <v>1677.4679075738127</v>
      </c>
      <c r="AA492">
        <f t="shared" si="14"/>
        <v>0.66252354515713296</v>
      </c>
    </row>
    <row r="493" spans="1:27" hidden="1" x14ac:dyDescent="0.25">
      <c r="A493">
        <v>24</v>
      </c>
      <c r="B493">
        <v>304</v>
      </c>
      <c r="C493" t="s">
        <v>20</v>
      </c>
      <c r="D493">
        <v>25111</v>
      </c>
      <c r="E493">
        <f t="shared" si="15"/>
        <v>25111304</v>
      </c>
      <c r="F493">
        <f>VLOOKUP(E493,YieldData!D:F,2,FALSE)</f>
        <v>8</v>
      </c>
      <c r="G493">
        <f>VLOOKUP($E493,YieldData!$D:$F,3,FALSE)</f>
        <v>2</v>
      </c>
      <c r="H493">
        <v>23</v>
      </c>
      <c r="I493" t="s">
        <v>21</v>
      </c>
      <c r="J493" t="s">
        <v>22</v>
      </c>
      <c r="K493" s="2">
        <v>15720.836359287199</v>
      </c>
      <c r="L493" s="2">
        <v>324148760.98683399</v>
      </c>
      <c r="M493" s="3">
        <v>5910.1124799241097</v>
      </c>
      <c r="N493" s="3">
        <v>111548995.119866</v>
      </c>
      <c r="O493" s="4">
        <v>0.59268159008139498</v>
      </c>
      <c r="P493" s="4">
        <v>1.01909793156954E-2</v>
      </c>
      <c r="Q493" s="5">
        <v>0.179341353194749</v>
      </c>
      <c r="R493" s="5">
        <v>2.07204752910854E-3</v>
      </c>
      <c r="S493" s="6">
        <v>0.595521862098773</v>
      </c>
      <c r="T493" s="6">
        <v>4.4566803349670898E-2</v>
      </c>
      <c r="U493" s="7">
        <v>0.53058246621217597</v>
      </c>
      <c r="V493" s="7">
        <v>0.24906471276001299</v>
      </c>
      <c r="W493" s="8">
        <v>0.88395259563985096</v>
      </c>
      <c r="X493" s="8">
        <v>0.102580404301527</v>
      </c>
      <c r="Y493" s="2">
        <v>150</v>
      </c>
      <c r="Z493" s="2">
        <f>VLOOKUP(E493,YieldData!T:U,2,FALSE)</f>
        <v>2638.8783697047497</v>
      </c>
      <c r="AA493">
        <f t="shared" si="14"/>
        <v>0.72992272912131295</v>
      </c>
    </row>
    <row r="494" spans="1:27" hidden="1" x14ac:dyDescent="0.25">
      <c r="A494">
        <v>25</v>
      </c>
      <c r="B494">
        <v>305</v>
      </c>
      <c r="C494" t="s">
        <v>20</v>
      </c>
      <c r="D494">
        <v>25111</v>
      </c>
      <c r="E494">
        <f t="shared" si="15"/>
        <v>25111305</v>
      </c>
      <c r="F494">
        <f>VLOOKUP(E494,YieldData!D:F,2,FALSE)</f>
        <v>11</v>
      </c>
      <c r="G494">
        <f>VLOOKUP($E494,YieldData!$D:$F,3,FALSE)</f>
        <v>2</v>
      </c>
      <c r="H494">
        <v>23</v>
      </c>
      <c r="I494" t="s">
        <v>21</v>
      </c>
      <c r="J494" t="s">
        <v>22</v>
      </c>
      <c r="K494" s="2">
        <v>12195.712561599899</v>
      </c>
      <c r="L494" s="2">
        <v>259041372.81680301</v>
      </c>
      <c r="M494" s="3">
        <v>8992.3169013312599</v>
      </c>
      <c r="N494" s="3">
        <v>81018309.283112094</v>
      </c>
      <c r="O494" s="4">
        <v>0.57053954578149402</v>
      </c>
      <c r="P494" s="4">
        <v>7.7139185270657098E-3</v>
      </c>
      <c r="Q494" s="5">
        <v>0.18907421628005799</v>
      </c>
      <c r="R494" s="5">
        <v>2.4574491889933301E-3</v>
      </c>
      <c r="S494" s="6">
        <v>0.56334995715444203</v>
      </c>
      <c r="T494" s="6">
        <v>3.5923009993219401E-2</v>
      </c>
      <c r="U494" s="7">
        <v>0.48210611932443398</v>
      </c>
      <c r="V494" s="7">
        <v>0.24967980903408099</v>
      </c>
      <c r="W494" s="8">
        <v>0.89209588287361496</v>
      </c>
      <c r="X494" s="8">
        <v>9.6260818633597603E-2</v>
      </c>
      <c r="Y494" s="2">
        <v>201</v>
      </c>
      <c r="Z494" s="2">
        <f>VLOOKUP(E494,YieldData!T:U,2,FALSE)</f>
        <v>2035.834403080873</v>
      </c>
      <c r="AA494">
        <f t="shared" si="14"/>
        <v>0.59360086119251199</v>
      </c>
    </row>
    <row r="495" spans="1:27" hidden="1" x14ac:dyDescent="0.25">
      <c r="A495">
        <v>26</v>
      </c>
      <c r="B495">
        <v>306</v>
      </c>
      <c r="C495" t="s">
        <v>20</v>
      </c>
      <c r="D495">
        <v>25111</v>
      </c>
      <c r="E495">
        <f t="shared" si="15"/>
        <v>25111306</v>
      </c>
      <c r="F495">
        <f>VLOOKUP(E495,YieldData!D:F,2,FALSE)</f>
        <v>10</v>
      </c>
      <c r="G495">
        <f>VLOOKUP($E495,YieldData!$D:$F,3,FALSE)</f>
        <v>2</v>
      </c>
      <c r="H495">
        <v>23</v>
      </c>
      <c r="I495" t="s">
        <v>21</v>
      </c>
      <c r="J495" t="s">
        <v>22</v>
      </c>
      <c r="K495" s="2">
        <v>11628.1258857701</v>
      </c>
      <c r="L495" s="2">
        <v>204921319.96588701</v>
      </c>
      <c r="M495" s="3">
        <v>9293.61864357987</v>
      </c>
      <c r="N495" s="3">
        <v>90925805.688813701</v>
      </c>
      <c r="O495" s="4">
        <v>0.58196535356275403</v>
      </c>
      <c r="P495" s="4">
        <v>9.6948200292326994E-3</v>
      </c>
      <c r="Q495" s="5">
        <v>0.205802972644656</v>
      </c>
      <c r="R495" s="5">
        <v>4.21028650553237E-3</v>
      </c>
      <c r="S495" s="6">
        <v>0.59168328489031496</v>
      </c>
      <c r="T495" s="6">
        <v>3.6511566722371901E-2</v>
      </c>
      <c r="U495" s="7">
        <v>0.50646017477527105</v>
      </c>
      <c r="V495" s="7">
        <v>0.24995826614201899</v>
      </c>
      <c r="W495" s="8">
        <v>0.93230164394195503</v>
      </c>
      <c r="X495" s="8">
        <v>6.3115288645114898E-2</v>
      </c>
      <c r="Y495" s="2">
        <v>142</v>
      </c>
      <c r="Z495" s="2">
        <f>VLOOKUP(E495,YieldData!T:U,2,FALSE)</f>
        <v>1864.1880616174585</v>
      </c>
      <c r="AA495">
        <f t="shared" si="14"/>
        <v>0.78637689505376895</v>
      </c>
    </row>
    <row r="496" spans="1:27" hidden="1" x14ac:dyDescent="0.25">
      <c r="A496">
        <v>27</v>
      </c>
      <c r="B496">
        <v>307</v>
      </c>
      <c r="C496" t="s">
        <v>20</v>
      </c>
      <c r="D496">
        <v>25111</v>
      </c>
      <c r="E496">
        <f t="shared" si="15"/>
        <v>25111307</v>
      </c>
      <c r="F496">
        <f>VLOOKUP(E496,YieldData!D:F,2,FALSE)</f>
        <v>1</v>
      </c>
      <c r="G496">
        <f>VLOOKUP($E496,YieldData!$D:$F,3,FALSE)</f>
        <v>2</v>
      </c>
      <c r="H496">
        <v>23</v>
      </c>
      <c r="I496" t="s">
        <v>21</v>
      </c>
      <c r="J496" t="s">
        <v>22</v>
      </c>
      <c r="K496" s="2">
        <v>14940.0875136661</v>
      </c>
      <c r="L496" s="2">
        <v>246691136.39959899</v>
      </c>
      <c r="M496" s="3">
        <v>7049.0186834158903</v>
      </c>
      <c r="N496" s="3">
        <v>120292761.013677</v>
      </c>
      <c r="O496" s="4">
        <v>0.59625101646201495</v>
      </c>
      <c r="P496" s="4">
        <v>1.3281421548304299E-2</v>
      </c>
      <c r="Q496" s="5">
        <v>0.20060499900027601</v>
      </c>
      <c r="R496" s="5">
        <v>4.1897806460438197E-3</v>
      </c>
      <c r="S496" s="6">
        <v>0.62660886793275405</v>
      </c>
      <c r="T496" s="6">
        <v>4.60143266819419E-2</v>
      </c>
      <c r="U496" s="7">
        <v>0.59181053113320303</v>
      </c>
      <c r="V496" s="7">
        <v>0.241570826372975</v>
      </c>
      <c r="W496" s="8">
        <v>0.94933763889241995</v>
      </c>
      <c r="X496" s="8">
        <v>4.8095686274509802E-2</v>
      </c>
      <c r="Y496" s="2">
        <v>182</v>
      </c>
      <c r="Z496" s="2">
        <f>VLOOKUP(E496,YieldData!T:U,2,FALSE)</f>
        <v>2916.8164313222082</v>
      </c>
      <c r="AA496">
        <f t="shared" si="14"/>
        <v>0.80669929447657795</v>
      </c>
    </row>
    <row r="497" spans="1:27" hidden="1" x14ac:dyDescent="0.25">
      <c r="A497">
        <v>28</v>
      </c>
      <c r="B497">
        <v>308</v>
      </c>
      <c r="C497" t="s">
        <v>20</v>
      </c>
      <c r="D497">
        <v>25111</v>
      </c>
      <c r="E497">
        <f t="shared" si="15"/>
        <v>25111308</v>
      </c>
      <c r="F497">
        <f>VLOOKUP(E497,YieldData!D:F,2,FALSE)</f>
        <v>12</v>
      </c>
      <c r="G497">
        <f>VLOOKUP($E497,YieldData!$D:$F,3,FALSE)</f>
        <v>2</v>
      </c>
      <c r="H497">
        <v>23</v>
      </c>
      <c r="I497" t="s">
        <v>21</v>
      </c>
      <c r="J497" t="s">
        <v>22</v>
      </c>
      <c r="K497" s="2">
        <v>13882.4681314805</v>
      </c>
      <c r="L497" s="2">
        <v>265882616.25943899</v>
      </c>
      <c r="M497" s="3">
        <v>8204.8846361365995</v>
      </c>
      <c r="N497" s="3">
        <v>110453651.041347</v>
      </c>
      <c r="O497" s="4">
        <v>0.56274935933350401</v>
      </c>
      <c r="P497" s="4">
        <v>1.0174171881342E-2</v>
      </c>
      <c r="Q497" s="5">
        <v>0.17615552511787999</v>
      </c>
      <c r="R497" s="5">
        <v>2.5747764083728399E-3</v>
      </c>
      <c r="S497" s="6">
        <v>0.57222940125599298</v>
      </c>
      <c r="T497" s="6">
        <v>4.5010095349462501E-2</v>
      </c>
      <c r="U497" s="7">
        <v>0.48377911884393898</v>
      </c>
      <c r="V497" s="7">
        <v>0.249736883014295</v>
      </c>
      <c r="W497" s="8">
        <v>0.81205906067325095</v>
      </c>
      <c r="X497" s="8">
        <v>0.152619142651608</v>
      </c>
      <c r="Y497" s="2">
        <v>110</v>
      </c>
      <c r="Z497" s="2">
        <f>VLOOKUP(E497,YieldData!T:U,2,FALSE)</f>
        <v>3189.6566110397944</v>
      </c>
      <c r="AA497">
        <f t="shared" si="14"/>
        <v>0.71376382555239204</v>
      </c>
    </row>
    <row r="498" spans="1:27" hidden="1" x14ac:dyDescent="0.25">
      <c r="A498">
        <v>29</v>
      </c>
      <c r="B498">
        <v>309</v>
      </c>
      <c r="C498" t="s">
        <v>20</v>
      </c>
      <c r="D498">
        <v>25111</v>
      </c>
      <c r="E498">
        <f t="shared" si="15"/>
        <v>25111309</v>
      </c>
      <c r="F498">
        <f>VLOOKUP(E498,YieldData!D:F,2,FALSE)</f>
        <v>5</v>
      </c>
      <c r="G498">
        <f>VLOOKUP($E498,YieldData!$D:$F,3,FALSE)</f>
        <v>3</v>
      </c>
      <c r="H498">
        <v>23</v>
      </c>
      <c r="I498" t="s">
        <v>21</v>
      </c>
      <c r="J498" t="s">
        <v>22</v>
      </c>
      <c r="K498" s="2">
        <v>18972.551759190599</v>
      </c>
      <c r="L498" s="2">
        <v>346283043.24060702</v>
      </c>
      <c r="M498" s="3">
        <v>5103.8227677186196</v>
      </c>
      <c r="N498" s="3">
        <v>126333401.85397901</v>
      </c>
      <c r="O498" s="4">
        <v>0.56901631121868901</v>
      </c>
      <c r="P498" s="4">
        <v>8.57179946937121E-3</v>
      </c>
      <c r="Q498" s="5">
        <v>0.15965217553914399</v>
      </c>
      <c r="R498" s="5">
        <v>2.40091706569603E-3</v>
      </c>
      <c r="S498" s="6">
        <v>0.60988953278310198</v>
      </c>
      <c r="T498" s="6">
        <v>4.4752262790243698E-2</v>
      </c>
      <c r="U498" s="7">
        <v>0.56478270228898098</v>
      </c>
      <c r="V498" s="7">
        <v>0.245803201484323</v>
      </c>
      <c r="W498" s="8">
        <v>0.69999641186953598</v>
      </c>
      <c r="X498" s="8">
        <v>0.21000143523895801</v>
      </c>
      <c r="Y498" s="2">
        <v>49</v>
      </c>
      <c r="Z498" s="2">
        <f>VLOOKUP(E498,YieldData!T:U,2,FALSE)</f>
        <v>3449.2297817715021</v>
      </c>
      <c r="AA498">
        <f t="shared" si="14"/>
        <v>0.94319581833187804</v>
      </c>
    </row>
    <row r="499" spans="1:27" hidden="1" x14ac:dyDescent="0.25">
      <c r="A499">
        <v>30</v>
      </c>
      <c r="B499">
        <v>310</v>
      </c>
      <c r="C499" t="s">
        <v>20</v>
      </c>
      <c r="D499">
        <v>25111</v>
      </c>
      <c r="E499">
        <f t="shared" si="15"/>
        <v>25111310</v>
      </c>
      <c r="H499">
        <v>23</v>
      </c>
      <c r="I499" t="s">
        <v>21</v>
      </c>
      <c r="J499" t="s">
        <v>22</v>
      </c>
      <c r="K499" s="2">
        <v>19141.417801111002</v>
      </c>
      <c r="L499" s="2">
        <v>350481748.30450797</v>
      </c>
      <c r="M499" s="3">
        <v>4634.06853542508</v>
      </c>
      <c r="N499" s="3">
        <v>122398150.99786399</v>
      </c>
      <c r="O499" s="4">
        <v>0.57891210072039501</v>
      </c>
      <c r="P499" s="4">
        <v>8.6500315635477699E-3</v>
      </c>
      <c r="Q499" s="5">
        <v>0.15557242756307799</v>
      </c>
      <c r="R499" s="5">
        <v>2.10375231446808E-3</v>
      </c>
      <c r="S499" s="6">
        <v>0.60982755402925304</v>
      </c>
      <c r="T499" s="6">
        <v>4.7823503371631097E-2</v>
      </c>
      <c r="U499" s="7">
        <v>0.55611989500030501</v>
      </c>
      <c r="V499" s="7">
        <v>0.246850557385206</v>
      </c>
      <c r="W499" s="8">
        <v>0.64933162424464397</v>
      </c>
      <c r="X499" s="8">
        <v>0.22770006600060599</v>
      </c>
      <c r="Y499" s="2">
        <v>27</v>
      </c>
      <c r="Z499" s="2">
        <f>VLOOKUP(E499,YieldData!T:U,2,FALSE)</f>
        <v>0</v>
      </c>
      <c r="AA499">
        <f t="shared" si="14"/>
        <v>0.87222249352932602</v>
      </c>
    </row>
    <row r="500" spans="1:27" hidden="1" x14ac:dyDescent="0.25">
      <c r="A500">
        <v>31</v>
      </c>
      <c r="B500">
        <v>401</v>
      </c>
      <c r="C500" t="s">
        <v>20</v>
      </c>
      <c r="D500">
        <v>25111</v>
      </c>
      <c r="E500">
        <f t="shared" si="15"/>
        <v>25111401</v>
      </c>
      <c r="F500">
        <f>VLOOKUP(E500,YieldData!D:F,2,FALSE)</f>
        <v>1</v>
      </c>
      <c r="G500">
        <f>VLOOKUP($E500,YieldData!$D:$F,3,FALSE)</f>
        <v>3</v>
      </c>
      <c r="H500">
        <v>23</v>
      </c>
      <c r="I500" t="s">
        <v>21</v>
      </c>
      <c r="J500" t="s">
        <v>22</v>
      </c>
      <c r="K500" s="2">
        <v>12832.6557637801</v>
      </c>
      <c r="L500" s="2">
        <v>230199178.87043601</v>
      </c>
      <c r="M500" s="3">
        <v>9500.1555264558992</v>
      </c>
      <c r="N500" s="3">
        <v>87876221.603923604</v>
      </c>
      <c r="O500" s="4">
        <v>0.56290346336859198</v>
      </c>
      <c r="P500" s="4">
        <v>8.4755846944651603E-3</v>
      </c>
      <c r="Q500" s="5">
        <v>0.158319246849316</v>
      </c>
      <c r="R500" s="5">
        <v>1.67828379371979E-3</v>
      </c>
      <c r="S500" s="6">
        <v>0.51773415321477101</v>
      </c>
      <c r="T500" s="6">
        <v>4.3005994975063203E-2</v>
      </c>
      <c r="U500" s="7">
        <v>0.40464259660117002</v>
      </c>
      <c r="V500" s="7">
        <v>0.24090696561702901</v>
      </c>
      <c r="W500" s="8">
        <v>0.54280486054633303</v>
      </c>
      <c r="X500" s="8">
        <v>0.248167743913568</v>
      </c>
      <c r="Y500" s="2">
        <v>23</v>
      </c>
      <c r="Z500" s="2">
        <f>VLOOKUP(E500,YieldData!T:U,2,FALSE)</f>
        <v>1960.5166880616171</v>
      </c>
      <c r="AA500">
        <f t="shared" si="14"/>
        <v>0.70643112583573497</v>
      </c>
    </row>
    <row r="501" spans="1:27" hidden="1" x14ac:dyDescent="0.25">
      <c r="A501">
        <v>32</v>
      </c>
      <c r="B501">
        <v>402</v>
      </c>
      <c r="C501" t="s">
        <v>20</v>
      </c>
      <c r="D501">
        <v>25111</v>
      </c>
      <c r="E501">
        <f t="shared" si="15"/>
        <v>25111402</v>
      </c>
      <c r="F501">
        <f>VLOOKUP(E501,YieldData!D:F,2,FALSE)</f>
        <v>14</v>
      </c>
      <c r="G501">
        <f>VLOOKUP($E501,YieldData!$D:$F,3,FALSE)</f>
        <v>3</v>
      </c>
      <c r="H501">
        <v>23</v>
      </c>
      <c r="I501" t="s">
        <v>21</v>
      </c>
      <c r="J501" t="s">
        <v>22</v>
      </c>
      <c r="K501" s="2">
        <v>4980.0118530745003</v>
      </c>
      <c r="L501" s="2">
        <v>92961858.7400489</v>
      </c>
      <c r="M501" s="3">
        <v>15382.609619078699</v>
      </c>
      <c r="N501" s="3">
        <v>39182141.629202299</v>
      </c>
      <c r="O501" s="4">
        <v>0.488692296368193</v>
      </c>
      <c r="P501" s="4">
        <v>4.8197095706237697E-3</v>
      </c>
      <c r="Q501" s="5">
        <v>0.13770860165912299</v>
      </c>
      <c r="R501" s="5">
        <v>1.0029355987138801E-3</v>
      </c>
      <c r="S501" s="6">
        <v>0.38492013452517398</v>
      </c>
      <c r="T501" s="6">
        <v>2.2683080362245901E-2</v>
      </c>
      <c r="U501" s="7">
        <v>0.15803700647075</v>
      </c>
      <c r="V501" s="7">
        <v>0.13306131105660099</v>
      </c>
      <c r="W501" s="8">
        <v>0.62041211715320999</v>
      </c>
      <c r="X501" s="8">
        <v>0.23550092204307499</v>
      </c>
      <c r="Y501" s="2">
        <v>25</v>
      </c>
      <c r="Z501" s="2">
        <f>VLOOKUP(E501,YieldData!T:U,2,FALSE)</f>
        <v>2271.8405006418484</v>
      </c>
      <c r="AA501">
        <f t="shared" si="14"/>
        <v>0.39816996591113002</v>
      </c>
    </row>
    <row r="502" spans="1:27" hidden="1" x14ac:dyDescent="0.25">
      <c r="A502">
        <v>33</v>
      </c>
      <c r="B502">
        <v>403</v>
      </c>
      <c r="C502" t="s">
        <v>20</v>
      </c>
      <c r="D502">
        <v>25111</v>
      </c>
      <c r="E502">
        <f t="shared" si="15"/>
        <v>25111403</v>
      </c>
      <c r="F502">
        <f>VLOOKUP(E502,YieldData!D:F,2,FALSE)</f>
        <v>9</v>
      </c>
      <c r="G502">
        <f>VLOOKUP($E502,YieldData!$D:$F,3,FALSE)</f>
        <v>3</v>
      </c>
      <c r="H502">
        <v>23</v>
      </c>
      <c r="I502" t="s">
        <v>21</v>
      </c>
      <c r="J502" t="s">
        <v>22</v>
      </c>
      <c r="K502" s="2">
        <v>17618.659588929</v>
      </c>
      <c r="L502" s="2">
        <v>298033714.087515</v>
      </c>
      <c r="M502" s="3">
        <v>5793.8815163055497</v>
      </c>
      <c r="N502" s="3">
        <v>80744581.450227499</v>
      </c>
      <c r="O502" s="4">
        <v>0.60027787909248398</v>
      </c>
      <c r="P502" s="4">
        <v>6.6835703453846599E-3</v>
      </c>
      <c r="Q502" s="5">
        <v>0.16987423765960399</v>
      </c>
      <c r="R502" s="5">
        <v>2.0477353879096898E-3</v>
      </c>
      <c r="S502" s="6">
        <v>0.61088496613699195</v>
      </c>
      <c r="T502" s="6">
        <v>3.6310224911029497E-2</v>
      </c>
      <c r="U502" s="7">
        <v>0.59475651659513395</v>
      </c>
      <c r="V502" s="7">
        <v>0.24102120256274001</v>
      </c>
      <c r="W502" s="8">
        <v>0.94375291052571997</v>
      </c>
      <c r="X502" s="8">
        <v>5.3083354399933398E-2</v>
      </c>
      <c r="Y502" s="2">
        <v>154</v>
      </c>
      <c r="Z502" s="2">
        <f>VLOOKUP(E502,YieldData!T:U,2,FALSE)</f>
        <v>1551.3222079589218</v>
      </c>
      <c r="AA502">
        <f t="shared" si="14"/>
        <v>0.79020442072403196</v>
      </c>
    </row>
    <row r="503" spans="1:27" hidden="1" x14ac:dyDescent="0.25">
      <c r="A503">
        <v>34</v>
      </c>
      <c r="B503">
        <v>404</v>
      </c>
      <c r="C503" t="s">
        <v>20</v>
      </c>
      <c r="D503">
        <v>25111</v>
      </c>
      <c r="E503">
        <f t="shared" si="15"/>
        <v>25111404</v>
      </c>
      <c r="F503">
        <f>VLOOKUP(E503,YieldData!D:F,2,FALSE)</f>
        <v>6</v>
      </c>
      <c r="G503">
        <f>VLOOKUP($E503,YieldData!$D:$F,3,FALSE)</f>
        <v>3</v>
      </c>
      <c r="H503">
        <v>23</v>
      </c>
      <c r="I503" t="s">
        <v>21</v>
      </c>
      <c r="J503" t="s">
        <v>22</v>
      </c>
      <c r="K503" s="2">
        <v>10608.7821974001</v>
      </c>
      <c r="L503" s="2">
        <v>211005677.101064</v>
      </c>
      <c r="M503" s="3">
        <v>10132.051642395199</v>
      </c>
      <c r="N503" s="3">
        <v>78610389.026676193</v>
      </c>
      <c r="O503" s="4">
        <v>0.54094256720314704</v>
      </c>
      <c r="P503" s="4">
        <v>8.9646128374401002E-3</v>
      </c>
      <c r="Q503" s="5">
        <v>0.16059434712509399</v>
      </c>
      <c r="R503" s="5">
        <v>2.0333630856512398E-3</v>
      </c>
      <c r="S503" s="6">
        <v>0.50366813904343799</v>
      </c>
      <c r="T503" s="6">
        <v>3.9140142741372702E-2</v>
      </c>
      <c r="U503" s="7">
        <v>0.37291459870600502</v>
      </c>
      <c r="V503" s="7">
        <v>0.23384930077789901</v>
      </c>
      <c r="W503" s="8">
        <v>0.80878061615001895</v>
      </c>
      <c r="X503" s="8">
        <v>0.15465453109037899</v>
      </c>
      <c r="Y503" s="2">
        <v>85</v>
      </c>
      <c r="Z503" s="2">
        <f>VLOOKUP(E503,YieldData!T:U,2,FALSE)</f>
        <v>2596.150513478819</v>
      </c>
      <c r="AA503">
        <f t="shared" si="14"/>
        <v>0.644271138595505</v>
      </c>
    </row>
    <row r="504" spans="1:27" hidden="1" x14ac:dyDescent="0.25">
      <c r="A504">
        <v>35</v>
      </c>
      <c r="B504">
        <v>405</v>
      </c>
      <c r="C504" t="s">
        <v>20</v>
      </c>
      <c r="D504">
        <v>25111</v>
      </c>
      <c r="E504">
        <f t="shared" si="15"/>
        <v>25111405</v>
      </c>
      <c r="F504">
        <f>VLOOKUP(E504,YieldData!D:F,2,FALSE)</f>
        <v>13</v>
      </c>
      <c r="G504">
        <f>VLOOKUP($E504,YieldData!$D:$F,3,FALSE)</f>
        <v>3</v>
      </c>
      <c r="H504">
        <v>23</v>
      </c>
      <c r="I504" t="s">
        <v>21</v>
      </c>
      <c r="J504" t="s">
        <v>22</v>
      </c>
      <c r="K504" s="2">
        <v>7030.4080102594498</v>
      </c>
      <c r="L504" s="2">
        <v>132301308.967816</v>
      </c>
      <c r="M504" s="3">
        <v>14096.702789987299</v>
      </c>
      <c r="N504" s="3">
        <v>59524886.234490499</v>
      </c>
      <c r="O504" s="4">
        <v>0.48252535135128899</v>
      </c>
      <c r="P504" s="4">
        <v>7.9330678570302005E-3</v>
      </c>
      <c r="Q504" s="5">
        <v>0.15232090139829399</v>
      </c>
      <c r="R504" s="5">
        <v>1.8942996277574399E-3</v>
      </c>
      <c r="S504" s="6">
        <v>0.43178832939881101</v>
      </c>
      <c r="T504" s="6">
        <v>3.2328358189476498E-2</v>
      </c>
      <c r="U504" s="7">
        <v>0.24625487957834799</v>
      </c>
      <c r="V504" s="7">
        <v>0.18561341386201299</v>
      </c>
      <c r="W504" s="8">
        <v>0.70107814812204905</v>
      </c>
      <c r="X504" s="8">
        <v>0.209567578347952</v>
      </c>
      <c r="Y504" s="2">
        <v>23</v>
      </c>
      <c r="Z504" s="2">
        <f>VLOOKUP(E504,YieldData!T:U,2,FALSE)</f>
        <v>2056.2371630295247</v>
      </c>
      <c r="AA504">
        <f t="shared" si="14"/>
        <v>0.39605118520815102</v>
      </c>
    </row>
    <row r="505" spans="1:27" hidden="1" x14ac:dyDescent="0.25">
      <c r="A505">
        <v>36</v>
      </c>
      <c r="B505">
        <v>406</v>
      </c>
      <c r="C505" t="s">
        <v>20</v>
      </c>
      <c r="D505">
        <v>25111</v>
      </c>
      <c r="E505">
        <f t="shared" si="15"/>
        <v>25111406</v>
      </c>
      <c r="F505">
        <f>VLOOKUP(E505,YieldData!D:F,2,FALSE)</f>
        <v>12</v>
      </c>
      <c r="G505">
        <f>VLOOKUP($E505,YieldData!$D:$F,3,FALSE)</f>
        <v>3</v>
      </c>
      <c r="H505">
        <v>23</v>
      </c>
      <c r="I505" t="s">
        <v>21</v>
      </c>
      <c r="J505" t="s">
        <v>22</v>
      </c>
      <c r="K505" s="2">
        <v>12801.6911618801</v>
      </c>
      <c r="L505" s="2">
        <v>219331667.17748901</v>
      </c>
      <c r="M505" s="3">
        <v>7612.7044575850696</v>
      </c>
      <c r="N505" s="3">
        <v>95614905.069699705</v>
      </c>
      <c r="O505" s="4">
        <v>0.57305943591791098</v>
      </c>
      <c r="P505" s="4">
        <v>1.28815571121236E-2</v>
      </c>
      <c r="Q505" s="5">
        <v>0.19839410843866601</v>
      </c>
      <c r="R505" s="5">
        <v>4.7242931689128699E-3</v>
      </c>
      <c r="S505" s="6">
        <v>0.591997253868076</v>
      </c>
      <c r="T505" s="6">
        <v>4.5114765852078499E-2</v>
      </c>
      <c r="U505" s="7">
        <v>0.52585556863730798</v>
      </c>
      <c r="V505" s="7">
        <v>0.24933148957076401</v>
      </c>
      <c r="W505" s="8">
        <v>0.92299043663443603</v>
      </c>
      <c r="X505" s="8">
        <v>7.1079090515807894E-2</v>
      </c>
      <c r="Y505" s="2">
        <v>99</v>
      </c>
      <c r="Z505" s="2">
        <f>VLOOKUP(E505,YieldData!T:U,2,FALSE)</f>
        <v>1804.3132220795892</v>
      </c>
      <c r="AA505">
        <f t="shared" si="14"/>
        <v>0.83448868898002404</v>
      </c>
    </row>
    <row r="506" spans="1:27" hidden="1" x14ac:dyDescent="0.25">
      <c r="A506">
        <v>37</v>
      </c>
      <c r="B506">
        <v>407</v>
      </c>
      <c r="C506" t="s">
        <v>20</v>
      </c>
      <c r="D506">
        <v>25111</v>
      </c>
      <c r="E506">
        <f t="shared" si="15"/>
        <v>25111407</v>
      </c>
      <c r="F506">
        <f>VLOOKUP(E506,YieldData!D:F,2,FALSE)</f>
        <v>11</v>
      </c>
      <c r="G506">
        <f>VLOOKUP($E506,YieldData!$D:$F,3,FALSE)</f>
        <v>3</v>
      </c>
      <c r="H506">
        <v>23</v>
      </c>
      <c r="I506" t="s">
        <v>21</v>
      </c>
      <c r="J506" t="s">
        <v>22</v>
      </c>
      <c r="K506" s="2">
        <v>4023.9167433636899</v>
      </c>
      <c r="L506" s="2">
        <v>68163160.990755007</v>
      </c>
      <c r="M506" s="3">
        <v>15811.785469480899</v>
      </c>
      <c r="N506" s="3">
        <v>36181850.451731801</v>
      </c>
      <c r="O506" s="4">
        <v>0.47388619336066301</v>
      </c>
      <c r="P506" s="4">
        <v>6.4955222816985899E-3</v>
      </c>
      <c r="Q506" s="5">
        <v>0.170933724663377</v>
      </c>
      <c r="R506" s="5">
        <v>2.7441692786495499E-3</v>
      </c>
      <c r="S506" s="6">
        <v>0.41509574143740402</v>
      </c>
      <c r="T506" s="6">
        <v>1.90227579284626E-2</v>
      </c>
      <c r="U506" s="7">
        <v>0.15360395272234101</v>
      </c>
      <c r="V506" s="7">
        <v>0.13000977843051301</v>
      </c>
      <c r="W506" s="8">
        <v>0.85220392346815199</v>
      </c>
      <c r="X506" s="8">
        <v>0.125952396293704</v>
      </c>
      <c r="Y506" s="2">
        <v>100</v>
      </c>
      <c r="Z506" s="2">
        <f>VLOOKUP(E506,YieldData!T:U,2,FALSE)</f>
        <v>2259.0404364569963</v>
      </c>
      <c r="AA506">
        <f t="shared" si="14"/>
        <v>0.33240483947148503</v>
      </c>
    </row>
    <row r="507" spans="1:27" hidden="1" x14ac:dyDescent="0.25">
      <c r="A507">
        <v>38</v>
      </c>
      <c r="B507">
        <v>408</v>
      </c>
      <c r="C507" t="s">
        <v>20</v>
      </c>
      <c r="D507">
        <v>25111</v>
      </c>
      <c r="E507">
        <f t="shared" si="15"/>
        <v>25111408</v>
      </c>
      <c r="F507">
        <f>VLOOKUP(E507,YieldData!D:F,2,FALSE)</f>
        <v>4</v>
      </c>
      <c r="G507">
        <f>VLOOKUP($E507,YieldData!$D:$F,3,FALSE)</f>
        <v>3</v>
      </c>
      <c r="H507">
        <v>23</v>
      </c>
      <c r="I507" t="s">
        <v>21</v>
      </c>
      <c r="J507" t="s">
        <v>22</v>
      </c>
      <c r="K507" s="2">
        <v>16189.6091371165</v>
      </c>
      <c r="L507" s="2">
        <v>295138917.29901898</v>
      </c>
      <c r="M507" s="3">
        <v>5724.4090633973701</v>
      </c>
      <c r="N507" s="3">
        <v>96298891.131852195</v>
      </c>
      <c r="O507" s="4">
        <v>0.60668483594634004</v>
      </c>
      <c r="P507" s="4">
        <v>7.6852878988671602E-3</v>
      </c>
      <c r="Q507" s="5">
        <v>0.19550644097147901</v>
      </c>
      <c r="R507" s="5">
        <v>2.76741157062E-3</v>
      </c>
      <c r="S507" s="6">
        <v>0.62676204032627902</v>
      </c>
      <c r="T507" s="6">
        <v>3.7565667355071497E-2</v>
      </c>
      <c r="U507" s="7">
        <v>0.62430185971416596</v>
      </c>
      <c r="V507" s="7">
        <v>0.234549047671887</v>
      </c>
      <c r="W507" s="8">
        <v>0.943163333652282</v>
      </c>
      <c r="X507" s="8">
        <v>5.3606259706241499E-2</v>
      </c>
      <c r="Y507" s="2">
        <v>216</v>
      </c>
      <c r="Z507" s="2">
        <f>VLOOKUP(E507,YieldData!T:U,2,FALSE)</f>
        <v>2716.4634146341464</v>
      </c>
      <c r="AA507">
        <f t="shared" si="14"/>
        <v>0.91196698762035799</v>
      </c>
    </row>
    <row r="508" spans="1:27" hidden="1" x14ac:dyDescent="0.25">
      <c r="A508">
        <v>39</v>
      </c>
      <c r="B508">
        <v>410</v>
      </c>
      <c r="C508" t="s">
        <v>20</v>
      </c>
      <c r="D508">
        <v>25111</v>
      </c>
      <c r="E508">
        <f t="shared" si="15"/>
        <v>25111410</v>
      </c>
      <c r="F508">
        <f>VLOOKUP(E508,YieldData!D:F,2,FALSE)</f>
        <v>7</v>
      </c>
      <c r="G508">
        <f>VLOOKUP($E508,YieldData!$D:$F,3,FALSE)</f>
        <v>3</v>
      </c>
      <c r="H508">
        <v>23</v>
      </c>
      <c r="I508" t="s">
        <v>21</v>
      </c>
      <c r="J508" t="s">
        <v>22</v>
      </c>
      <c r="K508" s="2">
        <v>10576.638307052601</v>
      </c>
      <c r="L508" s="2">
        <v>212642693.095777</v>
      </c>
      <c r="M508" s="3">
        <v>8961.9097116616504</v>
      </c>
      <c r="N508" s="3">
        <v>65702318.061187498</v>
      </c>
      <c r="O508" s="4">
        <v>0.56484110056979897</v>
      </c>
      <c r="P508" s="4">
        <v>5.6232879496665097E-3</v>
      </c>
      <c r="Q508" s="5">
        <v>0.16512749813476599</v>
      </c>
      <c r="R508" s="5">
        <v>2.0994976991658902E-3</v>
      </c>
      <c r="S508" s="6">
        <v>0.51982346312139405</v>
      </c>
      <c r="T508" s="6">
        <v>3.3031271505469403E-2</v>
      </c>
      <c r="U508" s="7">
        <v>0.38867968933866798</v>
      </c>
      <c r="V508" s="7">
        <v>0.237607788434234</v>
      </c>
      <c r="W508" s="8">
        <v>0.83528581141153702</v>
      </c>
      <c r="X508" s="8">
        <v>0.13758342466648299</v>
      </c>
      <c r="Y508" s="2">
        <v>131</v>
      </c>
      <c r="Z508" s="2">
        <f>VLOOKUP(E508,YieldData!T:U,2,FALSE)</f>
        <v>3008.472400513479</v>
      </c>
      <c r="AA508">
        <f t="shared" si="14"/>
        <v>0.76582808127827595</v>
      </c>
    </row>
    <row r="509" spans="1:27" hidden="1" x14ac:dyDescent="0.25">
      <c r="A509">
        <v>40</v>
      </c>
      <c r="B509">
        <v>409</v>
      </c>
      <c r="C509" t="s">
        <v>20</v>
      </c>
      <c r="D509">
        <v>25111</v>
      </c>
      <c r="E509">
        <f t="shared" si="15"/>
        <v>25111409</v>
      </c>
      <c r="F509">
        <f>VLOOKUP(E509,YieldData!D:F,2,FALSE)</f>
        <v>8</v>
      </c>
      <c r="G509">
        <f>VLOOKUP($E509,YieldData!$D:$F,3,FALSE)</f>
        <v>3</v>
      </c>
      <c r="H509">
        <v>23</v>
      </c>
      <c r="I509" t="s">
        <v>21</v>
      </c>
      <c r="J509" t="s">
        <v>22</v>
      </c>
      <c r="K509" s="2">
        <v>19578.975302292802</v>
      </c>
      <c r="L509" s="2">
        <v>335601783.08775401</v>
      </c>
      <c r="M509" s="3">
        <v>4148.8329700676904</v>
      </c>
      <c r="N509" s="3">
        <v>86874224.104398102</v>
      </c>
      <c r="O509" s="4">
        <v>0.62996476988459904</v>
      </c>
      <c r="P509" s="4">
        <v>5.4264777816256798E-3</v>
      </c>
      <c r="Q509" s="5">
        <v>0.18863158950587999</v>
      </c>
      <c r="R509" s="5">
        <v>3.4144338580708402E-3</v>
      </c>
      <c r="S509" s="6">
        <v>0.65858849741127201</v>
      </c>
      <c r="T509" s="6">
        <v>3.1438313717257797E-2</v>
      </c>
      <c r="U509" s="7">
        <v>0.73480762100680497</v>
      </c>
      <c r="V509" s="7">
        <v>0.19486538111722901</v>
      </c>
      <c r="W509" s="8">
        <v>0.97837708545117497</v>
      </c>
      <c r="X509" s="8">
        <v>2.1155364115197101E-2</v>
      </c>
      <c r="Y509" s="2">
        <v>183</v>
      </c>
      <c r="Z509" s="2">
        <f>VLOOKUP(E509,YieldData!T:U,2,FALSE)</f>
        <v>2987.8305519897308</v>
      </c>
      <c r="AA509">
        <f t="shared" si="14"/>
        <v>0.97096145336251505</v>
      </c>
    </row>
    <row r="510" spans="1:27" hidden="1" x14ac:dyDescent="0.25">
      <c r="A510">
        <v>41</v>
      </c>
      <c r="B510">
        <v>501</v>
      </c>
      <c r="C510" t="s">
        <v>20</v>
      </c>
      <c r="D510">
        <v>25111</v>
      </c>
      <c r="E510">
        <f t="shared" si="15"/>
        <v>25111501</v>
      </c>
      <c r="F510">
        <f>VLOOKUP(E510,YieldData!D:F,2,FALSE)</f>
        <v>10</v>
      </c>
      <c r="G510">
        <f>VLOOKUP($E510,YieldData!$D:$F,3,FALSE)</f>
        <v>3</v>
      </c>
      <c r="H510">
        <v>23</v>
      </c>
      <c r="I510" t="s">
        <v>21</v>
      </c>
      <c r="J510" t="s">
        <v>22</v>
      </c>
      <c r="K510" s="2">
        <v>10911.9474168859</v>
      </c>
      <c r="L510" s="2">
        <v>233128373.26598701</v>
      </c>
      <c r="M510" s="3">
        <v>10398.209374267301</v>
      </c>
      <c r="N510" s="3">
        <v>85127507.708920702</v>
      </c>
      <c r="O510" s="4">
        <v>0.53984517997402104</v>
      </c>
      <c r="P510" s="4">
        <v>7.3206697348049098E-3</v>
      </c>
      <c r="Q510" s="5">
        <v>0.15369320846331699</v>
      </c>
      <c r="R510" s="5">
        <v>1.5292751015139701E-3</v>
      </c>
      <c r="S510" s="6">
        <v>0.46599493759192701</v>
      </c>
      <c r="T510" s="6">
        <v>4.2321134414926201E-2</v>
      </c>
      <c r="U510" s="7">
        <v>0.31842860559674702</v>
      </c>
      <c r="V510" s="7">
        <v>0.21703182873469201</v>
      </c>
      <c r="W510" s="8">
        <v>0.46804922679487598</v>
      </c>
      <c r="X510" s="8">
        <v>0.24897914809148</v>
      </c>
      <c r="Y510" s="2">
        <v>20</v>
      </c>
      <c r="Z510" s="2">
        <f>VLOOKUP(E510,YieldData!T:U,2,FALSE)</f>
        <v>3019.9518613607192</v>
      </c>
      <c r="AA510">
        <f t="shared" si="14"/>
        <v>0.71092479188594404</v>
      </c>
    </row>
    <row r="511" spans="1:27" hidden="1" x14ac:dyDescent="0.25">
      <c r="A511">
        <v>42</v>
      </c>
      <c r="B511">
        <v>502</v>
      </c>
      <c r="C511" t="s">
        <v>20</v>
      </c>
      <c r="D511">
        <v>25111</v>
      </c>
      <c r="E511">
        <f t="shared" si="15"/>
        <v>25111502</v>
      </c>
      <c r="F511">
        <f>VLOOKUP(E511,YieldData!D:F,2,FALSE)</f>
        <v>2</v>
      </c>
      <c r="G511">
        <f>VLOOKUP($E511,YieldData!$D:$F,3,FALSE)</f>
        <v>3</v>
      </c>
      <c r="H511">
        <v>23</v>
      </c>
      <c r="I511" t="s">
        <v>21</v>
      </c>
      <c r="J511" t="s">
        <v>22</v>
      </c>
      <c r="K511" s="2">
        <v>18587.663879818701</v>
      </c>
      <c r="L511" s="2">
        <v>329494642.56148702</v>
      </c>
      <c r="M511" s="3">
        <v>5420.6108986385798</v>
      </c>
      <c r="N511" s="3">
        <v>117908190.836963</v>
      </c>
      <c r="O511" s="4">
        <v>0.59513916566766401</v>
      </c>
      <c r="P511" s="4">
        <v>7.8276650097579906E-3</v>
      </c>
      <c r="Q511" s="5">
        <v>0.15810401106331801</v>
      </c>
      <c r="R511" s="5">
        <v>1.5014367545387801E-3</v>
      </c>
      <c r="S511" s="6">
        <v>0.59229550251847995</v>
      </c>
      <c r="T511" s="6">
        <v>4.9520778155764597E-2</v>
      </c>
      <c r="U511" s="7">
        <v>0.543339672515459</v>
      </c>
      <c r="V511" s="7">
        <v>0.24812167278649599</v>
      </c>
      <c r="W511" s="8">
        <v>0.53035032951786298</v>
      </c>
      <c r="X511" s="8">
        <v>0.24907885749831599</v>
      </c>
      <c r="Y511" s="2">
        <v>22</v>
      </c>
      <c r="Z511" s="2">
        <f>VLOOKUP(E511,YieldData!T:U,2,FALSE)</f>
        <v>3292.9252246469832</v>
      </c>
      <c r="AA511">
        <f t="shared" si="14"/>
        <v>0.77927017426353595</v>
      </c>
    </row>
    <row r="512" spans="1:27" hidden="1" x14ac:dyDescent="0.25">
      <c r="A512">
        <v>43</v>
      </c>
      <c r="B512">
        <v>503</v>
      </c>
      <c r="C512" t="s">
        <v>20</v>
      </c>
      <c r="D512" t="s">
        <v>100</v>
      </c>
      <c r="E512" t="e">
        <f t="shared" si="15"/>
        <v>#VALUE!</v>
      </c>
      <c r="H512">
        <v>23</v>
      </c>
      <c r="I512" t="s">
        <v>21</v>
      </c>
      <c r="J512" t="s">
        <v>22</v>
      </c>
      <c r="K512" s="2">
        <v>17510.154103732399</v>
      </c>
      <c r="L512" s="2">
        <v>317984720.25870001</v>
      </c>
      <c r="M512" s="3">
        <v>6513.0916038884998</v>
      </c>
      <c r="N512" s="3">
        <v>101454593.115637</v>
      </c>
      <c r="O512" s="4">
        <v>0.59698962699923797</v>
      </c>
      <c r="P512" s="4">
        <v>7.0075712231793801E-3</v>
      </c>
      <c r="Q512" s="5">
        <v>0.16872179420199199</v>
      </c>
      <c r="R512" s="5">
        <v>1.65434529249141E-3</v>
      </c>
      <c r="S512" s="6">
        <v>0.59077409098817601</v>
      </c>
      <c r="T512" s="6">
        <v>4.10103967272454E-2</v>
      </c>
      <c r="U512" s="7">
        <v>0.52235735897343905</v>
      </c>
      <c r="V512" s="7">
        <v>0.249500148500095</v>
      </c>
      <c r="W512" s="8">
        <v>0.95029540507570498</v>
      </c>
      <c r="X512" s="8">
        <v>4.7234048167844697E-2</v>
      </c>
      <c r="Y512" s="2">
        <v>107</v>
      </c>
      <c r="Z512" s="2" t="e">
        <f>VLOOKUP(E512,YieldData!T:U,2,FALSE)</f>
        <v>#VALUE!</v>
      </c>
      <c r="AA512">
        <f t="shared" si="14"/>
        <v>0.913534329143595</v>
      </c>
    </row>
    <row r="513" spans="1:27" hidden="1" x14ac:dyDescent="0.25">
      <c r="A513">
        <v>44</v>
      </c>
      <c r="B513">
        <v>504</v>
      </c>
      <c r="C513" t="s">
        <v>20</v>
      </c>
      <c r="D513" t="s">
        <v>100</v>
      </c>
      <c r="E513" t="e">
        <f t="shared" si="15"/>
        <v>#VALUE!</v>
      </c>
      <c r="H513">
        <v>23</v>
      </c>
      <c r="I513" t="s">
        <v>21</v>
      </c>
      <c r="J513" t="s">
        <v>22</v>
      </c>
      <c r="K513" s="2">
        <v>14801.747145449401</v>
      </c>
      <c r="L513" s="2">
        <v>276187125.48485702</v>
      </c>
      <c r="M513" s="3">
        <v>7614.2651556005603</v>
      </c>
      <c r="N513" s="3">
        <v>119302472.276994</v>
      </c>
      <c r="O513" s="4">
        <v>0.58402495386070397</v>
      </c>
      <c r="P513" s="4">
        <v>9.7360394630270491E-3</v>
      </c>
      <c r="Q513" s="5">
        <v>0.16943606485938001</v>
      </c>
      <c r="R513" s="5">
        <v>1.6746730252300999E-3</v>
      </c>
      <c r="S513" s="6">
        <v>0.56627892220904397</v>
      </c>
      <c r="T513" s="6">
        <v>4.6289566436296802E-2</v>
      </c>
      <c r="U513" s="7">
        <v>0.46677611682364101</v>
      </c>
      <c r="V513" s="7">
        <v>0.248896173586445</v>
      </c>
      <c r="W513" s="8">
        <v>0.66551055925153402</v>
      </c>
      <c r="X513" s="8">
        <v>0.222606254776398</v>
      </c>
      <c r="Y513" s="2">
        <v>54</v>
      </c>
      <c r="Z513" s="2" t="e">
        <f>VLOOKUP(E513,YieldData!T:U,2,FALSE)</f>
        <v>#VALUE!</v>
      </c>
      <c r="AA513">
        <f t="shared" si="14"/>
        <v>0.913534329143595</v>
      </c>
    </row>
    <row r="514" spans="1:27" hidden="1" x14ac:dyDescent="0.25">
      <c r="A514">
        <v>45</v>
      </c>
      <c r="B514">
        <v>505</v>
      </c>
      <c r="C514" t="s">
        <v>20</v>
      </c>
      <c r="D514" t="s">
        <v>100</v>
      </c>
      <c r="E514" t="e">
        <f t="shared" si="15"/>
        <v>#VALUE!</v>
      </c>
      <c r="H514">
        <v>23</v>
      </c>
      <c r="I514" t="s">
        <v>21</v>
      </c>
      <c r="J514" t="s">
        <v>22</v>
      </c>
      <c r="K514" s="2">
        <v>17075.147071492898</v>
      </c>
      <c r="L514" s="2">
        <v>283087437.02309</v>
      </c>
      <c r="M514" s="3">
        <v>4524.1352662094296</v>
      </c>
      <c r="N514" s="3">
        <v>114185571.773798</v>
      </c>
      <c r="O514" s="4">
        <v>0.60177638255201005</v>
      </c>
      <c r="P514" s="4">
        <v>1.1179809402960201E-2</v>
      </c>
      <c r="Q514" s="5">
        <v>0.18210497199728701</v>
      </c>
      <c r="R514" s="5">
        <v>2.9427440993668699E-3</v>
      </c>
      <c r="S514" s="6">
        <v>0.62610109657689905</v>
      </c>
      <c r="T514" s="6">
        <v>4.6969841273610598E-2</v>
      </c>
      <c r="U514" s="7">
        <v>0.59996867208813598</v>
      </c>
      <c r="V514" s="7">
        <v>0.240006264600852</v>
      </c>
      <c r="W514" s="8">
        <v>0.72213519229262901</v>
      </c>
      <c r="X514" s="8">
        <v>0.20065595634509101</v>
      </c>
      <c r="Y514" s="2">
        <v>57</v>
      </c>
      <c r="Z514" s="2" t="e">
        <f>VLOOKUP(E514,YieldData!T:U,2,FALSE)</f>
        <v>#VALUE!</v>
      </c>
      <c r="AA514">
        <f t="shared" ref="AA514:AA577" si="16">_xlfn.MAXIFS(U:U,E:E,E514)</f>
        <v>0.913534329143595</v>
      </c>
    </row>
    <row r="515" spans="1:27" hidden="1" x14ac:dyDescent="0.25">
      <c r="A515">
        <v>46</v>
      </c>
      <c r="B515">
        <v>506</v>
      </c>
      <c r="C515" t="s">
        <v>20</v>
      </c>
      <c r="D515" t="s">
        <v>100</v>
      </c>
      <c r="E515" t="e">
        <f t="shared" ref="E515:E578" si="17">D515*1000+B515</f>
        <v>#VALUE!</v>
      </c>
      <c r="H515">
        <v>23</v>
      </c>
      <c r="I515" t="s">
        <v>21</v>
      </c>
      <c r="J515" t="s">
        <v>22</v>
      </c>
      <c r="K515" s="2">
        <v>13634.999049206799</v>
      </c>
      <c r="L515" s="2">
        <v>234992452.79065201</v>
      </c>
      <c r="M515" s="3">
        <v>7608.6337261356603</v>
      </c>
      <c r="N515" s="3">
        <v>111337219.82707199</v>
      </c>
      <c r="O515" s="4">
        <v>0.57533891258537195</v>
      </c>
      <c r="P515" s="4">
        <v>1.18359505080762E-2</v>
      </c>
      <c r="Q515" s="5">
        <v>0.183564666480934</v>
      </c>
      <c r="R515" s="5">
        <v>3.7863706698314501E-3</v>
      </c>
      <c r="S515" s="6">
        <v>0.59050581288666404</v>
      </c>
      <c r="T515" s="6">
        <v>4.6289795906999401E-2</v>
      </c>
      <c r="U515" s="7">
        <v>0.51479590507697504</v>
      </c>
      <c r="V515" s="7">
        <v>0.249781081192854</v>
      </c>
      <c r="W515" s="8">
        <v>0.851456260094826</v>
      </c>
      <c r="X515" s="8">
        <v>0.12647849724025401</v>
      </c>
      <c r="Y515" s="2">
        <v>68</v>
      </c>
      <c r="Z515" s="2" t="e">
        <f>VLOOKUP(E515,YieldData!T:U,2,FALSE)</f>
        <v>#VALUE!</v>
      </c>
      <c r="AA515">
        <f t="shared" si="16"/>
        <v>0.913534329143595</v>
      </c>
    </row>
    <row r="516" spans="1:27" hidden="1" x14ac:dyDescent="0.25">
      <c r="A516">
        <v>47</v>
      </c>
      <c r="B516">
        <v>510</v>
      </c>
      <c r="C516" t="s">
        <v>20</v>
      </c>
      <c r="D516" t="s">
        <v>100</v>
      </c>
      <c r="E516" t="e">
        <f t="shared" si="17"/>
        <v>#VALUE!</v>
      </c>
      <c r="H516">
        <v>23</v>
      </c>
      <c r="I516" t="s">
        <v>21</v>
      </c>
      <c r="J516" t="s">
        <v>22</v>
      </c>
      <c r="K516" s="2">
        <v>19286.300005431702</v>
      </c>
      <c r="L516" s="2">
        <v>333485537.95745599</v>
      </c>
      <c r="M516" s="3">
        <v>3948.5755660506302</v>
      </c>
      <c r="N516" s="3">
        <v>124400631.77163699</v>
      </c>
      <c r="O516" s="4">
        <v>0.58699164958451899</v>
      </c>
      <c r="P516" s="4">
        <v>1.0553930034771701E-2</v>
      </c>
      <c r="Q516" s="5">
        <v>0.162031890677686</v>
      </c>
      <c r="R516" s="5">
        <v>1.77500361086555E-3</v>
      </c>
      <c r="S516" s="6">
        <v>0.61452645731121702</v>
      </c>
      <c r="T516" s="6">
        <v>5.2866072984437101E-2</v>
      </c>
      <c r="U516" s="7">
        <v>0.57229570082290004</v>
      </c>
      <c r="V516" s="7">
        <v>0.24477333164242099</v>
      </c>
      <c r="W516" s="8">
        <v>0.629048246269163</v>
      </c>
      <c r="X516" s="8">
        <v>0.23334655013472599</v>
      </c>
      <c r="Y516" s="2">
        <v>25</v>
      </c>
      <c r="Z516" s="2" t="e">
        <f>VLOOKUP(E516,YieldData!T:U,2,FALSE)</f>
        <v>#VALUE!</v>
      </c>
      <c r="AA516">
        <f t="shared" si="16"/>
        <v>0.913534329143595</v>
      </c>
    </row>
    <row r="517" spans="1:27" hidden="1" x14ac:dyDescent="0.25">
      <c r="A517">
        <v>48</v>
      </c>
      <c r="B517">
        <v>509</v>
      </c>
      <c r="C517" t="s">
        <v>20</v>
      </c>
      <c r="D517" t="s">
        <v>100</v>
      </c>
      <c r="E517" t="e">
        <f t="shared" si="17"/>
        <v>#VALUE!</v>
      </c>
      <c r="H517">
        <v>23</v>
      </c>
      <c r="I517" t="s">
        <v>21</v>
      </c>
      <c r="J517" t="s">
        <v>22</v>
      </c>
      <c r="K517" s="2">
        <v>15720.536236391899</v>
      </c>
      <c r="L517" s="2">
        <v>280490967.106291</v>
      </c>
      <c r="M517" s="3">
        <v>6644.0909193376701</v>
      </c>
      <c r="N517" s="3">
        <v>111857094.33572701</v>
      </c>
      <c r="O517" s="4">
        <v>0.57631416929676604</v>
      </c>
      <c r="P517" s="4">
        <v>1.1465136648921801E-2</v>
      </c>
      <c r="Q517" s="5">
        <v>0.16061829384179199</v>
      </c>
      <c r="R517" s="5">
        <v>1.9343927040086099E-3</v>
      </c>
      <c r="S517" s="6">
        <v>0.57176294175833198</v>
      </c>
      <c r="T517" s="6">
        <v>5.2018251128732297E-2</v>
      </c>
      <c r="U517" s="7">
        <v>0.49473094867807199</v>
      </c>
      <c r="V517" s="7">
        <v>0.24997223709814101</v>
      </c>
      <c r="W517" s="8">
        <v>0.47697417525003699</v>
      </c>
      <c r="X517" s="8">
        <v>0.249469811394253</v>
      </c>
      <c r="Y517" s="2">
        <v>27</v>
      </c>
      <c r="Z517" s="2" t="e">
        <f>VLOOKUP(E517,YieldData!T:U,2,FALSE)</f>
        <v>#VALUE!</v>
      </c>
      <c r="AA517">
        <f t="shared" si="16"/>
        <v>0.913534329143595</v>
      </c>
    </row>
    <row r="518" spans="1:27" hidden="1" x14ac:dyDescent="0.25">
      <c r="A518">
        <v>49</v>
      </c>
      <c r="B518">
        <v>508</v>
      </c>
      <c r="C518" t="s">
        <v>20</v>
      </c>
      <c r="D518" t="s">
        <v>100</v>
      </c>
      <c r="E518" t="e">
        <f t="shared" si="17"/>
        <v>#VALUE!</v>
      </c>
      <c r="H518">
        <v>23</v>
      </c>
      <c r="I518" t="s">
        <v>21</v>
      </c>
      <c r="J518" t="s">
        <v>22</v>
      </c>
      <c r="K518" s="2">
        <v>14616.386418542301</v>
      </c>
      <c r="L518" s="2">
        <v>305894032.984487</v>
      </c>
      <c r="M518" s="3">
        <v>8036.0032156604202</v>
      </c>
      <c r="N518" s="3">
        <v>122878889.807908</v>
      </c>
      <c r="O518" s="4">
        <v>0.54182483107865598</v>
      </c>
      <c r="P518" s="4">
        <v>1.28839695422395E-2</v>
      </c>
      <c r="Q518" s="5">
        <v>0.15721382941183101</v>
      </c>
      <c r="R518" s="5">
        <v>2.1025198083532101E-3</v>
      </c>
      <c r="S518" s="6">
        <v>0.53037495691731396</v>
      </c>
      <c r="T518" s="6">
        <v>5.7009575448061102E-2</v>
      </c>
      <c r="U518" s="7">
        <v>0.44148109168321098</v>
      </c>
      <c r="V518" s="7">
        <v>0.24657553736950999</v>
      </c>
      <c r="W518" s="8">
        <v>0.52144480325319897</v>
      </c>
      <c r="X518" s="8">
        <v>0.24954012041331899</v>
      </c>
      <c r="Y518" s="2">
        <v>23</v>
      </c>
      <c r="Z518" s="2" t="e">
        <f>VLOOKUP(E518,YieldData!T:U,2,FALSE)</f>
        <v>#VALUE!</v>
      </c>
      <c r="AA518">
        <f t="shared" si="16"/>
        <v>0.913534329143595</v>
      </c>
    </row>
    <row r="519" spans="1:27" hidden="1" x14ac:dyDescent="0.25">
      <c r="A519">
        <v>50</v>
      </c>
      <c r="B519">
        <v>507</v>
      </c>
      <c r="C519" t="s">
        <v>20</v>
      </c>
      <c r="D519" t="s">
        <v>100</v>
      </c>
      <c r="E519" t="e">
        <f t="shared" si="17"/>
        <v>#VALUE!</v>
      </c>
      <c r="H519">
        <v>23</v>
      </c>
      <c r="I519" t="s">
        <v>21</v>
      </c>
      <c r="J519" t="s">
        <v>22</v>
      </c>
      <c r="K519" s="2">
        <v>16022.2626175982</v>
      </c>
      <c r="L519" s="2">
        <v>237667478.819493</v>
      </c>
      <c r="M519" s="3">
        <v>5907.1095331005299</v>
      </c>
      <c r="N519" s="3">
        <v>109017265.001958</v>
      </c>
      <c r="O519" s="4">
        <v>0.58795006270394101</v>
      </c>
      <c r="P519" s="4">
        <v>1.3138817276111299E-2</v>
      </c>
      <c r="Q519" s="5">
        <v>0.177944273331019</v>
      </c>
      <c r="R519" s="5">
        <v>4.1291167728635903E-3</v>
      </c>
      <c r="S519" s="6">
        <v>0.62322210821582902</v>
      </c>
      <c r="T519" s="6">
        <v>4.8691768833358698E-2</v>
      </c>
      <c r="U519" s="7">
        <v>0.60152185943552805</v>
      </c>
      <c r="V519" s="7">
        <v>0.239693312056553</v>
      </c>
      <c r="W519" s="8">
        <v>0.59767824775503997</v>
      </c>
      <c r="X519" s="8">
        <v>0.24045895991546601</v>
      </c>
      <c r="Y519" s="2">
        <v>43</v>
      </c>
      <c r="Z519" s="2" t="e">
        <f>VLOOKUP(E519,YieldData!T:U,2,FALSE)</f>
        <v>#VALUE!</v>
      </c>
      <c r="AA519">
        <f t="shared" si="16"/>
        <v>0.913534329143595</v>
      </c>
    </row>
    <row r="520" spans="1:27" hidden="1" x14ac:dyDescent="0.25">
      <c r="A520">
        <v>51</v>
      </c>
      <c r="B520">
        <v>601</v>
      </c>
      <c r="C520" t="s">
        <v>20</v>
      </c>
      <c r="D520">
        <v>25112</v>
      </c>
      <c r="E520">
        <f t="shared" si="17"/>
        <v>25112601</v>
      </c>
      <c r="F520">
        <f>VLOOKUP(E520,YieldData!D:F,2,FALSE)</f>
        <v>1</v>
      </c>
      <c r="G520">
        <f>VLOOKUP($E520,YieldData!$D:$F,3,FALSE)</f>
        <v>1</v>
      </c>
      <c r="H520">
        <v>23</v>
      </c>
      <c r="I520" t="s">
        <v>21</v>
      </c>
      <c r="J520" t="s">
        <v>22</v>
      </c>
      <c r="K520" s="2">
        <v>6417.4503223337197</v>
      </c>
      <c r="L520" s="2">
        <v>132934225.072274</v>
      </c>
      <c r="M520" s="3">
        <v>13103.5316034484</v>
      </c>
      <c r="N520" s="3">
        <v>56566873.546489999</v>
      </c>
      <c r="O520" s="4">
        <v>0.50850289744158494</v>
      </c>
      <c r="P520" s="4">
        <v>5.8860614808265797E-3</v>
      </c>
      <c r="Q520" s="5">
        <v>0.158056659294215</v>
      </c>
      <c r="R520" s="5">
        <v>1.4222609984408099E-3</v>
      </c>
      <c r="S520" s="6">
        <v>0.41324118968782397</v>
      </c>
      <c r="T520" s="6">
        <v>2.7748077512245999E-2</v>
      </c>
      <c r="U520" s="7">
        <v>0.198686744250021</v>
      </c>
      <c r="V520" s="7">
        <v>0.15921032190918</v>
      </c>
      <c r="W520" s="8">
        <v>0.51449448683297805</v>
      </c>
      <c r="X520" s="8">
        <v>0.24978990985122501</v>
      </c>
      <c r="Y520" s="2">
        <v>16</v>
      </c>
      <c r="Z520" s="2">
        <f>VLOOKUP(E520,YieldData!T:U,2,FALSE)</f>
        <v>2181.5917843388966</v>
      </c>
      <c r="AA520">
        <f t="shared" si="16"/>
        <v>0.56725628789781501</v>
      </c>
    </row>
    <row r="521" spans="1:27" hidden="1" x14ac:dyDescent="0.25">
      <c r="A521">
        <v>52</v>
      </c>
      <c r="B521">
        <v>602</v>
      </c>
      <c r="C521" t="s">
        <v>20</v>
      </c>
      <c r="D521">
        <v>25112</v>
      </c>
      <c r="E521">
        <f t="shared" si="17"/>
        <v>25112602</v>
      </c>
      <c r="F521">
        <f>VLOOKUP(E521,YieldData!D:F,2,FALSE)</f>
        <v>2</v>
      </c>
      <c r="G521">
        <f>VLOOKUP($E521,YieldData!$D:$F,3,FALSE)</f>
        <v>1</v>
      </c>
      <c r="H521">
        <v>23</v>
      </c>
      <c r="I521" t="s">
        <v>21</v>
      </c>
      <c r="J521" t="s">
        <v>22</v>
      </c>
      <c r="K521" s="2">
        <v>11128.9328938407</v>
      </c>
      <c r="L521" s="2">
        <v>219417134.310902</v>
      </c>
      <c r="M521" s="3">
        <v>10693.4585081183</v>
      </c>
      <c r="N521" s="3">
        <v>86113253.867819607</v>
      </c>
      <c r="O521" s="4">
        <v>0.54921973284897396</v>
      </c>
      <c r="P521" s="4">
        <v>7.4178215877185403E-3</v>
      </c>
      <c r="Q521" s="5">
        <v>0.15934195381816399</v>
      </c>
      <c r="R521" s="5">
        <v>1.6049265137141899E-3</v>
      </c>
      <c r="S521" s="6">
        <v>0.49890764968763801</v>
      </c>
      <c r="T521" s="6">
        <v>4.14493977714585E-2</v>
      </c>
      <c r="U521" s="7">
        <v>0.36344243545754801</v>
      </c>
      <c r="V521" s="7">
        <v>0.231352031566182</v>
      </c>
      <c r="W521" s="8">
        <v>0.51762468355243696</v>
      </c>
      <c r="X521" s="8">
        <v>0.24968937052935</v>
      </c>
      <c r="Y521" s="2">
        <v>24</v>
      </c>
      <c r="Z521" s="2">
        <f>VLOOKUP(E521,YieldData!T:U,2,FALSE)</f>
        <v>2508.231707317073</v>
      </c>
      <c r="AA521">
        <f t="shared" si="16"/>
        <v>0.55694771065448401</v>
      </c>
    </row>
    <row r="522" spans="1:27" hidden="1" x14ac:dyDescent="0.25">
      <c r="A522">
        <v>53</v>
      </c>
      <c r="B522">
        <v>603</v>
      </c>
      <c r="C522" t="s">
        <v>20</v>
      </c>
      <c r="D522">
        <v>25112</v>
      </c>
      <c r="E522">
        <f t="shared" si="17"/>
        <v>25112603</v>
      </c>
      <c r="F522">
        <f>VLOOKUP(E522,YieldData!D:F,2,FALSE)</f>
        <v>3</v>
      </c>
      <c r="G522">
        <f>VLOOKUP($E522,YieldData!$D:$F,3,FALSE)</f>
        <v>1</v>
      </c>
      <c r="H522">
        <v>23</v>
      </c>
      <c r="I522" t="s">
        <v>21</v>
      </c>
      <c r="J522" t="s">
        <v>22</v>
      </c>
      <c r="K522" s="2">
        <v>17619.917826375098</v>
      </c>
      <c r="L522" s="2">
        <v>322604845.95838201</v>
      </c>
      <c r="M522" s="3">
        <v>6653.12460052602</v>
      </c>
      <c r="N522" s="3">
        <v>118489251.826105</v>
      </c>
      <c r="O522" s="4">
        <v>0.60690361855416497</v>
      </c>
      <c r="P522" s="4">
        <v>7.4250089463988199E-3</v>
      </c>
      <c r="Q522" s="5">
        <v>0.17669325941509401</v>
      </c>
      <c r="R522" s="5">
        <v>1.6297532614329899E-3</v>
      </c>
      <c r="S522" s="6">
        <v>0.60585003680563698</v>
      </c>
      <c r="T522" s="6">
        <v>4.0768496453262797E-2</v>
      </c>
      <c r="U522" s="7">
        <v>0.55488861701585401</v>
      </c>
      <c r="V522" s="7">
        <v>0.24698723972216199</v>
      </c>
      <c r="W522" s="8">
        <v>0.96515732728408099</v>
      </c>
      <c r="X522" s="8">
        <v>3.3628660873909401E-2</v>
      </c>
      <c r="Y522" s="2">
        <v>155</v>
      </c>
      <c r="Z522" s="2">
        <f>VLOOKUP(E522,YieldData!T:U,2,FALSE)</f>
        <v>2318.1354300385115</v>
      </c>
      <c r="AA522">
        <f t="shared" si="16"/>
        <v>0.77373397558427004</v>
      </c>
    </row>
    <row r="523" spans="1:27" hidden="1" x14ac:dyDescent="0.25">
      <c r="A523">
        <v>54</v>
      </c>
      <c r="B523">
        <v>604</v>
      </c>
      <c r="C523" t="s">
        <v>20</v>
      </c>
      <c r="D523">
        <v>25112</v>
      </c>
      <c r="E523">
        <f t="shared" si="17"/>
        <v>25112604</v>
      </c>
      <c r="F523">
        <f>VLOOKUP(E523,YieldData!D:F,2,FALSE)</f>
        <v>4</v>
      </c>
      <c r="G523">
        <f>VLOOKUP($E523,YieldData!$D:$F,3,FALSE)</f>
        <v>1</v>
      </c>
      <c r="H523">
        <v>23</v>
      </c>
      <c r="I523" t="s">
        <v>21</v>
      </c>
      <c r="J523" t="s">
        <v>22</v>
      </c>
      <c r="K523" s="2">
        <v>16220.712697762299</v>
      </c>
      <c r="L523" s="2">
        <v>302076942.44076401</v>
      </c>
      <c r="M523" s="3">
        <v>7152.2755259864398</v>
      </c>
      <c r="N523" s="3">
        <v>122006331.41574401</v>
      </c>
      <c r="O523" s="4">
        <v>0.588631329337997</v>
      </c>
      <c r="P523" s="4">
        <v>9.4375760641019803E-3</v>
      </c>
      <c r="Q523" s="5">
        <v>0.16933086052157401</v>
      </c>
      <c r="R523" s="5">
        <v>1.5635974764588499E-3</v>
      </c>
      <c r="S523" s="6">
        <v>0.58499917937949697</v>
      </c>
      <c r="T523" s="6">
        <v>4.6226285636597302E-2</v>
      </c>
      <c r="U523" s="7">
        <v>0.50580895861695196</v>
      </c>
      <c r="V523" s="7">
        <v>0.24996625599981601</v>
      </c>
      <c r="W523" s="8">
        <v>0.85349089274856604</v>
      </c>
      <c r="X523" s="8">
        <v>0.12504418874366699</v>
      </c>
      <c r="Y523" s="2">
        <v>55</v>
      </c>
      <c r="Z523" s="2">
        <f>VLOOKUP(E523,YieldData!T:U,2,FALSE)</f>
        <v>634.45924261874211</v>
      </c>
      <c r="AA523">
        <f t="shared" si="16"/>
        <v>0.83857877413982296</v>
      </c>
    </row>
    <row r="524" spans="1:27" hidden="1" x14ac:dyDescent="0.25">
      <c r="A524">
        <v>55</v>
      </c>
      <c r="B524">
        <v>605</v>
      </c>
      <c r="C524" t="s">
        <v>20</v>
      </c>
      <c r="D524">
        <v>25112</v>
      </c>
      <c r="E524">
        <f t="shared" si="17"/>
        <v>25112605</v>
      </c>
      <c r="F524">
        <f>VLOOKUP(E524,YieldData!D:F,2,FALSE)</f>
        <v>3</v>
      </c>
      <c r="G524">
        <f>VLOOKUP($E524,YieldData!$D:$F,3,FALSE)</f>
        <v>2</v>
      </c>
      <c r="H524">
        <v>23</v>
      </c>
      <c r="I524" t="s">
        <v>21</v>
      </c>
      <c r="J524" t="s">
        <v>22</v>
      </c>
      <c r="K524" s="2">
        <v>13431.497184662099</v>
      </c>
      <c r="L524" s="2">
        <v>248105620.400455</v>
      </c>
      <c r="M524" s="3">
        <v>8645.4102908772493</v>
      </c>
      <c r="N524" s="3">
        <v>124355289.031333</v>
      </c>
      <c r="O524" s="4">
        <v>0.56181763452543998</v>
      </c>
      <c r="P524" s="4">
        <v>1.26717682032435E-2</v>
      </c>
      <c r="Q524" s="5">
        <v>0.16969303808592701</v>
      </c>
      <c r="R524" s="5">
        <v>3.27301395696973E-3</v>
      </c>
      <c r="S524" s="6">
        <v>0.56438928821777901</v>
      </c>
      <c r="T524" s="6">
        <v>4.7671730087895499E-2</v>
      </c>
      <c r="U524" s="7">
        <v>0.47254878358678098</v>
      </c>
      <c r="V524" s="7">
        <v>0.24924643071748701</v>
      </c>
      <c r="W524" s="8">
        <v>0.72852270447401901</v>
      </c>
      <c r="X524" s="8">
        <v>0.19777737353996599</v>
      </c>
      <c r="Y524" s="2">
        <v>50</v>
      </c>
      <c r="Z524" s="2">
        <f>VLOOKUP(E524,YieldData!T:U,2,FALSE)</f>
        <v>1653.1209884467266</v>
      </c>
      <c r="AA524">
        <f t="shared" si="16"/>
        <v>0.73001203691320005</v>
      </c>
    </row>
    <row r="525" spans="1:27" hidden="1" x14ac:dyDescent="0.25">
      <c r="A525">
        <v>56</v>
      </c>
      <c r="B525">
        <v>606</v>
      </c>
      <c r="C525" t="s">
        <v>20</v>
      </c>
      <c r="D525">
        <v>25112</v>
      </c>
      <c r="E525">
        <f t="shared" si="17"/>
        <v>25112606</v>
      </c>
      <c r="F525">
        <f>VLOOKUP(E525,YieldData!D:F,2,FALSE)</f>
        <v>4</v>
      </c>
      <c r="G525">
        <f>VLOOKUP($E525,YieldData!$D:$F,3,FALSE)</f>
        <v>2</v>
      </c>
      <c r="H525">
        <v>23</v>
      </c>
      <c r="I525" t="s">
        <v>21</v>
      </c>
      <c r="J525" t="s">
        <v>22</v>
      </c>
      <c r="K525" s="2">
        <v>15309.810452285001</v>
      </c>
      <c r="L525" s="2">
        <v>263112058.65392399</v>
      </c>
      <c r="M525" s="3">
        <v>6298.2216570123301</v>
      </c>
      <c r="N525" s="3">
        <v>125019653.99681801</v>
      </c>
      <c r="O525" s="4">
        <v>0.58895653196784603</v>
      </c>
      <c r="P525" s="4">
        <v>1.19094354223088E-2</v>
      </c>
      <c r="Q525" s="5">
        <v>0.18706683170066801</v>
      </c>
      <c r="R525" s="5">
        <v>4.6666845217070204E-3</v>
      </c>
      <c r="S525" s="6">
        <v>0.62814403201447599</v>
      </c>
      <c r="T525" s="6">
        <v>4.5161301122914999E-2</v>
      </c>
      <c r="U525" s="7">
        <v>0.58622544710220004</v>
      </c>
      <c r="V525" s="7">
        <v>0.24256517227180699</v>
      </c>
      <c r="W525" s="8">
        <v>0.87268217786701296</v>
      </c>
      <c r="X525" s="8">
        <v>0.111107994300323</v>
      </c>
      <c r="Y525" s="2">
        <v>98</v>
      </c>
      <c r="Z525" s="2">
        <f>VLOOKUP(E525,YieldData!T:U,2,FALSE)</f>
        <v>258.99550706033375</v>
      </c>
      <c r="AA525">
        <f t="shared" si="16"/>
        <v>0.83590551181102402</v>
      </c>
    </row>
    <row r="526" spans="1:27" hidden="1" x14ac:dyDescent="0.25">
      <c r="A526">
        <v>57</v>
      </c>
      <c r="B526">
        <v>607</v>
      </c>
      <c r="C526" t="s">
        <v>20</v>
      </c>
      <c r="D526">
        <v>25112</v>
      </c>
      <c r="E526">
        <f t="shared" si="17"/>
        <v>25112607</v>
      </c>
      <c r="F526">
        <f>VLOOKUP(E526,YieldData!D:F,2,FALSE)</f>
        <v>1</v>
      </c>
      <c r="G526">
        <f>VLOOKUP($E526,YieldData!$D:$F,3,FALSE)</f>
        <v>2</v>
      </c>
      <c r="H526">
        <v>23</v>
      </c>
      <c r="I526" t="s">
        <v>21</v>
      </c>
      <c r="J526" t="s">
        <v>22</v>
      </c>
      <c r="K526" s="2">
        <v>10988.7958531163</v>
      </c>
      <c r="L526" s="2">
        <v>214778129.112385</v>
      </c>
      <c r="M526" s="3">
        <v>11599.885638801899</v>
      </c>
      <c r="N526" s="3">
        <v>98813252.580930203</v>
      </c>
      <c r="O526" s="4">
        <v>0.49416374569034399</v>
      </c>
      <c r="P526" s="4">
        <v>1.06983053543374E-2</v>
      </c>
      <c r="Q526" s="5">
        <v>0.14705379231565499</v>
      </c>
      <c r="R526" s="5">
        <v>3.61154821393669E-3</v>
      </c>
      <c r="S526" s="6">
        <v>0.50381076728423801</v>
      </c>
      <c r="T526" s="6">
        <v>4.2470188626684897E-2</v>
      </c>
      <c r="U526" s="7">
        <v>0.37600515959052599</v>
      </c>
      <c r="V526" s="7">
        <v>0.23462527955193299</v>
      </c>
      <c r="W526" s="8">
        <v>0.69690274594832002</v>
      </c>
      <c r="X526" s="8">
        <v>0.21122930863783099</v>
      </c>
      <c r="Y526" s="2">
        <v>50</v>
      </c>
      <c r="Z526" s="2">
        <f>VLOOKUP(E526,YieldData!T:U,2,FALSE)</f>
        <v>1494.5314505776639</v>
      </c>
      <c r="AA526">
        <f t="shared" si="16"/>
        <v>0.50546796745290101</v>
      </c>
    </row>
    <row r="527" spans="1:27" hidden="1" x14ac:dyDescent="0.25">
      <c r="A527">
        <v>58</v>
      </c>
      <c r="B527">
        <v>608</v>
      </c>
      <c r="C527" t="s">
        <v>20</v>
      </c>
      <c r="D527">
        <v>25112</v>
      </c>
      <c r="E527">
        <f t="shared" si="17"/>
        <v>25112608</v>
      </c>
      <c r="F527">
        <f>VLOOKUP(E527,YieldData!D:F,2,FALSE)</f>
        <v>2</v>
      </c>
      <c r="G527">
        <f>VLOOKUP($E527,YieldData!$D:$F,3,FALSE)</f>
        <v>2</v>
      </c>
      <c r="H527">
        <v>23</v>
      </c>
      <c r="I527" t="s">
        <v>21</v>
      </c>
      <c r="J527" t="s">
        <v>22</v>
      </c>
      <c r="K527" s="2">
        <v>16169.6581307258</v>
      </c>
      <c r="L527" s="2">
        <v>311112116.02862298</v>
      </c>
      <c r="M527" s="3">
        <v>7356.8739654719602</v>
      </c>
      <c r="N527" s="3">
        <v>100704552.837497</v>
      </c>
      <c r="O527" s="4">
        <v>0.50126861787797705</v>
      </c>
      <c r="P527" s="4">
        <v>1.08082288825681E-2</v>
      </c>
      <c r="Q527" s="5">
        <v>0.14041679367441101</v>
      </c>
      <c r="R527" s="5">
        <v>1.9993677683842999E-3</v>
      </c>
      <c r="S527" s="6">
        <v>0.54297704740326702</v>
      </c>
      <c r="T527" s="6">
        <v>5.0313229958262803E-2</v>
      </c>
      <c r="U527" s="7">
        <v>0.47867023272137599</v>
      </c>
      <c r="V527" s="7">
        <v>0.24954504102782901</v>
      </c>
      <c r="W527" s="8">
        <v>0.60270872164798694</v>
      </c>
      <c r="X527" s="8">
        <v>0.23945091849711</v>
      </c>
      <c r="Y527" s="2">
        <v>24</v>
      </c>
      <c r="Z527" s="2">
        <f>VLOOKUP(E527,YieldData!T:U,2,FALSE)</f>
        <v>1636.4489730423622</v>
      </c>
      <c r="AA527">
        <f t="shared" si="16"/>
        <v>0.63237323006172097</v>
      </c>
    </row>
    <row r="528" spans="1:27" hidden="1" x14ac:dyDescent="0.25">
      <c r="A528">
        <v>59</v>
      </c>
      <c r="B528">
        <v>609</v>
      </c>
      <c r="C528" t="s">
        <v>20</v>
      </c>
      <c r="D528">
        <v>25112</v>
      </c>
      <c r="E528">
        <f t="shared" si="17"/>
        <v>25112609</v>
      </c>
      <c r="F528">
        <f>VLOOKUP(E528,YieldData!D:F,2,FALSE)</f>
        <v>4</v>
      </c>
      <c r="G528">
        <f>VLOOKUP($E528,YieldData!$D:$F,3,FALSE)</f>
        <v>3</v>
      </c>
      <c r="H528">
        <v>23</v>
      </c>
      <c r="I528" t="s">
        <v>21</v>
      </c>
      <c r="J528" t="s">
        <v>22</v>
      </c>
      <c r="K528" s="2">
        <v>17226.623533940699</v>
      </c>
      <c r="L528" s="2">
        <v>329933784.97562999</v>
      </c>
      <c r="M528" s="3">
        <v>6583.7865838539101</v>
      </c>
      <c r="N528" s="3">
        <v>117707858.53082301</v>
      </c>
      <c r="O528" s="4">
        <v>0.517615727875676</v>
      </c>
      <c r="P528" s="4">
        <v>1.13047248182561E-2</v>
      </c>
      <c r="Q528" s="5">
        <v>0.138460658910219</v>
      </c>
      <c r="R528" s="5">
        <v>1.9603522627255001E-3</v>
      </c>
      <c r="S528" s="6">
        <v>0.55428489485398702</v>
      </c>
      <c r="T528" s="6">
        <v>5.4893876704400997E-2</v>
      </c>
      <c r="U528" s="7">
        <v>0.48267676119594499</v>
      </c>
      <c r="V528" s="7">
        <v>0.24969990539711501</v>
      </c>
      <c r="W528" s="8">
        <v>0.46771813200210499</v>
      </c>
      <c r="X528" s="8">
        <v>0.248957880998565</v>
      </c>
      <c r="Y528" s="2">
        <v>16</v>
      </c>
      <c r="Z528" s="2">
        <f>VLOOKUP(E528,YieldData!T:U,2,FALSE)</f>
        <v>428.16431322207961</v>
      </c>
      <c r="AA528">
        <f t="shared" si="16"/>
        <v>0.74996470784512503</v>
      </c>
    </row>
    <row r="529" spans="1:27" hidden="1" x14ac:dyDescent="0.25">
      <c r="A529">
        <v>60</v>
      </c>
      <c r="B529">
        <v>610</v>
      </c>
      <c r="C529" t="s">
        <v>20</v>
      </c>
      <c r="D529">
        <v>25112</v>
      </c>
      <c r="E529">
        <f t="shared" si="17"/>
        <v>25112610</v>
      </c>
      <c r="F529">
        <f>VLOOKUP(E529,YieldData!D:F,2,FALSE)</f>
        <v>3</v>
      </c>
      <c r="G529">
        <f>VLOOKUP($E529,YieldData!$D:$F,3,FALSE)</f>
        <v>3</v>
      </c>
      <c r="H529">
        <v>23</v>
      </c>
      <c r="I529" t="s">
        <v>21</v>
      </c>
      <c r="J529" t="s">
        <v>22</v>
      </c>
      <c r="K529" s="2">
        <v>10017.399641317101</v>
      </c>
      <c r="L529" s="2">
        <v>185008925.58422399</v>
      </c>
      <c r="M529" s="3">
        <v>10708.523122737</v>
      </c>
      <c r="N529" s="3">
        <v>79402425.257696599</v>
      </c>
      <c r="O529" s="4">
        <v>0.49605692947454599</v>
      </c>
      <c r="P529" s="4">
        <v>9.13909179115493E-3</v>
      </c>
      <c r="Q529" s="5">
        <v>0.144972061384606</v>
      </c>
      <c r="R529" s="5">
        <v>1.4709361002283601E-3</v>
      </c>
      <c r="S529" s="6">
        <v>0.46480866489449602</v>
      </c>
      <c r="T529" s="6">
        <v>4.3463593489144602E-2</v>
      </c>
      <c r="U529" s="7">
        <v>0.32367175240330698</v>
      </c>
      <c r="V529" s="7">
        <v>0.21890834909953</v>
      </c>
      <c r="W529" s="8">
        <v>0.52317592604802698</v>
      </c>
      <c r="X529" s="8">
        <v>0.24946287645172599</v>
      </c>
      <c r="Y529" s="2">
        <v>16</v>
      </c>
      <c r="Z529" s="2">
        <f>VLOOKUP(E529,YieldData!T:U,2,FALSE)</f>
        <v>2054.942233632863</v>
      </c>
      <c r="AA529">
        <f t="shared" si="16"/>
        <v>0.57715333087188103</v>
      </c>
    </row>
    <row r="530" spans="1:27" hidden="1" x14ac:dyDescent="0.25">
      <c r="A530">
        <v>61</v>
      </c>
      <c r="B530">
        <v>701</v>
      </c>
      <c r="C530" t="s">
        <v>20</v>
      </c>
      <c r="D530" t="s">
        <v>100</v>
      </c>
      <c r="E530" t="e">
        <f t="shared" si="17"/>
        <v>#VALUE!</v>
      </c>
      <c r="H530">
        <v>23</v>
      </c>
      <c r="I530" t="s">
        <v>21</v>
      </c>
      <c r="J530" t="s">
        <v>22</v>
      </c>
      <c r="K530" s="2">
        <v>10949.394440656901</v>
      </c>
      <c r="L530" s="2">
        <v>217191467.04424399</v>
      </c>
      <c r="M530" s="3">
        <v>9421.4059061898497</v>
      </c>
      <c r="N530" s="3">
        <v>104007769.27449501</v>
      </c>
      <c r="O530" s="4">
        <v>0.55843790746314603</v>
      </c>
      <c r="P530" s="4">
        <v>1.03138481796725E-2</v>
      </c>
      <c r="Q530" s="5">
        <v>0.16428968632357399</v>
      </c>
      <c r="R530" s="5">
        <v>1.7785567404731699E-3</v>
      </c>
      <c r="S530" s="6">
        <v>0.51073519215681096</v>
      </c>
      <c r="T530" s="6">
        <v>4.4001246589922403E-2</v>
      </c>
      <c r="U530" s="7">
        <v>0.356130467544584</v>
      </c>
      <c r="V530" s="7">
        <v>0.229301557630925</v>
      </c>
      <c r="W530" s="8">
        <v>0.70197218135935802</v>
      </c>
      <c r="X530" s="8">
        <v>0.20920723795728799</v>
      </c>
      <c r="Y530" s="2">
        <v>41</v>
      </c>
      <c r="Z530" s="2" t="e">
        <f>VLOOKUP(E530,YieldData!T:U,2,FALSE)</f>
        <v>#VALUE!</v>
      </c>
      <c r="AA530">
        <f t="shared" si="16"/>
        <v>0.913534329143595</v>
      </c>
    </row>
    <row r="531" spans="1:27" hidden="1" x14ac:dyDescent="0.25">
      <c r="A531">
        <v>62</v>
      </c>
      <c r="B531">
        <v>702</v>
      </c>
      <c r="C531" t="s">
        <v>20</v>
      </c>
      <c r="D531" t="s">
        <v>100</v>
      </c>
      <c r="E531" t="e">
        <f t="shared" si="17"/>
        <v>#VALUE!</v>
      </c>
      <c r="H531">
        <v>23</v>
      </c>
      <c r="I531" t="s">
        <v>21</v>
      </c>
      <c r="J531" t="s">
        <v>22</v>
      </c>
      <c r="K531" s="2">
        <v>16163.841389580601</v>
      </c>
      <c r="L531" s="2">
        <v>295706592.77570498</v>
      </c>
      <c r="M531" s="3">
        <v>7398.5179456606302</v>
      </c>
      <c r="N531" s="3">
        <v>102063609.53598399</v>
      </c>
      <c r="O531" s="4">
        <v>0.59933938440354695</v>
      </c>
      <c r="P531" s="4">
        <v>6.4774498287088998E-3</v>
      </c>
      <c r="Q531" s="5">
        <v>0.17100838961123099</v>
      </c>
      <c r="R531" s="5">
        <v>1.9462966078690901E-3</v>
      </c>
      <c r="S531" s="6">
        <v>0.59392293465956902</v>
      </c>
      <c r="T531" s="6">
        <v>3.9379050007763303E-2</v>
      </c>
      <c r="U531" s="7">
        <v>0.53738831111762098</v>
      </c>
      <c r="V531" s="7">
        <v>0.248602114191877</v>
      </c>
      <c r="W531" s="8">
        <v>0.93059166758218304</v>
      </c>
      <c r="X531" s="8">
        <v>6.4590815808798704E-2</v>
      </c>
      <c r="Y531" s="2">
        <v>106</v>
      </c>
      <c r="Z531" s="2" t="e">
        <f>VLOOKUP(E531,YieldData!T:U,2,FALSE)</f>
        <v>#VALUE!</v>
      </c>
      <c r="AA531">
        <f t="shared" si="16"/>
        <v>0.913534329143595</v>
      </c>
    </row>
    <row r="532" spans="1:27" hidden="1" x14ac:dyDescent="0.25">
      <c r="A532">
        <v>63</v>
      </c>
      <c r="B532">
        <v>703</v>
      </c>
      <c r="C532" t="s">
        <v>20</v>
      </c>
      <c r="D532" t="s">
        <v>100</v>
      </c>
      <c r="E532" t="e">
        <f t="shared" si="17"/>
        <v>#VALUE!</v>
      </c>
      <c r="H532">
        <v>23</v>
      </c>
      <c r="I532" t="s">
        <v>21</v>
      </c>
      <c r="J532" t="s">
        <v>22</v>
      </c>
      <c r="K532" s="2">
        <v>14507.9760569276</v>
      </c>
      <c r="L532" s="2">
        <v>309933192.02174401</v>
      </c>
      <c r="M532" s="3">
        <v>8082.5971504423796</v>
      </c>
      <c r="N532" s="3">
        <v>109644156.80625001</v>
      </c>
      <c r="O532" s="4">
        <v>0.595060390722293</v>
      </c>
      <c r="P532" s="4">
        <v>7.7884800172500898E-3</v>
      </c>
      <c r="Q532" s="5">
        <v>0.17768858578638599</v>
      </c>
      <c r="R532" s="5">
        <v>1.7954172136330701E-3</v>
      </c>
      <c r="S532" s="6">
        <v>0.56771505469555295</v>
      </c>
      <c r="T532" s="6">
        <v>4.0634319242997097E-2</v>
      </c>
      <c r="U532" s="7">
        <v>0.473192608981642</v>
      </c>
      <c r="V532" s="7">
        <v>0.24928136378688301</v>
      </c>
      <c r="W532" s="8">
        <v>0.96476160857395798</v>
      </c>
      <c r="X532" s="8">
        <v>3.3996647195796897E-2</v>
      </c>
      <c r="Y532" s="2">
        <v>155</v>
      </c>
      <c r="Z532" s="2" t="e">
        <f>VLOOKUP(E532,YieldData!T:U,2,FALSE)</f>
        <v>#VALUE!</v>
      </c>
      <c r="AA532">
        <f t="shared" si="16"/>
        <v>0.913534329143595</v>
      </c>
    </row>
    <row r="533" spans="1:27" hidden="1" x14ac:dyDescent="0.25">
      <c r="A533">
        <v>64</v>
      </c>
      <c r="B533">
        <v>704</v>
      </c>
      <c r="C533" t="s">
        <v>20</v>
      </c>
      <c r="D533" t="s">
        <v>100</v>
      </c>
      <c r="E533" t="e">
        <f t="shared" si="17"/>
        <v>#VALUE!</v>
      </c>
      <c r="H533">
        <v>23</v>
      </c>
      <c r="I533" t="s">
        <v>21</v>
      </c>
      <c r="J533" t="s">
        <v>22</v>
      </c>
      <c r="K533" s="2">
        <v>12208.123661604001</v>
      </c>
      <c r="L533" s="2">
        <v>213300175.54747099</v>
      </c>
      <c r="M533" s="3">
        <v>9622.4795780938402</v>
      </c>
      <c r="N533" s="3">
        <v>96571600.555693597</v>
      </c>
      <c r="O533" s="4">
        <v>0.56664678146606295</v>
      </c>
      <c r="P533" s="4">
        <v>9.5994427894584792E-3</v>
      </c>
      <c r="Q533" s="5">
        <v>0.16607196540557301</v>
      </c>
      <c r="R533" s="5">
        <v>1.75831914820348E-3</v>
      </c>
      <c r="S533" s="6">
        <v>0.53450488774635196</v>
      </c>
      <c r="T533" s="6">
        <v>4.4241581079294899E-2</v>
      </c>
      <c r="U533" s="7">
        <v>0.42388839255034</v>
      </c>
      <c r="V533" s="7">
        <v>0.24420702321131799</v>
      </c>
      <c r="W533" s="8">
        <v>0.75599197405310303</v>
      </c>
      <c r="X533" s="8">
        <v>0.18446810922068199</v>
      </c>
      <c r="Y533" s="2">
        <v>35</v>
      </c>
      <c r="Z533" s="2" t="e">
        <f>VLOOKUP(E533,YieldData!T:U,2,FALSE)</f>
        <v>#VALUE!</v>
      </c>
      <c r="AA533">
        <f t="shared" si="16"/>
        <v>0.913534329143595</v>
      </c>
    </row>
    <row r="534" spans="1:27" hidden="1" x14ac:dyDescent="0.25">
      <c r="A534">
        <v>65</v>
      </c>
      <c r="B534">
        <v>705</v>
      </c>
      <c r="C534" t="s">
        <v>20</v>
      </c>
      <c r="D534" t="s">
        <v>100</v>
      </c>
      <c r="E534" t="e">
        <f t="shared" si="17"/>
        <v>#VALUE!</v>
      </c>
      <c r="H534">
        <v>23</v>
      </c>
      <c r="I534" t="s">
        <v>21</v>
      </c>
      <c r="J534" t="s">
        <v>22</v>
      </c>
      <c r="K534" s="2">
        <v>15511.987997448499</v>
      </c>
      <c r="L534" s="2">
        <v>261588595.60421601</v>
      </c>
      <c r="M534" s="3">
        <v>6831.80844284461</v>
      </c>
      <c r="N534" s="3">
        <v>130436693.427697</v>
      </c>
      <c r="O534" s="4">
        <v>0.59203922636152795</v>
      </c>
      <c r="P534" s="4">
        <v>1.0579649604773599E-2</v>
      </c>
      <c r="Q534" s="5">
        <v>0.17183860500565401</v>
      </c>
      <c r="R534" s="5">
        <v>4.2184106670844204E-3</v>
      </c>
      <c r="S534" s="6">
        <v>0.60677005691455999</v>
      </c>
      <c r="T534" s="6">
        <v>4.5275108948928298E-2</v>
      </c>
      <c r="U534" s="7">
        <v>0.55408308056810296</v>
      </c>
      <c r="V534" s="7">
        <v>0.247075020396232</v>
      </c>
      <c r="W534" s="8">
        <v>0.83605831814631604</v>
      </c>
      <c r="X534" s="8">
        <v>0.13706480680466199</v>
      </c>
      <c r="Y534" s="2">
        <v>40</v>
      </c>
      <c r="Z534" s="2" t="e">
        <f>VLOOKUP(E534,YieldData!T:U,2,FALSE)</f>
        <v>#VALUE!</v>
      </c>
      <c r="AA534">
        <f t="shared" si="16"/>
        <v>0.913534329143595</v>
      </c>
    </row>
    <row r="535" spans="1:27" hidden="1" x14ac:dyDescent="0.25">
      <c r="A535">
        <v>66</v>
      </c>
      <c r="B535">
        <v>706</v>
      </c>
      <c r="C535" t="s">
        <v>20</v>
      </c>
      <c r="D535" t="s">
        <v>100</v>
      </c>
      <c r="E535" t="e">
        <f t="shared" si="17"/>
        <v>#VALUE!</v>
      </c>
      <c r="H535">
        <v>23</v>
      </c>
      <c r="I535" t="s">
        <v>21</v>
      </c>
      <c r="J535" t="s">
        <v>22</v>
      </c>
      <c r="K535" s="2">
        <v>14027.969247339101</v>
      </c>
      <c r="L535" s="2">
        <v>262205954.83621699</v>
      </c>
      <c r="M535" s="3">
        <v>8408.0089184704593</v>
      </c>
      <c r="N535" s="3">
        <v>127765366.23864099</v>
      </c>
      <c r="O535" s="4">
        <v>0.56967333569269296</v>
      </c>
      <c r="P535" s="4">
        <v>1.07032998146639E-2</v>
      </c>
      <c r="Q535" s="5">
        <v>0.16480446964565701</v>
      </c>
      <c r="R535" s="5">
        <v>4.2796834609692396E-3</v>
      </c>
      <c r="S535" s="6">
        <v>0.58233503997590197</v>
      </c>
      <c r="T535" s="6">
        <v>4.5527536584482803E-2</v>
      </c>
      <c r="U535" s="7">
        <v>0.50661429295489102</v>
      </c>
      <c r="V535" s="7">
        <v>0.24995625112901301</v>
      </c>
      <c r="W535" s="8">
        <v>0.75054166719460702</v>
      </c>
      <c r="X535" s="8">
        <v>0.187228872999222</v>
      </c>
      <c r="Y535" s="2">
        <v>44</v>
      </c>
      <c r="Z535" s="2" t="e">
        <f>VLOOKUP(E535,YieldData!T:U,2,FALSE)</f>
        <v>#VALUE!</v>
      </c>
      <c r="AA535">
        <f t="shared" si="16"/>
        <v>0.913534329143595</v>
      </c>
    </row>
    <row r="536" spans="1:27" hidden="1" x14ac:dyDescent="0.25">
      <c r="A536">
        <v>67</v>
      </c>
      <c r="B536">
        <v>707</v>
      </c>
      <c r="C536" t="s">
        <v>20</v>
      </c>
      <c r="D536" t="s">
        <v>100</v>
      </c>
      <c r="E536" t="e">
        <f t="shared" si="17"/>
        <v>#VALUE!</v>
      </c>
      <c r="H536">
        <v>23</v>
      </c>
      <c r="I536" t="s">
        <v>21</v>
      </c>
      <c r="J536" t="s">
        <v>22</v>
      </c>
      <c r="K536" s="2">
        <v>9786.6972058173105</v>
      </c>
      <c r="L536" s="2">
        <v>175112715.68151599</v>
      </c>
      <c r="M536" s="3">
        <v>11297.399868592</v>
      </c>
      <c r="N536" s="3">
        <v>93291983.683043793</v>
      </c>
      <c r="O536" s="4">
        <v>0.51760973892416895</v>
      </c>
      <c r="P536" s="4">
        <v>1.05560529322976E-2</v>
      </c>
      <c r="Q536" s="5">
        <v>0.14018533046562701</v>
      </c>
      <c r="R536" s="5">
        <v>3.8029941184519801E-3</v>
      </c>
      <c r="S536" s="6">
        <v>0.49860676961573003</v>
      </c>
      <c r="T536" s="6">
        <v>4.1834413957140201E-2</v>
      </c>
      <c r="U536" s="7">
        <v>0.37554960064521198</v>
      </c>
      <c r="V536" s="7">
        <v>0.23451209810013299</v>
      </c>
      <c r="W536" s="8">
        <v>0.84789113522233495</v>
      </c>
      <c r="X536" s="8">
        <v>0.128971758033638</v>
      </c>
      <c r="Y536" s="2">
        <v>57</v>
      </c>
      <c r="Z536" s="2" t="e">
        <f>VLOOKUP(E536,YieldData!T:U,2,FALSE)</f>
        <v>#VALUE!</v>
      </c>
      <c r="AA536">
        <f t="shared" si="16"/>
        <v>0.913534329143595</v>
      </c>
    </row>
    <row r="537" spans="1:27" hidden="1" x14ac:dyDescent="0.25">
      <c r="A537">
        <v>68</v>
      </c>
      <c r="B537">
        <v>708</v>
      </c>
      <c r="C537" t="s">
        <v>20</v>
      </c>
      <c r="D537" t="s">
        <v>100</v>
      </c>
      <c r="E537" t="e">
        <f t="shared" si="17"/>
        <v>#VALUE!</v>
      </c>
      <c r="H537">
        <v>23</v>
      </c>
      <c r="I537" t="s">
        <v>21</v>
      </c>
      <c r="J537" t="s">
        <v>22</v>
      </c>
      <c r="K537" s="2">
        <v>11467.706400842</v>
      </c>
      <c r="L537" s="2">
        <v>236353569.767813</v>
      </c>
      <c r="M537" s="3">
        <v>8694.8210557080802</v>
      </c>
      <c r="N537" s="3">
        <v>77848689.320656106</v>
      </c>
      <c r="O537" s="4">
        <v>0.50965850825885095</v>
      </c>
      <c r="P537" s="4">
        <v>1.0324775894291699E-2</v>
      </c>
      <c r="Q537" s="5">
        <v>0.13482430374437901</v>
      </c>
      <c r="R537" s="5">
        <v>4.3881810897115599E-3</v>
      </c>
      <c r="S537" s="6">
        <v>0.49573832740286999</v>
      </c>
      <c r="T537" s="6">
        <v>4.3236494317937198E-2</v>
      </c>
      <c r="U537" s="7">
        <v>0.36529767742244101</v>
      </c>
      <c r="V537" s="7">
        <v>0.231855284291798</v>
      </c>
      <c r="W537" s="8">
        <v>0.74266578963104701</v>
      </c>
      <c r="X537" s="8">
        <v>0.191113314542428</v>
      </c>
      <c r="Y537" s="2">
        <v>37</v>
      </c>
      <c r="Z537" s="2" t="e">
        <f>VLOOKUP(E537,YieldData!T:U,2,FALSE)</f>
        <v>#VALUE!</v>
      </c>
      <c r="AA537">
        <f t="shared" si="16"/>
        <v>0.913534329143595</v>
      </c>
    </row>
    <row r="538" spans="1:27" hidden="1" x14ac:dyDescent="0.25">
      <c r="A538">
        <v>69</v>
      </c>
      <c r="B538">
        <v>709</v>
      </c>
      <c r="C538" t="s">
        <v>20</v>
      </c>
      <c r="D538">
        <v>25112</v>
      </c>
      <c r="E538">
        <f t="shared" si="17"/>
        <v>25112709</v>
      </c>
      <c r="F538">
        <f>VLOOKUP(E538,YieldData!D:F,2,FALSE)</f>
        <v>2</v>
      </c>
      <c r="G538">
        <f>VLOOKUP($E538,YieldData!$D:$F,3,FALSE)</f>
        <v>3</v>
      </c>
      <c r="H538">
        <v>23</v>
      </c>
      <c r="I538" t="s">
        <v>21</v>
      </c>
      <c r="J538" t="s">
        <v>22</v>
      </c>
      <c r="K538" s="2">
        <v>11327.324546559899</v>
      </c>
      <c r="L538" s="2">
        <v>188136181.94999701</v>
      </c>
      <c r="M538" s="3">
        <v>7723.9657323993597</v>
      </c>
      <c r="N538" s="3">
        <v>80997608.867241398</v>
      </c>
      <c r="O538" s="4">
        <v>0.541827777516253</v>
      </c>
      <c r="P538" s="4">
        <v>1.34313356839771E-2</v>
      </c>
      <c r="Q538" s="5">
        <v>0.143384324389739</v>
      </c>
      <c r="R538" s="5">
        <v>4.8939515677940901E-3</v>
      </c>
      <c r="S538" s="6">
        <v>0.52836057034404205</v>
      </c>
      <c r="T538" s="6">
        <v>4.8427417899659798E-2</v>
      </c>
      <c r="U538" s="7">
        <v>0.407087078053122</v>
      </c>
      <c r="V538" s="7">
        <v>0.241367188935287</v>
      </c>
      <c r="W538" s="8">
        <v>0.63820399363225</v>
      </c>
      <c r="X538" s="8">
        <v>0.23089965614401001</v>
      </c>
      <c r="Y538" s="2">
        <v>32</v>
      </c>
      <c r="Z538" s="2">
        <f>VLOOKUP(E538,YieldData!T:U,2,FALSE)</f>
        <v>1822.0876123234914</v>
      </c>
      <c r="AA538">
        <f t="shared" si="16"/>
        <v>0.67412448923316004</v>
      </c>
    </row>
    <row r="539" spans="1:27" hidden="1" x14ac:dyDescent="0.25">
      <c r="A539">
        <v>70</v>
      </c>
      <c r="B539">
        <v>710</v>
      </c>
      <c r="C539" t="s">
        <v>20</v>
      </c>
      <c r="D539">
        <v>25112</v>
      </c>
      <c r="E539">
        <f t="shared" si="17"/>
        <v>25112710</v>
      </c>
      <c r="F539">
        <f>VLOOKUP(E539,YieldData!D:F,2,FALSE)</f>
        <v>1</v>
      </c>
      <c r="G539">
        <f>VLOOKUP($E539,YieldData!$D:$F,3,FALSE)</f>
        <v>3</v>
      </c>
      <c r="H539">
        <v>23</v>
      </c>
      <c r="I539" t="s">
        <v>21</v>
      </c>
      <c r="J539" t="s">
        <v>22</v>
      </c>
      <c r="K539" s="2">
        <v>13222.1166775436</v>
      </c>
      <c r="L539" s="2">
        <v>252632237.04449001</v>
      </c>
      <c r="M539" s="3">
        <v>7106.8388230744704</v>
      </c>
      <c r="N539" s="3">
        <v>92238309.4651227</v>
      </c>
      <c r="O539" s="4">
        <v>0.54321044312219302</v>
      </c>
      <c r="P539" s="4">
        <v>9.3021046429111309E-3</v>
      </c>
      <c r="Q539" s="5">
        <v>0.13277204063335399</v>
      </c>
      <c r="R539" s="5">
        <v>2.92970694047184E-3</v>
      </c>
      <c r="S539" s="6">
        <v>0.53777845183263895</v>
      </c>
      <c r="T539" s="6">
        <v>4.4522889161841397E-2</v>
      </c>
      <c r="U539" s="7">
        <v>0.43461681190576701</v>
      </c>
      <c r="V539" s="7">
        <v>0.245725038714494</v>
      </c>
      <c r="W539" s="8">
        <v>0.53015625199953897</v>
      </c>
      <c r="X539" s="8">
        <v>0.249090600465664</v>
      </c>
      <c r="Y539" s="2">
        <v>15</v>
      </c>
      <c r="Z539" s="2">
        <f>VLOOKUP(E539,YieldData!T:U,2,FALSE)</f>
        <v>1640.641848523748</v>
      </c>
      <c r="AA539">
        <f t="shared" si="16"/>
        <v>0.55894961800801102</v>
      </c>
    </row>
    <row r="540" spans="1:27" hidden="1" x14ac:dyDescent="0.25">
      <c r="A540">
        <v>71</v>
      </c>
      <c r="B540">
        <v>801</v>
      </c>
      <c r="C540" t="s">
        <v>20</v>
      </c>
      <c r="D540">
        <v>25113</v>
      </c>
      <c r="E540">
        <f t="shared" si="17"/>
        <v>25113801</v>
      </c>
      <c r="F540">
        <f>VLOOKUP(E540,YieldData!D:F,2,FALSE)</f>
        <v>1</v>
      </c>
      <c r="G540">
        <f>VLOOKUP($E540,YieldData!$D:$F,3,FALSE)</f>
        <v>1</v>
      </c>
      <c r="H540">
        <v>23</v>
      </c>
      <c r="I540" t="s">
        <v>21</v>
      </c>
      <c r="J540" t="s">
        <v>22</v>
      </c>
      <c r="K540" s="2">
        <v>12902.3006313147</v>
      </c>
      <c r="L540" s="2">
        <v>273233349.14462501</v>
      </c>
      <c r="M540" s="3">
        <v>8791.6410019190298</v>
      </c>
      <c r="N540" s="3">
        <v>98550465.935510501</v>
      </c>
      <c r="O540" s="4">
        <v>0.54882508804142704</v>
      </c>
      <c r="P540" s="4">
        <v>9.03393926488677E-3</v>
      </c>
      <c r="Q540" s="5">
        <v>0.155760338092747</v>
      </c>
      <c r="R540" s="5">
        <v>1.9585499000230001E-3</v>
      </c>
      <c r="S540" s="6">
        <v>0.488825771542375</v>
      </c>
      <c r="T540" s="6">
        <v>5.0198691614214502E-2</v>
      </c>
      <c r="U540" s="7">
        <v>0.362544456614037</v>
      </c>
      <c r="V540" s="7">
        <v>0.231105973592617</v>
      </c>
      <c r="W540" s="8">
        <v>0.49558142969673102</v>
      </c>
      <c r="X540" s="8">
        <v>0.249980476236667</v>
      </c>
      <c r="Y540" s="2">
        <v>45</v>
      </c>
      <c r="Z540" s="2">
        <f>VLOOKUP(E540,YieldData!T:U,2,FALSE)</f>
        <v>2262.7551347881895</v>
      </c>
      <c r="AA540">
        <f t="shared" si="16"/>
        <v>0.68267076923076897</v>
      </c>
    </row>
    <row r="541" spans="1:27" hidden="1" x14ac:dyDescent="0.25">
      <c r="A541">
        <v>72</v>
      </c>
      <c r="B541">
        <v>802</v>
      </c>
      <c r="C541" t="s">
        <v>20</v>
      </c>
      <c r="D541">
        <v>25113</v>
      </c>
      <c r="E541">
        <f t="shared" si="17"/>
        <v>25113802</v>
      </c>
      <c r="F541">
        <f>VLOOKUP(E541,YieldData!D:F,2,FALSE)</f>
        <v>2</v>
      </c>
      <c r="G541">
        <f>VLOOKUP($E541,YieldData!$D:$F,3,FALSE)</f>
        <v>1</v>
      </c>
      <c r="H541">
        <v>23</v>
      </c>
      <c r="I541" t="s">
        <v>21</v>
      </c>
      <c r="J541" t="s">
        <v>22</v>
      </c>
      <c r="K541" s="2">
        <v>12981.6893373905</v>
      </c>
      <c r="L541" s="2">
        <v>250666029.68378901</v>
      </c>
      <c r="M541" s="3">
        <v>8829.0507589153494</v>
      </c>
      <c r="N541" s="3">
        <v>109405609.13916799</v>
      </c>
      <c r="O541" s="4">
        <v>0.57647249513528798</v>
      </c>
      <c r="P541" s="4">
        <v>9.62970391632164E-3</v>
      </c>
      <c r="Q541" s="5">
        <v>0.16224372315825</v>
      </c>
      <c r="R541" s="5">
        <v>2.1174375002993399E-3</v>
      </c>
      <c r="S541" s="6">
        <v>0.51787136497491604</v>
      </c>
      <c r="T541" s="6">
        <v>5.1810412595370503E-2</v>
      </c>
      <c r="U541" s="7">
        <v>0.400235980873129</v>
      </c>
      <c r="V541" s="7">
        <v>0.24004714048789699</v>
      </c>
      <c r="W541" s="8">
        <v>0.80644600385021403</v>
      </c>
      <c r="X541" s="8">
        <v>0.15609084672412801</v>
      </c>
      <c r="Y541" s="2">
        <v>112</v>
      </c>
      <c r="Z541" s="2">
        <f>VLOOKUP(E541,YieldData!T:U,2,FALSE)</f>
        <v>1414.4736842105262</v>
      </c>
      <c r="AA541">
        <f t="shared" si="16"/>
        <v>0.68109840157979096</v>
      </c>
    </row>
    <row r="542" spans="1:27" hidden="1" x14ac:dyDescent="0.25">
      <c r="A542">
        <v>73</v>
      </c>
      <c r="B542">
        <v>803</v>
      </c>
      <c r="C542" t="s">
        <v>20</v>
      </c>
      <c r="D542">
        <v>25113</v>
      </c>
      <c r="E542">
        <f t="shared" si="17"/>
        <v>25113803</v>
      </c>
      <c r="F542">
        <f>VLOOKUP(E542,YieldData!D:F,2,FALSE)</f>
        <v>3</v>
      </c>
      <c r="G542">
        <f>VLOOKUP($E542,YieldData!$D:$F,3,FALSE)</f>
        <v>1</v>
      </c>
      <c r="H542">
        <v>23</v>
      </c>
      <c r="I542" t="s">
        <v>21</v>
      </c>
      <c r="J542" t="s">
        <v>22</v>
      </c>
      <c r="K542" s="2">
        <v>16891.698403468599</v>
      </c>
      <c r="L542" s="2">
        <v>330691961.53738701</v>
      </c>
      <c r="M542" s="3">
        <v>6163.7166380931603</v>
      </c>
      <c r="N542" s="3">
        <v>101670330.13931499</v>
      </c>
      <c r="O542" s="4">
        <v>0.603662726793875</v>
      </c>
      <c r="P542" s="4">
        <v>6.7916977423756499E-3</v>
      </c>
      <c r="Q542" s="5">
        <v>0.17640381184497</v>
      </c>
      <c r="R542" s="5">
        <v>1.6434352634882099E-3</v>
      </c>
      <c r="S542" s="6">
        <v>0.59377358378277301</v>
      </c>
      <c r="T542" s="6">
        <v>3.8725717118724599E-2</v>
      </c>
      <c r="U542" s="7">
        <v>0.53910427385000403</v>
      </c>
      <c r="V542" s="7">
        <v>0.248470855766772</v>
      </c>
      <c r="W542" s="8">
        <v>0.97176083933763102</v>
      </c>
      <c r="X542" s="8">
        <v>2.7441710467465099E-2</v>
      </c>
      <c r="Y542" s="2">
        <v>161</v>
      </c>
      <c r="Z542" s="2">
        <f>VLOOKUP(E542,YieldData!T:U,2,FALSE)</f>
        <v>1660.9900513478819</v>
      </c>
      <c r="AA542">
        <f t="shared" si="16"/>
        <v>0.78146565888925401</v>
      </c>
    </row>
    <row r="543" spans="1:27" hidden="1" x14ac:dyDescent="0.25">
      <c r="A543">
        <v>74</v>
      </c>
      <c r="B543">
        <v>804</v>
      </c>
      <c r="C543" t="s">
        <v>20</v>
      </c>
      <c r="D543">
        <v>25113</v>
      </c>
      <c r="E543">
        <f t="shared" si="17"/>
        <v>25113804</v>
      </c>
      <c r="F543">
        <f>VLOOKUP(E543,YieldData!D:F,2,FALSE)</f>
        <v>3</v>
      </c>
      <c r="G543">
        <f>VLOOKUP($E543,YieldData!$D:$F,3,FALSE)</f>
        <v>2</v>
      </c>
      <c r="H543">
        <v>23</v>
      </c>
      <c r="I543" t="s">
        <v>21</v>
      </c>
      <c r="J543" t="s">
        <v>22</v>
      </c>
      <c r="K543" s="2">
        <v>15654.607681642899</v>
      </c>
      <c r="L543" s="2">
        <v>327682454.77013701</v>
      </c>
      <c r="M543" s="3">
        <v>7505.6517198972397</v>
      </c>
      <c r="N543" s="3">
        <v>106999248.621509</v>
      </c>
      <c r="O543" s="4">
        <v>0.58383539273096796</v>
      </c>
      <c r="P543" s="4">
        <v>8.3346974561837091E-3</v>
      </c>
      <c r="Q543" s="5">
        <v>0.16834437464559701</v>
      </c>
      <c r="R543" s="5">
        <v>1.9990462686666302E-3</v>
      </c>
      <c r="S543" s="6">
        <v>0.56766521515624602</v>
      </c>
      <c r="T543" s="6">
        <v>4.5056295219312599E-2</v>
      </c>
      <c r="U543" s="7">
        <v>0.48724073082677899</v>
      </c>
      <c r="V543" s="7">
        <v>0.24983720104992599</v>
      </c>
      <c r="W543" s="8">
        <v>0.81061084420041196</v>
      </c>
      <c r="X543" s="8">
        <v>0.15352090346529099</v>
      </c>
      <c r="Y543" s="2">
        <v>44</v>
      </c>
      <c r="Z543" s="2">
        <f>VLOOKUP(E543,YieldData!T:U,2,FALSE)</f>
        <v>1550.2759948652119</v>
      </c>
      <c r="AA543">
        <f t="shared" si="16"/>
        <v>0.78450725493156903</v>
      </c>
    </row>
    <row r="544" spans="1:27" hidden="1" x14ac:dyDescent="0.25">
      <c r="A544">
        <v>75</v>
      </c>
      <c r="B544">
        <v>805</v>
      </c>
      <c r="C544" t="s">
        <v>20</v>
      </c>
      <c r="D544">
        <v>25113</v>
      </c>
      <c r="E544">
        <f t="shared" si="17"/>
        <v>25113805</v>
      </c>
      <c r="F544">
        <f>VLOOKUP(E544,YieldData!D:F,2,FALSE)</f>
        <v>2</v>
      </c>
      <c r="G544">
        <f>VLOOKUP($E544,YieldData!$D:$F,3,FALSE)</f>
        <v>2</v>
      </c>
      <c r="H544">
        <v>23</v>
      </c>
      <c r="I544" t="s">
        <v>21</v>
      </c>
      <c r="J544" t="s">
        <v>22</v>
      </c>
      <c r="K544" s="2">
        <v>15653.5744125326</v>
      </c>
      <c r="L544" s="2">
        <v>279298768.41823</v>
      </c>
      <c r="M544" s="3">
        <v>5840.4437662908804</v>
      </c>
      <c r="N544" s="3">
        <v>104782405.24940699</v>
      </c>
      <c r="O544" s="4">
        <v>0.61135580896637398</v>
      </c>
      <c r="P544" s="4">
        <v>9.6471549511938006E-3</v>
      </c>
      <c r="Q544" s="5">
        <v>0.18494065872931201</v>
      </c>
      <c r="R544" s="5">
        <v>5.7578253568563798E-3</v>
      </c>
      <c r="S544" s="6">
        <v>0.60846519469667704</v>
      </c>
      <c r="T544" s="6">
        <v>4.6697812005313498E-2</v>
      </c>
      <c r="U544" s="7">
        <v>0.58514197127937295</v>
      </c>
      <c r="V544" s="7">
        <v>0.242750844726835</v>
      </c>
      <c r="W544" s="8">
        <v>0.91306949544403604</v>
      </c>
      <c r="X544" s="8">
        <v>7.93735919335192E-2</v>
      </c>
      <c r="Y544" s="2">
        <v>111</v>
      </c>
      <c r="Z544" s="2">
        <f>VLOOKUP(E544,YieldData!T:U,2,FALSE)</f>
        <v>1315.7814505776639</v>
      </c>
      <c r="AA544">
        <f t="shared" si="16"/>
        <v>0.77694368514816503</v>
      </c>
    </row>
    <row r="545" spans="1:27" hidden="1" x14ac:dyDescent="0.25">
      <c r="A545">
        <v>76</v>
      </c>
      <c r="B545">
        <v>806</v>
      </c>
      <c r="C545" t="s">
        <v>20</v>
      </c>
      <c r="D545">
        <v>25113</v>
      </c>
      <c r="E545">
        <f t="shared" si="17"/>
        <v>25113806</v>
      </c>
      <c r="F545">
        <f>VLOOKUP(E545,YieldData!D:F,2,FALSE)</f>
        <v>1</v>
      </c>
      <c r="G545">
        <f>VLOOKUP($E545,YieldData!$D:$F,3,FALSE)</f>
        <v>2</v>
      </c>
      <c r="H545">
        <v>23</v>
      </c>
      <c r="I545" t="s">
        <v>21</v>
      </c>
      <c r="J545" t="s">
        <v>22</v>
      </c>
      <c r="K545" s="2">
        <v>12755.779107972399</v>
      </c>
      <c r="L545" s="2">
        <v>214878375.619234</v>
      </c>
      <c r="M545" s="3">
        <v>7399.6955212276798</v>
      </c>
      <c r="N545" s="3">
        <v>106908271.007383</v>
      </c>
      <c r="O545" s="4">
        <v>0.60032876703296301</v>
      </c>
      <c r="P545" s="4">
        <v>1.24387818859562E-2</v>
      </c>
      <c r="Q545" s="5">
        <v>0.17312199093391201</v>
      </c>
      <c r="R545" s="5">
        <v>5.01906047636056E-3</v>
      </c>
      <c r="S545" s="6">
        <v>0.57198832612332096</v>
      </c>
      <c r="T545" s="6">
        <v>5.2970863342462801E-2</v>
      </c>
      <c r="U545" s="7">
        <v>0.50349333434042098</v>
      </c>
      <c r="V545" s="7">
        <v>0.24998779661506801</v>
      </c>
      <c r="W545" s="8">
        <v>0.66559667673716005</v>
      </c>
      <c r="X545" s="8">
        <v>0.22257774065358901</v>
      </c>
      <c r="Y545" s="2">
        <v>96</v>
      </c>
      <c r="Z545" s="2">
        <f>VLOOKUP(E545,YieldData!T:U,2,FALSE)</f>
        <v>1287.3668164313224</v>
      </c>
      <c r="AA545">
        <f t="shared" si="16"/>
        <v>0.81061416648833695</v>
      </c>
    </row>
    <row r="546" spans="1:27" hidden="1" x14ac:dyDescent="0.25">
      <c r="A546">
        <v>77</v>
      </c>
      <c r="B546">
        <v>807</v>
      </c>
      <c r="C546" t="s">
        <v>20</v>
      </c>
      <c r="D546">
        <v>25113</v>
      </c>
      <c r="E546">
        <f t="shared" si="17"/>
        <v>25113807</v>
      </c>
      <c r="F546">
        <f>VLOOKUP(E546,YieldData!D:F,2,FALSE)</f>
        <v>1</v>
      </c>
      <c r="G546">
        <f>VLOOKUP($E546,YieldData!$D:$F,3,FALSE)</f>
        <v>3</v>
      </c>
      <c r="H546">
        <v>23</v>
      </c>
      <c r="I546" t="s">
        <v>21</v>
      </c>
      <c r="J546" t="s">
        <v>22</v>
      </c>
      <c r="K546" s="2">
        <v>16079.046454586</v>
      </c>
      <c r="L546" s="2">
        <v>294577659.62105298</v>
      </c>
      <c r="M546" s="3">
        <v>7511.2910330642299</v>
      </c>
      <c r="N546" s="3">
        <v>104988186.03229401</v>
      </c>
      <c r="O546" s="4">
        <v>0.567223530964166</v>
      </c>
      <c r="P546" s="4">
        <v>1.0812699197019601E-2</v>
      </c>
      <c r="Q546" s="5">
        <v>0.14392402118029099</v>
      </c>
      <c r="R546" s="5">
        <v>4.6934944827400097E-3</v>
      </c>
      <c r="S546" s="6">
        <v>0.56607841213730503</v>
      </c>
      <c r="T546" s="6">
        <v>5.4399669093853499E-2</v>
      </c>
      <c r="U546" s="7">
        <v>0.50823794658342003</v>
      </c>
      <c r="V546" s="7">
        <v>0.24993213623601401</v>
      </c>
      <c r="W546" s="8">
        <v>0.59257057213283304</v>
      </c>
      <c r="X546" s="8">
        <v>0.24143068917490301</v>
      </c>
      <c r="Y546" s="2">
        <v>30</v>
      </c>
      <c r="Z546" s="2">
        <f>VLOOKUP(E546,YieldData!T:U,2,FALSE)</f>
        <v>1015.1347881899873</v>
      </c>
      <c r="AA546">
        <f t="shared" si="16"/>
        <v>0.75823454358516995</v>
      </c>
    </row>
    <row r="547" spans="1:27" hidden="1" x14ac:dyDescent="0.25">
      <c r="A547">
        <v>78</v>
      </c>
      <c r="B547">
        <v>808</v>
      </c>
      <c r="C547" t="s">
        <v>20</v>
      </c>
      <c r="D547">
        <v>25113</v>
      </c>
      <c r="E547">
        <f t="shared" si="17"/>
        <v>25113808</v>
      </c>
      <c r="F547">
        <f>VLOOKUP(E547,YieldData!D:F,2,FALSE)</f>
        <v>2</v>
      </c>
      <c r="G547">
        <f>VLOOKUP($E547,YieldData!$D:$F,3,FALSE)</f>
        <v>3</v>
      </c>
      <c r="H547">
        <v>23</v>
      </c>
      <c r="I547" t="s">
        <v>21</v>
      </c>
      <c r="J547" t="s">
        <v>22</v>
      </c>
      <c r="K547" s="2">
        <v>9046.3399629253108</v>
      </c>
      <c r="L547" s="2">
        <v>174038434.15050399</v>
      </c>
      <c r="M547" s="3">
        <v>11266.104927517599</v>
      </c>
      <c r="N547" s="3">
        <v>76098385.320868194</v>
      </c>
      <c r="O547" s="4">
        <v>0.51801065004310998</v>
      </c>
      <c r="P547" s="4">
        <v>9.9227112410161106E-3</v>
      </c>
      <c r="Q547" s="5">
        <v>0.13630009865473999</v>
      </c>
      <c r="R547" s="5">
        <v>3.8196025421609399E-3</v>
      </c>
      <c r="S547" s="6">
        <v>0.45904644207213302</v>
      </c>
      <c r="T547" s="6">
        <v>4.09705179997654E-2</v>
      </c>
      <c r="U547" s="7">
        <v>0.30063983734975802</v>
      </c>
      <c r="V547" s="7">
        <v>0.210255525548114</v>
      </c>
      <c r="W547" s="8">
        <v>0.68120829446796305</v>
      </c>
      <c r="X547" s="8">
        <v>0.21716355401624801</v>
      </c>
      <c r="Y547" s="2">
        <v>42</v>
      </c>
      <c r="Z547" s="2">
        <f>VLOOKUP(E547,YieldData!T:U,2,FALSE)</f>
        <v>1853.831835686778</v>
      </c>
      <c r="AA547">
        <f t="shared" si="16"/>
        <v>0.55782939431633305</v>
      </c>
    </row>
    <row r="548" spans="1:27" hidden="1" x14ac:dyDescent="0.25">
      <c r="A548">
        <v>79</v>
      </c>
      <c r="B548">
        <v>809</v>
      </c>
      <c r="C548" t="s">
        <v>20</v>
      </c>
      <c r="D548">
        <v>25113</v>
      </c>
      <c r="E548">
        <f t="shared" si="17"/>
        <v>25113809</v>
      </c>
      <c r="F548">
        <f>VLOOKUP(E548,YieldData!D:F,2,FALSE)</f>
        <v>3</v>
      </c>
      <c r="G548">
        <f>VLOOKUP($E548,YieldData!$D:$F,3,FALSE)</f>
        <v>3</v>
      </c>
      <c r="H548">
        <v>23</v>
      </c>
      <c r="I548" t="s">
        <v>21</v>
      </c>
      <c r="J548" t="s">
        <v>22</v>
      </c>
      <c r="K548" s="2">
        <v>12831.753917607501</v>
      </c>
      <c r="L548" s="2">
        <v>234431952.61838001</v>
      </c>
      <c r="M548" s="3">
        <v>7273.7774374391302</v>
      </c>
      <c r="N548" s="3">
        <v>81842793.755937293</v>
      </c>
      <c r="O548" s="4">
        <v>0.565798071334357</v>
      </c>
      <c r="P548" s="4">
        <v>1.03787174500198E-2</v>
      </c>
      <c r="Q548" s="5">
        <v>0.156786412507357</v>
      </c>
      <c r="R548" s="5">
        <v>5.7853784238303301E-3</v>
      </c>
      <c r="S548" s="6">
        <v>0.54928956547764896</v>
      </c>
      <c r="T548" s="6">
        <v>4.3020298553912602E-2</v>
      </c>
      <c r="U548" s="7">
        <v>0.445392641820539</v>
      </c>
      <c r="V548" s="7">
        <v>0.247018036432675</v>
      </c>
      <c r="W548" s="8">
        <v>0.68286480430048002</v>
      </c>
      <c r="X548" s="8">
        <v>0.216560463347925</v>
      </c>
      <c r="Y548" s="2">
        <v>47</v>
      </c>
      <c r="Z548" s="2">
        <f>VLOOKUP(E548,YieldData!T:U,2,FALSE)</f>
        <v>2012.4261874197691</v>
      </c>
      <c r="AA548">
        <f t="shared" si="16"/>
        <v>0.68753068546610396</v>
      </c>
    </row>
    <row r="549" spans="1:27" hidden="1" x14ac:dyDescent="0.25">
      <c r="A549">
        <v>80</v>
      </c>
      <c r="B549">
        <v>901</v>
      </c>
      <c r="C549" t="s">
        <v>20</v>
      </c>
      <c r="D549">
        <v>25114</v>
      </c>
      <c r="E549">
        <f t="shared" si="17"/>
        <v>25114901</v>
      </c>
      <c r="F549">
        <f>VLOOKUP(E549,YieldData!D:F,2,FALSE)</f>
        <v>1</v>
      </c>
      <c r="G549">
        <f>VLOOKUP($E549,YieldData!$D:$F,3,FALSE)</f>
        <v>1</v>
      </c>
      <c r="H549">
        <v>23</v>
      </c>
      <c r="I549" t="s">
        <v>21</v>
      </c>
      <c r="J549" t="s">
        <v>22</v>
      </c>
      <c r="K549" s="2">
        <v>9682.1458318382993</v>
      </c>
      <c r="L549" s="2">
        <v>192064574.73348799</v>
      </c>
      <c r="M549" s="3">
        <v>11413.400470918101</v>
      </c>
      <c r="N549" s="3">
        <v>80992200.574046895</v>
      </c>
      <c r="O549" s="4">
        <v>0.53237696270037504</v>
      </c>
      <c r="P549" s="4">
        <v>7.5344864553091896E-3</v>
      </c>
      <c r="Q549" s="5">
        <v>0.153606171754333</v>
      </c>
      <c r="R549" s="5">
        <v>1.4942302130632999E-3</v>
      </c>
      <c r="S549" s="6">
        <v>0.45461253165216697</v>
      </c>
      <c r="T549" s="6">
        <v>3.8475615223325398E-2</v>
      </c>
      <c r="U549" s="7">
        <v>0.29222581030977202</v>
      </c>
      <c r="V549" s="7">
        <v>0.20682988609852199</v>
      </c>
      <c r="W549" s="8">
        <v>0.66258849980864898</v>
      </c>
      <c r="X549" s="8">
        <v>0.223564979730136</v>
      </c>
      <c r="Y549" s="2">
        <v>25</v>
      </c>
      <c r="Z549" s="2">
        <f>VLOOKUP(E549,YieldData!T:U,2,FALSE)</f>
        <v>799.50738125802309</v>
      </c>
      <c r="AA549">
        <f t="shared" si="16"/>
        <v>0.58475062791532095</v>
      </c>
    </row>
    <row r="550" spans="1:27" hidden="1" x14ac:dyDescent="0.25">
      <c r="A550">
        <v>81</v>
      </c>
      <c r="B550">
        <v>902</v>
      </c>
      <c r="C550" t="s">
        <v>20</v>
      </c>
      <c r="D550">
        <v>25114</v>
      </c>
      <c r="E550">
        <f t="shared" si="17"/>
        <v>25114902</v>
      </c>
      <c r="F550">
        <f>VLOOKUP(E550,YieldData!D:F,2,FALSE)</f>
        <v>2</v>
      </c>
      <c r="G550">
        <f>VLOOKUP($E550,YieldData!$D:$F,3,FALSE)</f>
        <v>1</v>
      </c>
      <c r="H550">
        <v>23</v>
      </c>
      <c r="I550" t="s">
        <v>21</v>
      </c>
      <c r="J550" t="s">
        <v>22</v>
      </c>
      <c r="K550" s="2">
        <v>15379.6587243953</v>
      </c>
      <c r="L550" s="2">
        <v>293879176.06814998</v>
      </c>
      <c r="M550" s="3">
        <v>9120.3557695589097</v>
      </c>
      <c r="N550" s="3">
        <v>99649162.588861704</v>
      </c>
      <c r="O550" s="4">
        <v>0.56073168129633399</v>
      </c>
      <c r="P550" s="4">
        <v>6.9964085496884596E-3</v>
      </c>
      <c r="Q550" s="5">
        <v>0.15026372349212999</v>
      </c>
      <c r="R550" s="5">
        <v>1.4630649706933801E-3</v>
      </c>
      <c r="S550" s="6">
        <v>0.53011257297261405</v>
      </c>
      <c r="T550" s="6">
        <v>4.54849503366807E-2</v>
      </c>
      <c r="U550" s="7">
        <v>0.43823558872139001</v>
      </c>
      <c r="V550" s="7">
        <v>0.246185157499625</v>
      </c>
      <c r="W550" s="8">
        <v>0.68116776624644804</v>
      </c>
      <c r="X550" s="8">
        <v>0.217178240473444</v>
      </c>
      <c r="Y550" s="2">
        <v>35</v>
      </c>
      <c r="Z550" s="2">
        <f>VLOOKUP(E550,YieldData!T:U,2,FALSE)</f>
        <v>662.83697047496776</v>
      </c>
      <c r="AA550">
        <f t="shared" si="16"/>
        <v>0.69582853422805302</v>
      </c>
    </row>
    <row r="551" spans="1:27" hidden="1" x14ac:dyDescent="0.25">
      <c r="A551">
        <v>82</v>
      </c>
      <c r="B551">
        <v>903</v>
      </c>
      <c r="C551" t="s">
        <v>20</v>
      </c>
      <c r="D551">
        <v>25114</v>
      </c>
      <c r="E551">
        <f t="shared" si="17"/>
        <v>25114903</v>
      </c>
      <c r="F551">
        <f>VLOOKUP(E551,YieldData!D:F,2,FALSE)</f>
        <v>3</v>
      </c>
      <c r="G551">
        <f>VLOOKUP($E551,YieldData!$D:$F,3,FALSE)</f>
        <v>1</v>
      </c>
      <c r="H551">
        <v>23</v>
      </c>
      <c r="I551" t="s">
        <v>21</v>
      </c>
      <c r="J551" t="s">
        <v>22</v>
      </c>
      <c r="K551" s="2">
        <v>8113.9997946480098</v>
      </c>
      <c r="L551" s="2">
        <v>159834452.654764</v>
      </c>
      <c r="M551" s="3">
        <v>13307.6102304327</v>
      </c>
      <c r="N551" s="3">
        <v>64605083.864154004</v>
      </c>
      <c r="O551" s="4">
        <v>0.53614454037137305</v>
      </c>
      <c r="P551" s="4">
        <v>5.49079313950597E-3</v>
      </c>
      <c r="Q551" s="5">
        <v>0.156362800105661</v>
      </c>
      <c r="R551" s="5">
        <v>1.5576943601136001E-3</v>
      </c>
      <c r="S551" s="6">
        <v>0.450711915868796</v>
      </c>
      <c r="T551" s="6">
        <v>2.8354618145671098E-2</v>
      </c>
      <c r="U551" s="7">
        <v>0.24605018289161301</v>
      </c>
      <c r="V551" s="7">
        <v>0.18550949039035899</v>
      </c>
      <c r="W551" s="8">
        <v>0.74374671132843095</v>
      </c>
      <c r="X551" s="8">
        <v>0.190587540716702</v>
      </c>
      <c r="Y551" s="2">
        <v>95</v>
      </c>
      <c r="Z551" s="2">
        <f>VLOOKUP(E551,YieldData!T:U,2,FALSE)</f>
        <v>1684.5876123234921</v>
      </c>
      <c r="AA551">
        <f t="shared" si="16"/>
        <v>0.48949604096351501</v>
      </c>
    </row>
    <row r="552" spans="1:27" hidden="1" x14ac:dyDescent="0.25">
      <c r="A552">
        <v>83</v>
      </c>
      <c r="B552">
        <v>904</v>
      </c>
      <c r="C552" t="s">
        <v>20</v>
      </c>
      <c r="D552">
        <v>25114</v>
      </c>
      <c r="E552">
        <f t="shared" si="17"/>
        <v>25114904</v>
      </c>
      <c r="F552">
        <f>VLOOKUP(E552,YieldData!D:F,2,FALSE)</f>
        <v>3</v>
      </c>
      <c r="G552">
        <f>VLOOKUP($E552,YieldData!$D:$F,3,FALSE)</f>
        <v>2</v>
      </c>
      <c r="H552">
        <v>23</v>
      </c>
      <c r="I552" t="s">
        <v>21</v>
      </c>
      <c r="J552" t="s">
        <v>22</v>
      </c>
      <c r="K552" s="2">
        <v>9783.3934739266006</v>
      </c>
      <c r="L552" s="2">
        <v>194572150.75425199</v>
      </c>
      <c r="M552" s="3">
        <v>11243.217354343</v>
      </c>
      <c r="N552" s="3">
        <v>68366307.802701801</v>
      </c>
      <c r="O552" s="4">
        <v>0.53418047649934997</v>
      </c>
      <c r="P552" s="4">
        <v>6.8468484922062402E-3</v>
      </c>
      <c r="Q552" s="5">
        <v>0.15197703095446899</v>
      </c>
      <c r="R552" s="5">
        <v>1.7205470141780799E-3</v>
      </c>
      <c r="S552" s="6">
        <v>0.47642166330146302</v>
      </c>
      <c r="T552" s="6">
        <v>3.4166393250383301E-2</v>
      </c>
      <c r="U552" s="7">
        <v>0.31299317626576101</v>
      </c>
      <c r="V552" s="7">
        <v>0.215028447877018</v>
      </c>
      <c r="W552" s="8">
        <v>0.85513716901131598</v>
      </c>
      <c r="X552" s="8">
        <v>0.123877591186615</v>
      </c>
      <c r="Y552" s="2">
        <v>65</v>
      </c>
      <c r="Z552" s="2">
        <f>VLOOKUP(E552,YieldData!T:U,2,FALSE)</f>
        <v>1847.6765083440309</v>
      </c>
      <c r="AA552">
        <f t="shared" si="16"/>
        <v>0.48544629944256501</v>
      </c>
    </row>
    <row r="553" spans="1:27" hidden="1" x14ac:dyDescent="0.25">
      <c r="A553">
        <v>84</v>
      </c>
      <c r="B553">
        <v>905</v>
      </c>
      <c r="C553" t="s">
        <v>20</v>
      </c>
      <c r="D553">
        <v>25114</v>
      </c>
      <c r="E553">
        <f t="shared" si="17"/>
        <v>25114905</v>
      </c>
      <c r="F553">
        <f>VLOOKUP(E553,YieldData!D:F,2,FALSE)</f>
        <v>2</v>
      </c>
      <c r="G553">
        <f>VLOOKUP($E553,YieldData!$D:$F,3,FALSE)</f>
        <v>2</v>
      </c>
      <c r="H553">
        <v>23</v>
      </c>
      <c r="I553" t="s">
        <v>21</v>
      </c>
      <c r="J553" t="s">
        <v>22</v>
      </c>
      <c r="K553" s="2">
        <v>10244.076177143001</v>
      </c>
      <c r="L553" s="2">
        <v>214029957.79821101</v>
      </c>
      <c r="M553" s="3">
        <v>9178.7394497553996</v>
      </c>
      <c r="N553" s="3">
        <v>54457762.190171801</v>
      </c>
      <c r="O553" s="4">
        <v>0.56484403537476802</v>
      </c>
      <c r="P553" s="4">
        <v>5.5618967183735102E-3</v>
      </c>
      <c r="Q553" s="5">
        <v>0.169962401968206</v>
      </c>
      <c r="R553" s="5">
        <v>5.9000869630149297E-3</v>
      </c>
      <c r="S553" s="6">
        <v>0.53066374501281599</v>
      </c>
      <c r="T553" s="6">
        <v>2.83973687767087E-2</v>
      </c>
      <c r="U553" s="7">
        <v>0.43082277993269802</v>
      </c>
      <c r="V553" s="7">
        <v>0.245214512223802</v>
      </c>
      <c r="W553" s="8">
        <v>0.91635093307304005</v>
      </c>
      <c r="X553" s="8">
        <v>7.6651900529336403E-2</v>
      </c>
      <c r="Y553" s="2">
        <v>265</v>
      </c>
      <c r="Z553" s="2">
        <f>VLOOKUP(E553,YieldData!T:U,2,FALSE)</f>
        <v>830.78947368421052</v>
      </c>
      <c r="AA553">
        <f t="shared" si="16"/>
        <v>0.57706139224248698</v>
      </c>
    </row>
    <row r="554" spans="1:27" hidden="1" x14ac:dyDescent="0.25">
      <c r="A554">
        <v>85</v>
      </c>
      <c r="B554">
        <v>906</v>
      </c>
      <c r="C554" t="s">
        <v>20</v>
      </c>
      <c r="D554">
        <v>25114</v>
      </c>
      <c r="E554">
        <f t="shared" si="17"/>
        <v>25114906</v>
      </c>
      <c r="F554">
        <f>VLOOKUP(E554,YieldData!D:F,2,FALSE)</f>
        <v>1</v>
      </c>
      <c r="G554">
        <f>VLOOKUP($E554,YieldData!$D:$F,3,FALSE)</f>
        <v>2</v>
      </c>
      <c r="H554">
        <v>23</v>
      </c>
      <c r="I554" t="s">
        <v>21</v>
      </c>
      <c r="J554" t="s">
        <v>22</v>
      </c>
      <c r="K554" s="2">
        <v>12423.3859514454</v>
      </c>
      <c r="L554" s="2">
        <v>223923467.08049899</v>
      </c>
      <c r="M554" s="3">
        <v>7787.5420431826496</v>
      </c>
      <c r="N554" s="3">
        <v>74969225.109289393</v>
      </c>
      <c r="O554" s="4">
        <v>0.59704749133318702</v>
      </c>
      <c r="P554" s="4">
        <v>6.8707437046571299E-3</v>
      </c>
      <c r="Q554" s="5">
        <v>0.17502661394538699</v>
      </c>
      <c r="R554" s="5">
        <v>5.7917250370856203E-3</v>
      </c>
      <c r="S554" s="6">
        <v>0.57265368133972605</v>
      </c>
      <c r="T554" s="6">
        <v>3.54734800457931E-2</v>
      </c>
      <c r="U554" s="7">
        <v>0.52695740417891801</v>
      </c>
      <c r="V554" s="7">
        <v>0.24927329835984</v>
      </c>
      <c r="W554" s="8">
        <v>0.91016133229247997</v>
      </c>
      <c r="X554" s="8">
        <v>8.1767681492061706E-2</v>
      </c>
      <c r="Y554" s="2">
        <v>250</v>
      </c>
      <c r="Z554" s="2">
        <f>VLOOKUP(E554,YieldData!T:U,2,FALSE)</f>
        <v>861.67522464698322</v>
      </c>
      <c r="AA554">
        <f t="shared" si="16"/>
        <v>0.66744298000234203</v>
      </c>
    </row>
    <row r="555" spans="1:27" hidden="1" x14ac:dyDescent="0.25">
      <c r="A555">
        <v>86</v>
      </c>
      <c r="B555">
        <v>907</v>
      </c>
      <c r="C555" t="s">
        <v>20</v>
      </c>
      <c r="D555">
        <v>25114</v>
      </c>
      <c r="E555">
        <f t="shared" si="17"/>
        <v>25114907</v>
      </c>
      <c r="F555">
        <f>VLOOKUP(E555,YieldData!D:F,2,FALSE)</f>
        <v>1</v>
      </c>
      <c r="G555">
        <f>VLOOKUP($E555,YieldData!$D:$F,3,FALSE)</f>
        <v>3</v>
      </c>
      <c r="H555">
        <v>23</v>
      </c>
      <c r="I555" t="s">
        <v>21</v>
      </c>
      <c r="J555" t="s">
        <v>22</v>
      </c>
      <c r="K555" s="2">
        <v>15598.4261100719</v>
      </c>
      <c r="L555" s="2">
        <v>289371912.57928401</v>
      </c>
      <c r="M555" s="3">
        <v>5927.5293844114703</v>
      </c>
      <c r="N555" s="3">
        <v>101563933.368993</v>
      </c>
      <c r="O555" s="4">
        <v>0.61884477604490495</v>
      </c>
      <c r="P555" s="4">
        <v>9.85861855708829E-3</v>
      </c>
      <c r="Q555" s="5">
        <v>0.189287429515267</v>
      </c>
      <c r="R555" s="5">
        <v>6.3197847745380103E-3</v>
      </c>
      <c r="S555" s="6">
        <v>0.61102608168759298</v>
      </c>
      <c r="T555" s="6">
        <v>4.5005351645795201E-2</v>
      </c>
      <c r="U555" s="7">
        <v>0.61253322831544699</v>
      </c>
      <c r="V555" s="7">
        <v>0.23733627252480399</v>
      </c>
      <c r="W555" s="8">
        <v>0.84740443547394595</v>
      </c>
      <c r="X555" s="8">
        <v>0.12931015821309499</v>
      </c>
      <c r="Y555" s="2">
        <v>309</v>
      </c>
      <c r="Z555" s="2">
        <f>VLOOKUP(E555,YieldData!T:U,2,FALSE)</f>
        <v>684.6052631578948</v>
      </c>
      <c r="AA555">
        <f t="shared" si="16"/>
        <v>0.80336726028577399</v>
      </c>
    </row>
    <row r="556" spans="1:27" hidden="1" x14ac:dyDescent="0.25">
      <c r="A556">
        <v>87</v>
      </c>
      <c r="B556">
        <v>908</v>
      </c>
      <c r="C556" t="s">
        <v>20</v>
      </c>
      <c r="D556">
        <v>25114</v>
      </c>
      <c r="E556">
        <f t="shared" si="17"/>
        <v>25114908</v>
      </c>
      <c r="F556">
        <f>VLOOKUP(E556,YieldData!D:F,2,FALSE)</f>
        <v>2</v>
      </c>
      <c r="G556">
        <f>VLOOKUP($E556,YieldData!$D:$F,3,FALSE)</f>
        <v>3</v>
      </c>
      <c r="H556">
        <v>23</v>
      </c>
      <c r="I556" t="s">
        <v>21</v>
      </c>
      <c r="J556" t="s">
        <v>22</v>
      </c>
      <c r="K556" s="2">
        <v>11917.0813061423</v>
      </c>
      <c r="L556" s="2">
        <v>207954634.256659</v>
      </c>
      <c r="M556" s="3">
        <v>9046.2225955113499</v>
      </c>
      <c r="N556" s="3">
        <v>104390614.591502</v>
      </c>
      <c r="O556" s="4">
        <v>0.58857617971794196</v>
      </c>
      <c r="P556" s="4">
        <v>1.34172260227278E-2</v>
      </c>
      <c r="Q556" s="5">
        <v>0.19187150268223099</v>
      </c>
      <c r="R556" s="5">
        <v>5.9466501672487196E-3</v>
      </c>
      <c r="S556" s="6">
        <v>0.55051498281492295</v>
      </c>
      <c r="T556" s="6">
        <v>5.2243744820505297E-2</v>
      </c>
      <c r="U556" s="7">
        <v>0.438383102694829</v>
      </c>
      <c r="V556" s="7">
        <v>0.24620335796637199</v>
      </c>
      <c r="W556" s="8">
        <v>0.80748689065837997</v>
      </c>
      <c r="X556" s="8">
        <v>0.15545181207327</v>
      </c>
      <c r="Y556" s="2">
        <v>145</v>
      </c>
      <c r="Z556" s="2">
        <f>VLOOKUP(E556,YieldData!T:U,2,FALSE)</f>
        <v>766.58536585365857</v>
      </c>
      <c r="AA556">
        <f t="shared" si="16"/>
        <v>0.70041031368359696</v>
      </c>
    </row>
    <row r="557" spans="1:27" hidden="1" x14ac:dyDescent="0.25">
      <c r="A557">
        <v>88</v>
      </c>
      <c r="B557">
        <v>909</v>
      </c>
      <c r="C557" t="s">
        <v>20</v>
      </c>
      <c r="D557">
        <v>25114</v>
      </c>
      <c r="E557">
        <f t="shared" si="17"/>
        <v>25114909</v>
      </c>
      <c r="F557">
        <f>VLOOKUP(E557,YieldData!D:F,2,FALSE)</f>
        <v>3</v>
      </c>
      <c r="G557">
        <f>VLOOKUP($E557,YieldData!$D:$F,3,FALSE)</f>
        <v>3</v>
      </c>
      <c r="H557">
        <v>23</v>
      </c>
      <c r="I557" t="s">
        <v>21</v>
      </c>
      <c r="J557" t="s">
        <v>22</v>
      </c>
      <c r="K557" s="2">
        <v>13721.383243984499</v>
      </c>
      <c r="L557" s="2">
        <v>247460837.616357</v>
      </c>
      <c r="M557" s="3">
        <v>5206.2586584139999</v>
      </c>
      <c r="N557" s="3">
        <v>70278292.498207301</v>
      </c>
      <c r="O557" s="4">
        <v>0.63540448732603405</v>
      </c>
      <c r="P557" s="4">
        <v>8.5924772421305008E-3</v>
      </c>
      <c r="Q557" s="5">
        <v>0.22040285971108101</v>
      </c>
      <c r="R557" s="5">
        <v>7.3565043863384697E-3</v>
      </c>
      <c r="S557" s="6">
        <v>0.63266476030844399</v>
      </c>
      <c r="T557" s="6">
        <v>3.8082739268987802E-2</v>
      </c>
      <c r="U557" s="7">
        <v>0.65582013880231105</v>
      </c>
      <c r="V557" s="7">
        <v>0.225720084343462</v>
      </c>
      <c r="W557" s="8">
        <v>0.97052264132648103</v>
      </c>
      <c r="X557" s="8">
        <v>2.8608443999141898E-2</v>
      </c>
      <c r="Y557" s="2">
        <v>367</v>
      </c>
      <c r="Z557" s="2">
        <f>VLOOKUP(E557,YieldData!T:U,2,FALSE)</f>
        <v>1461.7875481386391</v>
      </c>
      <c r="AA557">
        <f t="shared" si="16"/>
        <v>0.73401941908943602</v>
      </c>
    </row>
    <row r="558" spans="1:27" hidden="1" x14ac:dyDescent="0.25">
      <c r="A558">
        <v>89</v>
      </c>
      <c r="B558">
        <v>910</v>
      </c>
      <c r="C558" t="s">
        <v>20</v>
      </c>
      <c r="D558" t="s">
        <v>100</v>
      </c>
      <c r="E558" t="e">
        <f t="shared" si="17"/>
        <v>#VALUE!</v>
      </c>
      <c r="H558">
        <v>23</v>
      </c>
      <c r="I558" t="s">
        <v>21</v>
      </c>
      <c r="J558" t="s">
        <v>22</v>
      </c>
      <c r="K558" s="2">
        <v>10150.288583093499</v>
      </c>
      <c r="L558" s="2">
        <v>226083902.943243</v>
      </c>
      <c r="M558" s="3">
        <v>10134.1893816922</v>
      </c>
      <c r="N558" s="3">
        <v>90518564.693662703</v>
      </c>
      <c r="O558" s="4">
        <v>0.54798942020485397</v>
      </c>
      <c r="P558" s="4">
        <v>8.9105341502682504E-3</v>
      </c>
      <c r="Q558" s="5">
        <v>0.16802823771269501</v>
      </c>
      <c r="R558" s="5">
        <v>1.74867072303681E-3</v>
      </c>
      <c r="S558" s="6">
        <v>0.48363144957012</v>
      </c>
      <c r="T558" s="6">
        <v>4.1003606987306797E-2</v>
      </c>
      <c r="U558" s="7">
        <v>0.32973019503676898</v>
      </c>
      <c r="V558" s="7">
        <v>0.221008193517894</v>
      </c>
      <c r="W558" s="8">
        <v>0.627767391518252</v>
      </c>
      <c r="X558" s="8">
        <v>0.23367549366455101</v>
      </c>
      <c r="Y558" s="2">
        <v>41</v>
      </c>
      <c r="Z558" s="2" t="e">
        <f>VLOOKUP(E558,YieldData!T:U,2,FALSE)</f>
        <v>#VALUE!</v>
      </c>
      <c r="AA558">
        <f t="shared" si="16"/>
        <v>0.913534329143595</v>
      </c>
    </row>
    <row r="559" spans="1:27" hidden="1" x14ac:dyDescent="0.25">
      <c r="A559">
        <v>90</v>
      </c>
      <c r="B559">
        <v>810</v>
      </c>
      <c r="C559" t="s">
        <v>20</v>
      </c>
      <c r="D559" t="s">
        <v>100</v>
      </c>
      <c r="E559" t="e">
        <f t="shared" si="17"/>
        <v>#VALUE!</v>
      </c>
      <c r="H559">
        <v>23</v>
      </c>
      <c r="I559" t="s">
        <v>21</v>
      </c>
      <c r="J559" t="s">
        <v>22</v>
      </c>
      <c r="K559" s="2">
        <v>13731.2337119926</v>
      </c>
      <c r="L559" s="2">
        <v>287378160.93754202</v>
      </c>
      <c r="M559" s="3">
        <v>7006.6577391111296</v>
      </c>
      <c r="N559" s="3">
        <v>100610509.617296</v>
      </c>
      <c r="O559" s="4">
        <v>0.54837744700751301</v>
      </c>
      <c r="P559" s="4">
        <v>1.05421336239374E-2</v>
      </c>
      <c r="Q559" s="5">
        <v>0.145840788000831</v>
      </c>
      <c r="R559" s="5">
        <v>1.58647456544307E-3</v>
      </c>
      <c r="S559" s="6">
        <v>0.52736256326553799</v>
      </c>
      <c r="T559" s="6">
        <v>5.1690603544373298E-2</v>
      </c>
      <c r="U559" s="7">
        <v>0.43009900491879599</v>
      </c>
      <c r="V559" s="7">
        <v>0.245113850886647</v>
      </c>
      <c r="W559" s="8">
        <v>0.76940690974057002</v>
      </c>
      <c r="X559" s="8">
        <v>0.17741991698401699</v>
      </c>
      <c r="Y559" s="2">
        <v>40</v>
      </c>
      <c r="Z559" s="2" t="e">
        <f>VLOOKUP(E559,YieldData!T:U,2,FALSE)</f>
        <v>#VALUE!</v>
      </c>
      <c r="AA559">
        <f t="shared" si="16"/>
        <v>0.913534329143595</v>
      </c>
    </row>
    <row r="560" spans="1:27" hidden="1" x14ac:dyDescent="0.25">
      <c r="A560">
        <v>93</v>
      </c>
      <c r="B560">
        <v>101</v>
      </c>
      <c r="C560" t="s">
        <v>23</v>
      </c>
      <c r="D560">
        <v>25107</v>
      </c>
      <c r="E560">
        <f t="shared" si="17"/>
        <v>25107101</v>
      </c>
      <c r="F560">
        <f>VLOOKUP(E560,YieldData!D:F,2,FALSE)</f>
        <v>1</v>
      </c>
      <c r="G560">
        <f>VLOOKUP($E560,YieldData!$D:$F,3,FALSE)</f>
        <v>1</v>
      </c>
      <c r="H560">
        <v>23</v>
      </c>
      <c r="I560" t="s">
        <v>24</v>
      </c>
      <c r="J560" t="s">
        <v>25</v>
      </c>
      <c r="K560" s="2">
        <v>7149.88847832586</v>
      </c>
      <c r="L560" s="2">
        <v>125333427.14788499</v>
      </c>
      <c r="M560" s="3">
        <v>10094.289956151501</v>
      </c>
      <c r="N560" s="3">
        <v>46139673.368960701</v>
      </c>
      <c r="O560" s="4">
        <v>0.50146483346717396</v>
      </c>
      <c r="P560" s="4">
        <v>5.7894781978115499E-3</v>
      </c>
      <c r="Q560" s="5">
        <v>0.12920182633675101</v>
      </c>
      <c r="R560" s="5">
        <v>1.4495644839735301E-3</v>
      </c>
      <c r="S560" s="6">
        <v>0.43619254032360999</v>
      </c>
      <c r="T560" s="6">
        <v>2.8365370339529399E-2</v>
      </c>
      <c r="U560" s="7">
        <v>0.266092675635277</v>
      </c>
      <c r="V560" s="7">
        <v>0.195287363608698</v>
      </c>
      <c r="W560" s="8">
        <v>0.79452857723868997</v>
      </c>
      <c r="X560" s="8">
        <v>0.16325291718984999</v>
      </c>
      <c r="Y560" s="2">
        <v>77</v>
      </c>
      <c r="Z560" s="2">
        <f>VLOOKUP(E560,YieldData!T:U,2,FALSE)</f>
        <v>1035.2455070603337</v>
      </c>
      <c r="AA560">
        <f t="shared" si="16"/>
        <v>0.390075587236282</v>
      </c>
    </row>
    <row r="561" spans="1:27" hidden="1" x14ac:dyDescent="0.25">
      <c r="A561">
        <v>94</v>
      </c>
      <c r="B561">
        <v>102</v>
      </c>
      <c r="C561" t="s">
        <v>23</v>
      </c>
      <c r="D561">
        <v>25107</v>
      </c>
      <c r="E561">
        <f t="shared" si="17"/>
        <v>25107102</v>
      </c>
      <c r="F561">
        <f>VLOOKUP(E561,YieldData!D:F,2,FALSE)</f>
        <v>2</v>
      </c>
      <c r="G561">
        <f>VLOOKUP($E561,YieldData!$D:$F,3,FALSE)</f>
        <v>1</v>
      </c>
      <c r="H561">
        <v>23</v>
      </c>
      <c r="I561" t="s">
        <v>24</v>
      </c>
      <c r="J561" t="s">
        <v>25</v>
      </c>
      <c r="K561" s="2">
        <v>6103.9932783963804</v>
      </c>
      <c r="L561" s="2">
        <v>130656791.183293</v>
      </c>
      <c r="M561" s="3">
        <v>11968.1385115669</v>
      </c>
      <c r="N561" s="3">
        <v>50480180.821442202</v>
      </c>
      <c r="O561" s="4">
        <v>0.48985905510069699</v>
      </c>
      <c r="P561" s="4">
        <v>4.8623091905193603E-3</v>
      </c>
      <c r="Q561" s="5">
        <v>0.12846129786735599</v>
      </c>
      <c r="R561" s="5">
        <v>1.4046830119316899E-3</v>
      </c>
      <c r="S561" s="6">
        <v>0.40155578114264201</v>
      </c>
      <c r="T561" s="6">
        <v>2.6253564732654298E-2</v>
      </c>
      <c r="U561" s="7">
        <v>0.20707801605052001</v>
      </c>
      <c r="V561" s="7">
        <v>0.16419671131895</v>
      </c>
      <c r="W561" s="8">
        <v>0.731578380835058</v>
      </c>
      <c r="X561" s="8">
        <v>0.196371453529982</v>
      </c>
      <c r="Y561" s="2">
        <v>38</v>
      </c>
      <c r="Z561" s="2">
        <f>VLOOKUP(E561,YieldData!T:U,2,FALSE)</f>
        <v>1326.2869062901154</v>
      </c>
      <c r="AA561">
        <f t="shared" si="16"/>
        <v>0.56265473812627798</v>
      </c>
    </row>
    <row r="562" spans="1:27" hidden="1" x14ac:dyDescent="0.25">
      <c r="A562">
        <v>95</v>
      </c>
      <c r="B562">
        <v>103</v>
      </c>
      <c r="C562" t="s">
        <v>23</v>
      </c>
      <c r="D562">
        <v>25107</v>
      </c>
      <c r="E562">
        <f t="shared" si="17"/>
        <v>25107103</v>
      </c>
      <c r="F562">
        <f>VLOOKUP(E562,YieldData!D:F,2,FALSE)</f>
        <v>3</v>
      </c>
      <c r="G562">
        <f>VLOOKUP($E562,YieldData!$D:$F,3,FALSE)</f>
        <v>1</v>
      </c>
      <c r="H562">
        <v>23</v>
      </c>
      <c r="I562" t="s">
        <v>24</v>
      </c>
      <c r="J562" t="s">
        <v>25</v>
      </c>
      <c r="K562" s="2">
        <v>5064.7796567601499</v>
      </c>
      <c r="L562" s="2">
        <v>115499143.41011</v>
      </c>
      <c r="M562" s="3">
        <v>13402.411040790899</v>
      </c>
      <c r="N562" s="3">
        <v>47189085.331985302</v>
      </c>
      <c r="O562" s="4">
        <v>0.48173852736981398</v>
      </c>
      <c r="P562" s="4">
        <v>4.5565216934551197E-3</v>
      </c>
      <c r="Q562" s="5">
        <v>0.12898708486430999</v>
      </c>
      <c r="R562" s="5">
        <v>9.7874817621266793E-4</v>
      </c>
      <c r="S562" s="6">
        <v>0.37934551054916699</v>
      </c>
      <c r="T562" s="6">
        <v>2.54582643062039E-2</v>
      </c>
      <c r="U562" s="7">
        <v>0.18214435208993601</v>
      </c>
      <c r="V562" s="7">
        <v>0.14896778709185499</v>
      </c>
      <c r="W562" s="8">
        <v>0.67927281425666797</v>
      </c>
      <c r="X562" s="8">
        <v>0.21786125806843501</v>
      </c>
      <c r="Y562" s="2">
        <v>23</v>
      </c>
      <c r="Z562" s="2">
        <f>VLOOKUP(E562,YieldData!T:U,2,FALSE)</f>
        <v>2390.8279845956354</v>
      </c>
      <c r="AA562">
        <f t="shared" si="16"/>
        <v>0.45615461895421699</v>
      </c>
    </row>
    <row r="563" spans="1:27" hidden="1" x14ac:dyDescent="0.25">
      <c r="A563">
        <v>96</v>
      </c>
      <c r="B563">
        <v>104</v>
      </c>
      <c r="C563" t="s">
        <v>23</v>
      </c>
      <c r="D563">
        <v>25107</v>
      </c>
      <c r="E563">
        <f t="shared" si="17"/>
        <v>25107104</v>
      </c>
      <c r="F563">
        <f>VLOOKUP(E563,YieldData!D:F,2,FALSE)</f>
        <v>4</v>
      </c>
      <c r="G563">
        <f>VLOOKUP($E563,YieldData!$D:$F,3,FALSE)</f>
        <v>1</v>
      </c>
      <c r="H563">
        <v>23</v>
      </c>
      <c r="I563" t="s">
        <v>24</v>
      </c>
      <c r="J563" t="s">
        <v>25</v>
      </c>
      <c r="K563" s="2">
        <v>5623.5157563653302</v>
      </c>
      <c r="L563" s="2">
        <v>106397250.292088</v>
      </c>
      <c r="M563" s="3">
        <v>13027.9407800103</v>
      </c>
      <c r="N563" s="3">
        <v>47021617.675528601</v>
      </c>
      <c r="O563" s="4">
        <v>0.478877161999757</v>
      </c>
      <c r="P563" s="4">
        <v>5.9274261684316102E-3</v>
      </c>
      <c r="Q563" s="5">
        <v>0.132717815814239</v>
      </c>
      <c r="R563" s="5">
        <v>1.4027089877833301E-3</v>
      </c>
      <c r="S563" s="6">
        <v>0.39295773630796699</v>
      </c>
      <c r="T563" s="6">
        <v>2.90834469944929E-2</v>
      </c>
      <c r="U563" s="7">
        <v>0.204755013932574</v>
      </c>
      <c r="V563" s="7">
        <v>0.16283039820223999</v>
      </c>
      <c r="W563" s="8">
        <v>0.89627290560260298</v>
      </c>
      <c r="X563" s="8">
        <v>9.2967784285161295E-2</v>
      </c>
      <c r="Y563" s="2">
        <v>66</v>
      </c>
      <c r="Z563" s="2">
        <f>VLOOKUP(E563,YieldData!T:U,2,FALSE)</f>
        <v>2488.1899871630299</v>
      </c>
      <c r="AA563">
        <f t="shared" si="16"/>
        <v>0.44924173563603298</v>
      </c>
    </row>
    <row r="564" spans="1:27" hidden="1" x14ac:dyDescent="0.25">
      <c r="A564">
        <v>97</v>
      </c>
      <c r="B564">
        <v>105</v>
      </c>
      <c r="C564" t="s">
        <v>23</v>
      </c>
      <c r="D564">
        <v>25107</v>
      </c>
      <c r="E564">
        <f t="shared" si="17"/>
        <v>25107105</v>
      </c>
      <c r="F564">
        <f>VLOOKUP(E564,YieldData!D:F,2,FALSE)</f>
        <v>5</v>
      </c>
      <c r="G564">
        <f>VLOOKUP($E564,YieldData!$D:$F,3,FALSE)</f>
        <v>1</v>
      </c>
      <c r="H564">
        <v>23</v>
      </c>
      <c r="I564" t="s">
        <v>24</v>
      </c>
      <c r="J564" t="s">
        <v>25</v>
      </c>
      <c r="K564" s="2">
        <v>5611.8834110752296</v>
      </c>
      <c r="L564" s="2">
        <v>93168091.3213429</v>
      </c>
      <c r="M564" s="3">
        <v>13107.1369592008</v>
      </c>
      <c r="N564" s="3">
        <v>55493490.432200797</v>
      </c>
      <c r="O564" s="4">
        <v>0.46561331084754898</v>
      </c>
      <c r="P564" s="4">
        <v>8.3518437885234005E-3</v>
      </c>
      <c r="Q564" s="5">
        <v>0.131697536462692</v>
      </c>
      <c r="R564" s="5">
        <v>1.77860056585464E-3</v>
      </c>
      <c r="S564" s="6">
        <v>0.40099857256757498</v>
      </c>
      <c r="T564" s="6">
        <v>3.2685462827659703E-2</v>
      </c>
      <c r="U564" s="7">
        <v>0.220942470996292</v>
      </c>
      <c r="V564" s="7">
        <v>0.17212689550650101</v>
      </c>
      <c r="W564" s="8">
        <v>0.857455537083328</v>
      </c>
      <c r="X564" s="8">
        <v>0.12222553900814601</v>
      </c>
      <c r="Y564" s="2">
        <v>67</v>
      </c>
      <c r="Z564" s="2">
        <f>VLOOKUP(E564,YieldData!T:U,2,FALSE)</f>
        <v>2505.2118100128368</v>
      </c>
      <c r="AA564">
        <f t="shared" si="16"/>
        <v>0.49696215854183601</v>
      </c>
    </row>
    <row r="565" spans="1:27" hidden="1" x14ac:dyDescent="0.25">
      <c r="A565">
        <v>98</v>
      </c>
      <c r="B565">
        <v>106</v>
      </c>
      <c r="C565" t="s">
        <v>23</v>
      </c>
      <c r="D565">
        <v>25107</v>
      </c>
      <c r="E565">
        <f t="shared" si="17"/>
        <v>25107106</v>
      </c>
      <c r="F565">
        <f>VLOOKUP(E565,YieldData!D:F,2,FALSE)</f>
        <v>6</v>
      </c>
      <c r="G565">
        <f>VLOOKUP($E565,YieldData!$D:$F,3,FALSE)</f>
        <v>1</v>
      </c>
      <c r="H565">
        <v>23</v>
      </c>
      <c r="I565" t="s">
        <v>24</v>
      </c>
      <c r="J565" t="s">
        <v>25</v>
      </c>
      <c r="K565" s="2">
        <v>6094.4029316000297</v>
      </c>
      <c r="L565" s="2">
        <v>125414289.84697799</v>
      </c>
      <c r="M565" s="3">
        <v>12397.7690357749</v>
      </c>
      <c r="N565" s="3">
        <v>53223118.427601703</v>
      </c>
      <c r="O565" s="4">
        <v>0.46562816450244698</v>
      </c>
      <c r="P565" s="4">
        <v>6.2993005229865203E-3</v>
      </c>
      <c r="Q565" s="5">
        <v>0.13417703934319999</v>
      </c>
      <c r="R565" s="5">
        <v>1.79378271123455E-3</v>
      </c>
      <c r="S565" s="6">
        <v>0.40902771596124099</v>
      </c>
      <c r="T565" s="6">
        <v>2.7816481581125201E-2</v>
      </c>
      <c r="U565" s="7">
        <v>0.20098769018482901</v>
      </c>
      <c r="V565" s="7">
        <v>0.160591638578754</v>
      </c>
      <c r="W565" s="8">
        <v>0.64188788418007303</v>
      </c>
      <c r="X565" s="8">
        <v>0.22986782832275901</v>
      </c>
      <c r="Y565" s="2">
        <v>24</v>
      </c>
      <c r="Z565" s="2">
        <f>VLOOKUP(E565,YieldData!T:U,2,FALSE)</f>
        <v>2315.9114249037225</v>
      </c>
      <c r="AA565">
        <f t="shared" si="16"/>
        <v>0.39903159423798601</v>
      </c>
    </row>
    <row r="566" spans="1:27" hidden="1" x14ac:dyDescent="0.25">
      <c r="A566">
        <v>99</v>
      </c>
      <c r="B566">
        <v>107</v>
      </c>
      <c r="C566" t="s">
        <v>23</v>
      </c>
      <c r="D566">
        <v>25107</v>
      </c>
      <c r="E566">
        <f t="shared" si="17"/>
        <v>25107107</v>
      </c>
      <c r="F566">
        <f>VLOOKUP(E566,YieldData!D:F,2,FALSE)</f>
        <v>7</v>
      </c>
      <c r="G566">
        <f>VLOOKUP($E566,YieldData!$D:$F,3,FALSE)</f>
        <v>1</v>
      </c>
      <c r="H566">
        <v>23</v>
      </c>
      <c r="I566" t="s">
        <v>24</v>
      </c>
      <c r="J566" t="s">
        <v>25</v>
      </c>
      <c r="K566" s="2">
        <v>5420.7777806428303</v>
      </c>
      <c r="L566" s="2">
        <v>101332289.48779599</v>
      </c>
      <c r="M566" s="3">
        <v>11707.3631655152</v>
      </c>
      <c r="N566" s="3">
        <v>51299472.3135489</v>
      </c>
      <c r="O566" s="4">
        <v>0.47391606965571598</v>
      </c>
      <c r="P566" s="4">
        <v>6.5601507207249899E-3</v>
      </c>
      <c r="Q566" s="5">
        <v>0.14209041178941201</v>
      </c>
      <c r="R566" s="5">
        <v>1.67619573752465E-3</v>
      </c>
      <c r="S566" s="6">
        <v>0.426129800586732</v>
      </c>
      <c r="T566" s="6">
        <v>2.5497377537088702E-2</v>
      </c>
      <c r="U566" s="7">
        <v>0.21046117349767299</v>
      </c>
      <c r="V566" s="7">
        <v>0.16616726794776401</v>
      </c>
      <c r="W566" s="8">
        <v>0.83501166883711297</v>
      </c>
      <c r="X566" s="8">
        <v>0.13776718174279101</v>
      </c>
      <c r="Y566" s="2">
        <v>43</v>
      </c>
      <c r="Z566" s="2">
        <f>VLOOKUP(E566,YieldData!T:U,2,FALSE)</f>
        <v>2008.0359435173295</v>
      </c>
      <c r="AA566">
        <f t="shared" si="16"/>
        <v>0.46002398174293102</v>
      </c>
    </row>
    <row r="567" spans="1:27" hidden="1" x14ac:dyDescent="0.25">
      <c r="A567">
        <v>100</v>
      </c>
      <c r="B567">
        <v>108</v>
      </c>
      <c r="C567" t="s">
        <v>23</v>
      </c>
      <c r="D567">
        <v>25107</v>
      </c>
      <c r="E567">
        <f t="shared" si="17"/>
        <v>25107108</v>
      </c>
      <c r="F567">
        <f>VLOOKUP(E567,YieldData!D:F,2,FALSE)</f>
        <v>4</v>
      </c>
      <c r="G567">
        <f>VLOOKUP($E567,YieldData!$D:$F,3,FALSE)</f>
        <v>2</v>
      </c>
      <c r="H567">
        <v>23</v>
      </c>
      <c r="I567" t="s">
        <v>24</v>
      </c>
      <c r="J567" t="s">
        <v>25</v>
      </c>
      <c r="K567" s="2">
        <v>6742.6327094420903</v>
      </c>
      <c r="L567" s="2">
        <v>139096506.324</v>
      </c>
      <c r="M567" s="3">
        <v>9874.7756232998199</v>
      </c>
      <c r="N567" s="3">
        <v>36796527.817587398</v>
      </c>
      <c r="O567" s="4">
        <v>0.503189099254858</v>
      </c>
      <c r="P567" s="4">
        <v>4.6891961629034404E-3</v>
      </c>
      <c r="Q567" s="5">
        <v>0.14966539839356499</v>
      </c>
      <c r="R567" s="5">
        <v>1.62544079750112E-3</v>
      </c>
      <c r="S567" s="6">
        <v>0.46008332935484098</v>
      </c>
      <c r="T567" s="6">
        <v>2.2977917061578802E-2</v>
      </c>
      <c r="U567" s="7">
        <v>0.25103151348442299</v>
      </c>
      <c r="V567" s="7">
        <v>0.188014692722211</v>
      </c>
      <c r="W567" s="8">
        <v>0.86739221431561297</v>
      </c>
      <c r="X567" s="8">
        <v>0.11502296086050801</v>
      </c>
      <c r="Y567" s="2">
        <v>229</v>
      </c>
      <c r="Z567" s="2">
        <f>VLOOKUP(E567,YieldData!T:U,2,FALSE)</f>
        <v>2547.5978818998715</v>
      </c>
      <c r="AA567">
        <f t="shared" si="16"/>
        <v>0.50343837828140903</v>
      </c>
    </row>
    <row r="568" spans="1:27" hidden="1" x14ac:dyDescent="0.25">
      <c r="A568">
        <v>101</v>
      </c>
      <c r="B568">
        <v>109</v>
      </c>
      <c r="C568" t="s">
        <v>23</v>
      </c>
      <c r="D568">
        <v>25107</v>
      </c>
      <c r="E568">
        <f t="shared" si="17"/>
        <v>25107109</v>
      </c>
      <c r="F568">
        <f>VLOOKUP(E568,YieldData!D:F,2,FALSE)</f>
        <v>2</v>
      </c>
      <c r="G568">
        <f>VLOOKUP($E568,YieldData!$D:$F,3,FALSE)</f>
        <v>2</v>
      </c>
      <c r="H568">
        <v>23</v>
      </c>
      <c r="I568" t="s">
        <v>24</v>
      </c>
      <c r="J568" t="s">
        <v>25</v>
      </c>
      <c r="K568" s="2">
        <v>5678.8707721379697</v>
      </c>
      <c r="L568" s="2">
        <v>121627419.489314</v>
      </c>
      <c r="M568" s="3">
        <v>11362.753180833301</v>
      </c>
      <c r="N568" s="3">
        <v>43269625.025619499</v>
      </c>
      <c r="O568" s="4">
        <v>0.496556251958926</v>
      </c>
      <c r="P568" s="4">
        <v>5.3967227051141004E-3</v>
      </c>
      <c r="Q568" s="5">
        <v>0.14410670732691999</v>
      </c>
      <c r="R568" s="5">
        <v>1.58509931707923E-3</v>
      </c>
      <c r="S568" s="6">
        <v>0.42332248354208801</v>
      </c>
      <c r="T568" s="6">
        <v>2.4228578443890699E-2</v>
      </c>
      <c r="U568" s="7">
        <v>0.19911017557288399</v>
      </c>
      <c r="V568" s="7">
        <v>0.15946531355607399</v>
      </c>
      <c r="W568" s="8">
        <v>0.87398344814389595</v>
      </c>
      <c r="X568" s="8">
        <v>0.110136380514308</v>
      </c>
      <c r="Y568" s="2">
        <v>100</v>
      </c>
      <c r="Z568" s="2">
        <f>VLOOKUP(E568,YieldData!T:U,2,FALSE)</f>
        <v>1584.2105263157894</v>
      </c>
      <c r="AA568">
        <f t="shared" si="16"/>
        <v>0.39993302556988097</v>
      </c>
    </row>
    <row r="569" spans="1:27" hidden="1" x14ac:dyDescent="0.25">
      <c r="A569">
        <v>102</v>
      </c>
      <c r="B569">
        <v>110</v>
      </c>
      <c r="C569" t="s">
        <v>23</v>
      </c>
      <c r="D569">
        <v>25107</v>
      </c>
      <c r="E569">
        <f t="shared" si="17"/>
        <v>25107110</v>
      </c>
      <c r="F569">
        <f>VLOOKUP(E569,YieldData!D:F,2,FALSE)</f>
        <v>1</v>
      </c>
      <c r="G569">
        <f>VLOOKUP($E569,YieldData!$D:$F,3,FALSE)</f>
        <v>2</v>
      </c>
      <c r="H569">
        <v>23</v>
      </c>
      <c r="I569" t="s">
        <v>24</v>
      </c>
      <c r="J569" t="s">
        <v>25</v>
      </c>
      <c r="K569" s="2">
        <v>5511.7399141220203</v>
      </c>
      <c r="L569" s="2">
        <v>117550162.678022</v>
      </c>
      <c r="M569" s="3">
        <v>12876.0307081384</v>
      </c>
      <c r="N569" s="3">
        <v>51353167.999584198</v>
      </c>
      <c r="O569" s="4">
        <v>0.48260438921397902</v>
      </c>
      <c r="P569" s="4">
        <v>5.7981088087043602E-3</v>
      </c>
      <c r="Q569" s="5">
        <v>0.136113303183025</v>
      </c>
      <c r="R569" s="5">
        <v>1.6517514735252599E-3</v>
      </c>
      <c r="S569" s="6">
        <v>0.39623735654874498</v>
      </c>
      <c r="T569" s="6">
        <v>2.6121889476454802E-2</v>
      </c>
      <c r="U569" s="7">
        <v>0.19007977800901801</v>
      </c>
      <c r="V569" s="7">
        <v>0.15394945600131599</v>
      </c>
      <c r="W569" s="8">
        <v>0.76502176721044801</v>
      </c>
      <c r="X569" s="8">
        <v>0.179763462904553</v>
      </c>
      <c r="Y569" s="2">
        <v>39</v>
      </c>
      <c r="Z569" s="2">
        <f>VLOOKUP(E569,YieldData!T:U,2,FALSE)</f>
        <v>1585.0449293966622</v>
      </c>
      <c r="AA569">
        <f t="shared" si="16"/>
        <v>0.54967766627994596</v>
      </c>
    </row>
    <row r="570" spans="1:27" hidden="1" x14ac:dyDescent="0.25">
      <c r="A570">
        <v>103</v>
      </c>
      <c r="B570">
        <v>111</v>
      </c>
      <c r="C570" t="s">
        <v>23</v>
      </c>
      <c r="D570">
        <v>25107</v>
      </c>
      <c r="E570">
        <f t="shared" si="17"/>
        <v>25107111</v>
      </c>
      <c r="F570">
        <f>VLOOKUP(E570,YieldData!D:F,2,FALSE)</f>
        <v>5</v>
      </c>
      <c r="G570">
        <f>VLOOKUP($E570,YieldData!$D:$F,3,FALSE)</f>
        <v>2</v>
      </c>
      <c r="H570">
        <v>23</v>
      </c>
      <c r="I570" t="s">
        <v>24</v>
      </c>
      <c r="J570" t="s">
        <v>25</v>
      </c>
      <c r="K570" s="2">
        <v>6551.6873237732198</v>
      </c>
      <c r="L570" s="2">
        <v>120044036.52642401</v>
      </c>
      <c r="M570" s="3">
        <v>10514.642022850099</v>
      </c>
      <c r="N570" s="3">
        <v>47155938.531381696</v>
      </c>
      <c r="O570" s="4">
        <v>0.50431035325528895</v>
      </c>
      <c r="P570" s="4">
        <v>6.74642110489796E-3</v>
      </c>
      <c r="Q570" s="5">
        <v>0.141253109066246</v>
      </c>
      <c r="R570" s="5">
        <v>1.50106449531621E-3</v>
      </c>
      <c r="S570" s="6">
        <v>0.43489791505647801</v>
      </c>
      <c r="T570" s="6">
        <v>2.9340162610293499E-2</v>
      </c>
      <c r="U570" s="7">
        <v>0.23888182973316399</v>
      </c>
      <c r="V570" s="7">
        <v>0.18181730115675501</v>
      </c>
      <c r="W570" s="8">
        <v>0.78277547859338303</v>
      </c>
      <c r="X570" s="8">
        <v>0.17003802870624901</v>
      </c>
      <c r="Y570" s="2">
        <v>45</v>
      </c>
      <c r="Z570" s="2">
        <f>VLOOKUP(E570,YieldData!T:U,2,FALSE)</f>
        <v>2037.9974326059053</v>
      </c>
      <c r="AA570">
        <f t="shared" si="16"/>
        <v>0.53001900013312198</v>
      </c>
    </row>
    <row r="571" spans="1:27" hidden="1" x14ac:dyDescent="0.25">
      <c r="A571">
        <v>104</v>
      </c>
      <c r="B571">
        <v>112</v>
      </c>
      <c r="C571" t="s">
        <v>23</v>
      </c>
      <c r="D571">
        <v>25107</v>
      </c>
      <c r="E571">
        <f t="shared" si="17"/>
        <v>25107112</v>
      </c>
      <c r="F571">
        <f>VLOOKUP(E571,YieldData!D:F,2,FALSE)</f>
        <v>3</v>
      </c>
      <c r="G571">
        <f>VLOOKUP($E571,YieldData!$D:$F,3,FALSE)</f>
        <v>2</v>
      </c>
      <c r="H571">
        <v>23</v>
      </c>
      <c r="I571" t="s">
        <v>24</v>
      </c>
      <c r="J571" t="s">
        <v>25</v>
      </c>
      <c r="K571" s="2">
        <v>6073.2151390568297</v>
      </c>
      <c r="L571" s="2">
        <v>135001150.691829</v>
      </c>
      <c r="M571" s="3">
        <v>11814.447595928599</v>
      </c>
      <c r="N571" s="3">
        <v>47177021.119439602</v>
      </c>
      <c r="O571" s="4">
        <v>0.49145941292680101</v>
      </c>
      <c r="P571" s="4">
        <v>5.2872760247778001E-3</v>
      </c>
      <c r="Q571" s="5">
        <v>0.13942059703079701</v>
      </c>
      <c r="R571" s="5">
        <v>1.55370811777262E-3</v>
      </c>
      <c r="S571" s="6">
        <v>0.40841626401105502</v>
      </c>
      <c r="T571" s="6">
        <v>2.5228172750577701E-2</v>
      </c>
      <c r="U571" s="7">
        <v>0.19661426844014501</v>
      </c>
      <c r="V571" s="7">
        <v>0.157957097886053</v>
      </c>
      <c r="W571" s="8">
        <v>0.86231375773993801</v>
      </c>
      <c r="X571" s="8">
        <v>0.118728740952283</v>
      </c>
      <c r="Y571" s="2">
        <v>43</v>
      </c>
      <c r="Z571" s="2">
        <f>VLOOKUP(E571,YieldData!T:U,2,FALSE)</f>
        <v>3938.173940949936</v>
      </c>
      <c r="AA571">
        <f t="shared" si="16"/>
        <v>0.47124059695716303</v>
      </c>
    </row>
    <row r="572" spans="1:27" hidden="1" x14ac:dyDescent="0.25">
      <c r="A572">
        <v>105</v>
      </c>
      <c r="B572">
        <v>201</v>
      </c>
      <c r="C572" t="s">
        <v>23</v>
      </c>
      <c r="D572" t="s">
        <v>100</v>
      </c>
      <c r="E572" t="e">
        <f t="shared" si="17"/>
        <v>#VALUE!</v>
      </c>
      <c r="H572">
        <v>23</v>
      </c>
      <c r="I572" t="s">
        <v>24</v>
      </c>
      <c r="J572" t="s">
        <v>25</v>
      </c>
      <c r="K572" s="2">
        <v>4289.74741990648</v>
      </c>
      <c r="L572" s="2">
        <v>68936703.777810097</v>
      </c>
      <c r="M572" s="3">
        <v>13871.8090300314</v>
      </c>
      <c r="N572" s="3">
        <v>38660023.670093298</v>
      </c>
      <c r="O572" s="4">
        <v>0.47180421010123602</v>
      </c>
      <c r="P572" s="4">
        <v>5.1979963084191703E-3</v>
      </c>
      <c r="Q572" s="5">
        <v>0.12137291753289101</v>
      </c>
      <c r="R572" s="5">
        <v>1.6661744939430001E-3</v>
      </c>
      <c r="S572" s="6">
        <v>0.39618126565408701</v>
      </c>
      <c r="T572" s="6">
        <v>1.8728349622289E-2</v>
      </c>
      <c r="U572" s="7">
        <v>0.16187321366642399</v>
      </c>
      <c r="V572" s="7">
        <v>0.13567027636361001</v>
      </c>
      <c r="W572" s="8">
        <v>0.90981498977480701</v>
      </c>
      <c r="X572" s="8">
        <v>8.2051674155904503E-2</v>
      </c>
      <c r="Y572" s="2">
        <v>129</v>
      </c>
      <c r="Z572" s="2" t="e">
        <f>VLOOKUP(E572,YieldData!T:U,2,FALSE)</f>
        <v>#VALUE!</v>
      </c>
      <c r="AA572">
        <f t="shared" si="16"/>
        <v>0.913534329143595</v>
      </c>
    </row>
    <row r="573" spans="1:27" hidden="1" x14ac:dyDescent="0.25">
      <c r="A573">
        <v>106</v>
      </c>
      <c r="B573">
        <v>202</v>
      </c>
      <c r="C573" t="s">
        <v>23</v>
      </c>
      <c r="D573" t="s">
        <v>100</v>
      </c>
      <c r="E573" t="e">
        <f t="shared" si="17"/>
        <v>#VALUE!</v>
      </c>
      <c r="H573">
        <v>23</v>
      </c>
      <c r="I573" t="s">
        <v>24</v>
      </c>
      <c r="J573" t="s">
        <v>25</v>
      </c>
      <c r="K573" s="2">
        <v>4504.66618033963</v>
      </c>
      <c r="L573" s="2">
        <v>101379621.68676899</v>
      </c>
      <c r="M573" s="3">
        <v>13111.1439962683</v>
      </c>
      <c r="N573" s="3">
        <v>42553864.901257098</v>
      </c>
      <c r="O573" s="4">
        <v>0.497834411023518</v>
      </c>
      <c r="P573" s="4">
        <v>5.0449269624731801E-3</v>
      </c>
      <c r="Q573" s="5">
        <v>0.13628708476082699</v>
      </c>
      <c r="R573" s="5">
        <v>1.9362839610369601E-3</v>
      </c>
      <c r="S573" s="6">
        <v>0.41151494786715298</v>
      </c>
      <c r="T573" s="6">
        <v>2.22893269623946E-2</v>
      </c>
      <c r="U573" s="7">
        <v>0.18423822052140601</v>
      </c>
      <c r="V573" s="7">
        <v>0.15029449862050201</v>
      </c>
      <c r="W573" s="8">
        <v>0.85324832230821701</v>
      </c>
      <c r="X573" s="8">
        <v>0.125215622786332</v>
      </c>
      <c r="Y573" s="2">
        <v>141</v>
      </c>
      <c r="Z573" s="2" t="e">
        <f>VLOOKUP(E573,YieldData!T:U,2,FALSE)</f>
        <v>#VALUE!</v>
      </c>
      <c r="AA573">
        <f t="shared" si="16"/>
        <v>0.913534329143595</v>
      </c>
    </row>
    <row r="574" spans="1:27" hidden="1" x14ac:dyDescent="0.25">
      <c r="A574">
        <v>107</v>
      </c>
      <c r="B574">
        <v>203</v>
      </c>
      <c r="C574" t="s">
        <v>23</v>
      </c>
      <c r="D574" t="s">
        <v>100</v>
      </c>
      <c r="E574" t="e">
        <f t="shared" si="17"/>
        <v>#VALUE!</v>
      </c>
      <c r="H574">
        <v>23</v>
      </c>
      <c r="I574" t="s">
        <v>24</v>
      </c>
      <c r="J574" t="s">
        <v>25</v>
      </c>
      <c r="K574" s="2">
        <v>5072.2318366753898</v>
      </c>
      <c r="L574" s="2">
        <v>127041583.353448</v>
      </c>
      <c r="M574" s="3">
        <v>13748.4148822305</v>
      </c>
      <c r="N574" s="3">
        <v>41619234.698792897</v>
      </c>
      <c r="O574" s="4">
        <v>0.499826210642355</v>
      </c>
      <c r="P574" s="4">
        <v>4.2019311623048301E-3</v>
      </c>
      <c r="Q574" s="5">
        <v>0.13807091091683299</v>
      </c>
      <c r="R574" s="5">
        <v>1.3744019289951999E-3</v>
      </c>
      <c r="S574" s="6">
        <v>0.40493304899663701</v>
      </c>
      <c r="T574" s="6">
        <v>2.3512836337468101E-2</v>
      </c>
      <c r="U574" s="7">
        <v>0.186646323743098</v>
      </c>
      <c r="V574" s="7">
        <v>0.15180947357650801</v>
      </c>
      <c r="W574" s="8">
        <v>0.55817783321022496</v>
      </c>
      <c r="X574" s="8">
        <v>0.246615339723018</v>
      </c>
      <c r="Y574" s="2">
        <v>18</v>
      </c>
      <c r="Z574" s="2" t="e">
        <f>VLOOKUP(E574,YieldData!T:U,2,FALSE)</f>
        <v>#VALUE!</v>
      </c>
      <c r="AA574">
        <f t="shared" si="16"/>
        <v>0.913534329143595</v>
      </c>
    </row>
    <row r="575" spans="1:27" hidden="1" x14ac:dyDescent="0.25">
      <c r="A575">
        <v>108</v>
      </c>
      <c r="B575">
        <v>204</v>
      </c>
      <c r="C575" t="s">
        <v>23</v>
      </c>
      <c r="D575">
        <v>25107</v>
      </c>
      <c r="E575">
        <f t="shared" si="17"/>
        <v>25107204</v>
      </c>
      <c r="F575">
        <f>VLOOKUP(E575,YieldData!D:F,2,FALSE)</f>
        <v>5</v>
      </c>
      <c r="G575">
        <f>VLOOKUP($E575,YieldData!$D:$F,3,FALSE)</f>
        <v>3</v>
      </c>
      <c r="H575">
        <v>23</v>
      </c>
      <c r="I575" t="s">
        <v>24</v>
      </c>
      <c r="J575" t="s">
        <v>25</v>
      </c>
      <c r="K575" s="2">
        <v>5460.6449834355899</v>
      </c>
      <c r="L575" s="2">
        <v>106640682.02470601</v>
      </c>
      <c r="M575" s="3">
        <v>12900.237180255201</v>
      </c>
      <c r="N575" s="3">
        <v>53617827.176119097</v>
      </c>
      <c r="O575" s="4">
        <v>0.51915650239179001</v>
      </c>
      <c r="P575" s="4">
        <v>6.6225690978410001E-3</v>
      </c>
      <c r="Q575" s="5">
        <v>0.153368719953828</v>
      </c>
      <c r="R575" s="5">
        <v>1.19642042477884E-3</v>
      </c>
      <c r="S575" s="6">
        <v>0.41864625019935497</v>
      </c>
      <c r="T575" s="6">
        <v>3.1661784832552102E-2</v>
      </c>
      <c r="U575" s="7">
        <v>0.23172233982753901</v>
      </c>
      <c r="V575" s="7">
        <v>0.17802709705263201</v>
      </c>
      <c r="W575" s="8">
        <v>0.910015069246777</v>
      </c>
      <c r="X575" s="8">
        <v>8.1887642990432497E-2</v>
      </c>
      <c r="Y575" s="2">
        <v>78</v>
      </c>
      <c r="Z575" s="2">
        <f>VLOOKUP(E575,YieldData!T:U,2,FALSE)</f>
        <v>2665.7028241335051</v>
      </c>
      <c r="AA575">
        <f t="shared" si="16"/>
        <v>0.44989833751943498</v>
      </c>
    </row>
    <row r="576" spans="1:27" hidden="1" x14ac:dyDescent="0.25">
      <c r="A576">
        <v>109</v>
      </c>
      <c r="B576">
        <v>205</v>
      </c>
      <c r="C576" t="s">
        <v>23</v>
      </c>
      <c r="D576">
        <v>25107</v>
      </c>
      <c r="E576">
        <f t="shared" si="17"/>
        <v>25107205</v>
      </c>
      <c r="F576">
        <f>VLOOKUP(E576,YieldData!D:F,2,FALSE)</f>
        <v>2</v>
      </c>
      <c r="G576">
        <f>VLOOKUP($E576,YieldData!$D:$F,3,FALSE)</f>
        <v>3</v>
      </c>
      <c r="H576">
        <v>23</v>
      </c>
      <c r="I576" t="s">
        <v>24</v>
      </c>
      <c r="J576" t="s">
        <v>25</v>
      </c>
      <c r="K576" s="2">
        <v>6958.3316468599296</v>
      </c>
      <c r="L576" s="2">
        <v>164756666.53257999</v>
      </c>
      <c r="M576" s="3">
        <v>11403.3712429222</v>
      </c>
      <c r="N576" s="3">
        <v>69054867.083851099</v>
      </c>
      <c r="O576" s="4">
        <v>0.50891848393075401</v>
      </c>
      <c r="P576" s="4">
        <v>6.4817679947639997E-3</v>
      </c>
      <c r="Q576" s="5">
        <v>0.15650297776289199</v>
      </c>
      <c r="R576" s="5">
        <v>1.5509898625733899E-3</v>
      </c>
      <c r="S576" s="6">
        <v>0.424350856202728</v>
      </c>
      <c r="T576" s="6">
        <v>3.2672716836404297E-2</v>
      </c>
      <c r="U576" s="7">
        <v>0.237357664959475</v>
      </c>
      <c r="V576" s="7">
        <v>0.18101900384470601</v>
      </c>
      <c r="W576" s="8">
        <v>0.83750621581302798</v>
      </c>
      <c r="X576" s="8">
        <v>0.13608955428741201</v>
      </c>
      <c r="Y576" s="2">
        <v>41</v>
      </c>
      <c r="Z576" s="2">
        <f>VLOOKUP(E576,YieldData!T:U,2,FALSE)</f>
        <v>2740.9948652118101</v>
      </c>
      <c r="AA576">
        <f t="shared" si="16"/>
        <v>0.47171805072103401</v>
      </c>
    </row>
    <row r="577" spans="1:27" hidden="1" x14ac:dyDescent="0.25">
      <c r="A577">
        <v>110</v>
      </c>
      <c r="B577">
        <v>206</v>
      </c>
      <c r="C577" t="s">
        <v>23</v>
      </c>
      <c r="D577">
        <v>25107</v>
      </c>
      <c r="E577">
        <f t="shared" si="17"/>
        <v>25107206</v>
      </c>
      <c r="F577">
        <f>VLOOKUP(E577,YieldData!D:F,2,FALSE)</f>
        <v>1</v>
      </c>
      <c r="G577">
        <f>VLOOKUP($E577,YieldData!$D:$F,3,FALSE)</f>
        <v>3</v>
      </c>
      <c r="H577">
        <v>23</v>
      </c>
      <c r="I577" t="s">
        <v>24</v>
      </c>
      <c r="J577" t="s">
        <v>25</v>
      </c>
      <c r="K577" s="2">
        <v>5979.5271435576697</v>
      </c>
      <c r="L577" s="2">
        <v>120404962.495738</v>
      </c>
      <c r="M577" s="3">
        <v>11081.6049111431</v>
      </c>
      <c r="N577" s="3">
        <v>49351759.313776799</v>
      </c>
      <c r="O577" s="4">
        <v>0.49532210577873598</v>
      </c>
      <c r="P577" s="4">
        <v>6.4344939865730302E-3</v>
      </c>
      <c r="Q577" s="5">
        <v>0.149730684457208</v>
      </c>
      <c r="R577" s="5">
        <v>1.7590411640725199E-3</v>
      </c>
      <c r="S577" s="6">
        <v>0.43328270334525198</v>
      </c>
      <c r="T577" s="6">
        <v>2.7381249834913499E-2</v>
      </c>
      <c r="U577" s="7">
        <v>0.242802980469077</v>
      </c>
      <c r="V577" s="7">
        <v>0.18384969314465399</v>
      </c>
      <c r="W577" s="8">
        <v>0.74466049604171103</v>
      </c>
      <c r="X577" s="8">
        <v>0.190141241676658</v>
      </c>
      <c r="Y577" s="2">
        <v>36</v>
      </c>
      <c r="Z577" s="2">
        <f>VLOOKUP(E577,YieldData!T:U,2,FALSE)</f>
        <v>1823.433889602054</v>
      </c>
      <c r="AA577">
        <f t="shared" si="16"/>
        <v>0.46218889407149599</v>
      </c>
    </row>
    <row r="578" spans="1:27" hidden="1" x14ac:dyDescent="0.25">
      <c r="A578">
        <v>111</v>
      </c>
      <c r="B578">
        <v>207</v>
      </c>
      <c r="C578" t="s">
        <v>23</v>
      </c>
      <c r="D578">
        <v>25107</v>
      </c>
      <c r="E578">
        <f t="shared" si="17"/>
        <v>25107207</v>
      </c>
      <c r="F578">
        <f>VLOOKUP(E578,YieldData!D:F,2,FALSE)</f>
        <v>3</v>
      </c>
      <c r="G578">
        <f>VLOOKUP($E578,YieldData!$D:$F,3,FALSE)</f>
        <v>3</v>
      </c>
      <c r="H578">
        <v>23</v>
      </c>
      <c r="I578" t="s">
        <v>24</v>
      </c>
      <c r="J578" t="s">
        <v>25</v>
      </c>
      <c r="K578" s="2">
        <v>5626.89041693953</v>
      </c>
      <c r="L578" s="2">
        <v>114237481.80882099</v>
      </c>
      <c r="M578" s="3">
        <v>11403.908071735499</v>
      </c>
      <c r="N578" s="3">
        <v>45039119.2368991</v>
      </c>
      <c r="O578" s="4">
        <v>0.45957981178970703</v>
      </c>
      <c r="P578" s="4">
        <v>6.4627950803484401E-3</v>
      </c>
      <c r="Q578" s="5">
        <v>0.13706719299871201</v>
      </c>
      <c r="R578" s="5">
        <v>1.75852624959335E-3</v>
      </c>
      <c r="S578" s="6">
        <v>0.42310975832995301</v>
      </c>
      <c r="T578" s="6">
        <v>2.5314681506292801E-2</v>
      </c>
      <c r="U578" s="7">
        <v>0.20828785563559599</v>
      </c>
      <c r="V578" s="7">
        <v>0.16490402483036501</v>
      </c>
      <c r="W578" s="8">
        <v>0.73683827542295799</v>
      </c>
      <c r="X578" s="8">
        <v>0.19390763129494201</v>
      </c>
      <c r="Y578" s="2">
        <v>43</v>
      </c>
      <c r="Z578" s="2">
        <f>VLOOKUP(E578,YieldData!T:U,2,FALSE)</f>
        <v>2319.6341463414633</v>
      </c>
      <c r="AA578">
        <f t="shared" ref="AA578:AA641" si="18">_xlfn.MAXIFS(U:U,E:E,E578)</f>
        <v>0.402401164200825</v>
      </c>
    </row>
    <row r="579" spans="1:27" hidden="1" x14ac:dyDescent="0.25">
      <c r="A579">
        <v>112</v>
      </c>
      <c r="B579">
        <v>208</v>
      </c>
      <c r="C579" t="s">
        <v>23</v>
      </c>
      <c r="D579">
        <v>25107</v>
      </c>
      <c r="E579">
        <f t="shared" ref="E579:E642" si="19">D579*1000+B579</f>
        <v>25107208</v>
      </c>
      <c r="F579">
        <f>VLOOKUP(E579,YieldData!D:F,2,FALSE)</f>
        <v>4</v>
      </c>
      <c r="G579">
        <f>VLOOKUP($E579,YieldData!$D:$F,3,FALSE)</f>
        <v>3</v>
      </c>
      <c r="H579">
        <v>23</v>
      </c>
      <c r="I579" t="s">
        <v>24</v>
      </c>
      <c r="J579" t="s">
        <v>25</v>
      </c>
      <c r="K579" s="2">
        <v>5676.8656563437999</v>
      </c>
      <c r="L579" s="2">
        <v>131173318.238388</v>
      </c>
      <c r="M579" s="3">
        <v>12043.166076003799</v>
      </c>
      <c r="N579" s="3">
        <v>47053650.841216199</v>
      </c>
      <c r="O579" s="4">
        <v>0.47295016103540299</v>
      </c>
      <c r="P579" s="4">
        <v>5.7037054179640998E-3</v>
      </c>
      <c r="Q579" s="5">
        <v>0.134172465958323</v>
      </c>
      <c r="R579" s="5">
        <v>1.2773260535844399E-3</v>
      </c>
      <c r="S579" s="6">
        <v>0.42300941419467902</v>
      </c>
      <c r="T579" s="6">
        <v>2.64176868357829E-2</v>
      </c>
      <c r="U579" s="7">
        <v>0.21654830758718299</v>
      </c>
      <c r="V579" s="7">
        <v>0.16965513806850199</v>
      </c>
      <c r="W579" s="8">
        <v>0.67660052232066603</v>
      </c>
      <c r="X579" s="8">
        <v>0.21881225551620401</v>
      </c>
      <c r="Y579" s="2">
        <v>42</v>
      </c>
      <c r="Z579" s="2">
        <f>VLOOKUP(E579,YieldData!T:U,2,FALSE)</f>
        <v>1785.5487804878051</v>
      </c>
      <c r="AA579">
        <f t="shared" si="18"/>
        <v>0.41079926784624798</v>
      </c>
    </row>
    <row r="580" spans="1:27" hidden="1" x14ac:dyDescent="0.25">
      <c r="A580">
        <v>113</v>
      </c>
      <c r="B580">
        <v>209</v>
      </c>
      <c r="C580" t="s">
        <v>23</v>
      </c>
      <c r="D580">
        <v>25107</v>
      </c>
      <c r="E580">
        <f t="shared" si="19"/>
        <v>25107209</v>
      </c>
      <c r="F580">
        <f>VLOOKUP(E580,YieldData!D:F,2,FALSE)</f>
        <v>6</v>
      </c>
      <c r="G580">
        <f>VLOOKUP($E580,YieldData!$D:$F,3,FALSE)</f>
        <v>3</v>
      </c>
      <c r="H580">
        <v>23</v>
      </c>
      <c r="I580" t="s">
        <v>24</v>
      </c>
      <c r="J580" t="s">
        <v>25</v>
      </c>
      <c r="K580" s="2">
        <v>6916.6073248331504</v>
      </c>
      <c r="L580" s="2">
        <v>160191086.238244</v>
      </c>
      <c r="M580" s="3">
        <v>11696.5985231492</v>
      </c>
      <c r="N580" s="3">
        <v>63030350.906487502</v>
      </c>
      <c r="O580" s="4">
        <v>0.49942587734771599</v>
      </c>
      <c r="P580" s="4">
        <v>5.9933361875647998E-3</v>
      </c>
      <c r="Q580" s="5">
        <v>0.13654984653353899</v>
      </c>
      <c r="R580" s="5">
        <v>1.36358063885836E-3</v>
      </c>
      <c r="S580" s="6">
        <v>0.434728427560165</v>
      </c>
      <c r="T580" s="6">
        <v>3.2178360755323598E-2</v>
      </c>
      <c r="U580" s="7">
        <v>0.24714733392340299</v>
      </c>
      <c r="V580" s="7">
        <v>0.18606552925815101</v>
      </c>
      <c r="W580" s="8">
        <v>0.63870219330766098</v>
      </c>
      <c r="X580" s="8">
        <v>0.23076170157131701</v>
      </c>
      <c r="Y580" s="2">
        <v>39</v>
      </c>
      <c r="Z580" s="2">
        <f>VLOOKUP(E580,YieldData!T:U,2,FALSE)</f>
        <v>1467.1453786906291</v>
      </c>
      <c r="AA580">
        <f t="shared" si="18"/>
        <v>0.45786634450916802</v>
      </c>
    </row>
    <row r="581" spans="1:27" hidden="1" x14ac:dyDescent="0.25">
      <c r="A581">
        <v>114</v>
      </c>
      <c r="B581">
        <v>210</v>
      </c>
      <c r="C581" t="s">
        <v>23</v>
      </c>
      <c r="D581">
        <v>25107</v>
      </c>
      <c r="E581">
        <f t="shared" si="19"/>
        <v>25107210</v>
      </c>
      <c r="F581">
        <f>VLOOKUP(E581,YieldData!D:F,2,FALSE)</f>
        <v>7</v>
      </c>
      <c r="G581">
        <f>VLOOKUP($E581,YieldData!$D:$F,3,FALSE)</f>
        <v>3</v>
      </c>
      <c r="H581">
        <v>23</v>
      </c>
      <c r="I581" t="s">
        <v>24</v>
      </c>
      <c r="J581" t="s">
        <v>25</v>
      </c>
      <c r="K581" s="2">
        <v>5574.4741340190603</v>
      </c>
      <c r="L581" s="2">
        <v>106477776.57424399</v>
      </c>
      <c r="M581" s="3">
        <v>13860.389040243999</v>
      </c>
      <c r="N581" s="3">
        <v>53657787.997057803</v>
      </c>
      <c r="O581" s="4">
        <v>0.48858998016988803</v>
      </c>
      <c r="P581" s="4">
        <v>5.7159551951923796E-3</v>
      </c>
      <c r="Q581" s="5">
        <v>0.13192591944722801</v>
      </c>
      <c r="R581" s="5">
        <v>1.3159558591714601E-3</v>
      </c>
      <c r="S581" s="6">
        <v>0.39813105018233402</v>
      </c>
      <c r="T581" s="6">
        <v>2.7308194110279699E-2</v>
      </c>
      <c r="U581" s="7">
        <v>0.19728482831644201</v>
      </c>
      <c r="V581" s="7">
        <v>0.158363524832494</v>
      </c>
      <c r="W581" s="8">
        <v>0.88030299211010599</v>
      </c>
      <c r="X581" s="8">
        <v>0.105369634191991</v>
      </c>
      <c r="Y581" s="2">
        <v>36</v>
      </c>
      <c r="Z581" s="2">
        <f>VLOOKUP(E581,YieldData!T:U,2,FALSE)</f>
        <v>1599.6951219512193</v>
      </c>
      <c r="AA581">
        <f t="shared" si="18"/>
        <v>0.55738738057425197</v>
      </c>
    </row>
    <row r="582" spans="1:27" hidden="1" x14ac:dyDescent="0.25">
      <c r="A582">
        <v>115</v>
      </c>
      <c r="B582">
        <v>211</v>
      </c>
      <c r="C582" t="s">
        <v>23</v>
      </c>
      <c r="D582">
        <v>25107</v>
      </c>
      <c r="E582">
        <f t="shared" si="19"/>
        <v>25107211</v>
      </c>
      <c r="F582">
        <f>VLOOKUP(E582,YieldData!D:F,2,FALSE)</f>
        <v>7</v>
      </c>
      <c r="G582">
        <f>VLOOKUP($E582,YieldData!$D:$F,3,FALSE)</f>
        <v>2</v>
      </c>
      <c r="H582">
        <v>23</v>
      </c>
      <c r="I582" t="s">
        <v>24</v>
      </c>
      <c r="J582" t="s">
        <v>25</v>
      </c>
      <c r="K582" s="2">
        <v>4388.6596779356396</v>
      </c>
      <c r="L582" s="2">
        <v>84075086.667118907</v>
      </c>
      <c r="M582" s="3">
        <v>13712.6416199875</v>
      </c>
      <c r="N582" s="3">
        <v>41951368.998688199</v>
      </c>
      <c r="O582" s="4">
        <v>0.47984761160146</v>
      </c>
      <c r="P582" s="4">
        <v>5.3573365743837401E-3</v>
      </c>
      <c r="Q582" s="5">
        <v>0.13092902719103999</v>
      </c>
      <c r="R582" s="5">
        <v>1.26124396016674E-3</v>
      </c>
      <c r="S582" s="6">
        <v>0.37878282978449002</v>
      </c>
      <c r="T582" s="6">
        <v>2.2338868297427698E-2</v>
      </c>
      <c r="U582" s="7">
        <v>0.155541329131066</v>
      </c>
      <c r="V582" s="7">
        <v>0.13134822406312899</v>
      </c>
      <c r="W582" s="8">
        <v>0.66419628457816804</v>
      </c>
      <c r="X582" s="8">
        <v>0.223039580130656</v>
      </c>
      <c r="Y582" s="2">
        <v>29</v>
      </c>
      <c r="Z582" s="2">
        <f>VLOOKUP(E582,YieldData!T:U,2,FALSE)</f>
        <v>1675.2695763799745</v>
      </c>
      <c r="AA582">
        <f t="shared" si="18"/>
        <v>0.44863414213785402</v>
      </c>
    </row>
    <row r="583" spans="1:27" hidden="1" x14ac:dyDescent="0.25">
      <c r="A583">
        <v>116</v>
      </c>
      <c r="B583">
        <v>212</v>
      </c>
      <c r="C583" t="s">
        <v>23</v>
      </c>
      <c r="D583">
        <v>25107</v>
      </c>
      <c r="E583">
        <f t="shared" si="19"/>
        <v>25107212</v>
      </c>
      <c r="F583">
        <f>VLOOKUP(E583,YieldData!D:F,2,FALSE)</f>
        <v>6</v>
      </c>
      <c r="G583">
        <f>VLOOKUP($E583,YieldData!$D:$F,3,FALSE)</f>
        <v>2</v>
      </c>
      <c r="H583">
        <v>23</v>
      </c>
      <c r="I583" t="s">
        <v>24</v>
      </c>
      <c r="J583" t="s">
        <v>25</v>
      </c>
      <c r="K583" s="2">
        <v>6463.9009411961697</v>
      </c>
      <c r="L583" s="2">
        <v>147479563.57100499</v>
      </c>
      <c r="M583" s="3">
        <v>12467.149086592301</v>
      </c>
      <c r="N583" s="3">
        <v>54477522.753889397</v>
      </c>
      <c r="O583" s="4">
        <v>0.49493087081987502</v>
      </c>
      <c r="P583" s="4">
        <v>5.6590179694935199E-3</v>
      </c>
      <c r="Q583" s="5">
        <v>0.13509887046526201</v>
      </c>
      <c r="R583" s="5">
        <v>1.4692549792339701E-3</v>
      </c>
      <c r="S583" s="6">
        <v>0.40853222420928198</v>
      </c>
      <c r="T583" s="6">
        <v>2.7598997587559002E-2</v>
      </c>
      <c r="U583" s="7">
        <v>0.204360357343602</v>
      </c>
      <c r="V583" s="7">
        <v>0.1625972016901</v>
      </c>
      <c r="W583" s="8">
        <v>0.66604870347335199</v>
      </c>
      <c r="X583" s="8">
        <v>0.22242782807443101</v>
      </c>
      <c r="Y583" s="2">
        <v>28</v>
      </c>
      <c r="Z583" s="2">
        <f>VLOOKUP(E583,YieldData!T:U,2,FALSE)</f>
        <v>2312.836970474968</v>
      </c>
      <c r="AA583">
        <f t="shared" si="18"/>
        <v>0.36414733317388198</v>
      </c>
    </row>
    <row r="584" spans="1:27" hidden="1" x14ac:dyDescent="0.25">
      <c r="A584">
        <v>117</v>
      </c>
      <c r="B584">
        <v>301</v>
      </c>
      <c r="C584" t="s">
        <v>23</v>
      </c>
      <c r="D584">
        <v>25110</v>
      </c>
      <c r="E584">
        <f t="shared" si="19"/>
        <v>25110301</v>
      </c>
      <c r="F584">
        <f>VLOOKUP(E584,YieldData!D:F,2,FALSE)</f>
        <v>1</v>
      </c>
      <c r="G584">
        <f>VLOOKUP($E584,YieldData!$D:$F,3,FALSE)</f>
        <v>1</v>
      </c>
      <c r="H584">
        <v>23</v>
      </c>
      <c r="I584" t="s">
        <v>24</v>
      </c>
      <c r="J584" t="s">
        <v>25</v>
      </c>
      <c r="K584" s="2">
        <v>6778.3733555209901</v>
      </c>
      <c r="L584" s="2">
        <v>137302517.35882699</v>
      </c>
      <c r="M584" s="3">
        <v>15637.2960102447</v>
      </c>
      <c r="N584" s="3">
        <v>74350564.824388698</v>
      </c>
      <c r="O584" s="4">
        <v>0.45388563852599301</v>
      </c>
      <c r="P584" s="4">
        <v>7.0874357646716797E-3</v>
      </c>
      <c r="Q584" s="5">
        <v>0.12362201103769301</v>
      </c>
      <c r="R584" s="5">
        <v>1.5590734389056399E-3</v>
      </c>
      <c r="S584" s="6">
        <v>0.41014472914662198</v>
      </c>
      <c r="T584" s="6">
        <v>3.3406706502143502E-2</v>
      </c>
      <c r="U584" s="7">
        <v>0.24009695040335699</v>
      </c>
      <c r="V584" s="7">
        <v>0.18245040481022401</v>
      </c>
      <c r="W584" s="8">
        <v>0.430037380923671</v>
      </c>
      <c r="X584" s="8">
        <v>0.24510523193198</v>
      </c>
      <c r="Y584" s="2">
        <v>13</v>
      </c>
      <c r="Z584" s="2">
        <f>VLOOKUP(E584,YieldData!T:U,2,FALSE)</f>
        <v>1782.9894094993581</v>
      </c>
      <c r="AA584">
        <f t="shared" si="18"/>
        <v>0.52055802064242296</v>
      </c>
    </row>
    <row r="585" spans="1:27" hidden="1" x14ac:dyDescent="0.25">
      <c r="A585">
        <v>118</v>
      </c>
      <c r="B585">
        <v>302</v>
      </c>
      <c r="C585" t="s">
        <v>23</v>
      </c>
      <c r="D585">
        <v>25110</v>
      </c>
      <c r="E585">
        <f t="shared" si="19"/>
        <v>25110302</v>
      </c>
      <c r="F585">
        <f>VLOOKUP(E585,YieldData!D:F,2,FALSE)</f>
        <v>2</v>
      </c>
      <c r="G585">
        <f>VLOOKUP($E585,YieldData!$D:$F,3,FALSE)</f>
        <v>1</v>
      </c>
      <c r="H585">
        <v>23</v>
      </c>
      <c r="I585" t="s">
        <v>24</v>
      </c>
      <c r="J585" t="s">
        <v>25</v>
      </c>
      <c r="K585" s="2">
        <v>5315.9122083079201</v>
      </c>
      <c r="L585" s="2">
        <v>113639566.121372</v>
      </c>
      <c r="M585" s="3">
        <v>16624.997172784701</v>
      </c>
      <c r="N585" s="3">
        <v>51942306.974234499</v>
      </c>
      <c r="O585" s="4">
        <v>0.45707250556141299</v>
      </c>
      <c r="P585" s="4">
        <v>4.4887383305776598E-3</v>
      </c>
      <c r="Q585" s="5">
        <v>0.12462099285113799</v>
      </c>
      <c r="R585" s="5">
        <v>1.2770456725706601E-3</v>
      </c>
      <c r="S585" s="6">
        <v>0.39350894325281999</v>
      </c>
      <c r="T585" s="6">
        <v>2.5202228227240098E-2</v>
      </c>
      <c r="U585" s="7">
        <v>0.188799980862846</v>
      </c>
      <c r="V585" s="7">
        <v>0.15315454808904899</v>
      </c>
      <c r="W585" s="8">
        <v>0.673794489092997</v>
      </c>
      <c r="X585" s="8">
        <v>0.219795475561161</v>
      </c>
      <c r="Y585" s="2">
        <v>25</v>
      </c>
      <c r="Z585" s="2">
        <f>VLOOKUP(E585,YieldData!T:U,2,FALSE)</f>
        <v>1480.0224646983313</v>
      </c>
      <c r="AA585">
        <f t="shared" si="18"/>
        <v>0.51252795617906299</v>
      </c>
    </row>
    <row r="586" spans="1:27" hidden="1" x14ac:dyDescent="0.25">
      <c r="A586">
        <v>119</v>
      </c>
      <c r="B586">
        <v>303</v>
      </c>
      <c r="C586" t="s">
        <v>23</v>
      </c>
      <c r="D586">
        <v>25110</v>
      </c>
      <c r="E586">
        <f t="shared" si="19"/>
        <v>25110303</v>
      </c>
      <c r="F586">
        <f>VLOOKUP(E586,YieldData!D:F,2,FALSE)</f>
        <v>3</v>
      </c>
      <c r="G586">
        <f>VLOOKUP($E586,YieldData!$D:$F,3,FALSE)</f>
        <v>1</v>
      </c>
      <c r="H586">
        <v>23</v>
      </c>
      <c r="I586" t="s">
        <v>24</v>
      </c>
      <c r="J586" t="s">
        <v>25</v>
      </c>
      <c r="K586" s="2">
        <v>8609.5085258525905</v>
      </c>
      <c r="L586" s="2">
        <v>194960545.875029</v>
      </c>
      <c r="M586" s="3">
        <v>12841.831359971</v>
      </c>
      <c r="N586" s="3">
        <v>78057020.100459799</v>
      </c>
      <c r="O586" s="4">
        <v>0.51255134599350205</v>
      </c>
      <c r="P586" s="4">
        <v>5.8970346268419696E-3</v>
      </c>
      <c r="Q586" s="5">
        <v>0.14099908561322499</v>
      </c>
      <c r="R586" s="5">
        <v>1.4160359475033999E-3</v>
      </c>
      <c r="S586" s="6">
        <v>0.470550344391575</v>
      </c>
      <c r="T586" s="6">
        <v>3.39952140761971E-2</v>
      </c>
      <c r="U586" s="7">
        <v>0.31133113311331101</v>
      </c>
      <c r="V586" s="7">
        <v>0.214404058667924</v>
      </c>
      <c r="W586" s="8">
        <v>0.40279655036302497</v>
      </c>
      <c r="X586" s="8">
        <v>0.24055148937864701</v>
      </c>
      <c r="Y586" s="2">
        <v>12</v>
      </c>
      <c r="Z586" s="2">
        <f>VLOOKUP(E586,YieldData!T:U,2,FALSE)</f>
        <v>1611.0173299101414</v>
      </c>
      <c r="AA586">
        <f t="shared" si="18"/>
        <v>0.61807200095682302</v>
      </c>
    </row>
    <row r="587" spans="1:27" hidden="1" x14ac:dyDescent="0.25">
      <c r="A587">
        <v>120</v>
      </c>
      <c r="B587">
        <v>304</v>
      </c>
      <c r="C587" t="s">
        <v>23</v>
      </c>
      <c r="D587">
        <v>25110</v>
      </c>
      <c r="E587">
        <f t="shared" si="19"/>
        <v>25110304</v>
      </c>
      <c r="F587">
        <f>VLOOKUP(E587,YieldData!D:F,2,FALSE)</f>
        <v>4</v>
      </c>
      <c r="G587">
        <f>VLOOKUP($E587,YieldData!$D:$F,3,FALSE)</f>
        <v>1</v>
      </c>
      <c r="H587">
        <v>23</v>
      </c>
      <c r="I587" t="s">
        <v>24</v>
      </c>
      <c r="J587" t="s">
        <v>25</v>
      </c>
      <c r="K587" s="2">
        <v>8154.64126547455</v>
      </c>
      <c r="L587" s="2">
        <v>176912720.03572401</v>
      </c>
      <c r="M587" s="3">
        <v>13327.119373919701</v>
      </c>
      <c r="N587" s="3">
        <v>82436423.634433001</v>
      </c>
      <c r="O587" s="4">
        <v>0.541341577853236</v>
      </c>
      <c r="P587" s="4">
        <v>7.0016697902475604E-3</v>
      </c>
      <c r="Q587" s="5">
        <v>0.15559317302131101</v>
      </c>
      <c r="R587" s="5">
        <v>1.83132365383318E-3</v>
      </c>
      <c r="S587" s="6">
        <v>0.468683468032978</v>
      </c>
      <c r="T587" s="6">
        <v>4.5467957229655499E-2</v>
      </c>
      <c r="U587" s="7">
        <v>0.32298307517493002</v>
      </c>
      <c r="V587" s="7">
        <v>0.21866500832531499</v>
      </c>
      <c r="W587" s="8">
        <v>0.88734483006051301</v>
      </c>
      <c r="X587" s="8">
        <v>9.9963982625329795E-2</v>
      </c>
      <c r="Y587" s="2">
        <v>59</v>
      </c>
      <c r="Z587" s="2">
        <f>VLOOKUP(E587,YieldData!T:U,2,FALSE)</f>
        <v>1064.6341463414635</v>
      </c>
      <c r="AA587">
        <f t="shared" si="18"/>
        <v>0.569009030560373</v>
      </c>
    </row>
    <row r="588" spans="1:27" hidden="1" x14ac:dyDescent="0.25">
      <c r="A588">
        <v>121</v>
      </c>
      <c r="B588">
        <v>305</v>
      </c>
      <c r="C588" t="s">
        <v>23</v>
      </c>
      <c r="D588">
        <v>25110</v>
      </c>
      <c r="E588">
        <f t="shared" si="19"/>
        <v>25110305</v>
      </c>
      <c r="F588">
        <f>VLOOKUP(E588,YieldData!D:F,2,FALSE)</f>
        <v>5</v>
      </c>
      <c r="G588">
        <f>VLOOKUP($E588,YieldData!$D:$F,3,FALSE)</f>
        <v>1</v>
      </c>
      <c r="H588">
        <v>23</v>
      </c>
      <c r="I588" t="s">
        <v>24</v>
      </c>
      <c r="J588" t="s">
        <v>25</v>
      </c>
      <c r="K588" s="2">
        <v>7745.3971939141702</v>
      </c>
      <c r="L588" s="2">
        <v>174611766.19900101</v>
      </c>
      <c r="M588" s="3">
        <v>13014.7473163209</v>
      </c>
      <c r="N588" s="3">
        <v>78283312.949455202</v>
      </c>
      <c r="O588" s="4">
        <v>0.54055530251015005</v>
      </c>
      <c r="P588" s="4">
        <v>6.2556571996581602E-3</v>
      </c>
      <c r="Q588" s="5">
        <v>0.15819314377479701</v>
      </c>
      <c r="R588" s="5">
        <v>2.04440738950934E-3</v>
      </c>
      <c r="S588" s="6">
        <v>0.45642330479408</v>
      </c>
      <c r="T588" s="6">
        <v>3.8126275894940102E-2</v>
      </c>
      <c r="U588" s="7">
        <v>0.287067604420841</v>
      </c>
      <c r="V588" s="7">
        <v>0.204659794912953</v>
      </c>
      <c r="W588" s="8">
        <v>0.81324897744396896</v>
      </c>
      <c r="X588" s="8">
        <v>0.15187507813041801</v>
      </c>
      <c r="Y588" s="2">
        <v>63</v>
      </c>
      <c r="Z588" s="2">
        <f>VLOOKUP(E588,YieldData!T:U,2,FALSE)</f>
        <v>1594.5442875481385</v>
      </c>
      <c r="AA588">
        <f t="shared" si="18"/>
        <v>0.53438191495723897</v>
      </c>
    </row>
    <row r="589" spans="1:27" hidden="1" x14ac:dyDescent="0.25">
      <c r="A589">
        <v>122</v>
      </c>
      <c r="B589">
        <v>306</v>
      </c>
      <c r="C589" t="s">
        <v>23</v>
      </c>
      <c r="D589">
        <v>25110</v>
      </c>
      <c r="E589">
        <f t="shared" si="19"/>
        <v>25110306</v>
      </c>
      <c r="F589">
        <f>VLOOKUP(E589,YieldData!D:F,2,FALSE)</f>
        <v>6</v>
      </c>
      <c r="G589">
        <f>VLOOKUP($E589,YieldData!$D:$F,3,FALSE)</f>
        <v>1</v>
      </c>
      <c r="H589">
        <v>23</v>
      </c>
      <c r="I589" t="s">
        <v>24</v>
      </c>
      <c r="J589" t="s">
        <v>25</v>
      </c>
      <c r="K589" s="2">
        <v>3709.9991269509101</v>
      </c>
      <c r="L589" s="2">
        <v>89395783.270094797</v>
      </c>
      <c r="M589" s="3">
        <v>14936.0537694989</v>
      </c>
      <c r="N589" s="3">
        <v>48522979.209199898</v>
      </c>
      <c r="O589" s="4">
        <v>0.48601775828844501</v>
      </c>
      <c r="P589" s="4">
        <v>5.8461904359904601E-3</v>
      </c>
      <c r="Q589" s="5">
        <v>0.14735296591105099</v>
      </c>
      <c r="R589" s="5">
        <v>1.69142507181894E-3</v>
      </c>
      <c r="S589" s="6">
        <v>0.38272423959436702</v>
      </c>
      <c r="T589" s="6">
        <v>2.40617142142465E-2</v>
      </c>
      <c r="U589" s="7">
        <v>0.15956467141063199</v>
      </c>
      <c r="V589" s="7">
        <v>0.13410378704832099</v>
      </c>
      <c r="W589" s="8">
        <v>0.81957998469192495</v>
      </c>
      <c r="X589" s="8">
        <v>0.14786863338445899</v>
      </c>
      <c r="Y589" s="2">
        <v>54</v>
      </c>
      <c r="Z589" s="2">
        <f>VLOOKUP(E589,YieldData!T:U,2,FALSE)</f>
        <v>875.55519897304237</v>
      </c>
      <c r="AA589">
        <f t="shared" si="18"/>
        <v>0.44526830668404699</v>
      </c>
    </row>
    <row r="590" spans="1:27" hidden="1" x14ac:dyDescent="0.25">
      <c r="A590">
        <v>123</v>
      </c>
      <c r="B590">
        <v>307</v>
      </c>
      <c r="C590" t="s">
        <v>23</v>
      </c>
      <c r="D590">
        <v>25110</v>
      </c>
      <c r="E590">
        <f t="shared" si="19"/>
        <v>25110307</v>
      </c>
      <c r="F590">
        <f>VLOOKUP(E590,YieldData!D:F,2,FALSE)</f>
        <v>7</v>
      </c>
      <c r="G590">
        <f>VLOOKUP($E590,YieldData!$D:$F,3,FALSE)</f>
        <v>1</v>
      </c>
      <c r="H590">
        <v>23</v>
      </c>
      <c r="I590" t="s">
        <v>24</v>
      </c>
      <c r="J590" t="s">
        <v>25</v>
      </c>
      <c r="K590" s="2">
        <v>5491.1564817029403</v>
      </c>
      <c r="L590" s="2">
        <v>129940206.859069</v>
      </c>
      <c r="M590" s="3">
        <v>13452.5592300465</v>
      </c>
      <c r="N590" s="3">
        <v>58171581.240570702</v>
      </c>
      <c r="O590" s="4">
        <v>0.47956622619519601</v>
      </c>
      <c r="P590" s="4">
        <v>6.2650891401737803E-3</v>
      </c>
      <c r="Q590" s="5">
        <v>0.13802780208663101</v>
      </c>
      <c r="R590" s="5">
        <v>1.6825132159313499E-3</v>
      </c>
      <c r="S590" s="6">
        <v>0.412261286776542</v>
      </c>
      <c r="T590" s="6">
        <v>2.9524517331377498E-2</v>
      </c>
      <c r="U590" s="7">
        <v>0.21901458981104999</v>
      </c>
      <c r="V590" s="7">
        <v>0.17104719926096401</v>
      </c>
      <c r="W590" s="8">
        <v>0.56379033994402095</v>
      </c>
      <c r="X590" s="8">
        <v>0.245930792529829</v>
      </c>
      <c r="Y590" s="2">
        <v>19</v>
      </c>
      <c r="Z590" s="2">
        <f>VLOOKUP(E590,YieldData!T:U,2,FALSE)</f>
        <v>1489.1415275994866</v>
      </c>
      <c r="AA590">
        <f t="shared" si="18"/>
        <v>0.48000382701875199</v>
      </c>
    </row>
    <row r="591" spans="1:27" hidden="1" x14ac:dyDescent="0.25">
      <c r="A591">
        <v>124</v>
      </c>
      <c r="B591">
        <v>308</v>
      </c>
      <c r="C591" t="s">
        <v>23</v>
      </c>
      <c r="D591">
        <v>25110</v>
      </c>
      <c r="E591">
        <f t="shared" si="19"/>
        <v>25110308</v>
      </c>
      <c r="F591">
        <f>VLOOKUP(E591,YieldData!D:F,2,FALSE)</f>
        <v>8</v>
      </c>
      <c r="G591">
        <f>VLOOKUP($E591,YieldData!$D:$F,3,FALSE)</f>
        <v>1</v>
      </c>
      <c r="H591">
        <v>23</v>
      </c>
      <c r="I591" t="s">
        <v>24</v>
      </c>
      <c r="J591" t="s">
        <v>25</v>
      </c>
      <c r="K591" s="2">
        <v>9324.1306422676698</v>
      </c>
      <c r="L591" s="2">
        <v>240314611.02513599</v>
      </c>
      <c r="M591" s="3">
        <v>12390.882348403</v>
      </c>
      <c r="N591" s="3">
        <v>70004971.535695598</v>
      </c>
      <c r="O591" s="4">
        <v>0.495143822839266</v>
      </c>
      <c r="P591" s="4">
        <v>5.2369095785158E-3</v>
      </c>
      <c r="Q591" s="5">
        <v>0.13852651213049599</v>
      </c>
      <c r="R591" s="5">
        <v>1.8879462335263601E-3</v>
      </c>
      <c r="S591" s="6">
        <v>0.46007061207473399</v>
      </c>
      <c r="T591" s="6">
        <v>3.5274793007338802E-2</v>
      </c>
      <c r="U591" s="7">
        <v>0.30529840928118601</v>
      </c>
      <c r="V591" s="7">
        <v>0.21209129057128601</v>
      </c>
      <c r="W591" s="8">
        <v>0.64613452914798197</v>
      </c>
      <c r="X591" s="8">
        <v>0.22864469939026799</v>
      </c>
      <c r="Y591" s="2">
        <v>53</v>
      </c>
      <c r="Z591" s="2">
        <f>VLOOKUP(E591,YieldData!T:U,2,FALSE)</f>
        <v>1340.4685494223365</v>
      </c>
      <c r="AA591">
        <f t="shared" si="18"/>
        <v>0.50702018752391897</v>
      </c>
    </row>
    <row r="592" spans="1:27" hidden="1" x14ac:dyDescent="0.25">
      <c r="A592">
        <v>125</v>
      </c>
      <c r="B592">
        <v>309</v>
      </c>
      <c r="C592" t="s">
        <v>23</v>
      </c>
      <c r="D592">
        <v>25110</v>
      </c>
      <c r="E592">
        <f t="shared" si="19"/>
        <v>25110309</v>
      </c>
      <c r="F592">
        <f>VLOOKUP(E592,YieldData!D:F,2,FALSE)</f>
        <v>9</v>
      </c>
      <c r="G592">
        <f>VLOOKUP($E592,YieldData!$D:$F,3,FALSE)</f>
        <v>1</v>
      </c>
      <c r="H592">
        <v>23</v>
      </c>
      <c r="I592" t="s">
        <v>24</v>
      </c>
      <c r="J592" t="s">
        <v>25</v>
      </c>
      <c r="K592" s="2">
        <v>3474.5821393546498</v>
      </c>
      <c r="L592" s="2">
        <v>95451564.3799043</v>
      </c>
      <c r="M592" s="3">
        <v>14614.1318695751</v>
      </c>
      <c r="N592" s="3">
        <v>41595133.944257297</v>
      </c>
      <c r="O592" s="4">
        <v>0.48294377882359502</v>
      </c>
      <c r="P592" s="4">
        <v>4.6576759637850396E-3</v>
      </c>
      <c r="Q592" s="5">
        <v>0.150556825669384</v>
      </c>
      <c r="R592" s="5">
        <v>1.4040685742734899E-3</v>
      </c>
      <c r="S592" s="6">
        <v>0.39368868123127898</v>
      </c>
      <c r="T592" s="6">
        <v>1.8723045218495799E-2</v>
      </c>
      <c r="U592" s="7">
        <v>0.146410888128782</v>
      </c>
      <c r="V592" s="7">
        <v>0.124974739966301</v>
      </c>
      <c r="W592" s="8">
        <v>0.85745207543559598</v>
      </c>
      <c r="X592" s="8">
        <v>0.122228013766852</v>
      </c>
      <c r="Y592" s="2">
        <v>54</v>
      </c>
      <c r="Z592" s="2">
        <f>VLOOKUP(E592,YieldData!T:U,2,FALSE)</f>
        <v>1535.1412066752248</v>
      </c>
      <c r="AA592">
        <f t="shared" si="18"/>
        <v>0.30382214355760701</v>
      </c>
    </row>
    <row r="593" spans="1:27" hidden="1" x14ac:dyDescent="0.25">
      <c r="A593">
        <v>126</v>
      </c>
      <c r="B593">
        <v>310</v>
      </c>
      <c r="C593" t="s">
        <v>23</v>
      </c>
      <c r="D593">
        <v>25110</v>
      </c>
      <c r="E593">
        <f t="shared" si="19"/>
        <v>25110310</v>
      </c>
      <c r="F593">
        <f>VLOOKUP(E593,YieldData!D:F,2,FALSE)</f>
        <v>10</v>
      </c>
      <c r="G593">
        <f>VLOOKUP($E593,YieldData!$D:$F,3,FALSE)</f>
        <v>1</v>
      </c>
      <c r="H593">
        <v>23</v>
      </c>
      <c r="I593" t="s">
        <v>24</v>
      </c>
      <c r="J593" t="s">
        <v>25</v>
      </c>
      <c r="K593" s="2">
        <v>10256.980206427201</v>
      </c>
      <c r="L593" s="2">
        <v>251117680.885986</v>
      </c>
      <c r="M593" s="3">
        <v>12267.1116861094</v>
      </c>
      <c r="N593" s="3">
        <v>79046415.692941606</v>
      </c>
      <c r="O593" s="4">
        <v>0.49874494580942202</v>
      </c>
      <c r="P593" s="4">
        <v>5.6547333851717299E-3</v>
      </c>
      <c r="Q593" s="5">
        <v>0.14269222458903499</v>
      </c>
      <c r="R593" s="5">
        <v>2.1035231643603998E-3</v>
      </c>
      <c r="S593" s="6">
        <v>0.46572032509657402</v>
      </c>
      <c r="T593" s="6">
        <v>3.7452020756097902E-2</v>
      </c>
      <c r="U593" s="7">
        <v>0.32195950390489497</v>
      </c>
      <c r="V593" s="7">
        <v>0.218301581750215</v>
      </c>
      <c r="W593" s="8">
        <v>0.80002152878278698</v>
      </c>
      <c r="X593" s="8">
        <v>0.15998708226695699</v>
      </c>
      <c r="Y593" s="2">
        <v>41</v>
      </c>
      <c r="Z593" s="2">
        <f>VLOOKUP(E593,YieldData!T:U,2,FALSE)</f>
        <v>1065.8279845956356</v>
      </c>
      <c r="AA593">
        <f t="shared" si="18"/>
        <v>0.59022628330861604</v>
      </c>
    </row>
    <row r="594" spans="1:27" hidden="1" x14ac:dyDescent="0.25">
      <c r="A594">
        <v>127</v>
      </c>
      <c r="B594">
        <v>311</v>
      </c>
      <c r="C594" t="s">
        <v>23</v>
      </c>
      <c r="D594">
        <v>25110</v>
      </c>
      <c r="E594">
        <f t="shared" si="19"/>
        <v>25110311</v>
      </c>
      <c r="F594">
        <f>VLOOKUP(E594,YieldData!D:F,2,FALSE)</f>
        <v>11</v>
      </c>
      <c r="G594">
        <f>VLOOKUP($E594,YieldData!$D:$F,3,FALSE)</f>
        <v>1</v>
      </c>
      <c r="H594">
        <v>23</v>
      </c>
      <c r="I594" t="s">
        <v>24</v>
      </c>
      <c r="J594" t="s">
        <v>25</v>
      </c>
      <c r="K594" s="2">
        <v>10401.646587074099</v>
      </c>
      <c r="L594" s="2">
        <v>261732872.99206501</v>
      </c>
      <c r="M594" s="3">
        <v>11503.030014775</v>
      </c>
      <c r="N594" s="3">
        <v>77085374.935224801</v>
      </c>
      <c r="O594" s="4">
        <v>0.51752265111622897</v>
      </c>
      <c r="P594" s="4">
        <v>5.1204316616192203E-3</v>
      </c>
      <c r="Q594" s="5">
        <v>0.14702646267063199</v>
      </c>
      <c r="R594" s="5">
        <v>1.7627246154521699E-3</v>
      </c>
      <c r="S594" s="6">
        <v>0.47469034301866703</v>
      </c>
      <c r="T594" s="6">
        <v>3.5579418285432603E-2</v>
      </c>
      <c r="U594" s="7">
        <v>0.31614471822041601</v>
      </c>
      <c r="V594" s="7">
        <v>0.21619723536193799</v>
      </c>
      <c r="W594" s="8">
        <v>0.77012411990999496</v>
      </c>
      <c r="X594" s="8">
        <v>0.17703295984307499</v>
      </c>
      <c r="Y594" s="2">
        <v>47</v>
      </c>
      <c r="Z594" s="2">
        <f>VLOOKUP(E594,YieldData!T:U,2,FALSE)</f>
        <v>854.77695763799738</v>
      </c>
      <c r="AA594">
        <f t="shared" si="18"/>
        <v>0.44120778089615798</v>
      </c>
    </row>
    <row r="595" spans="1:27" hidden="1" x14ac:dyDescent="0.25">
      <c r="A595">
        <v>128</v>
      </c>
      <c r="B595">
        <v>312</v>
      </c>
      <c r="C595" t="s">
        <v>23</v>
      </c>
      <c r="D595">
        <v>25110</v>
      </c>
      <c r="E595">
        <f t="shared" si="19"/>
        <v>25110312</v>
      </c>
      <c r="F595">
        <f>VLOOKUP(E595,YieldData!D:F,2,FALSE)</f>
        <v>12</v>
      </c>
      <c r="G595">
        <f>VLOOKUP($E595,YieldData!$D:$F,3,FALSE)</f>
        <v>1</v>
      </c>
      <c r="H595">
        <v>23</v>
      </c>
      <c r="I595" t="s">
        <v>24</v>
      </c>
      <c r="J595" t="s">
        <v>25</v>
      </c>
      <c r="K595" s="2">
        <v>7087.87856245889</v>
      </c>
      <c r="L595" s="2">
        <v>173339685.922849</v>
      </c>
      <c r="M595" s="3">
        <v>12792.1050387265</v>
      </c>
      <c r="N595" s="3">
        <v>62393832.935579598</v>
      </c>
      <c r="O595" s="4">
        <v>0.51835734530145505</v>
      </c>
      <c r="P595" s="4">
        <v>5.2501563759017001E-3</v>
      </c>
      <c r="Q595" s="5">
        <v>0.14940209848406499</v>
      </c>
      <c r="R595" s="5">
        <v>1.6613612410919501E-3</v>
      </c>
      <c r="S595" s="6">
        <v>0.43216524409676099</v>
      </c>
      <c r="T595" s="6">
        <v>2.87079307136257E-2</v>
      </c>
      <c r="U595" s="7">
        <v>0.223452729773366</v>
      </c>
      <c r="V595" s="7">
        <v>0.17352160733011199</v>
      </c>
      <c r="W595" s="8">
        <v>0.78782768848067397</v>
      </c>
      <c r="X595" s="8">
        <v>0.16715522174356201</v>
      </c>
      <c r="Y595" s="2">
        <v>56</v>
      </c>
      <c r="Z595" s="2">
        <f>VLOOKUP(E595,YieldData!T:U,2,FALSE)</f>
        <v>1500.4236200256737</v>
      </c>
      <c r="AA595">
        <f t="shared" si="18"/>
        <v>0.35516668062150902</v>
      </c>
    </row>
    <row r="596" spans="1:27" hidden="1" x14ac:dyDescent="0.25">
      <c r="A596">
        <v>129</v>
      </c>
      <c r="B596">
        <v>401</v>
      </c>
      <c r="C596" t="s">
        <v>23</v>
      </c>
      <c r="D596">
        <v>25110</v>
      </c>
      <c r="E596">
        <f t="shared" si="19"/>
        <v>25110401</v>
      </c>
      <c r="F596">
        <f>VLOOKUP(E596,YieldData!D:F,2,FALSE)</f>
        <v>3</v>
      </c>
      <c r="G596">
        <f>VLOOKUP($E596,YieldData!$D:$F,3,FALSE)</f>
        <v>2</v>
      </c>
      <c r="H596">
        <v>23</v>
      </c>
      <c r="I596" t="s">
        <v>24</v>
      </c>
      <c r="J596" t="s">
        <v>25</v>
      </c>
      <c r="K596" s="2">
        <v>9311.4255217365298</v>
      </c>
      <c r="L596" s="2">
        <v>182771634.83164299</v>
      </c>
      <c r="M596" s="3">
        <v>14181.5844953085</v>
      </c>
      <c r="N596" s="3">
        <v>101861205.788625</v>
      </c>
      <c r="O596" s="4">
        <v>0.551757901266831</v>
      </c>
      <c r="P596" s="4">
        <v>7.3755497931269403E-3</v>
      </c>
      <c r="Q596" s="5">
        <v>0.18287028032046199</v>
      </c>
      <c r="R596" s="5">
        <v>1.72840178349435E-3</v>
      </c>
      <c r="S596" s="6">
        <v>0.45199171419283901</v>
      </c>
      <c r="T596" s="6">
        <v>4.6277201141918099E-2</v>
      </c>
      <c r="U596" s="7">
        <v>0.30487352747712698</v>
      </c>
      <c r="V596" s="7">
        <v>0.211925659721027</v>
      </c>
      <c r="W596" s="8">
        <v>0.48110409491006501</v>
      </c>
      <c r="X596" s="8">
        <v>0.249642944770677</v>
      </c>
      <c r="Y596" s="2">
        <v>18</v>
      </c>
      <c r="Z596" s="2">
        <f>VLOOKUP(E596,YieldData!T:U,2,FALSE)</f>
        <v>1017.8177150192552</v>
      </c>
      <c r="AA596">
        <f t="shared" si="18"/>
        <v>0.456787465614161</v>
      </c>
    </row>
    <row r="597" spans="1:27" hidden="1" x14ac:dyDescent="0.25">
      <c r="A597">
        <v>130</v>
      </c>
      <c r="B597">
        <v>402</v>
      </c>
      <c r="C597" t="s">
        <v>23</v>
      </c>
      <c r="D597">
        <v>25110</v>
      </c>
      <c r="E597">
        <f t="shared" si="19"/>
        <v>25110402</v>
      </c>
      <c r="F597">
        <f>VLOOKUP(E597,YieldData!D:F,2,FALSE)</f>
        <v>15</v>
      </c>
      <c r="G597">
        <f>VLOOKUP($E597,YieldData!$D:$F,3,FALSE)</f>
        <v>2</v>
      </c>
      <c r="H597">
        <v>23</v>
      </c>
      <c r="I597" t="s">
        <v>24</v>
      </c>
      <c r="J597" t="s">
        <v>25</v>
      </c>
      <c r="K597" s="2">
        <v>7144.5791532611902</v>
      </c>
      <c r="L597" s="2">
        <v>164490712.20749301</v>
      </c>
      <c r="M597" s="3">
        <v>14732.306426926199</v>
      </c>
      <c r="N597" s="3">
        <v>65636384.127639003</v>
      </c>
      <c r="O597" s="4">
        <v>0.53316555304771096</v>
      </c>
      <c r="P597" s="4">
        <v>4.7861882079296399E-3</v>
      </c>
      <c r="Q597" s="5">
        <v>0.17515107105133601</v>
      </c>
      <c r="R597" s="5">
        <v>1.57919662359748E-3</v>
      </c>
      <c r="S597" s="6">
        <v>0.43160594165240901</v>
      </c>
      <c r="T597" s="6">
        <v>3.1362468951145098E-2</v>
      </c>
      <c r="U597" s="7">
        <v>0.241432680120893</v>
      </c>
      <c r="V597" s="7">
        <v>0.18314294109062801</v>
      </c>
      <c r="W597" s="8">
        <v>0.66602883642701305</v>
      </c>
      <c r="X597" s="8">
        <v>0.22243442547491599</v>
      </c>
      <c r="Y597" s="2">
        <v>27</v>
      </c>
      <c r="Z597" s="2">
        <f>VLOOKUP(E597,YieldData!T:U,2,FALSE)</f>
        <v>894.42394094993597</v>
      </c>
      <c r="AA597">
        <f t="shared" si="18"/>
        <v>0.448570906210007</v>
      </c>
    </row>
    <row r="598" spans="1:27" hidden="1" x14ac:dyDescent="0.25">
      <c r="A598">
        <v>131</v>
      </c>
      <c r="B598">
        <v>403</v>
      </c>
      <c r="C598" t="s">
        <v>23</v>
      </c>
      <c r="D598">
        <v>25110</v>
      </c>
      <c r="E598">
        <f t="shared" si="19"/>
        <v>25110403</v>
      </c>
      <c r="F598">
        <f>VLOOKUP(E598,YieldData!D:F,2,FALSE)</f>
        <v>7</v>
      </c>
      <c r="G598">
        <f>VLOOKUP($E598,YieldData!$D:$F,3,FALSE)</f>
        <v>2</v>
      </c>
      <c r="H598">
        <v>23</v>
      </c>
      <c r="I598" t="s">
        <v>24</v>
      </c>
      <c r="J598" t="s">
        <v>25</v>
      </c>
      <c r="K598" s="2">
        <v>5998.0364895411003</v>
      </c>
      <c r="L598" s="2">
        <v>138203075.077914</v>
      </c>
      <c r="M598" s="3">
        <v>14022.6871429241</v>
      </c>
      <c r="N598" s="3">
        <v>63194432.205838703</v>
      </c>
      <c r="O598" s="4">
        <v>0.54844805882940995</v>
      </c>
      <c r="P598" s="4">
        <v>5.3847187672017901E-3</v>
      </c>
      <c r="Q598" s="5">
        <v>0.16528358996019499</v>
      </c>
      <c r="R598" s="5">
        <v>1.32127257011114E-3</v>
      </c>
      <c r="S598" s="6">
        <v>0.44780360414745402</v>
      </c>
      <c r="T598" s="6">
        <v>3.1082786532674201E-2</v>
      </c>
      <c r="U598" s="7">
        <v>0.255187590446462</v>
      </c>
      <c r="V598" s="7">
        <v>0.19006688412873099</v>
      </c>
      <c r="W598" s="8">
        <v>0.643960959739732</v>
      </c>
      <c r="X598" s="8">
        <v>0.229275242070892</v>
      </c>
      <c r="Y598" s="2">
        <v>27</v>
      </c>
      <c r="Z598" s="2">
        <f>VLOOKUP(E598,YieldData!T:U,2,FALSE)</f>
        <v>1357.461489088575</v>
      </c>
      <c r="AA598">
        <f t="shared" si="18"/>
        <v>0.53847349789513999</v>
      </c>
    </row>
    <row r="599" spans="1:27" hidden="1" x14ac:dyDescent="0.25">
      <c r="A599">
        <v>132</v>
      </c>
      <c r="B599">
        <v>404</v>
      </c>
      <c r="C599" t="s">
        <v>23</v>
      </c>
      <c r="D599">
        <v>25110</v>
      </c>
      <c r="E599">
        <f t="shared" si="19"/>
        <v>25110404</v>
      </c>
      <c r="F599">
        <f>VLOOKUP(E599,YieldData!D:F,2,FALSE)</f>
        <v>14</v>
      </c>
      <c r="G599">
        <f>VLOOKUP($E599,YieldData!$D:$F,3,FALSE)</f>
        <v>2</v>
      </c>
      <c r="H599">
        <v>23</v>
      </c>
      <c r="I599" t="s">
        <v>24</v>
      </c>
      <c r="J599" t="s">
        <v>25</v>
      </c>
      <c r="K599" s="2">
        <v>7797.3286850445502</v>
      </c>
      <c r="L599" s="2">
        <v>190844318.104691</v>
      </c>
      <c r="M599" s="3">
        <v>13957.9150867117</v>
      </c>
      <c r="N599" s="3">
        <v>81065954.461289003</v>
      </c>
      <c r="O599" s="4">
        <v>0.53935747011584401</v>
      </c>
      <c r="P599" s="4">
        <v>5.8786492194946296E-3</v>
      </c>
      <c r="Q599" s="5">
        <v>0.13659514149916499</v>
      </c>
      <c r="R599" s="5">
        <v>2.2431883041430498E-3</v>
      </c>
      <c r="S599" s="6">
        <v>0.46588470545163901</v>
      </c>
      <c r="T599" s="6">
        <v>3.5608568823705999E-2</v>
      </c>
      <c r="U599" s="7">
        <v>0.28753214136219601</v>
      </c>
      <c r="V599" s="7">
        <v>0.20485740904594699</v>
      </c>
      <c r="W599" s="8">
        <v>0.87041953693073104</v>
      </c>
      <c r="X599" s="8">
        <v>0.112789366660017</v>
      </c>
      <c r="Y599" s="2">
        <v>56</v>
      </c>
      <c r="Z599" s="2">
        <f>VLOOKUP(E599,YieldData!T:U,2,FALSE)</f>
        <v>1325.8616816431324</v>
      </c>
      <c r="AA599">
        <f t="shared" si="18"/>
        <v>0.53480834778448805</v>
      </c>
    </row>
    <row r="600" spans="1:27" hidden="1" x14ac:dyDescent="0.25">
      <c r="A600">
        <v>133</v>
      </c>
      <c r="B600">
        <v>405</v>
      </c>
      <c r="C600" t="s">
        <v>23</v>
      </c>
      <c r="D600">
        <v>25110</v>
      </c>
      <c r="E600">
        <f t="shared" si="19"/>
        <v>25110405</v>
      </c>
      <c r="F600">
        <f>VLOOKUP(E600,YieldData!D:F,2,FALSE)</f>
        <v>9</v>
      </c>
      <c r="G600">
        <f>VLOOKUP($E600,YieldData!$D:$F,3,FALSE)</f>
        <v>2</v>
      </c>
      <c r="H600">
        <v>23</v>
      </c>
      <c r="I600" t="s">
        <v>24</v>
      </c>
      <c r="J600" t="s">
        <v>25</v>
      </c>
      <c r="K600" s="2">
        <v>4596.2861841711801</v>
      </c>
      <c r="L600" s="2">
        <v>110938396.397305</v>
      </c>
      <c r="M600" s="3">
        <v>15245.351512672099</v>
      </c>
      <c r="N600" s="3">
        <v>55777669.479759097</v>
      </c>
      <c r="O600" s="4">
        <v>0.51152858258406597</v>
      </c>
      <c r="P600" s="4">
        <v>4.2480407742834601E-3</v>
      </c>
      <c r="Q600" s="5">
        <v>0.114525325911343</v>
      </c>
      <c r="R600" s="5">
        <v>1.6874299829503999E-3</v>
      </c>
      <c r="S600" s="6">
        <v>0.41654835944230201</v>
      </c>
      <c r="T600" s="6">
        <v>2.3394646756992401E-2</v>
      </c>
      <c r="U600" s="7">
        <v>0.188991352398723</v>
      </c>
      <c r="V600" s="7">
        <v>0.15327362111732101</v>
      </c>
      <c r="W600" s="8">
        <v>0.69209792969824502</v>
      </c>
      <c r="X600" s="8">
        <v>0.21309838540585099</v>
      </c>
      <c r="Y600" s="2">
        <v>34</v>
      </c>
      <c r="Z600" s="2">
        <f>VLOOKUP(E600,YieldData!T:U,2,FALSE)</f>
        <v>2104.1399229781773</v>
      </c>
      <c r="AA600">
        <f t="shared" si="18"/>
        <v>0.36840909090909102</v>
      </c>
    </row>
    <row r="601" spans="1:27" hidden="1" x14ac:dyDescent="0.25">
      <c r="A601">
        <v>134</v>
      </c>
      <c r="B601">
        <v>406</v>
      </c>
      <c r="C601" t="s">
        <v>23</v>
      </c>
      <c r="D601">
        <v>25110</v>
      </c>
      <c r="E601">
        <f t="shared" si="19"/>
        <v>25110406</v>
      </c>
      <c r="F601">
        <f>VLOOKUP(E601,YieldData!D:F,2,FALSE)</f>
        <v>8</v>
      </c>
      <c r="G601">
        <f>VLOOKUP($E601,YieldData!$D:$F,3,FALSE)</f>
        <v>2</v>
      </c>
      <c r="H601">
        <v>23</v>
      </c>
      <c r="I601" t="s">
        <v>24</v>
      </c>
      <c r="J601" t="s">
        <v>25</v>
      </c>
      <c r="K601" s="2">
        <v>8288.1796668495299</v>
      </c>
      <c r="L601" s="2">
        <v>210113971.67217201</v>
      </c>
      <c r="M601" s="3">
        <v>13171.587788106601</v>
      </c>
      <c r="N601" s="3">
        <v>80894350.384198606</v>
      </c>
      <c r="O601" s="4">
        <v>0.498453655642697</v>
      </c>
      <c r="P601" s="4">
        <v>6.4417190541367804E-3</v>
      </c>
      <c r="Q601" s="5">
        <v>0.122379730638444</v>
      </c>
      <c r="R601" s="5">
        <v>2.0047746442776598E-3</v>
      </c>
      <c r="S601" s="6">
        <v>0.45341089216233399</v>
      </c>
      <c r="T601" s="6">
        <v>3.6369224965450503E-2</v>
      </c>
      <c r="U601" s="7">
        <v>0.28644456635579302</v>
      </c>
      <c r="V601" s="7">
        <v>0.204394076761058</v>
      </c>
      <c r="W601" s="8">
        <v>0.65640974490686499</v>
      </c>
      <c r="X601" s="8">
        <v>0.22553599169827601</v>
      </c>
      <c r="Y601" s="2">
        <v>21</v>
      </c>
      <c r="Z601" s="2">
        <f>VLOOKUP(E601,YieldData!T:U,2,FALSE)</f>
        <v>1424.2105263157896</v>
      </c>
      <c r="AA601">
        <f t="shared" si="18"/>
        <v>0.442391372108971</v>
      </c>
    </row>
    <row r="602" spans="1:27" hidden="1" x14ac:dyDescent="0.25">
      <c r="A602">
        <v>135</v>
      </c>
      <c r="B602">
        <v>407</v>
      </c>
      <c r="C602" t="s">
        <v>23</v>
      </c>
      <c r="D602">
        <v>25110</v>
      </c>
      <c r="E602">
        <f t="shared" si="19"/>
        <v>25110407</v>
      </c>
      <c r="F602">
        <f>VLOOKUP(E602,YieldData!D:F,2,FALSE)</f>
        <v>11</v>
      </c>
      <c r="G602">
        <f>VLOOKUP($E602,YieldData!$D:$F,3,FALSE)</f>
        <v>2</v>
      </c>
      <c r="H602">
        <v>23</v>
      </c>
      <c r="I602" t="s">
        <v>24</v>
      </c>
      <c r="J602" t="s">
        <v>25</v>
      </c>
      <c r="K602" s="2">
        <v>10491.334170493699</v>
      </c>
      <c r="L602" s="2">
        <v>255835796.67590901</v>
      </c>
      <c r="M602" s="3">
        <v>12270.633199613299</v>
      </c>
      <c r="N602" s="3">
        <v>96754933.294733196</v>
      </c>
      <c r="O602" s="4">
        <v>0.49740522971588502</v>
      </c>
      <c r="P602" s="4">
        <v>5.95009791806894E-3</v>
      </c>
      <c r="Q602" s="5">
        <v>0.13164211065536</v>
      </c>
      <c r="R602" s="5">
        <v>1.7223645252885101E-3</v>
      </c>
      <c r="S602" s="6">
        <v>0.47535346158064801</v>
      </c>
      <c r="T602" s="6">
        <v>3.9800083307462097E-2</v>
      </c>
      <c r="U602" s="7">
        <v>0.32225889781859901</v>
      </c>
      <c r="V602" s="7">
        <v>0.21840810059517701</v>
      </c>
      <c r="W602" s="8">
        <v>0.52191539997847303</v>
      </c>
      <c r="X602" s="8">
        <v>0.24951971524373601</v>
      </c>
      <c r="Y602" s="2">
        <v>31</v>
      </c>
      <c r="Z602" s="2">
        <f>VLOOKUP(E602,YieldData!T:U,2,FALSE)</f>
        <v>1069.6983311938379</v>
      </c>
      <c r="AA602">
        <f t="shared" si="18"/>
        <v>0.54326923076923095</v>
      </c>
    </row>
    <row r="603" spans="1:27" hidden="1" x14ac:dyDescent="0.25">
      <c r="A603">
        <v>136</v>
      </c>
      <c r="B603">
        <v>408</v>
      </c>
      <c r="C603" t="s">
        <v>23</v>
      </c>
      <c r="D603">
        <v>25110</v>
      </c>
      <c r="E603">
        <f t="shared" si="19"/>
        <v>25110408</v>
      </c>
      <c r="H603">
        <v>23</v>
      </c>
      <c r="I603" t="s">
        <v>24</v>
      </c>
      <c r="J603" t="s">
        <v>25</v>
      </c>
      <c r="K603" s="2">
        <v>8073.3365767892201</v>
      </c>
      <c r="L603" s="2">
        <v>177144273.65435699</v>
      </c>
      <c r="M603" s="3">
        <v>13813.215859178101</v>
      </c>
      <c r="N603" s="3">
        <v>69860100.012079597</v>
      </c>
      <c r="O603" s="4">
        <v>0.486265063088615</v>
      </c>
      <c r="P603" s="4">
        <v>4.8475655620891797E-3</v>
      </c>
      <c r="Q603" s="5">
        <v>0.13299879996845901</v>
      </c>
      <c r="R603" s="5">
        <v>1.32277785481477E-3</v>
      </c>
      <c r="S603" s="6">
        <v>0.45227135555405801</v>
      </c>
      <c r="T603" s="6">
        <v>3.2497607390329197E-2</v>
      </c>
      <c r="U603" s="7">
        <v>0.28831031202206198</v>
      </c>
      <c r="V603" s="7">
        <v>0.20518747600395101</v>
      </c>
      <c r="W603" s="8">
        <v>0.56903569192235404</v>
      </c>
      <c r="X603" s="8">
        <v>0.24523407324077301</v>
      </c>
      <c r="Y603" s="2">
        <v>21</v>
      </c>
      <c r="Z603" s="2">
        <f>VLOOKUP(E603,YieldData!T:U,2,FALSE)</f>
        <v>0</v>
      </c>
      <c r="AA603">
        <f t="shared" si="18"/>
        <v>0.51172284238286203</v>
      </c>
    </row>
    <row r="604" spans="1:27" hidden="1" x14ac:dyDescent="0.25">
      <c r="A604">
        <v>137</v>
      </c>
      <c r="B604">
        <v>409</v>
      </c>
      <c r="C604" t="s">
        <v>23</v>
      </c>
      <c r="D604">
        <v>25110</v>
      </c>
      <c r="E604">
        <f t="shared" si="19"/>
        <v>25110409</v>
      </c>
      <c r="F604">
        <f>VLOOKUP(E604,YieldData!D:F,2,FALSE)</f>
        <v>10</v>
      </c>
      <c r="G604">
        <f>VLOOKUP($E604,YieldData!$D:$F,3,FALSE)</f>
        <v>2</v>
      </c>
      <c r="H604">
        <v>23</v>
      </c>
      <c r="I604" t="s">
        <v>24</v>
      </c>
      <c r="J604" t="s">
        <v>25</v>
      </c>
      <c r="K604" s="2">
        <v>6667.5344813153997</v>
      </c>
      <c r="L604" s="2">
        <v>179196321.69687</v>
      </c>
      <c r="M604" s="3">
        <v>13881.118677598801</v>
      </c>
      <c r="N604" s="3">
        <v>66303315.518685803</v>
      </c>
      <c r="O604" s="4">
        <v>0.462937063562674</v>
      </c>
      <c r="P604" s="4">
        <v>5.6375792367361101E-3</v>
      </c>
      <c r="Q604" s="5">
        <v>0.13552366877914601</v>
      </c>
      <c r="R604" s="5">
        <v>1.69932747422859E-3</v>
      </c>
      <c r="S604" s="6">
        <v>0.42233225942794</v>
      </c>
      <c r="T604" s="6">
        <v>2.980120862071E-2</v>
      </c>
      <c r="U604" s="7">
        <v>0.22703736920777301</v>
      </c>
      <c r="V604" s="7">
        <v>0.17549140219098799</v>
      </c>
      <c r="W604" s="8">
        <v>0.76389752667081301</v>
      </c>
      <c r="X604" s="8">
        <v>0.18035809541731601</v>
      </c>
      <c r="Y604" s="2">
        <v>52</v>
      </c>
      <c r="Z604" s="2">
        <f>VLOOKUP(E604,YieldData!T:U,2,FALSE)</f>
        <v>402.03947368421052</v>
      </c>
      <c r="AA604">
        <f t="shared" si="18"/>
        <v>0.47419659622307497</v>
      </c>
    </row>
    <row r="605" spans="1:27" hidden="1" x14ac:dyDescent="0.25">
      <c r="A605">
        <v>138</v>
      </c>
      <c r="B605">
        <v>410</v>
      </c>
      <c r="C605" t="s">
        <v>23</v>
      </c>
      <c r="D605">
        <v>25110</v>
      </c>
      <c r="E605">
        <f t="shared" si="19"/>
        <v>25110410</v>
      </c>
      <c r="F605">
        <f>VLOOKUP(E605,YieldData!D:F,2,FALSE)</f>
        <v>15</v>
      </c>
      <c r="G605">
        <f>VLOOKUP($E605,YieldData!$D:$F,3,FALSE)</f>
        <v>1</v>
      </c>
      <c r="H605">
        <v>23</v>
      </c>
      <c r="I605" t="s">
        <v>24</v>
      </c>
      <c r="J605" t="s">
        <v>25</v>
      </c>
      <c r="K605" s="2">
        <v>7554.5730175816298</v>
      </c>
      <c r="L605" s="2">
        <v>171921798.38058701</v>
      </c>
      <c r="M605" s="3">
        <v>13404.220522648</v>
      </c>
      <c r="N605" s="3">
        <v>64376994.130144201</v>
      </c>
      <c r="O605" s="4">
        <v>0.46858435779713697</v>
      </c>
      <c r="P605" s="4">
        <v>5.1949896258572997E-3</v>
      </c>
      <c r="Q605" s="5">
        <v>0.135038550625809</v>
      </c>
      <c r="R605" s="5">
        <v>1.6888318062063599E-3</v>
      </c>
      <c r="S605" s="6">
        <v>0.43457204206232802</v>
      </c>
      <c r="T605" s="6">
        <v>3.0688382530314501E-2</v>
      </c>
      <c r="U605" s="7">
        <v>0.25620141131443602</v>
      </c>
      <c r="V605" s="7">
        <v>0.19056224815512299</v>
      </c>
      <c r="W605" s="8">
        <v>0.80266934557979297</v>
      </c>
      <c r="X605" s="8">
        <v>0.15839126724618999</v>
      </c>
      <c r="Y605" s="2">
        <v>50</v>
      </c>
      <c r="Z605" s="2">
        <f>VLOOKUP(E605,YieldData!T:U,2,FALSE)</f>
        <v>837.17747111681626</v>
      </c>
      <c r="AA605">
        <f t="shared" si="18"/>
        <v>0.45241141791133999</v>
      </c>
    </row>
    <row r="606" spans="1:27" hidden="1" x14ac:dyDescent="0.25">
      <c r="A606">
        <v>139</v>
      </c>
      <c r="B606">
        <v>411</v>
      </c>
      <c r="C606" t="s">
        <v>23</v>
      </c>
      <c r="D606">
        <v>25110</v>
      </c>
      <c r="E606">
        <f t="shared" si="19"/>
        <v>25110411</v>
      </c>
      <c r="F606">
        <f>VLOOKUP(E606,YieldData!D:F,2,FALSE)</f>
        <v>14</v>
      </c>
      <c r="G606">
        <f>VLOOKUP($E606,YieldData!$D:$F,3,FALSE)</f>
        <v>1</v>
      </c>
      <c r="H606">
        <v>23</v>
      </c>
      <c r="I606" t="s">
        <v>24</v>
      </c>
      <c r="J606" t="s">
        <v>25</v>
      </c>
      <c r="K606" s="2">
        <v>10211.474637949301</v>
      </c>
      <c r="L606" s="2">
        <v>236897976.26645499</v>
      </c>
      <c r="M606" s="3">
        <v>12426.911904333199</v>
      </c>
      <c r="N606" s="3">
        <v>78781612.432521194</v>
      </c>
      <c r="O606" s="4">
        <v>0.49861659340280501</v>
      </c>
      <c r="P606" s="4">
        <v>4.9709970869077601E-3</v>
      </c>
      <c r="Q606" s="5">
        <v>0.13645354836455501</v>
      </c>
      <c r="R606" s="5">
        <v>1.44727749333485E-3</v>
      </c>
      <c r="S606" s="6">
        <v>0.453369118879481</v>
      </c>
      <c r="T606" s="6">
        <v>3.4921783750387903E-2</v>
      </c>
      <c r="U606" s="7">
        <v>0.28577948831816102</v>
      </c>
      <c r="V606" s="7">
        <v>0.20410957237503999</v>
      </c>
      <c r="W606" s="8">
        <v>0.65091523583974698</v>
      </c>
      <c r="X606" s="8">
        <v>0.22722459159129499</v>
      </c>
      <c r="Y606" s="2">
        <v>26</v>
      </c>
      <c r="Z606" s="2">
        <f>VLOOKUP(E606,YieldData!T:U,2,FALSE)</f>
        <v>231.2130937098845</v>
      </c>
      <c r="AA606">
        <f t="shared" si="18"/>
        <v>0.35523588630082897</v>
      </c>
    </row>
    <row r="607" spans="1:27" hidden="1" x14ac:dyDescent="0.25">
      <c r="A607">
        <v>140</v>
      </c>
      <c r="B607">
        <v>412</v>
      </c>
      <c r="C607" t="s">
        <v>23</v>
      </c>
      <c r="D607">
        <v>25110</v>
      </c>
      <c r="E607">
        <f t="shared" si="19"/>
        <v>25110412</v>
      </c>
      <c r="F607">
        <f>VLOOKUP(E607,YieldData!D:F,2,FALSE)</f>
        <v>13</v>
      </c>
      <c r="G607">
        <f>VLOOKUP($E607,YieldData!$D:$F,3,FALSE)</f>
        <v>1</v>
      </c>
      <c r="H607">
        <v>23</v>
      </c>
      <c r="I607" t="s">
        <v>24</v>
      </c>
      <c r="J607" t="s">
        <v>25</v>
      </c>
      <c r="K607" s="2">
        <v>7821.2676378075203</v>
      </c>
      <c r="L607" s="2">
        <v>189145529.18879801</v>
      </c>
      <c r="M607" s="3">
        <v>13470.348478695299</v>
      </c>
      <c r="N607" s="3">
        <v>77962426.980418593</v>
      </c>
      <c r="O607" s="4">
        <v>0.51340792931994705</v>
      </c>
      <c r="P607" s="4">
        <v>5.4177385667172201E-3</v>
      </c>
      <c r="Q607" s="5">
        <v>0.14264536888118301</v>
      </c>
      <c r="R607" s="5">
        <v>1.4643448261756199E-3</v>
      </c>
      <c r="S607" s="6">
        <v>0.42362421843347098</v>
      </c>
      <c r="T607" s="6">
        <v>3.2243993564754103E-2</v>
      </c>
      <c r="U607" s="7">
        <v>0.222692643488453</v>
      </c>
      <c r="V607" s="7">
        <v>0.17310063002434101</v>
      </c>
      <c r="W607" s="8">
        <v>0.489941394570027</v>
      </c>
      <c r="X607" s="8">
        <v>0.249898824456708</v>
      </c>
      <c r="Y607" s="2">
        <v>32</v>
      </c>
      <c r="Z607" s="2">
        <f>VLOOKUP(E607,YieldData!T:U,2,FALSE)</f>
        <v>646.25641848523742</v>
      </c>
      <c r="AA607">
        <f t="shared" si="18"/>
        <v>0.32691870686871299</v>
      </c>
    </row>
    <row r="608" spans="1:27" hidden="1" x14ac:dyDescent="0.25">
      <c r="A608">
        <v>141</v>
      </c>
      <c r="B608">
        <v>501</v>
      </c>
      <c r="C608" t="s">
        <v>23</v>
      </c>
      <c r="D608">
        <v>25110</v>
      </c>
      <c r="E608">
        <f t="shared" si="19"/>
        <v>25110501</v>
      </c>
      <c r="F608">
        <f>VLOOKUP(E608,YieldData!D:F,2,FALSE)</f>
        <v>2</v>
      </c>
      <c r="G608">
        <f>VLOOKUP($E608,YieldData!$D:$F,3,FALSE)</f>
        <v>2</v>
      </c>
      <c r="H608">
        <v>23</v>
      </c>
      <c r="I608" t="s">
        <v>24</v>
      </c>
      <c r="J608" t="s">
        <v>25</v>
      </c>
      <c r="K608" s="2">
        <v>8818.8522531572908</v>
      </c>
      <c r="L608" s="2">
        <v>166707233.80329999</v>
      </c>
      <c r="M608" s="3">
        <v>14890.386707916399</v>
      </c>
      <c r="N608" s="3">
        <v>80943731.265161902</v>
      </c>
      <c r="O608" s="4">
        <v>0.52413636551017995</v>
      </c>
      <c r="P608" s="4">
        <v>5.8188575092853797E-3</v>
      </c>
      <c r="Q608" s="5">
        <v>0.15594655885179801</v>
      </c>
      <c r="R608" s="5">
        <v>1.8403155189032599E-3</v>
      </c>
      <c r="S608" s="6">
        <v>0.438902932604674</v>
      </c>
      <c r="T608" s="6">
        <v>3.5016430810642603E-2</v>
      </c>
      <c r="U608" s="7">
        <v>0.27366771909682402</v>
      </c>
      <c r="V608" s="7">
        <v>0.19877369862121899</v>
      </c>
      <c r="W608" s="8">
        <v>0.80455219596210903</v>
      </c>
      <c r="X608" s="8">
        <v>0.15724795993434601</v>
      </c>
      <c r="Y608" s="2">
        <v>54</v>
      </c>
      <c r="Z608" s="2">
        <f>VLOOKUP(E608,YieldData!T:U,2,FALSE)</f>
        <v>1158.1290115532736</v>
      </c>
      <c r="AA608">
        <f t="shared" si="18"/>
        <v>0.38311944600590803</v>
      </c>
    </row>
    <row r="609" spans="1:27" hidden="1" x14ac:dyDescent="0.25">
      <c r="A609">
        <v>142</v>
      </c>
      <c r="B609">
        <v>502</v>
      </c>
      <c r="C609" t="s">
        <v>23</v>
      </c>
      <c r="D609">
        <v>25110</v>
      </c>
      <c r="E609">
        <f t="shared" si="19"/>
        <v>25110502</v>
      </c>
      <c r="F609">
        <f>VLOOKUP(E609,YieldData!D:F,2,FALSE)</f>
        <v>5</v>
      </c>
      <c r="G609">
        <f>VLOOKUP($E609,YieldData!$D:$F,3,FALSE)</f>
        <v>2</v>
      </c>
      <c r="H609">
        <v>23</v>
      </c>
      <c r="I609" t="s">
        <v>24</v>
      </c>
      <c r="J609" t="s">
        <v>25</v>
      </c>
      <c r="K609" s="2">
        <v>7479.6652992884101</v>
      </c>
      <c r="L609" s="2">
        <v>166253273.96490201</v>
      </c>
      <c r="M609" s="3">
        <v>14754.3841900733</v>
      </c>
      <c r="N609" s="3">
        <v>74267350.771510005</v>
      </c>
      <c r="O609" s="4">
        <v>0.54371678883208996</v>
      </c>
      <c r="P609" s="4">
        <v>5.1246496257359702E-3</v>
      </c>
      <c r="Q609" s="5">
        <v>0.17356203905649101</v>
      </c>
      <c r="R609" s="5">
        <v>1.5860228866122299E-3</v>
      </c>
      <c r="S609" s="6">
        <v>0.43280237801357402</v>
      </c>
      <c r="T609" s="6">
        <v>3.3813220635454402E-2</v>
      </c>
      <c r="U609" s="7">
        <v>0.24065060096872601</v>
      </c>
      <c r="V609" s="7">
        <v>0.18273788922220699</v>
      </c>
      <c r="W609" s="8">
        <v>0.48387212514800299</v>
      </c>
      <c r="X609" s="8">
        <v>0.249739891652937</v>
      </c>
      <c r="Y609" s="2">
        <v>17</v>
      </c>
      <c r="Z609" s="2">
        <f>VLOOKUP(E609,YieldData!T:U,2,FALSE)</f>
        <v>769.25866495507046</v>
      </c>
      <c r="AA609">
        <f t="shared" si="18"/>
        <v>0.42938299068326702</v>
      </c>
    </row>
    <row r="610" spans="1:27" hidden="1" x14ac:dyDescent="0.25">
      <c r="A610">
        <v>143</v>
      </c>
      <c r="B610">
        <v>503</v>
      </c>
      <c r="C610" t="s">
        <v>23</v>
      </c>
      <c r="D610">
        <v>25110</v>
      </c>
      <c r="E610">
        <f t="shared" si="19"/>
        <v>25110503</v>
      </c>
      <c r="F610">
        <f>VLOOKUP(E610,YieldData!D:F,2,FALSE)</f>
        <v>6</v>
      </c>
      <c r="G610">
        <f>VLOOKUP($E610,YieldData!$D:$F,3,FALSE)</f>
        <v>2</v>
      </c>
      <c r="H610">
        <v>23</v>
      </c>
      <c r="I610" t="s">
        <v>24</v>
      </c>
      <c r="J610" t="s">
        <v>25</v>
      </c>
      <c r="K610" s="2">
        <v>6807.5073859218901</v>
      </c>
      <c r="L610" s="2">
        <v>146947794.896056</v>
      </c>
      <c r="M610" s="3">
        <v>14009.0201309983</v>
      </c>
      <c r="N610" s="3">
        <v>70098754.1676725</v>
      </c>
      <c r="O610" s="4">
        <v>0.54376330481399104</v>
      </c>
      <c r="P610" s="4">
        <v>6.3690821261721403E-3</v>
      </c>
      <c r="Q610" s="5">
        <v>0.16461551318240999</v>
      </c>
      <c r="R610" s="5">
        <v>1.75910538446121E-3</v>
      </c>
      <c r="S610" s="6">
        <v>0.436591463271571</v>
      </c>
      <c r="T610" s="6">
        <v>4.0869636547315E-2</v>
      </c>
      <c r="U610" s="7">
        <v>0.26807009150170402</v>
      </c>
      <c r="V610" s="7">
        <v>0.19620851754369101</v>
      </c>
      <c r="W610" s="8">
        <v>0.73504334828101603</v>
      </c>
      <c r="X610" s="8">
        <v>0.19475462442859501</v>
      </c>
      <c r="Y610" s="2">
        <v>39</v>
      </c>
      <c r="Z610" s="2">
        <f>VLOOKUP(E610,YieldData!T:U,2,FALSE)</f>
        <v>712.86906290115519</v>
      </c>
      <c r="AA610">
        <f t="shared" si="18"/>
        <v>0.33415054174938402</v>
      </c>
    </row>
    <row r="611" spans="1:27" hidden="1" x14ac:dyDescent="0.25">
      <c r="A611">
        <v>144</v>
      </c>
      <c r="B611">
        <v>504</v>
      </c>
      <c r="C611" t="s">
        <v>23</v>
      </c>
      <c r="D611">
        <v>25110</v>
      </c>
      <c r="E611">
        <f t="shared" si="19"/>
        <v>25110504</v>
      </c>
      <c r="F611">
        <f>VLOOKUP(E611,YieldData!D:F,2,FALSE)</f>
        <v>13</v>
      </c>
      <c r="G611">
        <f>VLOOKUP($E611,YieldData!$D:$F,3,FALSE)</f>
        <v>2</v>
      </c>
      <c r="H611">
        <v>23</v>
      </c>
      <c r="I611" t="s">
        <v>24</v>
      </c>
      <c r="J611" t="s">
        <v>25</v>
      </c>
      <c r="K611" s="2">
        <v>6187.7917219770598</v>
      </c>
      <c r="L611" s="2">
        <v>154507336.11026999</v>
      </c>
      <c r="M611" s="3">
        <v>13463.757215067801</v>
      </c>
      <c r="N611" s="3">
        <v>61810606.567364901</v>
      </c>
      <c r="O611" s="4">
        <v>0.52216600760689003</v>
      </c>
      <c r="P611" s="4">
        <v>3.344331975511E-3</v>
      </c>
      <c r="Q611" s="5">
        <v>0.141365879104807</v>
      </c>
      <c r="R611" s="5">
        <v>1.1010390466076601E-3</v>
      </c>
      <c r="S611" s="6">
        <v>0.42878581950143801</v>
      </c>
      <c r="T611" s="6">
        <v>1.97033500651808E-2</v>
      </c>
      <c r="U611" s="7">
        <v>0.22095456774178099</v>
      </c>
      <c r="V611" s="7">
        <v>0.172133646735636</v>
      </c>
      <c r="W611" s="8">
        <v>0.68127242286534295</v>
      </c>
      <c r="X611" s="8">
        <v>0.217140308708587</v>
      </c>
      <c r="Y611" s="2">
        <v>32</v>
      </c>
      <c r="Z611" s="2">
        <f>VLOOKUP(E611,YieldData!T:U,2,FALSE)</f>
        <v>1186.1986521181002</v>
      </c>
      <c r="AA611">
        <f t="shared" si="18"/>
        <v>0.50452680803224403</v>
      </c>
    </row>
    <row r="612" spans="1:27" hidden="1" x14ac:dyDescent="0.25">
      <c r="A612">
        <v>145</v>
      </c>
      <c r="B612">
        <v>505</v>
      </c>
      <c r="C612" t="s">
        <v>23</v>
      </c>
      <c r="D612">
        <v>25110</v>
      </c>
      <c r="E612">
        <f t="shared" si="19"/>
        <v>25110505</v>
      </c>
      <c r="F612">
        <f>VLOOKUP(E612,YieldData!D:F,2,FALSE)</f>
        <v>12</v>
      </c>
      <c r="G612">
        <f>VLOOKUP($E612,YieldData!$D:$F,3,FALSE)</f>
        <v>2</v>
      </c>
      <c r="H612">
        <v>23</v>
      </c>
      <c r="I612" t="s">
        <v>24</v>
      </c>
      <c r="J612" t="s">
        <v>25</v>
      </c>
      <c r="K612" s="2">
        <v>6987.8426724395704</v>
      </c>
      <c r="L612" s="2">
        <v>176851861.221093</v>
      </c>
      <c r="M612" s="3">
        <v>11713.1697799513</v>
      </c>
      <c r="N612" s="3">
        <v>66151746.3805741</v>
      </c>
      <c r="O612" s="4">
        <v>0.49035852387397599</v>
      </c>
      <c r="P612" s="4">
        <v>4.5243465863683396E-3</v>
      </c>
      <c r="Q612" s="5">
        <v>0.118956852439307</v>
      </c>
      <c r="R612" s="5">
        <v>1.3379631926512001E-3</v>
      </c>
      <c r="S612" s="6">
        <v>0.42082083069272702</v>
      </c>
      <c r="T612" s="6">
        <v>2.6242828423954399E-2</v>
      </c>
      <c r="U612" s="7">
        <v>0.24012965111411499</v>
      </c>
      <c r="V612" s="7">
        <v>0.18246740177007201</v>
      </c>
      <c r="W612" s="8">
        <v>0.40355199425940302</v>
      </c>
      <c r="X612" s="8">
        <v>0.24069778218877799</v>
      </c>
      <c r="Y612" s="2">
        <v>10</v>
      </c>
      <c r="Z612" s="2">
        <f>VLOOKUP(E612,YieldData!T:U,2,FALSE)</f>
        <v>1316.9335686777922</v>
      </c>
      <c r="AA612">
        <f t="shared" si="18"/>
        <v>0.55529377997297202</v>
      </c>
    </row>
    <row r="613" spans="1:27" hidden="1" x14ac:dyDescent="0.25">
      <c r="A613">
        <v>146</v>
      </c>
      <c r="B613">
        <v>506</v>
      </c>
      <c r="C613" t="s">
        <v>23</v>
      </c>
      <c r="D613">
        <v>25110</v>
      </c>
      <c r="E613">
        <f t="shared" si="19"/>
        <v>25110506</v>
      </c>
      <c r="F613">
        <f>VLOOKUP(E613,YieldData!D:F,2,FALSE)</f>
        <v>4</v>
      </c>
      <c r="G613">
        <f>VLOOKUP($E613,YieldData!$D:$F,3,FALSE)</f>
        <v>2</v>
      </c>
      <c r="H613">
        <v>23</v>
      </c>
      <c r="I613" t="s">
        <v>24</v>
      </c>
      <c r="J613" t="s">
        <v>25</v>
      </c>
      <c r="K613" s="2">
        <v>4816.8290158569098</v>
      </c>
      <c r="L613" s="2">
        <v>107044620.917807</v>
      </c>
      <c r="M613" s="3">
        <v>14062.533707115301</v>
      </c>
      <c r="N613" s="3">
        <v>51976622.043838002</v>
      </c>
      <c r="O613" s="4">
        <v>0.46067553728226102</v>
      </c>
      <c r="P613" s="4">
        <v>6.2401478251792796E-3</v>
      </c>
      <c r="Q613" s="5">
        <v>0.118282312948103</v>
      </c>
      <c r="R613" s="5">
        <v>1.64252157908256E-3</v>
      </c>
      <c r="S613" s="6">
        <v>0.38588237617001397</v>
      </c>
      <c r="T613" s="6">
        <v>2.63085092215899E-2</v>
      </c>
      <c r="U613" s="7">
        <v>0.186913517626173</v>
      </c>
      <c r="V613" s="7">
        <v>0.15197685455469301</v>
      </c>
      <c r="W613" s="8">
        <v>0.47128227423133601</v>
      </c>
      <c r="X613" s="8">
        <v>0.24917529222645199</v>
      </c>
      <c r="Y613" s="2">
        <v>16</v>
      </c>
      <c r="Z613" s="2">
        <f>VLOOKUP(E613,YieldData!T:U,2,FALSE)</f>
        <v>695.94030808729133</v>
      </c>
      <c r="AA613">
        <f t="shared" si="18"/>
        <v>0.45165147032184</v>
      </c>
    </row>
    <row r="614" spans="1:27" hidden="1" x14ac:dyDescent="0.25">
      <c r="A614">
        <v>147</v>
      </c>
      <c r="B614">
        <v>507</v>
      </c>
      <c r="C614" t="s">
        <v>23</v>
      </c>
      <c r="D614">
        <v>25110</v>
      </c>
      <c r="E614">
        <f t="shared" si="19"/>
        <v>25110507</v>
      </c>
      <c r="F614">
        <f>VLOOKUP(E614,YieldData!D:F,2,FALSE)</f>
        <v>4</v>
      </c>
      <c r="G614">
        <f>VLOOKUP($E614,YieldData!$D:$F,3,FALSE)</f>
        <v>3</v>
      </c>
      <c r="H614">
        <v>23</v>
      </c>
      <c r="I614" t="s">
        <v>24</v>
      </c>
      <c r="J614" t="s">
        <v>25</v>
      </c>
      <c r="K614" s="2">
        <v>7628.8726292124102</v>
      </c>
      <c r="L614" s="2">
        <v>160883859.972974</v>
      </c>
      <c r="M614" s="3">
        <v>13182.6785598198</v>
      </c>
      <c r="N614" s="3">
        <v>73740346.577769801</v>
      </c>
      <c r="O614" s="4">
        <v>0.47999181063743601</v>
      </c>
      <c r="P614" s="4">
        <v>6.6674803006010804E-3</v>
      </c>
      <c r="Q614" s="5">
        <v>0.12540555126116401</v>
      </c>
      <c r="R614" s="5">
        <v>1.70499905009603E-3</v>
      </c>
      <c r="S614" s="6">
        <v>0.43915202570913497</v>
      </c>
      <c r="T614" s="6">
        <v>3.4246997478820401E-2</v>
      </c>
      <c r="U614" s="7">
        <v>0.26671210925354599</v>
      </c>
      <c r="V614" s="7">
        <v>0.195576760031029</v>
      </c>
      <c r="W614" s="8">
        <v>0.45210870033251199</v>
      </c>
      <c r="X614" s="8">
        <v>0.24770642341576601</v>
      </c>
      <c r="Y614" s="2">
        <v>16</v>
      </c>
      <c r="Z614" s="2">
        <f>VLOOKUP(E614,YieldData!T:U,2,FALSE)</f>
        <v>641.50994865211806</v>
      </c>
      <c r="AA614">
        <f t="shared" si="18"/>
        <v>0.51023727516264805</v>
      </c>
    </row>
    <row r="615" spans="1:27" hidden="1" x14ac:dyDescent="0.25">
      <c r="A615">
        <v>148</v>
      </c>
      <c r="B615">
        <v>508</v>
      </c>
      <c r="C615" t="s">
        <v>23</v>
      </c>
      <c r="D615">
        <v>25110</v>
      </c>
      <c r="E615">
        <f t="shared" si="19"/>
        <v>25110508</v>
      </c>
      <c r="F615">
        <f>VLOOKUP(E615,YieldData!D:F,2,FALSE)</f>
        <v>13</v>
      </c>
      <c r="G615">
        <f>VLOOKUP($E615,YieldData!$D:$F,3,FALSE)</f>
        <v>3</v>
      </c>
      <c r="H615">
        <v>23</v>
      </c>
      <c r="I615" t="s">
        <v>24</v>
      </c>
      <c r="J615" t="s">
        <v>25</v>
      </c>
      <c r="K615" s="2">
        <v>7563.47044823957</v>
      </c>
      <c r="L615" s="2">
        <v>179931906.508313</v>
      </c>
      <c r="M615" s="3">
        <v>13920.6278342532</v>
      </c>
      <c r="N615" s="3">
        <v>67167008.867045507</v>
      </c>
      <c r="O615" s="4">
        <v>0.47850394635676902</v>
      </c>
      <c r="P615" s="4">
        <v>4.1779124437867103E-3</v>
      </c>
      <c r="Q615" s="5">
        <v>0.12849089972877101</v>
      </c>
      <c r="R615" s="5">
        <v>1.0487046020579299E-3</v>
      </c>
      <c r="S615" s="6">
        <v>0.433936362297973</v>
      </c>
      <c r="T615" s="6">
        <v>2.8799438606561999E-2</v>
      </c>
      <c r="U615" s="7">
        <v>0.236557596632224</v>
      </c>
      <c r="V615" s="7">
        <v>0.180598100108146</v>
      </c>
      <c r="W615" s="8">
        <v>0.42273145877934698</v>
      </c>
      <c r="X615" s="8">
        <v>0.24402957253771099</v>
      </c>
      <c r="Y615" s="2">
        <v>12</v>
      </c>
      <c r="Z615" s="2">
        <f>VLOOKUP(E615,YieldData!T:U,2,FALSE)</f>
        <v>394.67265725288831</v>
      </c>
      <c r="AA615">
        <f t="shared" si="18"/>
        <v>0.41675238619237898</v>
      </c>
    </row>
    <row r="616" spans="1:27" hidden="1" x14ac:dyDescent="0.25">
      <c r="A616">
        <v>149</v>
      </c>
      <c r="B616">
        <v>509</v>
      </c>
      <c r="C616" t="s">
        <v>23</v>
      </c>
      <c r="D616">
        <v>25110</v>
      </c>
      <c r="E616">
        <f t="shared" si="19"/>
        <v>25110509</v>
      </c>
      <c r="F616">
        <f>VLOOKUP(E616,YieldData!D:F,2,FALSE)</f>
        <v>8</v>
      </c>
      <c r="G616">
        <f>VLOOKUP($E616,YieldData!$D:$F,3,FALSE)</f>
        <v>3</v>
      </c>
      <c r="H616">
        <v>23</v>
      </c>
      <c r="I616" t="s">
        <v>24</v>
      </c>
      <c r="J616" t="s">
        <v>25</v>
      </c>
      <c r="K616" s="2">
        <v>8684.7717852743899</v>
      </c>
      <c r="L616" s="2">
        <v>209016168.62041</v>
      </c>
      <c r="M616" s="3">
        <v>12955.230616037001</v>
      </c>
      <c r="N616" s="3">
        <v>73486155.294873297</v>
      </c>
      <c r="O616" s="4">
        <v>0.48251763472903703</v>
      </c>
      <c r="P616" s="4">
        <v>5.3332492938389601E-3</v>
      </c>
      <c r="Q616" s="5">
        <v>0.134183875979621</v>
      </c>
      <c r="R616" s="5">
        <v>1.58689931484963E-3</v>
      </c>
      <c r="S616" s="6">
        <v>0.44516491783999101</v>
      </c>
      <c r="T616" s="6">
        <v>3.4989459182047003E-2</v>
      </c>
      <c r="U616" s="7">
        <v>0.27827272401133701</v>
      </c>
      <c r="V616" s="7">
        <v>0.200837015082588</v>
      </c>
      <c r="W616" s="8">
        <v>0.60068659465795904</v>
      </c>
      <c r="X616" s="8">
        <v>0.239862209656379</v>
      </c>
      <c r="Y616" s="2">
        <v>38</v>
      </c>
      <c r="Z616" s="2">
        <f>VLOOKUP(E616,YieldData!T:U,2,FALSE)</f>
        <v>690.69801026957646</v>
      </c>
      <c r="AA616">
        <f t="shared" si="18"/>
        <v>0.46421439077765703</v>
      </c>
    </row>
    <row r="617" spans="1:27" hidden="1" x14ac:dyDescent="0.25">
      <c r="A617">
        <v>150</v>
      </c>
      <c r="B617">
        <v>510</v>
      </c>
      <c r="C617" t="s">
        <v>23</v>
      </c>
      <c r="D617">
        <v>25110</v>
      </c>
      <c r="E617">
        <f t="shared" si="19"/>
        <v>25110510</v>
      </c>
      <c r="F617">
        <f>VLOOKUP(E617,YieldData!D:F,2,FALSE)</f>
        <v>5</v>
      </c>
      <c r="G617">
        <f>VLOOKUP($E617,YieldData!$D:$F,3,FALSE)</f>
        <v>3</v>
      </c>
      <c r="H617">
        <v>23</v>
      </c>
      <c r="I617" t="s">
        <v>24</v>
      </c>
      <c r="J617" t="s">
        <v>25</v>
      </c>
      <c r="K617" s="2">
        <v>5448.5155595952801</v>
      </c>
      <c r="L617" s="2">
        <v>117661281.68705299</v>
      </c>
      <c r="M617" s="3">
        <v>14892.271248409899</v>
      </c>
      <c r="N617" s="3">
        <v>51311821.275187999</v>
      </c>
      <c r="O617" s="4">
        <v>0.45793561999531801</v>
      </c>
      <c r="P617" s="4">
        <v>4.51244631362583E-3</v>
      </c>
      <c r="Q617" s="5">
        <v>0.13273023076329399</v>
      </c>
      <c r="R617" s="5">
        <v>1.2290886784856699E-3</v>
      </c>
      <c r="S617" s="6">
        <v>0.38720399038099201</v>
      </c>
      <c r="T617" s="6">
        <v>2.31204261715331E-2</v>
      </c>
      <c r="U617" s="7">
        <v>0.17309302269954799</v>
      </c>
      <c r="V617" s="7">
        <v>0.14313182819211201</v>
      </c>
      <c r="W617" s="8">
        <v>0.78256605308168004</v>
      </c>
      <c r="X617" s="8">
        <v>0.17015642564602501</v>
      </c>
      <c r="Y617" s="2">
        <v>42</v>
      </c>
      <c r="Z617" s="2">
        <f>VLOOKUP(E617,YieldData!T:U,2,FALSE)</f>
        <v>1385.9820282413348</v>
      </c>
      <c r="AA617">
        <f t="shared" si="18"/>
        <v>0.377397751734035</v>
      </c>
    </row>
    <row r="618" spans="1:27" hidden="1" x14ac:dyDescent="0.25">
      <c r="A618">
        <v>151</v>
      </c>
      <c r="B618">
        <v>511</v>
      </c>
      <c r="C618" t="s">
        <v>23</v>
      </c>
      <c r="D618">
        <v>25110</v>
      </c>
      <c r="E618">
        <f t="shared" si="19"/>
        <v>25110511</v>
      </c>
      <c r="F618">
        <f>VLOOKUP(E618,YieldData!D:F,2,FALSE)</f>
        <v>1</v>
      </c>
      <c r="G618">
        <f>VLOOKUP($E618,YieldData!$D:$F,3,FALSE)</f>
        <v>3</v>
      </c>
      <c r="H618">
        <v>23</v>
      </c>
      <c r="I618" t="s">
        <v>24</v>
      </c>
      <c r="J618" t="s">
        <v>25</v>
      </c>
      <c r="K618" s="2">
        <v>6488.8339557151403</v>
      </c>
      <c r="L618" s="2">
        <v>129821143.17222901</v>
      </c>
      <c r="M618" s="3">
        <v>15153.6406752312</v>
      </c>
      <c r="N618" s="3">
        <v>54592885.651905701</v>
      </c>
      <c r="O618" s="4">
        <v>0.48357830070489799</v>
      </c>
      <c r="P618" s="4">
        <v>4.5562170546266604E-3</v>
      </c>
      <c r="Q618" s="5">
        <v>0.12884302402623901</v>
      </c>
      <c r="R618" s="5">
        <v>1.4567386463649201E-3</v>
      </c>
      <c r="S618" s="6">
        <v>0.39638996907795798</v>
      </c>
      <c r="T618" s="6">
        <v>2.5375959108196799E-2</v>
      </c>
      <c r="U618" s="7">
        <v>0.193620586475165</v>
      </c>
      <c r="V618" s="7">
        <v>0.15613165496797601</v>
      </c>
      <c r="W618" s="8">
        <v>0.80507013932110905</v>
      </c>
      <c r="X618" s="8">
        <v>0.15693221009479899</v>
      </c>
      <c r="Y618" s="2">
        <v>40</v>
      </c>
      <c r="Z618" s="2">
        <f>VLOOKUP(E618,YieldData!T:U,2,FALSE)</f>
        <v>557.27214377406938</v>
      </c>
      <c r="AA618">
        <f t="shared" si="18"/>
        <v>0.36131758172046902</v>
      </c>
    </row>
    <row r="619" spans="1:27" hidden="1" x14ac:dyDescent="0.25">
      <c r="A619">
        <v>152</v>
      </c>
      <c r="B619">
        <v>512</v>
      </c>
      <c r="C619" t="s">
        <v>23</v>
      </c>
      <c r="D619">
        <v>25110</v>
      </c>
      <c r="E619">
        <f t="shared" si="19"/>
        <v>25110512</v>
      </c>
      <c r="F619">
        <f>VLOOKUP(E619,YieldData!D:F,2,FALSE)</f>
        <v>10</v>
      </c>
      <c r="G619">
        <f>VLOOKUP($E619,YieldData!$D:$F,3,FALSE)</f>
        <v>3</v>
      </c>
      <c r="H619">
        <v>23</v>
      </c>
      <c r="I619" t="s">
        <v>24</v>
      </c>
      <c r="J619" t="s">
        <v>25</v>
      </c>
      <c r="K619" s="2">
        <v>4141.9975006876102</v>
      </c>
      <c r="L619" s="2">
        <v>74111432.723921001</v>
      </c>
      <c r="M619" s="3">
        <v>17687.5483146443</v>
      </c>
      <c r="N619" s="3">
        <v>35250913.483045302</v>
      </c>
      <c r="O619" s="4">
        <v>0.49001237752993598</v>
      </c>
      <c r="P619" s="4">
        <v>2.7601090326299098E-3</v>
      </c>
      <c r="Q619" s="5">
        <v>0.12430409625665501</v>
      </c>
      <c r="R619" s="5">
        <v>9.67257692113128E-4</v>
      </c>
      <c r="S619" s="6">
        <v>0.35437887310308203</v>
      </c>
      <c r="T619" s="6">
        <v>1.4658785523271999E-2</v>
      </c>
      <c r="U619" s="7">
        <v>9.8609234301567705E-2</v>
      </c>
      <c r="V619" s="7">
        <v>8.8885453212104795E-2</v>
      </c>
      <c r="W619" s="8">
        <v>0.70503588516746396</v>
      </c>
      <c r="X619" s="8">
        <v>0.20796028579375</v>
      </c>
      <c r="Y619" s="2">
        <v>36</v>
      </c>
      <c r="Z619" s="2">
        <f>VLOOKUP(E619,YieldData!T:U,2,FALSE)</f>
        <v>1164.9743260590499</v>
      </c>
      <c r="AA619">
        <f t="shared" si="18"/>
        <v>0.17485979408564201</v>
      </c>
    </row>
    <row r="620" spans="1:27" hidden="1" x14ac:dyDescent="0.25">
      <c r="A620">
        <v>153</v>
      </c>
      <c r="B620">
        <v>601</v>
      </c>
      <c r="C620" t="s">
        <v>23</v>
      </c>
      <c r="D620" t="s">
        <v>100</v>
      </c>
      <c r="E620" t="e">
        <f t="shared" si="19"/>
        <v>#VALUE!</v>
      </c>
      <c r="H620">
        <v>23</v>
      </c>
      <c r="I620" t="s">
        <v>24</v>
      </c>
      <c r="J620" t="s">
        <v>25</v>
      </c>
      <c r="K620" s="2">
        <v>7289.4120003827102</v>
      </c>
      <c r="L620" s="2">
        <v>137388091.43464199</v>
      </c>
      <c r="M620" s="3">
        <v>14243.2196945454</v>
      </c>
      <c r="N620" s="3">
        <v>78758017.275190294</v>
      </c>
      <c r="O620" s="4">
        <v>0.49567952570923501</v>
      </c>
      <c r="P620" s="4">
        <v>6.22082905846876E-3</v>
      </c>
      <c r="Q620" s="5">
        <v>0.14641937436077199</v>
      </c>
      <c r="R620" s="5">
        <v>1.51829507603513E-3</v>
      </c>
      <c r="S620" s="6">
        <v>0.446557394201052</v>
      </c>
      <c r="T620" s="6">
        <v>2.8809642492286999E-2</v>
      </c>
      <c r="U620" s="7">
        <v>0.24613103068864101</v>
      </c>
      <c r="V620" s="7">
        <v>0.18555054642060301</v>
      </c>
      <c r="W620" s="8">
        <v>0.89701362228361603</v>
      </c>
      <c r="X620" s="8">
        <v>9.23801837211633E-2</v>
      </c>
      <c r="Y620" s="2">
        <v>77</v>
      </c>
      <c r="Z620" s="2" t="e">
        <f>VLOOKUP(E620,YieldData!T:U,2,FALSE)</f>
        <v>#VALUE!</v>
      </c>
      <c r="AA620">
        <f t="shared" si="18"/>
        <v>0.913534329143595</v>
      </c>
    </row>
    <row r="621" spans="1:27" hidden="1" x14ac:dyDescent="0.25">
      <c r="A621">
        <v>154</v>
      </c>
      <c r="B621">
        <v>602</v>
      </c>
      <c r="C621" t="s">
        <v>23</v>
      </c>
      <c r="D621" t="s">
        <v>100</v>
      </c>
      <c r="E621" t="e">
        <f t="shared" si="19"/>
        <v>#VALUE!</v>
      </c>
      <c r="H621">
        <v>23</v>
      </c>
      <c r="I621" t="s">
        <v>24</v>
      </c>
      <c r="J621" t="s">
        <v>25</v>
      </c>
      <c r="K621" s="2">
        <v>4855.8917923388799</v>
      </c>
      <c r="L621" s="2">
        <v>89353447.150494903</v>
      </c>
      <c r="M621" s="3">
        <v>15991.718654243101</v>
      </c>
      <c r="N621" s="3">
        <v>48582290.246202603</v>
      </c>
      <c r="O621" s="4">
        <v>0.47797629747899301</v>
      </c>
      <c r="P621" s="4">
        <v>4.24853647272569E-3</v>
      </c>
      <c r="Q621" s="5">
        <v>0.14234047962281601</v>
      </c>
      <c r="R621" s="5">
        <v>1.1270957486772099E-3</v>
      </c>
      <c r="S621" s="6">
        <v>0.40245273190696101</v>
      </c>
      <c r="T621" s="6">
        <v>1.8977468540038501E-2</v>
      </c>
      <c r="U621" s="7">
        <v>0.15169164165181701</v>
      </c>
      <c r="V621" s="7">
        <v>0.128681287504847</v>
      </c>
      <c r="W621" s="8">
        <v>0.827943357412812</v>
      </c>
      <c r="X621" s="8">
        <v>0.142453154328679</v>
      </c>
      <c r="Y621" s="2">
        <v>38</v>
      </c>
      <c r="Z621" s="2" t="e">
        <f>VLOOKUP(E621,YieldData!T:U,2,FALSE)</f>
        <v>#VALUE!</v>
      </c>
      <c r="AA621">
        <f t="shared" si="18"/>
        <v>0.913534329143595</v>
      </c>
    </row>
    <row r="622" spans="1:27" hidden="1" x14ac:dyDescent="0.25">
      <c r="A622">
        <v>155</v>
      </c>
      <c r="B622">
        <v>603</v>
      </c>
      <c r="C622" t="s">
        <v>23</v>
      </c>
      <c r="D622" t="s">
        <v>100</v>
      </c>
      <c r="E622" t="e">
        <f t="shared" si="19"/>
        <v>#VALUE!</v>
      </c>
      <c r="H622">
        <v>23</v>
      </c>
      <c r="I622" t="s">
        <v>24</v>
      </c>
      <c r="J622" t="s">
        <v>25</v>
      </c>
      <c r="K622" s="2">
        <v>5881.5647566765902</v>
      </c>
      <c r="L622" s="2">
        <v>121212606.455365</v>
      </c>
      <c r="M622" s="3">
        <v>14697.8379796876</v>
      </c>
      <c r="N622" s="3">
        <v>51624215.987371601</v>
      </c>
      <c r="O622" s="4">
        <v>0.49347430572378698</v>
      </c>
      <c r="P622" s="4">
        <v>4.0300250819481596E-3</v>
      </c>
      <c r="Q622" s="5">
        <v>0.14069258090724901</v>
      </c>
      <c r="R622" s="5">
        <v>1.0958668968828801E-3</v>
      </c>
      <c r="S622" s="6">
        <v>0.421668734035543</v>
      </c>
      <c r="T622" s="6">
        <v>2.26140636608149E-2</v>
      </c>
      <c r="U622" s="7">
        <v>0.20952483465489799</v>
      </c>
      <c r="V622" s="7">
        <v>0.165624178317865</v>
      </c>
      <c r="W622" s="8">
        <v>0.69688669880036802</v>
      </c>
      <c r="X622" s="8">
        <v>0.21123562783543101</v>
      </c>
      <c r="Y622" s="2">
        <v>58</v>
      </c>
      <c r="Z622" s="2" t="e">
        <f>VLOOKUP(E622,YieldData!T:U,2,FALSE)</f>
        <v>#VALUE!</v>
      </c>
      <c r="AA622">
        <f t="shared" si="18"/>
        <v>0.913534329143595</v>
      </c>
    </row>
    <row r="623" spans="1:27" hidden="1" x14ac:dyDescent="0.25">
      <c r="A623">
        <v>156</v>
      </c>
      <c r="B623">
        <v>604</v>
      </c>
      <c r="C623" t="s">
        <v>23</v>
      </c>
      <c r="D623">
        <v>25110</v>
      </c>
      <c r="E623">
        <f t="shared" si="19"/>
        <v>25110604</v>
      </c>
      <c r="F623">
        <f>VLOOKUP(E623,YieldData!D:F,2,FALSE)</f>
        <v>7</v>
      </c>
      <c r="G623">
        <f>VLOOKUP($E623,YieldData!$D:$F,3,FALSE)</f>
        <v>3</v>
      </c>
      <c r="H623">
        <v>23</v>
      </c>
      <c r="I623" t="s">
        <v>24</v>
      </c>
      <c r="J623" t="s">
        <v>25</v>
      </c>
      <c r="K623" s="2">
        <v>6388.8708635803696</v>
      </c>
      <c r="L623" s="2">
        <v>139366221.921471</v>
      </c>
      <c r="M623" s="3">
        <v>12837.3348666046</v>
      </c>
      <c r="N623" s="3">
        <v>61107033.508257501</v>
      </c>
      <c r="O623" s="4">
        <v>0.51306573776681197</v>
      </c>
      <c r="P623" s="4">
        <v>6.42172757994002E-3</v>
      </c>
      <c r="Q623" s="5">
        <v>0.140620294807423</v>
      </c>
      <c r="R623" s="5">
        <v>1.2740233140833899E-3</v>
      </c>
      <c r="S623" s="6">
        <v>0.43779446806614303</v>
      </c>
      <c r="T623" s="6">
        <v>3.2740253498778099E-2</v>
      </c>
      <c r="U623" s="7">
        <v>0.25296291423992701</v>
      </c>
      <c r="V623" s="7">
        <v>0.18897267825890701</v>
      </c>
      <c r="W623" s="8">
        <v>0.80779304653582595</v>
      </c>
      <c r="X623" s="8">
        <v>0.15526344050396901</v>
      </c>
      <c r="Y623" s="2">
        <v>34</v>
      </c>
      <c r="Z623" s="2">
        <f>VLOOKUP(E623,YieldData!T:U,2,FALSE)</f>
        <v>223.72432605905007</v>
      </c>
      <c r="AA623">
        <f t="shared" si="18"/>
        <v>0.34746522836265398</v>
      </c>
    </row>
    <row r="624" spans="1:27" hidden="1" x14ac:dyDescent="0.25">
      <c r="A624">
        <v>157</v>
      </c>
      <c r="B624">
        <v>605</v>
      </c>
      <c r="C624" t="s">
        <v>23</v>
      </c>
      <c r="D624">
        <v>25110</v>
      </c>
      <c r="E624">
        <f t="shared" si="19"/>
        <v>25110605</v>
      </c>
      <c r="F624">
        <f>VLOOKUP(E624,YieldData!D:F,2,FALSE)</f>
        <v>11</v>
      </c>
      <c r="G624">
        <f>VLOOKUP($E624,YieldData!$D:$F,3,FALSE)</f>
        <v>3</v>
      </c>
      <c r="H624">
        <v>23</v>
      </c>
      <c r="I624" t="s">
        <v>24</v>
      </c>
      <c r="J624" t="s">
        <v>25</v>
      </c>
      <c r="K624" s="2">
        <v>10126.555195426499</v>
      </c>
      <c r="L624" s="2">
        <v>255690499.54635599</v>
      </c>
      <c r="M624" s="3">
        <v>9717.9256291679103</v>
      </c>
      <c r="N624" s="3">
        <v>77122158.011017993</v>
      </c>
      <c r="O624" s="4">
        <v>0.52253425188317304</v>
      </c>
      <c r="P624" s="4">
        <v>6.2997598501344596E-3</v>
      </c>
      <c r="Q624" s="5">
        <v>0.14220994735880299</v>
      </c>
      <c r="R624" s="5">
        <v>1.90003980993167E-3</v>
      </c>
      <c r="S624" s="6">
        <v>0.47399701568068298</v>
      </c>
      <c r="T624" s="6">
        <v>3.9865485440362301E-2</v>
      </c>
      <c r="U624" s="7">
        <v>0.32232215471463399</v>
      </c>
      <c r="V624" s="7">
        <v>0.218430583294596</v>
      </c>
      <c r="W624" s="8">
        <v>0.709930146882924</v>
      </c>
      <c r="X624" s="8">
        <v>0.20592933342985401</v>
      </c>
      <c r="Y624" s="2">
        <v>48</v>
      </c>
      <c r="Z624" s="2">
        <f>VLOOKUP(E624,YieldData!T:U,2,FALSE)</f>
        <v>429.84595635430037</v>
      </c>
      <c r="AA624">
        <f t="shared" si="18"/>
        <v>0.46992620588200101</v>
      </c>
    </row>
    <row r="625" spans="1:27" hidden="1" x14ac:dyDescent="0.25">
      <c r="A625">
        <v>158</v>
      </c>
      <c r="B625">
        <v>606</v>
      </c>
      <c r="C625" t="s">
        <v>23</v>
      </c>
      <c r="D625">
        <v>25110</v>
      </c>
      <c r="E625">
        <f t="shared" si="19"/>
        <v>25110606</v>
      </c>
      <c r="F625">
        <f>VLOOKUP(E625,YieldData!D:F,2,FALSE)</f>
        <v>9</v>
      </c>
      <c r="G625">
        <f>VLOOKUP($E625,YieldData!$D:$F,3,FALSE)</f>
        <v>3</v>
      </c>
      <c r="H625">
        <v>23</v>
      </c>
      <c r="I625" t="s">
        <v>24</v>
      </c>
      <c r="J625" t="s">
        <v>25</v>
      </c>
      <c r="K625" s="2">
        <v>4154.6418276418899</v>
      </c>
      <c r="L625" s="2">
        <v>88418939.0798814</v>
      </c>
      <c r="M625" s="3">
        <v>14194.6220340945</v>
      </c>
      <c r="N625" s="3">
        <v>46415289.8394446</v>
      </c>
      <c r="O625" s="4">
        <v>0.45269467152463999</v>
      </c>
      <c r="P625" s="4">
        <v>6.5884416917722797E-3</v>
      </c>
      <c r="Q625" s="5">
        <v>0.13038083127424099</v>
      </c>
      <c r="R625" s="5">
        <v>1.7770707604901901E-3</v>
      </c>
      <c r="S625" s="6">
        <v>0.37058911806915001</v>
      </c>
      <c r="T625" s="6">
        <v>2.3283509703396699E-2</v>
      </c>
      <c r="U625" s="7">
        <v>0.15488308115543301</v>
      </c>
      <c r="V625" s="7">
        <v>0.13089431232718399</v>
      </c>
      <c r="W625" s="8">
        <v>0.60444816453425798</v>
      </c>
      <c r="X625" s="8">
        <v>0.239090580925649</v>
      </c>
      <c r="Y625" s="2">
        <v>22</v>
      </c>
      <c r="Z625" s="2">
        <f>VLOOKUP(E625,YieldData!T:U,2,FALSE)</f>
        <v>1469.6084724005136</v>
      </c>
      <c r="AA625">
        <f t="shared" si="18"/>
        <v>0.39368063528511299</v>
      </c>
    </row>
    <row r="626" spans="1:27" hidden="1" x14ac:dyDescent="0.25">
      <c r="A626">
        <v>159</v>
      </c>
      <c r="B626">
        <v>607</v>
      </c>
      <c r="C626" t="s">
        <v>23</v>
      </c>
      <c r="D626">
        <v>25110</v>
      </c>
      <c r="E626">
        <f t="shared" si="19"/>
        <v>25110607</v>
      </c>
      <c r="F626">
        <f>VLOOKUP(E626,YieldData!D:F,2,FALSE)</f>
        <v>6</v>
      </c>
      <c r="G626">
        <f>VLOOKUP($E626,YieldData!$D:$F,3,FALSE)</f>
        <v>3</v>
      </c>
      <c r="H626">
        <v>23</v>
      </c>
      <c r="I626" t="s">
        <v>24</v>
      </c>
      <c r="J626" t="s">
        <v>25</v>
      </c>
      <c r="K626" s="2">
        <v>4958.0127248373501</v>
      </c>
      <c r="L626" s="2">
        <v>104853867.18781701</v>
      </c>
      <c r="M626" s="3">
        <v>14137.502134337699</v>
      </c>
      <c r="N626" s="3">
        <v>48667419.438479401</v>
      </c>
      <c r="O626" s="4">
        <v>0.46161961743184499</v>
      </c>
      <c r="P626" s="4">
        <v>5.9380624648656902E-3</v>
      </c>
      <c r="Q626" s="5">
        <v>0.135477244257975</v>
      </c>
      <c r="R626" s="5">
        <v>1.76920546559562E-3</v>
      </c>
      <c r="S626" s="6">
        <v>0.38959166451763699</v>
      </c>
      <c r="T626" s="6">
        <v>2.3736963799120599E-2</v>
      </c>
      <c r="U626" s="7">
        <v>0.16630788365863</v>
      </c>
      <c r="V626" s="7">
        <v>0.13864957149153201</v>
      </c>
      <c r="W626" s="8">
        <v>0.75291542574186399</v>
      </c>
      <c r="X626" s="8">
        <v>0.18603378742211299</v>
      </c>
      <c r="Y626" s="2">
        <v>33</v>
      </c>
      <c r="Z626" s="2">
        <f>VLOOKUP(E626,YieldData!T:U,2,FALSE)</f>
        <v>429.81386392811288</v>
      </c>
      <c r="AA626">
        <f t="shared" si="18"/>
        <v>0.39178586805721699</v>
      </c>
    </row>
    <row r="627" spans="1:27" hidden="1" x14ac:dyDescent="0.25">
      <c r="A627">
        <v>160</v>
      </c>
      <c r="B627">
        <v>608</v>
      </c>
      <c r="C627" t="s">
        <v>23</v>
      </c>
      <c r="D627">
        <v>25110</v>
      </c>
      <c r="E627">
        <f t="shared" si="19"/>
        <v>25110608</v>
      </c>
      <c r="F627">
        <f>VLOOKUP(E627,YieldData!D:F,2,FALSE)</f>
        <v>14</v>
      </c>
      <c r="G627">
        <f>VLOOKUP($E627,YieldData!$D:$F,3,FALSE)</f>
        <v>3</v>
      </c>
      <c r="H627">
        <v>23</v>
      </c>
      <c r="I627" t="s">
        <v>24</v>
      </c>
      <c r="J627" t="s">
        <v>25</v>
      </c>
      <c r="K627" s="2">
        <v>7999.0175331587197</v>
      </c>
      <c r="L627" s="2">
        <v>187709819.719735</v>
      </c>
      <c r="M627" s="3">
        <v>12920.6272134426</v>
      </c>
      <c r="N627" s="3">
        <v>61251954.537258796</v>
      </c>
      <c r="O627" s="4">
        <v>0.495976291214349</v>
      </c>
      <c r="P627" s="4">
        <v>4.3097008422387601E-3</v>
      </c>
      <c r="Q627" s="5">
        <v>0.139222768272731</v>
      </c>
      <c r="R627" s="5">
        <v>1.5216685137939901E-3</v>
      </c>
      <c r="S627" s="6">
        <v>0.43738557269643003</v>
      </c>
      <c r="T627" s="6">
        <v>2.92204434642943E-2</v>
      </c>
      <c r="U627" s="7">
        <v>0.24991329099541901</v>
      </c>
      <c r="V627" s="7">
        <v>0.187456637979385</v>
      </c>
      <c r="W627" s="8">
        <v>0.74303346329562003</v>
      </c>
      <c r="X627" s="8">
        <v>0.19093473571809</v>
      </c>
      <c r="Y627" s="2">
        <v>59</v>
      </c>
      <c r="Z627" s="2">
        <f>VLOOKUP(E627,YieldData!T:U,2,FALSE)</f>
        <v>260.46373555840825</v>
      </c>
      <c r="AA627">
        <f t="shared" si="18"/>
        <v>0.446201131348888</v>
      </c>
    </row>
    <row r="628" spans="1:27" hidden="1" x14ac:dyDescent="0.25">
      <c r="A628">
        <v>161</v>
      </c>
      <c r="B628">
        <v>609</v>
      </c>
      <c r="C628" t="s">
        <v>23</v>
      </c>
      <c r="D628">
        <v>25110</v>
      </c>
      <c r="E628">
        <f t="shared" si="19"/>
        <v>25110609</v>
      </c>
      <c r="F628">
        <f>VLOOKUP(E628,YieldData!D:F,2,FALSE)</f>
        <v>2</v>
      </c>
      <c r="G628">
        <f>VLOOKUP($E628,YieldData!$D:$F,3,FALSE)</f>
        <v>3</v>
      </c>
      <c r="H628">
        <v>23</v>
      </c>
      <c r="I628" t="s">
        <v>24</v>
      </c>
      <c r="J628" t="s">
        <v>25</v>
      </c>
      <c r="K628" s="2">
        <v>6221.9852774090105</v>
      </c>
      <c r="L628" s="2">
        <v>144247379.332075</v>
      </c>
      <c r="M628" s="3">
        <v>13042.1125553491</v>
      </c>
      <c r="N628" s="3">
        <v>52378838.777750403</v>
      </c>
      <c r="O628" s="4">
        <v>0.49601076004281702</v>
      </c>
      <c r="P628" s="4">
        <v>5.1277428269359401E-3</v>
      </c>
      <c r="Q628" s="5">
        <v>0.14352653306628099</v>
      </c>
      <c r="R628" s="5">
        <v>1.58160424929266E-3</v>
      </c>
      <c r="S628" s="6">
        <v>0.41159819464039399</v>
      </c>
      <c r="T628" s="6">
        <v>2.8538819281968102E-2</v>
      </c>
      <c r="U628" s="7">
        <v>0.218698049346394</v>
      </c>
      <c r="V628" s="7">
        <v>0.17086921255861101</v>
      </c>
      <c r="W628" s="8">
        <v>0.78743481796871295</v>
      </c>
      <c r="X628" s="8">
        <v>0.16738122541935299</v>
      </c>
      <c r="Y628" s="2">
        <v>47</v>
      </c>
      <c r="Z628" s="2">
        <f>VLOOKUP(E628,YieldData!T:U,2,FALSE)</f>
        <v>459.55551989730429</v>
      </c>
      <c r="AA628">
        <f t="shared" si="18"/>
        <v>0.30308321572942298</v>
      </c>
    </row>
    <row r="629" spans="1:27" hidden="1" x14ac:dyDescent="0.25">
      <c r="A629">
        <v>162</v>
      </c>
      <c r="B629">
        <v>610</v>
      </c>
      <c r="C629" t="s">
        <v>23</v>
      </c>
      <c r="D629">
        <v>25110</v>
      </c>
      <c r="E629">
        <f t="shared" si="19"/>
        <v>25110610</v>
      </c>
      <c r="F629">
        <f>VLOOKUP(E629,YieldData!D:F,2,FALSE)</f>
        <v>3</v>
      </c>
      <c r="G629">
        <f>VLOOKUP($E629,YieldData!$D:$F,3,FALSE)</f>
        <v>3</v>
      </c>
      <c r="H629">
        <v>23</v>
      </c>
      <c r="I629" t="s">
        <v>24</v>
      </c>
      <c r="J629" t="s">
        <v>25</v>
      </c>
      <c r="K629" s="2">
        <v>6979.8778300128697</v>
      </c>
      <c r="L629" s="2">
        <v>142725980.48881799</v>
      </c>
      <c r="M629" s="3">
        <v>12907.5375387643</v>
      </c>
      <c r="N629" s="3">
        <v>61861403.478487097</v>
      </c>
      <c r="O629" s="4">
        <v>0.516447561667156</v>
      </c>
      <c r="P629" s="4">
        <v>6.1370637357264597E-3</v>
      </c>
      <c r="Q629" s="5">
        <v>0.146790393051589</v>
      </c>
      <c r="R629" s="5">
        <v>1.4789306646328601E-3</v>
      </c>
      <c r="S629" s="6">
        <v>0.431423094801689</v>
      </c>
      <c r="T629" s="6">
        <v>3.2618326155349202E-2</v>
      </c>
      <c r="U629" s="7">
        <v>0.247622368373592</v>
      </c>
      <c r="V629" s="7">
        <v>0.18630553105442799</v>
      </c>
      <c r="W629" s="8">
        <v>0.63741944791766902</v>
      </c>
      <c r="X629" s="8">
        <v>0.23111589533376301</v>
      </c>
      <c r="Y629" s="2">
        <v>34</v>
      </c>
      <c r="Z629" s="2">
        <f>VLOOKUP(E629,YieldData!T:U,2,FALSE)</f>
        <v>431.31578947368428</v>
      </c>
      <c r="AA629">
        <f t="shared" si="18"/>
        <v>0.388695850816972</v>
      </c>
    </row>
    <row r="630" spans="1:27" hidden="1" x14ac:dyDescent="0.25">
      <c r="A630">
        <v>163</v>
      </c>
      <c r="B630">
        <v>611</v>
      </c>
      <c r="C630" t="s">
        <v>23</v>
      </c>
      <c r="D630">
        <v>25110</v>
      </c>
      <c r="E630">
        <f t="shared" si="19"/>
        <v>25110611</v>
      </c>
      <c r="H630">
        <v>23</v>
      </c>
      <c r="I630" t="s">
        <v>24</v>
      </c>
      <c r="J630" t="s">
        <v>25</v>
      </c>
      <c r="K630" s="2">
        <v>7779.3678060565499</v>
      </c>
      <c r="L630" s="2">
        <v>179805183.47844699</v>
      </c>
      <c r="M630" s="3">
        <v>13644.6717251635</v>
      </c>
      <c r="N630" s="3">
        <v>65567426.315878399</v>
      </c>
      <c r="O630" s="4">
        <v>0.509951569821819</v>
      </c>
      <c r="P630" s="4">
        <v>4.7989480851830402E-3</v>
      </c>
      <c r="Q630" s="5">
        <v>0.13692152180338299</v>
      </c>
      <c r="R630" s="5">
        <v>1.7171421253844401E-3</v>
      </c>
      <c r="S630" s="6">
        <v>0.42216227176660998</v>
      </c>
      <c r="T630" s="6">
        <v>2.8466609384961102E-2</v>
      </c>
      <c r="U630" s="7">
        <v>0.22151126632540799</v>
      </c>
      <c r="V630" s="7">
        <v>0.17244402521619001</v>
      </c>
      <c r="W630" s="8">
        <v>0.64434185662688104</v>
      </c>
      <c r="X630" s="8">
        <v>0.229165428425402</v>
      </c>
      <c r="Y630" s="2">
        <v>39</v>
      </c>
      <c r="Z630" s="2">
        <f>VLOOKUP(E630,YieldData!T:U,2,FALSE)</f>
        <v>0</v>
      </c>
      <c r="AA630">
        <f t="shared" si="18"/>
        <v>0.44827833658250699</v>
      </c>
    </row>
    <row r="631" spans="1:27" hidden="1" x14ac:dyDescent="0.25">
      <c r="A631">
        <v>164</v>
      </c>
      <c r="B631">
        <v>612</v>
      </c>
      <c r="C631" t="s">
        <v>23</v>
      </c>
      <c r="D631">
        <v>25110</v>
      </c>
      <c r="E631">
        <f t="shared" si="19"/>
        <v>25110612</v>
      </c>
      <c r="F631">
        <f>VLOOKUP(E631,YieldData!D:F,2,FALSE)</f>
        <v>15</v>
      </c>
      <c r="G631">
        <f>VLOOKUP($E631,YieldData!$D:$F,3,FALSE)</f>
        <v>3</v>
      </c>
      <c r="H631">
        <v>23</v>
      </c>
      <c r="I631" t="s">
        <v>24</v>
      </c>
      <c r="J631" t="s">
        <v>25</v>
      </c>
      <c r="K631" s="2">
        <v>4451.2114387245501</v>
      </c>
      <c r="L631" s="2">
        <v>98097634.852286905</v>
      </c>
      <c r="M631" s="3">
        <v>15270.8923491839</v>
      </c>
      <c r="N631" s="3">
        <v>38112390.935332298</v>
      </c>
      <c r="O631" s="4">
        <v>0.50864773441325795</v>
      </c>
      <c r="P631" s="4">
        <v>3.5968126779466199E-3</v>
      </c>
      <c r="Q631" s="5">
        <v>0.14086730959476099</v>
      </c>
      <c r="R631" s="5">
        <v>1.53096557822115E-3</v>
      </c>
      <c r="S631" s="6">
        <v>0.39525042354383999</v>
      </c>
      <c r="T631" s="6">
        <v>1.6120519048968201E-2</v>
      </c>
      <c r="U631" s="7">
        <v>0.13052247406838299</v>
      </c>
      <c r="V631" s="7">
        <v>0.113486357831436</v>
      </c>
      <c r="W631" s="8">
        <v>0.82336134453781495</v>
      </c>
      <c r="X631" s="8">
        <v>0.14543744085899399</v>
      </c>
      <c r="Y631" s="2">
        <v>68</v>
      </c>
      <c r="Z631" s="2">
        <f>VLOOKUP(E631,YieldData!T:U,2,FALSE)</f>
        <v>1202.8161103979462</v>
      </c>
      <c r="AA631">
        <f t="shared" si="18"/>
        <v>0.347999903956973</v>
      </c>
    </row>
    <row r="632" spans="1:27" hidden="1" x14ac:dyDescent="0.25">
      <c r="A632">
        <v>230</v>
      </c>
      <c r="B632">
        <v>101</v>
      </c>
      <c r="C632" t="s">
        <v>26</v>
      </c>
      <c r="D632">
        <v>25104</v>
      </c>
      <c r="E632">
        <f t="shared" si="19"/>
        <v>25104101</v>
      </c>
      <c r="F632">
        <f>VLOOKUP(E632,YieldData!D:F,2,FALSE)</f>
        <v>1</v>
      </c>
      <c r="G632">
        <f>VLOOKUP($E632,YieldData!$D:$F,3,FALSE)</f>
        <v>1</v>
      </c>
      <c r="H632">
        <v>23</v>
      </c>
      <c r="I632" t="s">
        <v>27</v>
      </c>
      <c r="J632" t="s">
        <v>28</v>
      </c>
      <c r="K632" s="2">
        <v>4677.9952879268103</v>
      </c>
      <c r="L632" s="2">
        <v>67011939.514180198</v>
      </c>
      <c r="M632" s="3">
        <v>15617.907353802901</v>
      </c>
      <c r="N632" s="3">
        <v>33031405.300535399</v>
      </c>
      <c r="O632" s="4">
        <v>0.41684539780490298</v>
      </c>
      <c r="P632" s="4">
        <v>9.0758954929994907E-3</v>
      </c>
      <c r="Q632" s="5">
        <v>0.10898725780825599</v>
      </c>
      <c r="R632" s="5">
        <v>9.76054360444968E-4</v>
      </c>
      <c r="S632" s="6">
        <v>0.35059320499947499</v>
      </c>
      <c r="T632" s="6">
        <v>2.9762270186815602E-2</v>
      </c>
      <c r="U632" s="7">
        <v>0.19070740895772301</v>
      </c>
      <c r="V632" s="7">
        <v>0.15433809312615299</v>
      </c>
      <c r="W632" s="8">
        <v>0.72599099099099096</v>
      </c>
      <c r="X632" s="8">
        <v>0.19892807199106899</v>
      </c>
      <c r="Y632" s="2">
        <v>61</v>
      </c>
      <c r="Z632" s="2">
        <f>VLOOKUP(E632,YieldData!T:U,2,FALSE)</f>
        <v>534</v>
      </c>
      <c r="AA632">
        <f t="shared" si="18"/>
        <v>0.27361559622054799</v>
      </c>
    </row>
    <row r="633" spans="1:27" hidden="1" x14ac:dyDescent="0.25">
      <c r="A633">
        <v>231</v>
      </c>
      <c r="B633">
        <v>102</v>
      </c>
      <c r="C633" t="s">
        <v>26</v>
      </c>
      <c r="D633">
        <v>25104</v>
      </c>
      <c r="E633">
        <f t="shared" si="19"/>
        <v>25104102</v>
      </c>
      <c r="F633">
        <f>VLOOKUP(E633,YieldData!D:F,2,FALSE)</f>
        <v>2</v>
      </c>
      <c r="G633">
        <f>VLOOKUP($E633,YieldData!$D:$F,3,FALSE)</f>
        <v>1</v>
      </c>
      <c r="H633">
        <v>23</v>
      </c>
      <c r="I633" t="s">
        <v>27</v>
      </c>
      <c r="J633" t="s">
        <v>28</v>
      </c>
      <c r="K633" s="2">
        <v>7637.7372608640599</v>
      </c>
      <c r="L633" s="2">
        <v>135936502.464075</v>
      </c>
      <c r="M633" s="3">
        <v>12139.7484992067</v>
      </c>
      <c r="N633" s="3">
        <v>74193700.913730204</v>
      </c>
      <c r="O633" s="4">
        <v>0.44286670417743301</v>
      </c>
      <c r="P633" s="4">
        <v>1.6194539645201199E-2</v>
      </c>
      <c r="Q633" s="5">
        <v>0.11881951838597</v>
      </c>
      <c r="R633" s="5">
        <v>2.3440856629145601E-3</v>
      </c>
      <c r="S633" s="6">
        <v>0.40707332568740401</v>
      </c>
      <c r="T633" s="6">
        <v>4.89895123276348E-2</v>
      </c>
      <c r="U633" s="7">
        <v>0.26968199670594201</v>
      </c>
      <c r="V633" s="7">
        <v>0.19695361735885</v>
      </c>
      <c r="W633" s="8">
        <v>0.59674149901180795</v>
      </c>
      <c r="X633" s="8">
        <v>0.2406410823689</v>
      </c>
      <c r="Y633" s="2">
        <v>18</v>
      </c>
      <c r="Z633" s="2">
        <f>VLOOKUP(E633,YieldData!T:U,2,FALSE)</f>
        <v>1547</v>
      </c>
      <c r="AA633">
        <f t="shared" si="18"/>
        <v>0.40237923302041001</v>
      </c>
    </row>
    <row r="634" spans="1:27" hidden="1" x14ac:dyDescent="0.25">
      <c r="A634">
        <v>232</v>
      </c>
      <c r="B634">
        <v>103</v>
      </c>
      <c r="C634" t="s">
        <v>26</v>
      </c>
      <c r="D634">
        <v>25104</v>
      </c>
      <c r="E634">
        <f t="shared" si="19"/>
        <v>25104103</v>
      </c>
      <c r="F634">
        <f>VLOOKUP(E634,YieldData!D:F,2,FALSE)</f>
        <v>3</v>
      </c>
      <c r="G634">
        <f>VLOOKUP($E634,YieldData!$D:$F,3,FALSE)</f>
        <v>1</v>
      </c>
      <c r="H634">
        <v>23</v>
      </c>
      <c r="I634" t="s">
        <v>27</v>
      </c>
      <c r="J634" t="s">
        <v>28</v>
      </c>
      <c r="K634" s="2">
        <v>5777.6712913681504</v>
      </c>
      <c r="L634" s="2">
        <v>123156324.106148</v>
      </c>
      <c r="M634" s="3">
        <v>14796.149139409699</v>
      </c>
      <c r="N634" s="3">
        <v>66762993.048713498</v>
      </c>
      <c r="O634" s="4">
        <v>0.40247115321738702</v>
      </c>
      <c r="P634" s="4">
        <v>1.38244705041085E-2</v>
      </c>
      <c r="Q634" s="5">
        <v>0.113788377680285</v>
      </c>
      <c r="R634" s="5">
        <v>1.9106314978274599E-3</v>
      </c>
      <c r="S634" s="6">
        <v>0.35176829661060099</v>
      </c>
      <c r="T634" s="6">
        <v>4.0693566654977503E-2</v>
      </c>
      <c r="U634" s="7">
        <v>0.18477675848293801</v>
      </c>
      <c r="V634" s="7">
        <v>0.15063430800738001</v>
      </c>
      <c r="W634" s="8">
        <v>0.66119656483984401</v>
      </c>
      <c r="X634" s="8">
        <v>0.224015667483796</v>
      </c>
      <c r="Y634" s="2">
        <v>28</v>
      </c>
      <c r="Z634" s="2">
        <f>VLOOKUP(E634,YieldData!T:U,2,FALSE)</f>
        <v>1172</v>
      </c>
      <c r="AA634">
        <f t="shared" si="18"/>
        <v>0.32019468793724098</v>
      </c>
    </row>
    <row r="635" spans="1:27" hidden="1" x14ac:dyDescent="0.25">
      <c r="A635">
        <v>233</v>
      </c>
      <c r="B635">
        <v>104</v>
      </c>
      <c r="C635" t="s">
        <v>26</v>
      </c>
      <c r="D635">
        <v>25104</v>
      </c>
      <c r="E635">
        <f t="shared" si="19"/>
        <v>25104104</v>
      </c>
      <c r="F635">
        <f>VLOOKUP(E635,YieldData!D:F,2,FALSE)</f>
        <v>4</v>
      </c>
      <c r="G635">
        <f>VLOOKUP($E635,YieldData!$D:$F,3,FALSE)</f>
        <v>1</v>
      </c>
      <c r="H635">
        <v>23</v>
      </c>
      <c r="I635" t="s">
        <v>27</v>
      </c>
      <c r="J635" t="s">
        <v>28</v>
      </c>
      <c r="K635" s="2">
        <v>6263.2138636393001</v>
      </c>
      <c r="L635" s="2">
        <v>96934678.027938798</v>
      </c>
      <c r="M635" s="3">
        <v>14866.460718915299</v>
      </c>
      <c r="N635" s="3">
        <v>66890686.501165502</v>
      </c>
      <c r="O635" s="4">
        <v>0.41827589512945701</v>
      </c>
      <c r="P635" s="4">
        <v>1.44985400911209E-2</v>
      </c>
      <c r="Q635" s="5">
        <v>0.119427489070555</v>
      </c>
      <c r="R635" s="5">
        <v>2.9881099693415901E-3</v>
      </c>
      <c r="S635" s="6">
        <v>0.37715918008126798</v>
      </c>
      <c r="T635" s="6">
        <v>4.3636717941422397E-2</v>
      </c>
      <c r="U635" s="7">
        <v>0.228228965980941</v>
      </c>
      <c r="V635" s="7">
        <v>0.17614050506814299</v>
      </c>
      <c r="W635" s="8">
        <v>0.68769153186702403</v>
      </c>
      <c r="X635" s="8">
        <v>0.21477188886533899</v>
      </c>
      <c r="Y635" s="2">
        <v>21</v>
      </c>
      <c r="Z635" s="2">
        <f>VLOOKUP(E635,YieldData!T:U,2,FALSE)</f>
        <v>1125</v>
      </c>
      <c r="AA635">
        <f t="shared" si="18"/>
        <v>0.41335522997944002</v>
      </c>
    </row>
    <row r="636" spans="1:27" hidden="1" x14ac:dyDescent="0.25">
      <c r="A636">
        <v>234</v>
      </c>
      <c r="B636">
        <v>105</v>
      </c>
      <c r="C636" t="s">
        <v>26</v>
      </c>
      <c r="D636">
        <v>25104</v>
      </c>
      <c r="E636">
        <f t="shared" si="19"/>
        <v>25104105</v>
      </c>
      <c r="F636">
        <f>VLOOKUP(E636,YieldData!D:F,2,FALSE)</f>
        <v>5</v>
      </c>
      <c r="G636">
        <f>VLOOKUP($E636,YieldData!$D:$F,3,FALSE)</f>
        <v>1</v>
      </c>
      <c r="H636">
        <v>23</v>
      </c>
      <c r="I636" t="s">
        <v>27</v>
      </c>
      <c r="J636" t="s">
        <v>28</v>
      </c>
      <c r="K636" s="2">
        <v>9232.8922605860007</v>
      </c>
      <c r="L636" s="2">
        <v>143719931.282509</v>
      </c>
      <c r="M636" s="3">
        <v>11731.5707543441</v>
      </c>
      <c r="N636" s="3">
        <v>87594452.073316902</v>
      </c>
      <c r="O636" s="4">
        <v>0.47919133516978002</v>
      </c>
      <c r="P636" s="4">
        <v>1.6784396863648299E-2</v>
      </c>
      <c r="Q636" s="5">
        <v>0.14443674761507899</v>
      </c>
      <c r="R636" s="5">
        <v>2.97016897771214E-3</v>
      </c>
      <c r="S636" s="6">
        <v>0.46454774602892102</v>
      </c>
      <c r="T636" s="6">
        <v>5.3954535308591497E-2</v>
      </c>
      <c r="U636" s="7">
        <v>0.34738990814269</v>
      </c>
      <c r="V636" s="7">
        <v>0.22671015986328899</v>
      </c>
      <c r="W636" s="8">
        <v>0.82581311691706405</v>
      </c>
      <c r="X636" s="8">
        <v>0.14384581284478701</v>
      </c>
      <c r="Y636" s="2">
        <v>39</v>
      </c>
      <c r="Z636" s="2">
        <f>VLOOKUP(E636,YieldData!T:U,2,FALSE)</f>
        <v>2382</v>
      </c>
      <c r="AA636">
        <f t="shared" si="18"/>
        <v>0.52409286114396003</v>
      </c>
    </row>
    <row r="637" spans="1:27" hidden="1" x14ac:dyDescent="0.25">
      <c r="A637">
        <v>235</v>
      </c>
      <c r="B637">
        <v>106</v>
      </c>
      <c r="C637" t="s">
        <v>26</v>
      </c>
      <c r="D637">
        <v>25104</v>
      </c>
      <c r="E637">
        <f t="shared" si="19"/>
        <v>25104106</v>
      </c>
      <c r="F637">
        <f>VLOOKUP(E637,YieldData!D:F,2,FALSE)</f>
        <v>4</v>
      </c>
      <c r="G637">
        <f>VLOOKUP($E637,YieldData!$D:$F,3,FALSE)</f>
        <v>2</v>
      </c>
      <c r="H637">
        <v>23</v>
      </c>
      <c r="I637" t="s">
        <v>27</v>
      </c>
      <c r="J637" t="s">
        <v>28</v>
      </c>
      <c r="K637" s="2">
        <v>7432.4123718738401</v>
      </c>
      <c r="L637" s="2">
        <v>127133664.90866099</v>
      </c>
      <c r="M637" s="3">
        <v>12675.182523064101</v>
      </c>
      <c r="N637" s="3">
        <v>67834009.088803202</v>
      </c>
      <c r="O637" s="4">
        <v>0.48598545657048398</v>
      </c>
      <c r="P637" s="4">
        <v>1.2654371769509801E-2</v>
      </c>
      <c r="Q637" s="5">
        <v>0.15750851645746</v>
      </c>
      <c r="R637" s="5">
        <v>2.13582062176406E-3</v>
      </c>
      <c r="S637" s="6">
        <v>0.43701384190847098</v>
      </c>
      <c r="T637" s="6">
        <v>4.19169443260273E-2</v>
      </c>
      <c r="U637" s="7">
        <v>0.27138226745924499</v>
      </c>
      <c r="V637" s="7">
        <v>0.19773393236811099</v>
      </c>
      <c r="W637" s="8">
        <v>0.73295141961872401</v>
      </c>
      <c r="X637" s="8">
        <v>0.195733636097671</v>
      </c>
      <c r="Y637" s="2">
        <v>34</v>
      </c>
      <c r="Z637" s="2">
        <f>VLOOKUP(E637,YieldData!T:U,2,FALSE)</f>
        <v>1226</v>
      </c>
      <c r="AA637">
        <f t="shared" si="18"/>
        <v>0.36991281677170901</v>
      </c>
    </row>
    <row r="638" spans="1:27" hidden="1" x14ac:dyDescent="0.25">
      <c r="A638">
        <v>236</v>
      </c>
      <c r="B638">
        <v>107</v>
      </c>
      <c r="C638" t="s">
        <v>26</v>
      </c>
      <c r="D638">
        <v>25104</v>
      </c>
      <c r="E638">
        <f t="shared" si="19"/>
        <v>25104107</v>
      </c>
      <c r="F638">
        <f>VLOOKUP(E638,YieldData!D:F,2,FALSE)</f>
        <v>1</v>
      </c>
      <c r="G638">
        <f>VLOOKUP($E638,YieldData!$D:$F,3,FALSE)</f>
        <v>2</v>
      </c>
      <c r="H638">
        <v>23</v>
      </c>
      <c r="I638" t="s">
        <v>27</v>
      </c>
      <c r="J638" t="s">
        <v>28</v>
      </c>
      <c r="K638" s="2">
        <v>7959.96874925252</v>
      </c>
      <c r="L638" s="2">
        <v>160666594.51508799</v>
      </c>
      <c r="M638" s="3">
        <v>11828.2190292126</v>
      </c>
      <c r="N638" s="3">
        <v>70421049.738454804</v>
      </c>
      <c r="O638" s="4">
        <v>0.51204125640128995</v>
      </c>
      <c r="P638" s="4">
        <v>1.14169209114117E-2</v>
      </c>
      <c r="Q638" s="5">
        <v>0.174887966242668</v>
      </c>
      <c r="R638" s="5">
        <v>1.6296151854315599E-3</v>
      </c>
      <c r="S638" s="6">
        <v>0.44525184118290001</v>
      </c>
      <c r="T638" s="6">
        <v>4.3849273495401297E-2</v>
      </c>
      <c r="U638" s="7">
        <v>0.29194871672208</v>
      </c>
      <c r="V638" s="7">
        <v>0.206714663526605</v>
      </c>
      <c r="W638" s="8">
        <v>0.75026909369244399</v>
      </c>
      <c r="X638" s="8">
        <v>0.18736538074244699</v>
      </c>
      <c r="Y638" s="2">
        <v>36</v>
      </c>
      <c r="Z638" s="2">
        <f>VLOOKUP(E638,YieldData!T:U,2,FALSE)</f>
        <v>2154</v>
      </c>
      <c r="AA638">
        <f t="shared" si="18"/>
        <v>0.46171693735498798</v>
      </c>
    </row>
    <row r="639" spans="1:27" hidden="1" x14ac:dyDescent="0.25">
      <c r="A639">
        <v>237</v>
      </c>
      <c r="B639">
        <v>108</v>
      </c>
      <c r="C639" t="s">
        <v>26</v>
      </c>
      <c r="D639">
        <v>25104</v>
      </c>
      <c r="E639">
        <f t="shared" si="19"/>
        <v>25104108</v>
      </c>
      <c r="F639">
        <f>VLOOKUP(E639,YieldData!D:F,2,FALSE)</f>
        <v>5</v>
      </c>
      <c r="G639">
        <f>VLOOKUP($E639,YieldData!$D:$F,3,FALSE)</f>
        <v>2</v>
      </c>
      <c r="H639">
        <v>23</v>
      </c>
      <c r="I639" t="s">
        <v>27</v>
      </c>
      <c r="J639" t="s">
        <v>28</v>
      </c>
      <c r="K639" s="2">
        <v>11491.039347007099</v>
      </c>
      <c r="L639" s="2">
        <v>245346173.70694801</v>
      </c>
      <c r="M639" s="3">
        <v>9950.3346791690201</v>
      </c>
      <c r="N639" s="3">
        <v>110761929.790336</v>
      </c>
      <c r="O639" s="4">
        <v>0.53854524914883894</v>
      </c>
      <c r="P639" s="4">
        <v>1.41283365635892E-2</v>
      </c>
      <c r="Q639" s="5">
        <v>0.168259699386162</v>
      </c>
      <c r="R639" s="5">
        <v>1.8831369764889E-3</v>
      </c>
      <c r="S639" s="6">
        <v>0.49782408681826101</v>
      </c>
      <c r="T639" s="6">
        <v>5.9124417836049402E-2</v>
      </c>
      <c r="U639" s="7">
        <v>0.382610775578545</v>
      </c>
      <c r="V639" s="7">
        <v>0.236219769989683</v>
      </c>
      <c r="W639" s="8">
        <v>0.40878863266672999</v>
      </c>
      <c r="X639" s="8">
        <v>0.24168048646892801</v>
      </c>
      <c r="Y639" s="2">
        <v>12</v>
      </c>
      <c r="Z639" s="2">
        <f>VLOOKUP(E639,YieldData!T:U,2,FALSE)</f>
        <v>2192</v>
      </c>
      <c r="AA639">
        <f t="shared" si="18"/>
        <v>0.52551636707210603</v>
      </c>
    </row>
    <row r="640" spans="1:27" hidden="1" x14ac:dyDescent="0.25">
      <c r="A640">
        <v>238</v>
      </c>
      <c r="B640">
        <v>109</v>
      </c>
      <c r="C640" t="s">
        <v>26</v>
      </c>
      <c r="D640">
        <v>25104</v>
      </c>
      <c r="E640">
        <f t="shared" si="19"/>
        <v>25104109</v>
      </c>
      <c r="F640">
        <f>VLOOKUP(E640,YieldData!D:F,2,FALSE)</f>
        <v>2</v>
      </c>
      <c r="G640">
        <f>VLOOKUP($E640,YieldData!$D:$F,3,FALSE)</f>
        <v>2</v>
      </c>
      <c r="H640">
        <v>23</v>
      </c>
      <c r="I640" t="s">
        <v>27</v>
      </c>
      <c r="J640" t="s">
        <v>28</v>
      </c>
      <c r="K640" s="2">
        <v>7888.4027541973201</v>
      </c>
      <c r="L640" s="2">
        <v>165097524.98832601</v>
      </c>
      <c r="M640" s="3">
        <v>11458.0759415711</v>
      </c>
      <c r="N640" s="3">
        <v>79596798.086468205</v>
      </c>
      <c r="O640" s="4">
        <v>0.50776785146546899</v>
      </c>
      <c r="P640" s="4">
        <v>1.0912010524696701E-2</v>
      </c>
      <c r="Q640" s="5">
        <v>0.141327644737785</v>
      </c>
      <c r="R640" s="5">
        <v>2.7190119978893002E-3</v>
      </c>
      <c r="S640" s="6">
        <v>0.44873637700653601</v>
      </c>
      <c r="T640" s="6">
        <v>4.36505155151772E-2</v>
      </c>
      <c r="U640" s="7">
        <v>0.296497516191914</v>
      </c>
      <c r="V640" s="7">
        <v>0.20858673908427799</v>
      </c>
      <c r="W640" s="8">
        <v>0.764307096319775</v>
      </c>
      <c r="X640" s="8">
        <v>0.180141758835211</v>
      </c>
      <c r="Y640" s="2">
        <v>35</v>
      </c>
      <c r="Z640" s="2">
        <f>VLOOKUP(E640,YieldData!T:U,2,FALSE)</f>
        <v>1678</v>
      </c>
      <c r="AA640">
        <f t="shared" si="18"/>
        <v>0.42171660000503097</v>
      </c>
    </row>
    <row r="641" spans="1:27" hidden="1" x14ac:dyDescent="0.25">
      <c r="A641">
        <v>221</v>
      </c>
      <c r="B641">
        <v>201</v>
      </c>
      <c r="C641" t="s">
        <v>26</v>
      </c>
      <c r="D641">
        <v>25104</v>
      </c>
      <c r="E641">
        <f t="shared" si="19"/>
        <v>25104201</v>
      </c>
      <c r="F641">
        <f>VLOOKUP(E641,YieldData!D:F,2,FALSE)</f>
        <v>5</v>
      </c>
      <c r="G641">
        <f>VLOOKUP($E641,YieldData!$D:$F,3,FALSE)</f>
        <v>4</v>
      </c>
      <c r="H641">
        <v>23</v>
      </c>
      <c r="I641" t="s">
        <v>27</v>
      </c>
      <c r="J641" t="s">
        <v>28</v>
      </c>
      <c r="K641" s="2">
        <v>6311.7302206077802</v>
      </c>
      <c r="L641" s="2">
        <v>124791446.012411</v>
      </c>
      <c r="M641" s="3">
        <v>14789.941190109501</v>
      </c>
      <c r="N641" s="3">
        <v>62486840.2155632</v>
      </c>
      <c r="O641" s="4">
        <v>0.46998720579956899</v>
      </c>
      <c r="P641" s="4">
        <v>1.23184967706185E-2</v>
      </c>
      <c r="Q641" s="5">
        <v>0.144945298860435</v>
      </c>
      <c r="R641" s="5">
        <v>1.71741475654743E-3</v>
      </c>
      <c r="S641" s="6">
        <v>0.41083738969981198</v>
      </c>
      <c r="T641" s="6">
        <v>3.9533153847409901E-2</v>
      </c>
      <c r="U641" s="7">
        <v>0.238339935956663</v>
      </c>
      <c r="V641" s="7">
        <v>0.18153401088502999</v>
      </c>
      <c r="W641" s="8">
        <v>0.87591453380927098</v>
      </c>
      <c r="X641" s="8">
        <v>0.108688263271202</v>
      </c>
      <c r="Y641" s="2">
        <v>73</v>
      </c>
      <c r="Z641" s="2">
        <f>VLOOKUP(E641,YieldData!T:U,2,FALSE)</f>
        <v>1492</v>
      </c>
      <c r="AA641">
        <f t="shared" si="18"/>
        <v>0.37392096802774499</v>
      </c>
    </row>
    <row r="642" spans="1:27" hidden="1" x14ac:dyDescent="0.25">
      <c r="A642">
        <v>222</v>
      </c>
      <c r="B642">
        <v>202</v>
      </c>
      <c r="C642" t="s">
        <v>26</v>
      </c>
      <c r="D642">
        <v>25104</v>
      </c>
      <c r="E642">
        <f t="shared" si="19"/>
        <v>25104202</v>
      </c>
      <c r="F642">
        <f>VLOOKUP(E642,YieldData!D:F,2,FALSE)</f>
        <v>1</v>
      </c>
      <c r="G642">
        <f>VLOOKUP($E642,YieldData!$D:$F,3,FALSE)</f>
        <v>4</v>
      </c>
      <c r="H642">
        <v>23</v>
      </c>
      <c r="I642" t="s">
        <v>27</v>
      </c>
      <c r="J642" t="s">
        <v>28</v>
      </c>
      <c r="K642" s="2">
        <v>10356.2783237436</v>
      </c>
      <c r="L642" s="2">
        <v>174888189.160557</v>
      </c>
      <c r="M642" s="3">
        <v>10994.6139649285</v>
      </c>
      <c r="N642" s="3">
        <v>93618625.396329701</v>
      </c>
      <c r="O642" s="4">
        <v>0.53495153066136403</v>
      </c>
      <c r="P642" s="4">
        <v>1.7618536543736501E-2</v>
      </c>
      <c r="Q642" s="5">
        <v>0.17444023299740299</v>
      </c>
      <c r="R642" s="5">
        <v>2.7408040107476102E-3</v>
      </c>
      <c r="S642" s="6">
        <v>0.50893549646921799</v>
      </c>
      <c r="T642" s="6">
        <v>5.2461595685102898E-2</v>
      </c>
      <c r="U642" s="7">
        <v>0.39359183257803299</v>
      </c>
      <c r="V642" s="7">
        <v>0.238677301906039</v>
      </c>
      <c r="W642" s="8">
        <v>0.64593940936863503</v>
      </c>
      <c r="X642" s="8">
        <v>0.228701688793081</v>
      </c>
      <c r="Y642" s="2">
        <v>35</v>
      </c>
      <c r="Z642" s="2">
        <f>VLOOKUP(E642,YieldData!T:U,2,FALSE)</f>
        <v>3107</v>
      </c>
      <c r="AA642">
        <f t="shared" ref="AA642:AA705" si="20">_xlfn.MAXIFS(U:U,E:E,E642)</f>
        <v>0.58287292817679603</v>
      </c>
    </row>
    <row r="643" spans="1:27" hidden="1" x14ac:dyDescent="0.25">
      <c r="A643">
        <v>223</v>
      </c>
      <c r="B643">
        <v>203</v>
      </c>
      <c r="C643" t="s">
        <v>26</v>
      </c>
      <c r="D643">
        <v>25104</v>
      </c>
      <c r="E643">
        <f t="shared" ref="E643:E706" si="21">D643*1000+B643</f>
        <v>25104203</v>
      </c>
      <c r="F643">
        <f>VLOOKUP(E643,YieldData!D:F,2,FALSE)</f>
        <v>3</v>
      </c>
      <c r="G643">
        <f>VLOOKUP($E643,YieldData!$D:$F,3,FALSE)</f>
        <v>4</v>
      </c>
      <c r="H643">
        <v>23</v>
      </c>
      <c r="I643" t="s">
        <v>27</v>
      </c>
      <c r="J643" t="s">
        <v>28</v>
      </c>
      <c r="K643" s="2">
        <v>8932.2292282115995</v>
      </c>
      <c r="L643" s="2">
        <v>174217476.288367</v>
      </c>
      <c r="M643" s="3">
        <v>13190.5747234597</v>
      </c>
      <c r="N643" s="3">
        <v>89001068.275833398</v>
      </c>
      <c r="O643" s="4">
        <v>0.51152562759058795</v>
      </c>
      <c r="P643" s="4">
        <v>1.47988704432065E-2</v>
      </c>
      <c r="Q643" s="5">
        <v>0.171566305079249</v>
      </c>
      <c r="R643" s="5">
        <v>2.3994620865810099E-3</v>
      </c>
      <c r="S643" s="6">
        <v>0.46389033228427701</v>
      </c>
      <c r="T643" s="6">
        <v>4.9594913140243099E-2</v>
      </c>
      <c r="U643" s="7">
        <v>0.324526677111863</v>
      </c>
      <c r="V643" s="7">
        <v>0.219209112954631</v>
      </c>
      <c r="W643" s="8">
        <v>0.50927531725053499</v>
      </c>
      <c r="X643" s="8">
        <v>0.249913968489655</v>
      </c>
      <c r="Y643" s="2">
        <v>23</v>
      </c>
      <c r="Z643" s="2">
        <f>VLOOKUP(E643,YieldData!T:U,2,FALSE)</f>
        <v>1849</v>
      </c>
      <c r="AA643">
        <f t="shared" si="20"/>
        <v>0.52339947137406895</v>
      </c>
    </row>
    <row r="644" spans="1:27" hidden="1" x14ac:dyDescent="0.25">
      <c r="A644">
        <v>224</v>
      </c>
      <c r="B644">
        <v>204</v>
      </c>
      <c r="C644" t="s">
        <v>26</v>
      </c>
      <c r="D644">
        <v>25104</v>
      </c>
      <c r="E644">
        <f t="shared" si="21"/>
        <v>25104204</v>
      </c>
      <c r="F644">
        <f>VLOOKUP(E644,YieldData!D:F,2,FALSE)</f>
        <v>4</v>
      </c>
      <c r="G644">
        <f>VLOOKUP($E644,YieldData!$D:$F,3,FALSE)</f>
        <v>3</v>
      </c>
      <c r="H644">
        <v>23</v>
      </c>
      <c r="I644" t="s">
        <v>27</v>
      </c>
      <c r="J644" t="s">
        <v>28</v>
      </c>
      <c r="K644" s="2">
        <v>9507.7382160414309</v>
      </c>
      <c r="L644" s="2">
        <v>148594978.482824</v>
      </c>
      <c r="M644" s="3">
        <v>11987.0296102918</v>
      </c>
      <c r="N644" s="3">
        <v>95799135.7793632</v>
      </c>
      <c r="O644" s="4">
        <v>0.52907779604821803</v>
      </c>
      <c r="P644" s="4">
        <v>1.7127875728310801E-2</v>
      </c>
      <c r="Q644" s="5">
        <v>0.179071038024287</v>
      </c>
      <c r="R644" s="5">
        <v>3.2283986970345398E-3</v>
      </c>
      <c r="S644" s="6">
        <v>0.48708194015788697</v>
      </c>
      <c r="T644" s="6">
        <v>5.5929020319993701E-2</v>
      </c>
      <c r="U644" s="7">
        <v>0.38707642156733901</v>
      </c>
      <c r="V644" s="7">
        <v>0.23724826543366201</v>
      </c>
      <c r="W644" s="8">
        <v>0.72949031359251404</v>
      </c>
      <c r="X644" s="8">
        <v>0.19733419596735</v>
      </c>
      <c r="Y644" s="2">
        <v>31</v>
      </c>
      <c r="Z644" s="2">
        <f>VLOOKUP(E644,YieldData!T:U,2,FALSE)</f>
        <v>2033</v>
      </c>
      <c r="AA644">
        <f t="shared" si="20"/>
        <v>0.56408874635261996</v>
      </c>
    </row>
    <row r="645" spans="1:27" hidden="1" x14ac:dyDescent="0.25">
      <c r="A645">
        <v>225</v>
      </c>
      <c r="B645">
        <v>205</v>
      </c>
      <c r="C645" t="s">
        <v>26</v>
      </c>
      <c r="D645">
        <v>25104</v>
      </c>
      <c r="E645">
        <f t="shared" si="21"/>
        <v>25104205</v>
      </c>
      <c r="F645">
        <f>VLOOKUP(E645,YieldData!D:F,2,FALSE)</f>
        <v>2</v>
      </c>
      <c r="G645">
        <f>VLOOKUP($E645,YieldData!$D:$F,3,FALSE)</f>
        <v>3</v>
      </c>
      <c r="H645">
        <v>23</v>
      </c>
      <c r="I645" t="s">
        <v>27</v>
      </c>
      <c r="J645" t="s">
        <v>28</v>
      </c>
      <c r="K645" s="2">
        <v>8862.8904227890598</v>
      </c>
      <c r="L645" s="2">
        <v>151873550.04165</v>
      </c>
      <c r="M645" s="3">
        <v>12198.636159514699</v>
      </c>
      <c r="N645" s="3">
        <v>97080962.880865097</v>
      </c>
      <c r="O645" s="4">
        <v>0.52908753898799399</v>
      </c>
      <c r="P645" s="4">
        <v>1.5645344734670399E-2</v>
      </c>
      <c r="Q645" s="5">
        <v>0.176104915260057</v>
      </c>
      <c r="R645" s="5">
        <v>2.98256242470779E-3</v>
      </c>
      <c r="S645" s="6">
        <v>0.47634890841545802</v>
      </c>
      <c r="T645" s="6">
        <v>5.35088072278911E-2</v>
      </c>
      <c r="U645" s="7">
        <v>0.355928809231771</v>
      </c>
      <c r="V645" s="7">
        <v>0.229243491990929</v>
      </c>
      <c r="W645" s="8">
        <v>0.74717434568735697</v>
      </c>
      <c r="X645" s="8">
        <v>0.18890484283425801</v>
      </c>
      <c r="Y645" s="2">
        <v>35</v>
      </c>
      <c r="Z645" s="2">
        <f>VLOOKUP(E645,YieldData!T:U,2,FALSE)</f>
        <v>2592</v>
      </c>
      <c r="AA645">
        <f t="shared" si="20"/>
        <v>0.49701490669236598</v>
      </c>
    </row>
    <row r="646" spans="1:27" hidden="1" x14ac:dyDescent="0.25">
      <c r="A646">
        <v>226</v>
      </c>
      <c r="B646">
        <v>206</v>
      </c>
      <c r="C646" t="s">
        <v>26</v>
      </c>
      <c r="D646">
        <v>25104</v>
      </c>
      <c r="E646">
        <f t="shared" si="21"/>
        <v>25104206</v>
      </c>
      <c r="F646">
        <f>VLOOKUP(E646,YieldData!D:F,2,FALSE)</f>
        <v>3</v>
      </c>
      <c r="G646">
        <f>VLOOKUP($E646,YieldData!$D:$F,3,FALSE)</f>
        <v>3</v>
      </c>
      <c r="H646">
        <v>23</v>
      </c>
      <c r="I646" t="s">
        <v>27</v>
      </c>
      <c r="J646" t="s">
        <v>28</v>
      </c>
      <c r="K646" s="2">
        <v>10082.2863140017</v>
      </c>
      <c r="L646" s="2">
        <v>203083867.62316999</v>
      </c>
      <c r="M646" s="3">
        <v>11119.8050617792</v>
      </c>
      <c r="N646" s="3">
        <v>86852058.771870106</v>
      </c>
      <c r="O646" s="4">
        <v>0.52788609089861005</v>
      </c>
      <c r="P646" s="4">
        <v>1.2345897667635801E-2</v>
      </c>
      <c r="Q646" s="5">
        <v>0.14837704483015901</v>
      </c>
      <c r="R646" s="5">
        <v>3.0364650869613798E-3</v>
      </c>
      <c r="S646" s="6">
        <v>0.47831814746429002</v>
      </c>
      <c r="T646" s="6">
        <v>5.1286577554905698E-2</v>
      </c>
      <c r="U646" s="7">
        <v>0.36417457033165501</v>
      </c>
      <c r="V646" s="7">
        <v>0.231551452654955</v>
      </c>
      <c r="W646" s="8">
        <v>0.86847109760910901</v>
      </c>
      <c r="X646" s="8">
        <v>0.11422905022669699</v>
      </c>
      <c r="Y646" s="2">
        <v>65</v>
      </c>
      <c r="Z646" s="2">
        <f>VLOOKUP(E646,YieldData!T:U,2,FALSE)</f>
        <v>1865</v>
      </c>
      <c r="AA646">
        <f t="shared" si="20"/>
        <v>0.49840916702550098</v>
      </c>
    </row>
    <row r="647" spans="1:27" hidden="1" x14ac:dyDescent="0.25">
      <c r="A647">
        <v>227</v>
      </c>
      <c r="B647">
        <v>207</v>
      </c>
      <c r="C647" t="s">
        <v>26</v>
      </c>
      <c r="D647">
        <v>25104</v>
      </c>
      <c r="E647">
        <f t="shared" si="21"/>
        <v>25104207</v>
      </c>
      <c r="F647">
        <f>VLOOKUP(E647,YieldData!D:F,2,FALSE)</f>
        <v>1</v>
      </c>
      <c r="G647">
        <f>VLOOKUP($E647,YieldData!$D:$F,3,FALSE)</f>
        <v>3</v>
      </c>
      <c r="H647">
        <v>23</v>
      </c>
      <c r="I647" t="s">
        <v>27</v>
      </c>
      <c r="J647" t="s">
        <v>28</v>
      </c>
      <c r="K647" s="2">
        <v>10670.8618411266</v>
      </c>
      <c r="L647" s="2">
        <v>205155101.85601699</v>
      </c>
      <c r="M647" s="3">
        <v>9576.0879952064006</v>
      </c>
      <c r="N647" s="3">
        <v>90275721.118487805</v>
      </c>
      <c r="O647" s="4">
        <v>0.54450479797472495</v>
      </c>
      <c r="P647" s="4">
        <v>1.28029623475746E-2</v>
      </c>
      <c r="Q647" s="5">
        <v>0.139623915284143</v>
      </c>
      <c r="R647" s="5">
        <v>2.7233090641325302E-3</v>
      </c>
      <c r="S647" s="6">
        <v>0.49963899764158998</v>
      </c>
      <c r="T647" s="6">
        <v>5.2876645396599503E-2</v>
      </c>
      <c r="U647" s="7">
        <v>0.40005950314870797</v>
      </c>
      <c r="V647" s="7">
        <v>0.240011897089106</v>
      </c>
      <c r="W647" s="8">
        <v>0.68743414609958997</v>
      </c>
      <c r="X647" s="8">
        <v>0.21486844087593299</v>
      </c>
      <c r="Y647" s="2">
        <v>38</v>
      </c>
      <c r="Z647" s="2">
        <f>VLOOKUP(E647,YieldData!T:U,2,FALSE)</f>
        <v>2723</v>
      </c>
      <c r="AA647">
        <f t="shared" si="20"/>
        <v>0.59957852981281801</v>
      </c>
    </row>
    <row r="648" spans="1:27" hidden="1" x14ac:dyDescent="0.25">
      <c r="A648">
        <v>228</v>
      </c>
      <c r="B648">
        <v>208</v>
      </c>
      <c r="C648" t="s">
        <v>26</v>
      </c>
      <c r="D648">
        <v>25104</v>
      </c>
      <c r="E648">
        <f t="shared" si="21"/>
        <v>25104208</v>
      </c>
      <c r="F648">
        <f>VLOOKUP(E648,YieldData!D:F,2,FALSE)</f>
        <v>5</v>
      </c>
      <c r="G648">
        <f>VLOOKUP($E648,YieldData!$D:$F,3,FALSE)</f>
        <v>3</v>
      </c>
      <c r="H648">
        <v>23</v>
      </c>
      <c r="I648" t="s">
        <v>27</v>
      </c>
      <c r="J648" t="s">
        <v>28</v>
      </c>
      <c r="K648" s="2">
        <v>15188.757543502999</v>
      </c>
      <c r="L648" s="2">
        <v>290350742.53911102</v>
      </c>
      <c r="M648" s="3">
        <v>6914.18913893632</v>
      </c>
      <c r="N648" s="3">
        <v>114609660.130218</v>
      </c>
      <c r="O648" s="4">
        <v>0.55929462348831005</v>
      </c>
      <c r="P648" s="4">
        <v>1.4885220113444401E-2</v>
      </c>
      <c r="Q648" s="5">
        <v>0.14648578767118101</v>
      </c>
      <c r="R648" s="5">
        <v>3.3472552902048501E-3</v>
      </c>
      <c r="S648" s="6">
        <v>0.560021437107733</v>
      </c>
      <c r="T648" s="6">
        <v>6.3600708711366999E-2</v>
      </c>
      <c r="U648" s="7">
        <v>0.48808228188722103</v>
      </c>
      <c r="V648" s="7">
        <v>0.249857967995152</v>
      </c>
      <c r="W648" s="8">
        <v>0.32247802427794098</v>
      </c>
      <c r="X648" s="8">
        <v>0.21848594813569999</v>
      </c>
      <c r="Y648" s="2">
        <v>13</v>
      </c>
      <c r="Z648" s="2">
        <f>VLOOKUP(E648,YieldData!T:U,2,FALSE)</f>
        <v>2342</v>
      </c>
      <c r="AA648">
        <f t="shared" si="20"/>
        <v>0.597065084794412</v>
      </c>
    </row>
    <row r="649" spans="1:27" hidden="1" x14ac:dyDescent="0.25">
      <c r="A649">
        <v>229</v>
      </c>
      <c r="B649">
        <v>209</v>
      </c>
      <c r="C649" t="s">
        <v>26</v>
      </c>
      <c r="D649">
        <v>25104</v>
      </c>
      <c r="E649">
        <f t="shared" si="21"/>
        <v>25104209</v>
      </c>
      <c r="F649">
        <f>VLOOKUP(E649,YieldData!D:F,2,FALSE)</f>
        <v>3</v>
      </c>
      <c r="G649">
        <f>VLOOKUP($E649,YieldData!$D:$F,3,FALSE)</f>
        <v>2</v>
      </c>
      <c r="H649">
        <v>23</v>
      </c>
      <c r="I649" t="s">
        <v>27</v>
      </c>
      <c r="J649" t="s">
        <v>28</v>
      </c>
      <c r="K649" s="2">
        <v>14336.1367675608</v>
      </c>
      <c r="L649" s="2">
        <v>282078819.05194598</v>
      </c>
      <c r="M649" s="3">
        <v>7396.08588325869</v>
      </c>
      <c r="N649" s="3">
        <v>107666100.086487</v>
      </c>
      <c r="O649" s="4">
        <v>0.54592798354364303</v>
      </c>
      <c r="P649" s="4">
        <v>1.0861822258234099E-2</v>
      </c>
      <c r="Q649" s="5">
        <v>0.14363836914627401</v>
      </c>
      <c r="R649" s="5">
        <v>1.8197052486161401E-3</v>
      </c>
      <c r="S649" s="6">
        <v>0.55621381338869202</v>
      </c>
      <c r="T649" s="6">
        <v>4.7230941053615701E-2</v>
      </c>
      <c r="U649" s="7">
        <v>0.49174254231263498</v>
      </c>
      <c r="V649" s="7">
        <v>0.249931814392712</v>
      </c>
      <c r="W649" s="8">
        <v>0.85319169298497499</v>
      </c>
      <c r="X649" s="8">
        <v>0.125255628006433</v>
      </c>
      <c r="Y649" s="2">
        <v>56</v>
      </c>
      <c r="Z649" s="2">
        <f>VLOOKUP(E649,YieldData!T:U,2,FALSE)</f>
        <v>2259</v>
      </c>
      <c r="AA649">
        <f t="shared" si="20"/>
        <v>0.65496356452428794</v>
      </c>
    </row>
    <row r="650" spans="1:27" hidden="1" x14ac:dyDescent="0.25">
      <c r="A650">
        <v>212</v>
      </c>
      <c r="B650">
        <v>301</v>
      </c>
      <c r="C650" t="s">
        <v>26</v>
      </c>
      <c r="D650">
        <v>25104</v>
      </c>
      <c r="E650">
        <f t="shared" si="21"/>
        <v>25104301</v>
      </c>
      <c r="F650">
        <f>VLOOKUP(E650,YieldData!D:F,2,FALSE)</f>
        <v>2</v>
      </c>
      <c r="G650">
        <f>VLOOKUP($E650,YieldData!$D:$F,3,FALSE)</f>
        <v>4</v>
      </c>
      <c r="H650">
        <v>23</v>
      </c>
      <c r="I650" t="s">
        <v>27</v>
      </c>
      <c r="J650" t="s">
        <v>28</v>
      </c>
      <c r="K650" s="2">
        <v>12780.8064325798</v>
      </c>
      <c r="L650" s="2">
        <v>204376323.91812301</v>
      </c>
      <c r="M650" s="3">
        <v>9301.8781881637206</v>
      </c>
      <c r="N650" s="3">
        <v>94646919.639605999</v>
      </c>
      <c r="O650" s="4">
        <v>0.56104014636925703</v>
      </c>
      <c r="P650" s="4">
        <v>1.3859379203166201E-2</v>
      </c>
      <c r="Q650" s="5">
        <v>0.14868778592116999</v>
      </c>
      <c r="R650" s="5">
        <v>3.3493111398728102E-3</v>
      </c>
      <c r="S650" s="6">
        <v>0.55405106121063497</v>
      </c>
      <c r="T650" s="6">
        <v>4.8790317937307898E-2</v>
      </c>
      <c r="U650" s="7">
        <v>0.474301148581318</v>
      </c>
      <c r="V650" s="7">
        <v>0.249339569035854</v>
      </c>
      <c r="W650" s="8">
        <v>0.83956363827081204</v>
      </c>
      <c r="X650" s="8">
        <v>0.13469653556441</v>
      </c>
      <c r="Y650" s="2">
        <v>82</v>
      </c>
      <c r="Z650" s="2">
        <f>VLOOKUP(E650,YieldData!T:U,2,FALSE)</f>
        <v>2760</v>
      </c>
      <c r="AA650">
        <f t="shared" si="20"/>
        <v>0.61340273771437603</v>
      </c>
    </row>
    <row r="651" spans="1:27" hidden="1" x14ac:dyDescent="0.25">
      <c r="A651">
        <v>213</v>
      </c>
      <c r="B651">
        <v>302</v>
      </c>
      <c r="C651" t="s">
        <v>26</v>
      </c>
      <c r="D651">
        <v>25104</v>
      </c>
      <c r="E651">
        <f t="shared" si="21"/>
        <v>25104302</v>
      </c>
      <c r="F651">
        <f>VLOOKUP(E651,YieldData!D:F,2,FALSE)</f>
        <v>4</v>
      </c>
      <c r="G651">
        <f>VLOOKUP($E651,YieldData!$D:$F,3,FALSE)</f>
        <v>4</v>
      </c>
      <c r="H651">
        <v>23</v>
      </c>
      <c r="I651" t="s">
        <v>27</v>
      </c>
      <c r="J651" t="s">
        <v>28</v>
      </c>
      <c r="K651" s="2">
        <v>12272.561766357199</v>
      </c>
      <c r="L651" s="2">
        <v>187470261.721448</v>
      </c>
      <c r="M651" s="3">
        <v>10202.259366062401</v>
      </c>
      <c r="N651" s="3">
        <v>112832611.651647</v>
      </c>
      <c r="O651" s="4">
        <v>0.55383315658635301</v>
      </c>
      <c r="P651" s="4">
        <v>1.7582028173778401E-2</v>
      </c>
      <c r="Q651" s="5">
        <v>0.142016074075862</v>
      </c>
      <c r="R651" s="5">
        <v>3.96451648701207E-3</v>
      </c>
      <c r="S651" s="6">
        <v>0.53483635903888105</v>
      </c>
      <c r="T651" s="6">
        <v>5.7796450495294499E-2</v>
      </c>
      <c r="U651" s="7">
        <v>0.43930432057659902</v>
      </c>
      <c r="V651" s="7">
        <v>0.246316034499448</v>
      </c>
      <c r="W651" s="8">
        <v>0.83720231878002904</v>
      </c>
      <c r="X651" s="8">
        <v>0.13629459620939</v>
      </c>
      <c r="Y651" s="2">
        <v>47</v>
      </c>
      <c r="Z651" s="2">
        <f>VLOOKUP(E651,YieldData!T:U,2,FALSE)</f>
        <v>2118</v>
      </c>
      <c r="AA651">
        <f t="shared" si="20"/>
        <v>0.63668411912937894</v>
      </c>
    </row>
    <row r="652" spans="1:27" hidden="1" x14ac:dyDescent="0.25">
      <c r="A652">
        <v>214</v>
      </c>
      <c r="B652">
        <v>303</v>
      </c>
      <c r="C652" t="s">
        <v>26</v>
      </c>
      <c r="D652" t="s">
        <v>100</v>
      </c>
      <c r="E652" t="e">
        <f t="shared" si="21"/>
        <v>#VALUE!</v>
      </c>
      <c r="H652">
        <v>23</v>
      </c>
      <c r="I652" t="s">
        <v>27</v>
      </c>
      <c r="J652" t="s">
        <v>28</v>
      </c>
      <c r="K652" s="2">
        <v>11418.1089381777</v>
      </c>
      <c r="L652" s="2">
        <v>172168830.25407499</v>
      </c>
      <c r="M652" s="3">
        <v>12007.367170912101</v>
      </c>
      <c r="N652" s="3">
        <v>115541991.274611</v>
      </c>
      <c r="O652" s="4">
        <v>0.53115070834299505</v>
      </c>
      <c r="P652" s="4">
        <v>1.9783889614018502E-2</v>
      </c>
      <c r="Q652" s="5">
        <v>0.129859256913466</v>
      </c>
      <c r="R652" s="5">
        <v>3.9501742476914696E-3</v>
      </c>
      <c r="S652" s="6">
        <v>0.50172185697065996</v>
      </c>
      <c r="T652" s="6">
        <v>6.2981051221639495E-2</v>
      </c>
      <c r="U652" s="7">
        <v>0.39419686375507001</v>
      </c>
      <c r="V652" s="7">
        <v>0.23880569636072699</v>
      </c>
      <c r="W652" s="8">
        <v>0.76698678604953396</v>
      </c>
      <c r="X652" s="8">
        <v>0.17871805607487401</v>
      </c>
      <c r="Y652" s="2">
        <v>55</v>
      </c>
      <c r="Z652" s="2" t="e">
        <f>VLOOKUP(E652,YieldData!T:U,2,FALSE)</f>
        <v>#VALUE!</v>
      </c>
      <c r="AA652">
        <f t="shared" si="20"/>
        <v>0.913534329143595</v>
      </c>
    </row>
    <row r="653" spans="1:27" hidden="1" x14ac:dyDescent="0.25">
      <c r="A653">
        <v>215</v>
      </c>
      <c r="B653">
        <v>304</v>
      </c>
      <c r="C653" t="s">
        <v>26</v>
      </c>
      <c r="D653" t="s">
        <v>100</v>
      </c>
      <c r="E653" t="e">
        <f t="shared" si="21"/>
        <v>#VALUE!</v>
      </c>
      <c r="H653">
        <v>23</v>
      </c>
      <c r="I653" t="s">
        <v>27</v>
      </c>
      <c r="J653" t="s">
        <v>28</v>
      </c>
      <c r="K653" s="2">
        <v>11711.0502563072</v>
      </c>
      <c r="L653" s="2">
        <v>158198656.38585499</v>
      </c>
      <c r="M653" s="3">
        <v>11543.723379915</v>
      </c>
      <c r="N653" s="3">
        <v>97211695.609732106</v>
      </c>
      <c r="O653" s="4">
        <v>0.53368202306220802</v>
      </c>
      <c r="P653" s="4">
        <v>1.2253381799064499E-2</v>
      </c>
      <c r="Q653" s="5">
        <v>0.12981272867724</v>
      </c>
      <c r="R653" s="5">
        <v>3.6656807919294202E-3</v>
      </c>
      <c r="S653" s="6">
        <v>0.51571438230556299</v>
      </c>
      <c r="T653" s="6">
        <v>4.6677104477021898E-2</v>
      </c>
      <c r="U653" s="7">
        <v>0.44805651680714498</v>
      </c>
      <c r="V653" s="7">
        <v>0.24730187455415401</v>
      </c>
      <c r="W653" s="8">
        <v>0.84594730418551201</v>
      </c>
      <c r="X653" s="8">
        <v>0.13032046272683701</v>
      </c>
      <c r="Y653" s="2">
        <v>37</v>
      </c>
      <c r="Z653" s="2" t="e">
        <f>VLOOKUP(E653,YieldData!T:U,2,FALSE)</f>
        <v>#VALUE!</v>
      </c>
      <c r="AA653">
        <f t="shared" si="20"/>
        <v>0.913534329143595</v>
      </c>
    </row>
    <row r="654" spans="1:27" hidden="1" x14ac:dyDescent="0.25">
      <c r="A654">
        <v>216</v>
      </c>
      <c r="B654">
        <v>305</v>
      </c>
      <c r="C654" t="s">
        <v>26</v>
      </c>
      <c r="D654" t="s">
        <v>100</v>
      </c>
      <c r="E654" t="e">
        <f t="shared" si="21"/>
        <v>#VALUE!</v>
      </c>
      <c r="H654">
        <v>23</v>
      </c>
      <c r="I654" t="s">
        <v>27</v>
      </c>
      <c r="J654" t="s">
        <v>28</v>
      </c>
      <c r="K654" s="2">
        <v>12987.3592801466</v>
      </c>
      <c r="L654" s="2">
        <v>200413397.98741999</v>
      </c>
      <c r="M654" s="3">
        <v>9488.0754307296902</v>
      </c>
      <c r="N654" s="3">
        <v>100959671.384964</v>
      </c>
      <c r="O654" s="4">
        <v>0.55949759509922103</v>
      </c>
      <c r="P654" s="4">
        <v>1.25285666917234E-2</v>
      </c>
      <c r="Q654" s="5">
        <v>0.14053946780131699</v>
      </c>
      <c r="R654" s="5">
        <v>3.5946442526631301E-3</v>
      </c>
      <c r="S654" s="6">
        <v>0.55026773516793603</v>
      </c>
      <c r="T654" s="6">
        <v>4.9945282323840101E-2</v>
      </c>
      <c r="U654" s="7">
        <v>0.48070452722200302</v>
      </c>
      <c r="V654" s="7">
        <v>0.249627684730413</v>
      </c>
      <c r="W654" s="8">
        <v>0.79340980387461402</v>
      </c>
      <c r="X654" s="8">
        <v>0.163910686990414</v>
      </c>
      <c r="Y654" s="2">
        <v>44</v>
      </c>
      <c r="Z654" s="2" t="e">
        <f>VLOOKUP(E654,YieldData!T:U,2,FALSE)</f>
        <v>#VALUE!</v>
      </c>
      <c r="AA654">
        <f t="shared" si="20"/>
        <v>0.913534329143595</v>
      </c>
    </row>
    <row r="655" spans="1:27" hidden="1" x14ac:dyDescent="0.25">
      <c r="A655">
        <v>217</v>
      </c>
      <c r="B655">
        <v>306</v>
      </c>
      <c r="C655" t="s">
        <v>26</v>
      </c>
      <c r="D655" t="s">
        <v>100</v>
      </c>
      <c r="E655" t="e">
        <f t="shared" si="21"/>
        <v>#VALUE!</v>
      </c>
      <c r="H655">
        <v>23</v>
      </c>
      <c r="I655" t="s">
        <v>27</v>
      </c>
      <c r="J655" t="s">
        <v>28</v>
      </c>
      <c r="K655" s="2">
        <v>13684.070647753901</v>
      </c>
      <c r="L655" s="2">
        <v>233956899.18384501</v>
      </c>
      <c r="M655" s="3">
        <v>8581.0032345680793</v>
      </c>
      <c r="N655" s="3">
        <v>97306289.655192003</v>
      </c>
      <c r="O655" s="4">
        <v>0.55756920597980797</v>
      </c>
      <c r="P655" s="4">
        <v>1.2189731548132E-2</v>
      </c>
      <c r="Q655" s="5">
        <v>0.13731721224483601</v>
      </c>
      <c r="R655" s="5">
        <v>2.3346888629188801E-3</v>
      </c>
      <c r="S655" s="6">
        <v>0.54737487963186904</v>
      </c>
      <c r="T655" s="6">
        <v>5.1020571576557101E-2</v>
      </c>
      <c r="U655" s="7">
        <v>0.47398698751375401</v>
      </c>
      <c r="V655" s="7">
        <v>0.24932332318116701</v>
      </c>
      <c r="W655" s="8">
        <v>0.74335055491771895</v>
      </c>
      <c r="X655" s="8">
        <v>0.19078050742151201</v>
      </c>
      <c r="Y655" s="2">
        <v>45</v>
      </c>
      <c r="Z655" s="2" t="e">
        <f>VLOOKUP(E655,YieldData!T:U,2,FALSE)</f>
        <v>#VALUE!</v>
      </c>
      <c r="AA655">
        <f t="shared" si="20"/>
        <v>0.913534329143595</v>
      </c>
    </row>
    <row r="656" spans="1:27" hidden="1" x14ac:dyDescent="0.25">
      <c r="A656">
        <v>218</v>
      </c>
      <c r="B656">
        <v>307</v>
      </c>
      <c r="C656" t="s">
        <v>26</v>
      </c>
      <c r="D656" t="s">
        <v>100</v>
      </c>
      <c r="E656" t="e">
        <f t="shared" si="21"/>
        <v>#VALUE!</v>
      </c>
      <c r="H656">
        <v>23</v>
      </c>
      <c r="I656" t="s">
        <v>27</v>
      </c>
      <c r="J656" t="s">
        <v>28</v>
      </c>
      <c r="K656" s="2">
        <v>11808.2023728235</v>
      </c>
      <c r="L656" s="2">
        <v>224002520.38903999</v>
      </c>
      <c r="M656" s="3">
        <v>9403.3725576574907</v>
      </c>
      <c r="N656" s="3">
        <v>90406849.844765499</v>
      </c>
      <c r="O656" s="4">
        <v>0.53506407430825598</v>
      </c>
      <c r="P656" s="4">
        <v>1.21464532014264E-2</v>
      </c>
      <c r="Q656" s="5">
        <v>0.13156479212278299</v>
      </c>
      <c r="R656" s="5">
        <v>2.2112588530625102E-3</v>
      </c>
      <c r="S656" s="6">
        <v>0.50887381527473896</v>
      </c>
      <c r="T656" s="6">
        <v>4.9641564388600602E-2</v>
      </c>
      <c r="U656" s="7">
        <v>0.414134516899966</v>
      </c>
      <c r="V656" s="7">
        <v>0.242627118812177</v>
      </c>
      <c r="W656" s="8">
        <v>0.74373231879816604</v>
      </c>
      <c r="X656" s="8">
        <v>0.19059455677336101</v>
      </c>
      <c r="Y656" s="2">
        <v>44</v>
      </c>
      <c r="Z656" s="2" t="e">
        <f>VLOOKUP(E656,YieldData!T:U,2,FALSE)</f>
        <v>#VALUE!</v>
      </c>
      <c r="AA656">
        <f t="shared" si="20"/>
        <v>0.913534329143595</v>
      </c>
    </row>
    <row r="657" spans="1:27" hidden="1" x14ac:dyDescent="0.25">
      <c r="A657">
        <v>219</v>
      </c>
      <c r="B657">
        <v>308</v>
      </c>
      <c r="C657" t="s">
        <v>26</v>
      </c>
      <c r="D657" t="s">
        <v>100</v>
      </c>
      <c r="E657" t="e">
        <f t="shared" si="21"/>
        <v>#VALUE!</v>
      </c>
      <c r="H657">
        <v>23</v>
      </c>
      <c r="I657" t="s">
        <v>27</v>
      </c>
      <c r="J657" t="s">
        <v>28</v>
      </c>
      <c r="K657" s="2">
        <v>15359.7190116251</v>
      </c>
      <c r="L657" s="2">
        <v>318333804.937783</v>
      </c>
      <c r="M657" s="3">
        <v>8340.7242976659199</v>
      </c>
      <c r="N657" s="3">
        <v>111574812.79117</v>
      </c>
      <c r="O657" s="4">
        <v>0.54579359681481399</v>
      </c>
      <c r="P657" s="4">
        <v>1.2922265191180201E-2</v>
      </c>
      <c r="Q657" s="5">
        <v>0.13422038658608201</v>
      </c>
      <c r="R657" s="5">
        <v>2.2338805755191802E-3</v>
      </c>
      <c r="S657" s="6">
        <v>0.53339924219720702</v>
      </c>
      <c r="T657" s="6">
        <v>5.9422672583293798E-2</v>
      </c>
      <c r="U657" s="7">
        <v>0.46109410132516898</v>
      </c>
      <c r="V657" s="7">
        <v>0.24848633104853099</v>
      </c>
      <c r="W657" s="8">
        <v>0.58448051093755604</v>
      </c>
      <c r="X657" s="8">
        <v>0.24286304327163499</v>
      </c>
      <c r="Y657" s="2">
        <v>27</v>
      </c>
      <c r="Z657" s="2" t="e">
        <f>VLOOKUP(E657,YieldData!T:U,2,FALSE)</f>
        <v>#VALUE!</v>
      </c>
      <c r="AA657">
        <f t="shared" si="20"/>
        <v>0.913534329143595</v>
      </c>
    </row>
    <row r="658" spans="1:27" hidden="1" x14ac:dyDescent="0.25">
      <c r="A658">
        <v>220</v>
      </c>
      <c r="B658">
        <v>309</v>
      </c>
      <c r="C658" t="s">
        <v>26</v>
      </c>
      <c r="D658" t="s">
        <v>100</v>
      </c>
      <c r="E658" t="e">
        <f t="shared" si="21"/>
        <v>#VALUE!</v>
      </c>
      <c r="H658">
        <v>23</v>
      </c>
      <c r="I658" t="s">
        <v>27</v>
      </c>
      <c r="J658" t="s">
        <v>28</v>
      </c>
      <c r="K658" s="2">
        <v>16389.105911163399</v>
      </c>
      <c r="L658" s="2">
        <v>304821582.10927999</v>
      </c>
      <c r="M658" s="3">
        <v>6502.5566500074801</v>
      </c>
      <c r="N658" s="3">
        <v>93396031.112539604</v>
      </c>
      <c r="O658" s="4">
        <v>0.56929534272749904</v>
      </c>
      <c r="P658" s="4">
        <v>1.0603779519038599E-2</v>
      </c>
      <c r="Q658" s="5">
        <v>0.15161648889332399</v>
      </c>
      <c r="R658" s="5">
        <v>2.3560008961433002E-3</v>
      </c>
      <c r="S658" s="6">
        <v>0.57578344025328998</v>
      </c>
      <c r="T658" s="6">
        <v>5.0294207131194799E-2</v>
      </c>
      <c r="U658" s="7">
        <v>0.55155524888040997</v>
      </c>
      <c r="V658" s="7">
        <v>0.24734205631301501</v>
      </c>
      <c r="W658" s="8">
        <v>0.90563944363262405</v>
      </c>
      <c r="X658" s="8">
        <v>8.5456641769405095E-2</v>
      </c>
      <c r="Y658" s="2">
        <v>74</v>
      </c>
      <c r="Z658" s="2" t="e">
        <f>VLOOKUP(E658,YieldData!T:U,2,FALSE)</f>
        <v>#VALUE!</v>
      </c>
      <c r="AA658">
        <f t="shared" si="20"/>
        <v>0.913534329143595</v>
      </c>
    </row>
    <row r="659" spans="1:27" hidden="1" x14ac:dyDescent="0.25">
      <c r="A659">
        <v>203</v>
      </c>
      <c r="B659">
        <v>401</v>
      </c>
      <c r="C659" t="s">
        <v>26</v>
      </c>
      <c r="D659">
        <v>25105</v>
      </c>
      <c r="E659">
        <f t="shared" si="21"/>
        <v>25105401</v>
      </c>
      <c r="F659">
        <f>VLOOKUP(E659,YieldData!D:F,2,FALSE)</f>
        <v>1</v>
      </c>
      <c r="G659">
        <f>VLOOKUP($E659,YieldData!$D:$F,3,FALSE)</f>
        <v>1</v>
      </c>
      <c r="H659">
        <v>23</v>
      </c>
      <c r="I659" t="s">
        <v>27</v>
      </c>
      <c r="J659" t="s">
        <v>28</v>
      </c>
      <c r="K659" s="2">
        <v>13057.8876764168</v>
      </c>
      <c r="L659" s="2">
        <v>217568065.598472</v>
      </c>
      <c r="M659" s="3">
        <v>9745.6579515547801</v>
      </c>
      <c r="N659" s="3">
        <v>96592051.133830205</v>
      </c>
      <c r="O659" s="4">
        <v>0.52641822004482497</v>
      </c>
      <c r="P659" s="4">
        <v>1.5913510715140501E-2</v>
      </c>
      <c r="Q659" s="5">
        <v>0.153732739544342</v>
      </c>
      <c r="R659" s="5">
        <v>2.3314420019621201E-3</v>
      </c>
      <c r="S659" s="6">
        <v>0.52348301885408799</v>
      </c>
      <c r="T659" s="6">
        <v>5.5024408221112098E-2</v>
      </c>
      <c r="U659" s="7">
        <v>0.44277549539275002</v>
      </c>
      <c r="V659" s="7">
        <v>0.24672535607224599</v>
      </c>
      <c r="W659" s="8">
        <v>0.70994038361845502</v>
      </c>
      <c r="X659" s="8">
        <v>0.20592503532583101</v>
      </c>
      <c r="Y659" s="2">
        <v>42</v>
      </c>
      <c r="Z659" s="2">
        <f>VLOOKUP(E659,YieldData!T:U,2,FALSE)</f>
        <v>622</v>
      </c>
      <c r="AA659">
        <f t="shared" si="20"/>
        <v>0.49484830026309301</v>
      </c>
    </row>
    <row r="660" spans="1:27" hidden="1" x14ac:dyDescent="0.25">
      <c r="A660">
        <v>204</v>
      </c>
      <c r="B660">
        <v>402</v>
      </c>
      <c r="C660" t="s">
        <v>26</v>
      </c>
      <c r="D660">
        <v>25105</v>
      </c>
      <c r="E660">
        <f t="shared" si="21"/>
        <v>25105402</v>
      </c>
      <c r="H660">
        <v>23</v>
      </c>
      <c r="I660" t="s">
        <v>27</v>
      </c>
      <c r="J660" t="s">
        <v>28</v>
      </c>
      <c r="K660" s="2">
        <v>22928.320761573501</v>
      </c>
      <c r="L660" s="2">
        <v>287389025.95910901</v>
      </c>
      <c r="M660" s="3">
        <v>2870.98933983899</v>
      </c>
      <c r="N660" s="3">
        <v>95302745.600948095</v>
      </c>
      <c r="O660" s="4">
        <v>0.601494970396661</v>
      </c>
      <c r="P660" s="4">
        <v>1.19368700972008E-2</v>
      </c>
      <c r="Q660" s="5">
        <v>0.17500394290631199</v>
      </c>
      <c r="R660" s="5">
        <v>2.78485726557375E-3</v>
      </c>
      <c r="S660" s="6">
        <v>0.67829271188454598</v>
      </c>
      <c r="T660" s="6">
        <v>4.40911689185799E-2</v>
      </c>
      <c r="U660" s="7">
        <v>0.71958832461616296</v>
      </c>
      <c r="V660" s="7">
        <v>0.201780967692507</v>
      </c>
      <c r="W660" s="8">
        <v>0.654770093312395</v>
      </c>
      <c r="X660" s="8">
        <v>0.226046218216228</v>
      </c>
      <c r="Y660" s="2">
        <v>34</v>
      </c>
      <c r="Z660" s="2">
        <f>VLOOKUP(E660,YieldData!T:U,2,FALSE)</f>
        <v>0</v>
      </c>
      <c r="AA660">
        <f t="shared" si="20"/>
        <v>0.71958832461616296</v>
      </c>
    </row>
    <row r="661" spans="1:27" hidden="1" x14ac:dyDescent="0.25">
      <c r="A661">
        <v>205</v>
      </c>
      <c r="B661">
        <v>403</v>
      </c>
      <c r="C661" t="s">
        <v>26</v>
      </c>
      <c r="D661">
        <v>25105</v>
      </c>
      <c r="E661">
        <f t="shared" si="21"/>
        <v>25105403</v>
      </c>
      <c r="F661">
        <f>VLOOKUP(E661,YieldData!D:F,2,FALSE)</f>
        <v>3</v>
      </c>
      <c r="G661">
        <f>VLOOKUP($E661,YieldData!$D:$F,3,FALSE)</f>
        <v>1</v>
      </c>
      <c r="H661">
        <v>23</v>
      </c>
      <c r="I661" t="s">
        <v>27</v>
      </c>
      <c r="J661" t="s">
        <v>28</v>
      </c>
      <c r="K661" s="2">
        <v>17188.391834196402</v>
      </c>
      <c r="L661" s="2">
        <v>247470821.57743099</v>
      </c>
      <c r="M661" s="3">
        <v>6797.4044859373998</v>
      </c>
      <c r="N661" s="3">
        <v>114642324.90032899</v>
      </c>
      <c r="O661" s="4">
        <v>0.57651382284917396</v>
      </c>
      <c r="P661" s="4">
        <v>1.32588270213202E-2</v>
      </c>
      <c r="Q661" s="5">
        <v>0.16920798417260599</v>
      </c>
      <c r="R661" s="5">
        <v>2.4818984640066202E-3</v>
      </c>
      <c r="S661" s="6">
        <v>0.61052473600007195</v>
      </c>
      <c r="T661" s="6">
        <v>4.6707308940002697E-2</v>
      </c>
      <c r="U661" s="7">
        <v>0.58373297296004401</v>
      </c>
      <c r="V661" s="7">
        <v>0.24298878923940201</v>
      </c>
      <c r="W661" s="8">
        <v>0.61335422297701303</v>
      </c>
      <c r="X661" s="8">
        <v>0.23715082013349301</v>
      </c>
      <c r="Y661" s="2">
        <v>30</v>
      </c>
      <c r="Z661" s="2">
        <f>VLOOKUP(E661,YieldData!T:U,2,FALSE)</f>
        <v>361</v>
      </c>
      <c r="AA661">
        <f t="shared" si="20"/>
        <v>0.58725109131136799</v>
      </c>
    </row>
    <row r="662" spans="1:27" hidden="1" x14ac:dyDescent="0.25">
      <c r="A662">
        <v>206</v>
      </c>
      <c r="B662">
        <v>404</v>
      </c>
      <c r="C662" t="s">
        <v>26</v>
      </c>
      <c r="D662">
        <v>25105</v>
      </c>
      <c r="E662">
        <f t="shared" si="21"/>
        <v>25105404</v>
      </c>
      <c r="H662">
        <v>23</v>
      </c>
      <c r="I662" t="s">
        <v>27</v>
      </c>
      <c r="J662" t="s">
        <v>28</v>
      </c>
      <c r="K662" s="2">
        <v>18932.999891465101</v>
      </c>
      <c r="L662" s="2">
        <v>247817023.14309201</v>
      </c>
      <c r="M662" s="3">
        <v>5660.8473503775003</v>
      </c>
      <c r="N662" s="3">
        <v>101444128.91534001</v>
      </c>
      <c r="O662" s="4">
        <v>0.59871105004705605</v>
      </c>
      <c r="P662" s="4">
        <v>1.28541266677153E-2</v>
      </c>
      <c r="Q662" s="5">
        <v>0.182040909675483</v>
      </c>
      <c r="R662" s="5">
        <v>3.9771823505790997E-3</v>
      </c>
      <c r="S662" s="6">
        <v>0.63969485949852301</v>
      </c>
      <c r="T662" s="6">
        <v>4.9563821876428202E-2</v>
      </c>
      <c r="U662" s="7">
        <v>0.65126375340867504</v>
      </c>
      <c r="V662" s="7">
        <v>0.22711927690500999</v>
      </c>
      <c r="W662" s="8">
        <v>0.75453472438915203</v>
      </c>
      <c r="X662" s="8">
        <v>0.18521207408033899</v>
      </c>
      <c r="Y662" s="2">
        <v>46</v>
      </c>
      <c r="Z662" s="2">
        <f>VLOOKUP(E662,YieldData!T:U,2,FALSE)</f>
        <v>0</v>
      </c>
      <c r="AA662">
        <f t="shared" si="20"/>
        <v>0.65126375340867504</v>
      </c>
    </row>
    <row r="663" spans="1:27" hidden="1" x14ac:dyDescent="0.25">
      <c r="A663">
        <v>207</v>
      </c>
      <c r="B663">
        <v>405</v>
      </c>
      <c r="C663" t="s">
        <v>26</v>
      </c>
      <c r="D663">
        <v>25105</v>
      </c>
      <c r="E663">
        <f t="shared" si="21"/>
        <v>25105405</v>
      </c>
      <c r="H663">
        <v>23</v>
      </c>
      <c r="I663" t="s">
        <v>27</v>
      </c>
      <c r="J663" t="s">
        <v>28</v>
      </c>
      <c r="K663" s="2">
        <v>20025.651996603599</v>
      </c>
      <c r="L663" s="2">
        <v>270643012.90386701</v>
      </c>
      <c r="M663" s="3">
        <v>4909.1336027807401</v>
      </c>
      <c r="N663" s="3">
        <v>109611303.56851</v>
      </c>
      <c r="O663" s="4">
        <v>0.61692136360767003</v>
      </c>
      <c r="P663" s="4">
        <v>1.42396193949016E-2</v>
      </c>
      <c r="Q663" s="5">
        <v>0.17695781867232299</v>
      </c>
      <c r="R663" s="5">
        <v>3.4090272541355601E-3</v>
      </c>
      <c r="S663" s="6">
        <v>0.66112713280097202</v>
      </c>
      <c r="T663" s="6">
        <v>5.1427007154224602E-2</v>
      </c>
      <c r="U663" s="7">
        <v>0.65411339799323098</v>
      </c>
      <c r="V663" s="7">
        <v>0.226249060558875</v>
      </c>
      <c r="W663" s="8">
        <v>0.81446886884971403</v>
      </c>
      <c r="X663" s="8">
        <v>0.151109330524512</v>
      </c>
      <c r="Y663" s="2">
        <v>69</v>
      </c>
      <c r="Z663" s="2">
        <f>VLOOKUP(E663,YieldData!T:U,2,FALSE)</f>
        <v>0</v>
      </c>
      <c r="AA663">
        <f t="shared" si="20"/>
        <v>0.65411339799323098</v>
      </c>
    </row>
    <row r="664" spans="1:27" hidden="1" x14ac:dyDescent="0.25">
      <c r="A664">
        <v>208</v>
      </c>
      <c r="B664">
        <v>406</v>
      </c>
      <c r="C664" t="s">
        <v>26</v>
      </c>
      <c r="D664">
        <v>25105</v>
      </c>
      <c r="E664">
        <f t="shared" si="21"/>
        <v>25105406</v>
      </c>
      <c r="F664">
        <f>VLOOKUP(E664,YieldData!D:F,2,FALSE)</f>
        <v>3</v>
      </c>
      <c r="G664">
        <f>VLOOKUP($E664,YieldData!$D:$F,3,FALSE)</f>
        <v>2</v>
      </c>
      <c r="H664">
        <v>23</v>
      </c>
      <c r="I664" t="s">
        <v>27</v>
      </c>
      <c r="J664" t="s">
        <v>28</v>
      </c>
      <c r="K664" s="2">
        <v>19085.1165897295</v>
      </c>
      <c r="L664" s="2">
        <v>254116959.83649701</v>
      </c>
      <c r="M664" s="3">
        <v>5630.5955478782898</v>
      </c>
      <c r="N664" s="3">
        <v>111626190.194886</v>
      </c>
      <c r="O664" s="4">
        <v>0.59780280614852799</v>
      </c>
      <c r="P664" s="4">
        <v>1.31078319033154E-2</v>
      </c>
      <c r="Q664" s="5">
        <v>0.15232487238829401</v>
      </c>
      <c r="R664" s="5">
        <v>3.0117859120083498E-3</v>
      </c>
      <c r="S664" s="6">
        <v>0.63765375744904695</v>
      </c>
      <c r="T664" s="6">
        <v>4.8090876842416801E-2</v>
      </c>
      <c r="U664" s="7">
        <v>0.63115597120237299</v>
      </c>
      <c r="V664" s="7">
        <v>0.232798111217836</v>
      </c>
      <c r="W664" s="8">
        <v>0.85319268534797199</v>
      </c>
      <c r="X664" s="8">
        <v>0.12525492701674701</v>
      </c>
      <c r="Y664" s="2">
        <v>57</v>
      </c>
      <c r="Z664" s="2">
        <f>VLOOKUP(E664,YieldData!T:U,2,FALSE)</f>
        <v>604</v>
      </c>
      <c r="AA664">
        <f t="shared" si="20"/>
        <v>0.63115597120237299</v>
      </c>
    </row>
    <row r="665" spans="1:27" hidden="1" x14ac:dyDescent="0.25">
      <c r="A665">
        <v>209</v>
      </c>
      <c r="B665">
        <v>407</v>
      </c>
      <c r="C665" t="s">
        <v>26</v>
      </c>
      <c r="D665">
        <v>25105</v>
      </c>
      <c r="E665">
        <f t="shared" si="21"/>
        <v>25105407</v>
      </c>
      <c r="F665">
        <f>VLOOKUP(E665,YieldData!D:F,2,FALSE)</f>
        <v>2</v>
      </c>
      <c r="G665">
        <f>VLOOKUP($E665,YieldData!$D:$F,3,FALSE)</f>
        <v>2</v>
      </c>
      <c r="H665">
        <v>23</v>
      </c>
      <c r="I665" t="s">
        <v>27</v>
      </c>
      <c r="J665" t="s">
        <v>28</v>
      </c>
      <c r="K665" s="2">
        <v>17186.892523816401</v>
      </c>
      <c r="L665" s="2">
        <v>266838052.19189399</v>
      </c>
      <c r="M665" s="3">
        <v>7327.2021085430397</v>
      </c>
      <c r="N665" s="3">
        <v>89703273.647525296</v>
      </c>
      <c r="O665" s="4">
        <v>0.55508574352826401</v>
      </c>
      <c r="P665" s="4">
        <v>9.5244613393655406E-3</v>
      </c>
      <c r="Q665" s="5">
        <v>0.132889655335306</v>
      </c>
      <c r="R665" s="5">
        <v>2.3268964862089899E-3</v>
      </c>
      <c r="S665" s="6">
        <v>0.58994487684267405</v>
      </c>
      <c r="T665" s="6">
        <v>4.2712049234966701E-2</v>
      </c>
      <c r="U665" s="7">
        <v>0.57352870061414996</v>
      </c>
      <c r="V665" s="7">
        <v>0.24459353018619201</v>
      </c>
      <c r="W665" s="8">
        <v>0.76950513245233298</v>
      </c>
      <c r="X665" s="8">
        <v>0.17736698358200101</v>
      </c>
      <c r="Y665" s="2">
        <v>61</v>
      </c>
      <c r="Z665" s="2">
        <f>VLOOKUP(E665,YieldData!T:U,2,FALSE)</f>
        <v>1430</v>
      </c>
      <c r="AA665">
        <f t="shared" si="20"/>
        <v>0.63048314552401197</v>
      </c>
    </row>
    <row r="666" spans="1:27" hidden="1" x14ac:dyDescent="0.25">
      <c r="A666">
        <v>210</v>
      </c>
      <c r="B666">
        <v>408</v>
      </c>
      <c r="C666" t="s">
        <v>26</v>
      </c>
      <c r="D666">
        <v>25105</v>
      </c>
      <c r="E666">
        <f t="shared" si="21"/>
        <v>25105408</v>
      </c>
      <c r="F666">
        <f>VLOOKUP(E666,YieldData!D:F,2,FALSE)</f>
        <v>4</v>
      </c>
      <c r="G666">
        <f>VLOOKUP($E666,YieldData!$D:$F,3,FALSE)</f>
        <v>2</v>
      </c>
      <c r="H666">
        <v>23</v>
      </c>
      <c r="I666" t="s">
        <v>27</v>
      </c>
      <c r="J666" t="s">
        <v>28</v>
      </c>
      <c r="K666" s="2">
        <v>16943.1934145058</v>
      </c>
      <c r="L666" s="2">
        <v>307259003.909733</v>
      </c>
      <c r="M666" s="3">
        <v>7215.6844475542803</v>
      </c>
      <c r="N666" s="3">
        <v>92685279.804083198</v>
      </c>
      <c r="O666" s="4">
        <v>0.54866594508284605</v>
      </c>
      <c r="P666" s="4">
        <v>1.15393930684024E-2</v>
      </c>
      <c r="Q666" s="5">
        <v>0.14089698934692199</v>
      </c>
      <c r="R666" s="5">
        <v>2.4981036763095802E-3</v>
      </c>
      <c r="S666" s="6">
        <v>0.57334699778517395</v>
      </c>
      <c r="T666" s="6">
        <v>5.14602345476508E-2</v>
      </c>
      <c r="U666" s="7">
        <v>0.51907712180652599</v>
      </c>
      <c r="V666" s="7">
        <v>0.249636063423433</v>
      </c>
      <c r="W666" s="8">
        <v>0.72178104145238797</v>
      </c>
      <c r="X666" s="8">
        <v>0.200813169652551</v>
      </c>
      <c r="Y666" s="2">
        <v>46</v>
      </c>
      <c r="Z666" s="2">
        <f>VLOOKUP(E666,YieldData!T:U,2,FALSE)</f>
        <v>1144</v>
      </c>
      <c r="AA666">
        <f t="shared" si="20"/>
        <v>0.56772434249082104</v>
      </c>
    </row>
    <row r="667" spans="1:27" hidden="1" x14ac:dyDescent="0.25">
      <c r="A667">
        <v>211</v>
      </c>
      <c r="B667">
        <v>409</v>
      </c>
      <c r="C667" t="s">
        <v>26</v>
      </c>
      <c r="D667">
        <v>25105</v>
      </c>
      <c r="E667">
        <f t="shared" si="21"/>
        <v>25105409</v>
      </c>
      <c r="F667">
        <f>VLOOKUP(E667,YieldData!D:F,2,FALSE)</f>
        <v>1</v>
      </c>
      <c r="G667">
        <f>VLOOKUP($E667,YieldData!$D:$F,3,FALSE)</f>
        <v>2</v>
      </c>
      <c r="H667">
        <v>23</v>
      </c>
      <c r="I667" t="s">
        <v>27</v>
      </c>
      <c r="J667" t="s">
        <v>28</v>
      </c>
      <c r="K667" s="2">
        <v>20043.071153741901</v>
      </c>
      <c r="L667" s="2">
        <v>290040035.94161099</v>
      </c>
      <c r="M667" s="3">
        <v>4252.8004196726997</v>
      </c>
      <c r="N667" s="3">
        <v>92123402.390371799</v>
      </c>
      <c r="O667" s="4">
        <v>0.60005847117664002</v>
      </c>
      <c r="P667" s="4">
        <v>1.1494918671521999E-2</v>
      </c>
      <c r="Q667" s="5">
        <v>0.16353012372728301</v>
      </c>
      <c r="R667" s="5">
        <v>4.3588174069561798E-3</v>
      </c>
      <c r="S667" s="6">
        <v>0.65432565772408002</v>
      </c>
      <c r="T667" s="6">
        <v>4.4853247244493299E-2</v>
      </c>
      <c r="U667" s="7">
        <v>0.690714247005907</v>
      </c>
      <c r="V667" s="7">
        <v>0.213628075989166</v>
      </c>
      <c r="W667" s="8">
        <v>0.86284073050452503</v>
      </c>
      <c r="X667" s="8">
        <v>0.1183466042869</v>
      </c>
      <c r="Y667" s="2">
        <v>86</v>
      </c>
      <c r="Z667" s="2">
        <f>VLOOKUP(E667,YieldData!T:U,2,FALSE)</f>
        <v>840</v>
      </c>
      <c r="AA667">
        <f t="shared" si="20"/>
        <v>0.690714247005907</v>
      </c>
    </row>
    <row r="668" spans="1:27" hidden="1" x14ac:dyDescent="0.25">
      <c r="A668">
        <v>194</v>
      </c>
      <c r="B668">
        <v>501</v>
      </c>
      <c r="C668" t="s">
        <v>26</v>
      </c>
      <c r="D668">
        <v>25105</v>
      </c>
      <c r="E668">
        <f t="shared" si="21"/>
        <v>25105501</v>
      </c>
      <c r="H668">
        <v>23</v>
      </c>
      <c r="I668" t="s">
        <v>27</v>
      </c>
      <c r="J668" t="s">
        <v>28</v>
      </c>
      <c r="K668" s="2">
        <v>16843.022358560502</v>
      </c>
      <c r="L668" s="2">
        <v>266896070.78364399</v>
      </c>
      <c r="M668" s="3">
        <v>7147.9745804095201</v>
      </c>
      <c r="N668" s="3">
        <v>109663166.59766699</v>
      </c>
      <c r="O668" s="4">
        <v>0.55656107698247304</v>
      </c>
      <c r="P668" s="4">
        <v>1.5047118113601E-2</v>
      </c>
      <c r="Q668" s="5">
        <v>0.14822409228501801</v>
      </c>
      <c r="R668" s="5">
        <v>2.23512618470432E-3</v>
      </c>
      <c r="S668" s="6">
        <v>0.58001897763729304</v>
      </c>
      <c r="T668" s="6">
        <v>5.4505534051679197E-2</v>
      </c>
      <c r="U668" s="7">
        <v>0.54673474429712599</v>
      </c>
      <c r="V668" s="7">
        <v>0.24781586367560099</v>
      </c>
      <c r="W668" s="8">
        <v>0.77315894930420204</v>
      </c>
      <c r="X668" s="8">
        <v>0.17538418841489301</v>
      </c>
      <c r="Y668" s="2">
        <v>73</v>
      </c>
      <c r="Z668" s="2">
        <f>VLOOKUP(E668,YieldData!T:U,2,FALSE)</f>
        <v>0</v>
      </c>
      <c r="AA668">
        <f t="shared" si="20"/>
        <v>0.64228367528992003</v>
      </c>
    </row>
    <row r="669" spans="1:27" hidden="1" x14ac:dyDescent="0.25">
      <c r="A669">
        <v>195</v>
      </c>
      <c r="B669">
        <v>502</v>
      </c>
      <c r="C669" t="s">
        <v>26</v>
      </c>
      <c r="D669">
        <v>25105</v>
      </c>
      <c r="E669">
        <f t="shared" si="21"/>
        <v>25105502</v>
      </c>
      <c r="F669">
        <f>VLOOKUP(E669,YieldData!D:F,2,FALSE)</f>
        <v>2</v>
      </c>
      <c r="G669">
        <f>VLOOKUP($E669,YieldData!$D:$F,3,FALSE)</f>
        <v>4</v>
      </c>
      <c r="H669">
        <v>23</v>
      </c>
      <c r="I669" t="s">
        <v>27</v>
      </c>
      <c r="J669" t="s">
        <v>28</v>
      </c>
      <c r="K669" s="2">
        <v>21432.4025078218</v>
      </c>
      <c r="L669" s="2">
        <v>301999841.72223502</v>
      </c>
      <c r="M669" s="3">
        <v>3660.9445894374198</v>
      </c>
      <c r="N669" s="3">
        <v>96914634.830680594</v>
      </c>
      <c r="O669" s="4">
        <v>0.59512217891010899</v>
      </c>
      <c r="P669" s="4">
        <v>1.0021720774789E-2</v>
      </c>
      <c r="Q669" s="5">
        <v>0.159405328573474</v>
      </c>
      <c r="R669" s="5">
        <v>2.6759323407642499E-3</v>
      </c>
      <c r="S669" s="6">
        <v>0.65909980701272097</v>
      </c>
      <c r="T669" s="6">
        <v>4.0832606737062002E-2</v>
      </c>
      <c r="U669" s="7">
        <v>0.68266872833138004</v>
      </c>
      <c r="V669" s="7">
        <v>0.21663213568995501</v>
      </c>
      <c r="W669" s="8">
        <v>0.70196907465571401</v>
      </c>
      <c r="X669" s="8">
        <v>0.20920849288283999</v>
      </c>
      <c r="Y669" s="2">
        <v>51</v>
      </c>
      <c r="Z669" s="2">
        <f>VLOOKUP(E669,YieldData!T:U,2,FALSE)</f>
        <v>1109</v>
      </c>
      <c r="AA669">
        <f t="shared" si="20"/>
        <v>0.68266872833138004</v>
      </c>
    </row>
    <row r="670" spans="1:27" hidden="1" x14ac:dyDescent="0.25">
      <c r="A670">
        <v>196</v>
      </c>
      <c r="B670">
        <v>503</v>
      </c>
      <c r="C670" t="s">
        <v>26</v>
      </c>
      <c r="D670">
        <v>25105</v>
      </c>
      <c r="E670">
        <f t="shared" si="21"/>
        <v>25105503</v>
      </c>
      <c r="H670">
        <v>23</v>
      </c>
      <c r="I670" t="s">
        <v>27</v>
      </c>
      <c r="J670" t="s">
        <v>28</v>
      </c>
      <c r="K670" s="2">
        <v>20814.456340872399</v>
      </c>
      <c r="L670" s="2">
        <v>283459996.39103901</v>
      </c>
      <c r="M670" s="3">
        <v>4180.5382904521603</v>
      </c>
      <c r="N670" s="3">
        <v>111768852.417619</v>
      </c>
      <c r="O670" s="4">
        <v>0.59259612458002298</v>
      </c>
      <c r="P670" s="4">
        <v>1.0575206813063801E-2</v>
      </c>
      <c r="Q670" s="5">
        <v>0.153185508015028</v>
      </c>
      <c r="R670" s="5">
        <v>1.8777980469830899E-3</v>
      </c>
      <c r="S670" s="6">
        <v>0.64969406443104905</v>
      </c>
      <c r="T670" s="6">
        <v>4.1061345590708002E-2</v>
      </c>
      <c r="U670" s="7">
        <v>0.65329833064081899</v>
      </c>
      <c r="V670" s="7">
        <v>0.22649962182262601</v>
      </c>
      <c r="W670" s="8">
        <v>0.745830023828435</v>
      </c>
      <c r="X670" s="8">
        <v>0.189567599384522</v>
      </c>
      <c r="Y670" s="2">
        <v>38</v>
      </c>
      <c r="Z670" s="2">
        <f>VLOOKUP(E670,YieldData!T:U,2,FALSE)</f>
        <v>0</v>
      </c>
      <c r="AA670">
        <f t="shared" si="20"/>
        <v>0.66826877768353599</v>
      </c>
    </row>
    <row r="671" spans="1:27" hidden="1" x14ac:dyDescent="0.25">
      <c r="A671">
        <v>197</v>
      </c>
      <c r="B671">
        <v>504</v>
      </c>
      <c r="C671" t="s">
        <v>26</v>
      </c>
      <c r="D671">
        <v>25105</v>
      </c>
      <c r="E671">
        <f t="shared" si="21"/>
        <v>25105504</v>
      </c>
      <c r="F671">
        <f>VLOOKUP(E671,YieldData!D:F,2,FALSE)</f>
        <v>5</v>
      </c>
      <c r="G671">
        <f>VLOOKUP($E671,YieldData!$D:$F,3,FALSE)</f>
        <v>3</v>
      </c>
      <c r="H671">
        <v>23</v>
      </c>
      <c r="I671" t="s">
        <v>27</v>
      </c>
      <c r="J671" t="s">
        <v>28</v>
      </c>
      <c r="K671" s="2">
        <v>20798.470524672801</v>
      </c>
      <c r="L671" s="2">
        <v>256003968.65942299</v>
      </c>
      <c r="M671" s="3">
        <v>3364.3757549319998</v>
      </c>
      <c r="N671" s="3">
        <v>105748411.647443</v>
      </c>
      <c r="O671" s="4">
        <v>0.62012645801727395</v>
      </c>
      <c r="P671" s="4">
        <v>1.2367431890691701E-2</v>
      </c>
      <c r="Q671" s="5">
        <v>0.16696894718055499</v>
      </c>
      <c r="R671" s="5">
        <v>6.4180085816792397E-3</v>
      </c>
      <c r="S671" s="6">
        <v>0.67592395638777403</v>
      </c>
      <c r="T671" s="6">
        <v>4.7798951742805698E-2</v>
      </c>
      <c r="U671" s="7">
        <v>0.71289070316564596</v>
      </c>
      <c r="V671" s="7">
        <v>0.204677548505835</v>
      </c>
      <c r="W671" s="8">
        <v>0.73279346825513303</v>
      </c>
      <c r="X671" s="8">
        <v>0.195807201137844</v>
      </c>
      <c r="Y671" s="2">
        <v>36</v>
      </c>
      <c r="Z671" s="2">
        <f>VLOOKUP(E671,YieldData!T:U,2,FALSE)</f>
        <v>1282</v>
      </c>
      <c r="AA671">
        <f t="shared" si="20"/>
        <v>0.77873237369762105</v>
      </c>
    </row>
    <row r="672" spans="1:27" hidden="1" x14ac:dyDescent="0.25">
      <c r="A672">
        <v>198</v>
      </c>
      <c r="B672">
        <v>505</v>
      </c>
      <c r="C672" t="s">
        <v>26</v>
      </c>
      <c r="D672">
        <v>25105</v>
      </c>
      <c r="E672">
        <f t="shared" si="21"/>
        <v>25105505</v>
      </c>
      <c r="F672">
        <f>VLOOKUP(E672,YieldData!D:F,2,FALSE)</f>
        <v>3</v>
      </c>
      <c r="G672">
        <f>VLOOKUP($E672,YieldData!$D:$F,3,FALSE)</f>
        <v>3</v>
      </c>
      <c r="H672">
        <v>23</v>
      </c>
      <c r="I672" t="s">
        <v>27</v>
      </c>
      <c r="J672" t="s">
        <v>28</v>
      </c>
      <c r="K672" s="2">
        <v>20861.483985552299</v>
      </c>
      <c r="L672" s="2">
        <v>286842216.179277</v>
      </c>
      <c r="M672" s="3">
        <v>4127.4807009681199</v>
      </c>
      <c r="N672" s="3">
        <v>121053150.201378</v>
      </c>
      <c r="O672" s="4">
        <v>0.63451561307047999</v>
      </c>
      <c r="P672" s="4">
        <v>1.19884478652962E-2</v>
      </c>
      <c r="Q672" s="5">
        <v>0.17377030248165301</v>
      </c>
      <c r="R672" s="5">
        <v>5.3599286221772298E-3</v>
      </c>
      <c r="S672" s="6">
        <v>0.67819133358715</v>
      </c>
      <c r="T672" s="6">
        <v>4.9901071953704898E-2</v>
      </c>
      <c r="U672" s="7">
        <v>0.69582117399416399</v>
      </c>
      <c r="V672" s="7">
        <v>0.211654067815741</v>
      </c>
      <c r="W672" s="8">
        <v>0.77269465374955104</v>
      </c>
      <c r="X672" s="8">
        <v>0.1756376258165</v>
      </c>
      <c r="Y672" s="2">
        <v>65</v>
      </c>
      <c r="Z672" s="2">
        <f>VLOOKUP(E672,YieldData!T:U,2,FALSE)</f>
        <v>1252</v>
      </c>
      <c r="AA672">
        <f t="shared" si="20"/>
        <v>0.81420300949738</v>
      </c>
    </row>
    <row r="673" spans="1:27" hidden="1" x14ac:dyDescent="0.25">
      <c r="A673">
        <v>199</v>
      </c>
      <c r="B673">
        <v>506</v>
      </c>
      <c r="C673" t="s">
        <v>26</v>
      </c>
      <c r="D673">
        <v>25105</v>
      </c>
      <c r="E673">
        <f t="shared" si="21"/>
        <v>25105506</v>
      </c>
      <c r="F673">
        <f>VLOOKUP(E673,YieldData!D:F,2,FALSE)</f>
        <v>1</v>
      </c>
      <c r="G673">
        <f>VLOOKUP($E673,YieldData!$D:$F,3,FALSE)</f>
        <v>3</v>
      </c>
      <c r="H673">
        <v>23</v>
      </c>
      <c r="I673" t="s">
        <v>27</v>
      </c>
      <c r="J673" t="s">
        <v>28</v>
      </c>
      <c r="K673" s="2">
        <v>21275.675775877498</v>
      </c>
      <c r="L673" s="2">
        <v>256461083.203949</v>
      </c>
      <c r="M673" s="3">
        <v>4261.9551036414196</v>
      </c>
      <c r="N673" s="3">
        <v>110126062.29717501</v>
      </c>
      <c r="O673" s="4">
        <v>0.63131355737671102</v>
      </c>
      <c r="P673" s="4">
        <v>8.5008221811952705E-3</v>
      </c>
      <c r="Q673" s="5">
        <v>0.16583775465841299</v>
      </c>
      <c r="R673" s="5">
        <v>2.9622823521925699E-3</v>
      </c>
      <c r="S673" s="6">
        <v>0.68597474612898401</v>
      </c>
      <c r="T673" s="6">
        <v>3.4391251903417797E-2</v>
      </c>
      <c r="U673" s="7">
        <v>0.75781857322250801</v>
      </c>
      <c r="V673" s="7">
        <v>0.18352958330135399</v>
      </c>
      <c r="W673" s="8">
        <v>0.884022437239119</v>
      </c>
      <c r="X673" s="8">
        <v>0.10252676769701501</v>
      </c>
      <c r="Y673" s="2">
        <v>140</v>
      </c>
      <c r="Z673" s="2">
        <f>VLOOKUP(E673,YieldData!T:U,2,FALSE)</f>
        <v>1552</v>
      </c>
      <c r="AA673">
        <f t="shared" si="20"/>
        <v>0.75781857322250801</v>
      </c>
    </row>
    <row r="674" spans="1:27" hidden="1" x14ac:dyDescent="0.25">
      <c r="A674">
        <v>200</v>
      </c>
      <c r="B674">
        <v>507</v>
      </c>
      <c r="C674" t="s">
        <v>26</v>
      </c>
      <c r="D674">
        <v>25105</v>
      </c>
      <c r="E674">
        <f t="shared" si="21"/>
        <v>25105507</v>
      </c>
      <c r="F674">
        <f>VLOOKUP(E674,YieldData!D:F,2,FALSE)</f>
        <v>2</v>
      </c>
      <c r="G674">
        <f>VLOOKUP($E674,YieldData!$D:$F,3,FALSE)</f>
        <v>3</v>
      </c>
      <c r="H674">
        <v>23</v>
      </c>
      <c r="I674" t="s">
        <v>27</v>
      </c>
      <c r="J674" t="s">
        <v>28</v>
      </c>
      <c r="K674" s="2">
        <v>24215.121837019298</v>
      </c>
      <c r="L674" s="2">
        <v>295756480.87223703</v>
      </c>
      <c r="M674" s="3">
        <v>2648.4620110287701</v>
      </c>
      <c r="N674" s="3">
        <v>102778748.044901</v>
      </c>
      <c r="O674" s="4">
        <v>0.63434083665743202</v>
      </c>
      <c r="P674" s="4">
        <v>8.8643662676964902E-3</v>
      </c>
      <c r="Q674" s="5">
        <v>0.16584613445117899</v>
      </c>
      <c r="R674" s="5">
        <v>2.47320838852061E-3</v>
      </c>
      <c r="S674" s="6">
        <v>0.71215171086234297</v>
      </c>
      <c r="T674" s="6">
        <v>3.5494635437353997E-2</v>
      </c>
      <c r="U674" s="7">
        <v>0.77628760709304601</v>
      </c>
      <c r="V674" s="7">
        <v>0.17366515816671901</v>
      </c>
      <c r="W674" s="8">
        <v>0.84911769467378995</v>
      </c>
      <c r="X674" s="8">
        <v>0.128116835265701</v>
      </c>
      <c r="Y674" s="2">
        <v>71</v>
      </c>
      <c r="Z674" s="2">
        <f>VLOOKUP(E674,YieldData!T:U,2,FALSE)</f>
        <v>1595</v>
      </c>
      <c r="AA674">
        <f t="shared" si="20"/>
        <v>0.77628760709304601</v>
      </c>
    </row>
    <row r="675" spans="1:27" hidden="1" x14ac:dyDescent="0.25">
      <c r="A675">
        <v>201</v>
      </c>
      <c r="B675">
        <v>508</v>
      </c>
      <c r="C675" t="s">
        <v>26</v>
      </c>
      <c r="D675">
        <v>25105</v>
      </c>
      <c r="E675">
        <f t="shared" si="21"/>
        <v>25105508</v>
      </c>
      <c r="H675">
        <v>23</v>
      </c>
      <c r="I675" t="s">
        <v>27</v>
      </c>
      <c r="J675" t="s">
        <v>28</v>
      </c>
      <c r="K675" s="2">
        <v>21452.978985767299</v>
      </c>
      <c r="L675" s="2">
        <v>312359073.72840899</v>
      </c>
      <c r="M675" s="3">
        <v>4062.0974212599599</v>
      </c>
      <c r="N675" s="3">
        <v>97848369.912677497</v>
      </c>
      <c r="O675" s="4">
        <v>0.60787416848874998</v>
      </c>
      <c r="P675" s="4">
        <v>9.74487834895129E-3</v>
      </c>
      <c r="Q675" s="5">
        <v>0.16792109156541299</v>
      </c>
      <c r="R675" s="5">
        <v>2.9635839694079802E-3</v>
      </c>
      <c r="S675" s="6">
        <v>0.674855627692169</v>
      </c>
      <c r="T675" s="6">
        <v>4.1193750504022297E-2</v>
      </c>
      <c r="U675" s="7">
        <v>0.68555196746800595</v>
      </c>
      <c r="V675" s="7">
        <v>0.21557046736898999</v>
      </c>
      <c r="W675" s="8">
        <v>0.80641033307420895</v>
      </c>
      <c r="X675" s="8">
        <v>0.15611270778521899</v>
      </c>
      <c r="Y675" s="2">
        <v>84</v>
      </c>
      <c r="Z675" s="2">
        <f>VLOOKUP(E675,YieldData!T:U,2,FALSE)</f>
        <v>0</v>
      </c>
      <c r="AA675">
        <f t="shared" si="20"/>
        <v>0.68555196746800595</v>
      </c>
    </row>
    <row r="676" spans="1:27" hidden="1" x14ac:dyDescent="0.25">
      <c r="A676">
        <v>202</v>
      </c>
      <c r="B676">
        <v>509</v>
      </c>
      <c r="C676" t="s">
        <v>26</v>
      </c>
      <c r="D676">
        <v>25105</v>
      </c>
      <c r="E676">
        <f t="shared" si="21"/>
        <v>25105509</v>
      </c>
      <c r="H676">
        <v>23</v>
      </c>
      <c r="I676" t="s">
        <v>27</v>
      </c>
      <c r="J676" t="s">
        <v>28</v>
      </c>
      <c r="K676" s="2">
        <v>24822.487142256199</v>
      </c>
      <c r="L676" s="2">
        <v>296173924.30327201</v>
      </c>
      <c r="M676" s="3">
        <v>1945.08537787878</v>
      </c>
      <c r="N676" s="3">
        <v>102609286.38864499</v>
      </c>
      <c r="O676" s="4">
        <v>0.63708861772928904</v>
      </c>
      <c r="P676" s="4">
        <v>8.6986455159428697E-3</v>
      </c>
      <c r="Q676" s="5">
        <v>0.17737221414200499</v>
      </c>
      <c r="R676" s="5">
        <v>3.0159785767519E-3</v>
      </c>
      <c r="S676" s="6">
        <v>0.73163748859590405</v>
      </c>
      <c r="T676" s="6">
        <v>3.1702907577492202E-2</v>
      </c>
      <c r="U676" s="7">
        <v>0.82486328045487201</v>
      </c>
      <c r="V676" s="7">
        <v>0.14446384901206299</v>
      </c>
      <c r="W676" s="8">
        <v>0.82245260743896997</v>
      </c>
      <c r="X676" s="8">
        <v>0.14602431595573701</v>
      </c>
      <c r="Y676" s="2">
        <v>65</v>
      </c>
      <c r="Z676" s="2">
        <f>VLOOKUP(E676,YieldData!T:U,2,FALSE)</f>
        <v>0</v>
      </c>
      <c r="AA676">
        <f t="shared" si="20"/>
        <v>0.85520816370840802</v>
      </c>
    </row>
    <row r="677" spans="1:27" hidden="1" x14ac:dyDescent="0.25">
      <c r="A677">
        <v>185</v>
      </c>
      <c r="B677">
        <v>601</v>
      </c>
      <c r="C677" t="s">
        <v>26</v>
      </c>
      <c r="D677">
        <v>25105</v>
      </c>
      <c r="E677">
        <f t="shared" si="21"/>
        <v>25105601</v>
      </c>
      <c r="F677">
        <f>VLOOKUP(E677,YieldData!D:F,2,FALSE)</f>
        <v>1</v>
      </c>
      <c r="G677">
        <f>VLOOKUP($E677,YieldData!$D:$F,3,FALSE)</f>
        <v>4</v>
      </c>
      <c r="H677">
        <v>23</v>
      </c>
      <c r="I677" t="s">
        <v>27</v>
      </c>
      <c r="J677" t="s">
        <v>28</v>
      </c>
      <c r="K677" s="2">
        <v>15520.704093779101</v>
      </c>
      <c r="L677" s="2">
        <v>245196658.46176299</v>
      </c>
      <c r="M677" s="3">
        <v>6931.8732614453702</v>
      </c>
      <c r="N677" s="3">
        <v>86275927.593254998</v>
      </c>
      <c r="O677" s="4">
        <v>0.57101089914555203</v>
      </c>
      <c r="P677" s="4">
        <v>1.0231854364728701E-2</v>
      </c>
      <c r="Q677" s="5">
        <v>0.15620886356615701</v>
      </c>
      <c r="R677" s="5">
        <v>2.0247924087131702E-3</v>
      </c>
      <c r="S677" s="6">
        <v>0.58091411920955205</v>
      </c>
      <c r="T677" s="6">
        <v>4.3357788700945997E-2</v>
      </c>
      <c r="U677" s="7">
        <v>0.53569765034675498</v>
      </c>
      <c r="V677" s="7">
        <v>0.24872567775964199</v>
      </c>
      <c r="W677" s="8">
        <v>0.72026497263588296</v>
      </c>
      <c r="X677" s="8">
        <v>0.20148334182966701</v>
      </c>
      <c r="Y677" s="2">
        <v>65</v>
      </c>
      <c r="Z677" s="2">
        <f>VLOOKUP(E677,YieldData!T:U,2,FALSE)</f>
        <v>1237</v>
      </c>
      <c r="AA677">
        <f t="shared" si="20"/>
        <v>0.72786906456203904</v>
      </c>
    </row>
    <row r="678" spans="1:27" hidden="1" x14ac:dyDescent="0.25">
      <c r="A678">
        <v>186</v>
      </c>
      <c r="B678">
        <v>602</v>
      </c>
      <c r="C678" t="s">
        <v>26</v>
      </c>
      <c r="D678">
        <v>25105</v>
      </c>
      <c r="E678">
        <f t="shared" si="21"/>
        <v>25105602</v>
      </c>
      <c r="F678">
        <f>VLOOKUP(E678,YieldData!D:F,2,FALSE)</f>
        <v>3</v>
      </c>
      <c r="G678">
        <f>VLOOKUP($E678,YieldData!$D:$F,3,FALSE)</f>
        <v>4</v>
      </c>
      <c r="H678">
        <v>23</v>
      </c>
      <c r="I678" t="s">
        <v>27</v>
      </c>
      <c r="J678" t="s">
        <v>28</v>
      </c>
      <c r="K678" s="2">
        <v>18460.389306669898</v>
      </c>
      <c r="L678" s="2">
        <v>293967902.98029101</v>
      </c>
      <c r="M678" s="3">
        <v>4931.46207535543</v>
      </c>
      <c r="N678" s="3">
        <v>99143899.695322707</v>
      </c>
      <c r="O678" s="4">
        <v>0.59313745256520001</v>
      </c>
      <c r="P678" s="4">
        <v>9.8360948111228894E-3</v>
      </c>
      <c r="Q678" s="5">
        <v>0.162924610696252</v>
      </c>
      <c r="R678" s="5">
        <v>2.3635198489758099E-3</v>
      </c>
      <c r="S678" s="6">
        <v>0.62248918739992898</v>
      </c>
      <c r="T678" s="6">
        <v>4.3297388067983701E-2</v>
      </c>
      <c r="U678" s="7">
        <v>0.60075440067057795</v>
      </c>
      <c r="V678" s="7">
        <v>0.239848550745492</v>
      </c>
      <c r="W678" s="8">
        <v>0.84300459814158402</v>
      </c>
      <c r="X678" s="8">
        <v>0.13234784565379801</v>
      </c>
      <c r="Y678" s="2">
        <v>90</v>
      </c>
      <c r="Z678" s="2">
        <f>VLOOKUP(E678,YieldData!T:U,2,FALSE)</f>
        <v>691</v>
      </c>
      <c r="AA678">
        <f t="shared" si="20"/>
        <v>0.72686449202471604</v>
      </c>
    </row>
    <row r="679" spans="1:27" hidden="1" x14ac:dyDescent="0.25">
      <c r="A679">
        <v>187</v>
      </c>
      <c r="B679">
        <v>603</v>
      </c>
      <c r="C679" t="s">
        <v>26</v>
      </c>
      <c r="D679" t="s">
        <v>100</v>
      </c>
      <c r="E679" t="e">
        <f t="shared" si="21"/>
        <v>#VALUE!</v>
      </c>
      <c r="H679">
        <v>23</v>
      </c>
      <c r="I679" t="s">
        <v>27</v>
      </c>
      <c r="J679" t="s">
        <v>28</v>
      </c>
      <c r="K679" s="2">
        <v>15464.745173400101</v>
      </c>
      <c r="L679" s="2">
        <v>228162368.02655199</v>
      </c>
      <c r="M679" s="3">
        <v>6591.7370593512696</v>
      </c>
      <c r="N679" s="3">
        <v>110609408.955998</v>
      </c>
      <c r="O679" s="4">
        <v>0.57798086152346795</v>
      </c>
      <c r="P679" s="4">
        <v>1.14913528440184E-2</v>
      </c>
      <c r="Q679" s="5">
        <v>0.17872475032844101</v>
      </c>
      <c r="R679" s="5">
        <v>1.9062860700584201E-3</v>
      </c>
      <c r="S679" s="6">
        <v>0.59248066914143105</v>
      </c>
      <c r="T679" s="6">
        <v>4.2577004877521099E-2</v>
      </c>
      <c r="U679" s="7">
        <v>0.52479697635221401</v>
      </c>
      <c r="V679" s="7">
        <v>0.249385109963907</v>
      </c>
      <c r="W679" s="8">
        <v>0.760296708628042</v>
      </c>
      <c r="X679" s="8">
        <v>0.18224562347700499</v>
      </c>
      <c r="Y679" s="2">
        <v>71</v>
      </c>
      <c r="Z679" s="2" t="e">
        <f>VLOOKUP(E679,YieldData!T:U,2,FALSE)</f>
        <v>#VALUE!</v>
      </c>
      <c r="AA679">
        <f t="shared" si="20"/>
        <v>0.913534329143595</v>
      </c>
    </row>
    <row r="680" spans="1:27" hidden="1" x14ac:dyDescent="0.25">
      <c r="A680">
        <v>188</v>
      </c>
      <c r="B680">
        <v>604</v>
      </c>
      <c r="C680" t="s">
        <v>26</v>
      </c>
      <c r="D680" t="s">
        <v>100</v>
      </c>
      <c r="E680" t="e">
        <f t="shared" si="21"/>
        <v>#VALUE!</v>
      </c>
      <c r="H680">
        <v>23</v>
      </c>
      <c r="I680" t="s">
        <v>27</v>
      </c>
      <c r="J680" t="s">
        <v>28</v>
      </c>
      <c r="K680" s="2">
        <v>18078.087020342598</v>
      </c>
      <c r="L680" s="2">
        <v>268771407.15138501</v>
      </c>
      <c r="M680" s="3">
        <v>4440.1551628178904</v>
      </c>
      <c r="N680" s="3">
        <v>125806425.134831</v>
      </c>
      <c r="O680" s="4">
        <v>0.60689022701198603</v>
      </c>
      <c r="P680" s="4">
        <v>1.39408741835946E-2</v>
      </c>
      <c r="Q680" s="5">
        <v>0.20584380749834999</v>
      </c>
      <c r="R680" s="5">
        <v>3.07666725284108E-3</v>
      </c>
      <c r="S680" s="6">
        <v>0.63428394621922402</v>
      </c>
      <c r="T680" s="6">
        <v>5.43333222342781E-2</v>
      </c>
      <c r="U680" s="7">
        <v>0.61326907897469995</v>
      </c>
      <c r="V680" s="7">
        <v>0.237170115748399</v>
      </c>
      <c r="W680" s="8">
        <v>0.65818735719725796</v>
      </c>
      <c r="X680" s="8">
        <v>0.224976760022882</v>
      </c>
      <c r="Y680" s="2">
        <v>31</v>
      </c>
      <c r="Z680" s="2" t="e">
        <f>VLOOKUP(E680,YieldData!T:U,2,FALSE)</f>
        <v>#VALUE!</v>
      </c>
      <c r="AA680">
        <f t="shared" si="20"/>
        <v>0.913534329143595</v>
      </c>
    </row>
    <row r="681" spans="1:27" hidden="1" x14ac:dyDescent="0.25">
      <c r="A681">
        <v>189</v>
      </c>
      <c r="B681">
        <v>605</v>
      </c>
      <c r="C681" t="s">
        <v>26</v>
      </c>
      <c r="D681" t="s">
        <v>100</v>
      </c>
      <c r="E681" t="e">
        <f t="shared" si="21"/>
        <v>#VALUE!</v>
      </c>
      <c r="H681">
        <v>23</v>
      </c>
      <c r="I681" t="s">
        <v>27</v>
      </c>
      <c r="J681" t="s">
        <v>28</v>
      </c>
      <c r="K681" s="2">
        <v>13793.2898504652</v>
      </c>
      <c r="L681" s="2">
        <v>232888162.981341</v>
      </c>
      <c r="M681" s="3">
        <v>8131.5782928788403</v>
      </c>
      <c r="N681" s="3">
        <v>112605817.498289</v>
      </c>
      <c r="O681" s="4">
        <v>0.56936008583879605</v>
      </c>
      <c r="P681" s="4">
        <v>1.2765607548618199E-2</v>
      </c>
      <c r="Q681" s="5">
        <v>0.19833922208773</v>
      </c>
      <c r="R681" s="5">
        <v>2.4460532054238499E-3</v>
      </c>
      <c r="S681" s="6">
        <v>0.56836423123699997</v>
      </c>
      <c r="T681" s="6">
        <v>5.1057124386576599E-2</v>
      </c>
      <c r="U681" s="7">
        <v>0.48084658931126001</v>
      </c>
      <c r="V681" s="7">
        <v>0.24963314685919</v>
      </c>
      <c r="W681" s="8">
        <v>0.81492033601936897</v>
      </c>
      <c r="X681" s="8">
        <v>0.15082518196167999</v>
      </c>
      <c r="Y681" s="2">
        <v>55</v>
      </c>
      <c r="Z681" s="2" t="e">
        <f>VLOOKUP(E681,YieldData!T:U,2,FALSE)</f>
        <v>#VALUE!</v>
      </c>
      <c r="AA681">
        <f t="shared" si="20"/>
        <v>0.913534329143595</v>
      </c>
    </row>
    <row r="682" spans="1:27" hidden="1" x14ac:dyDescent="0.25">
      <c r="A682">
        <v>190</v>
      </c>
      <c r="B682">
        <v>606</v>
      </c>
      <c r="C682" t="s">
        <v>26</v>
      </c>
      <c r="D682" t="s">
        <v>100</v>
      </c>
      <c r="E682" t="e">
        <f t="shared" si="21"/>
        <v>#VALUE!</v>
      </c>
      <c r="H682">
        <v>23</v>
      </c>
      <c r="I682" t="s">
        <v>27</v>
      </c>
      <c r="J682" t="s">
        <v>28</v>
      </c>
      <c r="K682" s="2">
        <v>16635.197214572199</v>
      </c>
      <c r="L682" s="2">
        <v>240344055.32354</v>
      </c>
      <c r="M682" s="3">
        <v>6462.5401452401702</v>
      </c>
      <c r="N682" s="3">
        <v>130624717.371473</v>
      </c>
      <c r="O682" s="4">
        <v>0.59349493555670296</v>
      </c>
      <c r="P682" s="4">
        <v>1.19561502266116E-2</v>
      </c>
      <c r="Q682" s="5">
        <v>0.20106661501029399</v>
      </c>
      <c r="R682" s="5">
        <v>2.2970133560282998E-3</v>
      </c>
      <c r="S682" s="6">
        <v>0.632949078593531</v>
      </c>
      <c r="T682" s="6">
        <v>4.2380452387160997E-2</v>
      </c>
      <c r="U682" s="7">
        <v>0.60116200415519205</v>
      </c>
      <c r="V682" s="7">
        <v>0.23976624891563</v>
      </c>
      <c r="W682" s="8">
        <v>0.79805288142144504</v>
      </c>
      <c r="X682" s="8">
        <v>0.16116447987603</v>
      </c>
      <c r="Y682" s="2">
        <v>72</v>
      </c>
      <c r="Z682" s="2" t="e">
        <f>VLOOKUP(E682,YieldData!T:U,2,FALSE)</f>
        <v>#VALUE!</v>
      </c>
      <c r="AA682">
        <f t="shared" si="20"/>
        <v>0.913534329143595</v>
      </c>
    </row>
    <row r="683" spans="1:27" hidden="1" x14ac:dyDescent="0.25">
      <c r="A683">
        <v>191</v>
      </c>
      <c r="B683">
        <v>607</v>
      </c>
      <c r="C683" t="s">
        <v>26</v>
      </c>
      <c r="D683" t="s">
        <v>100</v>
      </c>
      <c r="E683" t="e">
        <f t="shared" si="21"/>
        <v>#VALUE!</v>
      </c>
      <c r="H683">
        <v>23</v>
      </c>
      <c r="I683" t="s">
        <v>27</v>
      </c>
      <c r="J683" t="s">
        <v>28</v>
      </c>
      <c r="K683" s="2">
        <v>20683.472386563699</v>
      </c>
      <c r="L683" s="2">
        <v>318885852.90665501</v>
      </c>
      <c r="M683" s="3">
        <v>4471.84094435719</v>
      </c>
      <c r="N683" s="3">
        <v>119185775.486394</v>
      </c>
      <c r="O683" s="4">
        <v>0.59553939852708404</v>
      </c>
      <c r="P683" s="4">
        <v>9.8914835016762001E-3</v>
      </c>
      <c r="Q683" s="5">
        <v>0.191044374541397</v>
      </c>
      <c r="R683" s="5">
        <v>2.3166041223817999E-3</v>
      </c>
      <c r="S683" s="6">
        <v>0.67135551324270504</v>
      </c>
      <c r="T683" s="6">
        <v>3.98718600448833E-2</v>
      </c>
      <c r="U683" s="7">
        <v>0.67218364952082899</v>
      </c>
      <c r="V683" s="7">
        <v>0.22035279083772499</v>
      </c>
      <c r="W683" s="8">
        <v>0.79618675140552397</v>
      </c>
      <c r="X683" s="8">
        <v>0.162273408291712</v>
      </c>
      <c r="Y683" s="2">
        <v>54</v>
      </c>
      <c r="Z683" s="2" t="e">
        <f>VLOOKUP(E683,YieldData!T:U,2,FALSE)</f>
        <v>#VALUE!</v>
      </c>
      <c r="AA683">
        <f t="shared" si="20"/>
        <v>0.913534329143595</v>
      </c>
    </row>
    <row r="684" spans="1:27" hidden="1" x14ac:dyDescent="0.25">
      <c r="A684">
        <v>192</v>
      </c>
      <c r="B684">
        <v>608</v>
      </c>
      <c r="C684" t="s">
        <v>26</v>
      </c>
      <c r="D684" t="s">
        <v>100</v>
      </c>
      <c r="E684" t="e">
        <f t="shared" si="21"/>
        <v>#VALUE!</v>
      </c>
      <c r="H684">
        <v>23</v>
      </c>
      <c r="I684" t="s">
        <v>27</v>
      </c>
      <c r="J684" t="s">
        <v>28</v>
      </c>
      <c r="K684" s="2">
        <v>15878.481403207001</v>
      </c>
      <c r="L684" s="2">
        <v>238928450.79574999</v>
      </c>
      <c r="M684" s="3">
        <v>7344.6600509587297</v>
      </c>
      <c r="N684" s="3">
        <v>113894139.012633</v>
      </c>
      <c r="O684" s="4">
        <v>0.56163100180827596</v>
      </c>
      <c r="P684" s="4">
        <v>1.28839438067604E-2</v>
      </c>
      <c r="Q684" s="5">
        <v>0.164536510600097</v>
      </c>
      <c r="R684" s="5">
        <v>2.32538375448566E-3</v>
      </c>
      <c r="S684" s="6">
        <v>0.61243959640177903</v>
      </c>
      <c r="T684" s="6">
        <v>4.6055475759899801E-2</v>
      </c>
      <c r="U684" s="7">
        <v>0.55677336118449305</v>
      </c>
      <c r="V684" s="7">
        <v>0.24677678545993401</v>
      </c>
      <c r="W684" s="8">
        <v>0.77059372849700203</v>
      </c>
      <c r="X684" s="8">
        <v>0.17677903409788001</v>
      </c>
      <c r="Y684" s="2">
        <v>54</v>
      </c>
      <c r="Z684" s="2" t="e">
        <f>VLOOKUP(E684,YieldData!T:U,2,FALSE)</f>
        <v>#VALUE!</v>
      </c>
      <c r="AA684">
        <f t="shared" si="20"/>
        <v>0.913534329143595</v>
      </c>
    </row>
    <row r="685" spans="1:27" hidden="1" x14ac:dyDescent="0.25">
      <c r="A685">
        <v>193</v>
      </c>
      <c r="B685">
        <v>609</v>
      </c>
      <c r="C685" t="s">
        <v>26</v>
      </c>
      <c r="D685" t="s">
        <v>100</v>
      </c>
      <c r="E685" t="e">
        <f t="shared" si="21"/>
        <v>#VALUE!</v>
      </c>
      <c r="H685">
        <v>23</v>
      </c>
      <c r="I685" t="s">
        <v>27</v>
      </c>
      <c r="J685" t="s">
        <v>28</v>
      </c>
      <c r="K685" s="2">
        <v>18704.0132945197</v>
      </c>
      <c r="L685" s="2">
        <v>294215336.121732</v>
      </c>
      <c r="M685" s="3">
        <v>5111.0571307044702</v>
      </c>
      <c r="N685" s="3">
        <v>115738717.19699199</v>
      </c>
      <c r="O685" s="4">
        <v>0.58397304856790699</v>
      </c>
      <c r="P685" s="4">
        <v>9.4790748920409607E-3</v>
      </c>
      <c r="Q685" s="5">
        <v>0.16250536364916501</v>
      </c>
      <c r="R685" s="5">
        <v>2.9357258664439402E-3</v>
      </c>
      <c r="S685" s="6">
        <v>0.65609175588060198</v>
      </c>
      <c r="T685" s="6">
        <v>4.0202211670166001E-2</v>
      </c>
      <c r="U685" s="7">
        <v>0.65817619462241195</v>
      </c>
      <c r="V685" s="7">
        <v>0.22498029145460599</v>
      </c>
      <c r="W685" s="8">
        <v>0.92811289861475699</v>
      </c>
      <c r="X685" s="8">
        <v>6.6719346039705002E-2</v>
      </c>
      <c r="Y685" s="2">
        <v>72</v>
      </c>
      <c r="Z685" s="2" t="e">
        <f>VLOOKUP(E685,YieldData!T:U,2,FALSE)</f>
        <v>#VALUE!</v>
      </c>
      <c r="AA685">
        <f t="shared" si="20"/>
        <v>0.913534329143595</v>
      </c>
    </row>
    <row r="686" spans="1:27" hidden="1" x14ac:dyDescent="0.25">
      <c r="A686">
        <v>176</v>
      </c>
      <c r="B686">
        <v>701</v>
      </c>
      <c r="C686" t="s">
        <v>26</v>
      </c>
      <c r="D686">
        <v>25106</v>
      </c>
      <c r="E686">
        <f t="shared" si="21"/>
        <v>25106701</v>
      </c>
      <c r="F686">
        <f>VLOOKUP(E686,YieldData!D:F,2,FALSE)</f>
        <v>1</v>
      </c>
      <c r="G686">
        <f>VLOOKUP($E686,YieldData!$D:$F,3,FALSE)</f>
        <v>1</v>
      </c>
      <c r="H686">
        <v>23</v>
      </c>
      <c r="I686" t="s">
        <v>27</v>
      </c>
      <c r="J686" t="s">
        <v>28</v>
      </c>
      <c r="K686" s="2">
        <v>17067.804898485301</v>
      </c>
      <c r="L686" s="2">
        <v>296024375.46916097</v>
      </c>
      <c r="M686" s="3">
        <v>7455.7957387594697</v>
      </c>
      <c r="N686" s="3">
        <v>91796646.871705905</v>
      </c>
      <c r="O686" s="4">
        <v>0.54498016233045399</v>
      </c>
      <c r="P686" s="4">
        <v>8.2794104319139205E-3</v>
      </c>
      <c r="Q686" s="5">
        <v>0.13606735029841999</v>
      </c>
      <c r="R686" s="5">
        <v>1.7660806537606699E-3</v>
      </c>
      <c r="S686" s="6">
        <v>0.53503317220851399</v>
      </c>
      <c r="T686" s="6">
        <v>4.7343456581705197E-2</v>
      </c>
      <c r="U686" s="7">
        <v>0.46651627457299399</v>
      </c>
      <c r="V686" s="7">
        <v>0.248878840131527</v>
      </c>
      <c r="W686" s="8">
        <v>0.403490680347521</v>
      </c>
      <c r="X686" s="8">
        <v>0.240685951220072</v>
      </c>
      <c r="Y686" s="2">
        <v>17</v>
      </c>
      <c r="Z686" s="2">
        <f>VLOOKUP(E686,YieldData!T:U,2,FALSE)</f>
        <v>1542</v>
      </c>
      <c r="AA686">
        <f t="shared" si="20"/>
        <v>0.76417356330729402</v>
      </c>
    </row>
    <row r="687" spans="1:27" hidden="1" x14ac:dyDescent="0.25">
      <c r="A687">
        <v>177</v>
      </c>
      <c r="B687">
        <v>702</v>
      </c>
      <c r="C687" t="s">
        <v>26</v>
      </c>
      <c r="D687">
        <v>25106</v>
      </c>
      <c r="E687">
        <f t="shared" si="21"/>
        <v>25106702</v>
      </c>
      <c r="F687">
        <f>VLOOKUP(E687,YieldData!D:F,2,FALSE)</f>
        <v>2</v>
      </c>
      <c r="G687">
        <f>VLOOKUP($E687,YieldData!$D:$F,3,FALSE)</f>
        <v>1</v>
      </c>
      <c r="H687">
        <v>23</v>
      </c>
      <c r="I687" t="s">
        <v>27</v>
      </c>
      <c r="J687" t="s">
        <v>28</v>
      </c>
      <c r="K687" s="2">
        <v>14941.695506997299</v>
      </c>
      <c r="L687" s="2">
        <v>270317501.06613302</v>
      </c>
      <c r="M687" s="3">
        <v>8921.3837247338906</v>
      </c>
      <c r="N687" s="3">
        <v>81661192.517147794</v>
      </c>
      <c r="O687" s="4">
        <v>0.52859044965240398</v>
      </c>
      <c r="P687" s="4">
        <v>8.2933633489555708E-3</v>
      </c>
      <c r="Q687" s="5">
        <v>0.13555542140903801</v>
      </c>
      <c r="R687" s="5">
        <v>1.78279135161965E-3</v>
      </c>
      <c r="S687" s="6">
        <v>0.51834418467121801</v>
      </c>
      <c r="T687" s="6">
        <v>4.4851338744204203E-2</v>
      </c>
      <c r="U687" s="7">
        <v>0.41151485391603199</v>
      </c>
      <c r="V687" s="7">
        <v>0.24217037892267301</v>
      </c>
      <c r="W687" s="8">
        <v>0.471690237674327</v>
      </c>
      <c r="X687" s="8">
        <v>0.249198557356962</v>
      </c>
      <c r="Y687" s="2">
        <v>19</v>
      </c>
      <c r="Z687" s="2">
        <f>VLOOKUP(E687,YieldData!T:U,2,FALSE)</f>
        <v>1239</v>
      </c>
      <c r="AA687">
        <f t="shared" si="20"/>
        <v>0.65016756896107197</v>
      </c>
    </row>
    <row r="688" spans="1:27" hidden="1" x14ac:dyDescent="0.25">
      <c r="A688">
        <v>178</v>
      </c>
      <c r="B688">
        <v>703</v>
      </c>
      <c r="C688" t="s">
        <v>26</v>
      </c>
      <c r="D688">
        <v>25106</v>
      </c>
      <c r="E688">
        <f t="shared" si="21"/>
        <v>25106703</v>
      </c>
      <c r="F688">
        <f>VLOOKUP(E688,YieldData!D:F,2,FALSE)</f>
        <v>3</v>
      </c>
      <c r="G688">
        <f>VLOOKUP($E688,YieldData!$D:$F,3,FALSE)</f>
        <v>1</v>
      </c>
      <c r="H688">
        <v>23</v>
      </c>
      <c r="I688" t="s">
        <v>27</v>
      </c>
      <c r="J688" t="s">
        <v>28</v>
      </c>
      <c r="K688" s="2">
        <v>25261.932718143202</v>
      </c>
      <c r="L688" s="2">
        <v>310243921.60635102</v>
      </c>
      <c r="M688" s="3">
        <v>2209.22072192826</v>
      </c>
      <c r="N688" s="3">
        <v>85428672.334700406</v>
      </c>
      <c r="O688" s="4">
        <v>0.59255937563275995</v>
      </c>
      <c r="P688" s="4">
        <v>8.7418167932763694E-3</v>
      </c>
      <c r="Q688" s="5">
        <v>0.142331949841773</v>
      </c>
      <c r="R688" s="5">
        <v>2.76168939287749E-3</v>
      </c>
      <c r="S688" s="6">
        <v>0.679534057921791</v>
      </c>
      <c r="T688" s="6">
        <v>3.9101195074320701E-2</v>
      </c>
      <c r="U688" s="7">
        <v>0.74312774312774299</v>
      </c>
      <c r="V688" s="7">
        <v>0.19088890052204599</v>
      </c>
      <c r="W688" s="8">
        <v>0.54312462006078999</v>
      </c>
      <c r="X688" s="8">
        <v>0.24814026714465301</v>
      </c>
      <c r="Y688" s="2">
        <v>53</v>
      </c>
      <c r="Z688" s="2">
        <f>VLOOKUP(E688,YieldData!T:U,2,FALSE)</f>
        <v>975</v>
      </c>
      <c r="AA688">
        <f t="shared" si="20"/>
        <v>0.87971551881344601</v>
      </c>
    </row>
    <row r="689" spans="1:27" hidden="1" x14ac:dyDescent="0.25">
      <c r="A689">
        <v>179</v>
      </c>
      <c r="B689">
        <v>704</v>
      </c>
      <c r="C689" t="s">
        <v>26</v>
      </c>
      <c r="D689">
        <v>25106</v>
      </c>
      <c r="E689">
        <f t="shared" si="21"/>
        <v>25106704</v>
      </c>
      <c r="F689">
        <f>VLOOKUP(E689,YieldData!D:F,2,FALSE)</f>
        <v>4</v>
      </c>
      <c r="G689">
        <f>VLOOKUP($E689,YieldData!$D:$F,3,FALSE)</f>
        <v>1</v>
      </c>
      <c r="H689">
        <v>23</v>
      </c>
      <c r="I689" t="s">
        <v>27</v>
      </c>
      <c r="J689" t="s">
        <v>28</v>
      </c>
      <c r="K689" s="2">
        <v>18355.993810537599</v>
      </c>
      <c r="L689" s="2">
        <v>312996246.46479499</v>
      </c>
      <c r="M689" s="3">
        <v>7705.4401500472704</v>
      </c>
      <c r="N689" s="3">
        <v>110321033.850872</v>
      </c>
      <c r="O689" s="4">
        <v>0.54762364807794395</v>
      </c>
      <c r="P689" s="4">
        <v>1.08706796788467E-2</v>
      </c>
      <c r="Q689" s="5">
        <v>0.136266317034547</v>
      </c>
      <c r="R689" s="5">
        <v>2.9450486224864201E-3</v>
      </c>
      <c r="S689" s="6">
        <v>0.57861799485051302</v>
      </c>
      <c r="T689" s="6">
        <v>5.0964936041995201E-2</v>
      </c>
      <c r="U689" s="7">
        <v>0.53892029833490795</v>
      </c>
      <c r="V689" s="7">
        <v>0.24848521037773599</v>
      </c>
      <c r="W689" s="8">
        <v>0.58539989567326001</v>
      </c>
      <c r="X689" s="8">
        <v>0.24270685781906501</v>
      </c>
      <c r="Y689" s="2">
        <v>20</v>
      </c>
      <c r="Z689" s="2">
        <f>VLOOKUP(E689,YieldData!T:U,2,FALSE)</f>
        <v>819</v>
      </c>
      <c r="AA689">
        <f t="shared" si="20"/>
        <v>0.63442830960101504</v>
      </c>
    </row>
    <row r="690" spans="1:27" hidden="1" x14ac:dyDescent="0.25">
      <c r="A690">
        <v>180</v>
      </c>
      <c r="B690">
        <v>705</v>
      </c>
      <c r="C690" t="s">
        <v>26</v>
      </c>
      <c r="D690">
        <v>25106</v>
      </c>
      <c r="E690">
        <f t="shared" si="21"/>
        <v>25106705</v>
      </c>
      <c r="F690">
        <f>VLOOKUP(E690,YieldData!D:F,2,FALSE)</f>
        <v>3</v>
      </c>
      <c r="G690">
        <f>VLOOKUP($E690,YieldData!$D:$F,3,FALSE)</f>
        <v>2</v>
      </c>
      <c r="H690">
        <v>23</v>
      </c>
      <c r="I690" t="s">
        <v>27</v>
      </c>
      <c r="J690" t="s">
        <v>28</v>
      </c>
      <c r="K690" s="2">
        <v>21052.341534757801</v>
      </c>
      <c r="L690" s="2">
        <v>319886657.06849098</v>
      </c>
      <c r="M690" s="3">
        <v>5565.4324366170304</v>
      </c>
      <c r="N690" s="3">
        <v>103170057.086615</v>
      </c>
      <c r="O690" s="4">
        <v>0.57104026486078696</v>
      </c>
      <c r="P690" s="4">
        <v>8.4935842200285702E-3</v>
      </c>
      <c r="Q690" s="5">
        <v>0.141651320018883</v>
      </c>
      <c r="R690" s="5">
        <v>2.9134310624314499E-3</v>
      </c>
      <c r="S690" s="6">
        <v>0.63027486412434797</v>
      </c>
      <c r="T690" s="6">
        <v>4.3029748268832199E-2</v>
      </c>
      <c r="U690" s="7">
        <v>0.63077941619018996</v>
      </c>
      <c r="V690" s="7">
        <v>0.232896744301058</v>
      </c>
      <c r="W690" s="8">
        <v>0.69073356284758203</v>
      </c>
      <c r="X690" s="8">
        <v>0.213620708003398</v>
      </c>
      <c r="Y690" s="2">
        <v>34</v>
      </c>
      <c r="Z690" s="2">
        <f>VLOOKUP(E690,YieldData!T:U,2,FALSE)</f>
        <v>1642</v>
      </c>
      <c r="AA690">
        <f t="shared" si="20"/>
        <v>0.883592151197785</v>
      </c>
    </row>
    <row r="691" spans="1:27" hidden="1" x14ac:dyDescent="0.25">
      <c r="A691">
        <v>181</v>
      </c>
      <c r="B691">
        <v>706</v>
      </c>
      <c r="C691" t="s">
        <v>26</v>
      </c>
      <c r="D691">
        <v>25106</v>
      </c>
      <c r="E691">
        <f t="shared" si="21"/>
        <v>25106706</v>
      </c>
      <c r="F691">
        <f>VLOOKUP(E691,YieldData!D:F,2,FALSE)</f>
        <v>2</v>
      </c>
      <c r="G691">
        <f>VLOOKUP($E691,YieldData!$D:$F,3,FALSE)</f>
        <v>2</v>
      </c>
      <c r="H691">
        <v>23</v>
      </c>
      <c r="I691" t="s">
        <v>27</v>
      </c>
      <c r="J691" t="s">
        <v>28</v>
      </c>
      <c r="K691" s="2">
        <v>18096.7401218911</v>
      </c>
      <c r="L691" s="2">
        <v>322651043.2683</v>
      </c>
      <c r="M691" s="3">
        <v>7810.8017823672399</v>
      </c>
      <c r="N691" s="3">
        <v>104031692.43624599</v>
      </c>
      <c r="O691" s="4">
        <v>0.56005937401849903</v>
      </c>
      <c r="P691" s="4">
        <v>9.12456709621998E-3</v>
      </c>
      <c r="Q691" s="5">
        <v>0.15583920251705499</v>
      </c>
      <c r="R691" s="5">
        <v>2.5377304764966102E-3</v>
      </c>
      <c r="S691" s="6">
        <v>0.59611592654193701</v>
      </c>
      <c r="T691" s="6">
        <v>4.6223097623236502E-2</v>
      </c>
      <c r="U691" s="7">
        <v>0.56021829809229595</v>
      </c>
      <c r="V691" s="7">
        <v>0.246373756574716</v>
      </c>
      <c r="W691" s="8">
        <v>0.70659085718407</v>
      </c>
      <c r="X691" s="8">
        <v>0.207320217727756</v>
      </c>
      <c r="Y691" s="2">
        <v>68</v>
      </c>
      <c r="Z691" s="2">
        <f>VLOOKUP(E691,YieldData!T:U,2,FALSE)</f>
        <v>1263</v>
      </c>
      <c r="AA691">
        <f t="shared" si="20"/>
        <v>0.73635303593109502</v>
      </c>
    </row>
    <row r="692" spans="1:27" hidden="1" x14ac:dyDescent="0.25">
      <c r="A692">
        <v>182</v>
      </c>
      <c r="B692">
        <v>707</v>
      </c>
      <c r="C692" t="s">
        <v>26</v>
      </c>
      <c r="D692">
        <v>25106</v>
      </c>
      <c r="E692">
        <f t="shared" si="21"/>
        <v>25106707</v>
      </c>
      <c r="F692">
        <f>VLOOKUP(E692,YieldData!D:F,2,FALSE)</f>
        <v>1</v>
      </c>
      <c r="G692">
        <f>VLOOKUP($E692,YieldData!$D:$F,3,FALSE)</f>
        <v>2</v>
      </c>
      <c r="H692">
        <v>23</v>
      </c>
      <c r="I692" t="s">
        <v>27</v>
      </c>
      <c r="J692" t="s">
        <v>28</v>
      </c>
      <c r="K692" s="2">
        <v>17778.01963739</v>
      </c>
      <c r="L692" s="2">
        <v>331766380.27612001</v>
      </c>
      <c r="M692" s="3">
        <v>7679.1699241208198</v>
      </c>
      <c r="N692" s="3">
        <v>100537381.676745</v>
      </c>
      <c r="O692" s="4">
        <v>0.55876513782188597</v>
      </c>
      <c r="P692" s="4">
        <v>8.2714695167962794E-3</v>
      </c>
      <c r="Q692" s="5">
        <v>0.16217709073022199</v>
      </c>
      <c r="R692" s="5">
        <v>2.5365859905630002E-3</v>
      </c>
      <c r="S692" s="6">
        <v>0.58800748803902703</v>
      </c>
      <c r="T692" s="6">
        <v>4.6135568848828301E-2</v>
      </c>
      <c r="U692" s="7">
        <v>0.53207520091848404</v>
      </c>
      <c r="V692" s="7">
        <v>0.24897118148591901</v>
      </c>
      <c r="W692" s="8">
        <v>0.68400468832225003</v>
      </c>
      <c r="X692" s="8">
        <v>0.216142274675239</v>
      </c>
      <c r="Y692" s="2">
        <v>58</v>
      </c>
      <c r="Z692" s="2">
        <f>VLOOKUP(E692,YieldData!T:U,2,FALSE)</f>
        <v>2142</v>
      </c>
      <c r="AA692">
        <f t="shared" si="20"/>
        <v>0.77565543967084505</v>
      </c>
    </row>
    <row r="693" spans="1:27" hidden="1" x14ac:dyDescent="0.25">
      <c r="A693">
        <v>183</v>
      </c>
      <c r="B693">
        <v>708</v>
      </c>
      <c r="C693" t="s">
        <v>26</v>
      </c>
      <c r="D693">
        <v>25106</v>
      </c>
      <c r="E693">
        <f t="shared" si="21"/>
        <v>25106708</v>
      </c>
      <c r="F693">
        <f>VLOOKUP(E693,YieldData!D:F,2,FALSE)</f>
        <v>4</v>
      </c>
      <c r="G693">
        <f>VLOOKUP($E693,YieldData!$D:$F,3,FALSE)</f>
        <v>2</v>
      </c>
      <c r="H693">
        <v>23</v>
      </c>
      <c r="I693" t="s">
        <v>27</v>
      </c>
      <c r="J693" t="s">
        <v>28</v>
      </c>
      <c r="K693" s="2">
        <v>16458.491707847101</v>
      </c>
      <c r="L693" s="2">
        <v>310396218.79095602</v>
      </c>
      <c r="M693" s="3">
        <v>9271.1397001293899</v>
      </c>
      <c r="N693" s="3">
        <v>95739337.061086997</v>
      </c>
      <c r="O693" s="4">
        <v>0.53969721184596098</v>
      </c>
      <c r="P693" s="4">
        <v>9.0960669259393303E-3</v>
      </c>
      <c r="Q693" s="5">
        <v>0.14422676194026299</v>
      </c>
      <c r="R693" s="5">
        <v>1.8156180387306001E-3</v>
      </c>
      <c r="S693" s="6">
        <v>0.55292024570978304</v>
      </c>
      <c r="T693" s="6">
        <v>4.8357130381552399E-2</v>
      </c>
      <c r="U693" s="7">
        <v>0.45996222607435799</v>
      </c>
      <c r="V693" s="7">
        <v>0.24839697665885499</v>
      </c>
      <c r="W693" s="8">
        <v>0.48440431064595002</v>
      </c>
      <c r="X693" s="8">
        <v>0.24975677447359501</v>
      </c>
      <c r="Y693" s="2">
        <v>20</v>
      </c>
      <c r="Z693" s="2">
        <f>VLOOKUP(E693,YieldData!T:U,2,FALSE)</f>
        <v>1574</v>
      </c>
      <c r="AA693">
        <f t="shared" si="20"/>
        <v>0.61726430715098801</v>
      </c>
    </row>
    <row r="694" spans="1:27" hidden="1" x14ac:dyDescent="0.25">
      <c r="A694">
        <v>184</v>
      </c>
      <c r="B694">
        <v>709</v>
      </c>
      <c r="C694" t="s">
        <v>26</v>
      </c>
      <c r="D694">
        <v>25106</v>
      </c>
      <c r="E694">
        <f t="shared" si="21"/>
        <v>25106709</v>
      </c>
      <c r="F694">
        <f>VLOOKUP(E694,YieldData!D:F,2,FALSE)</f>
        <v>4</v>
      </c>
      <c r="G694">
        <f>VLOOKUP($E694,YieldData!$D:$F,3,FALSE)</f>
        <v>3</v>
      </c>
      <c r="H694">
        <v>23</v>
      </c>
      <c r="I694" t="s">
        <v>27</v>
      </c>
      <c r="J694" t="s">
        <v>28</v>
      </c>
      <c r="K694" s="2">
        <v>9026.1566596497905</v>
      </c>
      <c r="L694" s="2">
        <v>215429677.80927801</v>
      </c>
      <c r="M694" s="3">
        <v>12817.6265837998</v>
      </c>
      <c r="N694" s="3">
        <v>74887843.298248097</v>
      </c>
      <c r="O694" s="4">
        <v>0.51852416976663995</v>
      </c>
      <c r="P694" s="4">
        <v>6.6849331962603297E-3</v>
      </c>
      <c r="Q694" s="5">
        <v>0.14275101174453</v>
      </c>
      <c r="R694" s="5">
        <v>1.9013702441395301E-3</v>
      </c>
      <c r="S694" s="6">
        <v>0.46430713024944598</v>
      </c>
      <c r="T694" s="6">
        <v>3.7765669084366599E-2</v>
      </c>
      <c r="U694" s="7">
        <v>0.29835661659171397</v>
      </c>
      <c r="V694" s="7">
        <v>0.209339945927774</v>
      </c>
      <c r="W694" s="8">
        <v>0.89821082593823998</v>
      </c>
      <c r="X694" s="8">
        <v>9.1428138105746307E-2</v>
      </c>
      <c r="Y694" s="2">
        <v>84</v>
      </c>
      <c r="Z694" s="2">
        <f>VLOOKUP(E694,YieldData!T:U,2,FALSE)</f>
        <v>1301</v>
      </c>
      <c r="AA694">
        <f t="shared" si="20"/>
        <v>0.44834597077044502</v>
      </c>
    </row>
    <row r="695" spans="1:27" hidden="1" x14ac:dyDescent="0.25">
      <c r="A695">
        <v>167</v>
      </c>
      <c r="B695">
        <v>801</v>
      </c>
      <c r="C695" t="s">
        <v>26</v>
      </c>
      <c r="D695" t="s">
        <v>100</v>
      </c>
      <c r="E695" t="e">
        <f t="shared" si="21"/>
        <v>#VALUE!</v>
      </c>
      <c r="H695">
        <v>23</v>
      </c>
      <c r="I695" t="s">
        <v>27</v>
      </c>
      <c r="J695" t="s">
        <v>28</v>
      </c>
      <c r="K695" s="2">
        <v>16497.568693343499</v>
      </c>
      <c r="L695" s="2">
        <v>263655775.30323899</v>
      </c>
      <c r="M695" s="3">
        <v>5737.9146950844597</v>
      </c>
      <c r="N695" s="3">
        <v>102712753.06702299</v>
      </c>
      <c r="O695" s="4">
        <v>0.57322859300266704</v>
      </c>
      <c r="P695" s="4">
        <v>9.1469477425927294E-3</v>
      </c>
      <c r="Q695" s="5">
        <v>0.151299851888716</v>
      </c>
      <c r="R695" s="5">
        <v>1.4982815190471501E-3</v>
      </c>
      <c r="S695" s="6">
        <v>0.56071192431688799</v>
      </c>
      <c r="T695" s="6">
        <v>4.8321409054777303E-2</v>
      </c>
      <c r="U695" s="7">
        <v>0.49701021311200899</v>
      </c>
      <c r="V695" s="7">
        <v>0.249991061174407</v>
      </c>
      <c r="W695" s="8">
        <v>0.46212909475799202</v>
      </c>
      <c r="X695" s="8">
        <v>0.24856579453604999</v>
      </c>
      <c r="Y695" s="2">
        <v>16</v>
      </c>
      <c r="Z695" s="2" t="e">
        <f>VLOOKUP(E695,YieldData!T:U,2,FALSE)</f>
        <v>#VALUE!</v>
      </c>
      <c r="AA695">
        <f t="shared" si="20"/>
        <v>0.913534329143595</v>
      </c>
    </row>
    <row r="696" spans="1:27" hidden="1" x14ac:dyDescent="0.25">
      <c r="A696">
        <v>168</v>
      </c>
      <c r="B696">
        <v>802</v>
      </c>
      <c r="C696" t="s">
        <v>26</v>
      </c>
      <c r="D696" t="s">
        <v>100</v>
      </c>
      <c r="E696" t="e">
        <f t="shared" si="21"/>
        <v>#VALUE!</v>
      </c>
      <c r="H696">
        <v>23</v>
      </c>
      <c r="I696" t="s">
        <v>27</v>
      </c>
      <c r="J696" t="s">
        <v>28</v>
      </c>
      <c r="K696" s="2">
        <v>11486.2930507414</v>
      </c>
      <c r="L696" s="2">
        <v>189666641.34278601</v>
      </c>
      <c r="M696" s="3">
        <v>10008.804868745599</v>
      </c>
      <c r="N696" s="3">
        <v>79976204.094170794</v>
      </c>
      <c r="O696" s="4">
        <v>0.52513862286217095</v>
      </c>
      <c r="P696" s="4">
        <v>9.4918267265132906E-3</v>
      </c>
      <c r="Q696" s="5">
        <v>0.13496505948446899</v>
      </c>
      <c r="R696" s="5">
        <v>1.53931956636654E-3</v>
      </c>
      <c r="S696" s="6">
        <v>0.484738333810185</v>
      </c>
      <c r="T696" s="6">
        <v>4.3754451159377199E-2</v>
      </c>
      <c r="U696" s="7">
        <v>0.34161371076449099</v>
      </c>
      <c r="V696" s="7">
        <v>0.22491378338211299</v>
      </c>
      <c r="W696" s="8">
        <v>0.367588647360439</v>
      </c>
      <c r="X696" s="8">
        <v>0.23246723369212899</v>
      </c>
      <c r="Y696" s="2">
        <v>11</v>
      </c>
      <c r="Z696" s="2" t="e">
        <f>VLOOKUP(E696,YieldData!T:U,2,FALSE)</f>
        <v>#VALUE!</v>
      </c>
      <c r="AA696">
        <f t="shared" si="20"/>
        <v>0.913534329143595</v>
      </c>
    </row>
    <row r="697" spans="1:27" hidden="1" x14ac:dyDescent="0.25">
      <c r="A697">
        <v>169</v>
      </c>
      <c r="B697">
        <v>803</v>
      </c>
      <c r="C697" t="s">
        <v>26</v>
      </c>
      <c r="D697">
        <v>25106</v>
      </c>
      <c r="E697">
        <f t="shared" si="21"/>
        <v>25106803</v>
      </c>
      <c r="F697">
        <f>VLOOKUP(E697,YieldData!D:F,2,FALSE)</f>
        <v>1</v>
      </c>
      <c r="G697">
        <f>VLOOKUP($E697,YieldData!$D:$F,3,FALSE)</f>
        <v>4</v>
      </c>
      <c r="H697">
        <v>23</v>
      </c>
      <c r="I697" t="s">
        <v>27</v>
      </c>
      <c r="J697" t="s">
        <v>28</v>
      </c>
      <c r="K697" s="2">
        <v>19711.587105323899</v>
      </c>
      <c r="L697" s="2">
        <v>325395599.67662901</v>
      </c>
      <c r="M697" s="3">
        <v>5630.4222540502396</v>
      </c>
      <c r="N697" s="3">
        <v>92034635.368932694</v>
      </c>
      <c r="O697" s="4">
        <v>0.55169481188220104</v>
      </c>
      <c r="P697" s="4">
        <v>9.6730634573565406E-3</v>
      </c>
      <c r="Q697" s="5">
        <v>0.12639985081411201</v>
      </c>
      <c r="R697" s="5">
        <v>2.1923586394526099E-3</v>
      </c>
      <c r="S697" s="6">
        <v>0.59262028486168805</v>
      </c>
      <c r="T697" s="6">
        <v>4.8336931369314599E-2</v>
      </c>
      <c r="U697" s="7">
        <v>0.54021227705438202</v>
      </c>
      <c r="V697" s="7">
        <v>0.248382972773768</v>
      </c>
      <c r="W697" s="8">
        <v>0.63561423985993604</v>
      </c>
      <c r="X697" s="8">
        <v>0.23160877794735901</v>
      </c>
      <c r="Y697" s="2">
        <v>34</v>
      </c>
      <c r="Z697" s="2">
        <f>VLOOKUP(E697,YieldData!T:U,2,FALSE)</f>
        <v>1371</v>
      </c>
      <c r="AA697">
        <f t="shared" si="20"/>
        <v>0.87296955549071098</v>
      </c>
    </row>
    <row r="698" spans="1:27" hidden="1" x14ac:dyDescent="0.25">
      <c r="A698">
        <v>170</v>
      </c>
      <c r="B698">
        <v>804</v>
      </c>
      <c r="C698" t="s">
        <v>26</v>
      </c>
      <c r="D698">
        <v>25106</v>
      </c>
      <c r="E698">
        <f t="shared" si="21"/>
        <v>25106804</v>
      </c>
      <c r="F698">
        <f>VLOOKUP(E698,YieldData!D:F,2,FALSE)</f>
        <v>3</v>
      </c>
      <c r="G698">
        <f>VLOOKUP($E698,YieldData!$D:$F,3,FALSE)</f>
        <v>4</v>
      </c>
      <c r="H698">
        <v>23</v>
      </c>
      <c r="I698" t="s">
        <v>27</v>
      </c>
      <c r="J698" t="s">
        <v>28</v>
      </c>
      <c r="K698" s="2">
        <v>26241.749562376001</v>
      </c>
      <c r="L698" s="2">
        <v>291015297.11676598</v>
      </c>
      <c r="M698" s="3">
        <v>2346.4175699694501</v>
      </c>
      <c r="N698" s="3">
        <v>99339395.915317595</v>
      </c>
      <c r="O698" s="4">
        <v>0.60266422118727703</v>
      </c>
      <c r="P698" s="4">
        <v>8.6978176183999893E-3</v>
      </c>
      <c r="Q698" s="5">
        <v>0.12634844418805299</v>
      </c>
      <c r="R698" s="5">
        <v>4.1633992551879002E-3</v>
      </c>
      <c r="S698" s="6">
        <v>0.71299340947766898</v>
      </c>
      <c r="T698" s="6">
        <v>3.5952056542478399E-2</v>
      </c>
      <c r="U698" s="7">
        <v>0.78713968957871405</v>
      </c>
      <c r="V698" s="7">
        <v>0.16755079866858599</v>
      </c>
      <c r="W698" s="8">
        <v>0.62613427479356898</v>
      </c>
      <c r="X698" s="8">
        <v>0.23409014472222101</v>
      </c>
      <c r="Y698" s="2">
        <v>23</v>
      </c>
      <c r="Z698" s="2">
        <f>VLOOKUP(E698,YieldData!T:U,2,FALSE)</f>
        <v>646</v>
      </c>
      <c r="AA698">
        <f t="shared" si="20"/>
        <v>0.89469691443577204</v>
      </c>
    </row>
    <row r="699" spans="1:27" hidden="1" x14ac:dyDescent="0.25">
      <c r="A699">
        <v>171</v>
      </c>
      <c r="B699">
        <v>805</v>
      </c>
      <c r="C699" t="s">
        <v>26</v>
      </c>
      <c r="D699">
        <v>25106</v>
      </c>
      <c r="E699">
        <f t="shared" si="21"/>
        <v>25106805</v>
      </c>
      <c r="F699">
        <f>VLOOKUP(E699,YieldData!D:F,2,FALSE)</f>
        <v>2</v>
      </c>
      <c r="G699">
        <f>VLOOKUP($E699,YieldData!$D:$F,3,FALSE)</f>
        <v>4</v>
      </c>
      <c r="H699">
        <v>23</v>
      </c>
      <c r="I699" t="s">
        <v>27</v>
      </c>
      <c r="J699" t="s">
        <v>28</v>
      </c>
      <c r="K699" s="2">
        <v>17057.403438374298</v>
      </c>
      <c r="L699" s="2">
        <v>300569588.64432299</v>
      </c>
      <c r="M699" s="3">
        <v>7832.6102559833798</v>
      </c>
      <c r="N699" s="3">
        <v>97804015.342564896</v>
      </c>
      <c r="O699" s="4">
        <v>0.55484449863488705</v>
      </c>
      <c r="P699" s="4">
        <v>8.7425460511102396E-3</v>
      </c>
      <c r="Q699" s="5">
        <v>0.13059921583910999</v>
      </c>
      <c r="R699" s="5">
        <v>3.09991214675206E-3</v>
      </c>
      <c r="S699" s="6">
        <v>0.58682125126158502</v>
      </c>
      <c r="T699" s="6">
        <v>4.4993739284656997E-2</v>
      </c>
      <c r="U699" s="7">
        <v>0.52853040789279904</v>
      </c>
      <c r="V699" s="7">
        <v>0.249186015825449</v>
      </c>
      <c r="W699" s="8">
        <v>0.86357055214723899</v>
      </c>
      <c r="X699" s="8">
        <v>0.117816453611303</v>
      </c>
      <c r="Y699" s="2">
        <v>72</v>
      </c>
      <c r="Z699" s="2">
        <f>VLOOKUP(E699,YieldData!T:U,2,FALSE)</f>
        <v>1918</v>
      </c>
      <c r="AA699">
        <f t="shared" si="20"/>
        <v>0.80746058040370605</v>
      </c>
    </row>
    <row r="700" spans="1:27" hidden="1" x14ac:dyDescent="0.25">
      <c r="A700">
        <v>172</v>
      </c>
      <c r="B700">
        <v>806</v>
      </c>
      <c r="C700" t="s">
        <v>26</v>
      </c>
      <c r="D700">
        <v>25106</v>
      </c>
      <c r="E700">
        <f t="shared" si="21"/>
        <v>25106806</v>
      </c>
      <c r="F700">
        <f>VLOOKUP(E700,YieldData!D:F,2,FALSE)</f>
        <v>4</v>
      </c>
      <c r="G700">
        <f>VLOOKUP($E700,YieldData!$D:$F,3,FALSE)</f>
        <v>4</v>
      </c>
      <c r="H700">
        <v>23</v>
      </c>
      <c r="I700" t="s">
        <v>27</v>
      </c>
      <c r="J700" t="s">
        <v>28</v>
      </c>
      <c r="K700" s="2">
        <v>15179.3535627778</v>
      </c>
      <c r="L700" s="2">
        <v>296732083.17862701</v>
      </c>
      <c r="M700" s="3">
        <v>9786.8099879043202</v>
      </c>
      <c r="N700" s="3">
        <v>99140601.349221796</v>
      </c>
      <c r="O700" s="4">
        <v>0.52537440920846101</v>
      </c>
      <c r="P700" s="4">
        <v>9.2185562804582497E-3</v>
      </c>
      <c r="Q700" s="5">
        <v>0.13117873657238999</v>
      </c>
      <c r="R700" s="5">
        <v>1.94580504362319E-3</v>
      </c>
      <c r="S700" s="6">
        <v>0.52407464208728605</v>
      </c>
      <c r="T700" s="6">
        <v>5.0099963937959797E-2</v>
      </c>
      <c r="U700" s="7">
        <v>0.441028507546115</v>
      </c>
      <c r="V700" s="7">
        <v>0.24652236307766101</v>
      </c>
      <c r="W700" s="8">
        <v>0.79433058291189795</v>
      </c>
      <c r="X700" s="8">
        <v>0.16336950796269201</v>
      </c>
      <c r="Y700" s="2">
        <v>53</v>
      </c>
      <c r="Z700" s="2">
        <f>VLOOKUP(E700,YieldData!T:U,2,FALSE)</f>
        <v>1642</v>
      </c>
      <c r="AA700">
        <f t="shared" si="20"/>
        <v>0.65630406430491595</v>
      </c>
    </row>
    <row r="701" spans="1:27" hidden="1" x14ac:dyDescent="0.25">
      <c r="A701">
        <v>173</v>
      </c>
      <c r="B701">
        <v>807</v>
      </c>
      <c r="C701" t="s">
        <v>26</v>
      </c>
      <c r="D701">
        <v>25106</v>
      </c>
      <c r="E701">
        <f t="shared" si="21"/>
        <v>25106807</v>
      </c>
      <c r="F701">
        <f>VLOOKUP(E701,YieldData!D:F,2,FALSE)</f>
        <v>2</v>
      </c>
      <c r="G701">
        <f>VLOOKUP($E701,YieldData!$D:$F,3,FALSE)</f>
        <v>3</v>
      </c>
      <c r="H701">
        <v>23</v>
      </c>
      <c r="I701" t="s">
        <v>27</v>
      </c>
      <c r="J701" t="s">
        <v>28</v>
      </c>
      <c r="K701" s="2">
        <v>19725.7207960247</v>
      </c>
      <c r="L701" s="2">
        <v>359444328.75275201</v>
      </c>
      <c r="M701" s="3">
        <v>6561.0171905009101</v>
      </c>
      <c r="N701" s="3">
        <v>102718020.017903</v>
      </c>
      <c r="O701" s="4">
        <v>0.55300296790985004</v>
      </c>
      <c r="P701" s="4">
        <v>8.3521870241107399E-3</v>
      </c>
      <c r="Q701" s="5">
        <v>0.13971167944059201</v>
      </c>
      <c r="R701" s="5">
        <v>2.0368182769311201E-3</v>
      </c>
      <c r="S701" s="6">
        <v>0.58468346749198596</v>
      </c>
      <c r="T701" s="6">
        <v>5.2373944504632702E-2</v>
      </c>
      <c r="U701" s="7">
        <v>0.54126523223462797</v>
      </c>
      <c r="V701" s="7">
        <v>0.24829718060853401</v>
      </c>
      <c r="W701" s="8">
        <v>0.55649384576129102</v>
      </c>
      <c r="X701" s="8">
        <v>0.24680844539103</v>
      </c>
      <c r="Y701" s="2">
        <v>27</v>
      </c>
      <c r="Z701" s="2">
        <f>VLOOKUP(E701,YieldData!T:U,2,FALSE)</f>
        <v>1837</v>
      </c>
      <c r="AA701">
        <f t="shared" si="20"/>
        <v>0.88711774211185002</v>
      </c>
    </row>
    <row r="702" spans="1:27" hidden="1" x14ac:dyDescent="0.25">
      <c r="A702">
        <v>174</v>
      </c>
      <c r="B702">
        <v>808</v>
      </c>
      <c r="C702" t="s">
        <v>26</v>
      </c>
      <c r="D702">
        <v>25106</v>
      </c>
      <c r="E702">
        <f t="shared" si="21"/>
        <v>25106808</v>
      </c>
      <c r="F702">
        <f>VLOOKUP(E702,YieldData!D:F,2,FALSE)</f>
        <v>3</v>
      </c>
      <c r="G702">
        <f>VLOOKUP($E702,YieldData!$D:$F,3,FALSE)</f>
        <v>3</v>
      </c>
      <c r="H702">
        <v>23</v>
      </c>
      <c r="I702" t="s">
        <v>27</v>
      </c>
      <c r="J702" t="s">
        <v>28</v>
      </c>
      <c r="K702" s="2">
        <v>20324.906476119399</v>
      </c>
      <c r="L702" s="2">
        <v>335252223.02235299</v>
      </c>
      <c r="M702" s="3">
        <v>5976.4847962286703</v>
      </c>
      <c r="N702" s="3">
        <v>93007149.875509605</v>
      </c>
      <c r="O702" s="4">
        <v>0.56212348723560401</v>
      </c>
      <c r="P702" s="4">
        <v>7.5742883181527899E-3</v>
      </c>
      <c r="Q702" s="5">
        <v>0.12745696339662499</v>
      </c>
      <c r="R702" s="5">
        <v>4.3218734716741801E-3</v>
      </c>
      <c r="S702" s="6">
        <v>0.60778578660359495</v>
      </c>
      <c r="T702" s="6">
        <v>4.5193734970842198E-2</v>
      </c>
      <c r="U702" s="7">
        <v>0.61189034300918599</v>
      </c>
      <c r="V702" s="7">
        <v>0.237480551141657</v>
      </c>
      <c r="W702" s="8">
        <v>0.73258935558043503</v>
      </c>
      <c r="X702" s="8">
        <v>0.19590219167071099</v>
      </c>
      <c r="Y702" s="2">
        <v>47</v>
      </c>
      <c r="Z702" s="2">
        <f>VLOOKUP(E702,YieldData!T:U,2,FALSE)</f>
        <v>963</v>
      </c>
      <c r="AA702">
        <f t="shared" si="20"/>
        <v>0.87328453796889305</v>
      </c>
    </row>
    <row r="703" spans="1:27" hidden="1" x14ac:dyDescent="0.25">
      <c r="A703">
        <v>175</v>
      </c>
      <c r="B703">
        <v>809</v>
      </c>
      <c r="C703" t="s">
        <v>26</v>
      </c>
      <c r="D703">
        <v>25106</v>
      </c>
      <c r="E703">
        <f t="shared" si="21"/>
        <v>25106809</v>
      </c>
      <c r="F703">
        <f>VLOOKUP(E703,YieldData!D:F,2,FALSE)</f>
        <v>1</v>
      </c>
      <c r="G703">
        <f>VLOOKUP($E703,YieldData!$D:$F,3,FALSE)</f>
        <v>3</v>
      </c>
      <c r="H703">
        <v>23</v>
      </c>
      <c r="I703" t="s">
        <v>27</v>
      </c>
      <c r="J703" t="s">
        <v>28</v>
      </c>
      <c r="K703" s="2">
        <v>12753.046630946999</v>
      </c>
      <c r="L703" s="2">
        <v>282614578.959849</v>
      </c>
      <c r="M703" s="3">
        <v>10269.3835512721</v>
      </c>
      <c r="N703" s="3">
        <v>90883643.335726306</v>
      </c>
      <c r="O703" s="4">
        <v>0.52805869539238504</v>
      </c>
      <c r="P703" s="4">
        <v>7.0191057308515697E-3</v>
      </c>
      <c r="Q703" s="5">
        <v>0.11707359354651101</v>
      </c>
      <c r="R703" s="5">
        <v>3.3917755600748598E-3</v>
      </c>
      <c r="S703" s="6">
        <v>0.511083200186084</v>
      </c>
      <c r="T703" s="6">
        <v>4.1479980549743903E-2</v>
      </c>
      <c r="U703" s="7">
        <v>0.39749324275838999</v>
      </c>
      <c r="V703" s="7">
        <v>0.23949236472007501</v>
      </c>
      <c r="W703" s="8">
        <v>0.90600743903460002</v>
      </c>
      <c r="X703" s="8">
        <v>8.5157959448837806E-2</v>
      </c>
      <c r="Y703" s="2">
        <v>98</v>
      </c>
      <c r="Z703" s="2">
        <f>VLOOKUP(E703,YieldData!T:U,2,FALSE)</f>
        <v>1538</v>
      </c>
      <c r="AA703">
        <f t="shared" si="20"/>
        <v>0.67314914483913402</v>
      </c>
    </row>
    <row r="704" spans="1:27" hidden="1" x14ac:dyDescent="0.25">
      <c r="A704">
        <v>1</v>
      </c>
      <c r="B704">
        <v>101</v>
      </c>
      <c r="C704" t="s">
        <v>20</v>
      </c>
      <c r="D704">
        <v>25111</v>
      </c>
      <c r="E704">
        <f t="shared" si="21"/>
        <v>25111101</v>
      </c>
      <c r="F704">
        <f>VLOOKUP(E704,YieldData!D:F,2,FALSE)</f>
        <v>1</v>
      </c>
      <c r="G704">
        <f>VLOOKUP($E704,YieldData!$D:$F,3,FALSE)</f>
        <v>1</v>
      </c>
      <c r="H704">
        <v>30</v>
      </c>
      <c r="I704" t="s">
        <v>21</v>
      </c>
      <c r="J704" t="s">
        <v>22</v>
      </c>
      <c r="K704" s="2">
        <v>14080.1027615984</v>
      </c>
      <c r="L704" s="2">
        <v>155340077.417602</v>
      </c>
      <c r="M704" s="3">
        <v>6695.8811027319998</v>
      </c>
      <c r="N704" s="3">
        <v>82268524.862058297</v>
      </c>
      <c r="O704" s="4">
        <v>0.174533901977419</v>
      </c>
      <c r="P704" s="4">
        <v>3.0927930607544198E-2</v>
      </c>
      <c r="Q704" s="5">
        <v>-2.9440246042030601E-2</v>
      </c>
      <c r="R704" s="5">
        <v>1.8020865973801001E-3</v>
      </c>
      <c r="S704" s="6">
        <v>0.44310312050427803</v>
      </c>
      <c r="T704" s="6">
        <v>8.1810311871949606E-2</v>
      </c>
      <c r="U704" s="7">
        <v>0.47798734616258598</v>
      </c>
      <c r="V704" s="7">
        <v>0.24951544307099799</v>
      </c>
      <c r="W704" s="8">
        <v>0.861590164326548</v>
      </c>
      <c r="X704" s="8">
        <v>0.119252553062567</v>
      </c>
      <c r="Y704" s="2">
        <v>44</v>
      </c>
      <c r="Z704" s="2">
        <f>VLOOKUP(E704,YieldData!T:U,2,FALSE)</f>
        <v>2712.5032092426181</v>
      </c>
      <c r="AA704">
        <f t="shared" si="20"/>
        <v>0.63921348180219795</v>
      </c>
    </row>
    <row r="705" spans="1:27" hidden="1" x14ac:dyDescent="0.25">
      <c r="A705">
        <v>2</v>
      </c>
      <c r="B705">
        <v>102</v>
      </c>
      <c r="C705" t="s">
        <v>20</v>
      </c>
      <c r="D705">
        <v>25111</v>
      </c>
      <c r="E705">
        <f t="shared" si="21"/>
        <v>25111102</v>
      </c>
      <c r="F705">
        <f>VLOOKUP(E705,YieldData!D:F,2,FALSE)</f>
        <v>2</v>
      </c>
      <c r="G705">
        <f>VLOOKUP($E705,YieldData!$D:$F,3,FALSE)</f>
        <v>1</v>
      </c>
      <c r="H705">
        <v>30</v>
      </c>
      <c r="I705" t="s">
        <v>21</v>
      </c>
      <c r="J705" t="s">
        <v>22</v>
      </c>
      <c r="K705" s="2">
        <v>12007.0765238397</v>
      </c>
      <c r="L705" s="2">
        <v>168169890.787642</v>
      </c>
      <c r="M705" s="3">
        <v>9752.58583747784</v>
      </c>
      <c r="N705" s="3">
        <v>86762604.081110403</v>
      </c>
      <c r="O705" s="4">
        <v>0.119420943962014</v>
      </c>
      <c r="P705" s="4">
        <v>3.1363637542321798E-2</v>
      </c>
      <c r="Q705" s="5">
        <v>-3.5491387407844098E-2</v>
      </c>
      <c r="R705" s="5">
        <v>1.87961542849121E-3</v>
      </c>
      <c r="S705" s="6">
        <v>0.368481154200895</v>
      </c>
      <c r="T705" s="6">
        <v>8.5904597889652698E-2</v>
      </c>
      <c r="U705" s="7">
        <v>0.39365709570562402</v>
      </c>
      <c r="V705" s="7">
        <v>0.23869118670609801</v>
      </c>
      <c r="W705" s="8">
        <v>0.76461794218602397</v>
      </c>
      <c r="X705" s="8">
        <v>0.17997734467339199</v>
      </c>
      <c r="Y705" s="2">
        <v>25</v>
      </c>
      <c r="Z705" s="2">
        <f>VLOOKUP(E705,YieldData!T:U,2,FALSE)</f>
        <v>2630.8777278562261</v>
      </c>
      <c r="AA705">
        <f t="shared" si="20"/>
        <v>0.50606430314339002</v>
      </c>
    </row>
    <row r="706" spans="1:27" hidden="1" x14ac:dyDescent="0.25">
      <c r="A706">
        <v>3</v>
      </c>
      <c r="B706">
        <v>103</v>
      </c>
      <c r="C706" t="s">
        <v>20</v>
      </c>
      <c r="D706">
        <v>25111</v>
      </c>
      <c r="E706">
        <f t="shared" si="21"/>
        <v>25111103</v>
      </c>
      <c r="F706">
        <f>VLOOKUP(E706,YieldData!D:F,2,FALSE)</f>
        <v>3</v>
      </c>
      <c r="G706">
        <f>VLOOKUP($E706,YieldData!$D:$F,3,FALSE)</f>
        <v>1</v>
      </c>
      <c r="H706">
        <v>30</v>
      </c>
      <c r="I706" t="s">
        <v>21</v>
      </c>
      <c r="J706" t="s">
        <v>22</v>
      </c>
      <c r="K706" s="2">
        <v>13362.194661134199</v>
      </c>
      <c r="L706" s="2">
        <v>191953444.991124</v>
      </c>
      <c r="M706" s="3">
        <v>8844.4777708836009</v>
      </c>
      <c r="N706" s="3">
        <v>87585168.668763399</v>
      </c>
      <c r="O706" s="4">
        <v>0.13114312705514999</v>
      </c>
      <c r="P706" s="4">
        <v>2.6129457757092599E-2</v>
      </c>
      <c r="Q706" s="5">
        <v>-3.1232622573413499E-2</v>
      </c>
      <c r="R706" s="5">
        <v>1.74421970048194E-3</v>
      </c>
      <c r="S706" s="6">
        <v>0.39429276350641101</v>
      </c>
      <c r="T706" s="6">
        <v>7.9617255114493996E-2</v>
      </c>
      <c r="U706" s="7">
        <v>0.42215767634854801</v>
      </c>
      <c r="V706" s="7">
        <v>0.24394057264836899</v>
      </c>
      <c r="W706" s="8">
        <v>0.70976574383936697</v>
      </c>
      <c r="X706" s="8">
        <v>0.205998332711296</v>
      </c>
      <c r="Y706" s="2">
        <v>20</v>
      </c>
      <c r="Z706" s="2">
        <f>VLOOKUP(E706,YieldData!T:U,2,FALSE)</f>
        <v>2507.2143774069318</v>
      </c>
      <c r="AA706">
        <f t="shared" ref="AA706:AA769" si="22">_xlfn.MAXIFS(U:U,E:E,E706)</f>
        <v>0.65522869037246001</v>
      </c>
    </row>
    <row r="707" spans="1:27" hidden="1" x14ac:dyDescent="0.25">
      <c r="A707">
        <v>4</v>
      </c>
      <c r="B707">
        <v>104</v>
      </c>
      <c r="C707" t="s">
        <v>20</v>
      </c>
      <c r="D707">
        <v>25111</v>
      </c>
      <c r="E707">
        <f t="shared" ref="E707:E770" si="23">D707*1000+B707</f>
        <v>25111104</v>
      </c>
      <c r="F707">
        <f>VLOOKUP(E707,YieldData!D:F,2,FALSE)</f>
        <v>4</v>
      </c>
      <c r="G707">
        <f>VLOOKUP($E707,YieldData!$D:$F,3,FALSE)</f>
        <v>1</v>
      </c>
      <c r="H707">
        <v>30</v>
      </c>
      <c r="I707" t="s">
        <v>21</v>
      </c>
      <c r="J707" t="s">
        <v>22</v>
      </c>
      <c r="K707" s="2">
        <v>14377.542386175801</v>
      </c>
      <c r="L707" s="2">
        <v>182713381.993274</v>
      </c>
      <c r="M707" s="3">
        <v>7378.1391498174498</v>
      </c>
      <c r="N707" s="3">
        <v>86929541.862550303</v>
      </c>
      <c r="O707" s="4">
        <v>0.15197530683860699</v>
      </c>
      <c r="P707" s="4">
        <v>3.3008439176236602E-2</v>
      </c>
      <c r="Q707" s="5">
        <v>-3.0325308480116098E-2</v>
      </c>
      <c r="R707" s="5">
        <v>1.9858162734824399E-3</v>
      </c>
      <c r="S707" s="6">
        <v>0.418106931395129</v>
      </c>
      <c r="T707" s="6">
        <v>9.1385641100266604E-2</v>
      </c>
      <c r="U707" s="7">
        <v>0.47314436037601498</v>
      </c>
      <c r="V707" s="7">
        <v>0.24927877462043699</v>
      </c>
      <c r="W707" s="8">
        <v>0.55731039308897001</v>
      </c>
      <c r="X707" s="8">
        <v>0.24671551884382101</v>
      </c>
      <c r="Y707" s="2">
        <v>19</v>
      </c>
      <c r="Z707" s="2">
        <f>VLOOKUP(E707,YieldData!T:U,2,FALSE)</f>
        <v>1929.165596919127</v>
      </c>
      <c r="AA707">
        <f t="shared" si="22"/>
        <v>0.87333663091604397</v>
      </c>
    </row>
    <row r="708" spans="1:27" hidden="1" x14ac:dyDescent="0.25">
      <c r="A708">
        <v>5</v>
      </c>
      <c r="B708">
        <v>105</v>
      </c>
      <c r="C708" t="s">
        <v>20</v>
      </c>
      <c r="D708">
        <v>25111</v>
      </c>
      <c r="E708">
        <f t="shared" si="23"/>
        <v>25111105</v>
      </c>
      <c r="F708">
        <f>VLOOKUP(E708,YieldData!D:F,2,FALSE)</f>
        <v>5</v>
      </c>
      <c r="G708">
        <f>VLOOKUP($E708,YieldData!$D:$F,3,FALSE)</f>
        <v>1</v>
      </c>
      <c r="H708">
        <v>30</v>
      </c>
      <c r="I708" t="s">
        <v>21</v>
      </c>
      <c r="J708" t="s">
        <v>22</v>
      </c>
      <c r="K708" s="2">
        <v>16661.516011837099</v>
      </c>
      <c r="L708" s="2">
        <v>206792042.37641299</v>
      </c>
      <c r="M708" s="3">
        <v>5826.0035752765898</v>
      </c>
      <c r="N708" s="3">
        <v>67051797.2333728</v>
      </c>
      <c r="O708" s="4">
        <v>0.169617765320207</v>
      </c>
      <c r="P708" s="4">
        <v>2.25967456755631E-2</v>
      </c>
      <c r="Q708" s="5">
        <v>-2.74684482360712E-2</v>
      </c>
      <c r="R708" s="5">
        <v>1.89384379860222E-3</v>
      </c>
      <c r="S708" s="6">
        <v>0.45436806663326501</v>
      </c>
      <c r="T708" s="6">
        <v>7.2561083209387006E-2</v>
      </c>
      <c r="U708" s="7">
        <v>0.51817845535973805</v>
      </c>
      <c r="V708" s="7">
        <v>0.249669543760623</v>
      </c>
      <c r="W708" s="8">
        <v>0.58465339340212197</v>
      </c>
      <c r="X708" s="8">
        <v>0.242833802985361</v>
      </c>
      <c r="Y708" s="2">
        <v>18</v>
      </c>
      <c r="Z708" s="2">
        <f>VLOOKUP(E708,YieldData!T:U,2,FALSE)</f>
        <v>2572.6668806161747</v>
      </c>
      <c r="AA708">
        <f t="shared" si="22"/>
        <v>0.89342757117379001</v>
      </c>
    </row>
    <row r="709" spans="1:27" hidden="1" x14ac:dyDescent="0.25">
      <c r="A709">
        <v>6</v>
      </c>
      <c r="B709">
        <v>106</v>
      </c>
      <c r="C709" t="s">
        <v>20</v>
      </c>
      <c r="D709">
        <v>25111</v>
      </c>
      <c r="E709">
        <f t="shared" si="23"/>
        <v>25111106</v>
      </c>
      <c r="F709">
        <f>VLOOKUP(E709,YieldData!D:F,2,FALSE)</f>
        <v>6</v>
      </c>
      <c r="G709">
        <f>VLOOKUP($E709,YieldData!$D:$F,3,FALSE)</f>
        <v>1</v>
      </c>
      <c r="H709">
        <v>30</v>
      </c>
      <c r="I709" t="s">
        <v>21</v>
      </c>
      <c r="J709" t="s">
        <v>22</v>
      </c>
      <c r="K709" s="2">
        <v>14035.7354642754</v>
      </c>
      <c r="L709" s="2">
        <v>172412922.35273501</v>
      </c>
      <c r="M709" s="3">
        <v>7351.2892632216199</v>
      </c>
      <c r="N709" s="3">
        <v>88068191.288241193</v>
      </c>
      <c r="O709" s="4">
        <v>0.158457040784244</v>
      </c>
      <c r="P709" s="4">
        <v>2.9364759608696299E-2</v>
      </c>
      <c r="Q709" s="5">
        <v>-2.8403257541830301E-2</v>
      </c>
      <c r="R709" s="5">
        <v>1.88356832530607E-3</v>
      </c>
      <c r="S709" s="6">
        <v>0.41647561215318601</v>
      </c>
      <c r="T709" s="6">
        <v>8.30129592684168E-2</v>
      </c>
      <c r="U709" s="7">
        <v>0.45248113182738597</v>
      </c>
      <c r="V709" s="7">
        <v>0.247741957167564</v>
      </c>
      <c r="W709" s="8">
        <v>0.66691651215695602</v>
      </c>
      <c r="X709" s="8">
        <v>0.222138877969527</v>
      </c>
      <c r="Y709" s="2">
        <v>24</v>
      </c>
      <c r="Z709" s="2">
        <f>VLOOKUP(E709,YieldData!T:U,2,FALSE)</f>
        <v>1598.7419768934531</v>
      </c>
      <c r="AA709">
        <f t="shared" si="22"/>
        <v>0.86296398564159205</v>
      </c>
    </row>
    <row r="710" spans="1:27" hidden="1" x14ac:dyDescent="0.25">
      <c r="A710">
        <v>7</v>
      </c>
      <c r="B710">
        <v>107</v>
      </c>
      <c r="C710" t="s">
        <v>20</v>
      </c>
      <c r="D710">
        <v>25111</v>
      </c>
      <c r="E710">
        <f t="shared" si="23"/>
        <v>25111107</v>
      </c>
      <c r="F710">
        <f>VLOOKUP(E710,YieldData!D:F,2,FALSE)</f>
        <v>7</v>
      </c>
      <c r="G710">
        <f>VLOOKUP($E710,YieldData!$D:$F,3,FALSE)</f>
        <v>1</v>
      </c>
      <c r="H710">
        <v>30</v>
      </c>
      <c r="I710" t="s">
        <v>21</v>
      </c>
      <c r="J710" t="s">
        <v>22</v>
      </c>
      <c r="K710" s="2">
        <v>16154.725996228</v>
      </c>
      <c r="L710" s="2">
        <v>173296470.83123001</v>
      </c>
      <c r="M710" s="3">
        <v>5173.77482775525</v>
      </c>
      <c r="N710" s="3">
        <v>75805266.382724807</v>
      </c>
      <c r="O710" s="4">
        <v>0.21094569264922</v>
      </c>
      <c r="P710" s="4">
        <v>2.7805847253860799E-2</v>
      </c>
      <c r="Q710" s="5">
        <v>-1.3740552857776599E-2</v>
      </c>
      <c r="R710" s="5">
        <v>1.9364838004200899E-3</v>
      </c>
      <c r="S710" s="6">
        <v>0.49100318237407597</v>
      </c>
      <c r="T710" s="6">
        <v>7.4196925011283499E-2</v>
      </c>
      <c r="U710" s="7">
        <v>0.53740950295066003</v>
      </c>
      <c r="V710" s="7">
        <v>0.24860052908904601</v>
      </c>
      <c r="W710" s="8">
        <v>0.82586689378269895</v>
      </c>
      <c r="X710" s="8">
        <v>0.14381076753600699</v>
      </c>
      <c r="Y710" s="2">
        <v>41</v>
      </c>
      <c r="Z710" s="2">
        <f>VLOOKUP(E710,YieldData!T:U,2,FALSE)</f>
        <v>1100.0449293966624</v>
      </c>
      <c r="AA710">
        <f t="shared" si="22"/>
        <v>0.90252597766042897</v>
      </c>
    </row>
    <row r="711" spans="1:27" hidden="1" x14ac:dyDescent="0.25">
      <c r="A711">
        <v>8</v>
      </c>
      <c r="B711">
        <v>108</v>
      </c>
      <c r="C711" t="s">
        <v>20</v>
      </c>
      <c r="D711">
        <v>25111</v>
      </c>
      <c r="E711">
        <f t="shared" si="23"/>
        <v>25111108</v>
      </c>
      <c r="F711">
        <f>VLOOKUP(E711,YieldData!D:F,2,FALSE)</f>
        <v>8</v>
      </c>
      <c r="G711">
        <f>VLOOKUP($E711,YieldData!$D:$F,3,FALSE)</f>
        <v>1</v>
      </c>
      <c r="H711">
        <v>30</v>
      </c>
      <c r="I711" t="s">
        <v>21</v>
      </c>
      <c r="J711" t="s">
        <v>22</v>
      </c>
      <c r="K711" s="2">
        <v>17553.464102472099</v>
      </c>
      <c r="L711" s="2">
        <v>182888390.25631899</v>
      </c>
      <c r="M711" s="3">
        <v>4706.4170552640899</v>
      </c>
      <c r="N711" s="3">
        <v>80935378.892867893</v>
      </c>
      <c r="O711" s="4">
        <v>0.23225531488568801</v>
      </c>
      <c r="P711" s="4">
        <v>2.8099424235107799E-2</v>
      </c>
      <c r="Q711" s="5">
        <v>-9.0537771568858696E-3</v>
      </c>
      <c r="R711" s="5">
        <v>1.88593831357651E-3</v>
      </c>
      <c r="S711" s="6">
        <v>0.52622037564051305</v>
      </c>
      <c r="T711" s="6">
        <v>7.3420659237853306E-2</v>
      </c>
      <c r="U711" s="7">
        <v>0.57974238455742499</v>
      </c>
      <c r="V711" s="7">
        <v>0.24364115210515599</v>
      </c>
      <c r="W711" s="8">
        <v>0.519272396761424</v>
      </c>
      <c r="X711" s="8">
        <v>0.24962857472304101</v>
      </c>
      <c r="Y711" s="2">
        <v>23</v>
      </c>
      <c r="Z711" s="2">
        <f>VLOOKUP(E711,YieldData!T:U,2,FALSE)</f>
        <v>1751.4040436456994</v>
      </c>
      <c r="AA711">
        <f t="shared" si="22"/>
        <v>0.80795082163274101</v>
      </c>
    </row>
    <row r="712" spans="1:27" hidden="1" x14ac:dyDescent="0.25">
      <c r="A712">
        <v>9</v>
      </c>
      <c r="B712">
        <v>109</v>
      </c>
      <c r="C712" t="s">
        <v>20</v>
      </c>
      <c r="D712">
        <v>25111</v>
      </c>
      <c r="E712">
        <f t="shared" si="23"/>
        <v>25111109</v>
      </c>
      <c r="F712">
        <f>VLOOKUP(E712,YieldData!D:F,2,FALSE)</f>
        <v>9</v>
      </c>
      <c r="G712">
        <f>VLOOKUP($E712,YieldData!$D:$F,3,FALSE)</f>
        <v>1</v>
      </c>
      <c r="H712">
        <v>30</v>
      </c>
      <c r="I712" t="s">
        <v>21</v>
      </c>
      <c r="J712" t="s">
        <v>22</v>
      </c>
      <c r="K712" s="2">
        <v>11069.6751743192</v>
      </c>
      <c r="L712" s="2">
        <v>149314815.97779</v>
      </c>
      <c r="M712" s="3">
        <v>10227.5943626681</v>
      </c>
      <c r="N712" s="3">
        <v>84015117.730847403</v>
      </c>
      <c r="O712" s="4">
        <v>0.13729395016227799</v>
      </c>
      <c r="P712" s="4">
        <v>2.9669973878528301E-2</v>
      </c>
      <c r="Q712" s="5">
        <v>-3.09981230289289E-2</v>
      </c>
      <c r="R712" s="5">
        <v>2.0150959369663198E-3</v>
      </c>
      <c r="S712" s="6">
        <v>0.372982982894764</v>
      </c>
      <c r="T712" s="6">
        <v>7.6103087925353502E-2</v>
      </c>
      <c r="U712" s="7">
        <v>0.34966690985635901</v>
      </c>
      <c r="V712" s="7">
        <v>0.22739996200764001</v>
      </c>
      <c r="W712" s="8">
        <v>0.69508694716195896</v>
      </c>
      <c r="X712" s="8">
        <v>0.21194108304686901</v>
      </c>
      <c r="Y712" s="2">
        <v>40</v>
      </c>
      <c r="Z712" s="2">
        <f>VLOOKUP(E712,YieldData!T:U,2,FALSE)</f>
        <v>2836.1071887034655</v>
      </c>
      <c r="AA712">
        <f t="shared" si="22"/>
        <v>0.78055665195498003</v>
      </c>
    </row>
    <row r="713" spans="1:27" hidden="1" x14ac:dyDescent="0.25">
      <c r="A713">
        <v>10</v>
      </c>
      <c r="B713">
        <v>110</v>
      </c>
      <c r="C713" t="s">
        <v>20</v>
      </c>
      <c r="D713">
        <v>25111</v>
      </c>
      <c r="E713">
        <f t="shared" si="23"/>
        <v>25111110</v>
      </c>
      <c r="F713">
        <f>VLOOKUP(E713,YieldData!D:F,2,FALSE)</f>
        <v>10</v>
      </c>
      <c r="G713">
        <f>VLOOKUP($E713,YieldData!$D:$F,3,FALSE)</f>
        <v>1</v>
      </c>
      <c r="H713">
        <v>30</v>
      </c>
      <c r="I713" t="s">
        <v>21</v>
      </c>
      <c r="J713" t="s">
        <v>22</v>
      </c>
      <c r="K713" s="2">
        <v>13931.950534007899</v>
      </c>
      <c r="L713" s="2">
        <v>179325848.081893</v>
      </c>
      <c r="M713" s="3">
        <v>6036.522607246</v>
      </c>
      <c r="N713" s="3">
        <v>72783308.894424304</v>
      </c>
      <c r="O713" s="4">
        <v>0.208450657666505</v>
      </c>
      <c r="P713" s="4">
        <v>2.5970352273916999E-2</v>
      </c>
      <c r="Q713" s="5">
        <v>-8.7464002228749508E-3</v>
      </c>
      <c r="R713" s="5">
        <v>2.03549887519175E-3</v>
      </c>
      <c r="S713" s="6">
        <v>0.46937636107407898</v>
      </c>
      <c r="T713" s="6">
        <v>7.2348430005609601E-2</v>
      </c>
      <c r="U713" s="7">
        <v>0.47515338523913703</v>
      </c>
      <c r="V713" s="7">
        <v>0.24938264573473701</v>
      </c>
      <c r="W713" s="8">
        <v>0.32442711572501598</v>
      </c>
      <c r="X713" s="8">
        <v>0.219174162307265</v>
      </c>
      <c r="Y713" s="2">
        <v>11</v>
      </c>
      <c r="Z713" s="2">
        <f>VLOOKUP(E713,YieldData!T:U,2,FALSE)</f>
        <v>1890.8279845956356</v>
      </c>
      <c r="AA713">
        <f t="shared" si="22"/>
        <v>0.82046498277841595</v>
      </c>
    </row>
    <row r="714" spans="1:27" hidden="1" x14ac:dyDescent="0.25">
      <c r="A714">
        <v>11</v>
      </c>
      <c r="B714">
        <v>201</v>
      </c>
      <c r="C714" t="s">
        <v>20</v>
      </c>
      <c r="D714">
        <v>25111</v>
      </c>
      <c r="E714">
        <f t="shared" si="23"/>
        <v>25111201</v>
      </c>
      <c r="F714">
        <f>VLOOKUP(E714,YieldData!D:F,2,FALSE)</f>
        <v>14</v>
      </c>
      <c r="G714">
        <f>VLOOKUP($E714,YieldData!$D:$F,3,FALSE)</f>
        <v>2</v>
      </c>
      <c r="H714">
        <v>30</v>
      </c>
      <c r="I714" t="s">
        <v>21</v>
      </c>
      <c r="J714" t="s">
        <v>22</v>
      </c>
      <c r="K714" s="2">
        <v>13045.239112151199</v>
      </c>
      <c r="L714" s="2">
        <v>156730029.26910099</v>
      </c>
      <c r="M714" s="3">
        <v>8103.0247679602498</v>
      </c>
      <c r="N714" s="3">
        <v>85041319.169520304</v>
      </c>
      <c r="O714" s="4">
        <v>0.112148593155126</v>
      </c>
      <c r="P714" s="4">
        <v>3.2876629008828699E-2</v>
      </c>
      <c r="Q714" s="5">
        <v>-4.5431571691468497E-2</v>
      </c>
      <c r="R714" s="5">
        <v>1.5220109458511E-3</v>
      </c>
      <c r="S714" s="6">
        <v>0.36628876181319298</v>
      </c>
      <c r="T714" s="6">
        <v>9.1638626384372701E-2</v>
      </c>
      <c r="U714" s="7">
        <v>0.42544581367852702</v>
      </c>
      <c r="V714" s="7">
        <v>0.244441673302217</v>
      </c>
      <c r="W714" s="8">
        <v>0.84863626392375802</v>
      </c>
      <c r="X714" s="8">
        <v>0.12845275547717999</v>
      </c>
      <c r="Y714" s="2">
        <v>53</v>
      </c>
      <c r="Z714" s="2">
        <f>VLOOKUP(E714,YieldData!T:U,2,FALSE)</f>
        <v>2873.0102695763803</v>
      </c>
      <c r="AA714">
        <f t="shared" si="22"/>
        <v>0.73810771612085502</v>
      </c>
    </row>
    <row r="715" spans="1:27" hidden="1" x14ac:dyDescent="0.25">
      <c r="A715">
        <v>12</v>
      </c>
      <c r="B715">
        <v>202</v>
      </c>
      <c r="C715" t="s">
        <v>20</v>
      </c>
      <c r="D715">
        <v>25111</v>
      </c>
      <c r="E715">
        <f t="shared" si="23"/>
        <v>25111202</v>
      </c>
      <c r="F715">
        <f>VLOOKUP(E715,YieldData!D:F,2,FALSE)</f>
        <v>5</v>
      </c>
      <c r="G715">
        <f>VLOOKUP($E715,YieldData!$D:$F,3,FALSE)</f>
        <v>2</v>
      </c>
      <c r="H715">
        <v>30</v>
      </c>
      <c r="I715" t="s">
        <v>21</v>
      </c>
      <c r="J715" t="s">
        <v>22</v>
      </c>
      <c r="K715" s="2">
        <v>9089.4045637198597</v>
      </c>
      <c r="L715" s="2">
        <v>96909413.524474099</v>
      </c>
      <c r="M715" s="3">
        <v>9611.2096998362395</v>
      </c>
      <c r="N715" s="3">
        <v>86203122.154170394</v>
      </c>
      <c r="O715" s="4">
        <v>0.103918091230095</v>
      </c>
      <c r="P715" s="4">
        <v>4.4775901691958102E-2</v>
      </c>
      <c r="Q715" s="5">
        <v>-3.4928895818562899E-2</v>
      </c>
      <c r="R715" s="5">
        <v>2.1538456718031402E-3</v>
      </c>
      <c r="S715" s="6">
        <v>0.31875177204119698</v>
      </c>
      <c r="T715" s="6">
        <v>0.102530838010698</v>
      </c>
      <c r="U715" s="7">
        <v>0.372189533103712</v>
      </c>
      <c r="V715" s="7">
        <v>0.23366448455192099</v>
      </c>
      <c r="W715" s="8">
        <v>0.73887201320289897</v>
      </c>
      <c r="X715" s="8">
        <v>0.19294016130868599</v>
      </c>
      <c r="Y715" s="2">
        <v>38</v>
      </c>
      <c r="Z715" s="2">
        <f>VLOOKUP(E715,YieldData!T:U,2,FALSE)</f>
        <v>2254.9277920410782</v>
      </c>
      <c r="AA715">
        <f t="shared" si="22"/>
        <v>0.59069923211252795</v>
      </c>
    </row>
    <row r="716" spans="1:27" hidden="1" x14ac:dyDescent="0.25">
      <c r="A716">
        <v>13</v>
      </c>
      <c r="B716">
        <v>203</v>
      </c>
      <c r="C716" t="s">
        <v>20</v>
      </c>
      <c r="D716">
        <v>25111</v>
      </c>
      <c r="E716">
        <f t="shared" si="23"/>
        <v>25111203</v>
      </c>
      <c r="F716">
        <f>VLOOKUP(E716,YieldData!D:F,2,FALSE)</f>
        <v>7</v>
      </c>
      <c r="G716">
        <f>VLOOKUP($E716,YieldData!$D:$F,3,FALSE)</f>
        <v>2</v>
      </c>
      <c r="H716">
        <v>30</v>
      </c>
      <c r="I716" t="s">
        <v>21</v>
      </c>
      <c r="J716" t="s">
        <v>22</v>
      </c>
      <c r="K716" s="2">
        <v>8259.6872137107894</v>
      </c>
      <c r="L716" s="2">
        <v>80134989.940400302</v>
      </c>
      <c r="M716" s="3">
        <v>9092.0306567095304</v>
      </c>
      <c r="N716" s="3">
        <v>81808228.957936794</v>
      </c>
      <c r="O716" s="4">
        <v>0.12262750802964199</v>
      </c>
      <c r="P716" s="4">
        <v>4.5441977431368401E-2</v>
      </c>
      <c r="Q716" s="5">
        <v>-2.5118706934599E-2</v>
      </c>
      <c r="R716" s="5">
        <v>2.1083134031181501E-3</v>
      </c>
      <c r="S716" s="6">
        <v>0.32431294279015699</v>
      </c>
      <c r="T716" s="6">
        <v>9.8941985849245198E-2</v>
      </c>
      <c r="U716" s="7">
        <v>0.36523028715630301</v>
      </c>
      <c r="V716" s="7">
        <v>0.231837124499957</v>
      </c>
      <c r="W716" s="8">
        <v>0.72941908167781</v>
      </c>
      <c r="X716" s="8">
        <v>0.19736688496214899</v>
      </c>
      <c r="Y716" s="2">
        <v>33</v>
      </c>
      <c r="Z716" s="2">
        <f>VLOOKUP(E716,YieldData!T:U,2,FALSE)</f>
        <v>1622.7968549422335</v>
      </c>
      <c r="AA716">
        <f t="shared" si="22"/>
        <v>0.52829037852060001</v>
      </c>
    </row>
    <row r="717" spans="1:27" hidden="1" x14ac:dyDescent="0.25">
      <c r="A717">
        <v>14</v>
      </c>
      <c r="B717">
        <v>204</v>
      </c>
      <c r="C717" t="s">
        <v>20</v>
      </c>
      <c r="D717">
        <v>25111</v>
      </c>
      <c r="E717">
        <f t="shared" si="23"/>
        <v>25111204</v>
      </c>
      <c r="F717">
        <f>VLOOKUP(E717,YieldData!D:F,2,FALSE)</f>
        <v>9</v>
      </c>
      <c r="G717">
        <f>VLOOKUP($E717,YieldData!$D:$F,3,FALSE)</f>
        <v>2</v>
      </c>
      <c r="H717">
        <v>30</v>
      </c>
      <c r="I717" t="s">
        <v>21</v>
      </c>
      <c r="J717" t="s">
        <v>22</v>
      </c>
      <c r="K717" s="2">
        <v>7308.7499013287697</v>
      </c>
      <c r="L717" s="2">
        <v>88302913.313429698</v>
      </c>
      <c r="M717" s="3">
        <v>12097.644295226501</v>
      </c>
      <c r="N717" s="3">
        <v>72527642.204788893</v>
      </c>
      <c r="O717" s="4">
        <v>2.0156296586803599E-2</v>
      </c>
      <c r="P717" s="4">
        <v>3.4848805466936E-2</v>
      </c>
      <c r="Q717" s="5">
        <v>-6.0482907471216901E-2</v>
      </c>
      <c r="R717" s="5">
        <v>1.8915931907785501E-3</v>
      </c>
      <c r="S717" s="6">
        <v>0.202323397011553</v>
      </c>
      <c r="T717" s="6">
        <v>9.3936297667297497E-2</v>
      </c>
      <c r="U717" s="7">
        <v>0.26303955221203001</v>
      </c>
      <c r="V717" s="7">
        <v>0.19384974618446299</v>
      </c>
      <c r="W717" s="8">
        <v>0.92461788695672997</v>
      </c>
      <c r="X717" s="8">
        <v>6.9699650076420594E-2</v>
      </c>
      <c r="Y717" s="2">
        <v>63</v>
      </c>
      <c r="Z717" s="2">
        <f>VLOOKUP(E717,YieldData!T:U,2,FALSE)</f>
        <v>2654.4849165596916</v>
      </c>
      <c r="AA717">
        <f t="shared" si="22"/>
        <v>0.53304470543210503</v>
      </c>
    </row>
    <row r="718" spans="1:27" hidden="1" x14ac:dyDescent="0.25">
      <c r="A718">
        <v>15</v>
      </c>
      <c r="B718">
        <v>205</v>
      </c>
      <c r="C718" t="s">
        <v>20</v>
      </c>
      <c r="D718">
        <v>25111</v>
      </c>
      <c r="E718">
        <f t="shared" si="23"/>
        <v>25111205</v>
      </c>
      <c r="F718">
        <f>VLOOKUP(E718,YieldData!D:F,2,FALSE)</f>
        <v>3</v>
      </c>
      <c r="G718">
        <f>VLOOKUP($E718,YieldData!$D:$F,3,FALSE)</f>
        <v>2</v>
      </c>
      <c r="H718">
        <v>30</v>
      </c>
      <c r="I718" t="s">
        <v>21</v>
      </c>
      <c r="J718" t="s">
        <v>22</v>
      </c>
      <c r="K718" s="2">
        <v>8966.0999875467005</v>
      </c>
      <c r="L718" s="2">
        <v>116180769.04807299</v>
      </c>
      <c r="M718" s="3">
        <v>10512.423370206699</v>
      </c>
      <c r="N718" s="3">
        <v>69209342.587951794</v>
      </c>
      <c r="O718" s="4">
        <v>4.7025447121073802E-2</v>
      </c>
      <c r="P718" s="4">
        <v>2.9754646503782199E-2</v>
      </c>
      <c r="Q718" s="5">
        <v>-5.4894976459824399E-2</v>
      </c>
      <c r="R718" s="5">
        <v>1.83151525333279E-3</v>
      </c>
      <c r="S718" s="6">
        <v>0.238411802185617</v>
      </c>
      <c r="T718" s="6">
        <v>9.1293155922791497E-2</v>
      </c>
      <c r="U718" s="7">
        <v>0.29514321295143198</v>
      </c>
      <c r="V718" s="7">
        <v>0.208033696800136</v>
      </c>
      <c r="W718" s="8">
        <v>0.80010460511568804</v>
      </c>
      <c r="X718" s="8">
        <v>0.15993722598855201</v>
      </c>
      <c r="Y718" s="2">
        <v>90</v>
      </c>
      <c r="Z718" s="2">
        <f>VLOOKUP(E718,YieldData!T:U,2,FALSE)</f>
        <v>2797.6251604621311</v>
      </c>
      <c r="AA718">
        <f t="shared" si="22"/>
        <v>0.57540285422529902</v>
      </c>
    </row>
    <row r="719" spans="1:27" hidden="1" x14ac:dyDescent="0.25">
      <c r="A719">
        <v>16</v>
      </c>
      <c r="B719">
        <v>206</v>
      </c>
      <c r="C719" t="s">
        <v>20</v>
      </c>
      <c r="D719">
        <v>25111</v>
      </c>
      <c r="E719">
        <f t="shared" si="23"/>
        <v>25111206</v>
      </c>
      <c r="F719">
        <f>VLOOKUP(E719,YieldData!D:F,2,FALSE)</f>
        <v>13</v>
      </c>
      <c r="G719">
        <f>VLOOKUP($E719,YieldData!$D:$F,3,FALSE)</f>
        <v>2</v>
      </c>
      <c r="H719">
        <v>30</v>
      </c>
      <c r="I719" t="s">
        <v>21</v>
      </c>
      <c r="J719" t="s">
        <v>22</v>
      </c>
      <c r="K719" s="2">
        <v>7815.1452064297</v>
      </c>
      <c r="L719" s="2">
        <v>77408101.703295797</v>
      </c>
      <c r="M719" s="3">
        <v>9555.7484349507395</v>
      </c>
      <c r="N719" s="3">
        <v>80136620.706032604</v>
      </c>
      <c r="O719" s="4">
        <v>0.114676377937937</v>
      </c>
      <c r="P719" s="4">
        <v>4.4736217374546298E-2</v>
      </c>
      <c r="Q719" s="5">
        <v>-3.2488442286366798E-2</v>
      </c>
      <c r="R719" s="5">
        <v>2.2733595190717799E-3</v>
      </c>
      <c r="S719" s="6">
        <v>0.29729951254605302</v>
      </c>
      <c r="T719" s="6">
        <v>0.107223030907638</v>
      </c>
      <c r="U719" s="7">
        <v>0.346194326173277</v>
      </c>
      <c r="V719" s="7">
        <v>0.226343814698859</v>
      </c>
      <c r="W719" s="8">
        <v>0.72191125463461303</v>
      </c>
      <c r="X719" s="8">
        <v>0.20075539506621201</v>
      </c>
      <c r="Y719" s="2">
        <v>28</v>
      </c>
      <c r="Z719" s="2">
        <f>VLOOKUP(E719,YieldData!T:U,2,FALSE)</f>
        <v>1323.0712451861359</v>
      </c>
      <c r="AA719">
        <f t="shared" si="22"/>
        <v>0.92605835924419999</v>
      </c>
    </row>
    <row r="720" spans="1:27" hidden="1" x14ac:dyDescent="0.25">
      <c r="A720">
        <v>17</v>
      </c>
      <c r="B720">
        <v>207</v>
      </c>
      <c r="C720" t="s">
        <v>20</v>
      </c>
      <c r="D720">
        <v>25111</v>
      </c>
      <c r="E720">
        <f t="shared" si="23"/>
        <v>25111207</v>
      </c>
      <c r="F720">
        <f>VLOOKUP(E720,YieldData!D:F,2,FALSE)</f>
        <v>14</v>
      </c>
      <c r="G720">
        <f>VLOOKUP($E720,YieldData!$D:$F,3,FALSE)</f>
        <v>1</v>
      </c>
      <c r="H720">
        <v>30</v>
      </c>
      <c r="I720" t="s">
        <v>21</v>
      </c>
      <c r="J720" t="s">
        <v>22</v>
      </c>
      <c r="K720" s="2">
        <v>8485.1165612348195</v>
      </c>
      <c r="L720" s="2">
        <v>89060703.278557107</v>
      </c>
      <c r="M720" s="3">
        <v>9970.3453713618201</v>
      </c>
      <c r="N720" s="3">
        <v>76740161.781782597</v>
      </c>
      <c r="O720" s="4">
        <v>9.1839819025344105E-2</v>
      </c>
      <c r="P720" s="4">
        <v>3.9394839850440899E-2</v>
      </c>
      <c r="Q720" s="5">
        <v>-4.0803710021556201E-2</v>
      </c>
      <c r="R720" s="5">
        <v>2.1955945919077801E-3</v>
      </c>
      <c r="S720" s="6">
        <v>0.285399521119995</v>
      </c>
      <c r="T720" s="6">
        <v>9.4459995192745297E-2</v>
      </c>
      <c r="U720" s="7">
        <v>0.33775303643724702</v>
      </c>
      <c r="V720" s="7">
        <v>0.22367592281485599</v>
      </c>
      <c r="W720" s="8">
        <v>0.85725672786163398</v>
      </c>
      <c r="X720" s="8">
        <v>0.122367630397501</v>
      </c>
      <c r="Y720" s="2">
        <v>38</v>
      </c>
      <c r="Z720" s="2">
        <f>VLOOKUP(E720,YieldData!T:U,2,FALSE)</f>
        <v>2191.5661103979464</v>
      </c>
      <c r="AA720">
        <f t="shared" si="22"/>
        <v>0.61661964346714904</v>
      </c>
    </row>
    <row r="721" spans="1:27" hidden="1" x14ac:dyDescent="0.25">
      <c r="A721">
        <v>18</v>
      </c>
      <c r="B721">
        <v>208</v>
      </c>
      <c r="C721" t="s">
        <v>20</v>
      </c>
      <c r="D721">
        <v>25111</v>
      </c>
      <c r="E721">
        <f t="shared" si="23"/>
        <v>25111208</v>
      </c>
      <c r="F721">
        <f>VLOOKUP(E721,YieldData!D:F,2,FALSE)</f>
        <v>13</v>
      </c>
      <c r="G721">
        <f>VLOOKUP($E721,YieldData!$D:$F,3,FALSE)</f>
        <v>1</v>
      </c>
      <c r="H721">
        <v>30</v>
      </c>
      <c r="I721" t="s">
        <v>21</v>
      </c>
      <c r="J721" t="s">
        <v>22</v>
      </c>
      <c r="K721" s="2">
        <v>7889.5590451359803</v>
      </c>
      <c r="L721" s="2">
        <v>86293589.071494803</v>
      </c>
      <c r="M721" s="3">
        <v>11212.5855212237</v>
      </c>
      <c r="N721" s="3">
        <v>84128190.463532507</v>
      </c>
      <c r="O721" s="4">
        <v>8.5967167698887598E-2</v>
      </c>
      <c r="P721" s="4">
        <v>3.90107741054447E-2</v>
      </c>
      <c r="Q721" s="5">
        <v>-4.0541664875489901E-2</v>
      </c>
      <c r="R721" s="5">
        <v>2.02803334749039E-3</v>
      </c>
      <c r="S721" s="6">
        <v>0.27724887460221898</v>
      </c>
      <c r="T721" s="6">
        <v>9.3522107735467902E-2</v>
      </c>
      <c r="U721" s="7">
        <v>0.31167029444829802</v>
      </c>
      <c r="V721" s="7">
        <v>0.21453192200686999</v>
      </c>
      <c r="W721" s="8">
        <v>0.67151006350231401</v>
      </c>
      <c r="X721" s="8">
        <v>0.22058429811737701</v>
      </c>
      <c r="Y721" s="2">
        <v>23</v>
      </c>
      <c r="Z721" s="2">
        <f>VLOOKUP(E721,YieldData!T:U,2,FALSE)</f>
        <v>2785.418806161746</v>
      </c>
      <c r="AA721">
        <f t="shared" si="22"/>
        <v>0.53164133047877604</v>
      </c>
    </row>
    <row r="722" spans="1:27" hidden="1" x14ac:dyDescent="0.25">
      <c r="A722">
        <v>19</v>
      </c>
      <c r="B722">
        <v>209</v>
      </c>
      <c r="C722" t="s">
        <v>20</v>
      </c>
      <c r="D722">
        <v>25111</v>
      </c>
      <c r="E722">
        <f t="shared" si="23"/>
        <v>25111209</v>
      </c>
      <c r="F722">
        <f>VLOOKUP(E722,YieldData!D:F,2,FALSE)</f>
        <v>12</v>
      </c>
      <c r="G722">
        <f>VLOOKUP($E722,YieldData!$D:$F,3,FALSE)</f>
        <v>1</v>
      </c>
      <c r="H722">
        <v>30</v>
      </c>
      <c r="I722" t="s">
        <v>21</v>
      </c>
      <c r="J722" t="s">
        <v>22</v>
      </c>
      <c r="K722" s="2">
        <v>9951.1299278178794</v>
      </c>
      <c r="L722" s="2">
        <v>70832386.059916496</v>
      </c>
      <c r="M722" s="3">
        <v>6869.6188775466799</v>
      </c>
      <c r="N722" s="3">
        <v>84402047.109510303</v>
      </c>
      <c r="O722" s="4">
        <v>0.22859207918844399</v>
      </c>
      <c r="P722" s="4">
        <v>4.8696927569763501E-2</v>
      </c>
      <c r="Q722" s="5">
        <v>-5.1229364045674204E-4</v>
      </c>
      <c r="R722" s="5">
        <v>3.0771119148809102E-3</v>
      </c>
      <c r="S722" s="6">
        <v>0.453311287812242</v>
      </c>
      <c r="T722" s="6">
        <v>9.3133869575203296E-2</v>
      </c>
      <c r="U722" s="7">
        <v>0.48959220186316199</v>
      </c>
      <c r="V722" s="7">
        <v>0.24989167773802101</v>
      </c>
      <c r="W722" s="8">
        <v>0.41666255367454702</v>
      </c>
      <c r="X722" s="8">
        <v>0.24305487004009901</v>
      </c>
      <c r="Y722" s="2">
        <v>11</v>
      </c>
      <c r="Z722" s="2">
        <f>VLOOKUP(E722,YieldData!T:U,2,FALSE)</f>
        <v>2428.5847240051348</v>
      </c>
      <c r="AA722">
        <f t="shared" si="22"/>
        <v>0.86303736242041396</v>
      </c>
    </row>
    <row r="723" spans="1:27" hidden="1" x14ac:dyDescent="0.25">
      <c r="A723">
        <v>20</v>
      </c>
      <c r="B723">
        <v>210</v>
      </c>
      <c r="C723" t="s">
        <v>20</v>
      </c>
      <c r="D723">
        <v>25111</v>
      </c>
      <c r="E723">
        <f t="shared" si="23"/>
        <v>25111210</v>
      </c>
      <c r="F723">
        <f>VLOOKUP(E723,YieldData!D:F,2,FALSE)</f>
        <v>11</v>
      </c>
      <c r="G723">
        <f>VLOOKUP($E723,YieldData!$D:$F,3,FALSE)</f>
        <v>1</v>
      </c>
      <c r="H723">
        <v>30</v>
      </c>
      <c r="I723" t="s">
        <v>21</v>
      </c>
      <c r="J723" t="s">
        <v>22</v>
      </c>
      <c r="K723" s="2">
        <v>9881.1373479566391</v>
      </c>
      <c r="L723" s="2">
        <v>83446764.575759903</v>
      </c>
      <c r="M723" s="3">
        <v>7110.9257815069896</v>
      </c>
      <c r="N723" s="3">
        <v>63384781.0985329</v>
      </c>
      <c r="O723" s="4">
        <v>0.19115052006639599</v>
      </c>
      <c r="P723" s="4">
        <v>3.39903867610237E-2</v>
      </c>
      <c r="Q723" s="5">
        <v>-8.0685954448501702E-3</v>
      </c>
      <c r="R723" s="5">
        <v>2.1972322606284098E-3</v>
      </c>
      <c r="S723" s="6">
        <v>0.41821058183398202</v>
      </c>
      <c r="T723" s="6">
        <v>7.7179974403393303E-2</v>
      </c>
      <c r="U723" s="7">
        <v>0.437961219400478</v>
      </c>
      <c r="V723" s="7">
        <v>0.24615118970167399</v>
      </c>
      <c r="W723" s="8">
        <v>0.77116466067838896</v>
      </c>
      <c r="X723" s="8">
        <v>0.17646972679919301</v>
      </c>
      <c r="Y723" s="2">
        <v>34</v>
      </c>
      <c r="Z723" s="2">
        <f>VLOOKUP(E723,YieldData!T:U,2,FALSE)</f>
        <v>2134.146341463415</v>
      </c>
      <c r="AA723">
        <f t="shared" si="22"/>
        <v>0.68992238198244005</v>
      </c>
    </row>
    <row r="724" spans="1:27" hidden="1" x14ac:dyDescent="0.25">
      <c r="A724">
        <v>21</v>
      </c>
      <c r="B724">
        <v>301</v>
      </c>
      <c r="C724" t="s">
        <v>20</v>
      </c>
      <c r="D724">
        <v>25111</v>
      </c>
      <c r="E724">
        <f t="shared" si="23"/>
        <v>25111301</v>
      </c>
      <c r="F724">
        <f>VLOOKUP(E724,YieldData!D:F,2,FALSE)</f>
        <v>4</v>
      </c>
      <c r="G724">
        <f>VLOOKUP($E724,YieldData!$D:$F,3,FALSE)</f>
        <v>2</v>
      </c>
      <c r="H724">
        <v>30</v>
      </c>
      <c r="I724" t="s">
        <v>21</v>
      </c>
      <c r="J724" t="s">
        <v>22</v>
      </c>
      <c r="K724" s="2">
        <v>10306.5576225229</v>
      </c>
      <c r="L724" s="2">
        <v>136079939.66496399</v>
      </c>
      <c r="M724" s="3">
        <v>10359.578195038301</v>
      </c>
      <c r="N724" s="3">
        <v>81830842.659866899</v>
      </c>
      <c r="O724" s="4">
        <v>7.1984881093258804E-2</v>
      </c>
      <c r="P724" s="4">
        <v>3.2502510842064999E-2</v>
      </c>
      <c r="Q724" s="5">
        <v>-5.3071428518301801E-2</v>
      </c>
      <c r="R724" s="5">
        <v>1.72254443853939E-3</v>
      </c>
      <c r="S724" s="6">
        <v>0.290552468022438</v>
      </c>
      <c r="T724" s="6">
        <v>8.5688071032201996E-2</v>
      </c>
      <c r="U724" s="7">
        <v>0.32686263135884702</v>
      </c>
      <c r="V724" s="7">
        <v>0.22002345157978301</v>
      </c>
      <c r="W724" s="8">
        <v>0.95648713902264704</v>
      </c>
      <c r="X724" s="8">
        <v>4.1619491906823597E-2</v>
      </c>
      <c r="Y724" s="2">
        <v>96</v>
      </c>
      <c r="Z724" s="2">
        <f>VLOOKUP(E724,YieldData!T:U,2,FALSE)</f>
        <v>1772.581835686778</v>
      </c>
      <c r="AA724">
        <f t="shared" si="22"/>
        <v>0.74455341364378302</v>
      </c>
    </row>
    <row r="725" spans="1:27" hidden="1" x14ac:dyDescent="0.25">
      <c r="A725">
        <v>22</v>
      </c>
      <c r="B725">
        <v>302</v>
      </c>
      <c r="C725" t="s">
        <v>20</v>
      </c>
      <c r="D725">
        <v>25111</v>
      </c>
      <c r="E725">
        <f t="shared" si="23"/>
        <v>25111302</v>
      </c>
      <c r="F725">
        <f>VLOOKUP(E725,YieldData!D:F,2,FALSE)</f>
        <v>2</v>
      </c>
      <c r="G725">
        <f>VLOOKUP($E725,YieldData!$D:$F,3,FALSE)</f>
        <v>2</v>
      </c>
      <c r="H725">
        <v>30</v>
      </c>
      <c r="I725" t="s">
        <v>21</v>
      </c>
      <c r="J725" t="s">
        <v>22</v>
      </c>
      <c r="K725" s="2">
        <v>13910.5045985672</v>
      </c>
      <c r="L725" s="2">
        <v>136067316.012144</v>
      </c>
      <c r="M725" s="3">
        <v>6336.9359457983101</v>
      </c>
      <c r="N725" s="3">
        <v>86722279.899181098</v>
      </c>
      <c r="O725" s="4">
        <v>0.15904834454039499</v>
      </c>
      <c r="P725" s="4">
        <v>4.7414371031846897E-2</v>
      </c>
      <c r="Q725" s="5">
        <v>-2.53843391927745E-2</v>
      </c>
      <c r="R725" s="5">
        <v>2.5678875378436698E-3</v>
      </c>
      <c r="S725" s="6">
        <v>0.417579668150107</v>
      </c>
      <c r="T725" s="6">
        <v>0.108898924058737</v>
      </c>
      <c r="U725" s="7">
        <v>0.52072046212909495</v>
      </c>
      <c r="V725" s="7">
        <v>0.24957066244911699</v>
      </c>
      <c r="W725" s="8">
        <v>0.85463982873476596</v>
      </c>
      <c r="X725" s="8">
        <v>0.124230591875263</v>
      </c>
      <c r="Y725" s="2">
        <v>82</v>
      </c>
      <c r="Z725" s="2">
        <f>VLOOKUP(E725,YieldData!T:U,2,FALSE)</f>
        <v>2060.9114249037229</v>
      </c>
      <c r="AA725">
        <f t="shared" si="22"/>
        <v>0.743042349873823</v>
      </c>
    </row>
    <row r="726" spans="1:27" hidden="1" x14ac:dyDescent="0.25">
      <c r="A726">
        <v>23</v>
      </c>
      <c r="B726">
        <v>303</v>
      </c>
      <c r="C726" t="s">
        <v>20</v>
      </c>
      <c r="D726">
        <v>25111</v>
      </c>
      <c r="E726">
        <f t="shared" si="23"/>
        <v>25111303</v>
      </c>
      <c r="F726">
        <f>VLOOKUP(E726,YieldData!D:F,2,FALSE)</f>
        <v>6</v>
      </c>
      <c r="G726">
        <f>VLOOKUP($E726,YieldData!$D:$F,3,FALSE)</f>
        <v>2</v>
      </c>
      <c r="H726">
        <v>30</v>
      </c>
      <c r="I726" t="s">
        <v>21</v>
      </c>
      <c r="J726" t="s">
        <v>22</v>
      </c>
      <c r="K726" s="2">
        <v>15452.609202666899</v>
      </c>
      <c r="L726" s="2">
        <v>170344312.19901699</v>
      </c>
      <c r="M726" s="3">
        <v>3936.72192425914</v>
      </c>
      <c r="N726" s="3">
        <v>92911192.536808297</v>
      </c>
      <c r="O726" s="4">
        <v>0.18889410955771299</v>
      </c>
      <c r="P726" s="4">
        <v>3.79889167493224E-2</v>
      </c>
      <c r="Q726" s="5">
        <v>-1.9492555886949502E-2</v>
      </c>
      <c r="R726" s="5">
        <v>2.0643267475208998E-3</v>
      </c>
      <c r="S726" s="6">
        <v>0.452817034833431</v>
      </c>
      <c r="T726" s="6">
        <v>0.100018868325261</v>
      </c>
      <c r="U726" s="7">
        <v>0.53386868912186802</v>
      </c>
      <c r="V726" s="7">
        <v>0.24885291189720901</v>
      </c>
      <c r="W726" s="8">
        <v>0.56118049360689903</v>
      </c>
      <c r="X726" s="8">
        <v>0.24625694720160901</v>
      </c>
      <c r="Y726" s="2">
        <v>19</v>
      </c>
      <c r="Z726" s="2">
        <f>VLOOKUP(E726,YieldData!T:U,2,FALSE)</f>
        <v>1677.4679075738127</v>
      </c>
      <c r="AA726">
        <f t="shared" si="22"/>
        <v>0.66252354515713296</v>
      </c>
    </row>
    <row r="727" spans="1:27" hidden="1" x14ac:dyDescent="0.25">
      <c r="A727">
        <v>24</v>
      </c>
      <c r="B727">
        <v>304</v>
      </c>
      <c r="C727" t="s">
        <v>20</v>
      </c>
      <c r="D727">
        <v>25111</v>
      </c>
      <c r="E727">
        <f t="shared" si="23"/>
        <v>25111304</v>
      </c>
      <c r="F727">
        <f>VLOOKUP(E727,YieldData!D:F,2,FALSE)</f>
        <v>8</v>
      </c>
      <c r="G727">
        <f>VLOOKUP($E727,YieldData!$D:$F,3,FALSE)</f>
        <v>2</v>
      </c>
      <c r="H727">
        <v>30</v>
      </c>
      <c r="I727" t="s">
        <v>21</v>
      </c>
      <c r="J727" t="s">
        <v>22</v>
      </c>
      <c r="K727" s="2">
        <v>14695.766072218799</v>
      </c>
      <c r="L727" s="2">
        <v>175281266.48358199</v>
      </c>
      <c r="M727" s="3">
        <v>4132.1375916597099</v>
      </c>
      <c r="N727" s="3">
        <v>102144922.72287001</v>
      </c>
      <c r="O727" s="4">
        <v>0.17714405468715899</v>
      </c>
      <c r="P727" s="4">
        <v>4.2623323565674803E-2</v>
      </c>
      <c r="Q727" s="5">
        <v>-2.48079121302421E-2</v>
      </c>
      <c r="R727" s="5">
        <v>2.4484670863498502E-3</v>
      </c>
      <c r="S727" s="6">
        <v>0.428225901682731</v>
      </c>
      <c r="T727" s="6">
        <v>0.11304856419999</v>
      </c>
      <c r="U727" s="7">
        <v>0.50502948317724605</v>
      </c>
      <c r="V727" s="7">
        <v>0.249974704298912</v>
      </c>
      <c r="W727" s="8">
        <v>0.24966812174849001</v>
      </c>
      <c r="X727" s="8">
        <v>0.18733395073113299</v>
      </c>
      <c r="Y727" s="2">
        <v>6</v>
      </c>
      <c r="Z727" s="2">
        <f>VLOOKUP(E727,YieldData!T:U,2,FALSE)</f>
        <v>2638.8783697047497</v>
      </c>
      <c r="AA727">
        <f t="shared" si="22"/>
        <v>0.72992272912131295</v>
      </c>
    </row>
    <row r="728" spans="1:27" hidden="1" x14ac:dyDescent="0.25">
      <c r="A728">
        <v>25</v>
      </c>
      <c r="B728">
        <v>305</v>
      </c>
      <c r="C728" t="s">
        <v>20</v>
      </c>
      <c r="D728">
        <v>25111</v>
      </c>
      <c r="E728">
        <f t="shared" si="23"/>
        <v>25111305</v>
      </c>
      <c r="F728">
        <f>VLOOKUP(E728,YieldData!D:F,2,FALSE)</f>
        <v>11</v>
      </c>
      <c r="G728">
        <f>VLOOKUP($E728,YieldData!$D:$F,3,FALSE)</f>
        <v>2</v>
      </c>
      <c r="H728">
        <v>30</v>
      </c>
      <c r="I728" t="s">
        <v>21</v>
      </c>
      <c r="J728" t="s">
        <v>22</v>
      </c>
      <c r="K728" s="2">
        <v>12741.142517104399</v>
      </c>
      <c r="L728" s="2">
        <v>190900287.18377501</v>
      </c>
      <c r="M728" s="3">
        <v>7412.2939325943598</v>
      </c>
      <c r="N728" s="3">
        <v>88391830.225501195</v>
      </c>
      <c r="O728" s="4">
        <v>8.5813540473875696E-2</v>
      </c>
      <c r="P728" s="4">
        <v>3.04556638065289E-2</v>
      </c>
      <c r="Q728" s="5">
        <v>-4.84925979185932E-2</v>
      </c>
      <c r="R728" s="5">
        <v>1.90042551527244E-3</v>
      </c>
      <c r="S728" s="6">
        <v>0.30731243837182298</v>
      </c>
      <c r="T728" s="6">
        <v>0.101390971244112</v>
      </c>
      <c r="U728" s="7">
        <v>0.37641739629682802</v>
      </c>
      <c r="V728" s="7">
        <v>0.23472734006204901</v>
      </c>
      <c r="W728" s="8">
        <v>0.86901031075811597</v>
      </c>
      <c r="X728" s="8">
        <v>0.11383139055425801</v>
      </c>
      <c r="Y728" s="2">
        <v>48</v>
      </c>
      <c r="Z728" s="2">
        <f>VLOOKUP(E728,YieldData!T:U,2,FALSE)</f>
        <v>2035.834403080873</v>
      </c>
      <c r="AA728">
        <f t="shared" si="22"/>
        <v>0.59360086119251199</v>
      </c>
    </row>
    <row r="729" spans="1:27" hidden="1" x14ac:dyDescent="0.25">
      <c r="A729">
        <v>26</v>
      </c>
      <c r="B729">
        <v>306</v>
      </c>
      <c r="C729" t="s">
        <v>20</v>
      </c>
      <c r="D729">
        <v>25111</v>
      </c>
      <c r="E729">
        <f t="shared" si="23"/>
        <v>25111306</v>
      </c>
      <c r="F729">
        <f>VLOOKUP(E729,YieldData!D:F,2,FALSE)</f>
        <v>10</v>
      </c>
      <c r="G729">
        <f>VLOOKUP($E729,YieldData!$D:$F,3,FALSE)</f>
        <v>2</v>
      </c>
      <c r="H729">
        <v>30</v>
      </c>
      <c r="I729" t="s">
        <v>21</v>
      </c>
      <c r="J729" t="s">
        <v>22</v>
      </c>
      <c r="K729" s="2">
        <v>14151.9308838257</v>
      </c>
      <c r="L729" s="2">
        <v>178535066.16501501</v>
      </c>
      <c r="M729" s="3">
        <v>5246.0227868573502</v>
      </c>
      <c r="N729" s="3">
        <v>89278197.623561502</v>
      </c>
      <c r="O729" s="4">
        <v>0.152426720809966</v>
      </c>
      <c r="P729" s="4">
        <v>3.5826741746758699E-2</v>
      </c>
      <c r="Q729" s="5">
        <v>-3.3709415305102998E-2</v>
      </c>
      <c r="R729" s="5">
        <v>1.9577447185772801E-3</v>
      </c>
      <c r="S729" s="6">
        <v>0.39272846448919302</v>
      </c>
      <c r="T729" s="6">
        <v>0.105889069867471</v>
      </c>
      <c r="U729" s="7">
        <v>0.46022784176264397</v>
      </c>
      <c r="V729" s="7">
        <v>0.24841817542907599</v>
      </c>
      <c r="W729" s="8">
        <v>0.653561546070342</v>
      </c>
      <c r="X729" s="8">
        <v>0.22641885156876801</v>
      </c>
      <c r="Y729" s="2">
        <v>25</v>
      </c>
      <c r="Z729" s="2">
        <f>VLOOKUP(E729,YieldData!T:U,2,FALSE)</f>
        <v>1864.1880616174585</v>
      </c>
      <c r="AA729">
        <f t="shared" si="22"/>
        <v>0.78637689505376895</v>
      </c>
    </row>
    <row r="730" spans="1:27" hidden="1" x14ac:dyDescent="0.25">
      <c r="A730">
        <v>27</v>
      </c>
      <c r="B730">
        <v>307</v>
      </c>
      <c r="C730" t="s">
        <v>20</v>
      </c>
      <c r="D730">
        <v>25111</v>
      </c>
      <c r="E730">
        <f t="shared" si="23"/>
        <v>25111307</v>
      </c>
      <c r="F730">
        <f>VLOOKUP(E730,YieldData!D:F,2,FALSE)</f>
        <v>1</v>
      </c>
      <c r="G730">
        <f>VLOOKUP($E730,YieldData!$D:$F,3,FALSE)</f>
        <v>2</v>
      </c>
      <c r="H730">
        <v>30</v>
      </c>
      <c r="I730" t="s">
        <v>21</v>
      </c>
      <c r="J730" t="s">
        <v>22</v>
      </c>
      <c r="K730" s="2">
        <v>14213.766816257499</v>
      </c>
      <c r="L730" s="2">
        <v>156360564.67251101</v>
      </c>
      <c r="M730" s="3">
        <v>4418.6815569413902</v>
      </c>
      <c r="N730" s="3">
        <v>83057802.227373898</v>
      </c>
      <c r="O730" s="4">
        <v>0.18759921735562901</v>
      </c>
      <c r="P730" s="4">
        <v>3.9298844939251003E-2</v>
      </c>
      <c r="Q730" s="5">
        <v>-1.9762293251000498E-2</v>
      </c>
      <c r="R730" s="5">
        <v>2.30354705452496E-3</v>
      </c>
      <c r="S730" s="6">
        <v>0.42829870407178799</v>
      </c>
      <c r="T730" s="6">
        <v>0.102424210972381</v>
      </c>
      <c r="U730" s="7">
        <v>0.499523258622662</v>
      </c>
      <c r="V730" s="7">
        <v>0.24999977271787099</v>
      </c>
      <c r="W730" s="8">
        <v>0.75387431825982998</v>
      </c>
      <c r="X730" s="8">
        <v>0.185547830528418</v>
      </c>
      <c r="Y730" s="2">
        <v>29</v>
      </c>
      <c r="Z730" s="2">
        <f>VLOOKUP(E730,YieldData!T:U,2,FALSE)</f>
        <v>2916.8164313222082</v>
      </c>
      <c r="AA730">
        <f t="shared" si="22"/>
        <v>0.80669929447657795</v>
      </c>
    </row>
    <row r="731" spans="1:27" hidden="1" x14ac:dyDescent="0.25">
      <c r="A731">
        <v>28</v>
      </c>
      <c r="B731">
        <v>308</v>
      </c>
      <c r="C731" t="s">
        <v>20</v>
      </c>
      <c r="D731">
        <v>25111</v>
      </c>
      <c r="E731">
        <f t="shared" si="23"/>
        <v>25111308</v>
      </c>
      <c r="F731">
        <f>VLOOKUP(E731,YieldData!D:F,2,FALSE)</f>
        <v>12</v>
      </c>
      <c r="G731">
        <f>VLOOKUP($E731,YieldData!$D:$F,3,FALSE)</f>
        <v>2</v>
      </c>
      <c r="H731">
        <v>30</v>
      </c>
      <c r="I731" t="s">
        <v>21</v>
      </c>
      <c r="J731" t="s">
        <v>22</v>
      </c>
      <c r="K731" s="2">
        <v>13823.1854898651</v>
      </c>
      <c r="L731" s="2">
        <v>155109369.34852999</v>
      </c>
      <c r="M731" s="3">
        <v>5902.6680134630797</v>
      </c>
      <c r="N731" s="3">
        <v>101881533.784788</v>
      </c>
      <c r="O731" s="4">
        <v>0.17302099946484001</v>
      </c>
      <c r="P731" s="4">
        <v>4.1152300815748798E-2</v>
      </c>
      <c r="Q731" s="5">
        <v>-2.32812403313832E-2</v>
      </c>
      <c r="R731" s="5">
        <v>2.08218668832364E-3</v>
      </c>
      <c r="S731" s="6">
        <v>0.41242287970885799</v>
      </c>
      <c r="T731" s="6">
        <v>0.108103841882357</v>
      </c>
      <c r="U731" s="7">
        <v>0.474961891684199</v>
      </c>
      <c r="V731" s="7">
        <v>0.24937309313191799</v>
      </c>
      <c r="W731" s="8">
        <v>0.50763531902026005</v>
      </c>
      <c r="X731" s="8">
        <v>0.24994170190347201</v>
      </c>
      <c r="Y731" s="2">
        <v>13</v>
      </c>
      <c r="Z731" s="2">
        <f>VLOOKUP(E731,YieldData!T:U,2,FALSE)</f>
        <v>3189.6566110397944</v>
      </c>
      <c r="AA731">
        <f t="shared" si="22"/>
        <v>0.71376382555239204</v>
      </c>
    </row>
    <row r="732" spans="1:27" hidden="1" x14ac:dyDescent="0.25">
      <c r="A732">
        <v>29</v>
      </c>
      <c r="B732">
        <v>309</v>
      </c>
      <c r="C732" t="s">
        <v>20</v>
      </c>
      <c r="D732">
        <v>25111</v>
      </c>
      <c r="E732">
        <f t="shared" si="23"/>
        <v>25111309</v>
      </c>
      <c r="F732">
        <f>VLOOKUP(E732,YieldData!D:F,2,FALSE)</f>
        <v>5</v>
      </c>
      <c r="G732">
        <f>VLOOKUP($E732,YieldData!$D:$F,3,FALSE)</f>
        <v>3</v>
      </c>
      <c r="H732">
        <v>30</v>
      </c>
      <c r="I732" t="s">
        <v>21</v>
      </c>
      <c r="J732" t="s">
        <v>22</v>
      </c>
      <c r="K732" s="2">
        <v>18671.777177033498</v>
      </c>
      <c r="L732" s="2">
        <v>178800338.61482501</v>
      </c>
      <c r="M732" s="3">
        <v>2169.8170188080499</v>
      </c>
      <c r="N732" s="3">
        <v>91811143.182510093</v>
      </c>
      <c r="O732" s="4">
        <v>0.242862966480411</v>
      </c>
      <c r="P732" s="4">
        <v>2.9344481850958799E-2</v>
      </c>
      <c r="Q732" s="5">
        <v>-8.0230078345853804E-3</v>
      </c>
      <c r="R732" s="5">
        <v>1.94885066176115E-3</v>
      </c>
      <c r="S732" s="6">
        <v>0.52577186310137303</v>
      </c>
      <c r="T732" s="6">
        <v>7.7072334592670905E-2</v>
      </c>
      <c r="U732" s="7">
        <v>0.60224880382775103</v>
      </c>
      <c r="V732" s="7">
        <v>0.23954518211585701</v>
      </c>
      <c r="W732" s="8">
        <v>0.52432038080202803</v>
      </c>
      <c r="X732" s="8">
        <v>0.24940851907779399</v>
      </c>
      <c r="Y732" s="2">
        <v>14</v>
      </c>
      <c r="Z732" s="2">
        <f>VLOOKUP(E732,YieldData!T:U,2,FALSE)</f>
        <v>3449.2297817715021</v>
      </c>
      <c r="AA732">
        <f t="shared" si="22"/>
        <v>0.94319581833187804</v>
      </c>
    </row>
    <row r="733" spans="1:27" hidden="1" x14ac:dyDescent="0.25">
      <c r="A733">
        <v>30</v>
      </c>
      <c r="B733">
        <v>310</v>
      </c>
      <c r="C733" t="s">
        <v>20</v>
      </c>
      <c r="D733">
        <v>25111</v>
      </c>
      <c r="E733">
        <f t="shared" si="23"/>
        <v>25111310</v>
      </c>
      <c r="H733">
        <v>30</v>
      </c>
      <c r="I733" t="s">
        <v>21</v>
      </c>
      <c r="J733" t="s">
        <v>22</v>
      </c>
      <c r="K733" s="2">
        <v>15997.5042669304</v>
      </c>
      <c r="L733" s="2">
        <v>173392185.28332299</v>
      </c>
      <c r="M733" s="3">
        <v>3413.0044274305601</v>
      </c>
      <c r="N733" s="3">
        <v>81099592.350094199</v>
      </c>
      <c r="O733" s="4">
        <v>0.228085393809731</v>
      </c>
      <c r="P733" s="4">
        <v>2.71275366436977E-2</v>
      </c>
      <c r="Q733" s="5">
        <v>-9.4441132625884393E-3</v>
      </c>
      <c r="R733" s="5">
        <v>2.1195795867262998E-3</v>
      </c>
      <c r="S733" s="6">
        <v>0.50019395570464098</v>
      </c>
      <c r="T733" s="6">
        <v>7.5369087529947407E-2</v>
      </c>
      <c r="U733" s="7">
        <v>0.54378639709922005</v>
      </c>
      <c r="V733" s="7">
        <v>0.24808275142918901</v>
      </c>
      <c r="W733" s="8">
        <v>0.64185427552864205</v>
      </c>
      <c r="X733" s="8">
        <v>0.229877364514152</v>
      </c>
      <c r="Y733" s="2">
        <v>18</v>
      </c>
      <c r="Z733" s="2">
        <f>VLOOKUP(E733,YieldData!T:U,2,FALSE)</f>
        <v>0</v>
      </c>
      <c r="AA733">
        <f t="shared" si="22"/>
        <v>0.87222249352932602</v>
      </c>
    </row>
    <row r="734" spans="1:27" hidden="1" x14ac:dyDescent="0.25">
      <c r="A734">
        <v>31</v>
      </c>
      <c r="B734">
        <v>401</v>
      </c>
      <c r="C734" t="s">
        <v>20</v>
      </c>
      <c r="D734">
        <v>25111</v>
      </c>
      <c r="E734">
        <f t="shared" si="23"/>
        <v>25111401</v>
      </c>
      <c r="F734">
        <f>VLOOKUP(E734,YieldData!D:F,2,FALSE)</f>
        <v>1</v>
      </c>
      <c r="G734">
        <f>VLOOKUP($E734,YieldData!$D:$F,3,FALSE)</f>
        <v>3</v>
      </c>
      <c r="H734">
        <v>30</v>
      </c>
      <c r="I734" t="s">
        <v>21</v>
      </c>
      <c r="J734" t="s">
        <v>22</v>
      </c>
      <c r="K734" s="2">
        <v>11098.513215806301</v>
      </c>
      <c r="L734" s="2">
        <v>132189360.540692</v>
      </c>
      <c r="M734" s="3">
        <v>8564.2836212133498</v>
      </c>
      <c r="N734" s="3">
        <v>85768842.123673201</v>
      </c>
      <c r="O734" s="4">
        <v>0.12190719873482</v>
      </c>
      <c r="P734" s="4">
        <v>3.47281828394592E-2</v>
      </c>
      <c r="Q734" s="5">
        <v>-3.9215327126689098E-2</v>
      </c>
      <c r="R734" s="5">
        <v>1.83036678221745E-3</v>
      </c>
      <c r="S734" s="6">
        <v>0.35446073905200898</v>
      </c>
      <c r="T734" s="6">
        <v>8.7955824406481503E-2</v>
      </c>
      <c r="U734" s="7">
        <v>0.39874659139836399</v>
      </c>
      <c r="V734" s="7">
        <v>0.239747747246597</v>
      </c>
      <c r="W734" s="8">
        <v>0.90801009484851702</v>
      </c>
      <c r="X734" s="8">
        <v>8.3527762501595104E-2</v>
      </c>
      <c r="Y734" s="2">
        <v>72</v>
      </c>
      <c r="Z734" s="2">
        <f>VLOOKUP(E734,YieldData!T:U,2,FALSE)</f>
        <v>1960.5166880616171</v>
      </c>
      <c r="AA734">
        <f t="shared" si="22"/>
        <v>0.70643112583573497</v>
      </c>
    </row>
    <row r="735" spans="1:27" hidden="1" x14ac:dyDescent="0.25">
      <c r="A735">
        <v>32</v>
      </c>
      <c r="B735">
        <v>402</v>
      </c>
      <c r="C735" t="s">
        <v>20</v>
      </c>
      <c r="D735">
        <v>25111</v>
      </c>
      <c r="E735">
        <f t="shared" si="23"/>
        <v>25111402</v>
      </c>
      <c r="F735">
        <f>VLOOKUP(E735,YieldData!D:F,2,FALSE)</f>
        <v>14</v>
      </c>
      <c r="G735">
        <f>VLOOKUP($E735,YieldData!$D:$F,3,FALSE)</f>
        <v>3</v>
      </c>
      <c r="H735">
        <v>30</v>
      </c>
      <c r="I735" t="s">
        <v>21</v>
      </c>
      <c r="J735" t="s">
        <v>22</v>
      </c>
      <c r="K735" s="2">
        <v>4862.6783044481899</v>
      </c>
      <c r="L735" s="2">
        <v>63922140.060708202</v>
      </c>
      <c r="M735" s="3">
        <v>15519.1469100145</v>
      </c>
      <c r="N735" s="3">
        <v>54949620.183927797</v>
      </c>
      <c r="O735" s="4">
        <v>-5.74837365320977E-2</v>
      </c>
      <c r="P735" s="4">
        <v>2.5575063888874702E-2</v>
      </c>
      <c r="Q735" s="5">
        <v>-7.5997690544037697E-2</v>
      </c>
      <c r="R735" s="5">
        <v>1.3633741068091801E-3</v>
      </c>
      <c r="S735" s="6">
        <v>0.10536337798085101</v>
      </c>
      <c r="T735" s="6">
        <v>6.3867058010701805E-2</v>
      </c>
      <c r="U735" s="7">
        <v>0.15487937612879299</v>
      </c>
      <c r="V735" s="7">
        <v>0.130891754978846</v>
      </c>
      <c r="W735" s="8">
        <v>0.77219564697440801</v>
      </c>
      <c r="X735" s="8">
        <v>0.17590952976791199</v>
      </c>
      <c r="Y735" s="2">
        <v>60</v>
      </c>
      <c r="Z735" s="2">
        <f>VLOOKUP(E735,YieldData!T:U,2,FALSE)</f>
        <v>2271.8405006418484</v>
      </c>
      <c r="AA735">
        <f t="shared" si="22"/>
        <v>0.39816996591113002</v>
      </c>
    </row>
    <row r="736" spans="1:27" hidden="1" x14ac:dyDescent="0.25">
      <c r="A736">
        <v>33</v>
      </c>
      <c r="B736">
        <v>403</v>
      </c>
      <c r="C736" t="s">
        <v>20</v>
      </c>
      <c r="D736">
        <v>25111</v>
      </c>
      <c r="E736">
        <f t="shared" si="23"/>
        <v>25111403</v>
      </c>
      <c r="F736">
        <f>VLOOKUP(E736,YieldData!D:F,2,FALSE)</f>
        <v>9</v>
      </c>
      <c r="G736">
        <f>VLOOKUP($E736,YieldData!$D:$F,3,FALSE)</f>
        <v>3</v>
      </c>
      <c r="H736">
        <v>30</v>
      </c>
      <c r="I736" t="s">
        <v>21</v>
      </c>
      <c r="J736" t="s">
        <v>22</v>
      </c>
      <c r="K736" s="2">
        <v>14114.4424611666</v>
      </c>
      <c r="L736" s="2">
        <v>132613399.99244</v>
      </c>
      <c r="M736" s="3">
        <v>4997.2169893248802</v>
      </c>
      <c r="N736" s="3">
        <v>70196133.208458304</v>
      </c>
      <c r="O736" s="4">
        <v>0.172738059653846</v>
      </c>
      <c r="P736" s="4">
        <v>3.0500295229800099E-2</v>
      </c>
      <c r="Q736" s="5">
        <v>-2.4434492866909401E-2</v>
      </c>
      <c r="R736" s="5">
        <v>1.9732184373278902E-3</v>
      </c>
      <c r="S736" s="6">
        <v>0.42713499186319698</v>
      </c>
      <c r="T736" s="6">
        <v>8.2989884264777297E-2</v>
      </c>
      <c r="U736" s="7">
        <v>0.52503713400971797</v>
      </c>
      <c r="V736" s="7">
        <v>0.24937314192058799</v>
      </c>
      <c r="W736" s="8">
        <v>0.93545707417150203</v>
      </c>
      <c r="X736" s="8">
        <v>6.0377136553858901E-2</v>
      </c>
      <c r="Y736" s="2">
        <v>76</v>
      </c>
      <c r="Z736" s="2">
        <f>VLOOKUP(E736,YieldData!T:U,2,FALSE)</f>
        <v>1551.3222079589218</v>
      </c>
      <c r="AA736">
        <f t="shared" si="22"/>
        <v>0.79020442072403196</v>
      </c>
    </row>
    <row r="737" spans="1:27" hidden="1" x14ac:dyDescent="0.25">
      <c r="A737">
        <v>34</v>
      </c>
      <c r="B737">
        <v>404</v>
      </c>
      <c r="C737" t="s">
        <v>20</v>
      </c>
      <c r="D737">
        <v>25111</v>
      </c>
      <c r="E737">
        <f t="shared" si="23"/>
        <v>25111404</v>
      </c>
      <c r="F737">
        <f>VLOOKUP(E737,YieldData!D:F,2,FALSE)</f>
        <v>6</v>
      </c>
      <c r="G737">
        <f>VLOOKUP($E737,YieldData!$D:$F,3,FALSE)</f>
        <v>3</v>
      </c>
      <c r="H737">
        <v>30</v>
      </c>
      <c r="I737" t="s">
        <v>21</v>
      </c>
      <c r="J737" t="s">
        <v>22</v>
      </c>
      <c r="K737" s="2">
        <v>9626.3710082525995</v>
      </c>
      <c r="L737" s="2">
        <v>115008656.002288</v>
      </c>
      <c r="M737" s="3">
        <v>9578.7640821104396</v>
      </c>
      <c r="N737" s="3">
        <v>84708083.285072207</v>
      </c>
      <c r="O737" s="4">
        <v>4.59432090223885E-2</v>
      </c>
      <c r="P737" s="4">
        <v>3.9443690838101397E-2</v>
      </c>
      <c r="Q737" s="5">
        <v>-5.9582911972080203E-2</v>
      </c>
      <c r="R737" s="5">
        <v>2.2289351070987101E-3</v>
      </c>
      <c r="S737" s="6">
        <v>0.24794810007879001</v>
      </c>
      <c r="T737" s="6">
        <v>0.107619110519696</v>
      </c>
      <c r="U737" s="7">
        <v>0.32332256907068502</v>
      </c>
      <c r="V737" s="7">
        <v>0.21878508540021799</v>
      </c>
      <c r="W737" s="8">
        <v>0.90253674755713997</v>
      </c>
      <c r="X737" s="8">
        <v>8.7964166866225393E-2</v>
      </c>
      <c r="Y737" s="2">
        <v>78</v>
      </c>
      <c r="Z737" s="2">
        <f>VLOOKUP(E737,YieldData!T:U,2,FALSE)</f>
        <v>2596.150513478819</v>
      </c>
      <c r="AA737">
        <f t="shared" si="22"/>
        <v>0.644271138595505</v>
      </c>
    </row>
    <row r="738" spans="1:27" hidden="1" x14ac:dyDescent="0.25">
      <c r="A738">
        <v>35</v>
      </c>
      <c r="B738">
        <v>405</v>
      </c>
      <c r="C738" t="s">
        <v>20</v>
      </c>
      <c r="D738">
        <v>25111</v>
      </c>
      <c r="E738">
        <f t="shared" si="23"/>
        <v>25111405</v>
      </c>
      <c r="F738">
        <f>VLOOKUP(E738,YieldData!D:F,2,FALSE)</f>
        <v>13</v>
      </c>
      <c r="G738">
        <f>VLOOKUP($E738,YieldData!$D:$F,3,FALSE)</f>
        <v>3</v>
      </c>
      <c r="H738">
        <v>30</v>
      </c>
      <c r="I738" t="s">
        <v>21</v>
      </c>
      <c r="J738" t="s">
        <v>22</v>
      </c>
      <c r="K738" s="2">
        <v>6492.2899261514203</v>
      </c>
      <c r="L738" s="2">
        <v>85018860.158825904</v>
      </c>
      <c r="M738" s="3">
        <v>13272.3920358045</v>
      </c>
      <c r="N738" s="3">
        <v>66063252.378365301</v>
      </c>
      <c r="O738" s="4">
        <v>-5.5870440237995499E-2</v>
      </c>
      <c r="P738" s="4">
        <v>3.12147132897675E-2</v>
      </c>
      <c r="Q738" s="5">
        <v>-8.5411480030210499E-2</v>
      </c>
      <c r="R738" s="5">
        <v>1.5781888806336701E-3</v>
      </c>
      <c r="S738" s="6">
        <v>9.4846786539028005E-2</v>
      </c>
      <c r="T738" s="6">
        <v>8.7058272913380003E-2</v>
      </c>
      <c r="U738" s="7">
        <v>0.189342691245279</v>
      </c>
      <c r="V738" s="7">
        <v>0.15349203651712401</v>
      </c>
      <c r="W738" s="8">
        <v>0.88692196022607195</v>
      </c>
      <c r="X738" s="8">
        <v>0.100291396694906</v>
      </c>
      <c r="Y738" s="2">
        <v>62</v>
      </c>
      <c r="Z738" s="2">
        <f>VLOOKUP(E738,YieldData!T:U,2,FALSE)</f>
        <v>2056.2371630295247</v>
      </c>
      <c r="AA738">
        <f t="shared" si="22"/>
        <v>0.39605118520815102</v>
      </c>
    </row>
    <row r="739" spans="1:27" hidden="1" x14ac:dyDescent="0.25">
      <c r="A739">
        <v>36</v>
      </c>
      <c r="B739">
        <v>406</v>
      </c>
      <c r="C739" t="s">
        <v>20</v>
      </c>
      <c r="D739">
        <v>25111</v>
      </c>
      <c r="E739">
        <f t="shared" si="23"/>
        <v>25111406</v>
      </c>
      <c r="F739">
        <f>VLOOKUP(E739,YieldData!D:F,2,FALSE)</f>
        <v>12</v>
      </c>
      <c r="G739">
        <f>VLOOKUP($E739,YieldData!$D:$F,3,FALSE)</f>
        <v>3</v>
      </c>
      <c r="H739">
        <v>30</v>
      </c>
      <c r="I739" t="s">
        <v>21</v>
      </c>
      <c r="J739" t="s">
        <v>22</v>
      </c>
      <c r="K739" s="2">
        <v>13139.7172414705</v>
      </c>
      <c r="L739" s="2">
        <v>132622160.853333</v>
      </c>
      <c r="M739" s="3">
        <v>4397.0248253909103</v>
      </c>
      <c r="N739" s="3">
        <v>76101860.630072594</v>
      </c>
      <c r="O739" s="4">
        <v>0.155597420314499</v>
      </c>
      <c r="P739" s="4">
        <v>4.2472331108485403E-2</v>
      </c>
      <c r="Q739" s="5">
        <v>-3.3926298081951203E-2</v>
      </c>
      <c r="R739" s="5">
        <v>2.6328070555211398E-3</v>
      </c>
      <c r="S739" s="6">
        <v>0.39452418196343902</v>
      </c>
      <c r="T739" s="6">
        <v>0.11113698281236201</v>
      </c>
      <c r="U739" s="7">
        <v>0.49990078183910802</v>
      </c>
      <c r="V739" s="7">
        <v>0.24999999015584501</v>
      </c>
      <c r="W739" s="8">
        <v>0.91231365494252603</v>
      </c>
      <c r="X739" s="8">
        <v>7.9997449948011196E-2</v>
      </c>
      <c r="Y739" s="2">
        <v>63</v>
      </c>
      <c r="Z739" s="2">
        <f>VLOOKUP(E739,YieldData!T:U,2,FALSE)</f>
        <v>1804.3132220795892</v>
      </c>
      <c r="AA739">
        <f t="shared" si="22"/>
        <v>0.83448868898002404</v>
      </c>
    </row>
    <row r="740" spans="1:27" hidden="1" x14ac:dyDescent="0.25">
      <c r="A740">
        <v>37</v>
      </c>
      <c r="B740">
        <v>407</v>
      </c>
      <c r="C740" t="s">
        <v>20</v>
      </c>
      <c r="D740">
        <v>25111</v>
      </c>
      <c r="E740">
        <f t="shared" si="23"/>
        <v>25111407</v>
      </c>
      <c r="F740">
        <f>VLOOKUP(E740,YieldData!D:F,2,FALSE)</f>
        <v>11</v>
      </c>
      <c r="G740">
        <f>VLOOKUP($E740,YieldData!$D:$F,3,FALSE)</f>
        <v>3</v>
      </c>
      <c r="H740">
        <v>30</v>
      </c>
      <c r="I740" t="s">
        <v>21</v>
      </c>
      <c r="J740" t="s">
        <v>22</v>
      </c>
      <c r="K740" s="2">
        <v>4258.0572092910597</v>
      </c>
      <c r="L740" s="2">
        <v>57170782.398330599</v>
      </c>
      <c r="M740" s="3">
        <v>14739.430087874</v>
      </c>
      <c r="N740" s="3">
        <v>38036619.361421302</v>
      </c>
      <c r="O740" s="4">
        <v>-7.61294879394981E-2</v>
      </c>
      <c r="P740" s="4">
        <v>1.8316268900626102E-2</v>
      </c>
      <c r="Q740" s="5">
        <v>-7.9136302805358494E-2</v>
      </c>
      <c r="R740" s="5">
        <v>1.72603439386903E-3</v>
      </c>
      <c r="S740" s="6">
        <v>4.2092049211669098E-2</v>
      </c>
      <c r="T740" s="6">
        <v>5.00322695872518E-2</v>
      </c>
      <c r="U740" s="7">
        <v>9.2232421827694006E-2</v>
      </c>
      <c r="V740" s="7">
        <v>8.3725602191308104E-2</v>
      </c>
      <c r="W740" s="8">
        <v>0.90120242664955297</v>
      </c>
      <c r="X740" s="8">
        <v>8.9036612850542401E-2</v>
      </c>
      <c r="Y740" s="2">
        <v>74</v>
      </c>
      <c r="Z740" s="2">
        <f>VLOOKUP(E740,YieldData!T:U,2,FALSE)</f>
        <v>2259.0404364569963</v>
      </c>
      <c r="AA740">
        <f t="shared" si="22"/>
        <v>0.33240483947148503</v>
      </c>
    </row>
    <row r="741" spans="1:27" hidden="1" x14ac:dyDescent="0.25">
      <c r="A741">
        <v>38</v>
      </c>
      <c r="B741">
        <v>408</v>
      </c>
      <c r="C741" t="s">
        <v>20</v>
      </c>
      <c r="D741">
        <v>25111</v>
      </c>
      <c r="E741">
        <f t="shared" si="23"/>
        <v>25111408</v>
      </c>
      <c r="F741">
        <f>VLOOKUP(E741,YieldData!D:F,2,FALSE)</f>
        <v>4</v>
      </c>
      <c r="G741">
        <f>VLOOKUP($E741,YieldData!$D:$F,3,FALSE)</f>
        <v>3</v>
      </c>
      <c r="H741">
        <v>30</v>
      </c>
      <c r="I741" t="s">
        <v>21</v>
      </c>
      <c r="J741" t="s">
        <v>22</v>
      </c>
      <c r="K741" s="2">
        <v>15193.4073254465</v>
      </c>
      <c r="L741" s="2">
        <v>144360680.08191201</v>
      </c>
      <c r="M741" s="3">
        <v>3927.3498432872102</v>
      </c>
      <c r="N741" s="3">
        <v>76029114.005458295</v>
      </c>
      <c r="O741" s="4">
        <v>0.20880383351846099</v>
      </c>
      <c r="P741" s="4">
        <v>3.2398298187270101E-2</v>
      </c>
      <c r="Q741" s="5">
        <v>-1.3734158992387399E-2</v>
      </c>
      <c r="R741" s="5">
        <v>2.6414193286978002E-3</v>
      </c>
      <c r="S741" s="6">
        <v>0.46817987567852098</v>
      </c>
      <c r="T741" s="6">
        <v>9.1785051807490498E-2</v>
      </c>
      <c r="U741" s="7">
        <v>0.54704003636407095</v>
      </c>
      <c r="V741" s="7">
        <v>0.247787234978746</v>
      </c>
      <c r="W741" s="8">
        <v>0.85609041439932998</v>
      </c>
      <c r="X741" s="8">
        <v>0.12319961677290001</v>
      </c>
      <c r="Y741" s="2">
        <v>57</v>
      </c>
      <c r="Z741" s="2">
        <f>VLOOKUP(E741,YieldData!T:U,2,FALSE)</f>
        <v>2716.4634146341464</v>
      </c>
      <c r="AA741">
        <f t="shared" si="22"/>
        <v>0.91196698762035799</v>
      </c>
    </row>
    <row r="742" spans="1:27" hidden="1" x14ac:dyDescent="0.25">
      <c r="A742">
        <v>39</v>
      </c>
      <c r="B742">
        <v>410</v>
      </c>
      <c r="C742" t="s">
        <v>20</v>
      </c>
      <c r="D742">
        <v>25111</v>
      </c>
      <c r="E742">
        <f t="shared" si="23"/>
        <v>25111410</v>
      </c>
      <c r="F742">
        <f>VLOOKUP(E742,YieldData!D:F,2,FALSE)</f>
        <v>7</v>
      </c>
      <c r="G742">
        <f>VLOOKUP($E742,YieldData!$D:$F,3,FALSE)</f>
        <v>3</v>
      </c>
      <c r="H742">
        <v>30</v>
      </c>
      <c r="I742" t="s">
        <v>21</v>
      </c>
      <c r="J742" t="s">
        <v>22</v>
      </c>
      <c r="K742" s="2">
        <v>10660.037240441399</v>
      </c>
      <c r="L742" s="2">
        <v>122263976.096709</v>
      </c>
      <c r="M742" s="3">
        <v>8022.10045593831</v>
      </c>
      <c r="N742" s="3">
        <v>62969588.6054428</v>
      </c>
      <c r="O742" s="4">
        <v>0.133669621977379</v>
      </c>
      <c r="P742" s="4">
        <v>2.4983484387916002E-2</v>
      </c>
      <c r="Q742" s="5">
        <v>-2.69217788973104E-2</v>
      </c>
      <c r="R742" s="5">
        <v>1.8311547852439701E-3</v>
      </c>
      <c r="S742" s="6">
        <v>0.35438930295447002</v>
      </c>
      <c r="T742" s="6">
        <v>7.2476865693512096E-2</v>
      </c>
      <c r="U742" s="7">
        <v>0.36313353208849802</v>
      </c>
      <c r="V742" s="7">
        <v>0.23126756996138001</v>
      </c>
      <c r="W742" s="8">
        <v>0.94593357740585804</v>
      </c>
      <c r="X742" s="8">
        <v>5.1143244542113102E-2</v>
      </c>
      <c r="Y742" s="2">
        <v>67</v>
      </c>
      <c r="Z742" s="2">
        <f>VLOOKUP(E742,YieldData!T:U,2,FALSE)</f>
        <v>3008.472400513479</v>
      </c>
      <c r="AA742">
        <f t="shared" si="22"/>
        <v>0.76582808127827595</v>
      </c>
    </row>
    <row r="743" spans="1:27" hidden="1" x14ac:dyDescent="0.25">
      <c r="A743">
        <v>40</v>
      </c>
      <c r="B743">
        <v>409</v>
      </c>
      <c r="C743" t="s">
        <v>20</v>
      </c>
      <c r="D743">
        <v>25111</v>
      </c>
      <c r="E743">
        <f t="shared" si="23"/>
        <v>25111409</v>
      </c>
      <c r="F743">
        <f>VLOOKUP(E743,YieldData!D:F,2,FALSE)</f>
        <v>8</v>
      </c>
      <c r="G743">
        <f>VLOOKUP($E743,YieldData!$D:$F,3,FALSE)</f>
        <v>3</v>
      </c>
      <c r="H743">
        <v>30</v>
      </c>
      <c r="I743" t="s">
        <v>21</v>
      </c>
      <c r="J743" t="s">
        <v>22</v>
      </c>
      <c r="K743" s="2">
        <v>18070.3297016086</v>
      </c>
      <c r="L743" s="2">
        <v>176723802.89336801</v>
      </c>
      <c r="M743" s="3">
        <v>2532.99736436188</v>
      </c>
      <c r="N743" s="3">
        <v>56882802.110611401</v>
      </c>
      <c r="O743" s="4">
        <v>0.24284499360839701</v>
      </c>
      <c r="P743" s="4">
        <v>1.95988268007724E-2</v>
      </c>
      <c r="Q743" s="5">
        <v>-1.92448361791697E-3</v>
      </c>
      <c r="R743" s="5">
        <v>2.48979123825834E-3</v>
      </c>
      <c r="S743" s="6">
        <v>0.52094799316515406</v>
      </c>
      <c r="T743" s="6">
        <v>5.9698526323863597E-2</v>
      </c>
      <c r="U743" s="7">
        <v>0.60240387490282798</v>
      </c>
      <c r="V743" s="7">
        <v>0.23951344640494601</v>
      </c>
      <c r="W743" s="8">
        <v>0.89986843678985795</v>
      </c>
      <c r="X743" s="8">
        <v>9.01052332592788E-2</v>
      </c>
      <c r="Y743" s="2">
        <v>58</v>
      </c>
      <c r="Z743" s="2">
        <f>VLOOKUP(E743,YieldData!T:U,2,FALSE)</f>
        <v>2987.8305519897308</v>
      </c>
      <c r="AA743">
        <f t="shared" si="22"/>
        <v>0.97096145336251505</v>
      </c>
    </row>
    <row r="744" spans="1:27" hidden="1" x14ac:dyDescent="0.25">
      <c r="A744">
        <v>41</v>
      </c>
      <c r="B744">
        <v>501</v>
      </c>
      <c r="C744" t="s">
        <v>20</v>
      </c>
      <c r="D744">
        <v>25111</v>
      </c>
      <c r="E744">
        <f t="shared" si="23"/>
        <v>25111501</v>
      </c>
      <c r="F744">
        <f>VLOOKUP(E744,YieldData!D:F,2,FALSE)</f>
        <v>10</v>
      </c>
      <c r="G744">
        <f>VLOOKUP($E744,YieldData!$D:$F,3,FALSE)</f>
        <v>3</v>
      </c>
      <c r="H744">
        <v>30</v>
      </c>
      <c r="I744" t="s">
        <v>21</v>
      </c>
      <c r="J744" t="s">
        <v>22</v>
      </c>
      <c r="K744" s="2">
        <v>9875.9429063467996</v>
      </c>
      <c r="L744" s="2">
        <v>130003603.282363</v>
      </c>
      <c r="M744" s="3">
        <v>9560.2696388596505</v>
      </c>
      <c r="N744" s="3">
        <v>79056591.833518505</v>
      </c>
      <c r="O744" s="4">
        <v>0.102519516395326</v>
      </c>
      <c r="P744" s="4">
        <v>3.19410912135107E-2</v>
      </c>
      <c r="Q744" s="5">
        <v>-3.9163785530744302E-2</v>
      </c>
      <c r="R744" s="5">
        <v>1.58080621153145E-3</v>
      </c>
      <c r="S744" s="6">
        <v>0.32151901840314101</v>
      </c>
      <c r="T744" s="6">
        <v>8.3899964994138404E-2</v>
      </c>
      <c r="U744" s="7">
        <v>0.34827846012174601</v>
      </c>
      <c r="V744" s="7">
        <v>0.22698057433709501</v>
      </c>
      <c r="W744" s="8">
        <v>0.81364528013013704</v>
      </c>
      <c r="X744" s="8">
        <v>0.151626638252403</v>
      </c>
      <c r="Y744" s="2">
        <v>52</v>
      </c>
      <c r="Z744" s="2">
        <f>VLOOKUP(E744,YieldData!T:U,2,FALSE)</f>
        <v>3019.9518613607192</v>
      </c>
      <c r="AA744">
        <f t="shared" si="22"/>
        <v>0.71092479188594404</v>
      </c>
    </row>
    <row r="745" spans="1:27" hidden="1" x14ac:dyDescent="0.25">
      <c r="A745">
        <v>42</v>
      </c>
      <c r="B745">
        <v>502</v>
      </c>
      <c r="C745" t="s">
        <v>20</v>
      </c>
      <c r="D745">
        <v>25111</v>
      </c>
      <c r="E745">
        <f t="shared" si="23"/>
        <v>25111502</v>
      </c>
      <c r="F745">
        <f>VLOOKUP(E745,YieldData!D:F,2,FALSE)</f>
        <v>2</v>
      </c>
      <c r="G745">
        <f>VLOOKUP($E745,YieldData!$D:$F,3,FALSE)</f>
        <v>3</v>
      </c>
      <c r="H745">
        <v>30</v>
      </c>
      <c r="I745" t="s">
        <v>21</v>
      </c>
      <c r="J745" t="s">
        <v>22</v>
      </c>
      <c r="K745" s="2">
        <v>15979.152907832</v>
      </c>
      <c r="L745" s="2">
        <v>152449801.01246199</v>
      </c>
      <c r="M745" s="3">
        <v>4069.0179093295701</v>
      </c>
      <c r="N745" s="3">
        <v>99060889.0928379</v>
      </c>
      <c r="O745" s="4">
        <v>0.21432666258167901</v>
      </c>
      <c r="P745" s="4">
        <v>3.8271389378827299E-2</v>
      </c>
      <c r="Q745" s="5">
        <v>-1.79535644666854E-2</v>
      </c>
      <c r="R745" s="5">
        <v>1.99117188176258E-3</v>
      </c>
      <c r="S745" s="6">
        <v>0.49054143824419599</v>
      </c>
      <c r="T745" s="6">
        <v>9.7062476113656301E-2</v>
      </c>
      <c r="U745" s="7">
        <v>0.57516832298879395</v>
      </c>
      <c r="V745" s="7">
        <v>0.24434972321926801</v>
      </c>
      <c r="W745" s="8">
        <v>0.79384118631906198</v>
      </c>
      <c r="X745" s="8">
        <v>0.16365735722284699</v>
      </c>
      <c r="Y745" s="2">
        <v>32</v>
      </c>
      <c r="Z745" s="2">
        <f>VLOOKUP(E745,YieldData!T:U,2,FALSE)</f>
        <v>3292.9252246469832</v>
      </c>
      <c r="AA745">
        <f t="shared" si="22"/>
        <v>0.77927017426353595</v>
      </c>
    </row>
    <row r="746" spans="1:27" hidden="1" x14ac:dyDescent="0.25">
      <c r="A746">
        <v>43</v>
      </c>
      <c r="B746">
        <v>503</v>
      </c>
      <c r="C746" t="s">
        <v>20</v>
      </c>
      <c r="D746" t="s">
        <v>100</v>
      </c>
      <c r="E746" t="e">
        <f t="shared" si="23"/>
        <v>#VALUE!</v>
      </c>
      <c r="H746">
        <v>30</v>
      </c>
      <c r="I746" t="s">
        <v>21</v>
      </c>
      <c r="J746" t="s">
        <v>22</v>
      </c>
      <c r="K746" s="2">
        <v>17572.0566538696</v>
      </c>
      <c r="L746" s="2">
        <v>185171573.37079501</v>
      </c>
      <c r="M746" s="3">
        <v>4105.75846082508</v>
      </c>
      <c r="N746" s="3">
        <v>102690695.498307</v>
      </c>
      <c r="O746" s="4">
        <v>0.17878617981449099</v>
      </c>
      <c r="P746" s="4">
        <v>3.1639159585601602E-2</v>
      </c>
      <c r="Q746" s="5">
        <v>-3.08136936884628E-2</v>
      </c>
      <c r="R746" s="5">
        <v>1.7914779379498301E-3</v>
      </c>
      <c r="S746" s="6">
        <v>0.456756943051633</v>
      </c>
      <c r="T746" s="6">
        <v>9.0975579079610694E-2</v>
      </c>
      <c r="U746" s="7">
        <v>0.54588401325152802</v>
      </c>
      <c r="V746" s="7">
        <v>0.24789465732801899</v>
      </c>
      <c r="W746" s="8">
        <v>0.70935100351649405</v>
      </c>
      <c r="X746" s="8">
        <v>0.206172157326412</v>
      </c>
      <c r="Y746" s="2">
        <v>36</v>
      </c>
      <c r="Z746" s="2" t="e">
        <f>VLOOKUP(E746,YieldData!T:U,2,FALSE)</f>
        <v>#VALUE!</v>
      </c>
      <c r="AA746">
        <f t="shared" si="22"/>
        <v>0.913534329143595</v>
      </c>
    </row>
    <row r="747" spans="1:27" hidden="1" x14ac:dyDescent="0.25">
      <c r="A747">
        <v>44</v>
      </c>
      <c r="B747">
        <v>504</v>
      </c>
      <c r="C747" t="s">
        <v>20</v>
      </c>
      <c r="D747" t="s">
        <v>100</v>
      </c>
      <c r="E747" t="e">
        <f t="shared" si="23"/>
        <v>#VALUE!</v>
      </c>
      <c r="H747">
        <v>30</v>
      </c>
      <c r="I747" t="s">
        <v>21</v>
      </c>
      <c r="J747" t="s">
        <v>22</v>
      </c>
      <c r="K747" s="2">
        <v>14414.9172303135</v>
      </c>
      <c r="L747" s="2">
        <v>156632612.38581899</v>
      </c>
      <c r="M747" s="3">
        <v>5473.4292750346203</v>
      </c>
      <c r="N747" s="3">
        <v>113607912.405168</v>
      </c>
      <c r="O747" s="4">
        <v>0.15834584821344699</v>
      </c>
      <c r="P747" s="4">
        <v>4.0764880186688501E-2</v>
      </c>
      <c r="Q747" s="5">
        <v>-3.7974626409700001E-2</v>
      </c>
      <c r="R747" s="5">
        <v>2.1388306803413301E-3</v>
      </c>
      <c r="S747" s="6">
        <v>0.40295294845908503</v>
      </c>
      <c r="T747" s="6">
        <v>0.11300582083347099</v>
      </c>
      <c r="U747" s="7">
        <v>0.48386818069612397</v>
      </c>
      <c r="V747" s="7">
        <v>0.24973976440613099</v>
      </c>
      <c r="W747" s="8">
        <v>0.40287823060403299</v>
      </c>
      <c r="X747" s="8">
        <v>0.24056736190938799</v>
      </c>
      <c r="Y747" s="2">
        <v>17</v>
      </c>
      <c r="Z747" s="2" t="e">
        <f>VLOOKUP(E747,YieldData!T:U,2,FALSE)</f>
        <v>#VALUE!</v>
      </c>
      <c r="AA747">
        <f t="shared" si="22"/>
        <v>0.913534329143595</v>
      </c>
    </row>
    <row r="748" spans="1:27" hidden="1" x14ac:dyDescent="0.25">
      <c r="A748">
        <v>45</v>
      </c>
      <c r="B748">
        <v>505</v>
      </c>
      <c r="C748" t="s">
        <v>20</v>
      </c>
      <c r="D748" t="s">
        <v>100</v>
      </c>
      <c r="E748" t="e">
        <f t="shared" si="23"/>
        <v>#VALUE!</v>
      </c>
      <c r="H748">
        <v>30</v>
      </c>
      <c r="I748" t="s">
        <v>21</v>
      </c>
      <c r="J748" t="s">
        <v>22</v>
      </c>
      <c r="K748" s="2">
        <v>16540.341017674898</v>
      </c>
      <c r="L748" s="2">
        <v>160283671.30625799</v>
      </c>
      <c r="M748" s="3">
        <v>2740.5044500406402</v>
      </c>
      <c r="N748" s="3">
        <v>87818093.594166905</v>
      </c>
      <c r="O748" s="4">
        <v>0.200888558178761</v>
      </c>
      <c r="P748" s="4">
        <v>3.4160614737410097E-2</v>
      </c>
      <c r="Q748" s="5">
        <v>-2.8577877926105399E-2</v>
      </c>
      <c r="R748" s="5">
        <v>2.2517487580165801E-3</v>
      </c>
      <c r="S748" s="6">
        <v>0.46484643787010599</v>
      </c>
      <c r="T748" s="6">
        <v>9.7078166277592998E-2</v>
      </c>
      <c r="U748" s="7">
        <v>0.56239720126360904</v>
      </c>
      <c r="V748" s="7">
        <v>0.24610658927441001</v>
      </c>
      <c r="W748" s="8">
        <v>0.631600245408383</v>
      </c>
      <c r="X748" s="8">
        <v>0.232681375408236</v>
      </c>
      <c r="Y748" s="2">
        <v>16</v>
      </c>
      <c r="Z748" s="2" t="e">
        <f>VLOOKUP(E748,YieldData!T:U,2,FALSE)</f>
        <v>#VALUE!</v>
      </c>
      <c r="AA748">
        <f t="shared" si="22"/>
        <v>0.913534329143595</v>
      </c>
    </row>
    <row r="749" spans="1:27" hidden="1" x14ac:dyDescent="0.25">
      <c r="A749">
        <v>46</v>
      </c>
      <c r="B749">
        <v>506</v>
      </c>
      <c r="C749" t="s">
        <v>20</v>
      </c>
      <c r="D749" t="s">
        <v>100</v>
      </c>
      <c r="E749" t="e">
        <f t="shared" si="23"/>
        <v>#VALUE!</v>
      </c>
      <c r="H749">
        <v>30</v>
      </c>
      <c r="I749" t="s">
        <v>21</v>
      </c>
      <c r="J749" t="s">
        <v>22</v>
      </c>
      <c r="K749" s="2">
        <v>15079.8074172496</v>
      </c>
      <c r="L749" s="2">
        <v>152743391.06070399</v>
      </c>
      <c r="M749" s="3">
        <v>4588.5492164675197</v>
      </c>
      <c r="N749" s="3">
        <v>101033314.389678</v>
      </c>
      <c r="O749" s="4">
        <v>0.17427769873194701</v>
      </c>
      <c r="P749" s="4">
        <v>4.8731259127116303E-2</v>
      </c>
      <c r="Q749" s="5">
        <v>-3.4215360650821099E-2</v>
      </c>
      <c r="R749" s="5">
        <v>2.6219455869398701E-3</v>
      </c>
      <c r="S749" s="6">
        <v>0.42019710047962699</v>
      </c>
      <c r="T749" s="6">
        <v>0.12204405893498201</v>
      </c>
      <c r="U749" s="7">
        <v>0.51798298748159999</v>
      </c>
      <c r="V749" s="7">
        <v>0.249676612161355</v>
      </c>
      <c r="W749" s="8">
        <v>0.84859379681373504</v>
      </c>
      <c r="X749" s="8">
        <v>0.128482364823092</v>
      </c>
      <c r="Y749" s="2">
        <v>55</v>
      </c>
      <c r="Z749" s="2" t="e">
        <f>VLOOKUP(E749,YieldData!T:U,2,FALSE)</f>
        <v>#VALUE!</v>
      </c>
      <c r="AA749">
        <f t="shared" si="22"/>
        <v>0.913534329143595</v>
      </c>
    </row>
    <row r="750" spans="1:27" hidden="1" x14ac:dyDescent="0.25">
      <c r="A750">
        <v>47</v>
      </c>
      <c r="B750">
        <v>510</v>
      </c>
      <c r="C750" t="s">
        <v>20</v>
      </c>
      <c r="D750" t="s">
        <v>100</v>
      </c>
      <c r="E750" t="e">
        <f t="shared" si="23"/>
        <v>#VALUE!</v>
      </c>
      <c r="H750">
        <v>30</v>
      </c>
      <c r="I750" t="s">
        <v>21</v>
      </c>
      <c r="J750" t="s">
        <v>22</v>
      </c>
      <c r="K750" s="2">
        <v>16834.995532198001</v>
      </c>
      <c r="L750" s="2">
        <v>145748396.19462401</v>
      </c>
      <c r="M750" s="3">
        <v>2581.00183897227</v>
      </c>
      <c r="N750" s="3">
        <v>73697416.723740503</v>
      </c>
      <c r="O750" s="4">
        <v>0.24717970691454599</v>
      </c>
      <c r="P750" s="4">
        <v>2.9994073334157999E-2</v>
      </c>
      <c r="Q750" s="5">
        <v>-9.7585612162392407E-3</v>
      </c>
      <c r="R750" s="5">
        <v>1.9866986638797999E-3</v>
      </c>
      <c r="S750" s="6">
        <v>0.53010770433551402</v>
      </c>
      <c r="T750" s="6">
        <v>7.6236207233164502E-2</v>
      </c>
      <c r="U750" s="7">
        <v>0.60197180803389505</v>
      </c>
      <c r="V750" s="7">
        <v>0.23960175036637901</v>
      </c>
      <c r="W750" s="8">
        <v>0.70968267546539598</v>
      </c>
      <c r="X750" s="8">
        <v>0.206033175609484</v>
      </c>
      <c r="Y750" s="2">
        <v>25</v>
      </c>
      <c r="Z750" s="2" t="e">
        <f>VLOOKUP(E750,YieldData!T:U,2,FALSE)</f>
        <v>#VALUE!</v>
      </c>
      <c r="AA750">
        <f t="shared" si="22"/>
        <v>0.913534329143595</v>
      </c>
    </row>
    <row r="751" spans="1:27" hidden="1" x14ac:dyDescent="0.25">
      <c r="A751">
        <v>48</v>
      </c>
      <c r="B751">
        <v>509</v>
      </c>
      <c r="C751" t="s">
        <v>20</v>
      </c>
      <c r="D751" t="s">
        <v>100</v>
      </c>
      <c r="E751" t="e">
        <f t="shared" si="23"/>
        <v>#VALUE!</v>
      </c>
      <c r="H751">
        <v>30</v>
      </c>
      <c r="I751" t="s">
        <v>21</v>
      </c>
      <c r="J751" t="s">
        <v>22</v>
      </c>
      <c r="K751" s="2">
        <v>16783.5337355392</v>
      </c>
      <c r="L751" s="2">
        <v>153804198.37129</v>
      </c>
      <c r="M751" s="3">
        <v>4037.24261668494</v>
      </c>
      <c r="N751" s="3">
        <v>93418113.725356296</v>
      </c>
      <c r="O751" s="4">
        <v>0.21283676140098101</v>
      </c>
      <c r="P751" s="4">
        <v>4.01753636483606E-2</v>
      </c>
      <c r="Q751" s="5">
        <v>-1.94740455885728E-2</v>
      </c>
      <c r="R751" s="5">
        <v>2.24569602746555E-3</v>
      </c>
      <c r="S751" s="6">
        <v>0.47922604955773301</v>
      </c>
      <c r="T751" s="6">
        <v>9.1981373378896905E-2</v>
      </c>
      <c r="U751" s="7">
        <v>0.556698594352531</v>
      </c>
      <c r="V751" s="7">
        <v>0.246785269398479</v>
      </c>
      <c r="W751" s="8">
        <v>0.52352816787531298</v>
      </c>
      <c r="X751" s="8">
        <v>0.24944642531650901</v>
      </c>
      <c r="Y751" s="2">
        <v>17</v>
      </c>
      <c r="Z751" s="2" t="e">
        <f>VLOOKUP(E751,YieldData!T:U,2,FALSE)</f>
        <v>#VALUE!</v>
      </c>
      <c r="AA751">
        <f t="shared" si="22"/>
        <v>0.913534329143595</v>
      </c>
    </row>
    <row r="752" spans="1:27" hidden="1" x14ac:dyDescent="0.25">
      <c r="A752">
        <v>49</v>
      </c>
      <c r="B752">
        <v>508</v>
      </c>
      <c r="C752" t="s">
        <v>20</v>
      </c>
      <c r="D752" t="s">
        <v>100</v>
      </c>
      <c r="E752" t="e">
        <f t="shared" si="23"/>
        <v>#VALUE!</v>
      </c>
      <c r="H752">
        <v>30</v>
      </c>
      <c r="I752" t="s">
        <v>21</v>
      </c>
      <c r="J752" t="s">
        <v>22</v>
      </c>
      <c r="K752" s="2">
        <v>14357.7645616553</v>
      </c>
      <c r="L752" s="2">
        <v>165576848.26485699</v>
      </c>
      <c r="M752" s="3">
        <v>6297.1379625435202</v>
      </c>
      <c r="N752" s="3">
        <v>112451089.32852601</v>
      </c>
      <c r="O752" s="4">
        <v>0.13988677529744201</v>
      </c>
      <c r="P752" s="4">
        <v>4.9726990647201298E-2</v>
      </c>
      <c r="Q752" s="5">
        <v>-3.5257909858380398E-2</v>
      </c>
      <c r="R752" s="5">
        <v>2.4155771872911599E-3</v>
      </c>
      <c r="S752" s="6">
        <v>0.38437001933189102</v>
      </c>
      <c r="T752" s="6">
        <v>0.12571976642774599</v>
      </c>
      <c r="U752" s="7">
        <v>0.46586532711398199</v>
      </c>
      <c r="V752" s="7">
        <v>0.24883482410728</v>
      </c>
      <c r="W752" s="8">
        <v>0.460370994940978</v>
      </c>
      <c r="X752" s="8">
        <v>0.248429541957947</v>
      </c>
      <c r="Y752" s="2">
        <v>19</v>
      </c>
      <c r="Z752" s="2" t="e">
        <f>VLOOKUP(E752,YieldData!T:U,2,FALSE)</f>
        <v>#VALUE!</v>
      </c>
      <c r="AA752">
        <f t="shared" si="22"/>
        <v>0.913534329143595</v>
      </c>
    </row>
    <row r="753" spans="1:27" hidden="1" x14ac:dyDescent="0.25">
      <c r="A753">
        <v>50</v>
      </c>
      <c r="B753">
        <v>507</v>
      </c>
      <c r="C753" t="s">
        <v>20</v>
      </c>
      <c r="D753" t="s">
        <v>100</v>
      </c>
      <c r="E753" t="e">
        <f t="shared" si="23"/>
        <v>#VALUE!</v>
      </c>
      <c r="H753">
        <v>30</v>
      </c>
      <c r="I753" t="s">
        <v>21</v>
      </c>
      <c r="J753" t="s">
        <v>22</v>
      </c>
      <c r="K753" s="2">
        <v>15919.5218040952</v>
      </c>
      <c r="L753" s="2">
        <v>145539544.86324999</v>
      </c>
      <c r="M753" s="3">
        <v>3653.4302635386898</v>
      </c>
      <c r="N753" s="3">
        <v>78407188.173945695</v>
      </c>
      <c r="O753" s="4">
        <v>0.19163791203601699</v>
      </c>
      <c r="P753" s="4">
        <v>3.75602346539783E-2</v>
      </c>
      <c r="Q753" s="5">
        <v>-2.8495551644224199E-2</v>
      </c>
      <c r="R753" s="5">
        <v>2.3534517080045099E-3</v>
      </c>
      <c r="S753" s="6">
        <v>0.45115338319816001</v>
      </c>
      <c r="T753" s="6">
        <v>9.8824660059534303E-2</v>
      </c>
      <c r="U753" s="7">
        <v>0.55237963475373597</v>
      </c>
      <c r="V753" s="7">
        <v>0.247256373863182</v>
      </c>
      <c r="W753" s="8">
        <v>0.87829143086438499</v>
      </c>
      <c r="X753" s="8">
        <v>0.106895593334442</v>
      </c>
      <c r="Y753" s="2">
        <v>41</v>
      </c>
      <c r="Z753" s="2" t="e">
        <f>VLOOKUP(E753,YieldData!T:U,2,FALSE)</f>
        <v>#VALUE!</v>
      </c>
      <c r="AA753">
        <f t="shared" si="22"/>
        <v>0.913534329143595</v>
      </c>
    </row>
    <row r="754" spans="1:27" hidden="1" x14ac:dyDescent="0.25">
      <c r="A754">
        <v>51</v>
      </c>
      <c r="B754">
        <v>601</v>
      </c>
      <c r="C754" t="s">
        <v>20</v>
      </c>
      <c r="D754">
        <v>25112</v>
      </c>
      <c r="E754">
        <f t="shared" si="23"/>
        <v>25112601</v>
      </c>
      <c r="F754">
        <f>VLOOKUP(E754,YieldData!D:F,2,FALSE)</f>
        <v>1</v>
      </c>
      <c r="G754">
        <f>VLOOKUP($E754,YieldData!$D:$F,3,FALSE)</f>
        <v>1</v>
      </c>
      <c r="H754">
        <v>30</v>
      </c>
      <c r="I754" t="s">
        <v>21</v>
      </c>
      <c r="J754" t="s">
        <v>22</v>
      </c>
      <c r="K754" s="2">
        <v>8081.3145368653904</v>
      </c>
      <c r="L754" s="2">
        <v>114697477.12058499</v>
      </c>
      <c r="M754" s="3">
        <v>10532.374985759099</v>
      </c>
      <c r="N754" s="3">
        <v>67843007.486234307</v>
      </c>
      <c r="O754" s="4">
        <v>5.5565978673488801E-2</v>
      </c>
      <c r="P754" s="4">
        <v>2.7588032938802E-2</v>
      </c>
      <c r="Q754" s="5">
        <v>-5.0168615368686997E-2</v>
      </c>
      <c r="R754" s="5">
        <v>1.4908188689619099E-3</v>
      </c>
      <c r="S754" s="6">
        <v>0.25518632169424199</v>
      </c>
      <c r="T754" s="6">
        <v>7.8438638318267501E-2</v>
      </c>
      <c r="U754" s="7">
        <v>0.27267834718651002</v>
      </c>
      <c r="V754" s="7">
        <v>0.19832486616227199</v>
      </c>
      <c r="W754" s="8">
        <v>0.779631423480309</v>
      </c>
      <c r="X754" s="8">
        <v>0.17180626700239099</v>
      </c>
      <c r="Y754" s="2">
        <v>55</v>
      </c>
      <c r="Z754" s="2">
        <f>VLOOKUP(E754,YieldData!T:U,2,FALSE)</f>
        <v>2181.5917843388966</v>
      </c>
      <c r="AA754">
        <f t="shared" si="22"/>
        <v>0.56725628789781501</v>
      </c>
    </row>
    <row r="755" spans="1:27" hidden="1" x14ac:dyDescent="0.25">
      <c r="A755">
        <v>52</v>
      </c>
      <c r="B755">
        <v>602</v>
      </c>
      <c r="C755" t="s">
        <v>20</v>
      </c>
      <c r="D755">
        <v>25112</v>
      </c>
      <c r="E755">
        <f t="shared" si="23"/>
        <v>25112602</v>
      </c>
      <c r="F755">
        <f>VLOOKUP(E755,YieldData!D:F,2,FALSE)</f>
        <v>2</v>
      </c>
      <c r="G755">
        <f>VLOOKUP($E755,YieldData!$D:$F,3,FALSE)</f>
        <v>1</v>
      </c>
      <c r="H755">
        <v>30</v>
      </c>
      <c r="I755" t="s">
        <v>21</v>
      </c>
      <c r="J755" t="s">
        <v>22</v>
      </c>
      <c r="K755" s="2">
        <v>10399.146852068399</v>
      </c>
      <c r="L755" s="2">
        <v>129360354.22557899</v>
      </c>
      <c r="M755" s="3">
        <v>10054.5467200291</v>
      </c>
      <c r="N755" s="3">
        <v>89861431.658117801</v>
      </c>
      <c r="O755" s="4">
        <v>6.9759930888202107E-2</v>
      </c>
      <c r="P755" s="4">
        <v>3.4102098465897998E-2</v>
      </c>
      <c r="Q755" s="5">
        <v>-5.08132532130691E-2</v>
      </c>
      <c r="R755" s="5">
        <v>1.90787192631908E-3</v>
      </c>
      <c r="S755" s="6">
        <v>0.286390438712749</v>
      </c>
      <c r="T755" s="6">
        <v>9.59332421203868E-2</v>
      </c>
      <c r="U755" s="7">
        <v>0.34491665917006198</v>
      </c>
      <c r="V755" s="7">
        <v>0.22594915739674201</v>
      </c>
      <c r="W755" s="8">
        <v>0.75443376342980495</v>
      </c>
      <c r="X755" s="8">
        <v>0.18526346002657701</v>
      </c>
      <c r="Y755" s="2">
        <v>40</v>
      </c>
      <c r="Z755" s="2">
        <f>VLOOKUP(E755,YieldData!T:U,2,FALSE)</f>
        <v>2508.231707317073</v>
      </c>
      <c r="AA755">
        <f t="shared" si="22"/>
        <v>0.55694771065448401</v>
      </c>
    </row>
    <row r="756" spans="1:27" hidden="1" x14ac:dyDescent="0.25">
      <c r="A756">
        <v>53</v>
      </c>
      <c r="B756">
        <v>603</v>
      </c>
      <c r="C756" t="s">
        <v>20</v>
      </c>
      <c r="D756">
        <v>25112</v>
      </c>
      <c r="E756">
        <f t="shared" si="23"/>
        <v>25112603</v>
      </c>
      <c r="F756">
        <f>VLOOKUP(E756,YieldData!D:F,2,FALSE)</f>
        <v>3</v>
      </c>
      <c r="G756">
        <f>VLOOKUP($E756,YieldData!$D:$F,3,FALSE)</f>
        <v>1</v>
      </c>
      <c r="H756">
        <v>30</v>
      </c>
      <c r="I756" t="s">
        <v>21</v>
      </c>
      <c r="J756" t="s">
        <v>22</v>
      </c>
      <c r="K756" s="2">
        <v>16415.529893070601</v>
      </c>
      <c r="L756" s="2">
        <v>169129556.80261499</v>
      </c>
      <c r="M756" s="3">
        <v>4514.8767822100499</v>
      </c>
      <c r="N756" s="3">
        <v>102192649.92964201</v>
      </c>
      <c r="O756" s="4">
        <v>0.182836471418933</v>
      </c>
      <c r="P756" s="4">
        <v>3.3902778836703999E-2</v>
      </c>
      <c r="Q756" s="5">
        <v>-3.1111669252726799E-2</v>
      </c>
      <c r="R756" s="5">
        <v>1.9604109028874602E-3</v>
      </c>
      <c r="S756" s="6">
        <v>0.44819571406467801</v>
      </c>
      <c r="T756" s="6">
        <v>9.6558289082041796E-2</v>
      </c>
      <c r="U756" s="7">
        <v>0.52961268368530401</v>
      </c>
      <c r="V756" s="7">
        <v>0.24912308896483801</v>
      </c>
      <c r="W756" s="8">
        <v>0.54786664627618897</v>
      </c>
      <c r="X756" s="8">
        <v>0.24770878417407999</v>
      </c>
      <c r="Y756" s="2">
        <v>20</v>
      </c>
      <c r="Z756" s="2">
        <f>VLOOKUP(E756,YieldData!T:U,2,FALSE)</f>
        <v>2318.1354300385115</v>
      </c>
      <c r="AA756">
        <f t="shared" si="22"/>
        <v>0.77373397558427004</v>
      </c>
    </row>
    <row r="757" spans="1:27" hidden="1" x14ac:dyDescent="0.25">
      <c r="A757">
        <v>54</v>
      </c>
      <c r="B757">
        <v>604</v>
      </c>
      <c r="C757" t="s">
        <v>20</v>
      </c>
      <c r="D757">
        <v>25112</v>
      </c>
      <c r="E757">
        <f t="shared" si="23"/>
        <v>25112604</v>
      </c>
      <c r="F757">
        <f>VLOOKUP(E757,YieldData!D:F,2,FALSE)</f>
        <v>4</v>
      </c>
      <c r="G757">
        <f>VLOOKUP($E757,YieldData!$D:$F,3,FALSE)</f>
        <v>1</v>
      </c>
      <c r="H757">
        <v>30</v>
      </c>
      <c r="I757" t="s">
        <v>21</v>
      </c>
      <c r="J757" t="s">
        <v>22</v>
      </c>
      <c r="K757" s="2">
        <v>15837.232083851</v>
      </c>
      <c r="L757" s="2">
        <v>156941045.417427</v>
      </c>
      <c r="M757" s="3">
        <v>5194.4220767878496</v>
      </c>
      <c r="N757" s="3">
        <v>110539367.71371</v>
      </c>
      <c r="O757" s="4">
        <v>0.16362488510168699</v>
      </c>
      <c r="P757" s="4">
        <v>3.9315106892065001E-2</v>
      </c>
      <c r="Q757" s="5">
        <v>-4.2163196309134197E-2</v>
      </c>
      <c r="R757" s="5">
        <v>2.2694332168625799E-3</v>
      </c>
      <c r="S757" s="6">
        <v>0.42618328657301902</v>
      </c>
      <c r="T757" s="6">
        <v>0.111848853417607</v>
      </c>
      <c r="U757" s="7">
        <v>0.52687091913611295</v>
      </c>
      <c r="V757" s="7">
        <v>0.249277953704719</v>
      </c>
      <c r="W757" s="8">
        <v>0.747961031579226</v>
      </c>
      <c r="X757" s="8">
        <v>0.18851532681781699</v>
      </c>
      <c r="Y757" s="2">
        <v>35</v>
      </c>
      <c r="Z757" s="2">
        <f>VLOOKUP(E757,YieldData!T:U,2,FALSE)</f>
        <v>634.45924261874211</v>
      </c>
      <c r="AA757">
        <f t="shared" si="22"/>
        <v>0.83857877413982296</v>
      </c>
    </row>
    <row r="758" spans="1:27" hidden="1" x14ac:dyDescent="0.25">
      <c r="A758">
        <v>55</v>
      </c>
      <c r="B758">
        <v>605</v>
      </c>
      <c r="C758" t="s">
        <v>20</v>
      </c>
      <c r="D758">
        <v>25112</v>
      </c>
      <c r="E758">
        <f t="shared" si="23"/>
        <v>25112605</v>
      </c>
      <c r="F758">
        <f>VLOOKUP(E758,YieldData!D:F,2,FALSE)</f>
        <v>3</v>
      </c>
      <c r="G758">
        <f>VLOOKUP($E758,YieldData!$D:$F,3,FALSE)</f>
        <v>2</v>
      </c>
      <c r="H758">
        <v>30</v>
      </c>
      <c r="I758" t="s">
        <v>21</v>
      </c>
      <c r="J758" t="s">
        <v>22</v>
      </c>
      <c r="K758" s="2">
        <v>12714.2431214136</v>
      </c>
      <c r="L758" s="2">
        <v>140691908.942563</v>
      </c>
      <c r="M758" s="3">
        <v>6799.4495601725203</v>
      </c>
      <c r="N758" s="3">
        <v>97029970.048237607</v>
      </c>
      <c r="O758" s="4">
        <v>0.12786971927371099</v>
      </c>
      <c r="P758" s="4">
        <v>4.2617988985494799E-2</v>
      </c>
      <c r="Q758" s="5">
        <v>-4.4592518310399697E-2</v>
      </c>
      <c r="R758" s="5">
        <v>2.21585580897875E-3</v>
      </c>
      <c r="S758" s="6">
        <v>0.34795832273891902</v>
      </c>
      <c r="T758" s="6">
        <v>0.11561428127999</v>
      </c>
      <c r="U758" s="7">
        <v>0.42468666818260897</v>
      </c>
      <c r="V758" s="7">
        <v>0.24432790205072499</v>
      </c>
      <c r="W758" s="8">
        <v>0.87896743128469201</v>
      </c>
      <c r="X758" s="8">
        <v>0.10638368602515599</v>
      </c>
      <c r="Y758" s="2">
        <v>69</v>
      </c>
      <c r="Z758" s="2">
        <f>VLOOKUP(E758,YieldData!T:U,2,FALSE)</f>
        <v>1653.1209884467266</v>
      </c>
      <c r="AA758">
        <f t="shared" si="22"/>
        <v>0.73001203691320005</v>
      </c>
    </row>
    <row r="759" spans="1:27" hidden="1" x14ac:dyDescent="0.25">
      <c r="A759">
        <v>56</v>
      </c>
      <c r="B759">
        <v>606</v>
      </c>
      <c r="C759" t="s">
        <v>20</v>
      </c>
      <c r="D759">
        <v>25112</v>
      </c>
      <c r="E759">
        <f t="shared" si="23"/>
        <v>25112606</v>
      </c>
      <c r="F759">
        <f>VLOOKUP(E759,YieldData!D:F,2,FALSE)</f>
        <v>4</v>
      </c>
      <c r="G759">
        <f>VLOOKUP($E759,YieldData!$D:$F,3,FALSE)</f>
        <v>2</v>
      </c>
      <c r="H759">
        <v>30</v>
      </c>
      <c r="I759" t="s">
        <v>21</v>
      </c>
      <c r="J759" t="s">
        <v>22</v>
      </c>
      <c r="K759" s="2">
        <v>18522.1377658807</v>
      </c>
      <c r="L759" s="2">
        <v>146335432.25436199</v>
      </c>
      <c r="M759" s="3">
        <v>1162.7858111205601</v>
      </c>
      <c r="N759" s="3">
        <v>77186611.942135796</v>
      </c>
      <c r="O759" s="4">
        <v>0.23337002030825801</v>
      </c>
      <c r="P759" s="4">
        <v>3.3706220512112299E-2</v>
      </c>
      <c r="Q759" s="5">
        <v>-2.293586127596E-2</v>
      </c>
      <c r="R759" s="5">
        <v>2.4918764506897898E-3</v>
      </c>
      <c r="S759" s="6">
        <v>0.52073175003637096</v>
      </c>
      <c r="T759" s="6">
        <v>8.8064913521301802E-2</v>
      </c>
      <c r="U759" s="7">
        <v>0.63691952394074203</v>
      </c>
      <c r="V759" s="7">
        <v>0.23125304396370799</v>
      </c>
      <c r="W759" s="8">
        <v>0.83488405663967702</v>
      </c>
      <c r="X759" s="8">
        <v>0.13785266860867099</v>
      </c>
      <c r="Y759" s="2">
        <v>47</v>
      </c>
      <c r="Z759" s="2">
        <f>VLOOKUP(E759,YieldData!T:U,2,FALSE)</f>
        <v>258.99550706033375</v>
      </c>
      <c r="AA759">
        <f t="shared" si="22"/>
        <v>0.83590551181102402</v>
      </c>
    </row>
    <row r="760" spans="1:27" hidden="1" x14ac:dyDescent="0.25">
      <c r="A760">
        <v>57</v>
      </c>
      <c r="B760">
        <v>607</v>
      </c>
      <c r="C760" t="s">
        <v>20</v>
      </c>
      <c r="D760">
        <v>25112</v>
      </c>
      <c r="E760">
        <f t="shared" si="23"/>
        <v>25112607</v>
      </c>
      <c r="F760">
        <f>VLOOKUP(E760,YieldData!D:F,2,FALSE)</f>
        <v>1</v>
      </c>
      <c r="G760">
        <f>VLOOKUP($E760,YieldData!$D:$F,3,FALSE)</f>
        <v>2</v>
      </c>
      <c r="H760">
        <v>30</v>
      </c>
      <c r="I760" t="s">
        <v>21</v>
      </c>
      <c r="J760" t="s">
        <v>22</v>
      </c>
      <c r="K760" s="2">
        <v>12293.0099637681</v>
      </c>
      <c r="L760" s="2">
        <v>167495513.758773</v>
      </c>
      <c r="M760" s="3">
        <v>8784.7533085932591</v>
      </c>
      <c r="N760" s="3">
        <v>93262398.414343402</v>
      </c>
      <c r="O760" s="4">
        <v>5.12116919205114E-2</v>
      </c>
      <c r="P760" s="4">
        <v>3.4728968619341397E-2</v>
      </c>
      <c r="Q760" s="5">
        <v>-6.2310854870310899E-2</v>
      </c>
      <c r="R760" s="5">
        <v>1.90783187314075E-3</v>
      </c>
      <c r="S760" s="6">
        <v>0.26562248528561699</v>
      </c>
      <c r="T760" s="6">
        <v>0.105720126192192</v>
      </c>
      <c r="U760" s="7">
        <v>0.35866820377689901</v>
      </c>
      <c r="V760" s="7">
        <v>0.23002532337607601</v>
      </c>
      <c r="W760" s="8">
        <v>0.78721010017839999</v>
      </c>
      <c r="X760" s="8">
        <v>0.167510358355309</v>
      </c>
      <c r="Y760" s="2">
        <v>46</v>
      </c>
      <c r="Z760" s="2">
        <f>VLOOKUP(E760,YieldData!T:U,2,FALSE)</f>
        <v>1494.5314505776639</v>
      </c>
      <c r="AA760">
        <f t="shared" si="22"/>
        <v>0.50546796745290101</v>
      </c>
    </row>
    <row r="761" spans="1:27" hidden="1" x14ac:dyDescent="0.25">
      <c r="A761">
        <v>58</v>
      </c>
      <c r="B761">
        <v>608</v>
      </c>
      <c r="C761" t="s">
        <v>20</v>
      </c>
      <c r="D761">
        <v>25112</v>
      </c>
      <c r="E761">
        <f t="shared" si="23"/>
        <v>25112608</v>
      </c>
      <c r="F761">
        <f>VLOOKUP(E761,YieldData!D:F,2,FALSE)</f>
        <v>2</v>
      </c>
      <c r="G761">
        <f>VLOOKUP($E761,YieldData!$D:$F,3,FALSE)</f>
        <v>2</v>
      </c>
      <c r="H761">
        <v>30</v>
      </c>
      <c r="I761" t="s">
        <v>21</v>
      </c>
      <c r="J761" t="s">
        <v>22</v>
      </c>
      <c r="K761" s="2">
        <v>16047.057018711699</v>
      </c>
      <c r="L761" s="2">
        <v>175983330.19845101</v>
      </c>
      <c r="M761" s="3">
        <v>5772.9386665731899</v>
      </c>
      <c r="N761" s="3">
        <v>107174704.084557</v>
      </c>
      <c r="O761" s="4">
        <v>0.11796134622519</v>
      </c>
      <c r="P761" s="4">
        <v>4.2640242472857297E-2</v>
      </c>
      <c r="Q761" s="5">
        <v>-4.5169017139509403E-2</v>
      </c>
      <c r="R761" s="5">
        <v>2.0034682391545299E-3</v>
      </c>
      <c r="S761" s="6">
        <v>0.392183059000005</v>
      </c>
      <c r="T761" s="6">
        <v>0.11943077934541201</v>
      </c>
      <c r="U761" s="7">
        <v>0.50599114037423398</v>
      </c>
      <c r="V761" s="7">
        <v>0.249964106236887</v>
      </c>
      <c r="W761" s="8">
        <v>0.60069225928256798</v>
      </c>
      <c r="X761" s="8">
        <v>0.239861068920589</v>
      </c>
      <c r="Y761" s="2">
        <v>21</v>
      </c>
      <c r="Z761" s="2">
        <f>VLOOKUP(E761,YieldData!T:U,2,FALSE)</f>
        <v>1636.4489730423622</v>
      </c>
      <c r="AA761">
        <f t="shared" si="22"/>
        <v>0.63237323006172097</v>
      </c>
    </row>
    <row r="762" spans="1:27" hidden="1" x14ac:dyDescent="0.25">
      <c r="A762">
        <v>59</v>
      </c>
      <c r="B762">
        <v>609</v>
      </c>
      <c r="C762" t="s">
        <v>20</v>
      </c>
      <c r="D762">
        <v>25112</v>
      </c>
      <c r="E762">
        <f t="shared" si="23"/>
        <v>25112609</v>
      </c>
      <c r="F762">
        <f>VLOOKUP(E762,YieldData!D:F,2,FALSE)</f>
        <v>4</v>
      </c>
      <c r="G762">
        <f>VLOOKUP($E762,YieldData!$D:$F,3,FALSE)</f>
        <v>3</v>
      </c>
      <c r="H762">
        <v>30</v>
      </c>
      <c r="I762" t="s">
        <v>21</v>
      </c>
      <c r="J762" t="s">
        <v>22</v>
      </c>
      <c r="K762" s="2">
        <v>17040.081879900899</v>
      </c>
      <c r="L762" s="2">
        <v>165429816.63308999</v>
      </c>
      <c r="M762" s="3">
        <v>4564.74094190702</v>
      </c>
      <c r="N762" s="3">
        <v>93527232.720773205</v>
      </c>
      <c r="O762" s="4">
        <v>0.17495932909971401</v>
      </c>
      <c r="P762" s="4">
        <v>4.0106545713870199E-2</v>
      </c>
      <c r="Q762" s="5">
        <v>-3.4281423433242197E-2</v>
      </c>
      <c r="R762" s="5">
        <v>2.2460699295517401E-3</v>
      </c>
      <c r="S762" s="6">
        <v>0.456611295582875</v>
      </c>
      <c r="T762" s="6">
        <v>9.5374033124889193E-2</v>
      </c>
      <c r="U762" s="7">
        <v>0.54566922060087997</v>
      </c>
      <c r="V762" s="7">
        <v>0.24791432228954099</v>
      </c>
      <c r="W762" s="8">
        <v>0.48752470672793102</v>
      </c>
      <c r="X762" s="8">
        <v>0.24984436705791399</v>
      </c>
      <c r="Y762" s="2">
        <v>15</v>
      </c>
      <c r="Z762" s="2">
        <f>VLOOKUP(E762,YieldData!T:U,2,FALSE)</f>
        <v>428.16431322207961</v>
      </c>
      <c r="AA762">
        <f t="shared" si="22"/>
        <v>0.74996470784512503</v>
      </c>
    </row>
    <row r="763" spans="1:27" hidden="1" x14ac:dyDescent="0.25">
      <c r="A763">
        <v>60</v>
      </c>
      <c r="B763">
        <v>610</v>
      </c>
      <c r="C763" t="s">
        <v>20</v>
      </c>
      <c r="D763">
        <v>25112</v>
      </c>
      <c r="E763">
        <f t="shared" si="23"/>
        <v>25112610</v>
      </c>
      <c r="F763">
        <f>VLOOKUP(E763,YieldData!D:F,2,FALSE)</f>
        <v>3</v>
      </c>
      <c r="G763">
        <f>VLOOKUP($E763,YieldData!$D:$F,3,FALSE)</f>
        <v>3</v>
      </c>
      <c r="H763">
        <v>30</v>
      </c>
      <c r="I763" t="s">
        <v>21</v>
      </c>
      <c r="J763" t="s">
        <v>22</v>
      </c>
      <c r="K763" s="2">
        <v>9343.5742279188798</v>
      </c>
      <c r="L763" s="2">
        <v>95280631.681393206</v>
      </c>
      <c r="M763" s="3">
        <v>9029.1067232837704</v>
      </c>
      <c r="N763" s="3">
        <v>67787619.091097698</v>
      </c>
      <c r="O763" s="4">
        <v>0.109068581268449</v>
      </c>
      <c r="P763" s="4">
        <v>3.27958979684232E-2</v>
      </c>
      <c r="Q763" s="5">
        <v>-3.4343562471361402E-2</v>
      </c>
      <c r="R763" s="5">
        <v>1.9004974290887499E-3</v>
      </c>
      <c r="S763" s="6">
        <v>0.33300210088721899</v>
      </c>
      <c r="T763" s="6">
        <v>8.1257329572169107E-2</v>
      </c>
      <c r="U763" s="7">
        <v>0.34214204710288298</v>
      </c>
      <c r="V763" s="7">
        <v>0.225080866706901</v>
      </c>
      <c r="W763" s="8">
        <v>0.87422038792705603</v>
      </c>
      <c r="X763" s="8">
        <v>0.10995910125942</v>
      </c>
      <c r="Y763" s="2">
        <v>49</v>
      </c>
      <c r="Z763" s="2">
        <f>VLOOKUP(E763,YieldData!T:U,2,FALSE)</f>
        <v>2054.942233632863</v>
      </c>
      <c r="AA763">
        <f t="shared" si="22"/>
        <v>0.57715333087188103</v>
      </c>
    </row>
    <row r="764" spans="1:27" hidden="1" x14ac:dyDescent="0.25">
      <c r="A764">
        <v>61</v>
      </c>
      <c r="B764">
        <v>701</v>
      </c>
      <c r="C764" t="s">
        <v>20</v>
      </c>
      <c r="D764" t="s">
        <v>100</v>
      </c>
      <c r="E764" t="e">
        <f t="shared" si="23"/>
        <v>#VALUE!</v>
      </c>
      <c r="H764">
        <v>30</v>
      </c>
      <c r="I764" t="s">
        <v>21</v>
      </c>
      <c r="J764" t="s">
        <v>22</v>
      </c>
      <c r="K764" s="2">
        <v>10646.143316748799</v>
      </c>
      <c r="L764" s="2">
        <v>125269019.28626899</v>
      </c>
      <c r="M764" s="3">
        <v>7081.5166167425496</v>
      </c>
      <c r="N764" s="3">
        <v>74978809.160774007</v>
      </c>
      <c r="O764" s="4">
        <v>0.152706287576026</v>
      </c>
      <c r="P764" s="4">
        <v>3.6568917424046499E-2</v>
      </c>
      <c r="Q764" s="5">
        <v>-2.4756734552861499E-2</v>
      </c>
      <c r="R764" s="5">
        <v>1.7383752739547401E-3</v>
      </c>
      <c r="S764" s="6">
        <v>0.38297956340059103</v>
      </c>
      <c r="T764" s="6">
        <v>9.30961906241526E-2</v>
      </c>
      <c r="U764" s="7">
        <v>0.40896043630100898</v>
      </c>
      <c r="V764" s="7">
        <v>0.24171179784153199</v>
      </c>
      <c r="W764" s="8">
        <v>0.79439587643661003</v>
      </c>
      <c r="X764" s="8">
        <v>0.163331067936861</v>
      </c>
      <c r="Y764" s="2">
        <v>40</v>
      </c>
      <c r="Z764" s="2" t="e">
        <f>VLOOKUP(E764,YieldData!T:U,2,FALSE)</f>
        <v>#VALUE!</v>
      </c>
      <c r="AA764">
        <f t="shared" si="22"/>
        <v>0.913534329143595</v>
      </c>
    </row>
    <row r="765" spans="1:27" hidden="1" x14ac:dyDescent="0.25">
      <c r="A765">
        <v>62</v>
      </c>
      <c r="B765">
        <v>702</v>
      </c>
      <c r="C765" t="s">
        <v>20</v>
      </c>
      <c r="D765" t="s">
        <v>100</v>
      </c>
      <c r="E765" t="e">
        <f t="shared" si="23"/>
        <v>#VALUE!</v>
      </c>
      <c r="H765">
        <v>30</v>
      </c>
      <c r="I765" t="s">
        <v>21</v>
      </c>
      <c r="J765" t="s">
        <v>22</v>
      </c>
      <c r="K765" s="2">
        <v>15767.968850318</v>
      </c>
      <c r="L765" s="2">
        <v>181332452.17255101</v>
      </c>
      <c r="M765" s="3">
        <v>5490.5527865929698</v>
      </c>
      <c r="N765" s="3">
        <v>93647908.784087107</v>
      </c>
      <c r="O765" s="4">
        <v>0.17877881965081499</v>
      </c>
      <c r="P765" s="4">
        <v>3.0130521209441801E-2</v>
      </c>
      <c r="Q765" s="5">
        <v>-1.8347318341378101E-2</v>
      </c>
      <c r="R765" s="5">
        <v>1.8093014405179801E-3</v>
      </c>
      <c r="S765" s="6">
        <v>0.44110554190434798</v>
      </c>
      <c r="T765" s="6">
        <v>9.0189953536648299E-2</v>
      </c>
      <c r="U765" s="7">
        <v>0.50366789947148105</v>
      </c>
      <c r="V765" s="7">
        <v>0.24998654651362401</v>
      </c>
      <c r="W765" s="8">
        <v>0.60740921574610895</v>
      </c>
      <c r="X765" s="8">
        <v>0.23846326037290699</v>
      </c>
      <c r="Y765" s="2">
        <v>23</v>
      </c>
      <c r="Z765" s="2" t="e">
        <f>VLOOKUP(E765,YieldData!T:U,2,FALSE)</f>
        <v>#VALUE!</v>
      </c>
      <c r="AA765">
        <f t="shared" si="22"/>
        <v>0.913534329143595</v>
      </c>
    </row>
    <row r="766" spans="1:27" hidden="1" x14ac:dyDescent="0.25">
      <c r="A766">
        <v>63</v>
      </c>
      <c r="B766">
        <v>703</v>
      </c>
      <c r="C766" t="s">
        <v>20</v>
      </c>
      <c r="D766" t="s">
        <v>100</v>
      </c>
      <c r="E766" t="e">
        <f t="shared" si="23"/>
        <v>#VALUE!</v>
      </c>
      <c r="H766">
        <v>30</v>
      </c>
      <c r="I766" t="s">
        <v>21</v>
      </c>
      <c r="J766" t="s">
        <v>22</v>
      </c>
      <c r="K766" s="2">
        <v>12791.766320270701</v>
      </c>
      <c r="L766" s="2">
        <v>149001231.59315699</v>
      </c>
      <c r="M766" s="3">
        <v>6673.5078341651897</v>
      </c>
      <c r="N766" s="3">
        <v>96573433.156417593</v>
      </c>
      <c r="O766" s="4">
        <v>0.162365789795646</v>
      </c>
      <c r="P766" s="4">
        <v>3.67545767883923E-2</v>
      </c>
      <c r="Q766" s="5">
        <v>-2.0629464194059699E-2</v>
      </c>
      <c r="R766" s="5">
        <v>2.0356688348113802E-3</v>
      </c>
      <c r="S766" s="6">
        <v>0.382368301597311</v>
      </c>
      <c r="T766" s="6">
        <v>9.79331737703769E-2</v>
      </c>
      <c r="U766" s="7">
        <v>0.419477894837545</v>
      </c>
      <c r="V766" s="7">
        <v>0.24351619058014001</v>
      </c>
      <c r="W766" s="8">
        <v>0.58199976079416305</v>
      </c>
      <c r="X766" s="8">
        <v>0.24327603922994001</v>
      </c>
      <c r="Y766" s="2">
        <v>23</v>
      </c>
      <c r="Z766" s="2" t="e">
        <f>VLOOKUP(E766,YieldData!T:U,2,FALSE)</f>
        <v>#VALUE!</v>
      </c>
      <c r="AA766">
        <f t="shared" si="22"/>
        <v>0.913534329143595</v>
      </c>
    </row>
    <row r="767" spans="1:27" hidden="1" x14ac:dyDescent="0.25">
      <c r="A767">
        <v>64</v>
      </c>
      <c r="B767">
        <v>704</v>
      </c>
      <c r="C767" t="s">
        <v>20</v>
      </c>
      <c r="D767" t="s">
        <v>100</v>
      </c>
      <c r="E767" t="e">
        <f t="shared" si="23"/>
        <v>#VALUE!</v>
      </c>
      <c r="H767">
        <v>30</v>
      </c>
      <c r="I767" t="s">
        <v>21</v>
      </c>
      <c r="J767" t="s">
        <v>22</v>
      </c>
      <c r="K767" s="2">
        <v>12010.8108301264</v>
      </c>
      <c r="L767" s="2">
        <v>131315804.795689</v>
      </c>
      <c r="M767" s="3">
        <v>8209.0498682868092</v>
      </c>
      <c r="N767" s="3">
        <v>106440511.706706</v>
      </c>
      <c r="O767" s="4">
        <v>0.11424851246278001</v>
      </c>
      <c r="P767" s="4">
        <v>4.3881416942981297E-2</v>
      </c>
      <c r="Q767" s="5">
        <v>-4.3636133702752801E-2</v>
      </c>
      <c r="R767" s="5">
        <v>2.2232210864314901E-3</v>
      </c>
      <c r="S767" s="6">
        <v>0.33014252524754201</v>
      </c>
      <c r="T767" s="6">
        <v>0.12000704333425299</v>
      </c>
      <c r="U767" s="7">
        <v>0.41771577789994502</v>
      </c>
      <c r="V767" s="7">
        <v>0.24322930679354801</v>
      </c>
      <c r="W767" s="8">
        <v>0.91900174529663203</v>
      </c>
      <c r="X767" s="8">
        <v>7.4437537438100401E-2</v>
      </c>
      <c r="Y767" s="2">
        <v>40</v>
      </c>
      <c r="Z767" s="2" t="e">
        <f>VLOOKUP(E767,YieldData!T:U,2,FALSE)</f>
        <v>#VALUE!</v>
      </c>
      <c r="AA767">
        <f t="shared" si="22"/>
        <v>0.913534329143595</v>
      </c>
    </row>
    <row r="768" spans="1:27" hidden="1" x14ac:dyDescent="0.25">
      <c r="A768">
        <v>65</v>
      </c>
      <c r="B768">
        <v>705</v>
      </c>
      <c r="C768" t="s">
        <v>20</v>
      </c>
      <c r="D768" t="s">
        <v>100</v>
      </c>
      <c r="E768" t="e">
        <f t="shared" si="23"/>
        <v>#VALUE!</v>
      </c>
      <c r="H768">
        <v>30</v>
      </c>
      <c r="I768" t="s">
        <v>21</v>
      </c>
      <c r="J768" t="s">
        <v>22</v>
      </c>
      <c r="K768" s="2">
        <v>15773.7160246312</v>
      </c>
      <c r="L768" s="2">
        <v>160881598.88720199</v>
      </c>
      <c r="M768" s="3">
        <v>4843.1848343233196</v>
      </c>
      <c r="N768" s="3">
        <v>85436113.481408894</v>
      </c>
      <c r="O768" s="4">
        <v>0.16223142191467399</v>
      </c>
      <c r="P768" s="4">
        <v>3.0909683719533902E-2</v>
      </c>
      <c r="Q768" s="5">
        <v>-3.7273926265174902E-2</v>
      </c>
      <c r="R768" s="5">
        <v>1.80738671953157E-3</v>
      </c>
      <c r="S768" s="6">
        <v>0.41195885401594201</v>
      </c>
      <c r="T768" s="6">
        <v>9.8245235025342395E-2</v>
      </c>
      <c r="U768" s="7">
        <v>0.502323825394139</v>
      </c>
      <c r="V768" s="7">
        <v>0.24999459983546801</v>
      </c>
      <c r="W768" s="8">
        <v>0.95054093814688001</v>
      </c>
      <c r="X768" s="8">
        <v>4.7012863053835001E-2</v>
      </c>
      <c r="Y768" s="2">
        <v>58</v>
      </c>
      <c r="Z768" s="2" t="e">
        <f>VLOOKUP(E768,YieldData!T:U,2,FALSE)</f>
        <v>#VALUE!</v>
      </c>
      <c r="AA768">
        <f t="shared" si="22"/>
        <v>0.913534329143595</v>
      </c>
    </row>
    <row r="769" spans="1:27" hidden="1" x14ac:dyDescent="0.25">
      <c r="A769">
        <v>66</v>
      </c>
      <c r="B769">
        <v>706</v>
      </c>
      <c r="C769" t="s">
        <v>20</v>
      </c>
      <c r="D769" t="s">
        <v>100</v>
      </c>
      <c r="E769" t="e">
        <f t="shared" si="23"/>
        <v>#VALUE!</v>
      </c>
      <c r="H769">
        <v>30</v>
      </c>
      <c r="I769" t="s">
        <v>21</v>
      </c>
      <c r="J769" t="s">
        <v>22</v>
      </c>
      <c r="K769" s="2">
        <v>16741.9945130837</v>
      </c>
      <c r="L769" s="2">
        <v>166494423.71674001</v>
      </c>
      <c r="M769" s="3">
        <v>3588.5772581953402</v>
      </c>
      <c r="N769" s="3">
        <v>91743924.592675894</v>
      </c>
      <c r="O769" s="4">
        <v>0.18285191107041701</v>
      </c>
      <c r="P769" s="4">
        <v>3.5262695125488297E-2</v>
      </c>
      <c r="Q769" s="5">
        <v>-3.2404081256358602E-2</v>
      </c>
      <c r="R769" s="5">
        <v>1.9974098576269702E-3</v>
      </c>
      <c r="S769" s="6">
        <v>0.44296248667284499</v>
      </c>
      <c r="T769" s="6">
        <v>9.9767925226263099E-2</v>
      </c>
      <c r="U769" s="7">
        <v>0.54338212000253405</v>
      </c>
      <c r="V769" s="7">
        <v>0.248117991664011</v>
      </c>
      <c r="W769" s="8">
        <v>0.801041547876991</v>
      </c>
      <c r="X769" s="8">
        <v>0.15937398645152201</v>
      </c>
      <c r="Y769" s="2">
        <v>34</v>
      </c>
      <c r="Z769" s="2" t="e">
        <f>VLOOKUP(E769,YieldData!T:U,2,FALSE)</f>
        <v>#VALUE!</v>
      </c>
      <c r="AA769">
        <f t="shared" si="22"/>
        <v>0.913534329143595</v>
      </c>
    </row>
    <row r="770" spans="1:27" hidden="1" x14ac:dyDescent="0.25">
      <c r="A770">
        <v>67</v>
      </c>
      <c r="B770">
        <v>707</v>
      </c>
      <c r="C770" t="s">
        <v>20</v>
      </c>
      <c r="D770" t="s">
        <v>100</v>
      </c>
      <c r="E770" t="e">
        <f t="shared" si="23"/>
        <v>#VALUE!</v>
      </c>
      <c r="H770">
        <v>30</v>
      </c>
      <c r="I770" t="s">
        <v>21</v>
      </c>
      <c r="J770" t="s">
        <v>22</v>
      </c>
      <c r="K770" s="2">
        <v>11913.2174750208</v>
      </c>
      <c r="L770" s="2">
        <v>139534694.75495201</v>
      </c>
      <c r="M770" s="3">
        <v>8305.4355153761408</v>
      </c>
      <c r="N770" s="3">
        <v>83929923.303096399</v>
      </c>
      <c r="O770" s="4">
        <v>8.4507943532983604E-2</v>
      </c>
      <c r="P770" s="4">
        <v>3.1973953663533901E-2</v>
      </c>
      <c r="Q770" s="5">
        <v>-4.8288733794568502E-2</v>
      </c>
      <c r="R770" s="5">
        <v>1.88392995841313E-3</v>
      </c>
      <c r="S770" s="6">
        <v>0.29816688573380001</v>
      </c>
      <c r="T770" s="6">
        <v>9.4016288307586696E-2</v>
      </c>
      <c r="U770" s="7">
        <v>0.36711594504579498</v>
      </c>
      <c r="V770" s="7">
        <v>0.23234182793890901</v>
      </c>
      <c r="W770" s="8">
        <v>0.87646033356750697</v>
      </c>
      <c r="X770" s="8">
        <v>0.108277617250514</v>
      </c>
      <c r="Y770" s="2">
        <v>50</v>
      </c>
      <c r="Z770" s="2" t="e">
        <f>VLOOKUP(E770,YieldData!T:U,2,FALSE)</f>
        <v>#VALUE!</v>
      </c>
      <c r="AA770">
        <f t="shared" ref="AA770:AA833" si="24">_xlfn.MAXIFS(U:U,E:E,E770)</f>
        <v>0.913534329143595</v>
      </c>
    </row>
    <row r="771" spans="1:27" hidden="1" x14ac:dyDescent="0.25">
      <c r="A771">
        <v>68</v>
      </c>
      <c r="B771">
        <v>708</v>
      </c>
      <c r="C771" t="s">
        <v>20</v>
      </c>
      <c r="D771" t="s">
        <v>100</v>
      </c>
      <c r="E771" t="e">
        <f t="shared" ref="E771:E834" si="25">D771*1000+B771</f>
        <v>#VALUE!</v>
      </c>
      <c r="H771">
        <v>30</v>
      </c>
      <c r="I771" t="s">
        <v>21</v>
      </c>
      <c r="J771" t="s">
        <v>22</v>
      </c>
      <c r="K771" s="2">
        <v>11807.2566436243</v>
      </c>
      <c r="L771" s="2">
        <v>148352334.89472601</v>
      </c>
      <c r="M771" s="3">
        <v>8338.2042894111091</v>
      </c>
      <c r="N771" s="3">
        <v>94373304.591921598</v>
      </c>
      <c r="O771" s="4">
        <v>8.4281520961253895E-2</v>
      </c>
      <c r="P771" s="4">
        <v>3.6622064478356899E-2</v>
      </c>
      <c r="Q771" s="5">
        <v>-4.5762408329485901E-2</v>
      </c>
      <c r="R771" s="5">
        <v>1.7239581511854401E-3</v>
      </c>
      <c r="S771" s="6">
        <v>0.3119765450384</v>
      </c>
      <c r="T771" s="6">
        <v>0.10606040161868401</v>
      </c>
      <c r="U771" s="7">
        <v>0.372126677350683</v>
      </c>
      <c r="V771" s="7">
        <v>0.233648413354345</v>
      </c>
      <c r="W771" s="8">
        <v>0.61229518000239203</v>
      </c>
      <c r="X771" s="8">
        <v>0.237389792548338</v>
      </c>
      <c r="Y771" s="2">
        <v>16</v>
      </c>
      <c r="Z771" s="2" t="e">
        <f>VLOOKUP(E771,YieldData!T:U,2,FALSE)</f>
        <v>#VALUE!</v>
      </c>
      <c r="AA771">
        <f t="shared" si="24"/>
        <v>0.913534329143595</v>
      </c>
    </row>
    <row r="772" spans="1:27" hidden="1" x14ac:dyDescent="0.25">
      <c r="A772">
        <v>69</v>
      </c>
      <c r="B772">
        <v>709</v>
      </c>
      <c r="C772" t="s">
        <v>20</v>
      </c>
      <c r="D772">
        <v>25112</v>
      </c>
      <c r="E772">
        <f t="shared" si="25"/>
        <v>25112709</v>
      </c>
      <c r="F772">
        <f>VLOOKUP(E772,YieldData!D:F,2,FALSE)</f>
        <v>2</v>
      </c>
      <c r="G772">
        <f>VLOOKUP($E772,YieldData!$D:$F,3,FALSE)</f>
        <v>3</v>
      </c>
      <c r="H772">
        <v>30</v>
      </c>
      <c r="I772" t="s">
        <v>21</v>
      </c>
      <c r="J772" t="s">
        <v>22</v>
      </c>
      <c r="K772" s="2">
        <v>11648.2920641288</v>
      </c>
      <c r="L772" s="2">
        <v>101429097.79158001</v>
      </c>
      <c r="M772" s="3">
        <v>6927.9983016306696</v>
      </c>
      <c r="N772" s="3">
        <v>78603183.564231396</v>
      </c>
      <c r="O772" s="4">
        <v>0.167299860184142</v>
      </c>
      <c r="P772" s="4">
        <v>4.4841900717036302E-2</v>
      </c>
      <c r="Q772" s="5">
        <v>-2.29416417504647E-2</v>
      </c>
      <c r="R772" s="5">
        <v>2.48705919224659E-3</v>
      </c>
      <c r="S772" s="6">
        <v>0.40099806593564502</v>
      </c>
      <c r="T772" s="6">
        <v>8.9506056955494906E-2</v>
      </c>
      <c r="U772" s="7">
        <v>0.45539441192323599</v>
      </c>
      <c r="V772" s="7">
        <v>0.24801034151208601</v>
      </c>
      <c r="W772" s="8">
        <v>0.66196653506298198</v>
      </c>
      <c r="X772" s="8">
        <v>0.22376684151971701</v>
      </c>
      <c r="Y772" s="2">
        <v>21</v>
      </c>
      <c r="Z772" s="2">
        <f>VLOOKUP(E772,YieldData!T:U,2,FALSE)</f>
        <v>1822.0876123234914</v>
      </c>
      <c r="AA772">
        <f t="shared" si="24"/>
        <v>0.67412448923316004</v>
      </c>
    </row>
    <row r="773" spans="1:27" hidden="1" x14ac:dyDescent="0.25">
      <c r="A773">
        <v>70</v>
      </c>
      <c r="B773">
        <v>710</v>
      </c>
      <c r="C773" t="s">
        <v>20</v>
      </c>
      <c r="D773">
        <v>25112</v>
      </c>
      <c r="E773">
        <f t="shared" si="25"/>
        <v>25112710</v>
      </c>
      <c r="F773">
        <f>VLOOKUP(E773,YieldData!D:F,2,FALSE)</f>
        <v>1</v>
      </c>
      <c r="G773">
        <f>VLOOKUP($E773,YieldData!$D:$F,3,FALSE)</f>
        <v>3</v>
      </c>
      <c r="H773">
        <v>30</v>
      </c>
      <c r="I773" t="s">
        <v>21</v>
      </c>
      <c r="J773" t="s">
        <v>22</v>
      </c>
      <c r="K773" s="2">
        <v>10831.056371733501</v>
      </c>
      <c r="L773" s="2">
        <v>104923030.46226899</v>
      </c>
      <c r="M773" s="3">
        <v>6575.2025648986601</v>
      </c>
      <c r="N773" s="3">
        <v>66444192.542056799</v>
      </c>
      <c r="O773" s="4">
        <v>0.176404437311591</v>
      </c>
      <c r="P773" s="4">
        <v>3.6507102562470098E-2</v>
      </c>
      <c r="Q773" s="5">
        <v>-1.6395559786257501E-2</v>
      </c>
      <c r="R773" s="5">
        <v>1.9302650467683E-3</v>
      </c>
      <c r="S773" s="6">
        <v>0.417964206901623</v>
      </c>
      <c r="T773" s="6">
        <v>8.2956392191274E-2</v>
      </c>
      <c r="U773" s="7">
        <v>0.42898825215633102</v>
      </c>
      <c r="V773" s="7">
        <v>0.244957331668339</v>
      </c>
      <c r="W773" s="8">
        <v>0.71122002405753304</v>
      </c>
      <c r="X773" s="8">
        <v>0.20538610143713501</v>
      </c>
      <c r="Y773" s="2">
        <v>25</v>
      </c>
      <c r="Z773" s="2">
        <f>VLOOKUP(E773,YieldData!T:U,2,FALSE)</f>
        <v>1640.641848523748</v>
      </c>
      <c r="AA773">
        <f t="shared" si="24"/>
        <v>0.55894961800801102</v>
      </c>
    </row>
    <row r="774" spans="1:27" hidden="1" x14ac:dyDescent="0.25">
      <c r="A774">
        <v>71</v>
      </c>
      <c r="B774">
        <v>801</v>
      </c>
      <c r="C774" t="s">
        <v>20</v>
      </c>
      <c r="D774">
        <v>25113</v>
      </c>
      <c r="E774">
        <f t="shared" si="25"/>
        <v>25113801</v>
      </c>
      <c r="F774">
        <f>VLOOKUP(E774,YieldData!D:F,2,FALSE)</f>
        <v>1</v>
      </c>
      <c r="G774">
        <f>VLOOKUP($E774,YieldData!$D:$F,3,FALSE)</f>
        <v>1</v>
      </c>
      <c r="H774">
        <v>30</v>
      </c>
      <c r="I774" t="s">
        <v>21</v>
      </c>
      <c r="J774" t="s">
        <v>22</v>
      </c>
      <c r="K774" s="2">
        <v>12535.141728407199</v>
      </c>
      <c r="L774" s="2">
        <v>155339948.40999499</v>
      </c>
      <c r="M774" s="3">
        <v>6347.2919834212498</v>
      </c>
      <c r="N774" s="3">
        <v>70752916.327358797</v>
      </c>
      <c r="O774" s="4">
        <v>0.13419602925201801</v>
      </c>
      <c r="P774" s="4">
        <v>2.9184475713887201E-2</v>
      </c>
      <c r="Q774" s="5">
        <v>-2.75607987628298E-2</v>
      </c>
      <c r="R774" s="5">
        <v>1.67730521286585E-3</v>
      </c>
      <c r="S774" s="6">
        <v>0.38569595487809999</v>
      </c>
      <c r="T774" s="6">
        <v>8.8331357768425503E-2</v>
      </c>
      <c r="U774" s="7">
        <v>0.41722253673665299</v>
      </c>
      <c r="V774" s="7">
        <v>0.24314789157597599</v>
      </c>
      <c r="W774" s="8">
        <v>0.87461999532301904</v>
      </c>
      <c r="X774" s="8">
        <v>0.109659859104455</v>
      </c>
      <c r="Y774" s="2">
        <v>62</v>
      </c>
      <c r="Z774" s="2">
        <f>VLOOKUP(E774,YieldData!T:U,2,FALSE)</f>
        <v>2262.7551347881895</v>
      </c>
      <c r="AA774">
        <f t="shared" si="24"/>
        <v>0.68267076923076897</v>
      </c>
    </row>
    <row r="775" spans="1:27" hidden="1" x14ac:dyDescent="0.25">
      <c r="A775">
        <v>72</v>
      </c>
      <c r="B775">
        <v>802</v>
      </c>
      <c r="C775" t="s">
        <v>20</v>
      </c>
      <c r="D775">
        <v>25113</v>
      </c>
      <c r="E775">
        <f t="shared" si="25"/>
        <v>25113802</v>
      </c>
      <c r="F775">
        <f>VLOOKUP(E775,YieldData!D:F,2,FALSE)</f>
        <v>2</v>
      </c>
      <c r="G775">
        <f>VLOOKUP($E775,YieldData!$D:$F,3,FALSE)</f>
        <v>1</v>
      </c>
      <c r="H775">
        <v>30</v>
      </c>
      <c r="I775" t="s">
        <v>21</v>
      </c>
      <c r="J775" t="s">
        <v>22</v>
      </c>
      <c r="K775" s="2">
        <v>11735.6163791497</v>
      </c>
      <c r="L775" s="2">
        <v>140864391.096075</v>
      </c>
      <c r="M775" s="3">
        <v>7497.9832237810497</v>
      </c>
      <c r="N775" s="3">
        <v>94750302.097231001</v>
      </c>
      <c r="O775" s="4">
        <v>0.14961376200304299</v>
      </c>
      <c r="P775" s="4">
        <v>4.1941354181642798E-2</v>
      </c>
      <c r="Q775" s="5">
        <v>-1.8920930739874001E-2</v>
      </c>
      <c r="R775" s="5">
        <v>2.2024894329907298E-3</v>
      </c>
      <c r="S775" s="6">
        <v>0.370885251590861</v>
      </c>
      <c r="T775" s="6">
        <v>0.103384751028093</v>
      </c>
      <c r="U775" s="7">
        <v>0.39497249028155501</v>
      </c>
      <c r="V775" s="7">
        <v>0.238969222202355</v>
      </c>
      <c r="W775" s="8">
        <v>0.70795350108050403</v>
      </c>
      <c r="X775" s="8">
        <v>0.20675534138842</v>
      </c>
      <c r="Y775" s="2">
        <v>23</v>
      </c>
      <c r="Z775" s="2">
        <f>VLOOKUP(E775,YieldData!T:U,2,FALSE)</f>
        <v>1414.4736842105262</v>
      </c>
      <c r="AA775">
        <f t="shared" si="24"/>
        <v>0.68109840157979096</v>
      </c>
    </row>
    <row r="776" spans="1:27" hidden="1" x14ac:dyDescent="0.25">
      <c r="A776">
        <v>73</v>
      </c>
      <c r="B776">
        <v>803</v>
      </c>
      <c r="C776" t="s">
        <v>20</v>
      </c>
      <c r="D776">
        <v>25113</v>
      </c>
      <c r="E776">
        <f t="shared" si="25"/>
        <v>25113803</v>
      </c>
      <c r="F776">
        <f>VLOOKUP(E776,YieldData!D:F,2,FALSE)</f>
        <v>3</v>
      </c>
      <c r="G776">
        <f>VLOOKUP($E776,YieldData!$D:$F,3,FALSE)</f>
        <v>1</v>
      </c>
      <c r="H776">
        <v>30</v>
      </c>
      <c r="I776" t="s">
        <v>21</v>
      </c>
      <c r="J776" t="s">
        <v>22</v>
      </c>
      <c r="K776" s="2">
        <v>16107.0673795169</v>
      </c>
      <c r="L776" s="2">
        <v>189078914.66392899</v>
      </c>
      <c r="M776" s="3">
        <v>4246.3103952097099</v>
      </c>
      <c r="N776" s="3">
        <v>93396193.932799995</v>
      </c>
      <c r="O776" s="4">
        <v>0.193186689734474</v>
      </c>
      <c r="P776" s="4">
        <v>2.97318453905198E-2</v>
      </c>
      <c r="Q776" s="5">
        <v>-1.3780329036106599E-2</v>
      </c>
      <c r="R776" s="5">
        <v>2.0675967808047699E-3</v>
      </c>
      <c r="S776" s="6">
        <v>0.45042812398948401</v>
      </c>
      <c r="T776" s="6">
        <v>8.8465381441842406E-2</v>
      </c>
      <c r="U776" s="7">
        <v>0.496201923684576</v>
      </c>
      <c r="V776" s="7">
        <v>0.24998557461642801</v>
      </c>
      <c r="W776" s="8">
        <v>0.65991733970348498</v>
      </c>
      <c r="X776" s="8">
        <v>0.22442644446191201</v>
      </c>
      <c r="Y776" s="2">
        <v>23</v>
      </c>
      <c r="Z776" s="2">
        <f>VLOOKUP(E776,YieldData!T:U,2,FALSE)</f>
        <v>1660.9900513478819</v>
      </c>
      <c r="AA776">
        <f t="shared" si="24"/>
        <v>0.78146565888925401</v>
      </c>
    </row>
    <row r="777" spans="1:27" hidden="1" x14ac:dyDescent="0.25">
      <c r="A777">
        <v>74</v>
      </c>
      <c r="B777">
        <v>804</v>
      </c>
      <c r="C777" t="s">
        <v>20</v>
      </c>
      <c r="D777">
        <v>25113</v>
      </c>
      <c r="E777">
        <f t="shared" si="25"/>
        <v>25113804</v>
      </c>
      <c r="F777">
        <f>VLOOKUP(E777,YieldData!D:F,2,FALSE)</f>
        <v>3</v>
      </c>
      <c r="G777">
        <f>VLOOKUP($E777,YieldData!$D:$F,3,FALSE)</f>
        <v>2</v>
      </c>
      <c r="H777">
        <v>30</v>
      </c>
      <c r="I777" t="s">
        <v>21</v>
      </c>
      <c r="J777" t="s">
        <v>22</v>
      </c>
      <c r="K777" s="2">
        <v>16657.0760487591</v>
      </c>
      <c r="L777" s="2">
        <v>218898838.78394201</v>
      </c>
      <c r="M777" s="3">
        <v>4815.5929244108102</v>
      </c>
      <c r="N777" s="3">
        <v>102863614.852062</v>
      </c>
      <c r="O777" s="4">
        <v>0.15329455687578</v>
      </c>
      <c r="P777" s="4">
        <v>3.45281881268754E-2</v>
      </c>
      <c r="Q777" s="5">
        <v>-3.5153295398768103E-2</v>
      </c>
      <c r="R777" s="5">
        <v>2.8596927489633901E-3</v>
      </c>
      <c r="S777" s="6">
        <v>0.41733184595879003</v>
      </c>
      <c r="T777" s="6">
        <v>0.10710317495640601</v>
      </c>
      <c r="U777" s="7">
        <v>0.499396002635625</v>
      </c>
      <c r="V777" s="7">
        <v>0.249999635187244</v>
      </c>
      <c r="W777" s="8">
        <v>0.85584460155123898</v>
      </c>
      <c r="X777" s="8">
        <v>0.123374619546847</v>
      </c>
      <c r="Y777" s="2">
        <v>44</v>
      </c>
      <c r="Z777" s="2">
        <f>VLOOKUP(E777,YieldData!T:U,2,FALSE)</f>
        <v>1550.2759948652119</v>
      </c>
      <c r="AA777">
        <f t="shared" si="24"/>
        <v>0.78450725493156903</v>
      </c>
    </row>
    <row r="778" spans="1:27" hidden="1" x14ac:dyDescent="0.25">
      <c r="A778">
        <v>75</v>
      </c>
      <c r="B778">
        <v>805</v>
      </c>
      <c r="C778" t="s">
        <v>20</v>
      </c>
      <c r="D778">
        <v>25113</v>
      </c>
      <c r="E778">
        <f t="shared" si="25"/>
        <v>25113805</v>
      </c>
      <c r="F778">
        <f>VLOOKUP(E778,YieldData!D:F,2,FALSE)</f>
        <v>2</v>
      </c>
      <c r="G778">
        <f>VLOOKUP($E778,YieldData!$D:$F,3,FALSE)</f>
        <v>2</v>
      </c>
      <c r="H778">
        <v>30</v>
      </c>
      <c r="I778" t="s">
        <v>21</v>
      </c>
      <c r="J778" t="s">
        <v>22</v>
      </c>
      <c r="K778" s="2">
        <v>14831.6779949138</v>
      </c>
      <c r="L778" s="2">
        <v>193221375.66852501</v>
      </c>
      <c r="M778" s="3">
        <v>5096.1733064571399</v>
      </c>
      <c r="N778" s="3">
        <v>88113777.4996389</v>
      </c>
      <c r="O778" s="4">
        <v>0.15383213599619</v>
      </c>
      <c r="P778" s="4">
        <v>3.2647592241012803E-2</v>
      </c>
      <c r="Q778" s="5">
        <v>-2.96067760489226E-2</v>
      </c>
      <c r="R778" s="5">
        <v>2.80478607457035E-3</v>
      </c>
      <c r="S778" s="6">
        <v>0.39363956682118101</v>
      </c>
      <c r="T778" s="6">
        <v>0.101120763738157</v>
      </c>
      <c r="U778" s="7">
        <v>0.45134837419933899</v>
      </c>
      <c r="V778" s="7">
        <v>0.24763301930664899</v>
      </c>
      <c r="W778" s="8">
        <v>0.75991024682124197</v>
      </c>
      <c r="X778" s="8">
        <v>0.18244666359752901</v>
      </c>
      <c r="Y778" s="2">
        <v>48</v>
      </c>
      <c r="Z778" s="2">
        <f>VLOOKUP(E778,YieldData!T:U,2,FALSE)</f>
        <v>1315.7814505776639</v>
      </c>
      <c r="AA778">
        <f t="shared" si="24"/>
        <v>0.77694368514816503</v>
      </c>
    </row>
    <row r="779" spans="1:27" hidden="1" x14ac:dyDescent="0.25">
      <c r="A779">
        <v>76</v>
      </c>
      <c r="B779">
        <v>806</v>
      </c>
      <c r="C779" t="s">
        <v>20</v>
      </c>
      <c r="D779">
        <v>25113</v>
      </c>
      <c r="E779">
        <f t="shared" si="25"/>
        <v>25113806</v>
      </c>
      <c r="F779">
        <f>VLOOKUP(E779,YieldData!D:F,2,FALSE)</f>
        <v>1</v>
      </c>
      <c r="G779">
        <f>VLOOKUP($E779,YieldData!$D:$F,3,FALSE)</f>
        <v>2</v>
      </c>
      <c r="H779">
        <v>30</v>
      </c>
      <c r="I779" t="s">
        <v>21</v>
      </c>
      <c r="J779" t="s">
        <v>22</v>
      </c>
      <c r="K779" s="2">
        <v>14261.233500749</v>
      </c>
      <c r="L779" s="2">
        <v>133409524.358527</v>
      </c>
      <c r="M779" s="3">
        <v>3684.9662136793199</v>
      </c>
      <c r="N779" s="3">
        <v>78464086.745303497</v>
      </c>
      <c r="O779" s="4">
        <v>0.22425766195362901</v>
      </c>
      <c r="P779" s="4">
        <v>3.9073816739617302E-2</v>
      </c>
      <c r="Q779" s="5">
        <v>-8.6000862105561904E-3</v>
      </c>
      <c r="R779" s="5">
        <v>2.4710837282680902E-3</v>
      </c>
      <c r="S779" s="6">
        <v>0.46359110566698303</v>
      </c>
      <c r="T779" s="6">
        <v>9.8889400664302907E-2</v>
      </c>
      <c r="U779" s="7">
        <v>0.52432561710912196</v>
      </c>
      <c r="V779" s="7">
        <v>0.24940826435195401</v>
      </c>
      <c r="W779" s="8">
        <v>0.75120213489086396</v>
      </c>
      <c r="X779" s="8">
        <v>0.18689748742628401</v>
      </c>
      <c r="Y779" s="2">
        <v>30</v>
      </c>
      <c r="Z779" s="2">
        <f>VLOOKUP(E779,YieldData!T:U,2,FALSE)</f>
        <v>1287.3668164313224</v>
      </c>
      <c r="AA779">
        <f t="shared" si="24"/>
        <v>0.81061416648833695</v>
      </c>
    </row>
    <row r="780" spans="1:27" hidden="1" x14ac:dyDescent="0.25">
      <c r="A780">
        <v>77</v>
      </c>
      <c r="B780">
        <v>807</v>
      </c>
      <c r="C780" t="s">
        <v>20</v>
      </c>
      <c r="D780">
        <v>25113</v>
      </c>
      <c r="E780">
        <f t="shared" si="25"/>
        <v>25113807</v>
      </c>
      <c r="F780">
        <f>VLOOKUP(E780,YieldData!D:F,2,FALSE)</f>
        <v>1</v>
      </c>
      <c r="G780">
        <f>VLOOKUP($E780,YieldData!$D:$F,3,FALSE)</f>
        <v>3</v>
      </c>
      <c r="H780">
        <v>30</v>
      </c>
      <c r="I780" t="s">
        <v>21</v>
      </c>
      <c r="J780" t="s">
        <v>22</v>
      </c>
      <c r="K780" s="2">
        <v>17443.414180075099</v>
      </c>
      <c r="L780" s="2">
        <v>207265045.846071</v>
      </c>
      <c r="M780" s="3">
        <v>4447.2085355709696</v>
      </c>
      <c r="N780" s="3">
        <v>90287843.775900096</v>
      </c>
      <c r="O780" s="4">
        <v>0.15783218826796899</v>
      </c>
      <c r="P780" s="4">
        <v>2.8792798285478802E-2</v>
      </c>
      <c r="Q780" s="5">
        <v>-3.02900618229895E-2</v>
      </c>
      <c r="R780" s="5">
        <v>2.1783365508114601E-3</v>
      </c>
      <c r="S780" s="6">
        <v>0.43288679921307999</v>
      </c>
      <c r="T780" s="6">
        <v>9.5003935573835699E-2</v>
      </c>
      <c r="U780" s="7">
        <v>0.52143485315794003</v>
      </c>
      <c r="V780" s="7">
        <v>0.24954054707001699</v>
      </c>
      <c r="W780" s="8">
        <v>0.76188588558828596</v>
      </c>
      <c r="X780" s="8">
        <v>0.18141578292968899</v>
      </c>
      <c r="Y780" s="2">
        <v>35</v>
      </c>
      <c r="Z780" s="2">
        <f>VLOOKUP(E780,YieldData!T:U,2,FALSE)</f>
        <v>1015.1347881899873</v>
      </c>
      <c r="AA780">
        <f t="shared" si="24"/>
        <v>0.75823454358516995</v>
      </c>
    </row>
    <row r="781" spans="1:27" hidden="1" x14ac:dyDescent="0.25">
      <c r="A781">
        <v>78</v>
      </c>
      <c r="B781">
        <v>808</v>
      </c>
      <c r="C781" t="s">
        <v>20</v>
      </c>
      <c r="D781">
        <v>25113</v>
      </c>
      <c r="E781">
        <f t="shared" si="25"/>
        <v>25113808</v>
      </c>
      <c r="F781">
        <f>VLOOKUP(E781,YieldData!D:F,2,FALSE)</f>
        <v>2</v>
      </c>
      <c r="G781">
        <f>VLOOKUP($E781,YieldData!$D:$F,3,FALSE)</f>
        <v>3</v>
      </c>
      <c r="H781">
        <v>30</v>
      </c>
      <c r="I781" t="s">
        <v>21</v>
      </c>
      <c r="J781" t="s">
        <v>22</v>
      </c>
      <c r="K781" s="2">
        <v>10603.4912635293</v>
      </c>
      <c r="L781" s="2">
        <v>136426225.37584701</v>
      </c>
      <c r="M781" s="3">
        <v>9732.2295588145698</v>
      </c>
      <c r="N781" s="3">
        <v>95445465.522945106</v>
      </c>
      <c r="O781" s="4">
        <v>8.0678312879002304E-2</v>
      </c>
      <c r="P781" s="4">
        <v>3.9021808544121503E-2</v>
      </c>
      <c r="Q781" s="5">
        <v>-4.1384440157194502E-2</v>
      </c>
      <c r="R781" s="5">
        <v>1.9721696146847E-3</v>
      </c>
      <c r="S781" s="6">
        <v>0.297732096068139</v>
      </c>
      <c r="T781" s="6">
        <v>0.109297779245366</v>
      </c>
      <c r="U781" s="7">
        <v>0.33859953357651101</v>
      </c>
      <c r="V781" s="7">
        <v>0.223949889438294</v>
      </c>
      <c r="W781" s="8">
        <v>0.706821688735781</v>
      </c>
      <c r="X781" s="8">
        <v>0.20722478906851299</v>
      </c>
      <c r="Y781" s="2">
        <v>30</v>
      </c>
      <c r="Z781" s="2">
        <f>VLOOKUP(E781,YieldData!T:U,2,FALSE)</f>
        <v>1853.831835686778</v>
      </c>
      <c r="AA781">
        <f t="shared" si="24"/>
        <v>0.55782939431633305</v>
      </c>
    </row>
    <row r="782" spans="1:27" hidden="1" x14ac:dyDescent="0.25">
      <c r="A782">
        <v>79</v>
      </c>
      <c r="B782">
        <v>809</v>
      </c>
      <c r="C782" t="s">
        <v>20</v>
      </c>
      <c r="D782">
        <v>25113</v>
      </c>
      <c r="E782">
        <f t="shared" si="25"/>
        <v>25113809</v>
      </c>
      <c r="F782">
        <f>VLOOKUP(E782,YieldData!D:F,2,FALSE)</f>
        <v>3</v>
      </c>
      <c r="G782">
        <f>VLOOKUP($E782,YieldData!$D:$F,3,FALSE)</f>
        <v>3</v>
      </c>
      <c r="H782">
        <v>30</v>
      </c>
      <c r="I782" t="s">
        <v>21</v>
      </c>
      <c r="J782" t="s">
        <v>22</v>
      </c>
      <c r="K782" s="2">
        <v>13081.4415559892</v>
      </c>
      <c r="L782" s="2">
        <v>146417841.34159201</v>
      </c>
      <c r="M782" s="3">
        <v>6913.35525088738</v>
      </c>
      <c r="N782" s="3">
        <v>84748963.207588896</v>
      </c>
      <c r="O782" s="4">
        <v>0.15206557354348799</v>
      </c>
      <c r="P782" s="4">
        <v>3.8265979227661298E-2</v>
      </c>
      <c r="Q782" s="5">
        <v>-2.5620110422189299E-2</v>
      </c>
      <c r="R782" s="5">
        <v>2.3665391218956298E-3</v>
      </c>
      <c r="S782" s="6">
        <v>0.40159261839973298</v>
      </c>
      <c r="T782" s="6">
        <v>9.0148128429142799E-2</v>
      </c>
      <c r="U782" s="7">
        <v>0.43952917479700399</v>
      </c>
      <c r="V782" s="7">
        <v>0.246343279299299</v>
      </c>
      <c r="W782" s="8">
        <v>0.52329636297256799</v>
      </c>
      <c r="X782" s="8">
        <v>0.249457279472073</v>
      </c>
      <c r="Y782" s="2">
        <v>13</v>
      </c>
      <c r="Z782" s="2">
        <f>VLOOKUP(E782,YieldData!T:U,2,FALSE)</f>
        <v>2012.4261874197691</v>
      </c>
      <c r="AA782">
        <f t="shared" si="24"/>
        <v>0.68753068546610396</v>
      </c>
    </row>
    <row r="783" spans="1:27" hidden="1" x14ac:dyDescent="0.25">
      <c r="A783">
        <v>80</v>
      </c>
      <c r="B783">
        <v>901</v>
      </c>
      <c r="C783" t="s">
        <v>20</v>
      </c>
      <c r="D783">
        <v>25114</v>
      </c>
      <c r="E783">
        <f t="shared" si="25"/>
        <v>25114901</v>
      </c>
      <c r="F783">
        <f>VLOOKUP(E783,YieldData!D:F,2,FALSE)</f>
        <v>1</v>
      </c>
      <c r="G783">
        <f>VLOOKUP($E783,YieldData!$D:$F,3,FALSE)</f>
        <v>1</v>
      </c>
      <c r="H783">
        <v>30</v>
      </c>
      <c r="I783" t="s">
        <v>21</v>
      </c>
      <c r="J783" t="s">
        <v>22</v>
      </c>
      <c r="K783" s="2">
        <v>8968.9864375156994</v>
      </c>
      <c r="L783" s="2">
        <v>125278891.837304</v>
      </c>
      <c r="M783" s="3">
        <v>9485.7733609852003</v>
      </c>
      <c r="N783" s="3">
        <v>60872219.443017103</v>
      </c>
      <c r="O783" s="4">
        <v>9.3135503098735903E-2</v>
      </c>
      <c r="P783" s="4">
        <v>2.4616425227180799E-2</v>
      </c>
      <c r="Q783" s="5">
        <v>-3.3819936542250101E-2</v>
      </c>
      <c r="R783" s="5">
        <v>1.4642334944975201E-3</v>
      </c>
      <c r="S783" s="6">
        <v>0.30905110704459998</v>
      </c>
      <c r="T783" s="6">
        <v>7.4443288809560304E-2</v>
      </c>
      <c r="U783" s="7">
        <v>0.29880520971619201</v>
      </c>
      <c r="V783" s="7">
        <v>0.209520656363018</v>
      </c>
      <c r="W783" s="8">
        <v>0.85296896489864305</v>
      </c>
      <c r="X783" s="8">
        <v>0.12541290981839701</v>
      </c>
      <c r="Y783" s="2">
        <v>51</v>
      </c>
      <c r="Z783" s="2">
        <f>VLOOKUP(E783,YieldData!T:U,2,FALSE)</f>
        <v>799.50738125802309</v>
      </c>
      <c r="AA783">
        <f t="shared" si="24"/>
        <v>0.58475062791532095</v>
      </c>
    </row>
    <row r="784" spans="1:27" hidden="1" x14ac:dyDescent="0.25">
      <c r="A784">
        <v>81</v>
      </c>
      <c r="B784">
        <v>902</v>
      </c>
      <c r="C784" t="s">
        <v>20</v>
      </c>
      <c r="D784">
        <v>25114</v>
      </c>
      <c r="E784">
        <f t="shared" si="25"/>
        <v>25114902</v>
      </c>
      <c r="F784">
        <f>VLOOKUP(E784,YieldData!D:F,2,FALSE)</f>
        <v>2</v>
      </c>
      <c r="G784">
        <f>VLOOKUP($E784,YieldData!$D:$F,3,FALSE)</f>
        <v>1</v>
      </c>
      <c r="H784">
        <v>30</v>
      </c>
      <c r="I784" t="s">
        <v>21</v>
      </c>
      <c r="J784" t="s">
        <v>22</v>
      </c>
      <c r="K784" s="2">
        <v>13198.244184299499</v>
      </c>
      <c r="L784" s="2">
        <v>170893901.579528</v>
      </c>
      <c r="M784" s="3">
        <v>7597.82512781286</v>
      </c>
      <c r="N784" s="3">
        <v>103027874.817434</v>
      </c>
      <c r="O784" s="4">
        <v>0.12458042310456</v>
      </c>
      <c r="P784" s="4">
        <v>3.6927803892025997E-2</v>
      </c>
      <c r="Q784" s="5">
        <v>-3.11379803571631E-2</v>
      </c>
      <c r="R784" s="5">
        <v>2.0017967567122802E-3</v>
      </c>
      <c r="S784" s="6">
        <v>0.376089974480738</v>
      </c>
      <c r="T784" s="6">
        <v>0.10303746292556901</v>
      </c>
      <c r="U784" s="7">
        <v>0.43131338424940502</v>
      </c>
      <c r="V784" s="7">
        <v>0.245282148816653</v>
      </c>
      <c r="W784" s="8">
        <v>0.50942097026604105</v>
      </c>
      <c r="X784" s="8">
        <v>0.24991124531954201</v>
      </c>
      <c r="Y784" s="2">
        <v>16</v>
      </c>
      <c r="Z784" s="2">
        <f>VLOOKUP(E784,YieldData!T:U,2,FALSE)</f>
        <v>662.83697047496776</v>
      </c>
      <c r="AA784">
        <f t="shared" si="24"/>
        <v>0.69582853422805302</v>
      </c>
    </row>
    <row r="785" spans="1:27" hidden="1" x14ac:dyDescent="0.25">
      <c r="A785">
        <v>82</v>
      </c>
      <c r="B785">
        <v>903</v>
      </c>
      <c r="C785" t="s">
        <v>20</v>
      </c>
      <c r="D785">
        <v>25114</v>
      </c>
      <c r="E785">
        <f t="shared" si="25"/>
        <v>25114903</v>
      </c>
      <c r="F785">
        <f>VLOOKUP(E785,YieldData!D:F,2,FALSE)</f>
        <v>3</v>
      </c>
      <c r="G785">
        <f>VLOOKUP($E785,YieldData!$D:$F,3,FALSE)</f>
        <v>1</v>
      </c>
      <c r="H785">
        <v>30</v>
      </c>
      <c r="I785" t="s">
        <v>21</v>
      </c>
      <c r="J785" t="s">
        <v>22</v>
      </c>
      <c r="K785" s="2">
        <v>9152.3435354507492</v>
      </c>
      <c r="L785" s="2">
        <v>125841035.40449899</v>
      </c>
      <c r="M785" s="3">
        <v>10944.727511277</v>
      </c>
      <c r="N785" s="3">
        <v>79858037.690173104</v>
      </c>
      <c r="O785" s="4">
        <v>7.6353681224824096E-2</v>
      </c>
      <c r="P785" s="4">
        <v>2.7068984178351099E-2</v>
      </c>
      <c r="Q785" s="5">
        <v>-3.9558520126922798E-2</v>
      </c>
      <c r="R785" s="5">
        <v>1.6730620785523401E-3</v>
      </c>
      <c r="S785" s="6">
        <v>0.27225034839994999</v>
      </c>
      <c r="T785" s="6">
        <v>8.0330768144284595E-2</v>
      </c>
      <c r="U785" s="7">
        <v>0.27577799165864603</v>
      </c>
      <c r="V785" s="7">
        <v>0.19972449097536801</v>
      </c>
      <c r="W785" s="8">
        <v>0.69887202125065795</v>
      </c>
      <c r="X785" s="8">
        <v>0.21044991916339501</v>
      </c>
      <c r="Y785" s="2">
        <v>27</v>
      </c>
      <c r="Z785" s="2">
        <f>VLOOKUP(E785,YieldData!T:U,2,FALSE)</f>
        <v>1684.5876123234921</v>
      </c>
      <c r="AA785">
        <f t="shared" si="24"/>
        <v>0.48949604096351501</v>
      </c>
    </row>
    <row r="786" spans="1:27" hidden="1" x14ac:dyDescent="0.25">
      <c r="A786">
        <v>83</v>
      </c>
      <c r="B786">
        <v>904</v>
      </c>
      <c r="C786" t="s">
        <v>20</v>
      </c>
      <c r="D786">
        <v>25114</v>
      </c>
      <c r="E786">
        <f t="shared" si="25"/>
        <v>25114904</v>
      </c>
      <c r="F786">
        <f>VLOOKUP(E786,YieldData!D:F,2,FALSE)</f>
        <v>3</v>
      </c>
      <c r="G786">
        <f>VLOOKUP($E786,YieldData!$D:$F,3,FALSE)</f>
        <v>2</v>
      </c>
      <c r="H786">
        <v>30</v>
      </c>
      <c r="I786" t="s">
        <v>21</v>
      </c>
      <c r="J786" t="s">
        <v>22</v>
      </c>
      <c r="K786" s="2">
        <v>10349.780250796901</v>
      </c>
      <c r="L786" s="2">
        <v>149373484.21948999</v>
      </c>
      <c r="M786" s="3">
        <v>9416.7255930842202</v>
      </c>
      <c r="N786" s="3">
        <v>83088256.064346999</v>
      </c>
      <c r="O786" s="4">
        <v>9.5070058377262706E-2</v>
      </c>
      <c r="P786" s="4">
        <v>2.8497149176520398E-2</v>
      </c>
      <c r="Q786" s="5">
        <v>-3.6241505636186097E-2</v>
      </c>
      <c r="R786" s="5">
        <v>2.1193415488998698E-3</v>
      </c>
      <c r="S786" s="6">
        <v>0.30474600801038398</v>
      </c>
      <c r="T786" s="6">
        <v>8.11657228710604E-2</v>
      </c>
      <c r="U786" s="7">
        <v>0.30664344993189402</v>
      </c>
      <c r="V786" s="7">
        <v>0.212613244545725</v>
      </c>
      <c r="W786" s="8">
        <v>0.59808478074671101</v>
      </c>
      <c r="X786" s="8">
        <v>0.24037937578611601</v>
      </c>
      <c r="Y786" s="2">
        <v>19</v>
      </c>
      <c r="Z786" s="2">
        <f>VLOOKUP(E786,YieldData!T:U,2,FALSE)</f>
        <v>1847.6765083440309</v>
      </c>
      <c r="AA786">
        <f t="shared" si="24"/>
        <v>0.48544629944256501</v>
      </c>
    </row>
    <row r="787" spans="1:27" hidden="1" x14ac:dyDescent="0.25">
      <c r="A787">
        <v>84</v>
      </c>
      <c r="B787">
        <v>905</v>
      </c>
      <c r="C787" t="s">
        <v>20</v>
      </c>
      <c r="D787">
        <v>25114</v>
      </c>
      <c r="E787">
        <f t="shared" si="25"/>
        <v>25114905</v>
      </c>
      <c r="F787">
        <f>VLOOKUP(E787,YieldData!D:F,2,FALSE)</f>
        <v>2</v>
      </c>
      <c r="G787">
        <f>VLOOKUP($E787,YieldData!$D:$F,3,FALSE)</f>
        <v>2</v>
      </c>
      <c r="H787">
        <v>30</v>
      </c>
      <c r="I787" t="s">
        <v>21</v>
      </c>
      <c r="J787" t="s">
        <v>22</v>
      </c>
      <c r="K787" s="2">
        <v>12178.4178653994</v>
      </c>
      <c r="L787" s="2">
        <v>202716273.873384</v>
      </c>
      <c r="M787" s="3">
        <v>6311.8270412715501</v>
      </c>
      <c r="N787" s="3">
        <v>61451947.150622196</v>
      </c>
      <c r="O787" s="4">
        <v>0.14079865902750799</v>
      </c>
      <c r="P787" s="4">
        <v>1.8203652793326801E-2</v>
      </c>
      <c r="Q787" s="5">
        <v>-2.2015255610913099E-2</v>
      </c>
      <c r="R787" s="5">
        <v>1.9951846230006399E-3</v>
      </c>
      <c r="S787" s="6">
        <v>0.37419508554070902</v>
      </c>
      <c r="T787" s="6">
        <v>6.7632741062329998E-2</v>
      </c>
      <c r="U787" s="7">
        <v>0.35536861032622702</v>
      </c>
      <c r="V787" s="7">
        <v>0.22908176112098899</v>
      </c>
      <c r="W787" s="8">
        <v>0.58506389263468805</v>
      </c>
      <c r="X787" s="8">
        <v>0.24276413416994599</v>
      </c>
      <c r="Y787" s="2">
        <v>25</v>
      </c>
      <c r="Z787" s="2">
        <f>VLOOKUP(E787,YieldData!T:U,2,FALSE)</f>
        <v>830.78947368421052</v>
      </c>
      <c r="AA787">
        <f t="shared" si="24"/>
        <v>0.57706139224248698</v>
      </c>
    </row>
    <row r="788" spans="1:27" hidden="1" x14ac:dyDescent="0.25">
      <c r="A788">
        <v>85</v>
      </c>
      <c r="B788">
        <v>906</v>
      </c>
      <c r="C788" t="s">
        <v>20</v>
      </c>
      <c r="D788">
        <v>25114</v>
      </c>
      <c r="E788">
        <f t="shared" si="25"/>
        <v>25114906</v>
      </c>
      <c r="F788">
        <f>VLOOKUP(E788,YieldData!D:F,2,FALSE)</f>
        <v>1</v>
      </c>
      <c r="G788">
        <f>VLOOKUP($E788,YieldData!$D:$F,3,FALSE)</f>
        <v>2</v>
      </c>
      <c r="H788">
        <v>30</v>
      </c>
      <c r="I788" t="s">
        <v>21</v>
      </c>
      <c r="J788" t="s">
        <v>22</v>
      </c>
      <c r="K788" s="2">
        <v>14902.2698968241</v>
      </c>
      <c r="L788" s="2">
        <v>173620106.875099</v>
      </c>
      <c r="M788" s="3">
        <v>3914.4789429869502</v>
      </c>
      <c r="N788" s="3">
        <v>70255677.390280202</v>
      </c>
      <c r="O788" s="4">
        <v>0.22450686633554001</v>
      </c>
      <c r="P788" s="4">
        <v>2.6474189166158301E-2</v>
      </c>
      <c r="Q788" s="5">
        <v>-2.4224990552149999E-3</v>
      </c>
      <c r="R788" s="5">
        <v>2.3233894130516601E-3</v>
      </c>
      <c r="S788" s="6">
        <v>0.48561845284052502</v>
      </c>
      <c r="T788" s="6">
        <v>7.2371848341080305E-2</v>
      </c>
      <c r="U788" s="7">
        <v>0.50128156754576603</v>
      </c>
      <c r="V788" s="7">
        <v>0.24999835758446901</v>
      </c>
      <c r="W788" s="8">
        <v>0.65558562543912102</v>
      </c>
      <c r="X788" s="8">
        <v>0.225793113156848</v>
      </c>
      <c r="Y788" s="2">
        <v>25</v>
      </c>
      <c r="Z788" s="2">
        <f>VLOOKUP(E788,YieldData!T:U,2,FALSE)</f>
        <v>861.67522464698322</v>
      </c>
      <c r="AA788">
        <f t="shared" si="24"/>
        <v>0.66744298000234203</v>
      </c>
    </row>
    <row r="789" spans="1:27" hidden="1" x14ac:dyDescent="0.25">
      <c r="A789">
        <v>86</v>
      </c>
      <c r="B789">
        <v>907</v>
      </c>
      <c r="C789" t="s">
        <v>20</v>
      </c>
      <c r="D789">
        <v>25114</v>
      </c>
      <c r="E789">
        <f t="shared" si="25"/>
        <v>25114907</v>
      </c>
      <c r="F789">
        <f>VLOOKUP(E789,YieldData!D:F,2,FALSE)</f>
        <v>1</v>
      </c>
      <c r="G789">
        <f>VLOOKUP($E789,YieldData!$D:$F,3,FALSE)</f>
        <v>3</v>
      </c>
      <c r="H789">
        <v>30</v>
      </c>
      <c r="I789" t="s">
        <v>21</v>
      </c>
      <c r="J789" t="s">
        <v>22</v>
      </c>
      <c r="K789" s="2">
        <v>16190.474285292299</v>
      </c>
      <c r="L789" s="2">
        <v>188302014.450111</v>
      </c>
      <c r="M789" s="3">
        <v>2440.77835597284</v>
      </c>
      <c r="N789" s="3">
        <v>67352869.258451805</v>
      </c>
      <c r="O789" s="4">
        <v>0.26905200709694699</v>
      </c>
      <c r="P789" s="4">
        <v>2.38575047168781E-2</v>
      </c>
      <c r="Q789" s="5">
        <v>1.26587226143172E-2</v>
      </c>
      <c r="R789" s="5">
        <v>2.6274260682140099E-3</v>
      </c>
      <c r="S789" s="6">
        <v>0.54076732138249795</v>
      </c>
      <c r="T789" s="6">
        <v>6.65507870984684E-2</v>
      </c>
      <c r="U789" s="7">
        <v>0.55138634209975801</v>
      </c>
      <c r="V789" s="7">
        <v>0.247359443845795</v>
      </c>
      <c r="W789" s="8">
        <v>0.65045353287959495</v>
      </c>
      <c r="X789" s="8">
        <v>0.227363734444441</v>
      </c>
      <c r="Y789" s="2">
        <v>75</v>
      </c>
      <c r="Z789" s="2">
        <f>VLOOKUP(E789,YieldData!T:U,2,FALSE)</f>
        <v>684.6052631578948</v>
      </c>
      <c r="AA789">
        <f t="shared" si="24"/>
        <v>0.80336726028577399</v>
      </c>
    </row>
    <row r="790" spans="1:27" hidden="1" x14ac:dyDescent="0.25">
      <c r="A790">
        <v>87</v>
      </c>
      <c r="B790">
        <v>908</v>
      </c>
      <c r="C790" t="s">
        <v>20</v>
      </c>
      <c r="D790">
        <v>25114</v>
      </c>
      <c r="E790">
        <f t="shared" si="25"/>
        <v>25114908</v>
      </c>
      <c r="F790">
        <f>VLOOKUP(E790,YieldData!D:F,2,FALSE)</f>
        <v>2</v>
      </c>
      <c r="G790">
        <f>VLOOKUP($E790,YieldData!$D:$F,3,FALSE)</f>
        <v>3</v>
      </c>
      <c r="H790">
        <v>30</v>
      </c>
      <c r="I790" t="s">
        <v>21</v>
      </c>
      <c r="J790" t="s">
        <v>22</v>
      </c>
      <c r="K790" s="2">
        <v>12663.426046635799</v>
      </c>
      <c r="L790" s="2">
        <v>129192674.910566</v>
      </c>
      <c r="M790" s="3">
        <v>5787.1118916230498</v>
      </c>
      <c r="N790" s="3">
        <v>89629392.325071305</v>
      </c>
      <c r="O790" s="4">
        <v>0.24742779533766801</v>
      </c>
      <c r="P790" s="4">
        <v>4.1774501109228E-2</v>
      </c>
      <c r="Q790" s="5">
        <v>8.2920385001201795E-3</v>
      </c>
      <c r="R790" s="5">
        <v>2.4392393874714102E-3</v>
      </c>
      <c r="S790" s="6">
        <v>0.49146915186161699</v>
      </c>
      <c r="T790" s="6">
        <v>8.9718381791711405E-2</v>
      </c>
      <c r="U790" s="7">
        <v>0.48018401854751602</v>
      </c>
      <c r="V790" s="7">
        <v>0.24960732687925699</v>
      </c>
      <c r="W790" s="8">
        <v>0.48574827619695099</v>
      </c>
      <c r="X790" s="8">
        <v>0.24979688836868599</v>
      </c>
      <c r="Y790" s="2">
        <v>15</v>
      </c>
      <c r="Z790" s="2">
        <f>VLOOKUP(E790,YieldData!T:U,2,FALSE)</f>
        <v>766.58536585365857</v>
      </c>
      <c r="AA790">
        <f t="shared" si="24"/>
        <v>0.70041031368359696</v>
      </c>
    </row>
    <row r="791" spans="1:27" hidden="1" x14ac:dyDescent="0.25">
      <c r="A791">
        <v>88</v>
      </c>
      <c r="B791">
        <v>909</v>
      </c>
      <c r="C791" t="s">
        <v>20</v>
      </c>
      <c r="D791">
        <v>25114</v>
      </c>
      <c r="E791">
        <f t="shared" si="25"/>
        <v>25114909</v>
      </c>
      <c r="F791">
        <f>VLOOKUP(E791,YieldData!D:F,2,FALSE)</f>
        <v>3</v>
      </c>
      <c r="G791">
        <f>VLOOKUP($E791,YieldData!$D:$F,3,FALSE)</f>
        <v>3</v>
      </c>
      <c r="H791">
        <v>30</v>
      </c>
      <c r="I791" t="s">
        <v>21</v>
      </c>
      <c r="J791" t="s">
        <v>22</v>
      </c>
      <c r="K791" s="2">
        <v>13889.4088856256</v>
      </c>
      <c r="L791" s="2">
        <v>148235064.25790599</v>
      </c>
      <c r="M791" s="3">
        <v>3914.4383655536699</v>
      </c>
      <c r="N791" s="3">
        <v>62385799.244142801</v>
      </c>
      <c r="O791" s="4">
        <v>0.286780416075406</v>
      </c>
      <c r="P791" s="4">
        <v>2.3770652105764199E-2</v>
      </c>
      <c r="Q791" s="5">
        <v>1.6665625441666301E-2</v>
      </c>
      <c r="R791" s="5">
        <v>2.1225926369075302E-3</v>
      </c>
      <c r="S791" s="6">
        <v>0.54335443196412803</v>
      </c>
      <c r="T791" s="6">
        <v>6.0751540758245397E-2</v>
      </c>
      <c r="U791" s="7">
        <v>0.53903912224315598</v>
      </c>
      <c r="V791" s="7">
        <v>0.24847594693449901</v>
      </c>
      <c r="W791" s="8">
        <v>0.60144325327571402</v>
      </c>
      <c r="X791" s="8">
        <v>0.23970926636481901</v>
      </c>
      <c r="Y791" s="2">
        <v>18</v>
      </c>
      <c r="Z791" s="2">
        <f>VLOOKUP(E791,YieldData!T:U,2,FALSE)</f>
        <v>1461.7875481386391</v>
      </c>
      <c r="AA791">
        <f t="shared" si="24"/>
        <v>0.73401941908943602</v>
      </c>
    </row>
    <row r="792" spans="1:27" hidden="1" x14ac:dyDescent="0.25">
      <c r="A792">
        <v>89</v>
      </c>
      <c r="B792">
        <v>910</v>
      </c>
      <c r="C792" t="s">
        <v>20</v>
      </c>
      <c r="D792" t="s">
        <v>100</v>
      </c>
      <c r="E792" t="e">
        <f t="shared" si="25"/>
        <v>#VALUE!</v>
      </c>
      <c r="H792">
        <v>30</v>
      </c>
      <c r="I792" t="s">
        <v>21</v>
      </c>
      <c r="J792" t="s">
        <v>22</v>
      </c>
      <c r="K792" s="2">
        <v>8042.9764112655303</v>
      </c>
      <c r="L792" s="2">
        <v>83907944.855894104</v>
      </c>
      <c r="M792" s="3">
        <v>9406.7908420133499</v>
      </c>
      <c r="N792" s="3">
        <v>74830061.247736901</v>
      </c>
      <c r="O792" s="4">
        <v>0.163763367024677</v>
      </c>
      <c r="P792" s="4">
        <v>4.3180542012958699E-2</v>
      </c>
      <c r="Q792" s="5">
        <v>-6.7124448881574804E-3</v>
      </c>
      <c r="R792" s="5">
        <v>2.5161843370766299E-3</v>
      </c>
      <c r="S792" s="6">
        <v>0.38587957100316</v>
      </c>
      <c r="T792" s="6">
        <v>8.2974836740208099E-2</v>
      </c>
      <c r="U792" s="7">
        <v>0.34381994834583701</v>
      </c>
      <c r="V792" s="7">
        <v>0.225607791465395</v>
      </c>
      <c r="W792" s="8">
        <v>0.52134881204191097</v>
      </c>
      <c r="X792" s="8">
        <v>0.24954422822465999</v>
      </c>
      <c r="Y792" s="2">
        <v>19</v>
      </c>
      <c r="Z792" s="2" t="e">
        <f>VLOOKUP(E792,YieldData!T:U,2,FALSE)</f>
        <v>#VALUE!</v>
      </c>
      <c r="AA792">
        <f t="shared" si="24"/>
        <v>0.913534329143595</v>
      </c>
    </row>
    <row r="793" spans="1:27" hidden="1" x14ac:dyDescent="0.25">
      <c r="A793">
        <v>90</v>
      </c>
      <c r="B793">
        <v>810</v>
      </c>
      <c r="C793" t="s">
        <v>20</v>
      </c>
      <c r="D793" t="s">
        <v>100</v>
      </c>
      <c r="E793" t="e">
        <f t="shared" si="25"/>
        <v>#VALUE!</v>
      </c>
      <c r="H793">
        <v>30</v>
      </c>
      <c r="I793" t="s">
        <v>21</v>
      </c>
      <c r="J793" t="s">
        <v>22</v>
      </c>
      <c r="K793" s="2">
        <v>10593.669644317501</v>
      </c>
      <c r="L793" s="2">
        <v>110172620.514221</v>
      </c>
      <c r="M793" s="3">
        <v>7535.7143243650798</v>
      </c>
      <c r="N793" s="3">
        <v>80685471.164360195</v>
      </c>
      <c r="O793" s="4">
        <v>0.16150171299025201</v>
      </c>
      <c r="P793" s="4">
        <v>4.2527690676188099E-2</v>
      </c>
      <c r="Q793" s="5">
        <v>-2.0892174828723901E-2</v>
      </c>
      <c r="R793" s="5">
        <v>2.1129884738838901E-3</v>
      </c>
      <c r="S793" s="6">
        <v>0.40956738394891501</v>
      </c>
      <c r="T793" s="6">
        <v>9.5182778837124504E-2</v>
      </c>
      <c r="U793" s="7">
        <v>0.40731747210024999</v>
      </c>
      <c r="V793" s="7">
        <v>0.241409949022107</v>
      </c>
      <c r="W793" s="8">
        <v>0.535253264890164</v>
      </c>
      <c r="X793" s="8">
        <v>0.24875720731423501</v>
      </c>
      <c r="Y793" s="2">
        <v>20</v>
      </c>
      <c r="Z793" s="2" t="e">
        <f>VLOOKUP(E793,YieldData!T:U,2,FALSE)</f>
        <v>#VALUE!</v>
      </c>
      <c r="AA793">
        <f t="shared" si="24"/>
        <v>0.913534329143595</v>
      </c>
    </row>
    <row r="794" spans="1:27" hidden="1" x14ac:dyDescent="0.25">
      <c r="A794">
        <v>93</v>
      </c>
      <c r="B794">
        <v>101</v>
      </c>
      <c r="C794" t="s">
        <v>23</v>
      </c>
      <c r="D794">
        <v>25107</v>
      </c>
      <c r="E794">
        <f t="shared" si="25"/>
        <v>25107101</v>
      </c>
      <c r="F794">
        <f>VLOOKUP(E794,YieldData!D:F,2,FALSE)</f>
        <v>1</v>
      </c>
      <c r="G794">
        <f>VLOOKUP($E794,YieldData!$D:$F,3,FALSE)</f>
        <v>1</v>
      </c>
      <c r="H794">
        <v>30</v>
      </c>
      <c r="I794" t="s">
        <v>24</v>
      </c>
      <c r="J794" t="s">
        <v>25</v>
      </c>
      <c r="K794" s="2">
        <v>5988.4379177977398</v>
      </c>
      <c r="L794" s="2">
        <v>71516397.064054593</v>
      </c>
      <c r="M794" s="3">
        <v>11473.976627967901</v>
      </c>
      <c r="N794" s="3">
        <v>52384928.912241898</v>
      </c>
      <c r="O794" s="4">
        <v>0.116325976826523</v>
      </c>
      <c r="P794" s="4">
        <v>2.49872474771747E-2</v>
      </c>
      <c r="Q794" s="5">
        <v>-2.9542908857608501E-2</v>
      </c>
      <c r="R794" s="5">
        <v>1.8082741525656E-3</v>
      </c>
      <c r="S794" s="6">
        <v>0.31502311023327301</v>
      </c>
      <c r="T794" s="6">
        <v>5.6204376744874898E-2</v>
      </c>
      <c r="U794" s="7">
        <v>0.23995790631764</v>
      </c>
      <c r="V794" s="7">
        <v>0.1823781095135</v>
      </c>
      <c r="W794" s="8">
        <v>0.93256545504563004</v>
      </c>
      <c r="X794" s="8">
        <v>6.2887127101186796E-2</v>
      </c>
      <c r="Y794" s="2">
        <v>67</v>
      </c>
      <c r="Z794" s="2">
        <f>VLOOKUP(E794,YieldData!T:U,2,FALSE)</f>
        <v>1035.2455070603337</v>
      </c>
      <c r="AA794">
        <f t="shared" si="24"/>
        <v>0.390075587236282</v>
      </c>
    </row>
    <row r="795" spans="1:27" hidden="1" x14ac:dyDescent="0.25">
      <c r="A795">
        <v>94</v>
      </c>
      <c r="B795">
        <v>102</v>
      </c>
      <c r="C795" t="s">
        <v>23</v>
      </c>
      <c r="D795">
        <v>25107</v>
      </c>
      <c r="E795">
        <f t="shared" si="25"/>
        <v>25107102</v>
      </c>
      <c r="F795">
        <f>VLOOKUP(E795,YieldData!D:F,2,FALSE)</f>
        <v>2</v>
      </c>
      <c r="G795">
        <f>VLOOKUP($E795,YieldData!$D:$F,3,FALSE)</f>
        <v>1</v>
      </c>
      <c r="H795">
        <v>30</v>
      </c>
      <c r="I795" t="s">
        <v>24</v>
      </c>
      <c r="J795" t="s">
        <v>25</v>
      </c>
      <c r="K795" s="2">
        <v>9302.0113617336792</v>
      </c>
      <c r="L795" s="2">
        <v>139750619.52975699</v>
      </c>
      <c r="M795" s="3">
        <v>10481.951315193901</v>
      </c>
      <c r="N795" s="3">
        <v>72228252.635866404</v>
      </c>
      <c r="O795" s="4">
        <v>0.132121656200239</v>
      </c>
      <c r="P795" s="4">
        <v>2.2241958403807702E-2</v>
      </c>
      <c r="Q795" s="5">
        <v>-3.3274828630794999E-2</v>
      </c>
      <c r="R795" s="5">
        <v>1.3751371002091201E-3</v>
      </c>
      <c r="S795" s="6">
        <v>0.36050203526243801</v>
      </c>
      <c r="T795" s="6">
        <v>6.4016759726719594E-2</v>
      </c>
      <c r="U795" s="7">
        <v>0.31501901595426601</v>
      </c>
      <c r="V795" s="7">
        <v>0.21578203554139</v>
      </c>
      <c r="W795" s="8">
        <v>0.80017222408266797</v>
      </c>
      <c r="X795" s="8">
        <v>0.159896635889509</v>
      </c>
      <c r="Y795" s="2">
        <v>34</v>
      </c>
      <c r="Z795" s="2">
        <f>VLOOKUP(E795,YieldData!T:U,2,FALSE)</f>
        <v>1326.2869062901154</v>
      </c>
      <c r="AA795">
        <f t="shared" si="24"/>
        <v>0.56265473812627798</v>
      </c>
    </row>
    <row r="796" spans="1:27" hidden="1" x14ac:dyDescent="0.25">
      <c r="A796">
        <v>95</v>
      </c>
      <c r="B796">
        <v>103</v>
      </c>
      <c r="C796" t="s">
        <v>23</v>
      </c>
      <c r="D796">
        <v>25107</v>
      </c>
      <c r="E796">
        <f t="shared" si="25"/>
        <v>25107103</v>
      </c>
      <c r="F796">
        <f>VLOOKUP(E796,YieldData!D:F,2,FALSE)</f>
        <v>3</v>
      </c>
      <c r="G796">
        <f>VLOOKUP($E796,YieldData!$D:$F,3,FALSE)</f>
        <v>1</v>
      </c>
      <c r="H796">
        <v>30</v>
      </c>
      <c r="I796" t="s">
        <v>24</v>
      </c>
      <c r="J796" t="s">
        <v>25</v>
      </c>
      <c r="K796" s="2">
        <v>8311.0516785667296</v>
      </c>
      <c r="L796" s="2">
        <v>137473520.031762</v>
      </c>
      <c r="M796" s="3">
        <v>11772.9425887459</v>
      </c>
      <c r="N796" s="3">
        <v>66461283.818332002</v>
      </c>
      <c r="O796" s="4">
        <v>9.5824947323168805E-2</v>
      </c>
      <c r="P796" s="4">
        <v>1.82068542055101E-2</v>
      </c>
      <c r="Q796" s="5">
        <v>-3.7844038941302602E-2</v>
      </c>
      <c r="R796" s="5">
        <v>1.24221035483142E-3</v>
      </c>
      <c r="S796" s="6">
        <v>0.31847010808253101</v>
      </c>
      <c r="T796" s="6">
        <v>5.8158616232590603E-2</v>
      </c>
      <c r="U796" s="7">
        <v>0.26232762847882501</v>
      </c>
      <c r="V796" s="7">
        <v>0.193511843815666</v>
      </c>
      <c r="W796" s="8">
        <v>0.73642854580029404</v>
      </c>
      <c r="X796" s="8">
        <v>0.19410154273056199</v>
      </c>
      <c r="Y796" s="2">
        <v>31</v>
      </c>
      <c r="Z796" s="2">
        <f>VLOOKUP(E796,YieldData!T:U,2,FALSE)</f>
        <v>2390.8279845956354</v>
      </c>
      <c r="AA796">
        <f t="shared" si="24"/>
        <v>0.45615461895421699</v>
      </c>
    </row>
    <row r="797" spans="1:27" hidden="1" x14ac:dyDescent="0.25">
      <c r="A797">
        <v>96</v>
      </c>
      <c r="B797">
        <v>104</v>
      </c>
      <c r="C797" t="s">
        <v>23</v>
      </c>
      <c r="D797">
        <v>25107</v>
      </c>
      <c r="E797">
        <f t="shared" si="25"/>
        <v>25107104</v>
      </c>
      <c r="F797">
        <f>VLOOKUP(E797,YieldData!D:F,2,FALSE)</f>
        <v>4</v>
      </c>
      <c r="G797">
        <f>VLOOKUP($E797,YieldData!$D:$F,3,FALSE)</f>
        <v>1</v>
      </c>
      <c r="H797">
        <v>30</v>
      </c>
      <c r="I797" t="s">
        <v>24</v>
      </c>
      <c r="J797" t="s">
        <v>25</v>
      </c>
      <c r="K797" s="2">
        <v>7462.9955391846197</v>
      </c>
      <c r="L797" s="2">
        <v>126152614.19930699</v>
      </c>
      <c r="M797" s="3">
        <v>11403.049123086499</v>
      </c>
      <c r="N797" s="3">
        <v>54821374.604708202</v>
      </c>
      <c r="O797" s="4">
        <v>9.2164095987737102E-2</v>
      </c>
      <c r="P797" s="4">
        <v>1.5182087111373499E-2</v>
      </c>
      <c r="Q797" s="5">
        <v>-3.3716324594686098E-2</v>
      </c>
      <c r="R797" s="5">
        <v>1.15328740607303E-3</v>
      </c>
      <c r="S797" s="6">
        <v>0.31353764241134802</v>
      </c>
      <c r="T797" s="6">
        <v>5.1918793886526197E-2</v>
      </c>
      <c r="U797" s="7">
        <v>0.24675604243156299</v>
      </c>
      <c r="V797" s="7">
        <v>0.18586749795504401</v>
      </c>
      <c r="W797" s="8">
        <v>0.68222756467759904</v>
      </c>
      <c r="X797" s="8">
        <v>0.21679311467164</v>
      </c>
      <c r="Y797" s="2">
        <v>26</v>
      </c>
      <c r="Z797" s="2">
        <f>VLOOKUP(E797,YieldData!T:U,2,FALSE)</f>
        <v>2488.1899871630299</v>
      </c>
      <c r="AA797">
        <f t="shared" si="24"/>
        <v>0.44924173563603298</v>
      </c>
    </row>
    <row r="798" spans="1:27" hidden="1" x14ac:dyDescent="0.25">
      <c r="A798">
        <v>97</v>
      </c>
      <c r="B798">
        <v>105</v>
      </c>
      <c r="C798" t="s">
        <v>23</v>
      </c>
      <c r="D798">
        <v>25107</v>
      </c>
      <c r="E798">
        <f t="shared" si="25"/>
        <v>25107105</v>
      </c>
      <c r="F798">
        <f>VLOOKUP(E798,YieldData!D:F,2,FALSE)</f>
        <v>5</v>
      </c>
      <c r="G798">
        <f>VLOOKUP($E798,YieldData!$D:$F,3,FALSE)</f>
        <v>1</v>
      </c>
      <c r="H798">
        <v>30</v>
      </c>
      <c r="I798" t="s">
        <v>24</v>
      </c>
      <c r="J798" t="s">
        <v>25</v>
      </c>
      <c r="K798" s="2">
        <v>6595.5187900679402</v>
      </c>
      <c r="L798" s="2">
        <v>96596148.193409905</v>
      </c>
      <c r="M798" s="3">
        <v>10828.2443485432</v>
      </c>
      <c r="N798" s="3">
        <v>44984986.098748602</v>
      </c>
      <c r="O798" s="4">
        <v>0.10638564444944799</v>
      </c>
      <c r="P798" s="4">
        <v>1.80959653034099E-2</v>
      </c>
      <c r="Q798" s="5">
        <v>-2.43806941667962E-2</v>
      </c>
      <c r="R798" s="5">
        <v>1.22620376960939E-3</v>
      </c>
      <c r="S798" s="6">
        <v>0.32521935799162599</v>
      </c>
      <c r="T798" s="6">
        <v>5.0763494085881003E-2</v>
      </c>
      <c r="U798" s="7">
        <v>0.24754808152329899</v>
      </c>
      <c r="V798" s="7">
        <v>0.186268028857238</v>
      </c>
      <c r="W798" s="8">
        <v>0.70836871628652398</v>
      </c>
      <c r="X798" s="8">
        <v>0.206582478073223</v>
      </c>
      <c r="Y798" s="2">
        <v>27</v>
      </c>
      <c r="Z798" s="2">
        <f>VLOOKUP(E798,YieldData!T:U,2,FALSE)</f>
        <v>2505.2118100128368</v>
      </c>
      <c r="AA798">
        <f t="shared" si="24"/>
        <v>0.49696215854183601</v>
      </c>
    </row>
    <row r="799" spans="1:27" hidden="1" x14ac:dyDescent="0.25">
      <c r="A799">
        <v>98</v>
      </c>
      <c r="B799">
        <v>106</v>
      </c>
      <c r="C799" t="s">
        <v>23</v>
      </c>
      <c r="D799">
        <v>25107</v>
      </c>
      <c r="E799">
        <f t="shared" si="25"/>
        <v>25107106</v>
      </c>
      <c r="F799">
        <f>VLOOKUP(E799,YieldData!D:F,2,FALSE)</f>
        <v>6</v>
      </c>
      <c r="G799">
        <f>VLOOKUP($E799,YieldData!$D:$F,3,FALSE)</f>
        <v>1</v>
      </c>
      <c r="H799">
        <v>30</v>
      </c>
      <c r="I799" t="s">
        <v>24</v>
      </c>
      <c r="J799" t="s">
        <v>25</v>
      </c>
      <c r="K799" s="2">
        <v>6846.1075297449697</v>
      </c>
      <c r="L799" s="2">
        <v>124222846.812121</v>
      </c>
      <c r="M799" s="3">
        <v>10329.8466506723</v>
      </c>
      <c r="N799" s="3">
        <v>32664219.0376793</v>
      </c>
      <c r="O799" s="4">
        <v>8.9495744041735797E-2</v>
      </c>
      <c r="P799" s="4">
        <v>1.07073471695379E-2</v>
      </c>
      <c r="Q799" s="5">
        <v>-2.87527782149266E-2</v>
      </c>
      <c r="R799" s="5">
        <v>1.13321514660047E-3</v>
      </c>
      <c r="S799" s="6">
        <v>0.31303102708464797</v>
      </c>
      <c r="T799" s="6">
        <v>3.9233693154451597E-2</v>
      </c>
      <c r="U799" s="7">
        <v>0.20488023336036501</v>
      </c>
      <c r="V799" s="7">
        <v>0.162904323338709</v>
      </c>
      <c r="W799" s="8">
        <v>0.82765632943568901</v>
      </c>
      <c r="X799" s="8">
        <v>0.14264132978084601</v>
      </c>
      <c r="Y799" s="2">
        <v>42</v>
      </c>
      <c r="Z799" s="2">
        <f>VLOOKUP(E799,YieldData!T:U,2,FALSE)</f>
        <v>2315.9114249037225</v>
      </c>
      <c r="AA799">
        <f t="shared" si="24"/>
        <v>0.39903159423798601</v>
      </c>
    </row>
    <row r="800" spans="1:27" hidden="1" x14ac:dyDescent="0.25">
      <c r="A800">
        <v>99</v>
      </c>
      <c r="B800">
        <v>107</v>
      </c>
      <c r="C800" t="s">
        <v>23</v>
      </c>
      <c r="D800">
        <v>25107</v>
      </c>
      <c r="E800">
        <f t="shared" si="25"/>
        <v>25107107</v>
      </c>
      <c r="F800">
        <f>VLOOKUP(E800,YieldData!D:F,2,FALSE)</f>
        <v>7</v>
      </c>
      <c r="G800">
        <f>VLOOKUP($E800,YieldData!$D:$F,3,FALSE)</f>
        <v>1</v>
      </c>
      <c r="H800">
        <v>30</v>
      </c>
      <c r="I800" t="s">
        <v>24</v>
      </c>
      <c r="J800" t="s">
        <v>25</v>
      </c>
      <c r="K800" s="2">
        <v>7240.7251195832996</v>
      </c>
      <c r="L800" s="2">
        <v>109284754.453445</v>
      </c>
      <c r="M800" s="3">
        <v>9663.3719628442304</v>
      </c>
      <c r="N800" s="3">
        <v>39332184.167542301</v>
      </c>
      <c r="O800" s="4">
        <v>0.10615901857689899</v>
      </c>
      <c r="P800" s="4">
        <v>1.5434633054901E-2</v>
      </c>
      <c r="Q800" s="5">
        <v>-2.9271552329655399E-2</v>
      </c>
      <c r="R800" s="5">
        <v>1.4333621029707999E-3</v>
      </c>
      <c r="S800" s="6">
        <v>0.33879032669361098</v>
      </c>
      <c r="T800" s="6">
        <v>4.6355972724553801E-2</v>
      </c>
      <c r="U800" s="7">
        <v>0.245252124134552</v>
      </c>
      <c r="V800" s="7">
        <v>0.18510351974196501</v>
      </c>
      <c r="W800" s="8">
        <v>0.83059348367049601</v>
      </c>
      <c r="X800" s="8">
        <v>0.140707948554808</v>
      </c>
      <c r="Y800" s="2">
        <v>35</v>
      </c>
      <c r="Z800" s="2">
        <f>VLOOKUP(E800,YieldData!T:U,2,FALSE)</f>
        <v>2008.0359435173295</v>
      </c>
      <c r="AA800">
        <f t="shared" si="24"/>
        <v>0.46002398174293102</v>
      </c>
    </row>
    <row r="801" spans="1:27" hidden="1" x14ac:dyDescent="0.25">
      <c r="A801">
        <v>100</v>
      </c>
      <c r="B801">
        <v>108</v>
      </c>
      <c r="C801" t="s">
        <v>23</v>
      </c>
      <c r="D801">
        <v>25107</v>
      </c>
      <c r="E801">
        <f t="shared" si="25"/>
        <v>25107108</v>
      </c>
      <c r="F801">
        <f>VLOOKUP(E801,YieldData!D:F,2,FALSE)</f>
        <v>4</v>
      </c>
      <c r="G801">
        <f>VLOOKUP($E801,YieldData!$D:$F,3,FALSE)</f>
        <v>2</v>
      </c>
      <c r="H801">
        <v>30</v>
      </c>
      <c r="I801" t="s">
        <v>24</v>
      </c>
      <c r="J801" t="s">
        <v>25</v>
      </c>
      <c r="K801" s="2">
        <v>9101.6803530635898</v>
      </c>
      <c r="L801" s="2">
        <v>138863146.33217001</v>
      </c>
      <c r="M801" s="3">
        <v>8751.5271651742005</v>
      </c>
      <c r="N801" s="3">
        <v>40709963.191056304</v>
      </c>
      <c r="O801" s="4">
        <v>0.121642796172588</v>
      </c>
      <c r="P801" s="4">
        <v>1.4355962310260701E-2</v>
      </c>
      <c r="Q801" s="5">
        <v>-2.9602390064975899E-2</v>
      </c>
      <c r="R801" s="5">
        <v>1.6989974778245001E-3</v>
      </c>
      <c r="S801" s="6">
        <v>0.37158087070680501</v>
      </c>
      <c r="T801" s="6">
        <v>4.6237419098414403E-2</v>
      </c>
      <c r="U801" s="7">
        <v>0.27704488643838698</v>
      </c>
      <c r="V801" s="7">
        <v>0.200291017336726</v>
      </c>
      <c r="W801" s="8">
        <v>0.60209511737201504</v>
      </c>
      <c r="X801" s="8">
        <v>0.239576587008932</v>
      </c>
      <c r="Y801" s="2">
        <v>22</v>
      </c>
      <c r="Z801" s="2">
        <f>VLOOKUP(E801,YieldData!T:U,2,FALSE)</f>
        <v>2547.5978818998715</v>
      </c>
      <c r="AA801">
        <f t="shared" si="24"/>
        <v>0.50343837828140903</v>
      </c>
    </row>
    <row r="802" spans="1:27" hidden="1" x14ac:dyDescent="0.25">
      <c r="A802">
        <v>101</v>
      </c>
      <c r="B802">
        <v>109</v>
      </c>
      <c r="C802" t="s">
        <v>23</v>
      </c>
      <c r="D802">
        <v>25107</v>
      </c>
      <c r="E802">
        <f t="shared" si="25"/>
        <v>25107109</v>
      </c>
      <c r="F802">
        <f>VLOOKUP(E802,YieldData!D:F,2,FALSE)</f>
        <v>2</v>
      </c>
      <c r="G802">
        <f>VLOOKUP($E802,YieldData!$D:$F,3,FALSE)</f>
        <v>2</v>
      </c>
      <c r="H802">
        <v>30</v>
      </c>
      <c r="I802" t="s">
        <v>24</v>
      </c>
      <c r="J802" t="s">
        <v>25</v>
      </c>
      <c r="K802" s="2">
        <v>5824.1761828445697</v>
      </c>
      <c r="L802" s="2">
        <v>94764457.536140203</v>
      </c>
      <c r="M802" s="3">
        <v>10942.277072590899</v>
      </c>
      <c r="N802" s="3">
        <v>36412011.031871699</v>
      </c>
      <c r="O802" s="4">
        <v>7.58663731426341E-2</v>
      </c>
      <c r="P802" s="4">
        <v>1.3102862804479301E-2</v>
      </c>
      <c r="Q802" s="5">
        <v>-4.0554539869682299E-2</v>
      </c>
      <c r="R802" s="5">
        <v>1.2765387812784599E-3</v>
      </c>
      <c r="S802" s="6">
        <v>0.29217727143998301</v>
      </c>
      <c r="T802" s="6">
        <v>4.0200446131377097E-2</v>
      </c>
      <c r="U802" s="7">
        <v>0.189745491077836</v>
      </c>
      <c r="V802" s="7">
        <v>0.15374213969348099</v>
      </c>
      <c r="W802" s="8">
        <v>0.62843542947353304</v>
      </c>
      <c r="X802" s="8">
        <v>0.233504340456024</v>
      </c>
      <c r="Y802" s="2">
        <v>19</v>
      </c>
      <c r="Z802" s="2">
        <f>VLOOKUP(E802,YieldData!T:U,2,FALSE)</f>
        <v>1584.2105263157894</v>
      </c>
      <c r="AA802">
        <f t="shared" si="24"/>
        <v>0.39993302556988097</v>
      </c>
    </row>
    <row r="803" spans="1:27" hidden="1" x14ac:dyDescent="0.25">
      <c r="A803">
        <v>102</v>
      </c>
      <c r="B803">
        <v>110</v>
      </c>
      <c r="C803" t="s">
        <v>23</v>
      </c>
      <c r="D803">
        <v>25107</v>
      </c>
      <c r="E803">
        <f t="shared" si="25"/>
        <v>25107110</v>
      </c>
      <c r="F803">
        <f>VLOOKUP(E803,YieldData!D:F,2,FALSE)</f>
        <v>1</v>
      </c>
      <c r="G803">
        <f>VLOOKUP($E803,YieldData!$D:$F,3,FALSE)</f>
        <v>2</v>
      </c>
      <c r="H803">
        <v>30</v>
      </c>
      <c r="I803" t="s">
        <v>24</v>
      </c>
      <c r="J803" t="s">
        <v>25</v>
      </c>
      <c r="K803" s="2">
        <v>5459.0355596488298</v>
      </c>
      <c r="L803" s="2">
        <v>79711270.624396205</v>
      </c>
      <c r="M803" s="3">
        <v>11348.636767088999</v>
      </c>
      <c r="N803" s="3">
        <v>38228302.498982601</v>
      </c>
      <c r="O803" s="4">
        <v>8.0733650641557894E-2</v>
      </c>
      <c r="P803" s="4">
        <v>1.5872481292997599E-2</v>
      </c>
      <c r="Q803" s="5">
        <v>-3.3768975999851798E-2</v>
      </c>
      <c r="R803" s="5">
        <v>1.36836158200088E-3</v>
      </c>
      <c r="S803" s="6">
        <v>0.29684730530286701</v>
      </c>
      <c r="T803" s="6">
        <v>4.1831630894151199E-2</v>
      </c>
      <c r="U803" s="7">
        <v>0.199949764370978</v>
      </c>
      <c r="V803" s="7">
        <v>0.15996985609870901</v>
      </c>
      <c r="W803" s="8">
        <v>0.84626976343674498</v>
      </c>
      <c r="X803" s="8">
        <v>0.130097250929362</v>
      </c>
      <c r="Y803" s="2">
        <v>53</v>
      </c>
      <c r="Z803" s="2">
        <f>VLOOKUP(E803,YieldData!T:U,2,FALSE)</f>
        <v>1585.0449293966622</v>
      </c>
      <c r="AA803">
        <f t="shared" si="24"/>
        <v>0.54967766627994596</v>
      </c>
    </row>
    <row r="804" spans="1:27" hidden="1" x14ac:dyDescent="0.25">
      <c r="A804">
        <v>103</v>
      </c>
      <c r="B804">
        <v>111</v>
      </c>
      <c r="C804" t="s">
        <v>23</v>
      </c>
      <c r="D804">
        <v>25107</v>
      </c>
      <c r="E804">
        <f t="shared" si="25"/>
        <v>25107111</v>
      </c>
      <c r="F804">
        <f>VLOOKUP(E804,YieldData!D:F,2,FALSE)</f>
        <v>5</v>
      </c>
      <c r="G804">
        <f>VLOOKUP($E804,YieldData!$D:$F,3,FALSE)</f>
        <v>2</v>
      </c>
      <c r="H804">
        <v>30</v>
      </c>
      <c r="I804" t="s">
        <v>24</v>
      </c>
      <c r="J804" t="s">
        <v>25</v>
      </c>
      <c r="K804" s="2">
        <v>6479.6090471234602</v>
      </c>
      <c r="L804" s="2">
        <v>80830356.000241905</v>
      </c>
      <c r="M804" s="3">
        <v>9539.4745755750191</v>
      </c>
      <c r="N804" s="3">
        <v>42342882.994811103</v>
      </c>
      <c r="O804" s="4">
        <v>0.11177516624768</v>
      </c>
      <c r="P804" s="4">
        <v>2.2492516656913899E-2</v>
      </c>
      <c r="Q804" s="5">
        <v>-2.8577074344313301E-2</v>
      </c>
      <c r="R804" s="5">
        <v>1.3251043269191601E-3</v>
      </c>
      <c r="S804" s="6">
        <v>0.339641200058732</v>
      </c>
      <c r="T804" s="6">
        <v>5.3422449555936398E-2</v>
      </c>
      <c r="U804" s="7">
        <v>0.26136941210639703</v>
      </c>
      <c r="V804" s="7">
        <v>0.19305544252147999</v>
      </c>
      <c r="W804" s="8">
        <v>0.75029950989290295</v>
      </c>
      <c r="X804" s="8">
        <v>0.187350155347381</v>
      </c>
      <c r="Y804" s="2">
        <v>40</v>
      </c>
      <c r="Z804" s="2">
        <f>VLOOKUP(E804,YieldData!T:U,2,FALSE)</f>
        <v>2037.9974326059053</v>
      </c>
      <c r="AA804">
        <f t="shared" si="24"/>
        <v>0.53001900013312198</v>
      </c>
    </row>
    <row r="805" spans="1:27" hidden="1" x14ac:dyDescent="0.25">
      <c r="A805">
        <v>104</v>
      </c>
      <c r="B805">
        <v>112</v>
      </c>
      <c r="C805" t="s">
        <v>23</v>
      </c>
      <c r="D805">
        <v>25107</v>
      </c>
      <c r="E805">
        <f t="shared" si="25"/>
        <v>25107112</v>
      </c>
      <c r="F805">
        <f>VLOOKUP(E805,YieldData!D:F,2,FALSE)</f>
        <v>3</v>
      </c>
      <c r="G805">
        <f>VLOOKUP($E805,YieldData!$D:$F,3,FALSE)</f>
        <v>2</v>
      </c>
      <c r="H805">
        <v>30</v>
      </c>
      <c r="I805" t="s">
        <v>24</v>
      </c>
      <c r="J805" t="s">
        <v>25</v>
      </c>
      <c r="K805" s="2">
        <v>6303.5229561915803</v>
      </c>
      <c r="L805" s="2">
        <v>96561350.255688503</v>
      </c>
      <c r="M805" s="3">
        <v>11019.068266177201</v>
      </c>
      <c r="N805" s="3">
        <v>49340876.758995898</v>
      </c>
      <c r="O805" s="4">
        <v>8.3004470606799594E-2</v>
      </c>
      <c r="P805" s="4">
        <v>1.67143762073379E-2</v>
      </c>
      <c r="Q805" s="5">
        <v>-3.6362078656073597E-2</v>
      </c>
      <c r="R805" s="5">
        <v>1.1619051858511699E-3</v>
      </c>
      <c r="S805" s="6">
        <v>0.30387203017281</v>
      </c>
      <c r="T805" s="6">
        <v>4.9951958340627899E-2</v>
      </c>
      <c r="U805" s="7">
        <v>0.22617622519679301</v>
      </c>
      <c r="V805" s="7">
        <v>0.17502054035277101</v>
      </c>
      <c r="W805" s="8">
        <v>0.73198606777447195</v>
      </c>
      <c r="X805" s="8">
        <v>0.19618246435853301</v>
      </c>
      <c r="Y805" s="2">
        <v>34</v>
      </c>
      <c r="Z805" s="2">
        <f>VLOOKUP(E805,YieldData!T:U,2,FALSE)</f>
        <v>3938.173940949936</v>
      </c>
      <c r="AA805">
        <f t="shared" si="24"/>
        <v>0.47124059695716303</v>
      </c>
    </row>
    <row r="806" spans="1:27" hidden="1" x14ac:dyDescent="0.25">
      <c r="A806">
        <v>105</v>
      </c>
      <c r="B806">
        <v>201</v>
      </c>
      <c r="C806" t="s">
        <v>23</v>
      </c>
      <c r="D806" t="s">
        <v>100</v>
      </c>
      <c r="E806" t="e">
        <f t="shared" si="25"/>
        <v>#VALUE!</v>
      </c>
      <c r="H806">
        <v>30</v>
      </c>
      <c r="I806" t="s">
        <v>24</v>
      </c>
      <c r="J806" t="s">
        <v>25</v>
      </c>
      <c r="K806" s="2">
        <v>5764.9121959386703</v>
      </c>
      <c r="L806" s="2">
        <v>83710645.717970595</v>
      </c>
      <c r="M806" s="3">
        <v>13157.872959111601</v>
      </c>
      <c r="N806" s="3">
        <v>53145243.9810628</v>
      </c>
      <c r="O806" s="4">
        <v>5.0872195622138502E-2</v>
      </c>
      <c r="P806" s="4">
        <v>1.77606720553002E-2</v>
      </c>
      <c r="Q806" s="5">
        <v>-5.6253398232734203E-2</v>
      </c>
      <c r="R806" s="5">
        <v>1.5370772093553601E-3</v>
      </c>
      <c r="S806" s="6">
        <v>0.23279139521518299</v>
      </c>
      <c r="T806" s="6">
        <v>5.0703343442888599E-2</v>
      </c>
      <c r="U806" s="7">
        <v>0.17605061111244</v>
      </c>
      <c r="V806" s="7">
        <v>0.14505679343915101</v>
      </c>
      <c r="W806" s="8">
        <v>0.83803499037346196</v>
      </c>
      <c r="X806" s="8">
        <v>0.135732345283443</v>
      </c>
      <c r="Y806" s="2">
        <v>47</v>
      </c>
      <c r="Z806" s="2" t="e">
        <f>VLOOKUP(E806,YieldData!T:U,2,FALSE)</f>
        <v>#VALUE!</v>
      </c>
      <c r="AA806">
        <f t="shared" si="24"/>
        <v>0.913534329143595</v>
      </c>
    </row>
    <row r="807" spans="1:27" hidden="1" x14ac:dyDescent="0.25">
      <c r="A807">
        <v>106</v>
      </c>
      <c r="B807">
        <v>202</v>
      </c>
      <c r="C807" t="s">
        <v>23</v>
      </c>
      <c r="D807" t="s">
        <v>100</v>
      </c>
      <c r="E807" t="e">
        <f t="shared" si="25"/>
        <v>#VALUE!</v>
      </c>
      <c r="H807">
        <v>30</v>
      </c>
      <c r="I807" t="s">
        <v>24</v>
      </c>
      <c r="J807" t="s">
        <v>25</v>
      </c>
      <c r="K807" s="2">
        <v>8633.2814260258092</v>
      </c>
      <c r="L807" s="2">
        <v>136244810.88971701</v>
      </c>
      <c r="M807" s="3">
        <v>10768.2830551595</v>
      </c>
      <c r="N807" s="3">
        <v>68313657.740019605</v>
      </c>
      <c r="O807" s="4">
        <v>0.10529864158511</v>
      </c>
      <c r="P807" s="4">
        <v>1.91172710023449E-2</v>
      </c>
      <c r="Q807" s="5">
        <v>-4.4945295289190799E-2</v>
      </c>
      <c r="R807" s="5">
        <v>1.7507090881083299E-3</v>
      </c>
      <c r="S807" s="6">
        <v>0.315758128773381</v>
      </c>
      <c r="T807" s="6">
        <v>6.4251056147498098E-2</v>
      </c>
      <c r="U807" s="7">
        <v>0.28543238815073502</v>
      </c>
      <c r="V807" s="7">
        <v>0.20396073994524599</v>
      </c>
      <c r="W807" s="8">
        <v>0.85390301667424195</v>
      </c>
      <c r="X807" s="8">
        <v>0.124752654788926</v>
      </c>
      <c r="Y807" s="2">
        <v>49</v>
      </c>
      <c r="Z807" s="2" t="e">
        <f>VLOOKUP(E807,YieldData!T:U,2,FALSE)</f>
        <v>#VALUE!</v>
      </c>
      <c r="AA807">
        <f t="shared" si="24"/>
        <v>0.913534329143595</v>
      </c>
    </row>
    <row r="808" spans="1:27" hidden="1" x14ac:dyDescent="0.25">
      <c r="A808">
        <v>107</v>
      </c>
      <c r="B808">
        <v>203</v>
      </c>
      <c r="C808" t="s">
        <v>23</v>
      </c>
      <c r="D808" t="s">
        <v>100</v>
      </c>
      <c r="E808" t="e">
        <f t="shared" si="25"/>
        <v>#VALUE!</v>
      </c>
      <c r="H808">
        <v>30</v>
      </c>
      <c r="I808" t="s">
        <v>24</v>
      </c>
      <c r="J808" t="s">
        <v>25</v>
      </c>
      <c r="K808" s="2">
        <v>7053.8071781458902</v>
      </c>
      <c r="L808" s="2">
        <v>129274423.37476499</v>
      </c>
      <c r="M808" s="3">
        <v>14104.764318796</v>
      </c>
      <c r="N808" s="3">
        <v>65519024.142329998</v>
      </c>
      <c r="O808" s="4">
        <v>3.9508810557650598E-2</v>
      </c>
      <c r="P808" s="4">
        <v>1.7169499071568801E-2</v>
      </c>
      <c r="Q808" s="5">
        <v>-6.1189193024333698E-2</v>
      </c>
      <c r="R808" s="5">
        <v>1.2208221925260701E-3</v>
      </c>
      <c r="S808" s="6">
        <v>0.23418823031383501</v>
      </c>
      <c r="T808" s="6">
        <v>5.9520842099768198E-2</v>
      </c>
      <c r="U808" s="7">
        <v>0.21021021021021</v>
      </c>
      <c r="V808" s="7">
        <v>0.16602187773357999</v>
      </c>
      <c r="W808" s="8">
        <v>0.74878308672172</v>
      </c>
      <c r="X808" s="8">
        <v>0.18810697576115901</v>
      </c>
      <c r="Y808" s="2">
        <v>28</v>
      </c>
      <c r="Z808" s="2" t="e">
        <f>VLOOKUP(E808,YieldData!T:U,2,FALSE)</f>
        <v>#VALUE!</v>
      </c>
      <c r="AA808">
        <f t="shared" si="24"/>
        <v>0.913534329143595</v>
      </c>
    </row>
    <row r="809" spans="1:27" hidden="1" x14ac:dyDescent="0.25">
      <c r="A809">
        <v>108</v>
      </c>
      <c r="B809">
        <v>204</v>
      </c>
      <c r="C809" t="s">
        <v>23</v>
      </c>
      <c r="D809">
        <v>25107</v>
      </c>
      <c r="E809">
        <f t="shared" si="25"/>
        <v>25107204</v>
      </c>
      <c r="F809">
        <f>VLOOKUP(E809,YieldData!D:F,2,FALSE)</f>
        <v>5</v>
      </c>
      <c r="G809">
        <f>VLOOKUP($E809,YieldData!$D:$F,3,FALSE)</f>
        <v>3</v>
      </c>
      <c r="H809">
        <v>30</v>
      </c>
      <c r="I809" t="s">
        <v>24</v>
      </c>
      <c r="J809" t="s">
        <v>25</v>
      </c>
      <c r="K809" s="2">
        <v>6750.9214696630797</v>
      </c>
      <c r="L809" s="2">
        <v>102890043.49602801</v>
      </c>
      <c r="M809" s="3">
        <v>11719.3196555132</v>
      </c>
      <c r="N809" s="3">
        <v>62651735.358207002</v>
      </c>
      <c r="O809" s="4">
        <v>7.5253866379305298E-2</v>
      </c>
      <c r="P809" s="4">
        <v>2.2202126953200198E-2</v>
      </c>
      <c r="Q809" s="5">
        <v>-4.8656849123265199E-2</v>
      </c>
      <c r="R809" s="5">
        <v>1.4170441555116399E-3</v>
      </c>
      <c r="S809" s="6">
        <v>0.27539059984423497</v>
      </c>
      <c r="T809" s="6">
        <v>6.5740769004344904E-2</v>
      </c>
      <c r="U809" s="7">
        <v>0.24543421320161199</v>
      </c>
      <c r="V809" s="7">
        <v>0.18519626019187199</v>
      </c>
      <c r="W809" s="8">
        <v>0.70888997859133396</v>
      </c>
      <c r="X809" s="8">
        <v>0.20636497684458599</v>
      </c>
      <c r="Y809" s="2">
        <v>39</v>
      </c>
      <c r="Z809" s="2">
        <f>VLOOKUP(E809,YieldData!T:U,2,FALSE)</f>
        <v>2665.7028241335051</v>
      </c>
      <c r="AA809">
        <f t="shared" si="24"/>
        <v>0.44989833751943498</v>
      </c>
    </row>
    <row r="810" spans="1:27" hidden="1" x14ac:dyDescent="0.25">
      <c r="A810">
        <v>109</v>
      </c>
      <c r="B810">
        <v>205</v>
      </c>
      <c r="C810" t="s">
        <v>23</v>
      </c>
      <c r="D810">
        <v>25107</v>
      </c>
      <c r="E810">
        <f t="shared" si="25"/>
        <v>25107205</v>
      </c>
      <c r="F810">
        <f>VLOOKUP(E810,YieldData!D:F,2,FALSE)</f>
        <v>2</v>
      </c>
      <c r="G810">
        <f>VLOOKUP($E810,YieldData!$D:$F,3,FALSE)</f>
        <v>3</v>
      </c>
      <c r="H810">
        <v>30</v>
      </c>
      <c r="I810" t="s">
        <v>24</v>
      </c>
      <c r="J810" t="s">
        <v>25</v>
      </c>
      <c r="K810" s="2">
        <v>8153.5666621085702</v>
      </c>
      <c r="L810" s="2">
        <v>141385810.17917401</v>
      </c>
      <c r="M810" s="3">
        <v>9553.4293096798592</v>
      </c>
      <c r="N810" s="3">
        <v>57769616.740877703</v>
      </c>
      <c r="O810" s="4">
        <v>8.9894179097477295E-2</v>
      </c>
      <c r="P810" s="4">
        <v>1.9814046002569301E-2</v>
      </c>
      <c r="Q810" s="5">
        <v>-3.5186997476461999E-2</v>
      </c>
      <c r="R810" s="5">
        <v>1.4692172946739E-3</v>
      </c>
      <c r="S810" s="6">
        <v>0.31151968429663002</v>
      </c>
      <c r="T810" s="6">
        <v>6.3000084718594196E-2</v>
      </c>
      <c r="U810" s="7">
        <v>0.26763049612769302</v>
      </c>
      <c r="V810" s="7">
        <v>0.19600441366999799</v>
      </c>
      <c r="W810" s="8">
        <v>0.62145228061015201</v>
      </c>
      <c r="X810" s="8">
        <v>0.235249343534852</v>
      </c>
      <c r="Y810" s="2">
        <v>32</v>
      </c>
      <c r="Z810" s="2">
        <f>VLOOKUP(E810,YieldData!T:U,2,FALSE)</f>
        <v>2740.9948652118101</v>
      </c>
      <c r="AA810">
        <f t="shared" si="24"/>
        <v>0.47171805072103401</v>
      </c>
    </row>
    <row r="811" spans="1:27" hidden="1" x14ac:dyDescent="0.25">
      <c r="A811">
        <v>110</v>
      </c>
      <c r="B811">
        <v>206</v>
      </c>
      <c r="C811" t="s">
        <v>23</v>
      </c>
      <c r="D811">
        <v>25107</v>
      </c>
      <c r="E811">
        <f t="shared" si="25"/>
        <v>25107206</v>
      </c>
      <c r="F811">
        <f>VLOOKUP(E811,YieldData!D:F,2,FALSE)</f>
        <v>1</v>
      </c>
      <c r="G811">
        <f>VLOOKUP($E811,YieldData!$D:$F,3,FALSE)</f>
        <v>3</v>
      </c>
      <c r="H811">
        <v>30</v>
      </c>
      <c r="I811" t="s">
        <v>24</v>
      </c>
      <c r="J811" t="s">
        <v>25</v>
      </c>
      <c r="K811" s="2">
        <v>6220.8628339751704</v>
      </c>
      <c r="L811" s="2">
        <v>95496874.753723502</v>
      </c>
      <c r="M811" s="3">
        <v>10340.3519376369</v>
      </c>
      <c r="N811" s="3">
        <v>39833267.421774097</v>
      </c>
      <c r="O811" s="4">
        <v>8.4865984850198001E-2</v>
      </c>
      <c r="P811" s="4">
        <v>1.7017628204366801E-2</v>
      </c>
      <c r="Q811" s="5">
        <v>-3.5162385395601799E-2</v>
      </c>
      <c r="R811" s="5">
        <v>1.38349473864075E-3</v>
      </c>
      <c r="S811" s="6">
        <v>0.29395025474643499</v>
      </c>
      <c r="T811" s="6">
        <v>5.1533695297418199E-2</v>
      </c>
      <c r="U811" s="7">
        <v>0.22907647044753299</v>
      </c>
      <c r="V811" s="7">
        <v>0.17660044113450801</v>
      </c>
      <c r="W811" s="8">
        <v>0.97169303627166104</v>
      </c>
      <c r="X811" s="8">
        <v>2.7505679532773501E-2</v>
      </c>
      <c r="Y811" s="2">
        <v>85</v>
      </c>
      <c r="Z811" s="2">
        <f>VLOOKUP(E811,YieldData!T:U,2,FALSE)</f>
        <v>1823.433889602054</v>
      </c>
      <c r="AA811">
        <f t="shared" si="24"/>
        <v>0.46218889407149599</v>
      </c>
    </row>
    <row r="812" spans="1:27" hidden="1" x14ac:dyDescent="0.25">
      <c r="A812">
        <v>111</v>
      </c>
      <c r="B812">
        <v>207</v>
      </c>
      <c r="C812" t="s">
        <v>23</v>
      </c>
      <c r="D812">
        <v>25107</v>
      </c>
      <c r="E812">
        <f t="shared" si="25"/>
        <v>25107207</v>
      </c>
      <c r="F812">
        <f>VLOOKUP(E812,YieldData!D:F,2,FALSE)</f>
        <v>3</v>
      </c>
      <c r="G812">
        <f>VLOOKUP($E812,YieldData!$D:$F,3,FALSE)</f>
        <v>3</v>
      </c>
      <c r="H812">
        <v>30</v>
      </c>
      <c r="I812" t="s">
        <v>24</v>
      </c>
      <c r="J812" t="s">
        <v>25</v>
      </c>
      <c r="K812" s="2">
        <v>6894.1378795963901</v>
      </c>
      <c r="L812" s="2">
        <v>110017307.278809</v>
      </c>
      <c r="M812" s="3">
        <v>10544.839719961799</v>
      </c>
      <c r="N812" s="3">
        <v>42086719.717400298</v>
      </c>
      <c r="O812" s="4">
        <v>6.3636917165072304E-2</v>
      </c>
      <c r="P812" s="4">
        <v>1.6844155902766798E-2</v>
      </c>
      <c r="Q812" s="5">
        <v>-4.1371593283266901E-2</v>
      </c>
      <c r="R812" s="5">
        <v>1.24870107027769E-3</v>
      </c>
      <c r="S812" s="6">
        <v>0.28301998976959503</v>
      </c>
      <c r="T812" s="6">
        <v>5.3910761736573699E-2</v>
      </c>
      <c r="U812" s="7">
        <v>0.232038905598137</v>
      </c>
      <c r="V812" s="7">
        <v>0.17819685188678699</v>
      </c>
      <c r="W812" s="8">
        <v>0.86715177975865598</v>
      </c>
      <c r="X812" s="8">
        <v>0.11519957061994</v>
      </c>
      <c r="Y812" s="2">
        <v>49</v>
      </c>
      <c r="Z812" s="2">
        <f>VLOOKUP(E812,YieldData!T:U,2,FALSE)</f>
        <v>2319.6341463414633</v>
      </c>
      <c r="AA812">
        <f t="shared" si="24"/>
        <v>0.402401164200825</v>
      </c>
    </row>
    <row r="813" spans="1:27" hidden="1" x14ac:dyDescent="0.25">
      <c r="A813">
        <v>112</v>
      </c>
      <c r="B813">
        <v>208</v>
      </c>
      <c r="C813" t="s">
        <v>23</v>
      </c>
      <c r="D813">
        <v>25107</v>
      </c>
      <c r="E813">
        <f t="shared" si="25"/>
        <v>25107208</v>
      </c>
      <c r="F813">
        <f>VLOOKUP(E813,YieldData!D:F,2,FALSE)</f>
        <v>4</v>
      </c>
      <c r="G813">
        <f>VLOOKUP($E813,YieldData!$D:$F,3,FALSE)</f>
        <v>3</v>
      </c>
      <c r="H813">
        <v>30</v>
      </c>
      <c r="I813" t="s">
        <v>24</v>
      </c>
      <c r="J813" t="s">
        <v>25</v>
      </c>
      <c r="K813" s="2">
        <v>6802.6818459135602</v>
      </c>
      <c r="L813" s="2">
        <v>112054098.511951</v>
      </c>
      <c r="M813" s="3">
        <v>11544.1920998604</v>
      </c>
      <c r="N813" s="3">
        <v>52293355.350028902</v>
      </c>
      <c r="O813" s="4">
        <v>6.1304365122207903E-2</v>
      </c>
      <c r="P813" s="4">
        <v>1.7494656840855601E-2</v>
      </c>
      <c r="Q813" s="5">
        <v>-4.2453277592973203E-2</v>
      </c>
      <c r="R813" s="5">
        <v>1.30644265032547E-3</v>
      </c>
      <c r="S813" s="6">
        <v>0.27467177295332801</v>
      </c>
      <c r="T813" s="6">
        <v>5.6404798127914497E-2</v>
      </c>
      <c r="U813" s="7">
        <v>0.22150230617175501</v>
      </c>
      <c r="V813" s="7">
        <v>0.172439034532202</v>
      </c>
      <c r="W813" s="8">
        <v>0.77085672443251196</v>
      </c>
      <c r="X813" s="8">
        <v>0.17663663482941899</v>
      </c>
      <c r="Y813" s="2">
        <v>34</v>
      </c>
      <c r="Z813" s="2">
        <f>VLOOKUP(E813,YieldData!T:U,2,FALSE)</f>
        <v>1785.5487804878051</v>
      </c>
      <c r="AA813">
        <f t="shared" si="24"/>
        <v>0.41079926784624798</v>
      </c>
    </row>
    <row r="814" spans="1:27" hidden="1" x14ac:dyDescent="0.25">
      <c r="A814">
        <v>113</v>
      </c>
      <c r="B814">
        <v>209</v>
      </c>
      <c r="C814" t="s">
        <v>23</v>
      </c>
      <c r="D814">
        <v>25107</v>
      </c>
      <c r="E814">
        <f t="shared" si="25"/>
        <v>25107209</v>
      </c>
      <c r="F814">
        <f>VLOOKUP(E814,YieldData!D:F,2,FALSE)</f>
        <v>6</v>
      </c>
      <c r="G814">
        <f>VLOOKUP($E814,YieldData!$D:$F,3,FALSE)</f>
        <v>3</v>
      </c>
      <c r="H814">
        <v>30</v>
      </c>
      <c r="I814" t="s">
        <v>24</v>
      </c>
      <c r="J814" t="s">
        <v>25</v>
      </c>
      <c r="K814" s="2">
        <v>6882.5375608472596</v>
      </c>
      <c r="L814" s="2">
        <v>104694713.16059899</v>
      </c>
      <c r="M814" s="3">
        <v>11353.241582532401</v>
      </c>
      <c r="N814" s="3">
        <v>59525984.060327701</v>
      </c>
      <c r="O814" s="4">
        <v>8.2350761953462401E-2</v>
      </c>
      <c r="P814" s="4">
        <v>2.0803277399470001E-2</v>
      </c>
      <c r="Q814" s="5">
        <v>-4.07739097300958E-2</v>
      </c>
      <c r="R814" s="5">
        <v>1.2964828320945301E-3</v>
      </c>
      <c r="S814" s="6">
        <v>0.29616347451759201</v>
      </c>
      <c r="T814" s="6">
        <v>6.22575610610882E-2</v>
      </c>
      <c r="U814" s="7">
        <v>0.25390199854086198</v>
      </c>
      <c r="V814" s="7">
        <v>0.189435773677986</v>
      </c>
      <c r="W814" s="8">
        <v>0.78326696085817804</v>
      </c>
      <c r="X814" s="8">
        <v>0.16975982888607499</v>
      </c>
      <c r="Y814" s="2">
        <v>29</v>
      </c>
      <c r="Z814" s="2">
        <f>VLOOKUP(E814,YieldData!T:U,2,FALSE)</f>
        <v>1467.1453786906291</v>
      </c>
      <c r="AA814">
        <f t="shared" si="24"/>
        <v>0.45786634450916802</v>
      </c>
    </row>
    <row r="815" spans="1:27" hidden="1" x14ac:dyDescent="0.25">
      <c r="A815">
        <v>114</v>
      </c>
      <c r="B815">
        <v>210</v>
      </c>
      <c r="C815" t="s">
        <v>23</v>
      </c>
      <c r="D815">
        <v>25107</v>
      </c>
      <c r="E815">
        <f t="shared" si="25"/>
        <v>25107210</v>
      </c>
      <c r="F815">
        <f>VLOOKUP(E815,YieldData!D:F,2,FALSE)</f>
        <v>7</v>
      </c>
      <c r="G815">
        <f>VLOOKUP($E815,YieldData!$D:$F,3,FALSE)</f>
        <v>3</v>
      </c>
      <c r="H815">
        <v>30</v>
      </c>
      <c r="I815" t="s">
        <v>24</v>
      </c>
      <c r="J815" t="s">
        <v>25</v>
      </c>
      <c r="K815" s="2">
        <v>7432.27320282858</v>
      </c>
      <c r="L815" s="2">
        <v>95712345.822302699</v>
      </c>
      <c r="M815" s="3">
        <v>11206.0860646079</v>
      </c>
      <c r="N815" s="3">
        <v>59260179.969454803</v>
      </c>
      <c r="O815" s="4">
        <v>0.101106010258914</v>
      </c>
      <c r="P815" s="4">
        <v>1.9972074676004401E-2</v>
      </c>
      <c r="Q815" s="5">
        <v>-3.2781348726912199E-2</v>
      </c>
      <c r="R815" s="5">
        <v>1.3020017295137601E-3</v>
      </c>
      <c r="S815" s="6">
        <v>0.32269349336013198</v>
      </c>
      <c r="T815" s="6">
        <v>5.7083014275642503E-2</v>
      </c>
      <c r="U815" s="7">
        <v>0.27082046563220902</v>
      </c>
      <c r="V815" s="7">
        <v>0.197476741027099</v>
      </c>
      <c r="W815" s="8">
        <v>0.86003806258901205</v>
      </c>
      <c r="X815" s="8">
        <v>0.12037259348717699</v>
      </c>
      <c r="Y815" s="2">
        <v>39</v>
      </c>
      <c r="Z815" s="2">
        <f>VLOOKUP(E815,YieldData!T:U,2,FALSE)</f>
        <v>1599.6951219512193</v>
      </c>
      <c r="AA815">
        <f t="shared" si="24"/>
        <v>0.55738738057425197</v>
      </c>
    </row>
    <row r="816" spans="1:27" hidden="1" x14ac:dyDescent="0.25">
      <c r="A816">
        <v>115</v>
      </c>
      <c r="B816">
        <v>211</v>
      </c>
      <c r="C816" t="s">
        <v>23</v>
      </c>
      <c r="D816">
        <v>25107</v>
      </c>
      <c r="E816">
        <f t="shared" si="25"/>
        <v>25107211</v>
      </c>
      <c r="F816">
        <f>VLOOKUP(E816,YieldData!D:F,2,FALSE)</f>
        <v>7</v>
      </c>
      <c r="G816">
        <f>VLOOKUP($E816,YieldData!$D:$F,3,FALSE)</f>
        <v>2</v>
      </c>
      <c r="H816">
        <v>30</v>
      </c>
      <c r="I816" t="s">
        <v>24</v>
      </c>
      <c r="J816" t="s">
        <v>25</v>
      </c>
      <c r="K816" s="2">
        <v>5144.4586708689303</v>
      </c>
      <c r="L816" s="2">
        <v>66975806.471175998</v>
      </c>
      <c r="M816" s="3">
        <v>11999.616283498999</v>
      </c>
      <c r="N816" s="3">
        <v>48838701.404668599</v>
      </c>
      <c r="O816" s="4">
        <v>8.0885819920856999E-2</v>
      </c>
      <c r="P816" s="4">
        <v>2.1632291461402699E-2</v>
      </c>
      <c r="Q816" s="5">
        <v>-3.34135801786637E-2</v>
      </c>
      <c r="R816" s="5">
        <v>1.20847922398934E-3</v>
      </c>
      <c r="S816" s="6">
        <v>0.283422676526082</v>
      </c>
      <c r="T816" s="6">
        <v>5.4582308465095798E-2</v>
      </c>
      <c r="U816" s="7">
        <v>0.21160712087262701</v>
      </c>
      <c r="V816" s="7">
        <v>0.16682954726878901</v>
      </c>
      <c r="W816" s="8">
        <v>0.83373342689367402</v>
      </c>
      <c r="X816" s="8">
        <v>0.13862199977377401</v>
      </c>
      <c r="Y816" s="2">
        <v>45</v>
      </c>
      <c r="Z816" s="2">
        <f>VLOOKUP(E816,YieldData!T:U,2,FALSE)</f>
        <v>1675.2695763799745</v>
      </c>
      <c r="AA816">
        <f t="shared" si="24"/>
        <v>0.44863414213785402</v>
      </c>
    </row>
    <row r="817" spans="1:27" hidden="1" x14ac:dyDescent="0.25">
      <c r="A817">
        <v>116</v>
      </c>
      <c r="B817">
        <v>212</v>
      </c>
      <c r="C817" t="s">
        <v>23</v>
      </c>
      <c r="D817">
        <v>25107</v>
      </c>
      <c r="E817">
        <f t="shared" si="25"/>
        <v>25107212</v>
      </c>
      <c r="F817">
        <f>VLOOKUP(E817,YieldData!D:F,2,FALSE)</f>
        <v>6</v>
      </c>
      <c r="G817">
        <f>VLOOKUP($E817,YieldData!$D:$F,3,FALSE)</f>
        <v>2</v>
      </c>
      <c r="H817">
        <v>30</v>
      </c>
      <c r="I817" t="s">
        <v>24</v>
      </c>
      <c r="J817" t="s">
        <v>25</v>
      </c>
      <c r="K817" s="2">
        <v>5914.6687436464699</v>
      </c>
      <c r="L817" s="2">
        <v>87510108.211074293</v>
      </c>
      <c r="M817" s="3">
        <v>11704.9977184446</v>
      </c>
      <c r="N817" s="3">
        <v>52874966.527311198</v>
      </c>
      <c r="O817" s="4">
        <v>7.2032289993988502E-2</v>
      </c>
      <c r="P817" s="4">
        <v>1.7932065278926899E-2</v>
      </c>
      <c r="Q817" s="5">
        <v>-4.0674948005112302E-2</v>
      </c>
      <c r="R817" s="5">
        <v>1.2435436645395299E-3</v>
      </c>
      <c r="S817" s="6">
        <v>0.28052704413145102</v>
      </c>
      <c r="T817" s="6">
        <v>5.3774511523625501E-2</v>
      </c>
      <c r="U817" s="7">
        <v>0.22308198289780501</v>
      </c>
      <c r="V817" s="7">
        <v>0.17331641180405899</v>
      </c>
      <c r="W817" s="8">
        <v>0.78665231431646898</v>
      </c>
      <c r="X817" s="8">
        <v>0.16783045069713501</v>
      </c>
      <c r="Y817" s="2">
        <v>44</v>
      </c>
      <c r="Z817" s="2">
        <f>VLOOKUP(E817,YieldData!T:U,2,FALSE)</f>
        <v>2312.836970474968</v>
      </c>
      <c r="AA817">
        <f t="shared" si="24"/>
        <v>0.36414733317388198</v>
      </c>
    </row>
    <row r="818" spans="1:27" hidden="1" x14ac:dyDescent="0.25">
      <c r="A818">
        <v>117</v>
      </c>
      <c r="B818">
        <v>301</v>
      </c>
      <c r="C818" t="s">
        <v>23</v>
      </c>
      <c r="D818">
        <v>25110</v>
      </c>
      <c r="E818">
        <f t="shared" si="25"/>
        <v>25110301</v>
      </c>
      <c r="F818">
        <f>VLOOKUP(E818,YieldData!D:F,2,FALSE)</f>
        <v>1</v>
      </c>
      <c r="G818">
        <f>VLOOKUP($E818,YieldData!$D:$F,3,FALSE)</f>
        <v>1</v>
      </c>
      <c r="H818">
        <v>30</v>
      </c>
      <c r="I818" t="s">
        <v>24</v>
      </c>
      <c r="J818" t="s">
        <v>25</v>
      </c>
      <c r="K818" s="2">
        <v>7267.5983021416196</v>
      </c>
      <c r="L818" s="2">
        <v>103560045.230088</v>
      </c>
      <c r="M818" s="3">
        <v>13537.674313399601</v>
      </c>
      <c r="N818" s="3">
        <v>84358221.075011402</v>
      </c>
      <c r="O818" s="4">
        <v>7.1522191808848598E-2</v>
      </c>
      <c r="P818" s="4">
        <v>2.60546065544177E-2</v>
      </c>
      <c r="Q818" s="5">
        <v>-4.77942785248332E-2</v>
      </c>
      <c r="R818" s="5">
        <v>1.6558225149034701E-3</v>
      </c>
      <c r="S818" s="6">
        <v>0.26882132446023199</v>
      </c>
      <c r="T818" s="6">
        <v>6.9881048933390005E-2</v>
      </c>
      <c r="U818" s="7">
        <v>0.25459434690333799</v>
      </c>
      <c r="V818" s="7">
        <v>0.18977606542806999</v>
      </c>
      <c r="W818" s="8">
        <v>0.63264764752694902</v>
      </c>
      <c r="X818" s="8">
        <v>0.232404601605851</v>
      </c>
      <c r="Y818" s="2">
        <v>19</v>
      </c>
      <c r="Z818" s="2">
        <f>VLOOKUP(E818,YieldData!T:U,2,FALSE)</f>
        <v>1782.9894094993581</v>
      </c>
      <c r="AA818">
        <f t="shared" si="24"/>
        <v>0.52055802064242296</v>
      </c>
    </row>
    <row r="819" spans="1:27" hidden="1" x14ac:dyDescent="0.25">
      <c r="A819">
        <v>118</v>
      </c>
      <c r="B819">
        <v>302</v>
      </c>
      <c r="C819" t="s">
        <v>23</v>
      </c>
      <c r="D819">
        <v>25110</v>
      </c>
      <c r="E819">
        <f t="shared" si="25"/>
        <v>25110302</v>
      </c>
      <c r="F819">
        <f>VLOOKUP(E819,YieldData!D:F,2,FALSE)</f>
        <v>2</v>
      </c>
      <c r="G819">
        <f>VLOOKUP($E819,YieldData!$D:$F,3,FALSE)</f>
        <v>1</v>
      </c>
      <c r="H819">
        <v>30</v>
      </c>
      <c r="I819" t="s">
        <v>24</v>
      </c>
      <c r="J819" t="s">
        <v>25</v>
      </c>
      <c r="K819" s="2">
        <v>7293.2512199789498</v>
      </c>
      <c r="L819" s="2">
        <v>114894351.551278</v>
      </c>
      <c r="M819" s="3">
        <v>14369.8921477734</v>
      </c>
      <c r="N819" s="3">
        <v>78244721.302253306</v>
      </c>
      <c r="O819" s="4">
        <v>5.3828810224390899E-2</v>
      </c>
      <c r="P819" s="4">
        <v>2.0003360423324099E-2</v>
      </c>
      <c r="Q819" s="5">
        <v>-5.7007182253151101E-2</v>
      </c>
      <c r="R819" s="5">
        <v>1.1479315431832901E-3</v>
      </c>
      <c r="S819" s="6">
        <v>0.24893109130295901</v>
      </c>
      <c r="T819" s="6">
        <v>6.2683600420336702E-2</v>
      </c>
      <c r="U819" s="7">
        <v>0.22672471533824501</v>
      </c>
      <c r="V819" s="7">
        <v>0.175320618792903</v>
      </c>
      <c r="W819" s="8">
        <v>0.74252535399923503</v>
      </c>
      <c r="X819" s="8">
        <v>0.19118145266748299</v>
      </c>
      <c r="Y819" s="2">
        <v>30</v>
      </c>
      <c r="Z819" s="2">
        <f>VLOOKUP(E819,YieldData!T:U,2,FALSE)</f>
        <v>1480.0224646983313</v>
      </c>
      <c r="AA819">
        <f t="shared" si="24"/>
        <v>0.51252795617906299</v>
      </c>
    </row>
    <row r="820" spans="1:27" hidden="1" x14ac:dyDescent="0.25">
      <c r="A820">
        <v>119</v>
      </c>
      <c r="B820">
        <v>303</v>
      </c>
      <c r="C820" t="s">
        <v>23</v>
      </c>
      <c r="D820">
        <v>25110</v>
      </c>
      <c r="E820">
        <f t="shared" si="25"/>
        <v>25110303</v>
      </c>
      <c r="F820">
        <f>VLOOKUP(E820,YieldData!D:F,2,FALSE)</f>
        <v>3</v>
      </c>
      <c r="G820">
        <f>VLOOKUP($E820,YieldData!$D:$F,3,FALSE)</f>
        <v>1</v>
      </c>
      <c r="H820">
        <v>30</v>
      </c>
      <c r="I820" t="s">
        <v>24</v>
      </c>
      <c r="J820" t="s">
        <v>25</v>
      </c>
      <c r="K820" s="2">
        <v>9115.6886778915105</v>
      </c>
      <c r="L820" s="2">
        <v>142933183.05327299</v>
      </c>
      <c r="M820" s="3">
        <v>11763.984019396599</v>
      </c>
      <c r="N820" s="3">
        <v>98362939.488609105</v>
      </c>
      <c r="O820" s="4">
        <v>9.4467781481521504E-2</v>
      </c>
      <c r="P820" s="4">
        <v>2.6599814375673402E-2</v>
      </c>
      <c r="Q820" s="5">
        <v>-4.5399084263165003E-2</v>
      </c>
      <c r="R820" s="5">
        <v>1.3977902420713301E-3</v>
      </c>
      <c r="S820" s="6">
        <v>0.314038398542899</v>
      </c>
      <c r="T820" s="6">
        <v>8.0416557634677005E-2</v>
      </c>
      <c r="U820" s="7">
        <v>0.30896632545680702</v>
      </c>
      <c r="V820" s="7">
        <v>0.21350613519070599</v>
      </c>
      <c r="W820" s="8">
        <v>0.48092817415226402</v>
      </c>
      <c r="X820" s="8">
        <v>0.24963626545873099</v>
      </c>
      <c r="Y820" s="2">
        <v>13</v>
      </c>
      <c r="Z820" s="2">
        <f>VLOOKUP(E820,YieldData!T:U,2,FALSE)</f>
        <v>1611.0173299101414</v>
      </c>
      <c r="AA820">
        <f t="shared" si="24"/>
        <v>0.61807200095682302</v>
      </c>
    </row>
    <row r="821" spans="1:27" hidden="1" x14ac:dyDescent="0.25">
      <c r="A821">
        <v>120</v>
      </c>
      <c r="B821">
        <v>304</v>
      </c>
      <c r="C821" t="s">
        <v>23</v>
      </c>
      <c r="D821">
        <v>25110</v>
      </c>
      <c r="E821">
        <f t="shared" si="25"/>
        <v>25110304</v>
      </c>
      <c r="F821">
        <f>VLOOKUP(E821,YieldData!D:F,2,FALSE)</f>
        <v>4</v>
      </c>
      <c r="G821">
        <f>VLOOKUP($E821,YieldData!$D:$F,3,FALSE)</f>
        <v>1</v>
      </c>
      <c r="H821">
        <v>30</v>
      </c>
      <c r="I821" t="s">
        <v>24</v>
      </c>
      <c r="J821" t="s">
        <v>25</v>
      </c>
      <c r="K821" s="2">
        <v>8915.3033717272501</v>
      </c>
      <c r="L821" s="2">
        <v>146184548.12160701</v>
      </c>
      <c r="M821" s="3">
        <v>11476.848345694299</v>
      </c>
      <c r="N821" s="3">
        <v>93807047.235201895</v>
      </c>
      <c r="O821" s="4">
        <v>9.4847278012108793E-2</v>
      </c>
      <c r="P821" s="4">
        <v>2.5466360753903398E-2</v>
      </c>
      <c r="Q821" s="5">
        <v>-4.1476848292626399E-2</v>
      </c>
      <c r="R821" s="5">
        <v>1.5069529627847701E-3</v>
      </c>
      <c r="S821" s="6">
        <v>0.31233215558884703</v>
      </c>
      <c r="T821" s="6">
        <v>7.9711752477788E-2</v>
      </c>
      <c r="U821" s="7">
        <v>0.31105051012474999</v>
      </c>
      <c r="V821" s="7">
        <v>0.214298090276138</v>
      </c>
      <c r="W821" s="8">
        <v>0.567871409094171</v>
      </c>
      <c r="X821" s="8">
        <v>0.24539347182723301</v>
      </c>
      <c r="Y821" s="2">
        <v>23</v>
      </c>
      <c r="Z821" s="2">
        <f>VLOOKUP(E821,YieldData!T:U,2,FALSE)</f>
        <v>1064.6341463414635</v>
      </c>
      <c r="AA821">
        <f t="shared" si="24"/>
        <v>0.569009030560373</v>
      </c>
    </row>
    <row r="822" spans="1:27" hidden="1" x14ac:dyDescent="0.25">
      <c r="A822">
        <v>121</v>
      </c>
      <c r="B822">
        <v>305</v>
      </c>
      <c r="C822" t="s">
        <v>23</v>
      </c>
      <c r="D822">
        <v>25110</v>
      </c>
      <c r="E822">
        <f t="shared" si="25"/>
        <v>25110305</v>
      </c>
      <c r="F822">
        <f>VLOOKUP(E822,YieldData!D:F,2,FALSE)</f>
        <v>5</v>
      </c>
      <c r="G822">
        <f>VLOOKUP($E822,YieldData!$D:$F,3,FALSE)</f>
        <v>1</v>
      </c>
      <c r="H822">
        <v>30</v>
      </c>
      <c r="I822" t="s">
        <v>24</v>
      </c>
      <c r="J822" t="s">
        <v>25</v>
      </c>
      <c r="K822" s="2">
        <v>7367.3356936951996</v>
      </c>
      <c r="L822" s="2">
        <v>123993871.705942</v>
      </c>
      <c r="M822" s="3">
        <v>11465.0556237325</v>
      </c>
      <c r="N822" s="3">
        <v>66047204.372960903</v>
      </c>
      <c r="O822" s="4">
        <v>8.8696808757266807E-2</v>
      </c>
      <c r="P822" s="4">
        <v>1.9344170865131498E-2</v>
      </c>
      <c r="Q822" s="5">
        <v>-3.3211632573734197E-2</v>
      </c>
      <c r="R822" s="5">
        <v>1.34301325133108E-3</v>
      </c>
      <c r="S822" s="6">
        <v>0.29041205205516102</v>
      </c>
      <c r="T822" s="6">
        <v>6.2235748122933303E-2</v>
      </c>
      <c r="U822" s="7">
        <v>0.25670131454612899</v>
      </c>
      <c r="V822" s="7">
        <v>0.190805749656761</v>
      </c>
      <c r="W822" s="8">
        <v>0.45495861838013701</v>
      </c>
      <c r="X822" s="8">
        <v>0.24797127394146301</v>
      </c>
      <c r="Y822" s="2">
        <v>11</v>
      </c>
      <c r="Z822" s="2">
        <f>VLOOKUP(E822,YieldData!T:U,2,FALSE)</f>
        <v>1594.5442875481385</v>
      </c>
      <c r="AA822">
        <f t="shared" si="24"/>
        <v>0.53438191495723897</v>
      </c>
    </row>
    <row r="823" spans="1:27" hidden="1" x14ac:dyDescent="0.25">
      <c r="A823">
        <v>122</v>
      </c>
      <c r="B823">
        <v>306</v>
      </c>
      <c r="C823" t="s">
        <v>23</v>
      </c>
      <c r="D823">
        <v>25110</v>
      </c>
      <c r="E823">
        <f t="shared" si="25"/>
        <v>25110306</v>
      </c>
      <c r="F823">
        <f>VLOOKUP(E823,YieldData!D:F,2,FALSE)</f>
        <v>6</v>
      </c>
      <c r="G823">
        <f>VLOOKUP($E823,YieldData!$D:$F,3,FALSE)</f>
        <v>1</v>
      </c>
      <c r="H823">
        <v>30</v>
      </c>
      <c r="I823" t="s">
        <v>24</v>
      </c>
      <c r="J823" t="s">
        <v>25</v>
      </c>
      <c r="K823" s="2">
        <v>4728.4552782329001</v>
      </c>
      <c r="L823" s="2">
        <v>89807106.000825301</v>
      </c>
      <c r="M823" s="3">
        <v>12338.1348802213</v>
      </c>
      <c r="N823" s="3">
        <v>43435179.247354098</v>
      </c>
      <c r="O823" s="4">
        <v>5.3431040347490702E-2</v>
      </c>
      <c r="P823" s="4">
        <v>1.38755310493164E-2</v>
      </c>
      <c r="Q823" s="5">
        <v>-3.6744528810703801E-2</v>
      </c>
      <c r="R823" s="5">
        <v>1.07569485183441E-3</v>
      </c>
      <c r="S823" s="6">
        <v>0.22670802595010001</v>
      </c>
      <c r="T823" s="6">
        <v>4.5168804831667797E-2</v>
      </c>
      <c r="U823" s="7">
        <v>0.15974024420871399</v>
      </c>
      <c r="V823" s="7">
        <v>0.13422329858874699</v>
      </c>
      <c r="W823" s="8">
        <v>0.79016479705326603</v>
      </c>
      <c r="X823" s="8">
        <v>0.165804390551059</v>
      </c>
      <c r="Y823" s="2">
        <v>29</v>
      </c>
      <c r="Z823" s="2">
        <f>VLOOKUP(E823,YieldData!T:U,2,FALSE)</f>
        <v>875.55519897304237</v>
      </c>
      <c r="AA823">
        <f t="shared" si="24"/>
        <v>0.44526830668404699</v>
      </c>
    </row>
    <row r="824" spans="1:27" hidden="1" x14ac:dyDescent="0.25">
      <c r="A824">
        <v>123</v>
      </c>
      <c r="B824">
        <v>307</v>
      </c>
      <c r="C824" t="s">
        <v>23</v>
      </c>
      <c r="D824">
        <v>25110</v>
      </c>
      <c r="E824">
        <f t="shared" si="25"/>
        <v>25110307</v>
      </c>
      <c r="F824">
        <f>VLOOKUP(E824,YieldData!D:F,2,FALSE)</f>
        <v>7</v>
      </c>
      <c r="G824">
        <f>VLOOKUP($E824,YieldData!$D:$F,3,FALSE)</f>
        <v>1</v>
      </c>
      <c r="H824">
        <v>30</v>
      </c>
      <c r="I824" t="s">
        <v>24</v>
      </c>
      <c r="J824" t="s">
        <v>25</v>
      </c>
      <c r="K824" s="2">
        <v>5809.3185003587696</v>
      </c>
      <c r="L824" s="2">
        <v>94139863.535019904</v>
      </c>
      <c r="M824" s="3">
        <v>12039.584615117899</v>
      </c>
      <c r="N824" s="3">
        <v>55604570.438143201</v>
      </c>
      <c r="O824" s="4">
        <v>6.2573273660173706E-2</v>
      </c>
      <c r="P824" s="4">
        <v>2.0772654269349499E-2</v>
      </c>
      <c r="Q824" s="5">
        <v>-4.1335748495742203E-2</v>
      </c>
      <c r="R824" s="5">
        <v>1.29198735559685E-3</v>
      </c>
      <c r="S824" s="6">
        <v>0.25266401788927501</v>
      </c>
      <c r="T824" s="6">
        <v>6.2133081728519203E-2</v>
      </c>
      <c r="U824" s="7">
        <v>0.221549868452523</v>
      </c>
      <c r="V824" s="7">
        <v>0.17246552424109701</v>
      </c>
      <c r="W824" s="8">
        <v>0.79446238488219101</v>
      </c>
      <c r="X824" s="8">
        <v>0.16329190388960799</v>
      </c>
      <c r="Y824" s="2">
        <v>28</v>
      </c>
      <c r="Z824" s="2">
        <f>VLOOKUP(E824,YieldData!T:U,2,FALSE)</f>
        <v>1489.1415275994866</v>
      </c>
      <c r="AA824">
        <f t="shared" si="24"/>
        <v>0.48000382701875199</v>
      </c>
    </row>
    <row r="825" spans="1:27" hidden="1" x14ac:dyDescent="0.25">
      <c r="A825">
        <v>124</v>
      </c>
      <c r="B825">
        <v>308</v>
      </c>
      <c r="C825" t="s">
        <v>23</v>
      </c>
      <c r="D825">
        <v>25110</v>
      </c>
      <c r="E825">
        <f t="shared" si="25"/>
        <v>25110308</v>
      </c>
      <c r="F825">
        <f>VLOOKUP(E825,YieldData!D:F,2,FALSE)</f>
        <v>8</v>
      </c>
      <c r="G825">
        <f>VLOOKUP($E825,YieldData!$D:$F,3,FALSE)</f>
        <v>1</v>
      </c>
      <c r="H825">
        <v>30</v>
      </c>
      <c r="I825" t="s">
        <v>24</v>
      </c>
      <c r="J825" t="s">
        <v>25</v>
      </c>
      <c r="K825" s="2">
        <v>8857.1840732944202</v>
      </c>
      <c r="L825" s="2">
        <v>156405177.98963201</v>
      </c>
      <c r="M825" s="3">
        <v>11767.453946133999</v>
      </c>
      <c r="N825" s="3">
        <v>75329385.096775994</v>
      </c>
      <c r="O825" s="4">
        <v>7.5971563288622507E-2</v>
      </c>
      <c r="P825" s="4">
        <v>2.0164076964511501E-2</v>
      </c>
      <c r="Q825" s="5">
        <v>-4.3691176861092001E-2</v>
      </c>
      <c r="R825" s="5">
        <v>1.52384720935492E-3</v>
      </c>
      <c r="S825" s="6">
        <v>0.29561752896996502</v>
      </c>
      <c r="T825" s="6">
        <v>7.1294655897268397E-2</v>
      </c>
      <c r="U825" s="7">
        <v>0.28128887187828899</v>
      </c>
      <c r="V825" s="7">
        <v>0.20216544243589399</v>
      </c>
      <c r="W825" s="8">
        <v>0.505434977578475</v>
      </c>
      <c r="X825" s="8">
        <v>0.24997046101867901</v>
      </c>
      <c r="Y825" s="2">
        <v>14</v>
      </c>
      <c r="Z825" s="2">
        <f>VLOOKUP(E825,YieldData!T:U,2,FALSE)</f>
        <v>1340.4685494223365</v>
      </c>
      <c r="AA825">
        <f t="shared" si="24"/>
        <v>0.50702018752391897</v>
      </c>
    </row>
    <row r="826" spans="1:27" hidden="1" x14ac:dyDescent="0.25">
      <c r="A826">
        <v>125</v>
      </c>
      <c r="B826">
        <v>309</v>
      </c>
      <c r="C826" t="s">
        <v>23</v>
      </c>
      <c r="D826">
        <v>25110</v>
      </c>
      <c r="E826">
        <f t="shared" si="25"/>
        <v>25110309</v>
      </c>
      <c r="F826">
        <f>VLOOKUP(E826,YieldData!D:F,2,FALSE)</f>
        <v>9</v>
      </c>
      <c r="G826">
        <f>VLOOKUP($E826,YieldData!$D:$F,3,FALSE)</f>
        <v>1</v>
      </c>
      <c r="H826">
        <v>30</v>
      </c>
      <c r="I826" t="s">
        <v>24</v>
      </c>
      <c r="J826" t="s">
        <v>25</v>
      </c>
      <c r="K826" s="2">
        <v>4646.3678136175004</v>
      </c>
      <c r="L826" s="2">
        <v>82516253.364503801</v>
      </c>
      <c r="M826" s="3">
        <v>13733.1608505031</v>
      </c>
      <c r="N826" s="3">
        <v>41615477.582728699</v>
      </c>
      <c r="O826" s="4">
        <v>4.8103507319065202E-2</v>
      </c>
      <c r="P826" s="4">
        <v>1.14301047671658E-2</v>
      </c>
      <c r="Q826" s="5">
        <v>-4.20954901889109E-2</v>
      </c>
      <c r="R826" s="5">
        <v>1.0953962251378699E-3</v>
      </c>
      <c r="S826" s="6">
        <v>0.217521522718503</v>
      </c>
      <c r="T826" s="6">
        <v>4.0937237287382897E-2</v>
      </c>
      <c r="U826" s="7">
        <v>0.14422398430866001</v>
      </c>
      <c r="V826" s="7">
        <v>0.1234234266587</v>
      </c>
      <c r="W826" s="8">
        <v>0.77418891931645595</v>
      </c>
      <c r="X826" s="8">
        <v>0.17482043652432</v>
      </c>
      <c r="Y826" s="2">
        <v>45</v>
      </c>
      <c r="Z826" s="2">
        <f>VLOOKUP(E826,YieldData!T:U,2,FALSE)</f>
        <v>1535.1412066752248</v>
      </c>
      <c r="AA826">
        <f t="shared" si="24"/>
        <v>0.30382214355760701</v>
      </c>
    </row>
    <row r="827" spans="1:27" hidden="1" x14ac:dyDescent="0.25">
      <c r="A827">
        <v>126</v>
      </c>
      <c r="B827">
        <v>310</v>
      </c>
      <c r="C827" t="s">
        <v>23</v>
      </c>
      <c r="D827">
        <v>25110</v>
      </c>
      <c r="E827">
        <f t="shared" si="25"/>
        <v>25110310</v>
      </c>
      <c r="F827">
        <f>VLOOKUP(E827,YieldData!D:F,2,FALSE)</f>
        <v>10</v>
      </c>
      <c r="G827">
        <f>VLOOKUP($E827,YieldData!$D:$F,3,FALSE)</f>
        <v>1</v>
      </c>
      <c r="H827">
        <v>30</v>
      </c>
      <c r="I827" t="s">
        <v>24</v>
      </c>
      <c r="J827" t="s">
        <v>25</v>
      </c>
      <c r="K827" s="2">
        <v>11317.6495126473</v>
      </c>
      <c r="L827" s="2">
        <v>172630197.64999801</v>
      </c>
      <c r="M827" s="3">
        <v>9857.86047556823</v>
      </c>
      <c r="N827" s="3">
        <v>66548665.768041402</v>
      </c>
      <c r="O827" s="4">
        <v>0.11670826486713</v>
      </c>
      <c r="P827" s="4">
        <v>1.6007848490718599E-2</v>
      </c>
      <c r="Q827" s="5">
        <v>-2.9755044468136298E-2</v>
      </c>
      <c r="R827" s="5">
        <v>1.5241956215278701E-3</v>
      </c>
      <c r="S827" s="6">
        <v>0.36115199376303703</v>
      </c>
      <c r="T827" s="6">
        <v>6.17756640828869E-2</v>
      </c>
      <c r="U827" s="7">
        <v>0.35913412665191702</v>
      </c>
      <c r="V827" s="7">
        <v>0.230156805725896</v>
      </c>
      <c r="W827" s="8">
        <v>0.67149486878932096</v>
      </c>
      <c r="X827" s="8">
        <v>0.220589509978838</v>
      </c>
      <c r="Y827" s="2">
        <v>31</v>
      </c>
      <c r="Z827" s="2">
        <f>VLOOKUP(E827,YieldData!T:U,2,FALSE)</f>
        <v>1065.8279845956356</v>
      </c>
      <c r="AA827">
        <f t="shared" si="24"/>
        <v>0.59022628330861604</v>
      </c>
    </row>
    <row r="828" spans="1:27" hidden="1" x14ac:dyDescent="0.25">
      <c r="A828">
        <v>127</v>
      </c>
      <c r="B828">
        <v>311</v>
      </c>
      <c r="C828" t="s">
        <v>23</v>
      </c>
      <c r="D828">
        <v>25110</v>
      </c>
      <c r="E828">
        <f t="shared" si="25"/>
        <v>25110311</v>
      </c>
      <c r="F828">
        <f>VLOOKUP(E828,YieldData!D:F,2,FALSE)</f>
        <v>11</v>
      </c>
      <c r="G828">
        <f>VLOOKUP($E828,YieldData!$D:$F,3,FALSE)</f>
        <v>1</v>
      </c>
      <c r="H828">
        <v>30</v>
      </c>
      <c r="I828" t="s">
        <v>24</v>
      </c>
      <c r="J828" t="s">
        <v>25</v>
      </c>
      <c r="K828" s="2">
        <v>9542.6025498354902</v>
      </c>
      <c r="L828" s="2">
        <v>153137188.361316</v>
      </c>
      <c r="M828" s="3">
        <v>10648.9042203513</v>
      </c>
      <c r="N828" s="3">
        <v>80632679.312087104</v>
      </c>
      <c r="O828" s="4">
        <v>0.116586114270674</v>
      </c>
      <c r="P828" s="4">
        <v>2.20221209932135E-2</v>
      </c>
      <c r="Q828" s="5">
        <v>-2.7472767692483999E-2</v>
      </c>
      <c r="R828" s="5">
        <v>1.3646025077836499E-3</v>
      </c>
      <c r="S828" s="6">
        <v>0.34442260265049102</v>
      </c>
      <c r="T828" s="6">
        <v>7.08941418358216E-2</v>
      </c>
      <c r="U828" s="7">
        <v>0.319636636346042</v>
      </c>
      <c r="V828" s="7">
        <v>0.217469057051247</v>
      </c>
      <c r="W828" s="8">
        <v>0.66942888595865102</v>
      </c>
      <c r="X828" s="8">
        <v>0.22129385260298301</v>
      </c>
      <c r="Y828" s="2">
        <v>29</v>
      </c>
      <c r="Z828" s="2">
        <f>VLOOKUP(E828,YieldData!T:U,2,FALSE)</f>
        <v>854.77695763799738</v>
      </c>
      <c r="AA828">
        <f t="shared" si="24"/>
        <v>0.44120778089615798</v>
      </c>
    </row>
    <row r="829" spans="1:27" hidden="1" x14ac:dyDescent="0.25">
      <c r="A829">
        <v>128</v>
      </c>
      <c r="B829">
        <v>312</v>
      </c>
      <c r="C829" t="s">
        <v>23</v>
      </c>
      <c r="D829">
        <v>25110</v>
      </c>
      <c r="E829">
        <f t="shared" si="25"/>
        <v>25110312</v>
      </c>
      <c r="F829">
        <f>VLOOKUP(E829,YieldData!D:F,2,FALSE)</f>
        <v>12</v>
      </c>
      <c r="G829">
        <f>VLOOKUP($E829,YieldData!$D:$F,3,FALSE)</f>
        <v>1</v>
      </c>
      <c r="H829">
        <v>30</v>
      </c>
      <c r="I829" t="s">
        <v>24</v>
      </c>
      <c r="J829" t="s">
        <v>25</v>
      </c>
      <c r="K829" s="2">
        <v>5905.1084122655902</v>
      </c>
      <c r="L829" s="2">
        <v>91538789.980843902</v>
      </c>
      <c r="M829" s="3">
        <v>11888.1270090534</v>
      </c>
      <c r="N829" s="3">
        <v>60023480.835556</v>
      </c>
      <c r="O829" s="4">
        <v>9.1121312108963695E-2</v>
      </c>
      <c r="P829" s="4">
        <v>1.8946685717615201E-2</v>
      </c>
      <c r="Q829" s="5">
        <v>-3.01616778629255E-2</v>
      </c>
      <c r="R829" s="5">
        <v>1.5625388424453E-3</v>
      </c>
      <c r="S829" s="6">
        <v>0.28244924900193802</v>
      </c>
      <c r="T829" s="6">
        <v>5.5505609428676501E-2</v>
      </c>
      <c r="U829" s="7">
        <v>0.21836729812476099</v>
      </c>
      <c r="V829" s="7">
        <v>0.17068302123412299</v>
      </c>
      <c r="W829" s="8">
        <v>0.71542702689773097</v>
      </c>
      <c r="X829" s="8">
        <v>0.203591196082094</v>
      </c>
      <c r="Y829" s="2">
        <v>33</v>
      </c>
      <c r="Z829" s="2">
        <f>VLOOKUP(E829,YieldData!T:U,2,FALSE)</f>
        <v>1500.4236200256737</v>
      </c>
      <c r="AA829">
        <f t="shared" si="24"/>
        <v>0.35516668062150902</v>
      </c>
    </row>
    <row r="830" spans="1:27" hidden="1" x14ac:dyDescent="0.25">
      <c r="A830">
        <v>129</v>
      </c>
      <c r="B830">
        <v>401</v>
      </c>
      <c r="C830" t="s">
        <v>23</v>
      </c>
      <c r="D830">
        <v>25110</v>
      </c>
      <c r="E830">
        <f t="shared" si="25"/>
        <v>25110401</v>
      </c>
      <c r="F830">
        <f>VLOOKUP(E830,YieldData!D:F,2,FALSE)</f>
        <v>3</v>
      </c>
      <c r="G830">
        <f>VLOOKUP($E830,YieldData!$D:$F,3,FALSE)</f>
        <v>2</v>
      </c>
      <c r="H830">
        <v>30</v>
      </c>
      <c r="I830" t="s">
        <v>24</v>
      </c>
      <c r="J830" t="s">
        <v>25</v>
      </c>
      <c r="K830" s="2">
        <v>7877.2016384620001</v>
      </c>
      <c r="L830" s="2">
        <v>102920489.998282</v>
      </c>
      <c r="M830" s="3">
        <v>13425.965420979201</v>
      </c>
      <c r="N830" s="3">
        <v>99130415.333584398</v>
      </c>
      <c r="O830" s="4">
        <v>7.5147010914076606E-2</v>
      </c>
      <c r="P830" s="4">
        <v>3.0811269198109701E-2</v>
      </c>
      <c r="Q830" s="5">
        <v>-5.0455598776343299E-2</v>
      </c>
      <c r="R830" s="5">
        <v>1.86443472028778E-3</v>
      </c>
      <c r="S830" s="6">
        <v>0.29063568575976101</v>
      </c>
      <c r="T830" s="6">
        <v>7.9960718778159703E-2</v>
      </c>
      <c r="U830" s="7">
        <v>0.28473360043054502</v>
      </c>
      <c r="V830" s="7">
        <v>0.203660377216586</v>
      </c>
      <c r="W830" s="8">
        <v>0.56295596431219697</v>
      </c>
      <c r="X830" s="8">
        <v>0.246036546557858</v>
      </c>
      <c r="Y830" s="2">
        <v>13</v>
      </c>
      <c r="Z830" s="2">
        <f>VLOOKUP(E830,YieldData!T:U,2,FALSE)</f>
        <v>1017.8177150192552</v>
      </c>
      <c r="AA830">
        <f t="shared" si="24"/>
        <v>0.456787465614161</v>
      </c>
    </row>
    <row r="831" spans="1:27" hidden="1" x14ac:dyDescent="0.25">
      <c r="A831">
        <v>130</v>
      </c>
      <c r="B831">
        <v>402</v>
      </c>
      <c r="C831" t="s">
        <v>23</v>
      </c>
      <c r="D831">
        <v>25110</v>
      </c>
      <c r="E831">
        <f t="shared" si="25"/>
        <v>25110402</v>
      </c>
      <c r="F831">
        <f>VLOOKUP(E831,YieldData!D:F,2,FALSE)</f>
        <v>15</v>
      </c>
      <c r="G831">
        <f>VLOOKUP($E831,YieldData!$D:$F,3,FALSE)</f>
        <v>2</v>
      </c>
      <c r="H831">
        <v>30</v>
      </c>
      <c r="I831" t="s">
        <v>24</v>
      </c>
      <c r="J831" t="s">
        <v>25</v>
      </c>
      <c r="K831" s="2">
        <v>8582.7815706729707</v>
      </c>
      <c r="L831" s="2">
        <v>126749719.890781</v>
      </c>
      <c r="M831" s="3">
        <v>12398.3389044714</v>
      </c>
      <c r="N831" s="3">
        <v>79307295.703893006</v>
      </c>
      <c r="O831" s="4">
        <v>8.7489392860634202E-2</v>
      </c>
      <c r="P831" s="4">
        <v>2.06707015787428E-2</v>
      </c>
      <c r="Q831" s="5">
        <v>-4.8025413171742401E-2</v>
      </c>
      <c r="R831" s="5">
        <v>1.27869460722621E-3</v>
      </c>
      <c r="S831" s="6">
        <v>0.30689865888521201</v>
      </c>
      <c r="T831" s="6">
        <v>6.7039541053938903E-2</v>
      </c>
      <c r="U831" s="7">
        <v>0.28388622126891999</v>
      </c>
      <c r="V831" s="7">
        <v>0.203294834642615</v>
      </c>
      <c r="W831" s="8">
        <v>0.743598493619822</v>
      </c>
      <c r="X831" s="8">
        <v>0.190659773906101</v>
      </c>
      <c r="Y831" s="2">
        <v>30</v>
      </c>
      <c r="Z831" s="2">
        <f>VLOOKUP(E831,YieldData!T:U,2,FALSE)</f>
        <v>894.42394094993597</v>
      </c>
      <c r="AA831">
        <f t="shared" si="24"/>
        <v>0.448570906210007</v>
      </c>
    </row>
    <row r="832" spans="1:27" hidden="1" x14ac:dyDescent="0.25">
      <c r="A832">
        <v>131</v>
      </c>
      <c r="B832">
        <v>403</v>
      </c>
      <c r="C832" t="s">
        <v>23</v>
      </c>
      <c r="D832">
        <v>25110</v>
      </c>
      <c r="E832">
        <f t="shared" si="25"/>
        <v>25110403</v>
      </c>
      <c r="F832">
        <f>VLOOKUP(E832,YieldData!D:F,2,FALSE)</f>
        <v>7</v>
      </c>
      <c r="G832">
        <f>VLOOKUP($E832,YieldData!$D:$F,3,FALSE)</f>
        <v>2</v>
      </c>
      <c r="H832">
        <v>30</v>
      </c>
      <c r="I832" t="s">
        <v>24</v>
      </c>
      <c r="J832" t="s">
        <v>25</v>
      </c>
      <c r="K832" s="2">
        <v>7469.93606410333</v>
      </c>
      <c r="L832" s="2">
        <v>108233314.83152699</v>
      </c>
      <c r="M832" s="3">
        <v>13564.578845296101</v>
      </c>
      <c r="N832" s="3">
        <v>87435404.302618593</v>
      </c>
      <c r="O832" s="4">
        <v>6.9486991707655404E-2</v>
      </c>
      <c r="P832" s="4">
        <v>2.45348219471101E-2</v>
      </c>
      <c r="Q832" s="5">
        <v>-5.1358198838392502E-2</v>
      </c>
      <c r="R832" s="5">
        <v>1.34964307149901E-3</v>
      </c>
      <c r="S832" s="6">
        <v>0.27704709158567298</v>
      </c>
      <c r="T832" s="6">
        <v>7.1087905415404301E-2</v>
      </c>
      <c r="U832" s="7">
        <v>0.25509776953895802</v>
      </c>
      <c r="V832" s="7">
        <v>0.19002289751509799</v>
      </c>
      <c r="W832" s="8">
        <v>0.63881014747568998</v>
      </c>
      <c r="X832" s="8">
        <v>0.23073174295785201</v>
      </c>
      <c r="Y832" s="2">
        <v>26</v>
      </c>
      <c r="Z832" s="2">
        <f>VLOOKUP(E832,YieldData!T:U,2,FALSE)</f>
        <v>1357.461489088575</v>
      </c>
      <c r="AA832">
        <f t="shared" si="24"/>
        <v>0.53847349789513999</v>
      </c>
    </row>
    <row r="833" spans="1:27" hidden="1" x14ac:dyDescent="0.25">
      <c r="A833">
        <v>132</v>
      </c>
      <c r="B833">
        <v>404</v>
      </c>
      <c r="C833" t="s">
        <v>23</v>
      </c>
      <c r="D833">
        <v>25110</v>
      </c>
      <c r="E833">
        <f t="shared" si="25"/>
        <v>25110404</v>
      </c>
      <c r="F833">
        <f>VLOOKUP(E833,YieldData!D:F,2,FALSE)</f>
        <v>14</v>
      </c>
      <c r="G833">
        <f>VLOOKUP($E833,YieldData!$D:$F,3,FALSE)</f>
        <v>2</v>
      </c>
      <c r="H833">
        <v>30</v>
      </c>
      <c r="I833" t="s">
        <v>24</v>
      </c>
      <c r="J833" t="s">
        <v>25</v>
      </c>
      <c r="K833" s="2">
        <v>9359.0184064488294</v>
      </c>
      <c r="L833" s="2">
        <v>153103817.46678501</v>
      </c>
      <c r="M833" s="3">
        <v>10883.9892210286</v>
      </c>
      <c r="N833" s="3">
        <v>83641534.063400105</v>
      </c>
      <c r="O833" s="4">
        <v>0.101681205034671</v>
      </c>
      <c r="P833" s="4">
        <v>1.9985390025236999E-2</v>
      </c>
      <c r="Q833" s="5">
        <v>-3.9242675995075603E-2</v>
      </c>
      <c r="R833" s="5">
        <v>1.38880823026133E-3</v>
      </c>
      <c r="S833" s="6">
        <v>0.327475879804836</v>
      </c>
      <c r="T833" s="6">
        <v>7.1602152260096197E-2</v>
      </c>
      <c r="U833" s="7">
        <v>0.30788642778548497</v>
      </c>
      <c r="V833" s="7">
        <v>0.213092375370872</v>
      </c>
      <c r="W833" s="8">
        <v>0.63340309753034696</v>
      </c>
      <c r="X833" s="8">
        <v>0.23220361356880501</v>
      </c>
      <c r="Y833" s="2">
        <v>20</v>
      </c>
      <c r="Z833" s="2">
        <f>VLOOKUP(E833,YieldData!T:U,2,FALSE)</f>
        <v>1325.8616816431324</v>
      </c>
      <c r="AA833">
        <f t="shared" si="24"/>
        <v>0.53480834778448805</v>
      </c>
    </row>
    <row r="834" spans="1:27" hidden="1" x14ac:dyDescent="0.25">
      <c r="A834">
        <v>133</v>
      </c>
      <c r="B834">
        <v>405</v>
      </c>
      <c r="C834" t="s">
        <v>23</v>
      </c>
      <c r="D834">
        <v>25110</v>
      </c>
      <c r="E834">
        <f t="shared" si="25"/>
        <v>25110405</v>
      </c>
      <c r="F834">
        <f>VLOOKUP(E834,YieldData!D:F,2,FALSE)</f>
        <v>9</v>
      </c>
      <c r="G834">
        <f>VLOOKUP($E834,YieldData!$D:$F,3,FALSE)</f>
        <v>2</v>
      </c>
      <c r="H834">
        <v>30</v>
      </c>
      <c r="I834" t="s">
        <v>24</v>
      </c>
      <c r="J834" t="s">
        <v>25</v>
      </c>
      <c r="K834" s="2">
        <v>6736.6756853739098</v>
      </c>
      <c r="L834" s="2">
        <v>111758415.614858</v>
      </c>
      <c r="M834" s="3">
        <v>14241.0847753705</v>
      </c>
      <c r="N834" s="3">
        <v>68818485.771343097</v>
      </c>
      <c r="O834" s="4">
        <v>5.0668053527665499E-2</v>
      </c>
      <c r="P834" s="4">
        <v>1.5665761144681101E-2</v>
      </c>
      <c r="Q834" s="5">
        <v>-4.6333825241702403E-2</v>
      </c>
      <c r="R834" s="5">
        <v>1.19751641664987E-3</v>
      </c>
      <c r="S834" s="6">
        <v>0.24409682421537399</v>
      </c>
      <c r="T834" s="6">
        <v>5.5276451479005E-2</v>
      </c>
      <c r="U834" s="7">
        <v>0.20859049806229399</v>
      </c>
      <c r="V834" s="7">
        <v>0.165080502180322</v>
      </c>
      <c r="W834" s="8">
        <v>0.73466971259074998</v>
      </c>
      <c r="X834" s="8">
        <v>0.194930125992376</v>
      </c>
      <c r="Y834" s="2">
        <v>27</v>
      </c>
      <c r="Z834" s="2">
        <f>VLOOKUP(E834,YieldData!T:U,2,FALSE)</f>
        <v>2104.1399229781773</v>
      </c>
      <c r="AA834">
        <f t="shared" ref="AA834:AA897" si="26">_xlfn.MAXIFS(U:U,E:E,E834)</f>
        <v>0.36840909090909102</v>
      </c>
    </row>
    <row r="835" spans="1:27" hidden="1" x14ac:dyDescent="0.25">
      <c r="A835">
        <v>134</v>
      </c>
      <c r="B835">
        <v>406</v>
      </c>
      <c r="C835" t="s">
        <v>23</v>
      </c>
      <c r="D835">
        <v>25110</v>
      </c>
      <c r="E835">
        <f t="shared" ref="E835:E898" si="27">D835*1000+B835</f>
        <v>25110406</v>
      </c>
      <c r="F835">
        <f>VLOOKUP(E835,YieldData!D:F,2,FALSE)</f>
        <v>8</v>
      </c>
      <c r="G835">
        <f>VLOOKUP($E835,YieldData!$D:$F,3,FALSE)</f>
        <v>2</v>
      </c>
      <c r="H835">
        <v>30</v>
      </c>
      <c r="I835" t="s">
        <v>24</v>
      </c>
      <c r="J835" t="s">
        <v>25</v>
      </c>
      <c r="K835" s="2">
        <v>7548.4275098498802</v>
      </c>
      <c r="L835" s="2">
        <v>136918417.12327799</v>
      </c>
      <c r="M835" s="3">
        <v>11352.885098049899</v>
      </c>
      <c r="N835" s="3">
        <v>64247831.086659998</v>
      </c>
      <c r="O835" s="4">
        <v>9.2439205392088497E-2</v>
      </c>
      <c r="P835" s="4">
        <v>1.6983091850341699E-2</v>
      </c>
      <c r="Q835" s="5">
        <v>-3.2506943275633297E-2</v>
      </c>
      <c r="R835" s="5">
        <v>1.21121431794094E-3</v>
      </c>
      <c r="S835" s="6">
        <v>0.29676771043899902</v>
      </c>
      <c r="T835" s="6">
        <v>6.2061556042077498E-2</v>
      </c>
      <c r="U835" s="7">
        <v>0.26064784798763202</v>
      </c>
      <c r="V835" s="7">
        <v>0.192710547327094</v>
      </c>
      <c r="W835" s="8">
        <v>0.65041643808288896</v>
      </c>
      <c r="X835" s="8">
        <v>0.22737489515429599</v>
      </c>
      <c r="Y835" s="2">
        <v>16</v>
      </c>
      <c r="Z835" s="2">
        <f>VLOOKUP(E835,YieldData!T:U,2,FALSE)</f>
        <v>1424.2105263157896</v>
      </c>
      <c r="AA835">
        <f t="shared" si="26"/>
        <v>0.442391372108971</v>
      </c>
    </row>
    <row r="836" spans="1:27" hidden="1" x14ac:dyDescent="0.25">
      <c r="A836">
        <v>135</v>
      </c>
      <c r="B836">
        <v>407</v>
      </c>
      <c r="C836" t="s">
        <v>23</v>
      </c>
      <c r="D836">
        <v>25110</v>
      </c>
      <c r="E836">
        <f t="shared" si="27"/>
        <v>25110407</v>
      </c>
      <c r="F836">
        <f>VLOOKUP(E836,YieldData!D:F,2,FALSE)</f>
        <v>11</v>
      </c>
      <c r="G836">
        <f>VLOOKUP($E836,YieldData!$D:$F,3,FALSE)</f>
        <v>2</v>
      </c>
      <c r="H836">
        <v>30</v>
      </c>
      <c r="I836" t="s">
        <v>24</v>
      </c>
      <c r="J836" t="s">
        <v>25</v>
      </c>
      <c r="K836" s="2">
        <v>9156.8195462645199</v>
      </c>
      <c r="L836" s="2">
        <v>143223237.174786</v>
      </c>
      <c r="M836" s="3">
        <v>11316.729210281301</v>
      </c>
      <c r="N836" s="3">
        <v>80628935.911541104</v>
      </c>
      <c r="O836" s="4">
        <v>9.4862292422380104E-2</v>
      </c>
      <c r="P836" s="4">
        <v>2.2169146396560001E-2</v>
      </c>
      <c r="Q836" s="5">
        <v>-3.8830353058209803E-2</v>
      </c>
      <c r="R836" s="5">
        <v>1.3675941237184901E-3</v>
      </c>
      <c r="S836" s="6">
        <v>0.31671207437757298</v>
      </c>
      <c r="T836" s="6">
        <v>7.5053263077000706E-2</v>
      </c>
      <c r="U836" s="7">
        <v>0.31693315952497703</v>
      </c>
      <c r="V836" s="7">
        <v>0.21648653191842901</v>
      </c>
      <c r="W836" s="8">
        <v>0.65787239131734698</v>
      </c>
      <c r="X836" s="8">
        <v>0.22507630806000001</v>
      </c>
      <c r="Y836" s="2">
        <v>26</v>
      </c>
      <c r="Z836" s="2">
        <f>VLOOKUP(E836,YieldData!T:U,2,FALSE)</f>
        <v>1069.6983311938379</v>
      </c>
      <c r="AA836">
        <f t="shared" si="26"/>
        <v>0.54326923076923095</v>
      </c>
    </row>
    <row r="837" spans="1:27" hidden="1" x14ac:dyDescent="0.25">
      <c r="A837">
        <v>136</v>
      </c>
      <c r="B837">
        <v>408</v>
      </c>
      <c r="C837" t="s">
        <v>23</v>
      </c>
      <c r="D837">
        <v>25110</v>
      </c>
      <c r="E837">
        <f t="shared" si="27"/>
        <v>25110408</v>
      </c>
      <c r="H837">
        <v>30</v>
      </c>
      <c r="I837" t="s">
        <v>24</v>
      </c>
      <c r="J837" t="s">
        <v>25</v>
      </c>
      <c r="K837" s="2">
        <v>8963.5333092485507</v>
      </c>
      <c r="L837" s="2">
        <v>126957312.216859</v>
      </c>
      <c r="M837" s="3">
        <v>11702.903857933001</v>
      </c>
      <c r="N837" s="3">
        <v>75371768.302524701</v>
      </c>
      <c r="O837" s="4">
        <v>9.6418371620950197E-2</v>
      </c>
      <c r="P837" s="4">
        <v>1.9774057423132901E-2</v>
      </c>
      <c r="Q837" s="5">
        <v>-4.1960115135309999E-2</v>
      </c>
      <c r="R837" s="5">
        <v>1.3288176999021199E-3</v>
      </c>
      <c r="S837" s="6">
        <v>0.314930082312596</v>
      </c>
      <c r="T837" s="6">
        <v>6.7800038618681002E-2</v>
      </c>
      <c r="U837" s="7">
        <v>0.30092726396917102</v>
      </c>
      <c r="V837" s="7">
        <v>0.210370045769118</v>
      </c>
      <c r="W837" s="8">
        <v>0.68889691714836199</v>
      </c>
      <c r="X837" s="8">
        <v>0.214317954691953</v>
      </c>
      <c r="Y837" s="2">
        <v>27</v>
      </c>
      <c r="Z837" s="2">
        <f>VLOOKUP(E837,YieldData!T:U,2,FALSE)</f>
        <v>0</v>
      </c>
      <c r="AA837">
        <f t="shared" si="26"/>
        <v>0.51172284238286203</v>
      </c>
    </row>
    <row r="838" spans="1:27" hidden="1" x14ac:dyDescent="0.25">
      <c r="A838">
        <v>137</v>
      </c>
      <c r="B838">
        <v>409</v>
      </c>
      <c r="C838" t="s">
        <v>23</v>
      </c>
      <c r="D838">
        <v>25110</v>
      </c>
      <c r="E838">
        <f t="shared" si="27"/>
        <v>25110409</v>
      </c>
      <c r="F838">
        <f>VLOOKUP(E838,YieldData!D:F,2,FALSE)</f>
        <v>10</v>
      </c>
      <c r="G838">
        <f>VLOOKUP($E838,YieldData!$D:$F,3,FALSE)</f>
        <v>2</v>
      </c>
      <c r="H838">
        <v>30</v>
      </c>
      <c r="I838" t="s">
        <v>24</v>
      </c>
      <c r="J838" t="s">
        <v>25</v>
      </c>
      <c r="K838" s="2">
        <v>7232.8452956089204</v>
      </c>
      <c r="L838" s="2">
        <v>128541583.947833</v>
      </c>
      <c r="M838" s="3">
        <v>11946.9637012486</v>
      </c>
      <c r="N838" s="3">
        <v>67758605.468408898</v>
      </c>
      <c r="O838" s="4">
        <v>7.6361874832103799E-2</v>
      </c>
      <c r="P838" s="4">
        <v>1.74705168772013E-2</v>
      </c>
      <c r="Q838" s="5">
        <v>-3.9499204087285203E-2</v>
      </c>
      <c r="R838" s="5">
        <v>1.28330310028616E-3</v>
      </c>
      <c r="S838" s="6">
        <v>0.274951018896817</v>
      </c>
      <c r="T838" s="6">
        <v>6.1003454173749E-2</v>
      </c>
      <c r="U838" s="7">
        <v>0.23997895341050399</v>
      </c>
      <c r="V838" s="7">
        <v>0.18238905533056701</v>
      </c>
      <c r="W838" s="8">
        <v>0.71423787197397404</v>
      </c>
      <c r="X838" s="8">
        <v>0.20410213421218701</v>
      </c>
      <c r="Y838" s="2">
        <v>23</v>
      </c>
      <c r="Z838" s="2">
        <f>VLOOKUP(E838,YieldData!T:U,2,FALSE)</f>
        <v>402.03947368421052</v>
      </c>
      <c r="AA838">
        <f t="shared" si="26"/>
        <v>0.47419659622307497</v>
      </c>
    </row>
    <row r="839" spans="1:27" hidden="1" x14ac:dyDescent="0.25">
      <c r="A839">
        <v>138</v>
      </c>
      <c r="B839">
        <v>410</v>
      </c>
      <c r="C839" t="s">
        <v>23</v>
      </c>
      <c r="D839">
        <v>25110</v>
      </c>
      <c r="E839">
        <f t="shared" si="27"/>
        <v>25110410</v>
      </c>
      <c r="F839">
        <f>VLOOKUP(E839,YieldData!D:F,2,FALSE)</f>
        <v>15</v>
      </c>
      <c r="G839">
        <f>VLOOKUP($E839,YieldData!$D:$F,3,FALSE)</f>
        <v>1</v>
      </c>
      <c r="H839">
        <v>30</v>
      </c>
      <c r="I839" t="s">
        <v>24</v>
      </c>
      <c r="J839" t="s">
        <v>25</v>
      </c>
      <c r="K839" s="2">
        <v>10277.881986389</v>
      </c>
      <c r="L839" s="2">
        <v>147832565.722884</v>
      </c>
      <c r="M839" s="3">
        <v>10326.165421863399</v>
      </c>
      <c r="N839" s="3">
        <v>68952689.577901199</v>
      </c>
      <c r="O839" s="4">
        <v>0.11245037265586701</v>
      </c>
      <c r="P839" s="4">
        <v>1.7565892018888099E-2</v>
      </c>
      <c r="Q839" s="5">
        <v>-3.2723501207993798E-2</v>
      </c>
      <c r="R839" s="5">
        <v>1.4597219813530201E-3</v>
      </c>
      <c r="S839" s="6">
        <v>0.34975205631810702</v>
      </c>
      <c r="T839" s="6">
        <v>6.2507462295330704E-2</v>
      </c>
      <c r="U839" s="7">
        <v>0.342092358478154</v>
      </c>
      <c r="V839" s="7">
        <v>0.22506517674889701</v>
      </c>
      <c r="W839" s="8">
        <v>0.77728876397775504</v>
      </c>
      <c r="X839" s="8">
        <v>0.17311094137177599</v>
      </c>
      <c r="Y839" s="2">
        <v>43</v>
      </c>
      <c r="Z839" s="2">
        <f>VLOOKUP(E839,YieldData!T:U,2,FALSE)</f>
        <v>837.17747111681626</v>
      </c>
      <c r="AA839">
        <f t="shared" si="26"/>
        <v>0.45241141791133999</v>
      </c>
    </row>
    <row r="840" spans="1:27" hidden="1" x14ac:dyDescent="0.25">
      <c r="A840">
        <v>139</v>
      </c>
      <c r="B840">
        <v>411</v>
      </c>
      <c r="C840" t="s">
        <v>23</v>
      </c>
      <c r="D840">
        <v>25110</v>
      </c>
      <c r="E840">
        <f t="shared" si="27"/>
        <v>25110411</v>
      </c>
      <c r="F840">
        <f>VLOOKUP(E840,YieldData!D:F,2,FALSE)</f>
        <v>14</v>
      </c>
      <c r="G840">
        <f>VLOOKUP($E840,YieldData!$D:$F,3,FALSE)</f>
        <v>1</v>
      </c>
      <c r="H840">
        <v>30</v>
      </c>
      <c r="I840" t="s">
        <v>24</v>
      </c>
      <c r="J840" t="s">
        <v>25</v>
      </c>
      <c r="K840" s="2">
        <v>9158.4863074531895</v>
      </c>
      <c r="L840" s="2">
        <v>137663610.23856401</v>
      </c>
      <c r="M840" s="3">
        <v>10996.861798591301</v>
      </c>
      <c r="N840" s="3">
        <v>75181265.621314302</v>
      </c>
      <c r="O840" s="4">
        <v>0.102699591056034</v>
      </c>
      <c r="P840" s="4">
        <v>2.1099432383574201E-2</v>
      </c>
      <c r="Q840" s="5">
        <v>-3.2423592122393902E-2</v>
      </c>
      <c r="R840" s="5">
        <v>1.3083453205448301E-3</v>
      </c>
      <c r="S840" s="6">
        <v>0.32784148620326797</v>
      </c>
      <c r="T840" s="6">
        <v>6.8465280293137296E-2</v>
      </c>
      <c r="U840" s="7">
        <v>0.30577554091727699</v>
      </c>
      <c r="V840" s="7">
        <v>0.21227685949393199</v>
      </c>
      <c r="W840" s="8">
        <v>0.67536296241473304</v>
      </c>
      <c r="X840" s="8">
        <v>0.21924783141280399</v>
      </c>
      <c r="Y840" s="2">
        <v>24</v>
      </c>
      <c r="Z840" s="2">
        <f>VLOOKUP(E840,YieldData!T:U,2,FALSE)</f>
        <v>231.2130937098845</v>
      </c>
      <c r="AA840">
        <f t="shared" si="26"/>
        <v>0.35523588630082897</v>
      </c>
    </row>
    <row r="841" spans="1:27" hidden="1" x14ac:dyDescent="0.25">
      <c r="A841">
        <v>140</v>
      </c>
      <c r="B841">
        <v>412</v>
      </c>
      <c r="C841" t="s">
        <v>23</v>
      </c>
      <c r="D841">
        <v>25110</v>
      </c>
      <c r="E841">
        <f t="shared" si="27"/>
        <v>25110412</v>
      </c>
      <c r="F841">
        <f>VLOOKUP(E841,YieldData!D:F,2,FALSE)</f>
        <v>13</v>
      </c>
      <c r="G841">
        <f>VLOOKUP($E841,YieldData!$D:$F,3,FALSE)</f>
        <v>1</v>
      </c>
      <c r="H841">
        <v>30</v>
      </c>
      <c r="I841" t="s">
        <v>24</v>
      </c>
      <c r="J841" t="s">
        <v>25</v>
      </c>
      <c r="K841" s="2">
        <v>5701.8696182548802</v>
      </c>
      <c r="L841" s="2">
        <v>80314877.560090795</v>
      </c>
      <c r="M841" s="3">
        <v>12596.6874498414</v>
      </c>
      <c r="N841" s="3">
        <v>63660138.648969002</v>
      </c>
      <c r="O841" s="4">
        <v>7.3283522542643198E-2</v>
      </c>
      <c r="P841" s="4">
        <v>2.0840491422527301E-2</v>
      </c>
      <c r="Q841" s="5">
        <v>-3.6836694974553497E-2</v>
      </c>
      <c r="R841" s="5">
        <v>1.47522596463897E-3</v>
      </c>
      <c r="S841" s="6">
        <v>0.26011135557103798</v>
      </c>
      <c r="T841" s="6">
        <v>5.9320164343512102E-2</v>
      </c>
      <c r="U841" s="7">
        <v>0.21023488327592799</v>
      </c>
      <c r="V841" s="7">
        <v>0.16603617712972099</v>
      </c>
      <c r="W841" s="8">
        <v>0.490987596732331</v>
      </c>
      <c r="X841" s="8">
        <v>0.24991877658742501</v>
      </c>
      <c r="Y841" s="2">
        <v>24</v>
      </c>
      <c r="Z841" s="2">
        <f>VLOOKUP(E841,YieldData!T:U,2,FALSE)</f>
        <v>646.25641848523742</v>
      </c>
      <c r="AA841">
        <f t="shared" si="26"/>
        <v>0.32691870686871299</v>
      </c>
    </row>
    <row r="842" spans="1:27" hidden="1" x14ac:dyDescent="0.25">
      <c r="A842">
        <v>141</v>
      </c>
      <c r="B842">
        <v>501</v>
      </c>
      <c r="C842" t="s">
        <v>23</v>
      </c>
      <c r="D842">
        <v>25110</v>
      </c>
      <c r="E842">
        <f t="shared" si="27"/>
        <v>25110501</v>
      </c>
      <c r="F842">
        <f>VLOOKUP(E842,YieldData!D:F,2,FALSE)</f>
        <v>2</v>
      </c>
      <c r="G842">
        <f>VLOOKUP($E842,YieldData!$D:$F,3,FALSE)</f>
        <v>2</v>
      </c>
      <c r="H842">
        <v>30</v>
      </c>
      <c r="I842" t="s">
        <v>24</v>
      </c>
      <c r="J842" t="s">
        <v>25</v>
      </c>
      <c r="K842" s="2">
        <v>6805.8565859025603</v>
      </c>
      <c r="L842" s="2">
        <v>86026070.774524495</v>
      </c>
      <c r="M842" s="3">
        <v>14582.0897918793</v>
      </c>
      <c r="N842" s="3">
        <v>75567544.150146797</v>
      </c>
      <c r="O842" s="4">
        <v>5.8599477243987799E-2</v>
      </c>
      <c r="P842" s="4">
        <v>2.2667033684932301E-2</v>
      </c>
      <c r="Q842" s="5">
        <v>-4.8872300493660599E-2</v>
      </c>
      <c r="R842" s="5">
        <v>1.5145429822943099E-3</v>
      </c>
      <c r="S842" s="6">
        <v>0.27393534129904401</v>
      </c>
      <c r="T842" s="6">
        <v>6.0273423139332698E-2</v>
      </c>
      <c r="U842" s="7">
        <v>0.235977899495324</v>
      </c>
      <c r="V842" s="7">
        <v>0.18029233044514301</v>
      </c>
      <c r="W842" s="8">
        <v>0.73548865525613905</v>
      </c>
      <c r="X842" s="8">
        <v>0.19454509324567301</v>
      </c>
      <c r="Y842" s="2">
        <v>21</v>
      </c>
      <c r="Z842" s="2">
        <f>VLOOKUP(E842,YieldData!T:U,2,FALSE)</f>
        <v>1158.1290115532736</v>
      </c>
      <c r="AA842">
        <f t="shared" si="26"/>
        <v>0.38311944600590803</v>
      </c>
    </row>
    <row r="843" spans="1:27" hidden="1" x14ac:dyDescent="0.25">
      <c r="A843">
        <v>142</v>
      </c>
      <c r="B843">
        <v>502</v>
      </c>
      <c r="C843" t="s">
        <v>23</v>
      </c>
      <c r="D843">
        <v>25110</v>
      </c>
      <c r="E843">
        <f t="shared" si="27"/>
        <v>25110502</v>
      </c>
      <c r="F843">
        <f>VLOOKUP(E843,YieldData!D:F,2,FALSE)</f>
        <v>5</v>
      </c>
      <c r="G843">
        <f>VLOOKUP($E843,YieldData!$D:$F,3,FALSE)</f>
        <v>2</v>
      </c>
      <c r="H843">
        <v>30</v>
      </c>
      <c r="I843" t="s">
        <v>24</v>
      </c>
      <c r="J843" t="s">
        <v>25</v>
      </c>
      <c r="K843" s="2">
        <v>6714.9432152510299</v>
      </c>
      <c r="L843" s="2">
        <v>93705248.053608805</v>
      </c>
      <c r="M843" s="3">
        <v>13302.853819243501</v>
      </c>
      <c r="N843" s="3">
        <v>78778629.753408894</v>
      </c>
      <c r="O843" s="4">
        <v>7.4646329957803501E-2</v>
      </c>
      <c r="P843" s="4">
        <v>2.3842856653845699E-2</v>
      </c>
      <c r="Q843" s="5">
        <v>-4.7793596301191801E-2</v>
      </c>
      <c r="R843" s="5">
        <v>1.21838448507901E-3</v>
      </c>
      <c r="S843" s="6">
        <v>0.29183830823707901</v>
      </c>
      <c r="T843" s="6">
        <v>6.5484012011390397E-2</v>
      </c>
      <c r="U843" s="7">
        <v>0.24891764537039299</v>
      </c>
      <c r="V843" s="7">
        <v>0.18695765119361199</v>
      </c>
      <c r="W843" s="8">
        <v>0.53908623370410202</v>
      </c>
      <c r="X843" s="8">
        <v>0.24847226633471101</v>
      </c>
      <c r="Y843" s="2">
        <v>14</v>
      </c>
      <c r="Z843" s="2">
        <f>VLOOKUP(E843,YieldData!T:U,2,FALSE)</f>
        <v>769.25866495507046</v>
      </c>
      <c r="AA843">
        <f t="shared" si="26"/>
        <v>0.42938299068326702</v>
      </c>
    </row>
    <row r="844" spans="1:27" hidden="1" x14ac:dyDescent="0.25">
      <c r="A844">
        <v>143</v>
      </c>
      <c r="B844">
        <v>503</v>
      </c>
      <c r="C844" t="s">
        <v>23</v>
      </c>
      <c r="D844">
        <v>25110</v>
      </c>
      <c r="E844">
        <f t="shared" si="27"/>
        <v>25110503</v>
      </c>
      <c r="F844">
        <f>VLOOKUP(E844,YieldData!D:F,2,FALSE)</f>
        <v>6</v>
      </c>
      <c r="G844">
        <f>VLOOKUP($E844,YieldData!$D:$F,3,FALSE)</f>
        <v>2</v>
      </c>
      <c r="H844">
        <v>30</v>
      </c>
      <c r="I844" t="s">
        <v>24</v>
      </c>
      <c r="J844" t="s">
        <v>25</v>
      </c>
      <c r="K844" s="2">
        <v>6589.7043921343502</v>
      </c>
      <c r="L844" s="2">
        <v>84143330.704157293</v>
      </c>
      <c r="M844" s="3">
        <v>14040.417226343699</v>
      </c>
      <c r="N844" s="3">
        <v>79846904.770152107</v>
      </c>
      <c r="O844" s="4">
        <v>5.9221633826072102E-2</v>
      </c>
      <c r="P844" s="4">
        <v>2.54319513296258E-2</v>
      </c>
      <c r="Q844" s="5">
        <v>-5.0646241218229297E-2</v>
      </c>
      <c r="R844" s="5">
        <v>1.4435979936187201E-3</v>
      </c>
      <c r="S844" s="6">
        <v>0.269261198701233</v>
      </c>
      <c r="T844" s="6">
        <v>6.5281855643866404E-2</v>
      </c>
      <c r="U844" s="7">
        <v>0.22744127075259599</v>
      </c>
      <c r="V844" s="7">
        <v>0.175711739111202</v>
      </c>
      <c r="W844" s="8">
        <v>0.70315228050034695</v>
      </c>
      <c r="X844" s="8">
        <v>0.208729150927429</v>
      </c>
      <c r="Y844" s="2">
        <v>21</v>
      </c>
      <c r="Z844" s="2">
        <f>VLOOKUP(E844,YieldData!T:U,2,FALSE)</f>
        <v>712.86906290115519</v>
      </c>
      <c r="AA844">
        <f t="shared" si="26"/>
        <v>0.33415054174938402</v>
      </c>
    </row>
    <row r="845" spans="1:27" hidden="1" x14ac:dyDescent="0.25">
      <c r="A845">
        <v>144</v>
      </c>
      <c r="B845">
        <v>504</v>
      </c>
      <c r="C845" t="s">
        <v>23</v>
      </c>
      <c r="D845">
        <v>25110</v>
      </c>
      <c r="E845">
        <f t="shared" si="27"/>
        <v>25110504</v>
      </c>
      <c r="F845">
        <f>VLOOKUP(E845,YieldData!D:F,2,FALSE)</f>
        <v>13</v>
      </c>
      <c r="G845">
        <f>VLOOKUP($E845,YieldData!$D:$F,3,FALSE)</f>
        <v>2</v>
      </c>
      <c r="H845">
        <v>30</v>
      </c>
      <c r="I845" t="s">
        <v>24</v>
      </c>
      <c r="J845" t="s">
        <v>25</v>
      </c>
      <c r="K845" s="2">
        <v>7346.2330618444503</v>
      </c>
      <c r="L845" s="2">
        <v>125807824.380532</v>
      </c>
      <c r="M845" s="3">
        <v>12164.1614118179</v>
      </c>
      <c r="N845" s="3">
        <v>72294429.047948599</v>
      </c>
      <c r="O845" s="4">
        <v>8.0101069563320901E-2</v>
      </c>
      <c r="P845" s="4">
        <v>1.7021739482831401E-2</v>
      </c>
      <c r="Q845" s="5">
        <v>-3.8571675305009601E-2</v>
      </c>
      <c r="R845" s="5">
        <v>1.3396330376385E-3</v>
      </c>
      <c r="S845" s="6">
        <v>0.29188401684398102</v>
      </c>
      <c r="T845" s="6">
        <v>5.8848916701988899E-2</v>
      </c>
      <c r="U845" s="7">
        <v>0.237941468431942</v>
      </c>
      <c r="V845" s="7">
        <v>0.181325326032302</v>
      </c>
      <c r="W845" s="8">
        <v>0.472208935233904</v>
      </c>
      <c r="X845" s="8">
        <v>0.24922765671928199</v>
      </c>
      <c r="Y845" s="2">
        <v>12</v>
      </c>
      <c r="Z845" s="2">
        <f>VLOOKUP(E845,YieldData!T:U,2,FALSE)</f>
        <v>1186.1986521181002</v>
      </c>
      <c r="AA845">
        <f t="shared" si="26"/>
        <v>0.50452680803224403</v>
      </c>
    </row>
    <row r="846" spans="1:27" hidden="1" x14ac:dyDescent="0.25">
      <c r="A846">
        <v>145</v>
      </c>
      <c r="B846">
        <v>505</v>
      </c>
      <c r="C846" t="s">
        <v>23</v>
      </c>
      <c r="D846">
        <v>25110</v>
      </c>
      <c r="E846">
        <f t="shared" si="27"/>
        <v>25110505</v>
      </c>
      <c r="F846">
        <f>VLOOKUP(E846,YieldData!D:F,2,FALSE)</f>
        <v>12</v>
      </c>
      <c r="G846">
        <f>VLOOKUP($E846,YieldData!$D:$F,3,FALSE)</f>
        <v>2</v>
      </c>
      <c r="H846">
        <v>30</v>
      </c>
      <c r="I846" t="s">
        <v>24</v>
      </c>
      <c r="J846" t="s">
        <v>25</v>
      </c>
      <c r="K846" s="2">
        <v>7858.1958856596102</v>
      </c>
      <c r="L846" s="2">
        <v>139281453.76014701</v>
      </c>
      <c r="M846" s="3">
        <v>11308.031048778999</v>
      </c>
      <c r="N846" s="3">
        <v>69715081.802727699</v>
      </c>
      <c r="O846" s="4">
        <v>9.3791736127346204E-2</v>
      </c>
      <c r="P846" s="4">
        <v>1.7220804760610501E-2</v>
      </c>
      <c r="Q846" s="5">
        <v>-2.90522660190588E-2</v>
      </c>
      <c r="R846" s="5">
        <v>1.44459658268677E-3</v>
      </c>
      <c r="S846" s="6">
        <v>0.31096343040684299</v>
      </c>
      <c r="T846" s="6">
        <v>6.1064520234773198E-2</v>
      </c>
      <c r="U846" s="7">
        <v>0.26037555316349698</v>
      </c>
      <c r="V846" s="7">
        <v>0.192580124478474</v>
      </c>
      <c r="W846" s="8">
        <v>0.40735779553174201</v>
      </c>
      <c r="X846" s="8">
        <v>0.241417421951098</v>
      </c>
      <c r="Y846" s="2">
        <v>8</v>
      </c>
      <c r="Z846" s="2">
        <f>VLOOKUP(E846,YieldData!T:U,2,FALSE)</f>
        <v>1316.9335686777922</v>
      </c>
      <c r="AA846">
        <f t="shared" si="26"/>
        <v>0.55529377997297202</v>
      </c>
    </row>
    <row r="847" spans="1:27" hidden="1" x14ac:dyDescent="0.25">
      <c r="A847">
        <v>146</v>
      </c>
      <c r="B847">
        <v>506</v>
      </c>
      <c r="C847" t="s">
        <v>23</v>
      </c>
      <c r="D847">
        <v>25110</v>
      </c>
      <c r="E847">
        <f t="shared" si="27"/>
        <v>25110506</v>
      </c>
      <c r="F847">
        <f>VLOOKUP(E847,YieldData!D:F,2,FALSE)</f>
        <v>4</v>
      </c>
      <c r="G847">
        <f>VLOOKUP($E847,YieldData!$D:$F,3,FALSE)</f>
        <v>2</v>
      </c>
      <c r="H847">
        <v>30</v>
      </c>
      <c r="I847" t="s">
        <v>24</v>
      </c>
      <c r="J847" t="s">
        <v>25</v>
      </c>
      <c r="K847" s="2">
        <v>5190.2110983636303</v>
      </c>
      <c r="L847" s="2">
        <v>87752971.008248299</v>
      </c>
      <c r="M847" s="3">
        <v>13132.925799424</v>
      </c>
      <c r="N847" s="3">
        <v>53564431.242472403</v>
      </c>
      <c r="O847" s="4">
        <v>6.6106601454724107E-2</v>
      </c>
      <c r="P847" s="4">
        <v>1.7156548858291699E-2</v>
      </c>
      <c r="Q847" s="5">
        <v>-3.3337710957316601E-2</v>
      </c>
      <c r="R847" s="5">
        <v>1.1843372978425899E-3</v>
      </c>
      <c r="S847" s="6">
        <v>0.25413049204283</v>
      </c>
      <c r="T847" s="6">
        <v>5.21498889517579E-2</v>
      </c>
      <c r="U847" s="7">
        <v>0.19455346899341799</v>
      </c>
      <c r="V847" s="7">
        <v>0.15670241669604801</v>
      </c>
      <c r="W847" s="8">
        <v>0.62309336618238498</v>
      </c>
      <c r="X847" s="8">
        <v>0.234848023201744</v>
      </c>
      <c r="Y847" s="2">
        <v>19</v>
      </c>
      <c r="Z847" s="2">
        <f>VLOOKUP(E847,YieldData!T:U,2,FALSE)</f>
        <v>695.94030808729133</v>
      </c>
      <c r="AA847">
        <f t="shared" si="26"/>
        <v>0.45165147032184</v>
      </c>
    </row>
    <row r="848" spans="1:27" hidden="1" x14ac:dyDescent="0.25">
      <c r="A848">
        <v>147</v>
      </c>
      <c r="B848">
        <v>507</v>
      </c>
      <c r="C848" t="s">
        <v>23</v>
      </c>
      <c r="D848">
        <v>25110</v>
      </c>
      <c r="E848">
        <f t="shared" si="27"/>
        <v>25110507</v>
      </c>
      <c r="F848">
        <f>VLOOKUP(E848,YieldData!D:F,2,FALSE)</f>
        <v>4</v>
      </c>
      <c r="G848">
        <f>VLOOKUP($E848,YieldData!$D:$F,3,FALSE)</f>
        <v>3</v>
      </c>
      <c r="H848">
        <v>30</v>
      </c>
      <c r="I848" t="s">
        <v>24</v>
      </c>
      <c r="J848" t="s">
        <v>25</v>
      </c>
      <c r="K848" s="2">
        <v>6996.2584637830196</v>
      </c>
      <c r="L848" s="2">
        <v>105402932.019025</v>
      </c>
      <c r="M848" s="3">
        <v>12395.954021224299</v>
      </c>
      <c r="N848" s="3">
        <v>72751158.730618596</v>
      </c>
      <c r="O848" s="4">
        <v>8.5026346131137506E-2</v>
      </c>
      <c r="P848" s="4">
        <v>2.2245451522253299E-2</v>
      </c>
      <c r="Q848" s="5">
        <v>-3.6413335047155902E-2</v>
      </c>
      <c r="R848" s="5">
        <v>1.3567447920566299E-3</v>
      </c>
      <c r="S848" s="6">
        <v>0.29143421134595399</v>
      </c>
      <c r="T848" s="6">
        <v>6.6790483452268706E-2</v>
      </c>
      <c r="U848" s="7">
        <v>0.26079573312923798</v>
      </c>
      <c r="V848" s="7">
        <v>0.192781318710981</v>
      </c>
      <c r="W848" s="8">
        <v>0.50971808580621203</v>
      </c>
      <c r="X848" s="8">
        <v>0.24990555880802101</v>
      </c>
      <c r="Y848" s="2">
        <v>11</v>
      </c>
      <c r="Z848" s="2">
        <f>VLOOKUP(E848,YieldData!T:U,2,FALSE)</f>
        <v>641.50994865211806</v>
      </c>
      <c r="AA848">
        <f t="shared" si="26"/>
        <v>0.51023727516264805</v>
      </c>
    </row>
    <row r="849" spans="1:27" hidden="1" x14ac:dyDescent="0.25">
      <c r="A849">
        <v>148</v>
      </c>
      <c r="B849">
        <v>508</v>
      </c>
      <c r="C849" t="s">
        <v>23</v>
      </c>
      <c r="D849">
        <v>25110</v>
      </c>
      <c r="E849">
        <f t="shared" si="27"/>
        <v>25110508</v>
      </c>
      <c r="F849">
        <f>VLOOKUP(E849,YieldData!D:F,2,FALSE)</f>
        <v>13</v>
      </c>
      <c r="G849">
        <f>VLOOKUP($E849,YieldData!$D:$F,3,FALSE)</f>
        <v>3</v>
      </c>
      <c r="H849">
        <v>30</v>
      </c>
      <c r="I849" t="s">
        <v>24</v>
      </c>
      <c r="J849" t="s">
        <v>25</v>
      </c>
      <c r="K849" s="2">
        <v>6979.2167288557202</v>
      </c>
      <c r="L849" s="2">
        <v>112729256.84623</v>
      </c>
      <c r="M849" s="3">
        <v>12948.9854284127</v>
      </c>
      <c r="N849" s="3">
        <v>70570786.766994298</v>
      </c>
      <c r="O849" s="4">
        <v>7.2392648993470296E-2</v>
      </c>
      <c r="P849" s="4">
        <v>1.74644203283114E-2</v>
      </c>
      <c r="Q849" s="5">
        <v>-4.0340883658880999E-2</v>
      </c>
      <c r="R849" s="5">
        <v>1.13353331795849E-3</v>
      </c>
      <c r="S849" s="6">
        <v>0.27368001665122799</v>
      </c>
      <c r="T849" s="6">
        <v>6.0120041700832502E-2</v>
      </c>
      <c r="U849" s="7">
        <v>0.22671498277841601</v>
      </c>
      <c r="V849" s="7">
        <v>0.17531529936207799</v>
      </c>
      <c r="W849" s="8">
        <v>0.413143574717455</v>
      </c>
      <c r="X849" s="8">
        <v>0.242455961387295</v>
      </c>
      <c r="Y849" s="2">
        <v>6</v>
      </c>
      <c r="Z849" s="2">
        <f>VLOOKUP(E849,YieldData!T:U,2,FALSE)</f>
        <v>394.67265725288831</v>
      </c>
      <c r="AA849">
        <f t="shared" si="26"/>
        <v>0.41675238619237898</v>
      </c>
    </row>
    <row r="850" spans="1:27" hidden="1" x14ac:dyDescent="0.25">
      <c r="A850">
        <v>149</v>
      </c>
      <c r="B850">
        <v>509</v>
      </c>
      <c r="C850" t="s">
        <v>23</v>
      </c>
      <c r="D850">
        <v>25110</v>
      </c>
      <c r="E850">
        <f t="shared" si="27"/>
        <v>25110509</v>
      </c>
      <c r="F850">
        <f>VLOOKUP(E850,YieldData!D:F,2,FALSE)</f>
        <v>8</v>
      </c>
      <c r="G850">
        <f>VLOOKUP($E850,YieldData!$D:$F,3,FALSE)</f>
        <v>3</v>
      </c>
      <c r="H850">
        <v>30</v>
      </c>
      <c r="I850" t="s">
        <v>24</v>
      </c>
      <c r="J850" t="s">
        <v>25</v>
      </c>
      <c r="K850" s="2">
        <v>8027.7717135237899</v>
      </c>
      <c r="L850" s="2">
        <v>131515062.268251</v>
      </c>
      <c r="M850" s="3">
        <v>11704.4962124954</v>
      </c>
      <c r="N850" s="3">
        <v>67504320.557727203</v>
      </c>
      <c r="O850" s="4">
        <v>8.9703266549461105E-2</v>
      </c>
      <c r="P850" s="4">
        <v>1.7391354168082199E-2</v>
      </c>
      <c r="Q850" s="5">
        <v>-3.8807443596188797E-2</v>
      </c>
      <c r="R850" s="5">
        <v>1.31133075330835E-3</v>
      </c>
      <c r="S850" s="6">
        <v>0.30239382493288097</v>
      </c>
      <c r="T850" s="6">
        <v>6.2427627250233E-2</v>
      </c>
      <c r="U850" s="7">
        <v>0.27298709685134498</v>
      </c>
      <c r="V850" s="7">
        <v>0.19846514180434999</v>
      </c>
      <c r="W850" s="8">
        <v>0.49394146003038197</v>
      </c>
      <c r="X850" s="8">
        <v>0.249963294093933</v>
      </c>
      <c r="Y850" s="2">
        <v>19</v>
      </c>
      <c r="Z850" s="2">
        <f>VLOOKUP(E850,YieldData!T:U,2,FALSE)</f>
        <v>690.69801026957646</v>
      </c>
      <c r="AA850">
        <f t="shared" si="26"/>
        <v>0.46421439077765703</v>
      </c>
    </row>
    <row r="851" spans="1:27" hidden="1" x14ac:dyDescent="0.25">
      <c r="A851">
        <v>150</v>
      </c>
      <c r="B851">
        <v>510</v>
      </c>
      <c r="C851" t="s">
        <v>23</v>
      </c>
      <c r="D851">
        <v>25110</v>
      </c>
      <c r="E851">
        <f t="shared" si="27"/>
        <v>25110510</v>
      </c>
      <c r="F851">
        <f>VLOOKUP(E851,YieldData!D:F,2,FALSE)</f>
        <v>5</v>
      </c>
      <c r="G851">
        <f>VLOOKUP($E851,YieldData!$D:$F,3,FALSE)</f>
        <v>3</v>
      </c>
      <c r="H851">
        <v>30</v>
      </c>
      <c r="I851" t="s">
        <v>24</v>
      </c>
      <c r="J851" t="s">
        <v>25</v>
      </c>
      <c r="K851" s="2">
        <v>8189.5488662456901</v>
      </c>
      <c r="L851" s="2">
        <v>120953549.331256</v>
      </c>
      <c r="M851" s="3">
        <v>11941.9506393926</v>
      </c>
      <c r="N851" s="3">
        <v>60271316.243636303</v>
      </c>
      <c r="O851" s="4">
        <v>7.8123685238029497E-2</v>
      </c>
      <c r="P851" s="4">
        <v>1.41234826565819E-2</v>
      </c>
      <c r="Q851" s="5">
        <v>-4.0135632481401E-2</v>
      </c>
      <c r="R851" s="5">
        <v>1.3317728753334101E-3</v>
      </c>
      <c r="S851" s="6">
        <v>0.29504015673887002</v>
      </c>
      <c r="T851" s="6">
        <v>5.3238465470487099E-2</v>
      </c>
      <c r="U851" s="7">
        <v>0.25681687715269802</v>
      </c>
      <c r="V851" s="7">
        <v>0.19086196876219599</v>
      </c>
      <c r="W851" s="8">
        <v>0.85360923389749399</v>
      </c>
      <c r="X851" s="8">
        <v>0.124960509702349</v>
      </c>
      <c r="Y851" s="2">
        <v>50</v>
      </c>
      <c r="Z851" s="2">
        <f>VLOOKUP(E851,YieldData!T:U,2,FALSE)</f>
        <v>1385.9820282413348</v>
      </c>
      <c r="AA851">
        <f t="shared" si="26"/>
        <v>0.377397751734035</v>
      </c>
    </row>
    <row r="852" spans="1:27" hidden="1" x14ac:dyDescent="0.25">
      <c r="A852">
        <v>151</v>
      </c>
      <c r="B852">
        <v>511</v>
      </c>
      <c r="C852" t="s">
        <v>23</v>
      </c>
      <c r="D852">
        <v>25110</v>
      </c>
      <c r="E852">
        <f t="shared" si="27"/>
        <v>25110511</v>
      </c>
      <c r="F852">
        <f>VLOOKUP(E852,YieldData!D:F,2,FALSE)</f>
        <v>1</v>
      </c>
      <c r="G852">
        <f>VLOOKUP($E852,YieldData!$D:$F,3,FALSE)</f>
        <v>3</v>
      </c>
      <c r="H852">
        <v>30</v>
      </c>
      <c r="I852" t="s">
        <v>24</v>
      </c>
      <c r="J852" t="s">
        <v>25</v>
      </c>
      <c r="K852" s="2">
        <v>5859.1058489820798</v>
      </c>
      <c r="L852" s="2">
        <v>88581829.775949597</v>
      </c>
      <c r="M852" s="3">
        <v>12850.5553649431</v>
      </c>
      <c r="N852" s="3">
        <v>52047925.097838402</v>
      </c>
      <c r="O852" s="4">
        <v>6.0451401447310101E-2</v>
      </c>
      <c r="P852" s="4">
        <v>1.44997162938324E-2</v>
      </c>
      <c r="Q852" s="5">
        <v>-4.0635530588694201E-2</v>
      </c>
      <c r="R852" s="5">
        <v>1.15312264926293E-3</v>
      </c>
      <c r="S852" s="6">
        <v>0.250234166923816</v>
      </c>
      <c r="T852" s="6">
        <v>4.7737088558109701E-2</v>
      </c>
      <c r="U852" s="7">
        <v>0.18644453221308599</v>
      </c>
      <c r="V852" s="7">
        <v>0.15168296862104599</v>
      </c>
      <c r="W852" s="8">
        <v>0.86511460889341096</v>
      </c>
      <c r="X852" s="8">
        <v>0.116691322372768</v>
      </c>
      <c r="Y852" s="2">
        <v>28</v>
      </c>
      <c r="Z852" s="2">
        <f>VLOOKUP(E852,YieldData!T:U,2,FALSE)</f>
        <v>557.27214377406938</v>
      </c>
      <c r="AA852">
        <f t="shared" si="26"/>
        <v>0.36131758172046902</v>
      </c>
    </row>
    <row r="853" spans="1:27" hidden="1" x14ac:dyDescent="0.25">
      <c r="A853">
        <v>152</v>
      </c>
      <c r="B853">
        <v>512</v>
      </c>
      <c r="C853" t="s">
        <v>23</v>
      </c>
      <c r="D853">
        <v>25110</v>
      </c>
      <c r="E853">
        <f t="shared" si="27"/>
        <v>25110512</v>
      </c>
      <c r="F853">
        <f>VLOOKUP(E853,YieldData!D:F,2,FALSE)</f>
        <v>10</v>
      </c>
      <c r="G853">
        <f>VLOOKUP($E853,YieldData!$D:$F,3,FALSE)</f>
        <v>3</v>
      </c>
      <c r="H853">
        <v>30</v>
      </c>
      <c r="I853" t="s">
        <v>24</v>
      </c>
      <c r="J853" t="s">
        <v>25</v>
      </c>
      <c r="K853" s="2">
        <v>4284.35544048886</v>
      </c>
      <c r="L853" s="2">
        <v>57733781.512386203</v>
      </c>
      <c r="M853" s="3">
        <v>16317.725577098499</v>
      </c>
      <c r="N853" s="3">
        <v>41755445.654510997</v>
      </c>
      <c r="O853" s="4">
        <v>3.63275601707544E-3</v>
      </c>
      <c r="P853" s="4">
        <v>1.0120384072447201E-2</v>
      </c>
      <c r="Q853" s="5">
        <v>-6.00486262600885E-2</v>
      </c>
      <c r="R853" s="5">
        <v>9.2721307519740297E-4</v>
      </c>
      <c r="S853" s="6">
        <v>0.16792049985968599</v>
      </c>
      <c r="T853" s="6">
        <v>3.5098942501124199E-2</v>
      </c>
      <c r="U853" s="7">
        <v>0.112062470851321</v>
      </c>
      <c r="V853" s="7">
        <v>9.95044734782181E-2</v>
      </c>
      <c r="W853" s="8">
        <v>0.76532858065596499</v>
      </c>
      <c r="X853" s="8">
        <v>0.179600744287258</v>
      </c>
      <c r="Y853" s="2">
        <v>37</v>
      </c>
      <c r="Z853" s="2">
        <f>VLOOKUP(E853,YieldData!T:U,2,FALSE)</f>
        <v>1164.9743260590499</v>
      </c>
      <c r="AA853">
        <f t="shared" si="26"/>
        <v>0.17485979408564201</v>
      </c>
    </row>
    <row r="854" spans="1:27" hidden="1" x14ac:dyDescent="0.25">
      <c r="A854">
        <v>153</v>
      </c>
      <c r="B854">
        <v>601</v>
      </c>
      <c r="C854" t="s">
        <v>23</v>
      </c>
      <c r="D854" t="s">
        <v>100</v>
      </c>
      <c r="E854" t="e">
        <f t="shared" si="27"/>
        <v>#VALUE!</v>
      </c>
      <c r="H854">
        <v>30</v>
      </c>
      <c r="I854" t="s">
        <v>24</v>
      </c>
      <c r="J854" t="s">
        <v>25</v>
      </c>
      <c r="K854" s="2">
        <v>5320.08192603932</v>
      </c>
      <c r="L854" s="2">
        <v>59484441.168597303</v>
      </c>
      <c r="M854" s="3">
        <v>15150.2088109831</v>
      </c>
      <c r="N854" s="3">
        <v>60586220.466328599</v>
      </c>
      <c r="O854" s="4">
        <v>4.7358909505472599E-2</v>
      </c>
      <c r="P854" s="4">
        <v>2.08515930976239E-2</v>
      </c>
      <c r="Q854" s="5">
        <v>-5.1364081323495403E-2</v>
      </c>
      <c r="R854" s="5">
        <v>1.2638807765453599E-3</v>
      </c>
      <c r="S854" s="6">
        <v>0.25232845344349902</v>
      </c>
      <c r="T854" s="6">
        <v>5.0338678831053398E-2</v>
      </c>
      <c r="U854" s="7">
        <v>0.18539204898818401</v>
      </c>
      <c r="V854" s="7">
        <v>0.15102183716009701</v>
      </c>
      <c r="W854" s="8">
        <v>0.81954743338276803</v>
      </c>
      <c r="X854" s="8">
        <v>0.14788943781807901</v>
      </c>
      <c r="Y854" s="2">
        <v>33</v>
      </c>
      <c r="Z854" s="2" t="e">
        <f>VLOOKUP(E854,YieldData!T:U,2,FALSE)</f>
        <v>#VALUE!</v>
      </c>
      <c r="AA854">
        <f t="shared" si="26"/>
        <v>0.913534329143595</v>
      </c>
    </row>
    <row r="855" spans="1:27" hidden="1" x14ac:dyDescent="0.25">
      <c r="A855">
        <v>154</v>
      </c>
      <c r="B855">
        <v>602</v>
      </c>
      <c r="C855" t="s">
        <v>23</v>
      </c>
      <c r="D855" t="s">
        <v>100</v>
      </c>
      <c r="E855" t="e">
        <f t="shared" si="27"/>
        <v>#VALUE!</v>
      </c>
      <c r="H855">
        <v>30</v>
      </c>
      <c r="I855" t="s">
        <v>24</v>
      </c>
      <c r="J855" t="s">
        <v>25</v>
      </c>
      <c r="K855" s="2">
        <v>3660.5250550133901</v>
      </c>
      <c r="L855" s="2">
        <v>42293537.578041799</v>
      </c>
      <c r="M855" s="3">
        <v>15941.6019308958</v>
      </c>
      <c r="N855" s="3">
        <v>42565042.902387299</v>
      </c>
      <c r="O855" s="4">
        <v>1.74663897593853E-2</v>
      </c>
      <c r="P855" s="4">
        <v>1.4455513681682099E-2</v>
      </c>
      <c r="Q855" s="5">
        <v>-5.8385103310436497E-2</v>
      </c>
      <c r="R855" s="5">
        <v>9.963585986370821E-4</v>
      </c>
      <c r="S855" s="6">
        <v>0.20769486949472099</v>
      </c>
      <c r="T855" s="6">
        <v>3.6163048731833299E-2</v>
      </c>
      <c r="U855" s="7">
        <v>0.124378109452736</v>
      </c>
      <c r="V855" s="7">
        <v>0.108908195341838</v>
      </c>
      <c r="W855" s="8">
        <v>0.79199406790810001</v>
      </c>
      <c r="X855" s="8">
        <v>0.164739464305934</v>
      </c>
      <c r="Y855" s="2">
        <v>54</v>
      </c>
      <c r="Z855" s="2" t="e">
        <f>VLOOKUP(E855,YieldData!T:U,2,FALSE)</f>
        <v>#VALUE!</v>
      </c>
      <c r="AA855">
        <f t="shared" si="26"/>
        <v>0.913534329143595</v>
      </c>
    </row>
    <row r="856" spans="1:27" hidden="1" x14ac:dyDescent="0.25">
      <c r="A856">
        <v>155</v>
      </c>
      <c r="B856">
        <v>603</v>
      </c>
      <c r="C856" t="s">
        <v>23</v>
      </c>
      <c r="D856" t="s">
        <v>100</v>
      </c>
      <c r="E856" t="e">
        <f t="shared" si="27"/>
        <v>#VALUE!</v>
      </c>
      <c r="H856">
        <v>30</v>
      </c>
      <c r="I856" t="s">
        <v>24</v>
      </c>
      <c r="J856" t="s">
        <v>25</v>
      </c>
      <c r="K856" s="2">
        <v>6030.1445912814697</v>
      </c>
      <c r="L856" s="2">
        <v>77785062.137917802</v>
      </c>
      <c r="M856" s="3">
        <v>15262.7504759206</v>
      </c>
      <c r="N856" s="3">
        <v>61905428.416992903</v>
      </c>
      <c r="O856" s="4">
        <v>2.4373120359110802E-2</v>
      </c>
      <c r="P856" s="4">
        <v>1.6535497320641499E-2</v>
      </c>
      <c r="Q856" s="5">
        <v>-5.8587793942904101E-2</v>
      </c>
      <c r="R856" s="5">
        <v>1.1050400396289599E-3</v>
      </c>
      <c r="S856" s="6">
        <v>0.23374217966503999</v>
      </c>
      <c r="T856" s="6">
        <v>4.8343252137694102E-2</v>
      </c>
      <c r="U856" s="7">
        <v>0.18159421156491101</v>
      </c>
      <c r="V856" s="7">
        <v>0.148617753891085</v>
      </c>
      <c r="W856" s="8">
        <v>0.69357365833821705</v>
      </c>
      <c r="X856" s="8">
        <v>0.21252923879764901</v>
      </c>
      <c r="Y856" s="2">
        <v>27</v>
      </c>
      <c r="Z856" s="2" t="e">
        <f>VLOOKUP(E856,YieldData!T:U,2,FALSE)</f>
        <v>#VALUE!</v>
      </c>
      <c r="AA856">
        <f t="shared" si="26"/>
        <v>0.913534329143595</v>
      </c>
    </row>
    <row r="857" spans="1:27" hidden="1" x14ac:dyDescent="0.25">
      <c r="A857">
        <v>156</v>
      </c>
      <c r="B857">
        <v>604</v>
      </c>
      <c r="C857" t="s">
        <v>23</v>
      </c>
      <c r="D857">
        <v>25110</v>
      </c>
      <c r="E857">
        <f t="shared" si="27"/>
        <v>25110604</v>
      </c>
      <c r="F857">
        <f>VLOOKUP(E857,YieldData!D:F,2,FALSE)</f>
        <v>7</v>
      </c>
      <c r="G857">
        <f>VLOOKUP($E857,YieldData!$D:$F,3,FALSE)</f>
        <v>3</v>
      </c>
      <c r="H857">
        <v>30</v>
      </c>
      <c r="I857" t="s">
        <v>24</v>
      </c>
      <c r="J857" t="s">
        <v>25</v>
      </c>
      <c r="K857" s="2">
        <v>6709.5601200727097</v>
      </c>
      <c r="L857" s="2">
        <v>94895551.665994406</v>
      </c>
      <c r="M857" s="3">
        <v>12392.8603669237</v>
      </c>
      <c r="N857" s="3">
        <v>68831085.908222094</v>
      </c>
      <c r="O857" s="4">
        <v>8.63283578894639E-2</v>
      </c>
      <c r="P857" s="4">
        <v>2.0908121968534098E-2</v>
      </c>
      <c r="Q857" s="5">
        <v>-3.6312979321889698E-2</v>
      </c>
      <c r="R857" s="5">
        <v>1.45516452571229E-3</v>
      </c>
      <c r="S857" s="6">
        <v>0.29569409868047403</v>
      </c>
      <c r="T857" s="6">
        <v>5.8617040898384501E-2</v>
      </c>
      <c r="U857" s="7">
        <v>0.244486701109835</v>
      </c>
      <c r="V857" s="7">
        <v>0.18471295409039001</v>
      </c>
      <c r="W857" s="8">
        <v>0.61772409256712302</v>
      </c>
      <c r="X857" s="8">
        <v>0.23614103802895101</v>
      </c>
      <c r="Y857" s="2">
        <v>28</v>
      </c>
      <c r="Z857" s="2">
        <f>VLOOKUP(E857,YieldData!T:U,2,FALSE)</f>
        <v>223.72432605905007</v>
      </c>
      <c r="AA857">
        <f t="shared" si="26"/>
        <v>0.34746522836265398</v>
      </c>
    </row>
    <row r="858" spans="1:27" hidden="1" x14ac:dyDescent="0.25">
      <c r="A858">
        <v>157</v>
      </c>
      <c r="B858">
        <v>605</v>
      </c>
      <c r="C858" t="s">
        <v>23</v>
      </c>
      <c r="D858">
        <v>25110</v>
      </c>
      <c r="E858">
        <f t="shared" si="27"/>
        <v>25110605</v>
      </c>
      <c r="F858">
        <f>VLOOKUP(E858,YieldData!D:F,2,FALSE)</f>
        <v>11</v>
      </c>
      <c r="G858">
        <f>VLOOKUP($E858,YieldData!$D:$F,3,FALSE)</f>
        <v>3</v>
      </c>
      <c r="H858">
        <v>30</v>
      </c>
      <c r="I858" t="s">
        <v>24</v>
      </c>
      <c r="J858" t="s">
        <v>25</v>
      </c>
      <c r="K858" s="2">
        <v>9743.5605573162702</v>
      </c>
      <c r="L858" s="2">
        <v>155740778.36102399</v>
      </c>
      <c r="M858" s="3">
        <v>10295.5450386784</v>
      </c>
      <c r="N858" s="3">
        <v>73022347.851823106</v>
      </c>
      <c r="O858" s="4">
        <v>0.10839496936694901</v>
      </c>
      <c r="P858" s="4">
        <v>1.8923065127471401E-2</v>
      </c>
      <c r="Q858" s="5">
        <v>-2.8866297786088301E-2</v>
      </c>
      <c r="R858" s="5">
        <v>1.4748137942199599E-3</v>
      </c>
      <c r="S858" s="6">
        <v>0.34505451411846499</v>
      </c>
      <c r="T858" s="6">
        <v>6.4691336156423307E-2</v>
      </c>
      <c r="U858" s="7">
        <v>0.31568498475154</v>
      </c>
      <c r="V858" s="7">
        <v>0.21602797515376099</v>
      </c>
      <c r="W858" s="8">
        <v>0.439404813166834</v>
      </c>
      <c r="X858" s="8">
        <v>0.24632822333283</v>
      </c>
      <c r="Y858" s="2">
        <v>13</v>
      </c>
      <c r="Z858" s="2">
        <f>VLOOKUP(E858,YieldData!T:U,2,FALSE)</f>
        <v>429.84595635430037</v>
      </c>
      <c r="AA858">
        <f t="shared" si="26"/>
        <v>0.46992620588200101</v>
      </c>
    </row>
    <row r="859" spans="1:27" hidden="1" x14ac:dyDescent="0.25">
      <c r="A859">
        <v>158</v>
      </c>
      <c r="B859">
        <v>606</v>
      </c>
      <c r="C859" t="s">
        <v>23</v>
      </c>
      <c r="D859">
        <v>25110</v>
      </c>
      <c r="E859">
        <f t="shared" si="27"/>
        <v>25110606</v>
      </c>
      <c r="F859">
        <f>VLOOKUP(E859,YieldData!D:F,2,FALSE)</f>
        <v>9</v>
      </c>
      <c r="G859">
        <f>VLOOKUP($E859,YieldData!$D:$F,3,FALSE)</f>
        <v>3</v>
      </c>
      <c r="H859">
        <v>30</v>
      </c>
      <c r="I859" t="s">
        <v>24</v>
      </c>
      <c r="J859" t="s">
        <v>25</v>
      </c>
      <c r="K859" s="2">
        <v>4271.9512451855198</v>
      </c>
      <c r="L859" s="2">
        <v>63318012.716793001</v>
      </c>
      <c r="M859" s="3">
        <v>13631.356181945201</v>
      </c>
      <c r="N859" s="3">
        <v>43328378.140329301</v>
      </c>
      <c r="O859" s="4">
        <v>4.3945438054009502E-2</v>
      </c>
      <c r="P859" s="4">
        <v>1.47719596137198E-2</v>
      </c>
      <c r="Q859" s="5">
        <v>-3.9236844739048399E-2</v>
      </c>
      <c r="R859" s="5">
        <v>1.11633061890405E-3</v>
      </c>
      <c r="S859" s="6">
        <v>0.23312019756319599</v>
      </c>
      <c r="T859" s="6">
        <v>4.0882773777994097E-2</v>
      </c>
      <c r="U859" s="7">
        <v>0.15762780794717801</v>
      </c>
      <c r="V859" s="7">
        <v>0.13278128210880999</v>
      </c>
      <c r="W859" s="8">
        <v>0.81451718983557597</v>
      </c>
      <c r="X859" s="8">
        <v>0.15107893729830299</v>
      </c>
      <c r="Y859" s="2">
        <v>53</v>
      </c>
      <c r="Z859" s="2">
        <f>VLOOKUP(E859,YieldData!T:U,2,FALSE)</f>
        <v>1469.6084724005136</v>
      </c>
      <c r="AA859">
        <f t="shared" si="26"/>
        <v>0.39368063528511299</v>
      </c>
    </row>
    <row r="860" spans="1:27" hidden="1" x14ac:dyDescent="0.25">
      <c r="A860">
        <v>159</v>
      </c>
      <c r="B860">
        <v>607</v>
      </c>
      <c r="C860" t="s">
        <v>23</v>
      </c>
      <c r="D860">
        <v>25110</v>
      </c>
      <c r="E860">
        <f t="shared" si="27"/>
        <v>25110607</v>
      </c>
      <c r="F860">
        <f>VLOOKUP(E860,YieldData!D:F,2,FALSE)</f>
        <v>6</v>
      </c>
      <c r="G860">
        <f>VLOOKUP($E860,YieldData!$D:$F,3,FALSE)</f>
        <v>3</v>
      </c>
      <c r="H860">
        <v>30</v>
      </c>
      <c r="I860" t="s">
        <v>24</v>
      </c>
      <c r="J860" t="s">
        <v>25</v>
      </c>
      <c r="K860" s="2">
        <v>4396.0516307272801</v>
      </c>
      <c r="L860" s="2">
        <v>71748455.358354896</v>
      </c>
      <c r="M860" s="3">
        <v>13322.349443954299</v>
      </c>
      <c r="N860" s="3">
        <v>43291155.889412098</v>
      </c>
      <c r="O860" s="4">
        <v>5.1255877361558802E-2</v>
      </c>
      <c r="P860" s="4">
        <v>1.5680581400951899E-2</v>
      </c>
      <c r="Q860" s="5">
        <v>-3.9669596027375E-2</v>
      </c>
      <c r="R860" s="5">
        <v>1.19585019998353E-3</v>
      </c>
      <c r="S860" s="6">
        <v>0.23408674234783899</v>
      </c>
      <c r="T860" s="6">
        <v>4.4784809518154202E-2</v>
      </c>
      <c r="U860" s="7">
        <v>0.16327604559099701</v>
      </c>
      <c r="V860" s="7">
        <v>0.13661697852705701</v>
      </c>
      <c r="W860" s="8">
        <v>0.86107290233837697</v>
      </c>
      <c r="X860" s="8">
        <v>0.119626359196962</v>
      </c>
      <c r="Y860" s="2">
        <v>29</v>
      </c>
      <c r="Z860" s="2">
        <f>VLOOKUP(E860,YieldData!T:U,2,FALSE)</f>
        <v>429.81386392811288</v>
      </c>
      <c r="AA860">
        <f t="shared" si="26"/>
        <v>0.39178586805721699</v>
      </c>
    </row>
    <row r="861" spans="1:27" hidden="1" x14ac:dyDescent="0.25">
      <c r="A861">
        <v>160</v>
      </c>
      <c r="B861">
        <v>608</v>
      </c>
      <c r="C861" t="s">
        <v>23</v>
      </c>
      <c r="D861">
        <v>25110</v>
      </c>
      <c r="E861">
        <f t="shared" si="27"/>
        <v>25110608</v>
      </c>
      <c r="F861">
        <f>VLOOKUP(E861,YieldData!D:F,2,FALSE)</f>
        <v>14</v>
      </c>
      <c r="G861">
        <f>VLOOKUP($E861,YieldData!$D:$F,3,FALSE)</f>
        <v>3</v>
      </c>
      <c r="H861">
        <v>30</v>
      </c>
      <c r="I861" t="s">
        <v>24</v>
      </c>
      <c r="J861" t="s">
        <v>25</v>
      </c>
      <c r="K861" s="2">
        <v>7482.8574828670899</v>
      </c>
      <c r="L861" s="2">
        <v>115883143.831192</v>
      </c>
      <c r="M861" s="3">
        <v>12636.795343083</v>
      </c>
      <c r="N861" s="3">
        <v>69067319.794278398</v>
      </c>
      <c r="O861" s="4">
        <v>7.2901554378108593E-2</v>
      </c>
      <c r="P861" s="4">
        <v>1.9893335652813701E-2</v>
      </c>
      <c r="Q861" s="5">
        <v>-4.2780659613905397E-2</v>
      </c>
      <c r="R861" s="5">
        <v>1.3039269487925499E-3</v>
      </c>
      <c r="S861" s="6">
        <v>0.285840521994144</v>
      </c>
      <c r="T861" s="6">
        <v>6.13987294208823E-2</v>
      </c>
      <c r="U861" s="7">
        <v>0.24970398631759</v>
      </c>
      <c r="V861" s="7">
        <v>0.18735190553440201</v>
      </c>
      <c r="W861" s="8">
        <v>0.69680081325121102</v>
      </c>
      <c r="X861" s="8">
        <v>0.21126943990354899</v>
      </c>
      <c r="Y861" s="2">
        <v>24</v>
      </c>
      <c r="Z861" s="2">
        <f>VLOOKUP(E861,YieldData!T:U,2,FALSE)</f>
        <v>260.46373555840825</v>
      </c>
      <c r="AA861">
        <f t="shared" si="26"/>
        <v>0.446201131348888</v>
      </c>
    </row>
    <row r="862" spans="1:27" hidden="1" x14ac:dyDescent="0.25">
      <c r="A862">
        <v>161</v>
      </c>
      <c r="B862">
        <v>609</v>
      </c>
      <c r="C862" t="s">
        <v>23</v>
      </c>
      <c r="D862">
        <v>25110</v>
      </c>
      <c r="E862">
        <f t="shared" si="27"/>
        <v>25110609</v>
      </c>
      <c r="F862">
        <f>VLOOKUP(E862,YieldData!D:F,2,FALSE)</f>
        <v>2</v>
      </c>
      <c r="G862">
        <f>VLOOKUP($E862,YieldData!$D:$F,3,FALSE)</f>
        <v>3</v>
      </c>
      <c r="H862">
        <v>30</v>
      </c>
      <c r="I862" t="s">
        <v>24</v>
      </c>
      <c r="J862" t="s">
        <v>25</v>
      </c>
      <c r="K862" s="2">
        <v>5380.29598756204</v>
      </c>
      <c r="L862" s="2">
        <v>91542521.191768199</v>
      </c>
      <c r="M862" s="3">
        <v>13068.8336170413</v>
      </c>
      <c r="N862" s="3">
        <v>48638892.439288199</v>
      </c>
      <c r="O862" s="4">
        <v>5.3093696641155097E-2</v>
      </c>
      <c r="P862" s="4">
        <v>1.5418626204180099E-2</v>
      </c>
      <c r="Q862" s="5">
        <v>-4.61495844892163E-2</v>
      </c>
      <c r="R862" s="5">
        <v>1.3562079222756401E-3</v>
      </c>
      <c r="S862" s="6">
        <v>0.241077735288871</v>
      </c>
      <c r="T862" s="6">
        <v>4.8519342538147499E-2</v>
      </c>
      <c r="U862" s="7">
        <v>0.18868624050708599</v>
      </c>
      <c r="V862" s="7">
        <v>0.15308374315064199</v>
      </c>
      <c r="W862" s="8">
        <v>0.71512462325981896</v>
      </c>
      <c r="X862" s="8">
        <v>0.20372139646717599</v>
      </c>
      <c r="Y862" s="2">
        <v>27</v>
      </c>
      <c r="Z862" s="2">
        <f>VLOOKUP(E862,YieldData!T:U,2,FALSE)</f>
        <v>459.55551989730429</v>
      </c>
      <c r="AA862">
        <f t="shared" si="26"/>
        <v>0.30308321572942298</v>
      </c>
    </row>
    <row r="863" spans="1:27" hidden="1" x14ac:dyDescent="0.25">
      <c r="A863">
        <v>162</v>
      </c>
      <c r="B863">
        <v>610</v>
      </c>
      <c r="C863" t="s">
        <v>23</v>
      </c>
      <c r="D863">
        <v>25110</v>
      </c>
      <c r="E863">
        <f t="shared" si="27"/>
        <v>25110610</v>
      </c>
      <c r="F863">
        <f>VLOOKUP(E863,YieldData!D:F,2,FALSE)</f>
        <v>3</v>
      </c>
      <c r="G863">
        <f>VLOOKUP($E863,YieldData!$D:$F,3,FALSE)</f>
        <v>3</v>
      </c>
      <c r="H863">
        <v>30</v>
      </c>
      <c r="I863" t="s">
        <v>24</v>
      </c>
      <c r="J863" t="s">
        <v>25</v>
      </c>
      <c r="K863" s="2">
        <v>7524.5796111718901</v>
      </c>
      <c r="L863" s="2">
        <v>111472935.28356799</v>
      </c>
      <c r="M863" s="3">
        <v>11262.2233778671</v>
      </c>
      <c r="N863" s="3">
        <v>65542810.3120097</v>
      </c>
      <c r="O863" s="4">
        <v>9.3739456775671803E-2</v>
      </c>
      <c r="P863" s="4">
        <v>2.0204959380296601E-2</v>
      </c>
      <c r="Q863" s="5">
        <v>-3.66701535119138E-2</v>
      </c>
      <c r="R863" s="5">
        <v>1.39736828301674E-3</v>
      </c>
      <c r="S863" s="6">
        <v>0.29899749633908401</v>
      </c>
      <c r="T863" s="6">
        <v>6.1387925645652403E-2</v>
      </c>
      <c r="U863" s="7">
        <v>0.26149110889351102</v>
      </c>
      <c r="V863" s="7">
        <v>0.193113508862959</v>
      </c>
      <c r="W863" s="8">
        <v>0.554783403267887</v>
      </c>
      <c r="X863" s="8">
        <v>0.24699877872651199</v>
      </c>
      <c r="Y863" s="2">
        <v>13</v>
      </c>
      <c r="Z863" s="2">
        <f>VLOOKUP(E863,YieldData!T:U,2,FALSE)</f>
        <v>431.31578947368428</v>
      </c>
      <c r="AA863">
        <f t="shared" si="26"/>
        <v>0.388695850816972</v>
      </c>
    </row>
    <row r="864" spans="1:27" hidden="1" x14ac:dyDescent="0.25">
      <c r="A864">
        <v>163</v>
      </c>
      <c r="B864">
        <v>611</v>
      </c>
      <c r="C864" t="s">
        <v>23</v>
      </c>
      <c r="D864">
        <v>25110</v>
      </c>
      <c r="E864">
        <f t="shared" si="27"/>
        <v>25110611</v>
      </c>
      <c r="H864">
        <v>30</v>
      </c>
      <c r="I864" t="s">
        <v>24</v>
      </c>
      <c r="J864" t="s">
        <v>25</v>
      </c>
      <c r="K864" s="2">
        <v>6932.0895185016898</v>
      </c>
      <c r="L864" s="2">
        <v>111101690.38353699</v>
      </c>
      <c r="M864" s="3">
        <v>12635.221805294999</v>
      </c>
      <c r="N864" s="3">
        <v>70328127.774329901</v>
      </c>
      <c r="O864" s="4">
        <v>6.4893608113221701E-2</v>
      </c>
      <c r="P864" s="4">
        <v>1.8661732510191799E-2</v>
      </c>
      <c r="Q864" s="5">
        <v>-4.3875122663692603E-2</v>
      </c>
      <c r="R864" s="5">
        <v>1.22111499488511E-3</v>
      </c>
      <c r="S864" s="6">
        <v>0.26018730907993198</v>
      </c>
      <c r="T864" s="6">
        <v>5.7989075021768602E-2</v>
      </c>
      <c r="U864" s="7">
        <v>0.21416270002631099</v>
      </c>
      <c r="V864" s="7">
        <v>0.16829703794387699</v>
      </c>
      <c r="W864" s="8">
        <v>0.56746639238386798</v>
      </c>
      <c r="X864" s="8">
        <v>0.24544828589879</v>
      </c>
      <c r="Y864" s="2">
        <v>17</v>
      </c>
      <c r="Z864" s="2">
        <f>VLOOKUP(E864,YieldData!T:U,2,FALSE)</f>
        <v>0</v>
      </c>
      <c r="AA864">
        <f t="shared" si="26"/>
        <v>0.44827833658250699</v>
      </c>
    </row>
    <row r="865" spans="1:27" hidden="1" x14ac:dyDescent="0.25">
      <c r="A865">
        <v>164</v>
      </c>
      <c r="B865">
        <v>612</v>
      </c>
      <c r="C865" t="s">
        <v>23</v>
      </c>
      <c r="D865">
        <v>25110</v>
      </c>
      <c r="E865">
        <f t="shared" si="27"/>
        <v>25110612</v>
      </c>
      <c r="F865">
        <f>VLOOKUP(E865,YieldData!D:F,2,FALSE)</f>
        <v>15</v>
      </c>
      <c r="G865">
        <f>VLOOKUP($E865,YieldData!$D:$F,3,FALSE)</f>
        <v>3</v>
      </c>
      <c r="H865">
        <v>30</v>
      </c>
      <c r="I865" t="s">
        <v>24</v>
      </c>
      <c r="J865" t="s">
        <v>25</v>
      </c>
      <c r="K865" s="2">
        <v>4602.5078572371804</v>
      </c>
      <c r="L865" s="2">
        <v>73736095.831758201</v>
      </c>
      <c r="M865" s="3">
        <v>14690.441273094</v>
      </c>
      <c r="N865" s="3">
        <v>46283629.270364903</v>
      </c>
      <c r="O865" s="4">
        <v>2.5808795742429599E-2</v>
      </c>
      <c r="P865" s="4">
        <v>1.27286842586744E-2</v>
      </c>
      <c r="Q865" s="5">
        <v>-5.1473823719860402E-2</v>
      </c>
      <c r="R865" s="5">
        <v>1.0469088003245801E-3</v>
      </c>
      <c r="S865" s="6">
        <v>0.19167654279016799</v>
      </c>
      <c r="T865" s="6">
        <v>4.0880058038130197E-2</v>
      </c>
      <c r="U865" s="7">
        <v>0.13270267350148299</v>
      </c>
      <c r="V865" s="7">
        <v>0.115092673947053</v>
      </c>
      <c r="W865" s="8">
        <v>0.62857897453750899</v>
      </c>
      <c r="X865" s="8">
        <v>0.23346744730699601</v>
      </c>
      <c r="Y865" s="2">
        <v>33</v>
      </c>
      <c r="Z865" s="2">
        <f>VLOOKUP(E865,YieldData!T:U,2,FALSE)</f>
        <v>1202.8161103979462</v>
      </c>
      <c r="AA865">
        <f t="shared" si="26"/>
        <v>0.347999903956973</v>
      </c>
    </row>
    <row r="866" spans="1:27" hidden="1" x14ac:dyDescent="0.25">
      <c r="A866">
        <v>230</v>
      </c>
      <c r="B866">
        <v>101</v>
      </c>
      <c r="C866" t="s">
        <v>26</v>
      </c>
      <c r="D866">
        <v>25104</v>
      </c>
      <c r="E866">
        <f t="shared" si="27"/>
        <v>25104101</v>
      </c>
      <c r="F866">
        <f>VLOOKUP(E866,YieldData!D:F,2,FALSE)</f>
        <v>1</v>
      </c>
      <c r="G866">
        <f>VLOOKUP($E866,YieldData!$D:$F,3,FALSE)</f>
        <v>1</v>
      </c>
      <c r="H866">
        <v>30</v>
      </c>
      <c r="I866" t="s">
        <v>27</v>
      </c>
      <c r="J866" t="s">
        <v>28</v>
      </c>
      <c r="K866" s="2">
        <v>3744.2535191054199</v>
      </c>
      <c r="L866" s="2">
        <v>22670476.597212099</v>
      </c>
      <c r="M866" s="3">
        <v>14817.571091478199</v>
      </c>
      <c r="N866" s="3">
        <v>33546105.084640902</v>
      </c>
      <c r="O866" s="4">
        <v>-8.2102920133691106E-3</v>
      </c>
      <c r="P866" s="4">
        <v>2.5432729662150599E-2</v>
      </c>
      <c r="Q866" s="5">
        <v>-6.7531713048468903E-2</v>
      </c>
      <c r="R866" s="5">
        <v>1.4722391031966201E-3</v>
      </c>
      <c r="S866" s="6">
        <v>0.19153198302409299</v>
      </c>
      <c r="T866" s="6">
        <v>4.3359417394486802E-2</v>
      </c>
      <c r="U866" s="7">
        <v>0.134820307361119</v>
      </c>
      <c r="V866" s="7">
        <v>0.116643792084151</v>
      </c>
      <c r="W866" s="8">
        <v>0.98356734518142896</v>
      </c>
      <c r="X866" s="8">
        <v>1.61626226742205E-2</v>
      </c>
      <c r="Y866" s="2">
        <v>132</v>
      </c>
      <c r="Z866" s="2">
        <f>VLOOKUP(E866,YieldData!T:U,2,FALSE)</f>
        <v>534</v>
      </c>
      <c r="AA866">
        <f t="shared" si="26"/>
        <v>0.27361559622054799</v>
      </c>
    </row>
    <row r="867" spans="1:27" hidden="1" x14ac:dyDescent="0.25">
      <c r="A867">
        <v>231</v>
      </c>
      <c r="B867">
        <v>102</v>
      </c>
      <c r="C867" t="s">
        <v>26</v>
      </c>
      <c r="D867">
        <v>25104</v>
      </c>
      <c r="E867">
        <f t="shared" si="27"/>
        <v>25104102</v>
      </c>
      <c r="F867">
        <f>VLOOKUP(E867,YieldData!D:F,2,FALSE)</f>
        <v>2</v>
      </c>
      <c r="G867">
        <f>VLOOKUP($E867,YieldData!$D:$F,3,FALSE)</f>
        <v>1</v>
      </c>
      <c r="H867">
        <v>30</v>
      </c>
      <c r="I867" t="s">
        <v>27</v>
      </c>
      <c r="J867" t="s">
        <v>28</v>
      </c>
      <c r="K867" s="2">
        <v>5145.4576275481104</v>
      </c>
      <c r="L867" s="2">
        <v>40497129.562998801</v>
      </c>
      <c r="M867" s="3">
        <v>10959.2376323022</v>
      </c>
      <c r="N867" s="3">
        <v>59086235.014965303</v>
      </c>
      <c r="O867" s="4">
        <v>5.6332790290305301E-2</v>
      </c>
      <c r="P867" s="4">
        <v>4.9750196154855202E-2</v>
      </c>
      <c r="Q867" s="5">
        <v>-5.1735308635910103E-2</v>
      </c>
      <c r="R867" s="5">
        <v>2.86430794071849E-3</v>
      </c>
      <c r="S867" s="6">
        <v>0.26958874698704499</v>
      </c>
      <c r="T867" s="6">
        <v>8.2487419959070593E-2</v>
      </c>
      <c r="U867" s="7">
        <v>0.268728383018079</v>
      </c>
      <c r="V867" s="7">
        <v>0.196513439178477</v>
      </c>
      <c r="W867" s="8">
        <v>0.81320630416054296</v>
      </c>
      <c r="X867" s="8">
        <v>0.151901811034201</v>
      </c>
      <c r="Y867" s="2">
        <v>42</v>
      </c>
      <c r="Z867" s="2">
        <f>VLOOKUP(E867,YieldData!T:U,2,FALSE)</f>
        <v>1547</v>
      </c>
      <c r="AA867">
        <f t="shared" si="26"/>
        <v>0.40237923302041001</v>
      </c>
    </row>
    <row r="868" spans="1:27" hidden="1" x14ac:dyDescent="0.25">
      <c r="A868">
        <v>232</v>
      </c>
      <c r="B868">
        <v>103</v>
      </c>
      <c r="C868" t="s">
        <v>26</v>
      </c>
      <c r="D868">
        <v>25104</v>
      </c>
      <c r="E868">
        <f t="shared" si="27"/>
        <v>25104103</v>
      </c>
      <c r="F868">
        <f>VLOOKUP(E868,YieldData!D:F,2,FALSE)</f>
        <v>3</v>
      </c>
      <c r="G868">
        <f>VLOOKUP($E868,YieldData!$D:$F,3,FALSE)</f>
        <v>1</v>
      </c>
      <c r="H868">
        <v>30</v>
      </c>
      <c r="I868" t="s">
        <v>27</v>
      </c>
      <c r="J868" t="s">
        <v>28</v>
      </c>
      <c r="K868" s="2">
        <v>3902.5603367857102</v>
      </c>
      <c r="L868" s="2">
        <v>34684667.385332502</v>
      </c>
      <c r="M868" s="3">
        <v>13364.6350577346</v>
      </c>
      <c r="N868" s="3">
        <v>53161811.730842702</v>
      </c>
      <c r="O868" s="4">
        <v>-1.1944662560987701E-2</v>
      </c>
      <c r="P868" s="4">
        <v>4.5267421784406701E-2</v>
      </c>
      <c r="Q868" s="5">
        <v>-6.5704974217334497E-2</v>
      </c>
      <c r="R868" s="5">
        <v>2.76885491753314E-3</v>
      </c>
      <c r="S868" s="6">
        <v>0.17693216034383</v>
      </c>
      <c r="T868" s="6">
        <v>7.8236825215410102E-2</v>
      </c>
      <c r="U868" s="7">
        <v>0.17931207692491699</v>
      </c>
      <c r="V868" s="7">
        <v>0.14715925599403401</v>
      </c>
      <c r="W868" s="8">
        <v>0.72028607649436704</v>
      </c>
      <c r="X868" s="8">
        <v>0.201474044502676</v>
      </c>
      <c r="Y868" s="2">
        <v>44</v>
      </c>
      <c r="Z868" s="2">
        <f>VLOOKUP(E868,YieldData!T:U,2,FALSE)</f>
        <v>1172</v>
      </c>
      <c r="AA868">
        <f t="shared" si="26"/>
        <v>0.32019468793724098</v>
      </c>
    </row>
    <row r="869" spans="1:27" hidden="1" x14ac:dyDescent="0.25">
      <c r="A869">
        <v>233</v>
      </c>
      <c r="B869">
        <v>104</v>
      </c>
      <c r="C869" t="s">
        <v>26</v>
      </c>
      <c r="D869">
        <v>25104</v>
      </c>
      <c r="E869">
        <f t="shared" si="27"/>
        <v>25104104</v>
      </c>
      <c r="F869">
        <f>VLOOKUP(E869,YieldData!D:F,2,FALSE)</f>
        <v>4</v>
      </c>
      <c r="G869">
        <f>VLOOKUP($E869,YieldData!$D:$F,3,FALSE)</f>
        <v>1</v>
      </c>
      <c r="H869">
        <v>30</v>
      </c>
      <c r="I869" t="s">
        <v>27</v>
      </c>
      <c r="J869" t="s">
        <v>28</v>
      </c>
      <c r="K869" s="2">
        <v>5182.2071422106701</v>
      </c>
      <c r="L869" s="2">
        <v>40239663.488024697</v>
      </c>
      <c r="M869" s="3">
        <v>11694.775930393</v>
      </c>
      <c r="N869" s="3">
        <v>54249424.244723</v>
      </c>
      <c r="O869" s="4">
        <v>4.7754249114406302E-2</v>
      </c>
      <c r="P869" s="4">
        <v>4.6274107834757203E-2</v>
      </c>
      <c r="Q869" s="5">
        <v>-5.44999910109778E-2</v>
      </c>
      <c r="R869" s="5">
        <v>2.33368723968853E-3</v>
      </c>
      <c r="S869" s="6">
        <v>0.24948283629887399</v>
      </c>
      <c r="T869" s="6">
        <v>8.1218415938294E-2</v>
      </c>
      <c r="U869" s="7">
        <v>0.24706825439923499</v>
      </c>
      <c r="V869" s="7">
        <v>0.18602553206769701</v>
      </c>
      <c r="W869" s="8">
        <v>0.81411706900787395</v>
      </c>
      <c r="X869" s="8">
        <v>0.15133046695792499</v>
      </c>
      <c r="Y869" s="2">
        <v>48</v>
      </c>
      <c r="Z869" s="2">
        <f>VLOOKUP(E869,YieldData!T:U,2,FALSE)</f>
        <v>1125</v>
      </c>
      <c r="AA869">
        <f t="shared" si="26"/>
        <v>0.41335522997944002</v>
      </c>
    </row>
    <row r="870" spans="1:27" hidden="1" x14ac:dyDescent="0.25">
      <c r="A870">
        <v>234</v>
      </c>
      <c r="B870">
        <v>105</v>
      </c>
      <c r="C870" t="s">
        <v>26</v>
      </c>
      <c r="D870">
        <v>25104</v>
      </c>
      <c r="E870">
        <f t="shared" si="27"/>
        <v>25104105</v>
      </c>
      <c r="F870">
        <f>VLOOKUP(E870,YieldData!D:F,2,FALSE)</f>
        <v>5</v>
      </c>
      <c r="G870">
        <f>VLOOKUP($E870,YieldData!$D:$F,3,FALSE)</f>
        <v>1</v>
      </c>
      <c r="H870">
        <v>30</v>
      </c>
      <c r="I870" t="s">
        <v>27</v>
      </c>
      <c r="J870" t="s">
        <v>28</v>
      </c>
      <c r="K870" s="2">
        <v>8138.3195419467302</v>
      </c>
      <c r="L870" s="2">
        <v>63336338.854976602</v>
      </c>
      <c r="M870" s="3">
        <v>8637.5016985523598</v>
      </c>
      <c r="N870" s="3">
        <v>66733264.027300902</v>
      </c>
      <c r="O870" s="4">
        <v>0.123643795789405</v>
      </c>
      <c r="P870" s="4">
        <v>5.2703469775079101E-2</v>
      </c>
      <c r="Q870" s="5">
        <v>-3.6410155996518603E-2</v>
      </c>
      <c r="R870" s="5">
        <v>2.8025877441240801E-3</v>
      </c>
      <c r="S870" s="6">
        <v>0.35868890797685299</v>
      </c>
      <c r="T870" s="6">
        <v>9.4989473809455105E-2</v>
      </c>
      <c r="U870" s="7">
        <v>0.38964401294498402</v>
      </c>
      <c r="V870" s="7">
        <v>0.237821556121186</v>
      </c>
      <c r="W870" s="8">
        <v>0.91203744041025103</v>
      </c>
      <c r="X870" s="8">
        <v>8.0225147700090704E-2</v>
      </c>
      <c r="Y870" s="2">
        <v>45</v>
      </c>
      <c r="Z870" s="2">
        <f>VLOOKUP(E870,YieldData!T:U,2,FALSE)</f>
        <v>2382</v>
      </c>
      <c r="AA870">
        <f t="shared" si="26"/>
        <v>0.52409286114396003</v>
      </c>
    </row>
    <row r="871" spans="1:27" hidden="1" x14ac:dyDescent="0.25">
      <c r="A871">
        <v>235</v>
      </c>
      <c r="B871">
        <v>106</v>
      </c>
      <c r="C871" t="s">
        <v>26</v>
      </c>
      <c r="D871">
        <v>25104</v>
      </c>
      <c r="E871">
        <f t="shared" si="27"/>
        <v>25104106</v>
      </c>
      <c r="F871">
        <f>VLOOKUP(E871,YieldData!D:F,2,FALSE)</f>
        <v>4</v>
      </c>
      <c r="G871">
        <f>VLOOKUP($E871,YieldData!$D:$F,3,FALSE)</f>
        <v>2</v>
      </c>
      <c r="H871">
        <v>30</v>
      </c>
      <c r="I871" t="s">
        <v>27</v>
      </c>
      <c r="J871" t="s">
        <v>28</v>
      </c>
      <c r="K871" s="2">
        <v>5488.0364058220603</v>
      </c>
      <c r="L871" s="2">
        <v>46957443.242332101</v>
      </c>
      <c r="M871" s="3">
        <v>11490.9950614838</v>
      </c>
      <c r="N871" s="3">
        <v>58574183.949044697</v>
      </c>
      <c r="O871" s="4">
        <v>5.3287429623782398E-2</v>
      </c>
      <c r="P871" s="4">
        <v>4.7045197038190698E-2</v>
      </c>
      <c r="Q871" s="5">
        <v>-5.4046442766410401E-2</v>
      </c>
      <c r="R871" s="5">
        <v>2.27061007454503E-3</v>
      </c>
      <c r="S871" s="6">
        <v>0.261480174666196</v>
      </c>
      <c r="T871" s="6">
        <v>8.0858112377314606E-2</v>
      </c>
      <c r="U871" s="7">
        <v>0.25589322234580703</v>
      </c>
      <c r="V871" s="7">
        <v>0.190411881103242</v>
      </c>
      <c r="W871" s="8">
        <v>0.80363101431595596</v>
      </c>
      <c r="X871" s="8">
        <v>0.157808207145478</v>
      </c>
      <c r="Y871" s="2">
        <v>40</v>
      </c>
      <c r="Z871" s="2">
        <f>VLOOKUP(E871,YieldData!T:U,2,FALSE)</f>
        <v>1226</v>
      </c>
      <c r="AA871">
        <f t="shared" si="26"/>
        <v>0.36991281677170901</v>
      </c>
    </row>
    <row r="872" spans="1:27" hidden="1" x14ac:dyDescent="0.25">
      <c r="A872">
        <v>236</v>
      </c>
      <c r="B872">
        <v>107</v>
      </c>
      <c r="C872" t="s">
        <v>26</v>
      </c>
      <c r="D872">
        <v>25104</v>
      </c>
      <c r="E872">
        <f t="shared" si="27"/>
        <v>25104107</v>
      </c>
      <c r="F872">
        <f>VLOOKUP(E872,YieldData!D:F,2,FALSE)</f>
        <v>1</v>
      </c>
      <c r="G872">
        <f>VLOOKUP($E872,YieldData!$D:$F,3,FALSE)</f>
        <v>2</v>
      </c>
      <c r="H872">
        <v>30</v>
      </c>
      <c r="I872" t="s">
        <v>27</v>
      </c>
      <c r="J872" t="s">
        <v>28</v>
      </c>
      <c r="K872" s="2">
        <v>6184.2160762551703</v>
      </c>
      <c r="L872" s="2">
        <v>48702903.651746698</v>
      </c>
      <c r="M872" s="3">
        <v>10762.6781343415</v>
      </c>
      <c r="N872" s="3">
        <v>52131315.466159701</v>
      </c>
      <c r="O872" s="4">
        <v>7.5677903139241401E-2</v>
      </c>
      <c r="P872" s="4">
        <v>4.26483542702027E-2</v>
      </c>
      <c r="Q872" s="5">
        <v>-4.8262781974748002E-2</v>
      </c>
      <c r="R872" s="5">
        <v>2.4574194813321401E-3</v>
      </c>
      <c r="S872" s="6">
        <v>0.28940255988709301</v>
      </c>
      <c r="T872" s="6">
        <v>7.5528761779922696E-2</v>
      </c>
      <c r="U872" s="7">
        <v>0.274296170497764</v>
      </c>
      <c r="V872" s="7">
        <v>0.19905778134820401</v>
      </c>
      <c r="W872" s="8">
        <v>0.85051546391752597</v>
      </c>
      <c r="X872" s="8">
        <v>0.12713890955454499</v>
      </c>
      <c r="Y872" s="2">
        <v>56</v>
      </c>
      <c r="Z872" s="2">
        <f>VLOOKUP(E872,YieldData!T:U,2,FALSE)</f>
        <v>2154</v>
      </c>
      <c r="AA872">
        <f t="shared" si="26"/>
        <v>0.46171693735498798</v>
      </c>
    </row>
    <row r="873" spans="1:27" hidden="1" x14ac:dyDescent="0.25">
      <c r="A873">
        <v>237</v>
      </c>
      <c r="B873">
        <v>108</v>
      </c>
      <c r="C873" t="s">
        <v>26</v>
      </c>
      <c r="D873">
        <v>25104</v>
      </c>
      <c r="E873">
        <f t="shared" si="27"/>
        <v>25104108</v>
      </c>
      <c r="F873">
        <f>VLOOKUP(E873,YieldData!D:F,2,FALSE)</f>
        <v>5</v>
      </c>
      <c r="G873">
        <f>VLOOKUP($E873,YieldData!$D:$F,3,FALSE)</f>
        <v>2</v>
      </c>
      <c r="H873">
        <v>30</v>
      </c>
      <c r="I873" t="s">
        <v>27</v>
      </c>
      <c r="J873" t="s">
        <v>28</v>
      </c>
      <c r="K873" s="2">
        <v>8560.8056236619595</v>
      </c>
      <c r="L873" s="2">
        <v>80145235.543563396</v>
      </c>
      <c r="M873" s="3">
        <v>7929.1831683678702</v>
      </c>
      <c r="N873" s="3">
        <v>71973232.6139265</v>
      </c>
      <c r="O873" s="4">
        <v>0.15346283038027</v>
      </c>
      <c r="P873" s="4">
        <v>5.4111149182630297E-2</v>
      </c>
      <c r="Q873" s="5">
        <v>-2.3207606852609901E-2</v>
      </c>
      <c r="R873" s="5">
        <v>3.0603014003737802E-3</v>
      </c>
      <c r="S873" s="6">
        <v>0.384024157711228</v>
      </c>
      <c r="T873" s="6">
        <v>9.9248139769695307E-2</v>
      </c>
      <c r="U873" s="7">
        <v>0.40910884931408498</v>
      </c>
      <c r="V873" s="7">
        <v>0.24173879872659301</v>
      </c>
      <c r="W873" s="8">
        <v>0.73643234710229899</v>
      </c>
      <c r="X873" s="8">
        <v>0.194099745243627</v>
      </c>
      <c r="Y873" s="2">
        <v>35</v>
      </c>
      <c r="Z873" s="2">
        <f>VLOOKUP(E873,YieldData!T:U,2,FALSE)</f>
        <v>2192</v>
      </c>
      <c r="AA873">
        <f t="shared" si="26"/>
        <v>0.52551636707210603</v>
      </c>
    </row>
    <row r="874" spans="1:27" hidden="1" x14ac:dyDescent="0.25">
      <c r="A874">
        <v>238</v>
      </c>
      <c r="B874">
        <v>109</v>
      </c>
      <c r="C874" t="s">
        <v>26</v>
      </c>
      <c r="D874">
        <v>25104</v>
      </c>
      <c r="E874">
        <f t="shared" si="27"/>
        <v>25104109</v>
      </c>
      <c r="F874">
        <f>VLOOKUP(E874,YieldData!D:F,2,FALSE)</f>
        <v>2</v>
      </c>
      <c r="G874">
        <f>VLOOKUP($E874,YieldData!$D:$F,3,FALSE)</f>
        <v>2</v>
      </c>
      <c r="H874">
        <v>30</v>
      </c>
      <c r="I874" t="s">
        <v>27</v>
      </c>
      <c r="J874" t="s">
        <v>28</v>
      </c>
      <c r="K874" s="2">
        <v>5871.38896435489</v>
      </c>
      <c r="L874" s="2">
        <v>48819857.827286601</v>
      </c>
      <c r="M874" s="3">
        <v>9922.5023497732709</v>
      </c>
      <c r="N874" s="3">
        <v>51231821.696774602</v>
      </c>
      <c r="O874" s="4">
        <v>0.10773610522472001</v>
      </c>
      <c r="P874" s="4">
        <v>4.1337792287713199E-2</v>
      </c>
      <c r="Q874" s="5">
        <v>-3.1405749275170397E-2</v>
      </c>
      <c r="R874" s="5">
        <v>2.3666215627160098E-3</v>
      </c>
      <c r="S874" s="6">
        <v>0.30923772559988999</v>
      </c>
      <c r="T874" s="6">
        <v>7.4547260555978004E-2</v>
      </c>
      <c r="U874" s="7">
        <v>0.27460820567001198</v>
      </c>
      <c r="V874" s="7">
        <v>0.199198539048559</v>
      </c>
      <c r="W874" s="8">
        <v>0.88721624850657099</v>
      </c>
      <c r="X874" s="8">
        <v>0.100063576892487</v>
      </c>
      <c r="Y874" s="2">
        <v>70</v>
      </c>
      <c r="Z874" s="2">
        <f>VLOOKUP(E874,YieldData!T:U,2,FALSE)</f>
        <v>1678</v>
      </c>
      <c r="AA874">
        <f t="shared" si="26"/>
        <v>0.42171660000503097</v>
      </c>
    </row>
    <row r="875" spans="1:27" hidden="1" x14ac:dyDescent="0.25">
      <c r="A875">
        <v>221</v>
      </c>
      <c r="B875">
        <v>201</v>
      </c>
      <c r="C875" t="s">
        <v>26</v>
      </c>
      <c r="D875">
        <v>25104</v>
      </c>
      <c r="E875">
        <f t="shared" si="27"/>
        <v>25104201</v>
      </c>
      <c r="F875">
        <f>VLOOKUP(E875,YieldData!D:F,2,FALSE)</f>
        <v>5</v>
      </c>
      <c r="G875">
        <f>VLOOKUP($E875,YieldData!$D:$F,3,FALSE)</f>
        <v>4</v>
      </c>
      <c r="H875">
        <v>30</v>
      </c>
      <c r="I875" t="s">
        <v>27</v>
      </c>
      <c r="J875" t="s">
        <v>28</v>
      </c>
      <c r="K875" s="2">
        <v>6059.0899724057599</v>
      </c>
      <c r="L875" s="2">
        <v>66374651.432729401</v>
      </c>
      <c r="M875" s="3">
        <v>13486.1552658243</v>
      </c>
      <c r="N875" s="3">
        <v>71662624.428893507</v>
      </c>
      <c r="O875" s="4">
        <v>2.13663921416937E-2</v>
      </c>
      <c r="P875" s="4">
        <v>4.3253507397320597E-2</v>
      </c>
      <c r="Q875" s="5">
        <v>-6.2271905900163398E-2</v>
      </c>
      <c r="R875" s="5">
        <v>2.4386427399705202E-3</v>
      </c>
      <c r="S875" s="6">
        <v>0.21746470028883799</v>
      </c>
      <c r="T875" s="6">
        <v>8.2948810752160804E-2</v>
      </c>
      <c r="U875" s="7">
        <v>0.222943722943723</v>
      </c>
      <c r="V875" s="7">
        <v>0.17323981934369401</v>
      </c>
      <c r="W875" s="8">
        <v>0.89864702383212502</v>
      </c>
      <c r="X875" s="8">
        <v>9.1080550389775097E-2</v>
      </c>
      <c r="Y875" s="2">
        <v>61</v>
      </c>
      <c r="Z875" s="2">
        <f>VLOOKUP(E875,YieldData!T:U,2,FALSE)</f>
        <v>1492</v>
      </c>
      <c r="AA875">
        <f t="shared" si="26"/>
        <v>0.37392096802774499</v>
      </c>
    </row>
    <row r="876" spans="1:27" hidden="1" x14ac:dyDescent="0.25">
      <c r="A876">
        <v>222</v>
      </c>
      <c r="B876">
        <v>202</v>
      </c>
      <c r="C876" t="s">
        <v>26</v>
      </c>
      <c r="D876">
        <v>25104</v>
      </c>
      <c r="E876">
        <f t="shared" si="27"/>
        <v>25104202</v>
      </c>
      <c r="F876">
        <f>VLOOKUP(E876,YieldData!D:F,2,FALSE)</f>
        <v>1</v>
      </c>
      <c r="G876">
        <f>VLOOKUP($E876,YieldData!$D:$F,3,FALSE)</f>
        <v>4</v>
      </c>
      <c r="H876">
        <v>30</v>
      </c>
      <c r="I876" t="s">
        <v>27</v>
      </c>
      <c r="J876" t="s">
        <v>28</v>
      </c>
      <c r="K876" s="2">
        <v>8968.0550067469503</v>
      </c>
      <c r="L876" s="2">
        <v>67732290.395923302</v>
      </c>
      <c r="M876" s="3">
        <v>7251.0627876920598</v>
      </c>
      <c r="N876" s="3">
        <v>76060009.738282695</v>
      </c>
      <c r="O876" s="4">
        <v>0.163487073215732</v>
      </c>
      <c r="P876" s="4">
        <v>6.1132495487859297E-2</v>
      </c>
      <c r="Q876" s="5">
        <v>-2.54141011717747E-2</v>
      </c>
      <c r="R876" s="5">
        <v>3.40311877141078E-3</v>
      </c>
      <c r="S876" s="6">
        <v>0.39629161132310498</v>
      </c>
      <c r="T876" s="6">
        <v>0.108580035234626</v>
      </c>
      <c r="U876" s="7">
        <v>0.43600580492400098</v>
      </c>
      <c r="V876" s="7">
        <v>0.245904742996467</v>
      </c>
      <c r="W876" s="8">
        <v>0.84100253306347905</v>
      </c>
      <c r="X876" s="8">
        <v>0.13371727244425299</v>
      </c>
      <c r="Y876" s="2">
        <v>45</v>
      </c>
      <c r="Z876" s="2">
        <f>VLOOKUP(E876,YieldData!T:U,2,FALSE)</f>
        <v>3107</v>
      </c>
      <c r="AA876">
        <f t="shared" si="26"/>
        <v>0.58287292817679603</v>
      </c>
    </row>
    <row r="877" spans="1:27" hidden="1" x14ac:dyDescent="0.25">
      <c r="A877">
        <v>223</v>
      </c>
      <c r="B877">
        <v>203</v>
      </c>
      <c r="C877" t="s">
        <v>26</v>
      </c>
      <c r="D877">
        <v>25104</v>
      </c>
      <c r="E877">
        <f t="shared" si="27"/>
        <v>25104203</v>
      </c>
      <c r="F877">
        <f>VLOOKUP(E877,YieldData!D:F,2,FALSE)</f>
        <v>3</v>
      </c>
      <c r="G877">
        <f>VLOOKUP($E877,YieldData!$D:$F,3,FALSE)</f>
        <v>4</v>
      </c>
      <c r="H877">
        <v>30</v>
      </c>
      <c r="I877" t="s">
        <v>27</v>
      </c>
      <c r="J877" t="s">
        <v>28</v>
      </c>
      <c r="K877" s="2">
        <v>7847.0495018717202</v>
      </c>
      <c r="L877" s="2">
        <v>80271082.041455597</v>
      </c>
      <c r="M877" s="3">
        <v>10164.8294861185</v>
      </c>
      <c r="N877" s="3">
        <v>82355810.651192293</v>
      </c>
      <c r="O877" s="4">
        <v>7.1271598800707603E-2</v>
      </c>
      <c r="P877" s="4">
        <v>5.4076053780242501E-2</v>
      </c>
      <c r="Q877" s="5">
        <v>-5.2465284178849998E-2</v>
      </c>
      <c r="R877" s="5">
        <v>2.52421959970259E-3</v>
      </c>
      <c r="S877" s="6">
        <v>0.28590478513227602</v>
      </c>
      <c r="T877" s="6">
        <v>0.10606928819398601</v>
      </c>
      <c r="U877" s="7">
        <v>0.33116859818449301</v>
      </c>
      <c r="V877" s="7">
        <v>0.22149595776112299</v>
      </c>
      <c r="W877" s="8">
        <v>0.70512467858637795</v>
      </c>
      <c r="X877" s="8">
        <v>0.20792386623477499</v>
      </c>
      <c r="Y877" s="2">
        <v>32</v>
      </c>
      <c r="Z877" s="2">
        <f>VLOOKUP(E877,YieldData!T:U,2,FALSE)</f>
        <v>1849</v>
      </c>
      <c r="AA877">
        <f t="shared" si="26"/>
        <v>0.52339947137406895</v>
      </c>
    </row>
    <row r="878" spans="1:27" hidden="1" x14ac:dyDescent="0.25">
      <c r="A878">
        <v>224</v>
      </c>
      <c r="B878">
        <v>204</v>
      </c>
      <c r="C878" t="s">
        <v>26</v>
      </c>
      <c r="D878">
        <v>25104</v>
      </c>
      <c r="E878">
        <f t="shared" si="27"/>
        <v>25104204</v>
      </c>
      <c r="F878">
        <f>VLOOKUP(E878,YieldData!D:F,2,FALSE)</f>
        <v>4</v>
      </c>
      <c r="G878">
        <f>VLOOKUP($E878,YieldData!$D:$F,3,FALSE)</f>
        <v>3</v>
      </c>
      <c r="H878">
        <v>30</v>
      </c>
      <c r="I878" t="s">
        <v>27</v>
      </c>
      <c r="J878" t="s">
        <v>28</v>
      </c>
      <c r="K878" s="2">
        <v>8314.2064451687493</v>
      </c>
      <c r="L878" s="2">
        <v>70427499.114514798</v>
      </c>
      <c r="M878" s="3">
        <v>8395.7226946382198</v>
      </c>
      <c r="N878" s="3">
        <v>79527431.642316401</v>
      </c>
      <c r="O878" s="4">
        <v>0.118079422977794</v>
      </c>
      <c r="P878" s="4">
        <v>5.998589282307E-2</v>
      </c>
      <c r="Q878" s="5">
        <v>-4.0909464674023899E-2</v>
      </c>
      <c r="R878" s="5">
        <v>2.8954769947306001E-3</v>
      </c>
      <c r="S878" s="6">
        <v>0.33798510886911198</v>
      </c>
      <c r="T878" s="6">
        <v>0.11168271691727</v>
      </c>
      <c r="U878" s="7">
        <v>0.39324203553779802</v>
      </c>
      <c r="V878" s="7">
        <v>0.238602737023968</v>
      </c>
      <c r="W878" s="8">
        <v>0.84713258586469298</v>
      </c>
      <c r="X878" s="8">
        <v>0.12949896783099499</v>
      </c>
      <c r="Y878" s="2">
        <v>37</v>
      </c>
      <c r="Z878" s="2">
        <f>VLOOKUP(E878,YieldData!T:U,2,FALSE)</f>
        <v>2033</v>
      </c>
      <c r="AA878">
        <f t="shared" si="26"/>
        <v>0.56408874635261996</v>
      </c>
    </row>
    <row r="879" spans="1:27" hidden="1" x14ac:dyDescent="0.25">
      <c r="A879">
        <v>225</v>
      </c>
      <c r="B879">
        <v>205</v>
      </c>
      <c r="C879" t="s">
        <v>26</v>
      </c>
      <c r="D879">
        <v>25104</v>
      </c>
      <c r="E879">
        <f t="shared" si="27"/>
        <v>25104205</v>
      </c>
      <c r="F879">
        <f>VLOOKUP(E879,YieldData!D:F,2,FALSE)</f>
        <v>2</v>
      </c>
      <c r="G879">
        <f>VLOOKUP($E879,YieldData!$D:$F,3,FALSE)</f>
        <v>3</v>
      </c>
      <c r="H879">
        <v>30</v>
      </c>
      <c r="I879" t="s">
        <v>27</v>
      </c>
      <c r="J879" t="s">
        <v>28</v>
      </c>
      <c r="K879" s="2">
        <v>8426.7844698107492</v>
      </c>
      <c r="L879" s="2">
        <v>75416876.527542695</v>
      </c>
      <c r="M879" s="3">
        <v>8209.5788820322996</v>
      </c>
      <c r="N879" s="3">
        <v>77607159.742360204</v>
      </c>
      <c r="O879" s="4">
        <v>0.109326040732546</v>
      </c>
      <c r="P879" s="4">
        <v>6.1000433086943702E-2</v>
      </c>
      <c r="Q879" s="5">
        <v>-4.2353074492053902E-2</v>
      </c>
      <c r="R879" s="5">
        <v>2.9126972782247199E-3</v>
      </c>
      <c r="S879" s="6">
        <v>0.33226626659088998</v>
      </c>
      <c r="T879" s="6">
        <v>0.116301387629564</v>
      </c>
      <c r="U879" s="7">
        <v>0.38610193251226599</v>
      </c>
      <c r="V879" s="7">
        <v>0.23702723022247099</v>
      </c>
      <c r="W879" s="8">
        <v>0.81267600345436097</v>
      </c>
      <c r="X879" s="8">
        <v>0.15223371686377801</v>
      </c>
      <c r="Y879" s="2">
        <v>34</v>
      </c>
      <c r="Z879" s="2">
        <f>VLOOKUP(E879,YieldData!T:U,2,FALSE)</f>
        <v>2592</v>
      </c>
      <c r="AA879">
        <f t="shared" si="26"/>
        <v>0.49701490669236598</v>
      </c>
    </row>
    <row r="880" spans="1:27" hidden="1" x14ac:dyDescent="0.25">
      <c r="A880">
        <v>226</v>
      </c>
      <c r="B880">
        <v>206</v>
      </c>
      <c r="C880" t="s">
        <v>26</v>
      </c>
      <c r="D880">
        <v>25104</v>
      </c>
      <c r="E880">
        <f t="shared" si="27"/>
        <v>25104206</v>
      </c>
      <c r="F880">
        <f>VLOOKUP(E880,YieldData!D:F,2,FALSE)</f>
        <v>3</v>
      </c>
      <c r="G880">
        <f>VLOOKUP($E880,YieldData!$D:$F,3,FALSE)</f>
        <v>3</v>
      </c>
      <c r="H880">
        <v>30</v>
      </c>
      <c r="I880" t="s">
        <v>27</v>
      </c>
      <c r="J880" t="s">
        <v>28</v>
      </c>
      <c r="K880" s="2">
        <v>8847.9274847506294</v>
      </c>
      <c r="L880" s="2">
        <v>94988539.940644398</v>
      </c>
      <c r="M880" s="3">
        <v>9377.05786575204</v>
      </c>
      <c r="N880" s="3">
        <v>81476776.034924194</v>
      </c>
      <c r="O880" s="4">
        <v>7.3623000438463801E-2</v>
      </c>
      <c r="P880" s="4">
        <v>5.1784595837351101E-2</v>
      </c>
      <c r="Q880" s="5">
        <v>-5.4603162952247798E-2</v>
      </c>
      <c r="R880" s="5">
        <v>2.38217790864483E-3</v>
      </c>
      <c r="S880" s="6">
        <v>0.29548046453403598</v>
      </c>
      <c r="T880" s="6">
        <v>0.10775329820594701</v>
      </c>
      <c r="U880" s="7">
        <v>0.34409759598134199</v>
      </c>
      <c r="V880" s="7">
        <v>0.225694440421357</v>
      </c>
      <c r="W880" s="8">
        <v>0.84415475692160502</v>
      </c>
      <c r="X880" s="8">
        <v>0.13155750328825</v>
      </c>
      <c r="Y880" s="2">
        <v>59</v>
      </c>
      <c r="Z880" s="2">
        <f>VLOOKUP(E880,YieldData!T:U,2,FALSE)</f>
        <v>1865</v>
      </c>
      <c r="AA880">
        <f t="shared" si="26"/>
        <v>0.49840916702550098</v>
      </c>
    </row>
    <row r="881" spans="1:27" hidden="1" x14ac:dyDescent="0.25">
      <c r="A881">
        <v>227</v>
      </c>
      <c r="B881">
        <v>207</v>
      </c>
      <c r="C881" t="s">
        <v>26</v>
      </c>
      <c r="D881">
        <v>25104</v>
      </c>
      <c r="E881">
        <f t="shared" si="27"/>
        <v>25104207</v>
      </c>
      <c r="F881">
        <f>VLOOKUP(E881,YieldData!D:F,2,FALSE)</f>
        <v>1</v>
      </c>
      <c r="G881">
        <f>VLOOKUP($E881,YieldData!$D:$F,3,FALSE)</f>
        <v>3</v>
      </c>
      <c r="H881">
        <v>30</v>
      </c>
      <c r="I881" t="s">
        <v>27</v>
      </c>
      <c r="J881" t="s">
        <v>28</v>
      </c>
      <c r="K881" s="2">
        <v>9285.0012024445605</v>
      </c>
      <c r="L881" s="2">
        <v>83741280.068340003</v>
      </c>
      <c r="M881" s="3">
        <v>8242.32122412836</v>
      </c>
      <c r="N881" s="3">
        <v>75193858.364261299</v>
      </c>
      <c r="O881" s="4">
        <v>0.12848478409446601</v>
      </c>
      <c r="P881" s="4">
        <v>5.3693369923023301E-2</v>
      </c>
      <c r="Q881" s="5">
        <v>-3.9464244482069297E-2</v>
      </c>
      <c r="R881" s="5">
        <v>2.9854220700486602E-3</v>
      </c>
      <c r="S881" s="6">
        <v>0.35339000482660299</v>
      </c>
      <c r="T881" s="6">
        <v>0.10614483868298701</v>
      </c>
      <c r="U881" s="7">
        <v>0.40286851206783297</v>
      </c>
      <c r="V881" s="7">
        <v>0.24056547405186901</v>
      </c>
      <c r="W881" s="8">
        <v>0.69261477045908204</v>
      </c>
      <c r="X881" s="8">
        <v>0.21289955020081799</v>
      </c>
      <c r="Y881" s="2">
        <v>32</v>
      </c>
      <c r="Z881" s="2">
        <f>VLOOKUP(E881,YieldData!T:U,2,FALSE)</f>
        <v>2723</v>
      </c>
      <c r="AA881">
        <f t="shared" si="26"/>
        <v>0.59957852981281801</v>
      </c>
    </row>
    <row r="882" spans="1:27" hidden="1" x14ac:dyDescent="0.25">
      <c r="A882">
        <v>228</v>
      </c>
      <c r="B882">
        <v>208</v>
      </c>
      <c r="C882" t="s">
        <v>26</v>
      </c>
      <c r="D882">
        <v>25104</v>
      </c>
      <c r="E882">
        <f t="shared" si="27"/>
        <v>25104208</v>
      </c>
      <c r="F882">
        <f>VLOOKUP(E882,YieldData!D:F,2,FALSE)</f>
        <v>5</v>
      </c>
      <c r="G882">
        <f>VLOOKUP($E882,YieldData!$D:$F,3,FALSE)</f>
        <v>3</v>
      </c>
      <c r="H882">
        <v>30</v>
      </c>
      <c r="I882" t="s">
        <v>27</v>
      </c>
      <c r="J882" t="s">
        <v>28</v>
      </c>
      <c r="K882" s="2">
        <v>13411.588497691901</v>
      </c>
      <c r="L882" s="2">
        <v>119325358.31789</v>
      </c>
      <c r="M882" s="3">
        <v>4211.1873449915502</v>
      </c>
      <c r="N882" s="3">
        <v>82261589.608297497</v>
      </c>
      <c r="O882" s="4">
        <v>0.226817122140302</v>
      </c>
      <c r="P882" s="4">
        <v>5.4847842635842102E-2</v>
      </c>
      <c r="Q882" s="5">
        <v>-1.18040139882594E-2</v>
      </c>
      <c r="R882" s="5">
        <v>2.80954569155124E-3</v>
      </c>
      <c r="S882" s="6">
        <v>0.48264381149505098</v>
      </c>
      <c r="T882" s="6">
        <v>0.10976465722629999</v>
      </c>
      <c r="U882" s="7">
        <v>0.56016647133392306</v>
      </c>
      <c r="V882" s="7">
        <v>0.24637999572697</v>
      </c>
      <c r="W882" s="8">
        <v>0.489858642875936</v>
      </c>
      <c r="X882" s="8">
        <v>0.24989715287544201</v>
      </c>
      <c r="Y882" s="2">
        <v>13</v>
      </c>
      <c r="Z882" s="2">
        <f>VLOOKUP(E882,YieldData!T:U,2,FALSE)</f>
        <v>2342</v>
      </c>
      <c r="AA882">
        <f t="shared" si="26"/>
        <v>0.597065084794412</v>
      </c>
    </row>
    <row r="883" spans="1:27" hidden="1" x14ac:dyDescent="0.25">
      <c r="A883">
        <v>229</v>
      </c>
      <c r="B883">
        <v>209</v>
      </c>
      <c r="C883" t="s">
        <v>26</v>
      </c>
      <c r="D883">
        <v>25104</v>
      </c>
      <c r="E883">
        <f t="shared" si="27"/>
        <v>25104209</v>
      </c>
      <c r="F883">
        <f>VLOOKUP(E883,YieldData!D:F,2,FALSE)</f>
        <v>3</v>
      </c>
      <c r="G883">
        <f>VLOOKUP($E883,YieldData!$D:$F,3,FALSE)</f>
        <v>2</v>
      </c>
      <c r="H883">
        <v>30</v>
      </c>
      <c r="I883" t="s">
        <v>27</v>
      </c>
      <c r="J883" t="s">
        <v>28</v>
      </c>
      <c r="K883" s="2">
        <v>12249.0720643124</v>
      </c>
      <c r="L883" s="2">
        <v>122339011.740578</v>
      </c>
      <c r="M883" s="3">
        <v>4919.4425642308597</v>
      </c>
      <c r="N883" s="3">
        <v>73713242.365685999</v>
      </c>
      <c r="O883" s="4">
        <v>0.200755008379156</v>
      </c>
      <c r="P883" s="4">
        <v>4.6547449010073703E-2</v>
      </c>
      <c r="Q883" s="5">
        <v>-1.9179978341264201E-2</v>
      </c>
      <c r="R883" s="5">
        <v>2.33614891289437E-3</v>
      </c>
      <c r="S883" s="6">
        <v>0.44466713269014801</v>
      </c>
      <c r="T883" s="6">
        <v>0.10268958474074399</v>
      </c>
      <c r="U883" s="7">
        <v>0.49265138154026999</v>
      </c>
      <c r="V883" s="7">
        <v>0.249945997806717</v>
      </c>
      <c r="W883" s="8">
        <v>0.81644064089243695</v>
      </c>
      <c r="X883" s="8">
        <v>0.14986532079152701</v>
      </c>
      <c r="Y883" s="2">
        <v>37</v>
      </c>
      <c r="Z883" s="2">
        <f>VLOOKUP(E883,YieldData!T:U,2,FALSE)</f>
        <v>2259</v>
      </c>
      <c r="AA883">
        <f t="shared" si="26"/>
        <v>0.65496356452428794</v>
      </c>
    </row>
    <row r="884" spans="1:27" hidden="1" x14ac:dyDescent="0.25">
      <c r="A884">
        <v>212</v>
      </c>
      <c r="B884">
        <v>301</v>
      </c>
      <c r="C884" t="s">
        <v>26</v>
      </c>
      <c r="D884">
        <v>25104</v>
      </c>
      <c r="E884">
        <f t="shared" si="27"/>
        <v>25104301</v>
      </c>
      <c r="F884">
        <f>VLOOKUP(E884,YieldData!D:F,2,FALSE)</f>
        <v>2</v>
      </c>
      <c r="G884">
        <f>VLOOKUP($E884,YieldData!$D:$F,3,FALSE)</f>
        <v>4</v>
      </c>
      <c r="H884">
        <v>30</v>
      </c>
      <c r="I884" t="s">
        <v>27</v>
      </c>
      <c r="J884" t="s">
        <v>28</v>
      </c>
      <c r="K884" s="2">
        <v>10452.217688323601</v>
      </c>
      <c r="L884" s="2">
        <v>91758337.940862507</v>
      </c>
      <c r="M884" s="3">
        <v>7297.0273011850804</v>
      </c>
      <c r="N884" s="3">
        <v>91185544.9876737</v>
      </c>
      <c r="O884" s="4">
        <v>0.18071290756664199</v>
      </c>
      <c r="P884" s="4">
        <v>5.7174049749364499E-2</v>
      </c>
      <c r="Q884" s="5">
        <v>-2.24912181509077E-2</v>
      </c>
      <c r="R884" s="5">
        <v>2.7680074641349799E-3</v>
      </c>
      <c r="S884" s="6">
        <v>0.40977145524742797</v>
      </c>
      <c r="T884" s="6">
        <v>0.107877109729453</v>
      </c>
      <c r="U884" s="7">
        <v>0.46684586638693998</v>
      </c>
      <c r="V884" s="7">
        <v>0.248900803424388</v>
      </c>
      <c r="W884" s="8">
        <v>0.70306947959143495</v>
      </c>
      <c r="X884" s="8">
        <v>0.208762786458492</v>
      </c>
      <c r="Y884" s="2">
        <v>27</v>
      </c>
      <c r="Z884" s="2">
        <f>VLOOKUP(E884,YieldData!T:U,2,FALSE)</f>
        <v>2760</v>
      </c>
      <c r="AA884">
        <f t="shared" si="26"/>
        <v>0.61340273771437603</v>
      </c>
    </row>
    <row r="885" spans="1:27" hidden="1" x14ac:dyDescent="0.25">
      <c r="A885">
        <v>213</v>
      </c>
      <c r="B885">
        <v>302</v>
      </c>
      <c r="C885" t="s">
        <v>26</v>
      </c>
      <c r="D885">
        <v>25104</v>
      </c>
      <c r="E885">
        <f t="shared" si="27"/>
        <v>25104302</v>
      </c>
      <c r="F885">
        <f>VLOOKUP(E885,YieldData!D:F,2,FALSE)</f>
        <v>4</v>
      </c>
      <c r="G885">
        <f>VLOOKUP($E885,YieldData!$D:$F,3,FALSE)</f>
        <v>4</v>
      </c>
      <c r="H885">
        <v>30</v>
      </c>
      <c r="I885" t="s">
        <v>27</v>
      </c>
      <c r="J885" t="s">
        <v>28</v>
      </c>
      <c r="K885" s="2">
        <v>11602.158557123599</v>
      </c>
      <c r="L885" s="2">
        <v>92743953.032460198</v>
      </c>
      <c r="M885" s="3">
        <v>5985.4779828027504</v>
      </c>
      <c r="N885" s="3">
        <v>90828302.706215397</v>
      </c>
      <c r="O885" s="4">
        <v>0.18737717917500701</v>
      </c>
      <c r="P885" s="4">
        <v>5.9973945336021697E-2</v>
      </c>
      <c r="Q885" s="5">
        <v>-2.4222895980541899E-2</v>
      </c>
      <c r="R885" s="5">
        <v>3.00933732611893E-3</v>
      </c>
      <c r="S885" s="6">
        <v>0.43113058058881798</v>
      </c>
      <c r="T885" s="6">
        <v>0.11399713006763</v>
      </c>
      <c r="U885" s="7">
        <v>0.51141689622308995</v>
      </c>
      <c r="V885" s="7">
        <v>0.249869654480607</v>
      </c>
      <c r="W885" s="8">
        <v>0.74136985585962001</v>
      </c>
      <c r="X885" s="8">
        <v>0.191740592682277</v>
      </c>
      <c r="Y885" s="2">
        <v>32</v>
      </c>
      <c r="Z885" s="2">
        <f>VLOOKUP(E885,YieldData!T:U,2,FALSE)</f>
        <v>2118</v>
      </c>
      <c r="AA885">
        <f t="shared" si="26"/>
        <v>0.63668411912937894</v>
      </c>
    </row>
    <row r="886" spans="1:27" hidden="1" x14ac:dyDescent="0.25">
      <c r="A886">
        <v>214</v>
      </c>
      <c r="B886">
        <v>303</v>
      </c>
      <c r="C886" t="s">
        <v>26</v>
      </c>
      <c r="D886" t="s">
        <v>100</v>
      </c>
      <c r="E886" t="e">
        <f t="shared" si="27"/>
        <v>#VALUE!</v>
      </c>
      <c r="H886">
        <v>30</v>
      </c>
      <c r="I886" t="s">
        <v>27</v>
      </c>
      <c r="J886" t="s">
        <v>28</v>
      </c>
      <c r="K886" s="2">
        <v>8488.2002840225305</v>
      </c>
      <c r="L886" s="2">
        <v>75800032.424266204</v>
      </c>
      <c r="M886" s="3">
        <v>9616.8987601161207</v>
      </c>
      <c r="N886" s="3">
        <v>96157094.527084902</v>
      </c>
      <c r="O886" s="4">
        <v>9.4131528206551698E-2</v>
      </c>
      <c r="P886" s="4">
        <v>6.5242427876714706E-2</v>
      </c>
      <c r="Q886" s="5">
        <v>-4.2862357800709301E-2</v>
      </c>
      <c r="R886" s="5">
        <v>3.31969170609234E-3</v>
      </c>
      <c r="S886" s="6">
        <v>0.29928847178317802</v>
      </c>
      <c r="T886" s="6">
        <v>0.123620887801349</v>
      </c>
      <c r="U886" s="7">
        <v>0.36845905743031798</v>
      </c>
      <c r="V886" s="7">
        <v>0.232696980428275</v>
      </c>
      <c r="W886" s="8">
        <v>0.83651265510476702</v>
      </c>
      <c r="X886" s="8">
        <v>0.136759232954418</v>
      </c>
      <c r="Y886" s="2">
        <v>57</v>
      </c>
      <c r="Z886" s="2" t="e">
        <f>VLOOKUP(E886,YieldData!T:U,2,FALSE)</f>
        <v>#VALUE!</v>
      </c>
      <c r="AA886">
        <f t="shared" si="26"/>
        <v>0.913534329143595</v>
      </c>
    </row>
    <row r="887" spans="1:27" hidden="1" x14ac:dyDescent="0.25">
      <c r="A887">
        <v>215</v>
      </c>
      <c r="B887">
        <v>304</v>
      </c>
      <c r="C887" t="s">
        <v>26</v>
      </c>
      <c r="D887" t="s">
        <v>100</v>
      </c>
      <c r="E887" t="e">
        <f t="shared" si="27"/>
        <v>#VALUE!</v>
      </c>
      <c r="H887">
        <v>30</v>
      </c>
      <c r="I887" t="s">
        <v>27</v>
      </c>
      <c r="J887" t="s">
        <v>28</v>
      </c>
      <c r="K887" s="2">
        <v>9248.8097549068898</v>
      </c>
      <c r="L887" s="2">
        <v>84908149.3027298</v>
      </c>
      <c r="M887" s="3">
        <v>9764.7410371689803</v>
      </c>
      <c r="N887" s="3">
        <v>81769563.316414505</v>
      </c>
      <c r="O887" s="4">
        <v>6.4105226003802598E-2</v>
      </c>
      <c r="P887" s="4">
        <v>5.3177244823579599E-2</v>
      </c>
      <c r="Q887" s="5">
        <v>-6.0306193493974501E-2</v>
      </c>
      <c r="R887" s="5">
        <v>2.6792930852589801E-3</v>
      </c>
      <c r="S887" s="6">
        <v>0.274663867137171</v>
      </c>
      <c r="T887" s="6">
        <v>0.11198926265511901</v>
      </c>
      <c r="U887" s="7">
        <v>0.36831450026562501</v>
      </c>
      <c r="V887" s="7">
        <v>0.23265892915981001</v>
      </c>
      <c r="W887" s="8">
        <v>0.908623610831921</v>
      </c>
      <c r="X887" s="8">
        <v>8.3026744670658306E-2</v>
      </c>
      <c r="Y887" s="2">
        <v>108</v>
      </c>
      <c r="Z887" s="2" t="e">
        <f>VLOOKUP(E887,YieldData!T:U,2,FALSE)</f>
        <v>#VALUE!</v>
      </c>
      <c r="AA887">
        <f t="shared" si="26"/>
        <v>0.913534329143595</v>
      </c>
    </row>
    <row r="888" spans="1:27" hidden="1" x14ac:dyDescent="0.25">
      <c r="A888">
        <v>216</v>
      </c>
      <c r="B888">
        <v>305</v>
      </c>
      <c r="C888" t="s">
        <v>26</v>
      </c>
      <c r="D888" t="s">
        <v>100</v>
      </c>
      <c r="E888" t="e">
        <f t="shared" si="27"/>
        <v>#VALUE!</v>
      </c>
      <c r="H888">
        <v>30</v>
      </c>
      <c r="I888" t="s">
        <v>27</v>
      </c>
      <c r="J888" t="s">
        <v>28</v>
      </c>
      <c r="K888" s="2">
        <v>10624.3849368377</v>
      </c>
      <c r="L888" s="2">
        <v>92745850.119751498</v>
      </c>
      <c r="M888" s="3">
        <v>6976.7591495570396</v>
      </c>
      <c r="N888" s="3">
        <v>91729757.312314302</v>
      </c>
      <c r="O888" s="4">
        <v>0.13592894815874601</v>
      </c>
      <c r="P888" s="4">
        <v>6.0394401763333702E-2</v>
      </c>
      <c r="Q888" s="5">
        <v>-3.59340352748014E-2</v>
      </c>
      <c r="R888" s="5">
        <v>2.89344012633975E-3</v>
      </c>
      <c r="S888" s="6">
        <v>0.36182234276770397</v>
      </c>
      <c r="T888" s="6">
        <v>0.12563136317561299</v>
      </c>
      <c r="U888" s="7">
        <v>0.46050410105968997</v>
      </c>
      <c r="V888" s="7">
        <v>0.24844007396689899</v>
      </c>
      <c r="W888" s="8">
        <v>0.83118811288449301</v>
      </c>
      <c r="X888" s="8">
        <v>0.14031443388399401</v>
      </c>
      <c r="Y888" s="2">
        <v>44</v>
      </c>
      <c r="Z888" s="2" t="e">
        <f>VLOOKUP(E888,YieldData!T:U,2,FALSE)</f>
        <v>#VALUE!</v>
      </c>
      <c r="AA888">
        <f t="shared" si="26"/>
        <v>0.913534329143595</v>
      </c>
    </row>
    <row r="889" spans="1:27" hidden="1" x14ac:dyDescent="0.25">
      <c r="A889">
        <v>217</v>
      </c>
      <c r="B889">
        <v>306</v>
      </c>
      <c r="C889" t="s">
        <v>26</v>
      </c>
      <c r="D889" t="s">
        <v>100</v>
      </c>
      <c r="E889" t="e">
        <f t="shared" si="27"/>
        <v>#VALUE!</v>
      </c>
      <c r="H889">
        <v>30</v>
      </c>
      <c r="I889" t="s">
        <v>27</v>
      </c>
      <c r="J889" t="s">
        <v>28</v>
      </c>
      <c r="K889" s="2">
        <v>10425.4401358754</v>
      </c>
      <c r="L889" s="2">
        <v>101440737.79934201</v>
      </c>
      <c r="M889" s="3">
        <v>7778.5640312785799</v>
      </c>
      <c r="N889" s="3">
        <v>89529156.752714694</v>
      </c>
      <c r="O889" s="4">
        <v>0.10369247322443</v>
      </c>
      <c r="P889" s="4">
        <v>5.8133921437098203E-2</v>
      </c>
      <c r="Q889" s="5">
        <v>-4.7083251948772803E-2</v>
      </c>
      <c r="R889" s="5">
        <v>2.77189221472882E-3</v>
      </c>
      <c r="S889" s="6">
        <v>0.32090942564223801</v>
      </c>
      <c r="T889" s="6">
        <v>0.12459294045495301</v>
      </c>
      <c r="U889" s="7">
        <v>0.42572303423199298</v>
      </c>
      <c r="V889" s="7">
        <v>0.244482932356582</v>
      </c>
      <c r="W889" s="8">
        <v>0.78826005836482804</v>
      </c>
      <c r="X889" s="8">
        <v>0.16690613875157601</v>
      </c>
      <c r="Y889" s="2">
        <v>50</v>
      </c>
      <c r="Z889" s="2" t="e">
        <f>VLOOKUP(E889,YieldData!T:U,2,FALSE)</f>
        <v>#VALUE!</v>
      </c>
      <c r="AA889">
        <f t="shared" si="26"/>
        <v>0.913534329143595</v>
      </c>
    </row>
    <row r="890" spans="1:27" hidden="1" x14ac:dyDescent="0.25">
      <c r="A890">
        <v>218</v>
      </c>
      <c r="B890">
        <v>307</v>
      </c>
      <c r="C890" t="s">
        <v>26</v>
      </c>
      <c r="D890" t="s">
        <v>100</v>
      </c>
      <c r="E890" t="e">
        <f t="shared" si="27"/>
        <v>#VALUE!</v>
      </c>
      <c r="H890">
        <v>30</v>
      </c>
      <c r="I890" t="s">
        <v>27</v>
      </c>
      <c r="J890" t="s">
        <v>28</v>
      </c>
      <c r="K890" s="2">
        <v>8888.9323025898593</v>
      </c>
      <c r="L890" s="2">
        <v>91387644.129225895</v>
      </c>
      <c r="M890" s="3">
        <v>9026.9453594446695</v>
      </c>
      <c r="N890" s="3">
        <v>82985244.452470794</v>
      </c>
      <c r="O890" s="4">
        <v>6.5336853808661305E-2</v>
      </c>
      <c r="P890" s="4">
        <v>5.3661154749262197E-2</v>
      </c>
      <c r="Q890" s="5">
        <v>-5.5906842337006102E-2</v>
      </c>
      <c r="R890" s="5">
        <v>2.9544395941931401E-3</v>
      </c>
      <c r="S890" s="6">
        <v>0.26711182377621101</v>
      </c>
      <c r="T890" s="6">
        <v>0.11710446384664699</v>
      </c>
      <c r="U890" s="7">
        <v>0.35135102180168798</v>
      </c>
      <c r="V890" s="7">
        <v>0.22790348128086299</v>
      </c>
      <c r="W890" s="8">
        <v>0.73798636768238401</v>
      </c>
      <c r="X890" s="8">
        <v>0.19336248879708301</v>
      </c>
      <c r="Y890" s="2">
        <v>26</v>
      </c>
      <c r="Z890" s="2" t="e">
        <f>VLOOKUP(E890,YieldData!T:U,2,FALSE)</f>
        <v>#VALUE!</v>
      </c>
      <c r="AA890">
        <f t="shared" si="26"/>
        <v>0.913534329143595</v>
      </c>
    </row>
    <row r="891" spans="1:27" hidden="1" x14ac:dyDescent="0.25">
      <c r="A891">
        <v>219</v>
      </c>
      <c r="B891">
        <v>308</v>
      </c>
      <c r="C891" t="s">
        <v>26</v>
      </c>
      <c r="D891" t="s">
        <v>100</v>
      </c>
      <c r="E891" t="e">
        <f t="shared" si="27"/>
        <v>#VALUE!</v>
      </c>
      <c r="H891">
        <v>30</v>
      </c>
      <c r="I891" t="s">
        <v>27</v>
      </c>
      <c r="J891" t="s">
        <v>28</v>
      </c>
      <c r="K891" s="2">
        <v>11628.6907997034</v>
      </c>
      <c r="L891" s="2">
        <v>136963583.581296</v>
      </c>
      <c r="M891" s="3">
        <v>6857.8004886197896</v>
      </c>
      <c r="N891" s="3">
        <v>88809961.674108893</v>
      </c>
      <c r="O891" s="4">
        <v>0.115180157053656</v>
      </c>
      <c r="P891" s="4">
        <v>5.1375426679123398E-2</v>
      </c>
      <c r="Q891" s="5">
        <v>-4.3203071580043897E-2</v>
      </c>
      <c r="R891" s="5">
        <v>2.51703631625102E-3</v>
      </c>
      <c r="S891" s="6">
        <v>0.33938026312661601</v>
      </c>
      <c r="T891" s="6">
        <v>0.12189001158183101</v>
      </c>
      <c r="U891" s="7">
        <v>0.43737291581943899</v>
      </c>
      <c r="V891" s="7">
        <v>0.24607784832690399</v>
      </c>
      <c r="W891" s="8">
        <v>0.85690195421819304</v>
      </c>
      <c r="X891" s="8">
        <v>0.12262099507497901</v>
      </c>
      <c r="Y891" s="2">
        <v>58</v>
      </c>
      <c r="Z891" s="2" t="e">
        <f>VLOOKUP(E891,YieldData!T:U,2,FALSE)</f>
        <v>#VALUE!</v>
      </c>
      <c r="AA891">
        <f t="shared" si="26"/>
        <v>0.913534329143595</v>
      </c>
    </row>
    <row r="892" spans="1:27" hidden="1" x14ac:dyDescent="0.25">
      <c r="A892">
        <v>220</v>
      </c>
      <c r="B892">
        <v>309</v>
      </c>
      <c r="C892" t="s">
        <v>26</v>
      </c>
      <c r="D892" t="s">
        <v>100</v>
      </c>
      <c r="E892" t="e">
        <f t="shared" si="27"/>
        <v>#VALUE!</v>
      </c>
      <c r="H892">
        <v>30</v>
      </c>
      <c r="I892" t="s">
        <v>27</v>
      </c>
      <c r="J892" t="s">
        <v>28</v>
      </c>
      <c r="K892" s="2">
        <v>11819.216876598201</v>
      </c>
      <c r="L892" s="2">
        <v>124772691.59981801</v>
      </c>
      <c r="M892" s="3">
        <v>5886.4377446901399</v>
      </c>
      <c r="N892" s="3">
        <v>79625452.323662505</v>
      </c>
      <c r="O892" s="4">
        <v>0.15156250883298999</v>
      </c>
      <c r="P892" s="4">
        <v>4.9677368439164898E-2</v>
      </c>
      <c r="Q892" s="5">
        <v>-3.3339948461478003E-2</v>
      </c>
      <c r="R892" s="5">
        <v>2.7144573722008899E-3</v>
      </c>
      <c r="S892" s="6">
        <v>0.38290115043337097</v>
      </c>
      <c r="T892" s="6">
        <v>0.11485575511916001</v>
      </c>
      <c r="U892" s="7">
        <v>0.46512792066348302</v>
      </c>
      <c r="V892" s="7">
        <v>0.24878393808279201</v>
      </c>
      <c r="W892" s="8">
        <v>0.88580125820198896</v>
      </c>
      <c r="X892" s="8">
        <v>0.101157389169744</v>
      </c>
      <c r="Y892" s="2">
        <v>77</v>
      </c>
      <c r="Z892" s="2" t="e">
        <f>VLOOKUP(E892,YieldData!T:U,2,FALSE)</f>
        <v>#VALUE!</v>
      </c>
      <c r="AA892">
        <f t="shared" si="26"/>
        <v>0.913534329143595</v>
      </c>
    </row>
    <row r="893" spans="1:27" hidden="1" x14ac:dyDescent="0.25">
      <c r="A893">
        <v>203</v>
      </c>
      <c r="B893">
        <v>401</v>
      </c>
      <c r="C893" t="s">
        <v>26</v>
      </c>
      <c r="D893">
        <v>25105</v>
      </c>
      <c r="E893">
        <f t="shared" si="27"/>
        <v>25105401</v>
      </c>
      <c r="F893">
        <f>VLOOKUP(E893,YieldData!D:F,2,FALSE)</f>
        <v>1</v>
      </c>
      <c r="G893">
        <f>VLOOKUP($E893,YieldData!$D:$F,3,FALSE)</f>
        <v>1</v>
      </c>
      <c r="H893">
        <v>30</v>
      </c>
      <c r="I893" t="s">
        <v>27</v>
      </c>
      <c r="J893" t="s">
        <v>28</v>
      </c>
      <c r="K893" s="2">
        <v>10500.48749352</v>
      </c>
      <c r="L893" s="2">
        <v>125038587.776567</v>
      </c>
      <c r="M893" s="3">
        <v>9045.6469379726695</v>
      </c>
      <c r="N893" s="3">
        <v>96732809.211996302</v>
      </c>
      <c r="O893" s="4">
        <v>9.0685850252433295E-2</v>
      </c>
      <c r="P893" s="4">
        <v>4.9411084314513597E-2</v>
      </c>
      <c r="Q893" s="5">
        <v>-4.8873961678035899E-2</v>
      </c>
      <c r="R893" s="5">
        <v>2.6940224104303702E-3</v>
      </c>
      <c r="S893" s="6">
        <v>0.31573933157112999</v>
      </c>
      <c r="T893" s="6">
        <v>0.111708303853297</v>
      </c>
      <c r="U893" s="7">
        <v>0.39581389320891702</v>
      </c>
      <c r="V893" s="7">
        <v>0.23914525515170501</v>
      </c>
      <c r="W893" s="8">
        <v>0.56696648435677399</v>
      </c>
      <c r="X893" s="8">
        <v>0.24551548997292799</v>
      </c>
      <c r="Y893" s="2">
        <v>34</v>
      </c>
      <c r="Z893" s="2">
        <f>VLOOKUP(E893,YieldData!T:U,2,FALSE)</f>
        <v>622</v>
      </c>
      <c r="AA893">
        <f t="shared" si="26"/>
        <v>0.49484830026309301</v>
      </c>
    </row>
    <row r="894" spans="1:27" hidden="1" x14ac:dyDescent="0.25">
      <c r="A894">
        <v>204</v>
      </c>
      <c r="B894">
        <v>402</v>
      </c>
      <c r="C894" t="s">
        <v>26</v>
      </c>
      <c r="D894">
        <v>25105</v>
      </c>
      <c r="E894">
        <f t="shared" si="27"/>
        <v>25105402</v>
      </c>
      <c r="H894">
        <v>30</v>
      </c>
      <c r="I894" t="s">
        <v>27</v>
      </c>
      <c r="J894" t="s">
        <v>28</v>
      </c>
      <c r="K894" s="2">
        <v>18336.2637432517</v>
      </c>
      <c r="L894" s="2">
        <v>142117854.16246501</v>
      </c>
      <c r="M894" s="3">
        <v>2904.2057251658798</v>
      </c>
      <c r="N894" s="3">
        <v>85762817.816254795</v>
      </c>
      <c r="O894" s="4">
        <v>0.21387252620659</v>
      </c>
      <c r="P894" s="4">
        <v>4.39972337833111E-2</v>
      </c>
      <c r="Q894" s="5">
        <v>-2.7017222653534199E-2</v>
      </c>
      <c r="R894" s="5">
        <v>2.7117015203822598E-3</v>
      </c>
      <c r="S894" s="6">
        <v>0.52267249974774899</v>
      </c>
      <c r="T894" s="6">
        <v>0.101561029658323</v>
      </c>
      <c r="U894" s="7">
        <v>0.67343230897009998</v>
      </c>
      <c r="V894" s="7">
        <v>0.21992123420554499</v>
      </c>
      <c r="W894" s="8">
        <v>0.80829829206250303</v>
      </c>
      <c r="X894" s="8">
        <v>0.15495216311138599</v>
      </c>
      <c r="Y894" s="2">
        <v>50</v>
      </c>
      <c r="Z894" s="2">
        <f>VLOOKUP(E894,YieldData!T:U,2,FALSE)</f>
        <v>0</v>
      </c>
      <c r="AA894">
        <f t="shared" si="26"/>
        <v>0.71958832461616296</v>
      </c>
    </row>
    <row r="895" spans="1:27" hidden="1" x14ac:dyDescent="0.25">
      <c r="A895">
        <v>205</v>
      </c>
      <c r="B895">
        <v>403</v>
      </c>
      <c r="C895" t="s">
        <v>26</v>
      </c>
      <c r="D895">
        <v>25105</v>
      </c>
      <c r="E895">
        <f t="shared" si="27"/>
        <v>25105403</v>
      </c>
      <c r="F895">
        <f>VLOOKUP(E895,YieldData!D:F,2,FALSE)</f>
        <v>3</v>
      </c>
      <c r="G895">
        <f>VLOOKUP($E895,YieldData!$D:$F,3,FALSE)</f>
        <v>1</v>
      </c>
      <c r="H895">
        <v>30</v>
      </c>
      <c r="I895" t="s">
        <v>27</v>
      </c>
      <c r="J895" t="s">
        <v>28</v>
      </c>
      <c r="K895" s="2">
        <v>13812.3515763288</v>
      </c>
      <c r="L895" s="2">
        <v>141785607.62114701</v>
      </c>
      <c r="M895" s="3">
        <v>6918.7738129057198</v>
      </c>
      <c r="N895" s="3">
        <v>108977239.966581</v>
      </c>
      <c r="O895" s="4">
        <v>0.127495766412971</v>
      </c>
      <c r="P895" s="4">
        <v>5.3180601517518598E-2</v>
      </c>
      <c r="Q895" s="5">
        <v>-4.3466702058969298E-2</v>
      </c>
      <c r="R895" s="5">
        <v>2.57689732070046E-3</v>
      </c>
      <c r="S895" s="6">
        <v>0.37432042769245899</v>
      </c>
      <c r="T895" s="6">
        <v>0.12507926187819601</v>
      </c>
      <c r="U895" s="7">
        <v>0.49714155862794801</v>
      </c>
      <c r="V895" s="7">
        <v>0.24999182931323599</v>
      </c>
      <c r="W895" s="8">
        <v>0.70767206840877805</v>
      </c>
      <c r="X895" s="8">
        <v>0.20687231200275999</v>
      </c>
      <c r="Y895" s="2">
        <v>21</v>
      </c>
      <c r="Z895" s="2">
        <f>VLOOKUP(E895,YieldData!T:U,2,FALSE)</f>
        <v>361</v>
      </c>
      <c r="AA895">
        <f t="shared" si="26"/>
        <v>0.58725109131136799</v>
      </c>
    </row>
    <row r="896" spans="1:27" hidden="1" x14ac:dyDescent="0.25">
      <c r="A896">
        <v>206</v>
      </c>
      <c r="B896">
        <v>404</v>
      </c>
      <c r="C896" t="s">
        <v>26</v>
      </c>
      <c r="D896">
        <v>25105</v>
      </c>
      <c r="E896">
        <f t="shared" si="27"/>
        <v>25105404</v>
      </c>
      <c r="H896">
        <v>30</v>
      </c>
      <c r="I896" t="s">
        <v>27</v>
      </c>
      <c r="J896" t="s">
        <v>28</v>
      </c>
      <c r="K896" s="2">
        <v>15988.0932560947</v>
      </c>
      <c r="L896" s="2">
        <v>173261020.976693</v>
      </c>
      <c r="M896" s="3">
        <v>6088.8685155823696</v>
      </c>
      <c r="N896" s="3">
        <v>89743749.984415606</v>
      </c>
      <c r="O896" s="4">
        <v>0.115290290307515</v>
      </c>
      <c r="P896" s="4">
        <v>3.7939897511104798E-2</v>
      </c>
      <c r="Q896" s="5">
        <v>-4.9942727683718997E-2</v>
      </c>
      <c r="R896" s="5">
        <v>2.0936989303178E-3</v>
      </c>
      <c r="S896" s="6">
        <v>0.37275197001793497</v>
      </c>
      <c r="T896" s="6">
        <v>0.10518352221430501</v>
      </c>
      <c r="U896" s="7">
        <v>0.498229572248375</v>
      </c>
      <c r="V896" s="7">
        <v>0.24999686558565401</v>
      </c>
      <c r="W896" s="8">
        <v>0.98097874014679698</v>
      </c>
      <c r="X896" s="8">
        <v>1.8659451526807602E-2</v>
      </c>
      <c r="Y896" s="2">
        <v>102</v>
      </c>
      <c r="Z896" s="2">
        <f>VLOOKUP(E896,YieldData!T:U,2,FALSE)</f>
        <v>0</v>
      </c>
      <c r="AA896">
        <f t="shared" si="26"/>
        <v>0.65126375340867504</v>
      </c>
    </row>
    <row r="897" spans="1:27" hidden="1" x14ac:dyDescent="0.25">
      <c r="A897">
        <v>207</v>
      </c>
      <c r="B897">
        <v>405</v>
      </c>
      <c r="C897" t="s">
        <v>26</v>
      </c>
      <c r="D897">
        <v>25105</v>
      </c>
      <c r="E897">
        <f t="shared" si="27"/>
        <v>25105405</v>
      </c>
      <c r="H897">
        <v>30</v>
      </c>
      <c r="I897" t="s">
        <v>27</v>
      </c>
      <c r="J897" t="s">
        <v>28</v>
      </c>
      <c r="K897" s="2">
        <v>17175.784641327999</v>
      </c>
      <c r="L897" s="2">
        <v>168319299.39482701</v>
      </c>
      <c r="M897" s="3">
        <v>3780.0553654994401</v>
      </c>
      <c r="N897" s="3">
        <v>100421021.89080501</v>
      </c>
      <c r="O897" s="4">
        <v>0.173293201585624</v>
      </c>
      <c r="P897" s="4">
        <v>4.7396155095532702E-2</v>
      </c>
      <c r="Q897" s="5">
        <v>-3.3745566034865601E-2</v>
      </c>
      <c r="R897" s="5">
        <v>2.44384823814074E-3</v>
      </c>
      <c r="S897" s="6">
        <v>0.44519932857823002</v>
      </c>
      <c r="T897" s="6">
        <v>0.12195032858443</v>
      </c>
      <c r="U897" s="7">
        <v>0.58939890448967902</v>
      </c>
      <c r="V897" s="7">
        <v>0.24200783587603</v>
      </c>
      <c r="W897" s="8">
        <v>0.64045494773602496</v>
      </c>
      <c r="X897" s="8">
        <v>0.230272407656651</v>
      </c>
      <c r="Y897" s="2">
        <v>22</v>
      </c>
      <c r="Z897" s="2">
        <f>VLOOKUP(E897,YieldData!T:U,2,FALSE)</f>
        <v>0</v>
      </c>
      <c r="AA897">
        <f t="shared" si="26"/>
        <v>0.65411339799323098</v>
      </c>
    </row>
    <row r="898" spans="1:27" hidden="1" x14ac:dyDescent="0.25">
      <c r="A898">
        <v>208</v>
      </c>
      <c r="B898">
        <v>406</v>
      </c>
      <c r="C898" t="s">
        <v>26</v>
      </c>
      <c r="D898">
        <v>25105</v>
      </c>
      <c r="E898">
        <f t="shared" si="27"/>
        <v>25105406</v>
      </c>
      <c r="F898">
        <f>VLOOKUP(E898,YieldData!D:F,2,FALSE)</f>
        <v>3</v>
      </c>
      <c r="G898">
        <f>VLOOKUP($E898,YieldData!$D:$F,3,FALSE)</f>
        <v>2</v>
      </c>
      <c r="H898">
        <v>30</v>
      </c>
      <c r="I898" t="s">
        <v>27</v>
      </c>
      <c r="J898" t="s">
        <v>28</v>
      </c>
      <c r="K898" s="2">
        <v>15780.341797132</v>
      </c>
      <c r="L898" s="2">
        <v>163607585.70773399</v>
      </c>
      <c r="M898" s="3">
        <v>4953.9315771886204</v>
      </c>
      <c r="N898" s="3">
        <v>94235081.206479102</v>
      </c>
      <c r="O898" s="4">
        <v>0.13619446626548101</v>
      </c>
      <c r="P898" s="4">
        <v>4.3661482689545499E-2</v>
      </c>
      <c r="Q898" s="5">
        <v>-4.3650024813138698E-2</v>
      </c>
      <c r="R898" s="5">
        <v>2.29424541851819E-3</v>
      </c>
      <c r="S898" s="6">
        <v>0.39509302771157701</v>
      </c>
      <c r="T898" s="6">
        <v>0.119647187460362</v>
      </c>
      <c r="U898" s="7">
        <v>0.53878078243293304</v>
      </c>
      <c r="V898" s="7">
        <v>0.24849605091392901</v>
      </c>
      <c r="W898" s="8">
        <v>0.67892508610792202</v>
      </c>
      <c r="X898" s="8">
        <v>0.21798581356129201</v>
      </c>
      <c r="Y898" s="2">
        <v>30</v>
      </c>
      <c r="Z898" s="2">
        <f>VLOOKUP(E898,YieldData!T:U,2,FALSE)</f>
        <v>604</v>
      </c>
      <c r="AA898">
        <f t="shared" ref="AA898:AA961" si="28">_xlfn.MAXIFS(U:U,E:E,E898)</f>
        <v>0.63115597120237299</v>
      </c>
    </row>
    <row r="899" spans="1:27" hidden="1" x14ac:dyDescent="0.25">
      <c r="A899">
        <v>209</v>
      </c>
      <c r="B899">
        <v>407</v>
      </c>
      <c r="C899" t="s">
        <v>26</v>
      </c>
      <c r="D899">
        <v>25105</v>
      </c>
      <c r="E899">
        <f t="shared" ref="E899:E962" si="29">D899*1000+B899</f>
        <v>25105407</v>
      </c>
      <c r="F899">
        <f>VLOOKUP(E899,YieldData!D:F,2,FALSE)</f>
        <v>2</v>
      </c>
      <c r="G899">
        <f>VLOOKUP($E899,YieldData!$D:$F,3,FALSE)</f>
        <v>2</v>
      </c>
      <c r="H899">
        <v>30</v>
      </c>
      <c r="I899" t="s">
        <v>27</v>
      </c>
      <c r="J899" t="s">
        <v>28</v>
      </c>
      <c r="K899" s="2">
        <v>13099.5536506632</v>
      </c>
      <c r="L899" s="2">
        <v>148146808.78405201</v>
      </c>
      <c r="M899" s="3">
        <v>7786.2916936628499</v>
      </c>
      <c r="N899" s="3">
        <v>86572204.870238796</v>
      </c>
      <c r="O899" s="4">
        <v>7.0866935317009105E-2</v>
      </c>
      <c r="P899" s="4">
        <v>4.0459268941188002E-2</v>
      </c>
      <c r="Q899" s="5">
        <v>-6.08318977958252E-2</v>
      </c>
      <c r="R899" s="5">
        <v>2.2654222850368999E-3</v>
      </c>
      <c r="S899" s="6">
        <v>0.296882228396254</v>
      </c>
      <c r="T899" s="6">
        <v>0.109802654266896</v>
      </c>
      <c r="U899" s="7">
        <v>0.404456481000109</v>
      </c>
      <c r="V899" s="7">
        <v>0.24087143597733099</v>
      </c>
      <c r="W899" s="8">
        <v>0.89778030321348301</v>
      </c>
      <c r="X899" s="8">
        <v>9.1770830375322396E-2</v>
      </c>
      <c r="Y899" s="2">
        <v>54</v>
      </c>
      <c r="Z899" s="2">
        <f>VLOOKUP(E899,YieldData!T:U,2,FALSE)</f>
        <v>1430</v>
      </c>
      <c r="AA899">
        <f t="shared" si="28"/>
        <v>0.63048314552401197</v>
      </c>
    </row>
    <row r="900" spans="1:27" hidden="1" x14ac:dyDescent="0.25">
      <c r="A900">
        <v>210</v>
      </c>
      <c r="B900">
        <v>408</v>
      </c>
      <c r="C900" t="s">
        <v>26</v>
      </c>
      <c r="D900">
        <v>25105</v>
      </c>
      <c r="E900">
        <f t="shared" si="29"/>
        <v>25105408</v>
      </c>
      <c r="F900">
        <f>VLOOKUP(E900,YieldData!D:F,2,FALSE)</f>
        <v>4</v>
      </c>
      <c r="G900">
        <f>VLOOKUP($E900,YieldData!$D:$F,3,FALSE)</f>
        <v>2</v>
      </c>
      <c r="H900">
        <v>30</v>
      </c>
      <c r="I900" t="s">
        <v>27</v>
      </c>
      <c r="J900" t="s">
        <v>28</v>
      </c>
      <c r="K900" s="2">
        <v>15033.255537217799</v>
      </c>
      <c r="L900" s="2">
        <v>179354353.74702001</v>
      </c>
      <c r="M900" s="3">
        <v>5936.2932951836501</v>
      </c>
      <c r="N900" s="3">
        <v>87001596.323593497</v>
      </c>
      <c r="O900" s="4">
        <v>0.108504952126628</v>
      </c>
      <c r="P900" s="4">
        <v>4.0504219886693997E-2</v>
      </c>
      <c r="Q900" s="5">
        <v>-4.9217873141809303E-2</v>
      </c>
      <c r="R900" s="5">
        <v>2.11220936898893E-3</v>
      </c>
      <c r="S900" s="6">
        <v>0.35928447588106199</v>
      </c>
      <c r="T900" s="6">
        <v>0.113312004232606</v>
      </c>
      <c r="U900" s="7">
        <v>0.48407003444316898</v>
      </c>
      <c r="V900" s="7">
        <v>0.249746236197567</v>
      </c>
      <c r="W900" s="8">
        <v>0.86859227365147695</v>
      </c>
      <c r="X900" s="8">
        <v>0.11413973580466499</v>
      </c>
      <c r="Y900" s="2">
        <v>49</v>
      </c>
      <c r="Z900" s="2">
        <f>VLOOKUP(E900,YieldData!T:U,2,FALSE)</f>
        <v>1144</v>
      </c>
      <c r="AA900">
        <f t="shared" si="28"/>
        <v>0.56772434249082104</v>
      </c>
    </row>
    <row r="901" spans="1:27" hidden="1" x14ac:dyDescent="0.25">
      <c r="A901">
        <v>211</v>
      </c>
      <c r="B901">
        <v>409</v>
      </c>
      <c r="C901" t="s">
        <v>26</v>
      </c>
      <c r="D901">
        <v>25105</v>
      </c>
      <c r="E901">
        <f t="shared" si="29"/>
        <v>25105409</v>
      </c>
      <c r="F901">
        <f>VLOOKUP(E901,YieldData!D:F,2,FALSE)</f>
        <v>1</v>
      </c>
      <c r="G901">
        <f>VLOOKUP($E901,YieldData!$D:$F,3,FALSE)</f>
        <v>2</v>
      </c>
      <c r="H901">
        <v>30</v>
      </c>
      <c r="I901" t="s">
        <v>27</v>
      </c>
      <c r="J901" t="s">
        <v>28</v>
      </c>
      <c r="K901" s="2">
        <v>15793.939031825401</v>
      </c>
      <c r="L901" s="2">
        <v>158938246.481401</v>
      </c>
      <c r="M901" s="3">
        <v>4268.3258889749704</v>
      </c>
      <c r="N901" s="3">
        <v>75622279.625489503</v>
      </c>
      <c r="O901" s="4">
        <v>0.17154986709949299</v>
      </c>
      <c r="P901" s="4">
        <v>3.7589112715671301E-2</v>
      </c>
      <c r="Q901" s="5">
        <v>-3.4372987410513402E-2</v>
      </c>
      <c r="R901" s="5">
        <v>2.6407360844414199E-3</v>
      </c>
      <c r="S901" s="6">
        <v>0.44130222222680399</v>
      </c>
      <c r="T901" s="6">
        <v>9.7838882501618193E-2</v>
      </c>
      <c r="U901" s="7">
        <v>0.57047243561083305</v>
      </c>
      <c r="V901" s="7">
        <v>0.24503363581878501</v>
      </c>
      <c r="W901" s="8">
        <v>0.934493971006639</v>
      </c>
      <c r="X901" s="8">
        <v>6.1214989158967198E-2</v>
      </c>
      <c r="Y901" s="2">
        <v>80</v>
      </c>
      <c r="Z901" s="2">
        <f>VLOOKUP(E901,YieldData!T:U,2,FALSE)</f>
        <v>840</v>
      </c>
      <c r="AA901">
        <f t="shared" si="28"/>
        <v>0.690714247005907</v>
      </c>
    </row>
    <row r="902" spans="1:27" hidden="1" x14ac:dyDescent="0.25">
      <c r="A902">
        <v>194</v>
      </c>
      <c r="B902">
        <v>501</v>
      </c>
      <c r="C902" t="s">
        <v>26</v>
      </c>
      <c r="D902">
        <v>25105</v>
      </c>
      <c r="E902">
        <f t="shared" si="29"/>
        <v>25105501</v>
      </c>
      <c r="H902">
        <v>30</v>
      </c>
      <c r="I902" t="s">
        <v>27</v>
      </c>
      <c r="J902" t="s">
        <v>28</v>
      </c>
      <c r="K902" s="2">
        <v>15962.966964494</v>
      </c>
      <c r="L902" s="2">
        <v>161432356.07852799</v>
      </c>
      <c r="M902" s="3">
        <v>5241.5256080868203</v>
      </c>
      <c r="N902" s="3">
        <v>87497548.650234401</v>
      </c>
      <c r="O902" s="4">
        <v>0.17130139411199699</v>
      </c>
      <c r="P902" s="4">
        <v>3.7300198733823099E-2</v>
      </c>
      <c r="Q902" s="5">
        <v>-3.4909015719230801E-2</v>
      </c>
      <c r="R902" s="5">
        <v>2.0913284946694499E-3</v>
      </c>
      <c r="S902" s="6">
        <v>0.44639595956873601</v>
      </c>
      <c r="T902" s="6">
        <v>9.5883334071345999E-2</v>
      </c>
      <c r="U902" s="7">
        <v>0.53949300723295002</v>
      </c>
      <c r="V902" s="7">
        <v>0.24844030237942399</v>
      </c>
      <c r="W902" s="8">
        <v>0.75317046390337605</v>
      </c>
      <c r="X902" s="8">
        <v>0.18590471620688301</v>
      </c>
      <c r="Y902" s="2">
        <v>44</v>
      </c>
      <c r="Z902" s="2">
        <f>VLOOKUP(E902,YieldData!T:U,2,FALSE)</f>
        <v>0</v>
      </c>
      <c r="AA902">
        <f t="shared" si="28"/>
        <v>0.64228367528992003</v>
      </c>
    </row>
    <row r="903" spans="1:27" hidden="1" x14ac:dyDescent="0.25">
      <c r="A903">
        <v>195</v>
      </c>
      <c r="B903">
        <v>502</v>
      </c>
      <c r="C903" t="s">
        <v>26</v>
      </c>
      <c r="D903">
        <v>25105</v>
      </c>
      <c r="E903">
        <f t="shared" si="29"/>
        <v>25105502</v>
      </c>
      <c r="F903">
        <f>VLOOKUP(E903,YieldData!D:F,2,FALSE)</f>
        <v>2</v>
      </c>
      <c r="G903">
        <f>VLOOKUP($E903,YieldData!$D:$F,3,FALSE)</f>
        <v>4</v>
      </c>
      <c r="H903">
        <v>30</v>
      </c>
      <c r="I903" t="s">
        <v>27</v>
      </c>
      <c r="J903" t="s">
        <v>28</v>
      </c>
      <c r="K903" s="2">
        <v>16321.818628813</v>
      </c>
      <c r="L903" s="2">
        <v>174988092.484734</v>
      </c>
      <c r="M903" s="3">
        <v>5433.2045357849302</v>
      </c>
      <c r="N903" s="3">
        <v>86180096.970938906</v>
      </c>
      <c r="O903" s="4">
        <v>0.155778096158152</v>
      </c>
      <c r="P903" s="4">
        <v>3.7075535469835399E-2</v>
      </c>
      <c r="Q903" s="5">
        <v>-4.0874035971072399E-2</v>
      </c>
      <c r="R903" s="5">
        <v>2.10589305769789E-3</v>
      </c>
      <c r="S903" s="6">
        <v>0.43502996920433601</v>
      </c>
      <c r="T903" s="6">
        <v>0.10583708218685001</v>
      </c>
      <c r="U903" s="7">
        <v>0.54302627604953202</v>
      </c>
      <c r="V903" s="7">
        <v>0.24814873956917799</v>
      </c>
      <c r="W903" s="8">
        <v>0.50700686189233601</v>
      </c>
      <c r="X903" s="8">
        <v>0.24995090388617899</v>
      </c>
      <c r="Y903" s="2">
        <v>21</v>
      </c>
      <c r="Z903" s="2">
        <f>VLOOKUP(E903,YieldData!T:U,2,FALSE)</f>
        <v>1109</v>
      </c>
      <c r="AA903">
        <f t="shared" si="28"/>
        <v>0.68266872833138004</v>
      </c>
    </row>
    <row r="904" spans="1:27" hidden="1" x14ac:dyDescent="0.25">
      <c r="A904">
        <v>196</v>
      </c>
      <c r="B904">
        <v>503</v>
      </c>
      <c r="C904" t="s">
        <v>26</v>
      </c>
      <c r="D904">
        <v>25105</v>
      </c>
      <c r="E904">
        <f t="shared" si="29"/>
        <v>25105503</v>
      </c>
      <c r="H904">
        <v>30</v>
      </c>
      <c r="I904" t="s">
        <v>27</v>
      </c>
      <c r="J904" t="s">
        <v>28</v>
      </c>
      <c r="K904" s="2">
        <v>16810.730555929498</v>
      </c>
      <c r="L904" s="2">
        <v>156802597.19291401</v>
      </c>
      <c r="M904" s="3">
        <v>4370.4259327774398</v>
      </c>
      <c r="N904" s="3">
        <v>98071276.123765796</v>
      </c>
      <c r="O904" s="4">
        <v>0.171518851021426</v>
      </c>
      <c r="P904" s="4">
        <v>4.31788940713137E-2</v>
      </c>
      <c r="Q904" s="5">
        <v>-3.7007099216768903E-2</v>
      </c>
      <c r="R904" s="5">
        <v>2.1644366594336102E-3</v>
      </c>
      <c r="S904" s="6">
        <v>0.44243803099982099</v>
      </c>
      <c r="T904" s="6">
        <v>0.112380012593356</v>
      </c>
      <c r="U904" s="7">
        <v>0.57577062861757999</v>
      </c>
      <c r="V904" s="7">
        <v>0.24425881183899001</v>
      </c>
      <c r="W904" s="8">
        <v>0.68318524501884803</v>
      </c>
      <c r="X904" s="8">
        <v>0.216443166007668</v>
      </c>
      <c r="Y904" s="2">
        <v>27</v>
      </c>
      <c r="Z904" s="2">
        <f>VLOOKUP(E904,YieldData!T:U,2,FALSE)</f>
        <v>0</v>
      </c>
      <c r="AA904">
        <f t="shared" si="28"/>
        <v>0.66826877768353599</v>
      </c>
    </row>
    <row r="905" spans="1:27" hidden="1" x14ac:dyDescent="0.25">
      <c r="A905">
        <v>197</v>
      </c>
      <c r="B905">
        <v>504</v>
      </c>
      <c r="C905" t="s">
        <v>26</v>
      </c>
      <c r="D905">
        <v>25105</v>
      </c>
      <c r="E905">
        <f t="shared" si="29"/>
        <v>25105504</v>
      </c>
      <c r="F905">
        <f>VLOOKUP(E905,YieldData!D:F,2,FALSE)</f>
        <v>5</v>
      </c>
      <c r="G905">
        <f>VLOOKUP($E905,YieldData!$D:$F,3,FALSE)</f>
        <v>3</v>
      </c>
      <c r="H905">
        <v>30</v>
      </c>
      <c r="I905" t="s">
        <v>27</v>
      </c>
      <c r="J905" t="s">
        <v>28</v>
      </c>
      <c r="K905" s="2">
        <v>16235.4537668263</v>
      </c>
      <c r="L905" s="2">
        <v>168077268.76701501</v>
      </c>
      <c r="M905" s="3">
        <v>4873.27578796333</v>
      </c>
      <c r="N905" s="3">
        <v>85571267.141405493</v>
      </c>
      <c r="O905" s="4">
        <v>0.14288064150091401</v>
      </c>
      <c r="P905" s="4">
        <v>3.6087342494742998E-2</v>
      </c>
      <c r="Q905" s="5">
        <v>-4.6904326780482397E-2</v>
      </c>
      <c r="R905" s="5">
        <v>2.0508270011465701E-3</v>
      </c>
      <c r="S905" s="6">
        <v>0.39948939547183998</v>
      </c>
      <c r="T905" s="6">
        <v>0.10495926150764399</v>
      </c>
      <c r="U905" s="7">
        <v>0.51863068159077896</v>
      </c>
      <c r="V905" s="7">
        <v>0.24965289770332799</v>
      </c>
      <c r="W905" s="8">
        <v>0.86669957047194701</v>
      </c>
      <c r="X905" s="8">
        <v>0.11553142501558999</v>
      </c>
      <c r="Y905" s="2">
        <v>53</v>
      </c>
      <c r="Z905" s="2">
        <f>VLOOKUP(E905,YieldData!T:U,2,FALSE)</f>
        <v>1282</v>
      </c>
      <c r="AA905">
        <f t="shared" si="28"/>
        <v>0.77873237369762105</v>
      </c>
    </row>
    <row r="906" spans="1:27" hidden="1" x14ac:dyDescent="0.25">
      <c r="A906">
        <v>198</v>
      </c>
      <c r="B906">
        <v>505</v>
      </c>
      <c r="C906" t="s">
        <v>26</v>
      </c>
      <c r="D906">
        <v>25105</v>
      </c>
      <c r="E906">
        <f t="shared" si="29"/>
        <v>25105505</v>
      </c>
      <c r="F906">
        <f>VLOOKUP(E906,YieldData!D:F,2,FALSE)</f>
        <v>3</v>
      </c>
      <c r="G906">
        <f>VLOOKUP($E906,YieldData!$D:$F,3,FALSE)</f>
        <v>3</v>
      </c>
      <c r="H906">
        <v>30</v>
      </c>
      <c r="I906" t="s">
        <v>27</v>
      </c>
      <c r="J906" t="s">
        <v>28</v>
      </c>
      <c r="K906" s="2">
        <v>18616.9524606829</v>
      </c>
      <c r="L906" s="2">
        <v>176667817.35540199</v>
      </c>
      <c r="M906" s="3">
        <v>3673.9959680930301</v>
      </c>
      <c r="N906" s="3">
        <v>98705422.708119497</v>
      </c>
      <c r="O906" s="4">
        <v>0.17661812045414799</v>
      </c>
      <c r="P906" s="4">
        <v>4.22828018979182E-2</v>
      </c>
      <c r="Q906" s="5">
        <v>-3.9466949506499503E-2</v>
      </c>
      <c r="R906" s="5">
        <v>2.6563531019799099E-3</v>
      </c>
      <c r="S906" s="6">
        <v>0.45403206235653798</v>
      </c>
      <c r="T906" s="6">
        <v>0.115467767961162</v>
      </c>
      <c r="U906" s="7">
        <v>0.61585839861268898</v>
      </c>
      <c r="V906" s="7">
        <v>0.23657683147094899</v>
      </c>
      <c r="W906" s="8">
        <v>0.80635516701149301</v>
      </c>
      <c r="X906" s="8">
        <v>0.15614651164516</v>
      </c>
      <c r="Y906" s="2">
        <v>36</v>
      </c>
      <c r="Z906" s="2">
        <f>VLOOKUP(E906,YieldData!T:U,2,FALSE)</f>
        <v>1252</v>
      </c>
      <c r="AA906">
        <f t="shared" si="28"/>
        <v>0.81420300949738</v>
      </c>
    </row>
    <row r="907" spans="1:27" hidden="1" x14ac:dyDescent="0.25">
      <c r="A907">
        <v>199</v>
      </c>
      <c r="B907">
        <v>506</v>
      </c>
      <c r="C907" t="s">
        <v>26</v>
      </c>
      <c r="D907">
        <v>25105</v>
      </c>
      <c r="E907">
        <f t="shared" si="29"/>
        <v>25105506</v>
      </c>
      <c r="F907">
        <f>VLOOKUP(E907,YieldData!D:F,2,FALSE)</f>
        <v>1</v>
      </c>
      <c r="G907">
        <f>VLOOKUP($E907,YieldData!$D:$F,3,FALSE)</f>
        <v>3</v>
      </c>
      <c r="H907">
        <v>30</v>
      </c>
      <c r="I907" t="s">
        <v>27</v>
      </c>
      <c r="J907" t="s">
        <v>28</v>
      </c>
      <c r="K907" s="2">
        <v>19044.8833821683</v>
      </c>
      <c r="L907" s="2">
        <v>167791267.59865901</v>
      </c>
      <c r="M907" s="3">
        <v>3015.33005266399</v>
      </c>
      <c r="N907" s="3">
        <v>73222625.7285759</v>
      </c>
      <c r="O907" s="4">
        <v>0.17665988181765799</v>
      </c>
      <c r="P907" s="4">
        <v>3.21409667476752E-2</v>
      </c>
      <c r="Q907" s="5">
        <v>-3.72908068074813E-2</v>
      </c>
      <c r="R907" s="5">
        <v>2.4831399930648999E-3</v>
      </c>
      <c r="S907" s="6">
        <v>0.46397829227149201</v>
      </c>
      <c r="T907" s="6">
        <v>9.38306305748976E-2</v>
      </c>
      <c r="U907" s="7">
        <v>0.62615559409196897</v>
      </c>
      <c r="V907" s="7">
        <v>0.23408476607942999</v>
      </c>
      <c r="W907" s="8">
        <v>0.73410591274397197</v>
      </c>
      <c r="X907" s="8">
        <v>0.19519442161817799</v>
      </c>
      <c r="Y907" s="2">
        <v>43</v>
      </c>
      <c r="Z907" s="2">
        <f>VLOOKUP(E907,YieldData!T:U,2,FALSE)</f>
        <v>1552</v>
      </c>
      <c r="AA907">
        <f t="shared" si="28"/>
        <v>0.75781857322250801</v>
      </c>
    </row>
    <row r="908" spans="1:27" hidden="1" x14ac:dyDescent="0.25">
      <c r="A908">
        <v>200</v>
      </c>
      <c r="B908">
        <v>507</v>
      </c>
      <c r="C908" t="s">
        <v>26</v>
      </c>
      <c r="D908">
        <v>25105</v>
      </c>
      <c r="E908">
        <f t="shared" si="29"/>
        <v>25105507</v>
      </c>
      <c r="F908">
        <f>VLOOKUP(E908,YieldData!D:F,2,FALSE)</f>
        <v>2</v>
      </c>
      <c r="G908">
        <f>VLOOKUP($E908,YieldData!$D:$F,3,FALSE)</f>
        <v>3</v>
      </c>
      <c r="H908">
        <v>30</v>
      </c>
      <c r="I908" t="s">
        <v>27</v>
      </c>
      <c r="J908" t="s">
        <v>28</v>
      </c>
      <c r="K908" s="2">
        <v>18408.066997086</v>
      </c>
      <c r="L908" s="2">
        <v>182488562.329849</v>
      </c>
      <c r="M908" s="3">
        <v>4017.6525262179498</v>
      </c>
      <c r="N908" s="3">
        <v>94695750.630007401</v>
      </c>
      <c r="O908" s="4">
        <v>0.15810559801821999</v>
      </c>
      <c r="P908" s="4">
        <v>4.3040994461863803E-2</v>
      </c>
      <c r="Q908" s="5">
        <v>-4.2303625525638898E-2</v>
      </c>
      <c r="R908" s="5">
        <v>2.5923096631144601E-3</v>
      </c>
      <c r="S908" s="6">
        <v>0.43347493074619398</v>
      </c>
      <c r="T908" s="6">
        <v>0.11536842955276901</v>
      </c>
      <c r="U908" s="7">
        <v>0.59451819381833604</v>
      </c>
      <c r="V908" s="7">
        <v>0.241066311037442</v>
      </c>
      <c r="W908" s="8">
        <v>0.77472944868553795</v>
      </c>
      <c r="X908" s="8">
        <v>0.17452373002462601</v>
      </c>
      <c r="Y908" s="2">
        <v>38</v>
      </c>
      <c r="Z908" s="2">
        <f>VLOOKUP(E908,YieldData!T:U,2,FALSE)</f>
        <v>1595</v>
      </c>
      <c r="AA908">
        <f t="shared" si="28"/>
        <v>0.77628760709304601</v>
      </c>
    </row>
    <row r="909" spans="1:27" hidden="1" x14ac:dyDescent="0.25">
      <c r="A909">
        <v>201</v>
      </c>
      <c r="B909">
        <v>508</v>
      </c>
      <c r="C909" t="s">
        <v>26</v>
      </c>
      <c r="D909">
        <v>25105</v>
      </c>
      <c r="E909">
        <f t="shared" si="29"/>
        <v>25105508</v>
      </c>
      <c r="H909">
        <v>30</v>
      </c>
      <c r="I909" t="s">
        <v>27</v>
      </c>
      <c r="J909" t="s">
        <v>28</v>
      </c>
      <c r="K909" s="2">
        <v>19780.1707308322</v>
      </c>
      <c r="L909" s="2">
        <v>193403113.73618299</v>
      </c>
      <c r="M909" s="3">
        <v>2752.70523910867</v>
      </c>
      <c r="N909" s="3">
        <v>79547724.250835493</v>
      </c>
      <c r="O909" s="4">
        <v>0.18619942296491601</v>
      </c>
      <c r="P909" s="4">
        <v>3.4017073502211302E-2</v>
      </c>
      <c r="Q909" s="5">
        <v>-3.5247031393344001E-2</v>
      </c>
      <c r="R909" s="5">
        <v>2.4458210677162301E-3</v>
      </c>
      <c r="S909" s="6">
        <v>0.480099972373557</v>
      </c>
      <c r="T909" s="6">
        <v>9.6150326364571201E-2</v>
      </c>
      <c r="U909" s="7">
        <v>0.62588947223650704</v>
      </c>
      <c r="V909" s="7">
        <v>0.234151840779909</v>
      </c>
      <c r="W909" s="8">
        <v>0.85558970924182798</v>
      </c>
      <c r="X909" s="8">
        <v>0.123555958681332</v>
      </c>
      <c r="Y909" s="2">
        <v>47</v>
      </c>
      <c r="Z909" s="2">
        <f>VLOOKUP(E909,YieldData!T:U,2,FALSE)</f>
        <v>0</v>
      </c>
      <c r="AA909">
        <f t="shared" si="28"/>
        <v>0.68555196746800595</v>
      </c>
    </row>
    <row r="910" spans="1:27" hidden="1" x14ac:dyDescent="0.25">
      <c r="A910">
        <v>202</v>
      </c>
      <c r="B910">
        <v>509</v>
      </c>
      <c r="C910" t="s">
        <v>26</v>
      </c>
      <c r="D910">
        <v>25105</v>
      </c>
      <c r="E910">
        <f t="shared" si="29"/>
        <v>25105509</v>
      </c>
      <c r="H910">
        <v>30</v>
      </c>
      <c r="I910" t="s">
        <v>27</v>
      </c>
      <c r="J910" t="s">
        <v>28</v>
      </c>
      <c r="K910" s="2">
        <v>19935.384336662701</v>
      </c>
      <c r="L910" s="2">
        <v>159629128.23952401</v>
      </c>
      <c r="M910" s="3">
        <v>1055.9644942770899</v>
      </c>
      <c r="N910" s="3">
        <v>73832201.634059802</v>
      </c>
      <c r="O910" s="4">
        <v>0.25152125851072099</v>
      </c>
      <c r="P910" s="4">
        <v>3.3632207112761901E-2</v>
      </c>
      <c r="Q910" s="5">
        <v>-1.9469941982675501E-2</v>
      </c>
      <c r="R910" s="5">
        <v>2.6624528870354898E-3</v>
      </c>
      <c r="S910" s="6">
        <v>0.55249866601136099</v>
      </c>
      <c r="T910" s="6">
        <v>8.5222003029989293E-2</v>
      </c>
      <c r="U910" s="7">
        <v>0.71572033438280303</v>
      </c>
      <c r="V910" s="7">
        <v>0.203464737333902</v>
      </c>
      <c r="W910" s="8">
        <v>0.87382105877403704</v>
      </c>
      <c r="X910" s="8">
        <v>0.110257816017057</v>
      </c>
      <c r="Y910" s="2">
        <v>48</v>
      </c>
      <c r="Z910" s="2">
        <f>VLOOKUP(E910,YieldData!T:U,2,FALSE)</f>
        <v>0</v>
      </c>
      <c r="AA910">
        <f t="shared" si="28"/>
        <v>0.85520816370840802</v>
      </c>
    </row>
    <row r="911" spans="1:27" hidden="1" x14ac:dyDescent="0.25">
      <c r="A911">
        <v>185</v>
      </c>
      <c r="B911">
        <v>601</v>
      </c>
      <c r="C911" t="s">
        <v>26</v>
      </c>
      <c r="D911">
        <v>25105</v>
      </c>
      <c r="E911">
        <f t="shared" si="29"/>
        <v>25105601</v>
      </c>
      <c r="F911">
        <f>VLOOKUP(E911,YieldData!D:F,2,FALSE)</f>
        <v>1</v>
      </c>
      <c r="G911">
        <f>VLOOKUP($E911,YieldData!$D:$F,3,FALSE)</f>
        <v>4</v>
      </c>
      <c r="H911">
        <v>30</v>
      </c>
      <c r="I911" t="s">
        <v>27</v>
      </c>
      <c r="J911" t="s">
        <v>28</v>
      </c>
      <c r="K911" s="2">
        <v>14026.473974304199</v>
      </c>
      <c r="L911" s="2">
        <v>148780046.41726601</v>
      </c>
      <c r="M911" s="3">
        <v>5863.53223580964</v>
      </c>
      <c r="N911" s="3">
        <v>75941665.2900794</v>
      </c>
      <c r="O911" s="4">
        <v>0.168237906156324</v>
      </c>
      <c r="P911" s="4">
        <v>3.1917075801559801E-2</v>
      </c>
      <c r="Q911" s="5">
        <v>-3.3213250082458297E-2</v>
      </c>
      <c r="R911" s="5">
        <v>1.8673496145427001E-3</v>
      </c>
      <c r="S911" s="6">
        <v>0.426865072336016</v>
      </c>
      <c r="T911" s="6">
        <v>8.8768102239798599E-2</v>
      </c>
      <c r="U911" s="7">
        <v>0.49210107518534302</v>
      </c>
      <c r="V911" s="7">
        <v>0.24993760698668199</v>
      </c>
      <c r="W911" s="8">
        <v>0.65878714952968698</v>
      </c>
      <c r="X911" s="8">
        <v>0.22478664114420399</v>
      </c>
      <c r="Y911" s="2">
        <v>25</v>
      </c>
      <c r="Z911" s="2">
        <f>VLOOKUP(E911,YieldData!T:U,2,FALSE)</f>
        <v>1237</v>
      </c>
      <c r="AA911">
        <f t="shared" si="28"/>
        <v>0.72786906456203904</v>
      </c>
    </row>
    <row r="912" spans="1:27" hidden="1" x14ac:dyDescent="0.25">
      <c r="A912">
        <v>186</v>
      </c>
      <c r="B912">
        <v>602</v>
      </c>
      <c r="C912" t="s">
        <v>26</v>
      </c>
      <c r="D912">
        <v>25105</v>
      </c>
      <c r="E912">
        <f t="shared" si="29"/>
        <v>25105602</v>
      </c>
      <c r="F912">
        <f>VLOOKUP(E912,YieldData!D:F,2,FALSE)</f>
        <v>3</v>
      </c>
      <c r="G912">
        <f>VLOOKUP($E912,YieldData!$D:$F,3,FALSE)</f>
        <v>4</v>
      </c>
      <c r="H912">
        <v>30</v>
      </c>
      <c r="I912" t="s">
        <v>27</v>
      </c>
      <c r="J912" t="s">
        <v>28</v>
      </c>
      <c r="K912" s="2">
        <v>15863.819292111701</v>
      </c>
      <c r="L912" s="2">
        <v>171003277.61821499</v>
      </c>
      <c r="M912" s="3">
        <v>5763.4907989016401</v>
      </c>
      <c r="N912" s="3">
        <v>80136796.677308097</v>
      </c>
      <c r="O912" s="4">
        <v>0.15886612554250201</v>
      </c>
      <c r="P912" s="4">
        <v>3.2975038699263701E-2</v>
      </c>
      <c r="Q912" s="5">
        <v>-3.6668439765673397E-2</v>
      </c>
      <c r="R912" s="5">
        <v>2.1556939344379998E-3</v>
      </c>
      <c r="S912" s="6">
        <v>0.42977548104364099</v>
      </c>
      <c r="T912" s="6">
        <v>9.6474738270334995E-2</v>
      </c>
      <c r="U912" s="7">
        <v>0.52385171703625699</v>
      </c>
      <c r="V912" s="7">
        <v>0.24943109559430299</v>
      </c>
      <c r="W912" s="8">
        <v>0.74981439348581003</v>
      </c>
      <c r="X912" s="8">
        <v>0.18759276880725401</v>
      </c>
      <c r="Y912" s="2">
        <v>35</v>
      </c>
      <c r="Z912" s="2">
        <f>VLOOKUP(E912,YieldData!T:U,2,FALSE)</f>
        <v>691</v>
      </c>
      <c r="AA912">
        <f t="shared" si="28"/>
        <v>0.72686449202471604</v>
      </c>
    </row>
    <row r="913" spans="1:27" hidden="1" x14ac:dyDescent="0.25">
      <c r="A913">
        <v>187</v>
      </c>
      <c r="B913">
        <v>603</v>
      </c>
      <c r="C913" t="s">
        <v>26</v>
      </c>
      <c r="D913" t="s">
        <v>100</v>
      </c>
      <c r="E913" t="e">
        <f t="shared" si="29"/>
        <v>#VALUE!</v>
      </c>
      <c r="H913">
        <v>30</v>
      </c>
      <c r="I913" t="s">
        <v>27</v>
      </c>
      <c r="J913" t="s">
        <v>28</v>
      </c>
      <c r="K913" s="2">
        <v>13630.2514841625</v>
      </c>
      <c r="L913" s="2">
        <v>118819479.19026899</v>
      </c>
      <c r="M913" s="3">
        <v>5390.1503425009696</v>
      </c>
      <c r="N913" s="3">
        <v>94819965.060001105</v>
      </c>
      <c r="O913" s="4">
        <v>0.17345052462164601</v>
      </c>
      <c r="P913" s="4">
        <v>4.76145402583373E-2</v>
      </c>
      <c r="Q913" s="5">
        <v>-2.9232296252104301E-2</v>
      </c>
      <c r="R913" s="5">
        <v>2.2255994369023801E-3</v>
      </c>
      <c r="S913" s="6">
        <v>0.40871590354581799</v>
      </c>
      <c r="T913" s="6">
        <v>0.111683831717933</v>
      </c>
      <c r="U913" s="7">
        <v>0.49883182044505697</v>
      </c>
      <c r="V913" s="7">
        <v>0.24999863535651001</v>
      </c>
      <c r="W913" s="8">
        <v>0.73919816138917305</v>
      </c>
      <c r="X913" s="8">
        <v>0.192784239587834</v>
      </c>
      <c r="Y913" s="2">
        <v>39</v>
      </c>
      <c r="Z913" s="2" t="e">
        <f>VLOOKUP(E913,YieldData!T:U,2,FALSE)</f>
        <v>#VALUE!</v>
      </c>
      <c r="AA913">
        <f t="shared" si="28"/>
        <v>0.913534329143595</v>
      </c>
    </row>
    <row r="914" spans="1:27" hidden="1" x14ac:dyDescent="0.25">
      <c r="A914">
        <v>188</v>
      </c>
      <c r="B914">
        <v>604</v>
      </c>
      <c r="C914" t="s">
        <v>26</v>
      </c>
      <c r="D914" t="s">
        <v>100</v>
      </c>
      <c r="E914" t="e">
        <f t="shared" si="29"/>
        <v>#VALUE!</v>
      </c>
      <c r="H914">
        <v>30</v>
      </c>
      <c r="I914" t="s">
        <v>27</v>
      </c>
      <c r="J914" t="s">
        <v>28</v>
      </c>
      <c r="K914" s="2">
        <v>16295.9525438281</v>
      </c>
      <c r="L914" s="2">
        <v>135345913.379017</v>
      </c>
      <c r="M914" s="3">
        <v>3355.3654582722002</v>
      </c>
      <c r="N914" s="3">
        <v>88796268.3688685</v>
      </c>
      <c r="O914" s="4">
        <v>0.19602868456380901</v>
      </c>
      <c r="P914" s="4">
        <v>4.2407840766096799E-2</v>
      </c>
      <c r="Q914" s="5">
        <v>-2.8913881731234301E-2</v>
      </c>
      <c r="R914" s="5">
        <v>2.5680479598734198E-3</v>
      </c>
      <c r="S914" s="6">
        <v>0.45506872474760401</v>
      </c>
      <c r="T914" s="6">
        <v>0.106831889344203</v>
      </c>
      <c r="U914" s="7">
        <v>0.57992909962057204</v>
      </c>
      <c r="V914" s="7">
        <v>0.24361133903381699</v>
      </c>
      <c r="W914" s="8">
        <v>0.911319134793807</v>
      </c>
      <c r="X914" s="8">
        <v>8.0816569352500298E-2</v>
      </c>
      <c r="Y914" s="2">
        <v>53</v>
      </c>
      <c r="Z914" s="2" t="e">
        <f>VLOOKUP(E914,YieldData!T:U,2,FALSE)</f>
        <v>#VALUE!</v>
      </c>
      <c r="AA914">
        <f t="shared" si="28"/>
        <v>0.913534329143595</v>
      </c>
    </row>
    <row r="915" spans="1:27" hidden="1" x14ac:dyDescent="0.25">
      <c r="A915">
        <v>189</v>
      </c>
      <c r="B915">
        <v>605</v>
      </c>
      <c r="C915" t="s">
        <v>26</v>
      </c>
      <c r="D915" t="s">
        <v>100</v>
      </c>
      <c r="E915" t="e">
        <f t="shared" si="29"/>
        <v>#VALUE!</v>
      </c>
      <c r="H915">
        <v>30</v>
      </c>
      <c r="I915" t="s">
        <v>27</v>
      </c>
      <c r="J915" t="s">
        <v>28</v>
      </c>
      <c r="K915" s="2">
        <v>13099.869532788</v>
      </c>
      <c r="L915" s="2">
        <v>138078592.37587199</v>
      </c>
      <c r="M915" s="3">
        <v>7268.4420499113303</v>
      </c>
      <c r="N915" s="3">
        <v>108351109.363694</v>
      </c>
      <c r="O915" s="4">
        <v>0.11405094321645801</v>
      </c>
      <c r="P915" s="4">
        <v>4.7160009504977597E-2</v>
      </c>
      <c r="Q915" s="5">
        <v>-4.5122799817410901E-2</v>
      </c>
      <c r="R915" s="5">
        <v>2.3221634802665001E-3</v>
      </c>
      <c r="S915" s="6">
        <v>0.33585780808083698</v>
      </c>
      <c r="T915" s="6">
        <v>0.129236809196941</v>
      </c>
      <c r="U915" s="7">
        <v>0.45367619187361702</v>
      </c>
      <c r="V915" s="7">
        <v>0.24785410480047701</v>
      </c>
      <c r="W915" s="8">
        <v>0.85560228884432898</v>
      </c>
      <c r="X915" s="8">
        <v>0.123547012168588</v>
      </c>
      <c r="Y915" s="2">
        <v>38</v>
      </c>
      <c r="Z915" s="2" t="e">
        <f>VLOOKUP(E915,YieldData!T:U,2,FALSE)</f>
        <v>#VALUE!</v>
      </c>
      <c r="AA915">
        <f t="shared" si="28"/>
        <v>0.913534329143595</v>
      </c>
    </row>
    <row r="916" spans="1:27" hidden="1" x14ac:dyDescent="0.25">
      <c r="A916">
        <v>190</v>
      </c>
      <c r="B916">
        <v>606</v>
      </c>
      <c r="C916" t="s">
        <v>26</v>
      </c>
      <c r="D916" t="s">
        <v>100</v>
      </c>
      <c r="E916" t="e">
        <f t="shared" si="29"/>
        <v>#VALUE!</v>
      </c>
      <c r="H916">
        <v>30</v>
      </c>
      <c r="I916" t="s">
        <v>27</v>
      </c>
      <c r="J916" t="s">
        <v>28</v>
      </c>
      <c r="K916" s="2">
        <v>14312.1658452916</v>
      </c>
      <c r="L916" s="2">
        <v>134833702.29208201</v>
      </c>
      <c r="M916" s="3">
        <v>5197.5395156578197</v>
      </c>
      <c r="N916" s="3">
        <v>92658555.070848003</v>
      </c>
      <c r="O916" s="4">
        <v>0.156877821977666</v>
      </c>
      <c r="P916" s="4">
        <v>4.4578868985496199E-2</v>
      </c>
      <c r="Q916" s="5">
        <v>-3.3027167130142303E-2</v>
      </c>
      <c r="R916" s="5">
        <v>2.3452724213406302E-3</v>
      </c>
      <c r="S916" s="6">
        <v>0.394996948731895</v>
      </c>
      <c r="T916" s="6">
        <v>0.120877829629688</v>
      </c>
      <c r="U916" s="7">
        <v>0.51395129728946198</v>
      </c>
      <c r="V916" s="7">
        <v>0.24980536130382699</v>
      </c>
      <c r="W916" s="8">
        <v>0.772032178576605</v>
      </c>
      <c r="X916" s="8">
        <v>0.17599849381872301</v>
      </c>
      <c r="Y916" s="2">
        <v>40</v>
      </c>
      <c r="Z916" s="2" t="e">
        <f>VLOOKUP(E916,YieldData!T:U,2,FALSE)</f>
        <v>#VALUE!</v>
      </c>
      <c r="AA916">
        <f t="shared" si="28"/>
        <v>0.913534329143595</v>
      </c>
    </row>
    <row r="917" spans="1:27" hidden="1" x14ac:dyDescent="0.25">
      <c r="A917">
        <v>191</v>
      </c>
      <c r="B917">
        <v>607</v>
      </c>
      <c r="C917" t="s">
        <v>26</v>
      </c>
      <c r="D917" t="s">
        <v>100</v>
      </c>
      <c r="E917" t="e">
        <f t="shared" si="29"/>
        <v>#VALUE!</v>
      </c>
      <c r="H917">
        <v>30</v>
      </c>
      <c r="I917" t="s">
        <v>27</v>
      </c>
      <c r="J917" t="s">
        <v>28</v>
      </c>
      <c r="K917" s="2">
        <v>17705.0329145176</v>
      </c>
      <c r="L917" s="2">
        <v>144621917.54946899</v>
      </c>
      <c r="M917" s="3">
        <v>2950.7970497371398</v>
      </c>
      <c r="N917" s="3">
        <v>83910673.994039401</v>
      </c>
      <c r="O917" s="4">
        <v>0.20585308998440499</v>
      </c>
      <c r="P917" s="4">
        <v>3.9496992484430803E-2</v>
      </c>
      <c r="Q917" s="5">
        <v>-2.36203720518528E-2</v>
      </c>
      <c r="R917" s="5">
        <v>2.29052267934026E-3</v>
      </c>
      <c r="S917" s="6">
        <v>0.470863165248676</v>
      </c>
      <c r="T917" s="6">
        <v>9.9139799583383106E-2</v>
      </c>
      <c r="U917" s="7">
        <v>0.60428023173384804</v>
      </c>
      <c r="V917" s="7">
        <v>0.23912563326957001</v>
      </c>
      <c r="W917" s="8">
        <v>0.75366110065276404</v>
      </c>
      <c r="X917" s="8">
        <v>0.18565604601539601</v>
      </c>
      <c r="Y917" s="2">
        <v>34</v>
      </c>
      <c r="Z917" s="2" t="e">
        <f>VLOOKUP(E917,YieldData!T:U,2,FALSE)</f>
        <v>#VALUE!</v>
      </c>
      <c r="AA917">
        <f t="shared" si="28"/>
        <v>0.913534329143595</v>
      </c>
    </row>
    <row r="918" spans="1:27" hidden="1" x14ac:dyDescent="0.25">
      <c r="A918">
        <v>192</v>
      </c>
      <c r="B918">
        <v>608</v>
      </c>
      <c r="C918" t="s">
        <v>26</v>
      </c>
      <c r="D918" t="s">
        <v>100</v>
      </c>
      <c r="E918" t="e">
        <f t="shared" si="29"/>
        <v>#VALUE!</v>
      </c>
      <c r="H918">
        <v>30</v>
      </c>
      <c r="I918" t="s">
        <v>27</v>
      </c>
      <c r="J918" t="s">
        <v>28</v>
      </c>
      <c r="K918" s="2">
        <v>13945.340795714201</v>
      </c>
      <c r="L918" s="2">
        <v>133396233.494781</v>
      </c>
      <c r="M918" s="3">
        <v>5526.7706267575104</v>
      </c>
      <c r="N918" s="3">
        <v>92525673.438011706</v>
      </c>
      <c r="O918" s="4">
        <v>0.16173561891528701</v>
      </c>
      <c r="P918" s="4">
        <v>4.7549152694819297E-2</v>
      </c>
      <c r="Q918" s="5">
        <v>-3.2112567784650499E-2</v>
      </c>
      <c r="R918" s="5">
        <v>2.43431398754045E-3</v>
      </c>
      <c r="S918" s="6">
        <v>0.39550440743738402</v>
      </c>
      <c r="T918" s="6">
        <v>0.115557821032462</v>
      </c>
      <c r="U918" s="7">
        <v>0.49858698056176698</v>
      </c>
      <c r="V918" s="7">
        <v>0.24999800337585301</v>
      </c>
      <c r="W918" s="8">
        <v>0.85224047475703102</v>
      </c>
      <c r="X918" s="8">
        <v>0.12592664794293301</v>
      </c>
      <c r="Y918" s="2">
        <v>48</v>
      </c>
      <c r="Z918" s="2" t="e">
        <f>VLOOKUP(E918,YieldData!T:U,2,FALSE)</f>
        <v>#VALUE!</v>
      </c>
      <c r="AA918">
        <f t="shared" si="28"/>
        <v>0.913534329143595</v>
      </c>
    </row>
    <row r="919" spans="1:27" hidden="1" x14ac:dyDescent="0.25">
      <c r="A919">
        <v>193</v>
      </c>
      <c r="B919">
        <v>609</v>
      </c>
      <c r="C919" t="s">
        <v>26</v>
      </c>
      <c r="D919" t="s">
        <v>100</v>
      </c>
      <c r="E919" t="e">
        <f t="shared" si="29"/>
        <v>#VALUE!</v>
      </c>
      <c r="H919">
        <v>30</v>
      </c>
      <c r="I919" t="s">
        <v>27</v>
      </c>
      <c r="J919" t="s">
        <v>28</v>
      </c>
      <c r="K919" s="2">
        <v>15870.325579582101</v>
      </c>
      <c r="L919" s="2">
        <v>138090889.29674301</v>
      </c>
      <c r="M919" s="3">
        <v>3155.31237735064</v>
      </c>
      <c r="N919" s="3">
        <v>70635353.193647698</v>
      </c>
      <c r="O919" s="4">
        <v>0.20951207659179</v>
      </c>
      <c r="P919" s="4">
        <v>3.2383145099846598E-2</v>
      </c>
      <c r="Q919" s="5">
        <v>-2.3882282025082999E-2</v>
      </c>
      <c r="R919" s="5">
        <v>1.9023772252307299E-3</v>
      </c>
      <c r="S919" s="6">
        <v>0.470781804589682</v>
      </c>
      <c r="T919" s="6">
        <v>9.1480669159492295E-2</v>
      </c>
      <c r="U919" s="7">
        <v>0.56757459195342597</v>
      </c>
      <c r="V919" s="7">
        <v>0.245433674522261</v>
      </c>
      <c r="W919" s="8">
        <v>0.83400262518356805</v>
      </c>
      <c r="X919" s="8">
        <v>0.138442246370507</v>
      </c>
      <c r="Y919" s="2">
        <v>70</v>
      </c>
      <c r="Z919" s="2" t="e">
        <f>VLOOKUP(E919,YieldData!T:U,2,FALSE)</f>
        <v>#VALUE!</v>
      </c>
      <c r="AA919">
        <f t="shared" si="28"/>
        <v>0.913534329143595</v>
      </c>
    </row>
    <row r="920" spans="1:27" hidden="1" x14ac:dyDescent="0.25">
      <c r="A920">
        <v>176</v>
      </c>
      <c r="B920">
        <v>701</v>
      </c>
      <c r="C920" t="s">
        <v>26</v>
      </c>
      <c r="D920">
        <v>25106</v>
      </c>
      <c r="E920">
        <f t="shared" si="29"/>
        <v>25106701</v>
      </c>
      <c r="F920">
        <f>VLOOKUP(E920,YieldData!D:F,2,FALSE)</f>
        <v>1</v>
      </c>
      <c r="G920">
        <f>VLOOKUP($E920,YieldData!$D:$F,3,FALSE)</f>
        <v>1</v>
      </c>
      <c r="H920">
        <v>30</v>
      </c>
      <c r="I920" t="s">
        <v>27</v>
      </c>
      <c r="J920" t="s">
        <v>28</v>
      </c>
      <c r="K920" s="2">
        <v>14081.5706385831</v>
      </c>
      <c r="L920" s="2">
        <v>174225266.756414</v>
      </c>
      <c r="M920" s="3">
        <v>7557.4760796505398</v>
      </c>
      <c r="N920" s="3">
        <v>77556146.930979103</v>
      </c>
      <c r="O920" s="4">
        <v>0.12618609348081</v>
      </c>
      <c r="P920" s="4">
        <v>2.7416520901696599E-2</v>
      </c>
      <c r="Q920" s="5">
        <v>-4.6610695436012803E-2</v>
      </c>
      <c r="R920" s="5">
        <v>1.5144859275715199E-3</v>
      </c>
      <c r="S920" s="6">
        <v>0.38155945004210301</v>
      </c>
      <c r="T920" s="6">
        <v>8.4138744700571894E-2</v>
      </c>
      <c r="U920" s="7">
        <v>0.44372115806027501</v>
      </c>
      <c r="V920" s="7">
        <v>0.24683269195000401</v>
      </c>
      <c r="W920" s="8">
        <v>0.56292056616907704</v>
      </c>
      <c r="X920" s="8">
        <v>0.24604100235294701</v>
      </c>
      <c r="Y920" s="2">
        <v>19</v>
      </c>
      <c r="Z920" s="2">
        <f>VLOOKUP(E920,YieldData!T:U,2,FALSE)</f>
        <v>1542</v>
      </c>
      <c r="AA920">
        <f t="shared" si="28"/>
        <v>0.76417356330729402</v>
      </c>
    </row>
    <row r="921" spans="1:27" hidden="1" x14ac:dyDescent="0.25">
      <c r="A921">
        <v>177</v>
      </c>
      <c r="B921">
        <v>702</v>
      </c>
      <c r="C921" t="s">
        <v>26</v>
      </c>
      <c r="D921">
        <v>25106</v>
      </c>
      <c r="E921">
        <f t="shared" si="29"/>
        <v>25106702</v>
      </c>
      <c r="F921">
        <f>VLOOKUP(E921,YieldData!D:F,2,FALSE)</f>
        <v>2</v>
      </c>
      <c r="G921">
        <f>VLOOKUP($E921,YieldData!$D:$F,3,FALSE)</f>
        <v>1</v>
      </c>
      <c r="H921">
        <v>30</v>
      </c>
      <c r="I921" t="s">
        <v>27</v>
      </c>
      <c r="J921" t="s">
        <v>28</v>
      </c>
      <c r="K921" s="2">
        <v>14786.6646452246</v>
      </c>
      <c r="L921" s="2">
        <v>191172166.16055399</v>
      </c>
      <c r="M921" s="3">
        <v>8348.5653781218898</v>
      </c>
      <c r="N921" s="3">
        <v>85985786.3277805</v>
      </c>
      <c r="O921" s="4">
        <v>0.111325375231502</v>
      </c>
      <c r="P921" s="4">
        <v>2.59515882305127E-2</v>
      </c>
      <c r="Q921" s="5">
        <v>-4.3743669669074003E-2</v>
      </c>
      <c r="R921" s="5">
        <v>1.55711392396028E-3</v>
      </c>
      <c r="S921" s="6">
        <v>0.36414058311911801</v>
      </c>
      <c r="T921" s="6">
        <v>9.1081823868743597E-2</v>
      </c>
      <c r="U921" s="7">
        <v>0.42715443162288202</v>
      </c>
      <c r="V921" s="7">
        <v>0.24469352316760901</v>
      </c>
      <c r="W921" s="8">
        <v>0.87939457920062802</v>
      </c>
      <c r="X921" s="8">
        <v>0.10605975327329099</v>
      </c>
      <c r="Y921" s="2">
        <v>42</v>
      </c>
      <c r="Z921" s="2">
        <f>VLOOKUP(E921,YieldData!T:U,2,FALSE)</f>
        <v>1239</v>
      </c>
      <c r="AA921">
        <f t="shared" si="28"/>
        <v>0.65016756896107197</v>
      </c>
    </row>
    <row r="922" spans="1:27" hidden="1" x14ac:dyDescent="0.25">
      <c r="A922">
        <v>178</v>
      </c>
      <c r="B922">
        <v>703</v>
      </c>
      <c r="C922" t="s">
        <v>26</v>
      </c>
      <c r="D922">
        <v>25106</v>
      </c>
      <c r="E922">
        <f t="shared" si="29"/>
        <v>25106703</v>
      </c>
      <c r="F922">
        <f>VLOOKUP(E922,YieldData!D:F,2,FALSE)</f>
        <v>3</v>
      </c>
      <c r="G922">
        <f>VLOOKUP($E922,YieldData!$D:$F,3,FALSE)</f>
        <v>1</v>
      </c>
      <c r="H922">
        <v>30</v>
      </c>
      <c r="I922" t="s">
        <v>27</v>
      </c>
      <c r="J922" t="s">
        <v>28</v>
      </c>
      <c r="K922" s="2">
        <v>21528.204442661201</v>
      </c>
      <c r="L922" s="2">
        <v>167385933.57457</v>
      </c>
      <c r="M922" s="3">
        <v>2688.0143610240898</v>
      </c>
      <c r="N922" s="3">
        <v>72112134.974948004</v>
      </c>
      <c r="O922" s="4">
        <v>0.20645281057714199</v>
      </c>
      <c r="P922" s="4">
        <v>2.7485598885743201E-2</v>
      </c>
      <c r="Q922" s="5">
        <v>-3.1325362720402997E-2</v>
      </c>
      <c r="R922" s="5">
        <v>2.05184202928229E-3</v>
      </c>
      <c r="S922" s="6">
        <v>0.53140282291528396</v>
      </c>
      <c r="T922" s="6">
        <v>7.7840883937450395E-2</v>
      </c>
      <c r="U922" s="7">
        <v>0.69505641474564706</v>
      </c>
      <c r="V922" s="7">
        <v>0.21195299506687701</v>
      </c>
      <c r="W922" s="8">
        <v>0.87308206686930101</v>
      </c>
      <c r="X922" s="8">
        <v>0.11080977138051</v>
      </c>
      <c r="Y922" s="2">
        <v>58</v>
      </c>
      <c r="Z922" s="2">
        <f>VLOOKUP(E922,YieldData!T:U,2,FALSE)</f>
        <v>975</v>
      </c>
      <c r="AA922">
        <f t="shared" si="28"/>
        <v>0.87971551881344601</v>
      </c>
    </row>
    <row r="923" spans="1:27" hidden="1" x14ac:dyDescent="0.25">
      <c r="A923">
        <v>179</v>
      </c>
      <c r="B923">
        <v>704</v>
      </c>
      <c r="C923" t="s">
        <v>26</v>
      </c>
      <c r="D923">
        <v>25106</v>
      </c>
      <c r="E923">
        <f t="shared" si="29"/>
        <v>25106704</v>
      </c>
      <c r="F923">
        <f>VLOOKUP(E923,YieldData!D:F,2,FALSE)</f>
        <v>4</v>
      </c>
      <c r="G923">
        <f>VLOOKUP($E923,YieldData!$D:$F,3,FALSE)</f>
        <v>1</v>
      </c>
      <c r="H923">
        <v>30</v>
      </c>
      <c r="I923" t="s">
        <v>27</v>
      </c>
      <c r="J923" t="s">
        <v>28</v>
      </c>
      <c r="K923" s="2">
        <v>16385.089772326799</v>
      </c>
      <c r="L923" s="2">
        <v>205443813.21288899</v>
      </c>
      <c r="M923" s="3">
        <v>7269.3795952662704</v>
      </c>
      <c r="N923" s="3">
        <v>84404120.235548899</v>
      </c>
      <c r="O923" s="4">
        <v>9.6595443985937807E-2</v>
      </c>
      <c r="P923" s="4">
        <v>2.7883027292771E-2</v>
      </c>
      <c r="Q923" s="5">
        <v>-4.9022256200620201E-2</v>
      </c>
      <c r="R923" s="5">
        <v>1.76263575704656E-3</v>
      </c>
      <c r="S923" s="6">
        <v>0.352155104051458</v>
      </c>
      <c r="T923" s="6">
        <v>9.7506509771293007E-2</v>
      </c>
      <c r="U923" s="7">
        <v>0.44800169168957499</v>
      </c>
      <c r="V923" s="7">
        <v>0.24729617593301301</v>
      </c>
      <c r="W923" s="8">
        <v>0.87149302128859396</v>
      </c>
      <c r="X923" s="8">
        <v>0.111992935133823</v>
      </c>
      <c r="Y923" s="2">
        <v>56</v>
      </c>
      <c r="Z923" s="2">
        <f>VLOOKUP(E923,YieldData!T:U,2,FALSE)</f>
        <v>819</v>
      </c>
      <c r="AA923">
        <f t="shared" si="28"/>
        <v>0.63442830960101504</v>
      </c>
    </row>
    <row r="924" spans="1:27" hidden="1" x14ac:dyDescent="0.25">
      <c r="A924">
        <v>180</v>
      </c>
      <c r="B924">
        <v>705</v>
      </c>
      <c r="C924" t="s">
        <v>26</v>
      </c>
      <c r="D924">
        <v>25106</v>
      </c>
      <c r="E924">
        <f t="shared" si="29"/>
        <v>25106705</v>
      </c>
      <c r="F924">
        <f>VLOOKUP(E924,YieldData!D:F,2,FALSE)</f>
        <v>3</v>
      </c>
      <c r="G924">
        <f>VLOOKUP($E924,YieldData!$D:$F,3,FALSE)</f>
        <v>2</v>
      </c>
      <c r="H924">
        <v>30</v>
      </c>
      <c r="I924" t="s">
        <v>27</v>
      </c>
      <c r="J924" t="s">
        <v>28</v>
      </c>
      <c r="K924" s="2">
        <v>18162.8841621225</v>
      </c>
      <c r="L924" s="2">
        <v>170027872.31488299</v>
      </c>
      <c r="M924" s="3">
        <v>4930.43485739486</v>
      </c>
      <c r="N924" s="3">
        <v>83837135.216153398</v>
      </c>
      <c r="O924" s="4">
        <v>0.152130779449731</v>
      </c>
      <c r="P924" s="4">
        <v>3.0665776973738498E-2</v>
      </c>
      <c r="Q924" s="5">
        <v>-3.9455103460096702E-2</v>
      </c>
      <c r="R924" s="5">
        <v>2.0793637269539401E-3</v>
      </c>
      <c r="S924" s="6">
        <v>0.44311360398666699</v>
      </c>
      <c r="T924" s="6">
        <v>0.10013461850052</v>
      </c>
      <c r="U924" s="7">
        <v>0.59499476364161596</v>
      </c>
      <c r="V924" s="7">
        <v>0.24097599488077201</v>
      </c>
      <c r="W924" s="8">
        <v>0.96878611325115604</v>
      </c>
      <c r="X924" s="8">
        <v>3.02395800228927E-2</v>
      </c>
      <c r="Y924" s="2">
        <v>67</v>
      </c>
      <c r="Z924" s="2">
        <f>VLOOKUP(E924,YieldData!T:U,2,FALSE)</f>
        <v>1642</v>
      </c>
      <c r="AA924">
        <f t="shared" si="28"/>
        <v>0.883592151197785</v>
      </c>
    </row>
    <row r="925" spans="1:27" hidden="1" x14ac:dyDescent="0.25">
      <c r="A925">
        <v>181</v>
      </c>
      <c r="B925">
        <v>706</v>
      </c>
      <c r="C925" t="s">
        <v>26</v>
      </c>
      <c r="D925">
        <v>25106</v>
      </c>
      <c r="E925">
        <f t="shared" si="29"/>
        <v>25106706</v>
      </c>
      <c r="F925">
        <f>VLOOKUP(E925,YieldData!D:F,2,FALSE)</f>
        <v>2</v>
      </c>
      <c r="G925">
        <f>VLOOKUP($E925,YieldData!$D:$F,3,FALSE)</f>
        <v>2</v>
      </c>
      <c r="H925">
        <v>30</v>
      </c>
      <c r="I925" t="s">
        <v>27</v>
      </c>
      <c r="J925" t="s">
        <v>28</v>
      </c>
      <c r="K925" s="2">
        <v>15809.332888552301</v>
      </c>
      <c r="L925" s="2">
        <v>203457797.157529</v>
      </c>
      <c r="M925" s="3">
        <v>6956.1161598093604</v>
      </c>
      <c r="N925" s="3">
        <v>77076212.698470205</v>
      </c>
      <c r="O925" s="4">
        <v>9.8366641548143494E-2</v>
      </c>
      <c r="P925" s="4">
        <v>2.6063025599920801E-2</v>
      </c>
      <c r="Q925" s="5">
        <v>-4.6414604966676903E-2</v>
      </c>
      <c r="R925" s="5">
        <v>1.87341313433918E-3</v>
      </c>
      <c r="S925" s="6">
        <v>0.354784301851582</v>
      </c>
      <c r="T925" s="6">
        <v>9.8087886365092705E-2</v>
      </c>
      <c r="U925" s="7">
        <v>0.46111772272109802</v>
      </c>
      <c r="V925" s="7">
        <v>0.24848816851370201</v>
      </c>
      <c r="W925" s="8">
        <v>0.97051221945736699</v>
      </c>
      <c r="X925" s="8">
        <v>2.8618251341281101E-2</v>
      </c>
      <c r="Y925" s="2">
        <v>72</v>
      </c>
      <c r="Z925" s="2">
        <f>VLOOKUP(E925,YieldData!T:U,2,FALSE)</f>
        <v>1263</v>
      </c>
      <c r="AA925">
        <f t="shared" si="28"/>
        <v>0.73635303593109502</v>
      </c>
    </row>
    <row r="926" spans="1:27" hidden="1" x14ac:dyDescent="0.25">
      <c r="A926">
        <v>182</v>
      </c>
      <c r="B926">
        <v>707</v>
      </c>
      <c r="C926" t="s">
        <v>26</v>
      </c>
      <c r="D926">
        <v>25106</v>
      </c>
      <c r="E926">
        <f t="shared" si="29"/>
        <v>25106707</v>
      </c>
      <c r="F926">
        <f>VLOOKUP(E926,YieldData!D:F,2,FALSE)</f>
        <v>1</v>
      </c>
      <c r="G926">
        <f>VLOOKUP($E926,YieldData!$D:$F,3,FALSE)</f>
        <v>2</v>
      </c>
      <c r="H926">
        <v>30</v>
      </c>
      <c r="I926" t="s">
        <v>27</v>
      </c>
      <c r="J926" t="s">
        <v>28</v>
      </c>
      <c r="K926" s="2">
        <v>17937.5689152015</v>
      </c>
      <c r="L926" s="2">
        <v>193458920.138515</v>
      </c>
      <c r="M926" s="3">
        <v>5319.2423685218801</v>
      </c>
      <c r="N926" s="3">
        <v>80648940.250281394</v>
      </c>
      <c r="O926" s="4">
        <v>0.12829416469753499</v>
      </c>
      <c r="P926" s="4">
        <v>3.1393846568264397E-2</v>
      </c>
      <c r="Q926" s="5">
        <v>-4.8104793914354203E-2</v>
      </c>
      <c r="R926" s="5">
        <v>2.0185013353010901E-3</v>
      </c>
      <c r="S926" s="6">
        <v>0.41040781044697799</v>
      </c>
      <c r="T926" s="6">
        <v>9.6710132231981799E-2</v>
      </c>
      <c r="U926" s="7">
        <v>0.53097715584260297</v>
      </c>
      <c r="V926" s="7">
        <v>0.249040415815828</v>
      </c>
      <c r="W926" s="8">
        <v>0.89532853349917496</v>
      </c>
      <c r="X926" s="8">
        <v>9.3715350601461203E-2</v>
      </c>
      <c r="Y926" s="2">
        <v>54</v>
      </c>
      <c r="Z926" s="2">
        <f>VLOOKUP(E926,YieldData!T:U,2,FALSE)</f>
        <v>2142</v>
      </c>
      <c r="AA926">
        <f t="shared" si="28"/>
        <v>0.77565543967084505</v>
      </c>
    </row>
    <row r="927" spans="1:27" hidden="1" x14ac:dyDescent="0.25">
      <c r="A927">
        <v>183</v>
      </c>
      <c r="B927">
        <v>708</v>
      </c>
      <c r="C927" t="s">
        <v>26</v>
      </c>
      <c r="D927">
        <v>25106</v>
      </c>
      <c r="E927">
        <f t="shared" si="29"/>
        <v>25106708</v>
      </c>
      <c r="F927">
        <f>VLOOKUP(E927,YieldData!D:F,2,FALSE)</f>
        <v>4</v>
      </c>
      <c r="G927">
        <f>VLOOKUP($E927,YieldData!$D:$F,3,FALSE)</f>
        <v>2</v>
      </c>
      <c r="H927">
        <v>30</v>
      </c>
      <c r="I927" t="s">
        <v>27</v>
      </c>
      <c r="J927" t="s">
        <v>28</v>
      </c>
      <c r="K927" s="2">
        <v>14128.165396706299</v>
      </c>
      <c r="L927" s="2">
        <v>203356671.91511199</v>
      </c>
      <c r="M927" s="3">
        <v>7949.0483093318298</v>
      </c>
      <c r="N927" s="3">
        <v>78926315.806847706</v>
      </c>
      <c r="O927" s="4">
        <v>7.7786458015933396E-2</v>
      </c>
      <c r="P927" s="4">
        <v>2.9247299118531699E-2</v>
      </c>
      <c r="Q927" s="5">
        <v>-5.4529780883237601E-2</v>
      </c>
      <c r="R927" s="5">
        <v>1.57307943791955E-3</v>
      </c>
      <c r="S927" s="6">
        <v>0.32246526119528501</v>
      </c>
      <c r="T927" s="6">
        <v>0.10057641475052501</v>
      </c>
      <c r="U927" s="7">
        <v>0.40358866220779099</v>
      </c>
      <c r="V927" s="7">
        <v>0.24070485394517099</v>
      </c>
      <c r="W927" s="8">
        <v>0.63616842377595195</v>
      </c>
      <c r="X927" s="8">
        <v>0.23145816036653499</v>
      </c>
      <c r="Y927" s="2">
        <v>16</v>
      </c>
      <c r="Z927" s="2">
        <f>VLOOKUP(E927,YieldData!T:U,2,FALSE)</f>
        <v>1574</v>
      </c>
      <c r="AA927">
        <f t="shared" si="28"/>
        <v>0.61726430715098801</v>
      </c>
    </row>
    <row r="928" spans="1:27" hidden="1" x14ac:dyDescent="0.25">
      <c r="A928">
        <v>184</v>
      </c>
      <c r="B928">
        <v>709</v>
      </c>
      <c r="C928" t="s">
        <v>26</v>
      </c>
      <c r="D928">
        <v>25106</v>
      </c>
      <c r="E928">
        <f t="shared" si="29"/>
        <v>25106709</v>
      </c>
      <c r="F928">
        <f>VLOOKUP(E928,YieldData!D:F,2,FALSE)</f>
        <v>4</v>
      </c>
      <c r="G928">
        <f>VLOOKUP($E928,YieldData!$D:$F,3,FALSE)</f>
        <v>3</v>
      </c>
      <c r="H928">
        <v>30</v>
      </c>
      <c r="I928" t="s">
        <v>27</v>
      </c>
      <c r="J928" t="s">
        <v>28</v>
      </c>
      <c r="K928" s="2">
        <v>8729.57987705702</v>
      </c>
      <c r="L928" s="2">
        <v>149754590.58671099</v>
      </c>
      <c r="M928" s="3">
        <v>10927.423118573401</v>
      </c>
      <c r="N928" s="3">
        <v>55301275.465974703</v>
      </c>
      <c r="O928" s="4">
        <v>2.2086929745639101E-2</v>
      </c>
      <c r="P928" s="4">
        <v>1.92695949507703E-2</v>
      </c>
      <c r="Q928" s="5">
        <v>-6.3312760622027897E-2</v>
      </c>
      <c r="R928" s="5">
        <v>1.1993827113211601E-3</v>
      </c>
      <c r="S928" s="6">
        <v>0.20096950726899401</v>
      </c>
      <c r="T928" s="6">
        <v>7.6220417635528906E-2</v>
      </c>
      <c r="U928" s="7">
        <v>0.233017604286261</v>
      </c>
      <c r="V928" s="7">
        <v>0.178720400379107</v>
      </c>
      <c r="W928" s="8">
        <v>0.79989714395062905</v>
      </c>
      <c r="X928" s="8">
        <v>0.16006170305027401</v>
      </c>
      <c r="Y928" s="2">
        <v>30</v>
      </c>
      <c r="Z928" s="2">
        <f>VLOOKUP(E928,YieldData!T:U,2,FALSE)</f>
        <v>1301</v>
      </c>
      <c r="AA928">
        <f t="shared" si="28"/>
        <v>0.44834597077044502</v>
      </c>
    </row>
    <row r="929" spans="1:27" hidden="1" x14ac:dyDescent="0.25">
      <c r="A929">
        <v>167</v>
      </c>
      <c r="B929">
        <v>801</v>
      </c>
      <c r="C929" t="s">
        <v>26</v>
      </c>
      <c r="D929" t="s">
        <v>100</v>
      </c>
      <c r="E929" t="e">
        <f t="shared" si="29"/>
        <v>#VALUE!</v>
      </c>
      <c r="H929">
        <v>30</v>
      </c>
      <c r="I929" t="s">
        <v>27</v>
      </c>
      <c r="J929" t="s">
        <v>28</v>
      </c>
      <c r="K929" s="2">
        <v>12533.3334290122</v>
      </c>
      <c r="L929" s="2">
        <v>108994877.816983</v>
      </c>
      <c r="M929" s="3">
        <v>5773.4543637341203</v>
      </c>
      <c r="N929" s="3">
        <v>81127695.539981395</v>
      </c>
      <c r="O929" s="4">
        <v>0.21980646524966399</v>
      </c>
      <c r="P929" s="4">
        <v>3.4933532549061203E-2</v>
      </c>
      <c r="Q929" s="5">
        <v>-1.55228534672838E-2</v>
      </c>
      <c r="R929" s="5">
        <v>1.75714247004459E-3</v>
      </c>
      <c r="S929" s="6">
        <v>0.46911109210846602</v>
      </c>
      <c r="T929" s="6">
        <v>8.3978925098239204E-2</v>
      </c>
      <c r="U929" s="7">
        <v>0.49965914391302801</v>
      </c>
      <c r="V929" s="7">
        <v>0.249999883817175</v>
      </c>
      <c r="W929" s="8">
        <v>0.445308201975746</v>
      </c>
      <c r="X929" s="8">
        <v>0.24700880722868301</v>
      </c>
      <c r="Y929" s="2">
        <v>14</v>
      </c>
      <c r="Z929" s="2" t="e">
        <f>VLOOKUP(E929,YieldData!T:U,2,FALSE)</f>
        <v>#VALUE!</v>
      </c>
      <c r="AA929">
        <f t="shared" si="28"/>
        <v>0.913534329143595</v>
      </c>
    </row>
    <row r="930" spans="1:27" hidden="1" x14ac:dyDescent="0.25">
      <c r="A930">
        <v>168</v>
      </c>
      <c r="B930">
        <v>802</v>
      </c>
      <c r="C930" t="s">
        <v>26</v>
      </c>
      <c r="D930" t="s">
        <v>100</v>
      </c>
      <c r="E930" t="e">
        <f t="shared" si="29"/>
        <v>#VALUE!</v>
      </c>
      <c r="H930">
        <v>30</v>
      </c>
      <c r="I930" t="s">
        <v>27</v>
      </c>
      <c r="J930" t="s">
        <v>28</v>
      </c>
      <c r="K930" s="2">
        <v>11538.9020400794</v>
      </c>
      <c r="L930" s="2">
        <v>132915534.70103601</v>
      </c>
      <c r="M930" s="3">
        <v>9232.8005739902801</v>
      </c>
      <c r="N930" s="3">
        <v>95187061.755409598</v>
      </c>
      <c r="O930" s="4">
        <v>0.14788330050450499</v>
      </c>
      <c r="P930" s="4">
        <v>3.3632619052477497E-2</v>
      </c>
      <c r="Q930" s="5">
        <v>-3.3641363172114101E-2</v>
      </c>
      <c r="R930" s="5">
        <v>1.63619716168083E-3</v>
      </c>
      <c r="S930" s="6">
        <v>0.38045289415010503</v>
      </c>
      <c r="T930" s="6">
        <v>8.8080400039533796E-2</v>
      </c>
      <c r="U930" s="7">
        <v>0.38872239273033599</v>
      </c>
      <c r="V930" s="7">
        <v>0.23761729412025001</v>
      </c>
      <c r="W930" s="8">
        <v>0.61183125714629605</v>
      </c>
      <c r="X930" s="8">
        <v>0.23749376992486501</v>
      </c>
      <c r="Y930" s="2">
        <v>17</v>
      </c>
      <c r="Z930" s="2" t="e">
        <f>VLOOKUP(E930,YieldData!T:U,2,FALSE)</f>
        <v>#VALUE!</v>
      </c>
      <c r="AA930">
        <f t="shared" si="28"/>
        <v>0.913534329143595</v>
      </c>
    </row>
    <row r="931" spans="1:27" hidden="1" x14ac:dyDescent="0.25">
      <c r="A931">
        <v>169</v>
      </c>
      <c r="B931">
        <v>803</v>
      </c>
      <c r="C931" t="s">
        <v>26</v>
      </c>
      <c r="D931">
        <v>25106</v>
      </c>
      <c r="E931">
        <f t="shared" si="29"/>
        <v>25106803</v>
      </c>
      <c r="F931">
        <f>VLOOKUP(E931,YieldData!D:F,2,FALSE)</f>
        <v>1</v>
      </c>
      <c r="G931">
        <f>VLOOKUP($E931,YieldData!$D:$F,3,FALSE)</f>
        <v>4</v>
      </c>
      <c r="H931">
        <v>30</v>
      </c>
      <c r="I931" t="s">
        <v>27</v>
      </c>
      <c r="J931" t="s">
        <v>28</v>
      </c>
      <c r="K931" s="2">
        <v>18950.725076593899</v>
      </c>
      <c r="L931" s="2">
        <v>195946668.92146501</v>
      </c>
      <c r="M931" s="3">
        <v>3799.7780844454301</v>
      </c>
      <c r="N931" s="3">
        <v>78300629.601550594</v>
      </c>
      <c r="O931" s="4">
        <v>0.22024475155459899</v>
      </c>
      <c r="P931" s="4">
        <v>2.5066106916703801E-2</v>
      </c>
      <c r="Q931" s="5">
        <v>-1.2842816503610299E-2</v>
      </c>
      <c r="R931" s="5">
        <v>1.8279776324325999E-3</v>
      </c>
      <c r="S931" s="6">
        <v>0.51743846910929803</v>
      </c>
      <c r="T931" s="6">
        <v>7.1545221236034504E-2</v>
      </c>
      <c r="U931" s="7">
        <v>0.58821669989787495</v>
      </c>
      <c r="V931" s="7">
        <v>0.242217813859186</v>
      </c>
      <c r="W931" s="8">
        <v>0.63736717971162504</v>
      </c>
      <c r="X931" s="8">
        <v>0.23113025793788</v>
      </c>
      <c r="Y931" s="2">
        <v>24</v>
      </c>
      <c r="Z931" s="2">
        <f>VLOOKUP(E931,YieldData!T:U,2,FALSE)</f>
        <v>1371</v>
      </c>
      <c r="AA931">
        <f t="shared" si="28"/>
        <v>0.87296955549071098</v>
      </c>
    </row>
    <row r="932" spans="1:27" hidden="1" x14ac:dyDescent="0.25">
      <c r="A932">
        <v>170</v>
      </c>
      <c r="B932">
        <v>804</v>
      </c>
      <c r="C932" t="s">
        <v>26</v>
      </c>
      <c r="D932">
        <v>25106</v>
      </c>
      <c r="E932">
        <f t="shared" si="29"/>
        <v>25106804</v>
      </c>
      <c r="F932">
        <f>VLOOKUP(E932,YieldData!D:F,2,FALSE)</f>
        <v>3</v>
      </c>
      <c r="G932">
        <f>VLOOKUP($E932,YieldData!$D:$F,3,FALSE)</f>
        <v>4</v>
      </c>
      <c r="H932">
        <v>30</v>
      </c>
      <c r="I932" t="s">
        <v>27</v>
      </c>
      <c r="J932" t="s">
        <v>28</v>
      </c>
      <c r="K932" s="2">
        <v>21384.1651859308</v>
      </c>
      <c r="L932" s="2">
        <v>149407867.454748</v>
      </c>
      <c r="M932" s="3">
        <v>2165.8648940052099</v>
      </c>
      <c r="N932" s="3">
        <v>59124449.732886396</v>
      </c>
      <c r="O932" s="4">
        <v>0.24558085671086599</v>
      </c>
      <c r="P932" s="4">
        <v>2.1930643334711699E-2</v>
      </c>
      <c r="Q932" s="5">
        <v>-1.54196143413127E-2</v>
      </c>
      <c r="R932" s="5">
        <v>1.8457689631560699E-3</v>
      </c>
      <c r="S932" s="6">
        <v>0.57531858286912696</v>
      </c>
      <c r="T932" s="6">
        <v>5.9146013373222103E-2</v>
      </c>
      <c r="U932" s="7">
        <v>0.73431368258275298</v>
      </c>
      <c r="V932" s="7">
        <v>0.19509709815465801</v>
      </c>
      <c r="W932" s="8">
        <v>0.91938495652681296</v>
      </c>
      <c r="X932" s="8">
        <v>7.41162582389637E-2</v>
      </c>
      <c r="Y932" s="2">
        <v>63</v>
      </c>
      <c r="Z932" s="2">
        <f>VLOOKUP(E932,YieldData!T:U,2,FALSE)</f>
        <v>646</v>
      </c>
      <c r="AA932">
        <f t="shared" si="28"/>
        <v>0.89469691443577204</v>
      </c>
    </row>
    <row r="933" spans="1:27" hidden="1" x14ac:dyDescent="0.25">
      <c r="A933">
        <v>171</v>
      </c>
      <c r="B933">
        <v>805</v>
      </c>
      <c r="C933" t="s">
        <v>26</v>
      </c>
      <c r="D933">
        <v>25106</v>
      </c>
      <c r="E933">
        <f t="shared" si="29"/>
        <v>25106805</v>
      </c>
      <c r="F933">
        <f>VLOOKUP(E933,YieldData!D:F,2,FALSE)</f>
        <v>2</v>
      </c>
      <c r="G933">
        <f>VLOOKUP($E933,YieldData!$D:$F,3,FALSE)</f>
        <v>4</v>
      </c>
      <c r="H933">
        <v>30</v>
      </c>
      <c r="I933" t="s">
        <v>27</v>
      </c>
      <c r="J933" t="s">
        <v>28</v>
      </c>
      <c r="K933" s="2">
        <v>16433.657500797599</v>
      </c>
      <c r="L933" s="2">
        <v>182506118.971324</v>
      </c>
      <c r="M933" s="3">
        <v>5155.0157560877497</v>
      </c>
      <c r="N933" s="3">
        <v>84245011.731568396</v>
      </c>
      <c r="O933" s="4">
        <v>0.180315928878646</v>
      </c>
      <c r="P933" s="4">
        <v>3.00850565018713E-2</v>
      </c>
      <c r="Q933" s="5">
        <v>-1.7948837022372301E-2</v>
      </c>
      <c r="R933" s="5">
        <v>1.91707460533969E-3</v>
      </c>
      <c r="S933" s="6">
        <v>0.454695085853905</v>
      </c>
      <c r="T933" s="6">
        <v>8.53135192142771E-2</v>
      </c>
      <c r="U933" s="7">
        <v>0.53508061547522601</v>
      </c>
      <c r="V933" s="7">
        <v>0.24876935041756901</v>
      </c>
      <c r="W933" s="8">
        <v>0.52249300544838795</v>
      </c>
      <c r="X933" s="8">
        <v>0.24949406470552701</v>
      </c>
      <c r="Y933" s="2">
        <v>11</v>
      </c>
      <c r="Z933" s="2">
        <f>VLOOKUP(E933,YieldData!T:U,2,FALSE)</f>
        <v>1918</v>
      </c>
      <c r="AA933">
        <f t="shared" si="28"/>
        <v>0.80746058040370605</v>
      </c>
    </row>
    <row r="934" spans="1:27" hidden="1" x14ac:dyDescent="0.25">
      <c r="A934">
        <v>172</v>
      </c>
      <c r="B934">
        <v>806</v>
      </c>
      <c r="C934" t="s">
        <v>26</v>
      </c>
      <c r="D934">
        <v>25106</v>
      </c>
      <c r="E934">
        <f t="shared" si="29"/>
        <v>25106806</v>
      </c>
      <c r="F934">
        <f>VLOOKUP(E934,YieldData!D:F,2,FALSE)</f>
        <v>4</v>
      </c>
      <c r="G934">
        <f>VLOOKUP($E934,YieldData!$D:$F,3,FALSE)</f>
        <v>4</v>
      </c>
      <c r="H934">
        <v>30</v>
      </c>
      <c r="I934" t="s">
        <v>27</v>
      </c>
      <c r="J934" t="s">
        <v>28</v>
      </c>
      <c r="K934" s="2">
        <v>13771.146214550899</v>
      </c>
      <c r="L934" s="2">
        <v>193448339.726024</v>
      </c>
      <c r="M934" s="3">
        <v>7987.3574038000097</v>
      </c>
      <c r="N934" s="3">
        <v>76587759.046982005</v>
      </c>
      <c r="O934" s="4">
        <v>0.100449914681178</v>
      </c>
      <c r="P934" s="4">
        <v>2.56206632525143E-2</v>
      </c>
      <c r="Q934" s="5">
        <v>-4.0193540177642199E-2</v>
      </c>
      <c r="R934" s="5">
        <v>1.62295813154903E-3</v>
      </c>
      <c r="S934" s="6">
        <v>0.352954079056917</v>
      </c>
      <c r="T934" s="6">
        <v>8.5120618456952804E-2</v>
      </c>
      <c r="U934" s="7">
        <v>0.39852015490464798</v>
      </c>
      <c r="V934" s="7">
        <v>0.23970184103960901</v>
      </c>
      <c r="W934" s="8">
        <v>0.673826253593101</v>
      </c>
      <c r="X934" s="8">
        <v>0.219784433561833</v>
      </c>
      <c r="Y934" s="2">
        <v>21</v>
      </c>
      <c r="Z934" s="2">
        <f>VLOOKUP(E934,YieldData!T:U,2,FALSE)</f>
        <v>1642</v>
      </c>
      <c r="AA934">
        <f t="shared" si="28"/>
        <v>0.65630406430491595</v>
      </c>
    </row>
    <row r="935" spans="1:27" hidden="1" x14ac:dyDescent="0.25">
      <c r="A935">
        <v>173</v>
      </c>
      <c r="B935">
        <v>807</v>
      </c>
      <c r="C935" t="s">
        <v>26</v>
      </c>
      <c r="D935">
        <v>25106</v>
      </c>
      <c r="E935">
        <f t="shared" si="29"/>
        <v>25106807</v>
      </c>
      <c r="F935">
        <f>VLOOKUP(E935,YieldData!D:F,2,FALSE)</f>
        <v>2</v>
      </c>
      <c r="G935">
        <f>VLOOKUP($E935,YieldData!$D:$F,3,FALSE)</f>
        <v>3</v>
      </c>
      <c r="H935">
        <v>30</v>
      </c>
      <c r="I935" t="s">
        <v>27</v>
      </c>
      <c r="J935" t="s">
        <v>28</v>
      </c>
      <c r="K935" s="2">
        <v>18847.240876178399</v>
      </c>
      <c r="L935" s="2">
        <v>189969779.52963099</v>
      </c>
      <c r="M935" s="3">
        <v>3518.0894800081201</v>
      </c>
      <c r="N935" s="3">
        <v>77715205.295178294</v>
      </c>
      <c r="O935" s="4">
        <v>0.20476578545226501</v>
      </c>
      <c r="P935" s="4">
        <v>3.0653553481864E-2</v>
      </c>
      <c r="Q935" s="5">
        <v>-2.2593980082552801E-2</v>
      </c>
      <c r="R935" s="5">
        <v>2.2192587672384399E-3</v>
      </c>
      <c r="S935" s="6">
        <v>0.50820305251814202</v>
      </c>
      <c r="T935" s="6">
        <v>8.0569706361358906E-2</v>
      </c>
      <c r="U935" s="7">
        <v>0.61118670424725396</v>
      </c>
      <c r="V935" s="7">
        <v>0.23763751679877701</v>
      </c>
      <c r="W935" s="8">
        <v>0.72682428984521197</v>
      </c>
      <c r="X935" s="8">
        <v>0.198550741536133</v>
      </c>
      <c r="Y935" s="2">
        <v>32</v>
      </c>
      <c r="Z935" s="2">
        <f>VLOOKUP(E935,YieldData!T:U,2,FALSE)</f>
        <v>1837</v>
      </c>
      <c r="AA935">
        <f t="shared" si="28"/>
        <v>0.88711774211185002</v>
      </c>
    </row>
    <row r="936" spans="1:27" hidden="1" x14ac:dyDescent="0.25">
      <c r="A936">
        <v>174</v>
      </c>
      <c r="B936">
        <v>808</v>
      </c>
      <c r="C936" t="s">
        <v>26</v>
      </c>
      <c r="D936">
        <v>25106</v>
      </c>
      <c r="E936">
        <f t="shared" si="29"/>
        <v>25106808</v>
      </c>
      <c r="F936">
        <f>VLOOKUP(E936,YieldData!D:F,2,FALSE)</f>
        <v>3</v>
      </c>
      <c r="G936">
        <f>VLOOKUP($E936,YieldData!$D:$F,3,FALSE)</f>
        <v>3</v>
      </c>
      <c r="H936">
        <v>30</v>
      </c>
      <c r="I936" t="s">
        <v>27</v>
      </c>
      <c r="J936" t="s">
        <v>28</v>
      </c>
      <c r="K936" s="2">
        <v>16486.9981341038</v>
      </c>
      <c r="L936" s="2">
        <v>175984770.52626199</v>
      </c>
      <c r="M936" s="3">
        <v>5815.6539952687999</v>
      </c>
      <c r="N936" s="3">
        <v>72311029.402984798</v>
      </c>
      <c r="O936" s="4">
        <v>0.168982142920409</v>
      </c>
      <c r="P936" s="4">
        <v>2.79537679586375E-2</v>
      </c>
      <c r="Q936" s="5">
        <v>-3.23516076371737E-2</v>
      </c>
      <c r="R936" s="5">
        <v>2.1047508034771102E-3</v>
      </c>
      <c r="S936" s="6">
        <v>0.45900862592618102</v>
      </c>
      <c r="T936" s="6">
        <v>7.8625350513170905E-2</v>
      </c>
      <c r="U936" s="7">
        <v>0.546105693993018</v>
      </c>
      <c r="V936" s="7">
        <v>0.24787426498151499</v>
      </c>
      <c r="W936" s="8">
        <v>0.83111410753413095</v>
      </c>
      <c r="X936" s="8">
        <v>0.14036344779200099</v>
      </c>
      <c r="Y936" s="2">
        <v>44</v>
      </c>
      <c r="Z936" s="2">
        <f>VLOOKUP(E936,YieldData!T:U,2,FALSE)</f>
        <v>963</v>
      </c>
      <c r="AA936">
        <f t="shared" si="28"/>
        <v>0.87328453796889305</v>
      </c>
    </row>
    <row r="937" spans="1:27" hidden="1" x14ac:dyDescent="0.25">
      <c r="A937">
        <v>175</v>
      </c>
      <c r="B937">
        <v>809</v>
      </c>
      <c r="C937" t="s">
        <v>26</v>
      </c>
      <c r="D937">
        <v>25106</v>
      </c>
      <c r="E937">
        <f t="shared" si="29"/>
        <v>25106809</v>
      </c>
      <c r="F937">
        <f>VLOOKUP(E937,YieldData!D:F,2,FALSE)</f>
        <v>1</v>
      </c>
      <c r="G937">
        <f>VLOOKUP($E937,YieldData!$D:$F,3,FALSE)</f>
        <v>3</v>
      </c>
      <c r="H937">
        <v>30</v>
      </c>
      <c r="I937" t="s">
        <v>27</v>
      </c>
      <c r="J937" t="s">
        <v>28</v>
      </c>
      <c r="K937" s="2">
        <v>11971.4430399426</v>
      </c>
      <c r="L937" s="2">
        <v>185534742.21599501</v>
      </c>
      <c r="M937" s="3">
        <v>7916.9460528703703</v>
      </c>
      <c r="N937" s="3">
        <v>66507565.054403499</v>
      </c>
      <c r="O937" s="4">
        <v>0.11190979217442699</v>
      </c>
      <c r="P937" s="4">
        <v>2.37936604663294E-2</v>
      </c>
      <c r="Q937" s="5">
        <v>-3.8072897205942299E-2</v>
      </c>
      <c r="R937" s="5">
        <v>1.55274152077816E-3</v>
      </c>
      <c r="S937" s="6">
        <v>0.346111969091149</v>
      </c>
      <c r="T937" s="6">
        <v>7.9950022810186899E-2</v>
      </c>
      <c r="U937" s="7">
        <v>0.36682611815355198</v>
      </c>
      <c r="V937" s="7">
        <v>0.23226471719370001</v>
      </c>
      <c r="W937" s="8">
        <v>0.82447705500340895</v>
      </c>
      <c r="X937" s="8">
        <v>0.14471464077627499</v>
      </c>
      <c r="Y937" s="2">
        <v>32</v>
      </c>
      <c r="Z937" s="2">
        <f>VLOOKUP(E937,YieldData!T:U,2,FALSE)</f>
        <v>1538</v>
      </c>
      <c r="AA937">
        <f t="shared" si="28"/>
        <v>0.67314914483913402</v>
      </c>
    </row>
    <row r="938" spans="1:27" hidden="1" x14ac:dyDescent="0.25">
      <c r="A938">
        <v>1</v>
      </c>
      <c r="B938">
        <v>101</v>
      </c>
      <c r="C938" t="s">
        <v>20</v>
      </c>
      <c r="D938">
        <v>25111</v>
      </c>
      <c r="E938">
        <f t="shared" si="29"/>
        <v>25111101</v>
      </c>
      <c r="F938">
        <f>VLOOKUP(E938,YieldData!D:F,2,FALSE)</f>
        <v>1</v>
      </c>
      <c r="G938">
        <f>VLOOKUP($E938,YieldData!$D:$F,3,FALSE)</f>
        <v>1</v>
      </c>
      <c r="H938">
        <v>37</v>
      </c>
      <c r="I938" t="s">
        <v>21</v>
      </c>
      <c r="J938" t="s">
        <v>22</v>
      </c>
      <c r="K938" s="2">
        <v>14885.9210180113</v>
      </c>
      <c r="L938" s="2">
        <v>128411818.468825</v>
      </c>
      <c r="M938" s="3">
        <v>6270.0539478119199</v>
      </c>
      <c r="N938" s="3">
        <v>119462923.70824599</v>
      </c>
      <c r="O938" s="4">
        <v>0.21365269510651999</v>
      </c>
      <c r="P938" s="4">
        <v>5.4471821858598703E-2</v>
      </c>
      <c r="Q938" s="5">
        <v>-2.0035710756721298E-2</v>
      </c>
      <c r="R938" s="5">
        <v>2.9523454443369499E-3</v>
      </c>
      <c r="S938" s="6">
        <v>0.470806800502372</v>
      </c>
      <c r="T938" s="6">
        <v>0.111388046794079</v>
      </c>
      <c r="U938" s="7">
        <v>0.54147630779534495</v>
      </c>
      <c r="V938" s="7">
        <v>0.248279715891744</v>
      </c>
      <c r="W938" s="8">
        <v>0.70672375439519697</v>
      </c>
      <c r="X938" s="8">
        <v>0.20726528936897401</v>
      </c>
      <c r="Y938" s="2">
        <v>28</v>
      </c>
      <c r="Z938" s="2">
        <f>VLOOKUP(E938,YieldData!T:U,2,FALSE)</f>
        <v>2712.5032092426181</v>
      </c>
      <c r="AA938">
        <f t="shared" si="28"/>
        <v>0.63921348180219795</v>
      </c>
    </row>
    <row r="939" spans="1:27" hidden="1" x14ac:dyDescent="0.25">
      <c r="A939">
        <v>2</v>
      </c>
      <c r="B939">
        <v>102</v>
      </c>
      <c r="C939" t="s">
        <v>20</v>
      </c>
      <c r="D939">
        <v>25111</v>
      </c>
      <c r="E939">
        <f t="shared" si="29"/>
        <v>25111102</v>
      </c>
      <c r="F939">
        <f>VLOOKUP(E939,YieldData!D:F,2,FALSE)</f>
        <v>2</v>
      </c>
      <c r="G939">
        <f>VLOOKUP($E939,YieldData!$D:$F,3,FALSE)</f>
        <v>1</v>
      </c>
      <c r="H939">
        <v>37</v>
      </c>
      <c r="I939" t="s">
        <v>21</v>
      </c>
      <c r="J939" t="s">
        <v>22</v>
      </c>
      <c r="K939" s="2">
        <v>17006.2459810535</v>
      </c>
      <c r="L939" s="2">
        <v>198330148.598445</v>
      </c>
      <c r="M939" s="3">
        <v>7749.3463472274598</v>
      </c>
      <c r="N939" s="3">
        <v>136294133.52824199</v>
      </c>
      <c r="O939" s="4">
        <v>0.15057383520862999</v>
      </c>
      <c r="P939" s="4">
        <v>4.8530858162421399E-2</v>
      </c>
      <c r="Q939" s="5">
        <v>-3.9852083671124403E-2</v>
      </c>
      <c r="R939" s="5">
        <v>3.1209739570936799E-3</v>
      </c>
      <c r="S939" s="6">
        <v>0.41903021330743501</v>
      </c>
      <c r="T939" s="6">
        <v>0.116839668813774</v>
      </c>
      <c r="U939" s="7">
        <v>0.50606430314339002</v>
      </c>
      <c r="V939" s="7">
        <v>0.249963224227715</v>
      </c>
      <c r="W939" s="8">
        <v>0.62086742261135797</v>
      </c>
      <c r="X939" s="8">
        <v>0.23539106615138</v>
      </c>
      <c r="Y939" s="2">
        <v>18</v>
      </c>
      <c r="Z939" s="2">
        <f>VLOOKUP(E939,YieldData!T:U,2,FALSE)</f>
        <v>2630.8777278562261</v>
      </c>
      <c r="AA939">
        <f t="shared" si="28"/>
        <v>0.50606430314339002</v>
      </c>
    </row>
    <row r="940" spans="1:27" hidden="1" x14ac:dyDescent="0.25">
      <c r="A940">
        <v>3</v>
      </c>
      <c r="B940">
        <v>103</v>
      </c>
      <c r="C940" t="s">
        <v>20</v>
      </c>
      <c r="D940">
        <v>25111</v>
      </c>
      <c r="E940">
        <f t="shared" si="29"/>
        <v>25111103</v>
      </c>
      <c r="F940">
        <f>VLOOKUP(E940,YieldData!D:F,2,FALSE)</f>
        <v>3</v>
      </c>
      <c r="G940">
        <f>VLOOKUP($E940,YieldData!$D:$F,3,FALSE)</f>
        <v>1</v>
      </c>
      <c r="H940">
        <v>37</v>
      </c>
      <c r="I940" t="s">
        <v>21</v>
      </c>
      <c r="J940" t="s">
        <v>22</v>
      </c>
      <c r="K940" s="2">
        <v>22873.364443583901</v>
      </c>
      <c r="L940" s="2">
        <v>243848973.98413599</v>
      </c>
      <c r="M940" s="3">
        <v>4102.1584021693898</v>
      </c>
      <c r="N940" s="3">
        <v>108365696.579501</v>
      </c>
      <c r="O940" s="4">
        <v>0.186562974669406</v>
      </c>
      <c r="P940" s="4">
        <v>3.1758141331478702E-2</v>
      </c>
      <c r="Q940" s="5">
        <v>-4.1519541567520198E-2</v>
      </c>
      <c r="R940" s="5">
        <v>2.5342149201401701E-3</v>
      </c>
      <c r="S940" s="6">
        <v>0.50747505697563</v>
      </c>
      <c r="T940" s="6">
        <v>8.7298679455456205E-2</v>
      </c>
      <c r="U940" s="7">
        <v>0.63922159829603598</v>
      </c>
      <c r="V940" s="7">
        <v>0.23061734656805799</v>
      </c>
      <c r="W940" s="8">
        <v>0.527910707864236</v>
      </c>
      <c r="X940" s="8">
        <v>0.249220992386292</v>
      </c>
      <c r="Y940" s="2">
        <v>16</v>
      </c>
      <c r="Z940" s="2">
        <f>VLOOKUP(E940,YieldData!T:U,2,FALSE)</f>
        <v>2507.2143774069318</v>
      </c>
      <c r="AA940">
        <f t="shared" si="28"/>
        <v>0.65522869037246001</v>
      </c>
    </row>
    <row r="941" spans="1:27" hidden="1" x14ac:dyDescent="0.25">
      <c r="A941">
        <v>4</v>
      </c>
      <c r="B941">
        <v>104</v>
      </c>
      <c r="C941" t="s">
        <v>20</v>
      </c>
      <c r="D941">
        <v>25111</v>
      </c>
      <c r="E941">
        <f t="shared" si="29"/>
        <v>25111104</v>
      </c>
      <c r="F941">
        <f>VLOOKUP(E941,YieldData!D:F,2,FALSE)</f>
        <v>4</v>
      </c>
      <c r="G941">
        <f>VLOOKUP($E941,YieldData!$D:$F,3,FALSE)</f>
        <v>1</v>
      </c>
      <c r="H941">
        <v>37</v>
      </c>
      <c r="I941" t="s">
        <v>21</v>
      </c>
      <c r="J941" t="s">
        <v>22</v>
      </c>
      <c r="K941" s="2">
        <v>26032.366930083899</v>
      </c>
      <c r="L941" s="2">
        <v>203474491.51713201</v>
      </c>
      <c r="M941" s="3">
        <v>506.81071699808598</v>
      </c>
      <c r="N941" s="3">
        <v>82900304.397112101</v>
      </c>
      <c r="O941" s="4">
        <v>0.220809895524194</v>
      </c>
      <c r="P941" s="4">
        <v>3.0532242906198201E-2</v>
      </c>
      <c r="Q941" s="5">
        <v>-4.1568217519357402E-2</v>
      </c>
      <c r="R941" s="5">
        <v>3.1551324546823401E-3</v>
      </c>
      <c r="S941" s="6">
        <v>0.57137774508282502</v>
      </c>
      <c r="T941" s="6">
        <v>8.0999849775069702E-2</v>
      </c>
      <c r="U941" s="7">
        <v>0.76285214453761196</v>
      </c>
      <c r="V941" s="7">
        <v>0.18090875011173299</v>
      </c>
      <c r="W941" s="8">
        <v>0.73597152681426103</v>
      </c>
      <c r="X941" s="8">
        <v>0.19431743853330799</v>
      </c>
      <c r="Y941" s="2">
        <v>29</v>
      </c>
      <c r="Z941" s="2">
        <f>VLOOKUP(E941,YieldData!T:U,2,FALSE)</f>
        <v>1929.165596919127</v>
      </c>
      <c r="AA941">
        <f t="shared" si="28"/>
        <v>0.87333663091604397</v>
      </c>
    </row>
    <row r="942" spans="1:27" hidden="1" x14ac:dyDescent="0.25">
      <c r="A942">
        <v>5</v>
      </c>
      <c r="B942">
        <v>105</v>
      </c>
      <c r="C942" t="s">
        <v>20</v>
      </c>
      <c r="D942">
        <v>25111</v>
      </c>
      <c r="E942">
        <f t="shared" si="29"/>
        <v>25111105</v>
      </c>
      <c r="F942">
        <f>VLOOKUP(E942,YieldData!D:F,2,FALSE)</f>
        <v>5</v>
      </c>
      <c r="G942">
        <f>VLOOKUP($E942,YieldData!$D:$F,3,FALSE)</f>
        <v>1</v>
      </c>
      <c r="H942">
        <v>37</v>
      </c>
      <c r="I942" t="s">
        <v>21</v>
      </c>
      <c r="J942" t="s">
        <v>22</v>
      </c>
      <c r="K942" s="2">
        <v>27760.2200338168</v>
      </c>
      <c r="L942" s="2">
        <v>186550356.35819301</v>
      </c>
      <c r="M942" s="3">
        <v>-467.078840667968</v>
      </c>
      <c r="N942" s="3">
        <v>57311500.839602403</v>
      </c>
      <c r="O942" s="4">
        <v>0.23215359226837401</v>
      </c>
      <c r="P942" s="4">
        <v>2.0171278422950599E-2</v>
      </c>
      <c r="Q942" s="5">
        <v>-3.7239318760165001E-2</v>
      </c>
      <c r="R942" s="5">
        <v>3.1034688194152898E-3</v>
      </c>
      <c r="S942" s="6">
        <v>0.59617849219593599</v>
      </c>
      <c r="T942" s="6">
        <v>5.3700455829941901E-2</v>
      </c>
      <c r="U942" s="7">
        <v>0.79423264907135904</v>
      </c>
      <c r="V942" s="7">
        <v>0.16342714822038801</v>
      </c>
      <c r="W942" s="8">
        <v>0.70934717708911299</v>
      </c>
      <c r="X942" s="8">
        <v>0.20617375944490801</v>
      </c>
      <c r="Y942" s="2">
        <v>33</v>
      </c>
      <c r="Z942" s="2">
        <f>VLOOKUP(E942,YieldData!T:U,2,FALSE)</f>
        <v>2572.6668806161747</v>
      </c>
      <c r="AA942">
        <f t="shared" si="28"/>
        <v>0.89342757117379001</v>
      </c>
    </row>
    <row r="943" spans="1:27" hidden="1" x14ac:dyDescent="0.25">
      <c r="A943">
        <v>6</v>
      </c>
      <c r="B943">
        <v>106</v>
      </c>
      <c r="C943" t="s">
        <v>20</v>
      </c>
      <c r="D943">
        <v>25111</v>
      </c>
      <c r="E943">
        <f t="shared" si="29"/>
        <v>25111106</v>
      </c>
      <c r="F943">
        <f>VLOOKUP(E943,YieldData!D:F,2,FALSE)</f>
        <v>6</v>
      </c>
      <c r="G943">
        <f>VLOOKUP($E943,YieldData!$D:$F,3,FALSE)</f>
        <v>1</v>
      </c>
      <c r="H943">
        <v>37</v>
      </c>
      <c r="I943" t="s">
        <v>21</v>
      </c>
      <c r="J943" t="s">
        <v>22</v>
      </c>
      <c r="K943" s="2">
        <v>25863.980697925199</v>
      </c>
      <c r="L943" s="2">
        <v>194586143.32547399</v>
      </c>
      <c r="M943" s="3">
        <v>795.64105127070695</v>
      </c>
      <c r="N943" s="3">
        <v>101725434.97269499</v>
      </c>
      <c r="O943" s="4">
        <v>0.229517255907946</v>
      </c>
      <c r="P943" s="4">
        <v>3.6099232661912201E-2</v>
      </c>
      <c r="Q943" s="5">
        <v>-3.2041404722477997E-2</v>
      </c>
      <c r="R943" s="5">
        <v>3.2222479669910902E-3</v>
      </c>
      <c r="S943" s="6">
        <v>0.57098012542259302</v>
      </c>
      <c r="T943" s="6">
        <v>8.7398896282158994E-2</v>
      </c>
      <c r="U943" s="7">
        <v>0.76707339521918605</v>
      </c>
      <c r="V943" s="7">
        <v>0.17867180156614501</v>
      </c>
      <c r="W943" s="8">
        <v>0.53260840981407898</v>
      </c>
      <c r="X943" s="8">
        <v>0.24893669160955201</v>
      </c>
      <c r="Y943" s="2">
        <v>23</v>
      </c>
      <c r="Z943" s="2">
        <f>VLOOKUP(E943,YieldData!T:U,2,FALSE)</f>
        <v>1598.7419768934531</v>
      </c>
      <c r="AA943">
        <f t="shared" si="28"/>
        <v>0.86296398564159205</v>
      </c>
    </row>
    <row r="944" spans="1:27" hidden="1" x14ac:dyDescent="0.25">
      <c r="A944">
        <v>7</v>
      </c>
      <c r="B944">
        <v>107</v>
      </c>
      <c r="C944" t="s">
        <v>20</v>
      </c>
      <c r="D944">
        <v>25111</v>
      </c>
      <c r="E944">
        <f t="shared" si="29"/>
        <v>25111107</v>
      </c>
      <c r="F944">
        <f>VLOOKUP(E944,YieldData!D:F,2,FALSE)</f>
        <v>7</v>
      </c>
      <c r="G944">
        <f>VLOOKUP($E944,YieldData!$D:$F,3,FALSE)</f>
        <v>1</v>
      </c>
      <c r="H944">
        <v>37</v>
      </c>
      <c r="I944" t="s">
        <v>21</v>
      </c>
      <c r="J944" t="s">
        <v>22</v>
      </c>
      <c r="K944" s="2">
        <v>27357.4100826225</v>
      </c>
      <c r="L944" s="2">
        <v>189198928.89276999</v>
      </c>
      <c r="M944" s="3">
        <v>195.44607095847601</v>
      </c>
      <c r="N944" s="3">
        <v>80894736.370218605</v>
      </c>
      <c r="O944" s="4">
        <v>0.25547541211104502</v>
      </c>
      <c r="P944" s="4">
        <v>2.8894850024168701E-2</v>
      </c>
      <c r="Q944" s="5">
        <v>-1.6845556723176999E-2</v>
      </c>
      <c r="R944" s="5">
        <v>3.3907562270569002E-3</v>
      </c>
      <c r="S944" s="6">
        <v>0.61100096497263801</v>
      </c>
      <c r="T944" s="6">
        <v>6.5707080975623403E-2</v>
      </c>
      <c r="U944" s="7">
        <v>0.81505457465837605</v>
      </c>
      <c r="V944" s="7">
        <v>0.15074061498680499</v>
      </c>
      <c r="W944" s="8">
        <v>0.83330696876406996</v>
      </c>
      <c r="X944" s="8">
        <v>0.13890646457354</v>
      </c>
      <c r="Y944" s="2">
        <v>55</v>
      </c>
      <c r="Z944" s="2">
        <f>VLOOKUP(E944,YieldData!T:U,2,FALSE)</f>
        <v>1100.0449293966624</v>
      </c>
      <c r="AA944">
        <f t="shared" si="28"/>
        <v>0.90252597766042897</v>
      </c>
    </row>
    <row r="945" spans="1:27" hidden="1" x14ac:dyDescent="0.25">
      <c r="A945">
        <v>8</v>
      </c>
      <c r="B945">
        <v>108</v>
      </c>
      <c r="C945" t="s">
        <v>20</v>
      </c>
      <c r="D945">
        <v>25111</v>
      </c>
      <c r="E945">
        <f t="shared" si="29"/>
        <v>25111108</v>
      </c>
      <c r="F945">
        <f>VLOOKUP(E945,YieldData!D:F,2,FALSE)</f>
        <v>8</v>
      </c>
      <c r="G945">
        <f>VLOOKUP($E945,YieldData!$D:$F,3,FALSE)</f>
        <v>1</v>
      </c>
      <c r="H945">
        <v>37</v>
      </c>
      <c r="I945" t="s">
        <v>21</v>
      </c>
      <c r="J945" t="s">
        <v>22</v>
      </c>
      <c r="K945" s="2">
        <v>26268.2089338037</v>
      </c>
      <c r="L945" s="2">
        <v>190313891.808265</v>
      </c>
      <c r="M945" s="3">
        <v>864.75489597520095</v>
      </c>
      <c r="N945" s="3">
        <v>88363672.0400704</v>
      </c>
      <c r="O945" s="4">
        <v>0.26033691404574399</v>
      </c>
      <c r="P945" s="4">
        <v>3.2146934237391997E-2</v>
      </c>
      <c r="Q945" s="5">
        <v>-9.2681291449360909E-3</v>
      </c>
      <c r="R945" s="5">
        <v>2.8162037616249599E-3</v>
      </c>
      <c r="S945" s="6">
        <v>0.60256091014315105</v>
      </c>
      <c r="T945" s="6">
        <v>7.8629348127848803E-2</v>
      </c>
      <c r="U945" s="7">
        <v>0.76827124319799101</v>
      </c>
      <c r="V945" s="7">
        <v>0.17803054007279701</v>
      </c>
      <c r="W945" s="8">
        <v>0.47206840877832901</v>
      </c>
      <c r="X945" s="8">
        <v>0.249219826211766</v>
      </c>
      <c r="Y945" s="2">
        <v>12</v>
      </c>
      <c r="Z945" s="2">
        <f>VLOOKUP(E945,YieldData!T:U,2,FALSE)</f>
        <v>1751.4040436456994</v>
      </c>
      <c r="AA945">
        <f t="shared" si="28"/>
        <v>0.80795082163274101</v>
      </c>
    </row>
    <row r="946" spans="1:27" hidden="1" x14ac:dyDescent="0.25">
      <c r="A946">
        <v>9</v>
      </c>
      <c r="B946">
        <v>109</v>
      </c>
      <c r="C946" t="s">
        <v>20</v>
      </c>
      <c r="D946">
        <v>25111</v>
      </c>
      <c r="E946">
        <f t="shared" si="29"/>
        <v>25111109</v>
      </c>
      <c r="F946">
        <f>VLOOKUP(E946,YieldData!D:F,2,FALSE)</f>
        <v>9</v>
      </c>
      <c r="G946">
        <f>VLOOKUP($E946,YieldData!$D:$F,3,FALSE)</f>
        <v>1</v>
      </c>
      <c r="H946">
        <v>37</v>
      </c>
      <c r="I946" t="s">
        <v>21</v>
      </c>
      <c r="J946" t="s">
        <v>22</v>
      </c>
      <c r="K946" s="2">
        <v>22658.070528997399</v>
      </c>
      <c r="L946" s="2">
        <v>222397341.53151101</v>
      </c>
      <c r="M946" s="3">
        <v>3862.7650813687301</v>
      </c>
      <c r="N946" s="3">
        <v>113110634.53594001</v>
      </c>
      <c r="O946" s="4">
        <v>0.20691822458996201</v>
      </c>
      <c r="P946" s="4">
        <v>3.2495201350824399E-2</v>
      </c>
      <c r="Q946" s="5">
        <v>-2.60272310805734E-2</v>
      </c>
      <c r="R946" s="5">
        <v>2.4826531136584299E-3</v>
      </c>
      <c r="S946" s="6">
        <v>0.52766892405397703</v>
      </c>
      <c r="T946" s="6">
        <v>8.6481031690552101E-2</v>
      </c>
      <c r="U946" s="7">
        <v>0.63873174582291803</v>
      </c>
      <c r="V946" s="7">
        <v>0.230753502700726</v>
      </c>
      <c r="W946" s="8">
        <v>0.66650321129994905</v>
      </c>
      <c r="X946" s="8">
        <v>0.222276680627125</v>
      </c>
      <c r="Y946" s="2">
        <v>28</v>
      </c>
      <c r="Z946" s="2">
        <f>VLOOKUP(E946,YieldData!T:U,2,FALSE)</f>
        <v>2836.1071887034655</v>
      </c>
      <c r="AA946">
        <f t="shared" si="28"/>
        <v>0.78055665195498003</v>
      </c>
    </row>
    <row r="947" spans="1:27" hidden="1" x14ac:dyDescent="0.25">
      <c r="A947">
        <v>10</v>
      </c>
      <c r="B947">
        <v>110</v>
      </c>
      <c r="C947" t="s">
        <v>20</v>
      </c>
      <c r="D947">
        <v>25111</v>
      </c>
      <c r="E947">
        <f t="shared" si="29"/>
        <v>25111110</v>
      </c>
      <c r="F947">
        <f>VLOOKUP(E947,YieldData!D:F,2,FALSE)</f>
        <v>10</v>
      </c>
      <c r="G947">
        <f>VLOOKUP($E947,YieldData!$D:$F,3,FALSE)</f>
        <v>1</v>
      </c>
      <c r="H947">
        <v>37</v>
      </c>
      <c r="I947" t="s">
        <v>21</v>
      </c>
      <c r="J947" t="s">
        <v>22</v>
      </c>
      <c r="K947" s="2">
        <v>25664.568079889999</v>
      </c>
      <c r="L947" s="2">
        <v>221128350.60233399</v>
      </c>
      <c r="M947" s="3">
        <v>1175.7113724594501</v>
      </c>
      <c r="N947" s="3">
        <v>77379060.630131394</v>
      </c>
      <c r="O947" s="4">
        <v>0.23872950998574199</v>
      </c>
      <c r="P947" s="4">
        <v>2.3038864190565601E-2</v>
      </c>
      <c r="Q947" s="5">
        <v>-2.5479131052919001E-2</v>
      </c>
      <c r="R947" s="5">
        <v>2.9811563683697401E-3</v>
      </c>
      <c r="S947" s="6">
        <v>0.59133670785731796</v>
      </c>
      <c r="T947" s="6">
        <v>6.3119258047218005E-2</v>
      </c>
      <c r="U947" s="7">
        <v>0.74319201100281096</v>
      </c>
      <c r="V947" s="7">
        <v>0.190857645784276</v>
      </c>
      <c r="W947" s="8">
        <v>0.62485200023919196</v>
      </c>
      <c r="X947" s="8">
        <v>0.234411978036453</v>
      </c>
      <c r="Y947" s="2">
        <v>27</v>
      </c>
      <c r="Z947" s="2">
        <f>VLOOKUP(E947,YieldData!T:U,2,FALSE)</f>
        <v>1890.8279845956356</v>
      </c>
      <c r="AA947">
        <f t="shared" si="28"/>
        <v>0.82046498277841595</v>
      </c>
    </row>
    <row r="948" spans="1:27" hidden="1" x14ac:dyDescent="0.25">
      <c r="A948">
        <v>11</v>
      </c>
      <c r="B948">
        <v>201</v>
      </c>
      <c r="C948" t="s">
        <v>20</v>
      </c>
      <c r="D948">
        <v>25111</v>
      </c>
      <c r="E948">
        <f t="shared" si="29"/>
        <v>25111201</v>
      </c>
      <c r="F948">
        <f>VLOOKUP(E948,YieldData!D:F,2,FALSE)</f>
        <v>14</v>
      </c>
      <c r="G948">
        <f>VLOOKUP($E948,YieldData!$D:$F,3,FALSE)</f>
        <v>2</v>
      </c>
      <c r="H948">
        <v>37</v>
      </c>
      <c r="I948" t="s">
        <v>21</v>
      </c>
      <c r="J948" t="s">
        <v>22</v>
      </c>
      <c r="K948" s="2">
        <v>15782.3849959785</v>
      </c>
      <c r="L948" s="2">
        <v>145055679.69096401</v>
      </c>
      <c r="M948" s="3">
        <v>6565.1861278958604</v>
      </c>
      <c r="N948" s="3">
        <v>112498146.896089</v>
      </c>
      <c r="O948" s="4">
        <v>0.15188512751914601</v>
      </c>
      <c r="P948" s="4">
        <v>4.9748901582064402E-2</v>
      </c>
      <c r="Q948" s="5">
        <v>-4.8697651426565798E-2</v>
      </c>
      <c r="R948" s="5">
        <v>2.1310333987634598E-3</v>
      </c>
      <c r="S948" s="6">
        <v>0.421816029938409</v>
      </c>
      <c r="T948" s="6">
        <v>0.120601902312757</v>
      </c>
      <c r="U948" s="7">
        <v>0.52640815033269195</v>
      </c>
      <c r="V948" s="7">
        <v>0.24930260959614101</v>
      </c>
      <c r="W948" s="8">
        <v>0.79479148894684204</v>
      </c>
      <c r="X948" s="8">
        <v>0.16309797804425899</v>
      </c>
      <c r="Y948" s="2">
        <v>34</v>
      </c>
      <c r="Z948" s="2">
        <f>VLOOKUP(E948,YieldData!T:U,2,FALSE)</f>
        <v>2873.0102695763803</v>
      </c>
      <c r="AA948">
        <f t="shared" si="28"/>
        <v>0.73810771612085502</v>
      </c>
    </row>
    <row r="949" spans="1:27" hidden="1" x14ac:dyDescent="0.25">
      <c r="A949">
        <v>12</v>
      </c>
      <c r="B949">
        <v>202</v>
      </c>
      <c r="C949" t="s">
        <v>20</v>
      </c>
      <c r="D949">
        <v>25111</v>
      </c>
      <c r="E949">
        <f t="shared" si="29"/>
        <v>25111202</v>
      </c>
      <c r="F949">
        <f>VLOOKUP(E949,YieldData!D:F,2,FALSE)</f>
        <v>5</v>
      </c>
      <c r="G949">
        <f>VLOOKUP($E949,YieldData!$D:$F,3,FALSE)</f>
        <v>2</v>
      </c>
      <c r="H949">
        <v>37</v>
      </c>
      <c r="I949" t="s">
        <v>21</v>
      </c>
      <c r="J949" t="s">
        <v>22</v>
      </c>
      <c r="K949" s="2">
        <v>13521.4191264412</v>
      </c>
      <c r="L949" s="2">
        <v>116459722.26759499</v>
      </c>
      <c r="M949" s="3">
        <v>7371.3929806348397</v>
      </c>
      <c r="N949" s="3">
        <v>119082110.251314</v>
      </c>
      <c r="O949" s="4">
        <v>0.14506562886458199</v>
      </c>
      <c r="P949" s="4">
        <v>5.8976252613917701E-2</v>
      </c>
      <c r="Q949" s="5">
        <v>-3.5044425119332499E-2</v>
      </c>
      <c r="R949" s="5">
        <v>3.45334101814884E-3</v>
      </c>
      <c r="S949" s="6">
        <v>0.37780254279518499</v>
      </c>
      <c r="T949" s="6">
        <v>0.12920326274664001</v>
      </c>
      <c r="U949" s="7">
        <v>0.49367315696311498</v>
      </c>
      <c r="V949" s="7">
        <v>0.249959971057087</v>
      </c>
      <c r="W949" s="8">
        <v>0.48931971487346299</v>
      </c>
      <c r="X949" s="8">
        <v>0.24988593150955399</v>
      </c>
      <c r="Y949" s="2">
        <v>14</v>
      </c>
      <c r="Z949" s="2">
        <f>VLOOKUP(E949,YieldData!T:U,2,FALSE)</f>
        <v>2254.9277920410782</v>
      </c>
      <c r="AA949">
        <f t="shared" si="28"/>
        <v>0.59069923211252795</v>
      </c>
    </row>
    <row r="950" spans="1:27" hidden="1" x14ac:dyDescent="0.25">
      <c r="A950">
        <v>13</v>
      </c>
      <c r="B950">
        <v>203</v>
      </c>
      <c r="C950" t="s">
        <v>20</v>
      </c>
      <c r="D950">
        <v>25111</v>
      </c>
      <c r="E950">
        <f t="shared" si="29"/>
        <v>25111203</v>
      </c>
      <c r="F950">
        <f>VLOOKUP(E950,YieldData!D:F,2,FALSE)</f>
        <v>7</v>
      </c>
      <c r="G950">
        <f>VLOOKUP($E950,YieldData!$D:$F,3,FALSE)</f>
        <v>2</v>
      </c>
      <c r="H950">
        <v>37</v>
      </c>
      <c r="I950" t="s">
        <v>21</v>
      </c>
      <c r="J950" t="s">
        <v>22</v>
      </c>
      <c r="K950" s="2">
        <v>12085.8081246562</v>
      </c>
      <c r="L950" s="2">
        <v>102552205.133414</v>
      </c>
      <c r="M950" s="3">
        <v>7037.6020173365796</v>
      </c>
      <c r="N950" s="3">
        <v>109092542.96080101</v>
      </c>
      <c r="O950" s="4">
        <v>0.14733734515657501</v>
      </c>
      <c r="P950" s="4">
        <v>6.15138120308443E-2</v>
      </c>
      <c r="Q950" s="5">
        <v>-3.33480326111016E-2</v>
      </c>
      <c r="R950" s="5">
        <v>4.0215803156323201E-3</v>
      </c>
      <c r="S950" s="6">
        <v>0.35576885729046198</v>
      </c>
      <c r="T950" s="6">
        <v>0.129308708614219</v>
      </c>
      <c r="U950" s="7">
        <v>0.47946712587596602</v>
      </c>
      <c r="V950" s="7">
        <v>0.24957840108031201</v>
      </c>
      <c r="W950" s="8">
        <v>0.69979192078639596</v>
      </c>
      <c r="X950" s="8">
        <v>0.21008318838833701</v>
      </c>
      <c r="Y950" s="2">
        <v>34</v>
      </c>
      <c r="Z950" s="2">
        <f>VLOOKUP(E950,YieldData!T:U,2,FALSE)</f>
        <v>1622.7968549422335</v>
      </c>
      <c r="AA950">
        <f t="shared" si="28"/>
        <v>0.52829037852060001</v>
      </c>
    </row>
    <row r="951" spans="1:27" hidden="1" x14ac:dyDescent="0.25">
      <c r="A951">
        <v>14</v>
      </c>
      <c r="B951">
        <v>204</v>
      </c>
      <c r="C951" t="s">
        <v>20</v>
      </c>
      <c r="D951">
        <v>25111</v>
      </c>
      <c r="E951">
        <f t="shared" si="29"/>
        <v>25111204</v>
      </c>
      <c r="F951">
        <f>VLOOKUP(E951,YieldData!D:F,2,FALSE)</f>
        <v>9</v>
      </c>
      <c r="G951">
        <f>VLOOKUP($E951,YieldData!$D:$F,3,FALSE)</f>
        <v>2</v>
      </c>
      <c r="H951">
        <v>37</v>
      </c>
      <c r="I951" t="s">
        <v>21</v>
      </c>
      <c r="J951" t="s">
        <v>22</v>
      </c>
      <c r="K951" s="2">
        <v>12533.346776218999</v>
      </c>
      <c r="L951" s="2">
        <v>144892537.72863001</v>
      </c>
      <c r="M951" s="3">
        <v>8968.3651292411996</v>
      </c>
      <c r="N951" s="3">
        <v>103478197.474023</v>
      </c>
      <c r="O951" s="4">
        <v>2.8189663813355598E-2</v>
      </c>
      <c r="P951" s="4">
        <v>4.6280918883341703E-2</v>
      </c>
      <c r="Q951" s="5">
        <v>-7.1088575105703003E-2</v>
      </c>
      <c r="R951" s="5">
        <v>2.0587871644983302E-3</v>
      </c>
      <c r="S951" s="6">
        <v>0.22122667162920101</v>
      </c>
      <c r="T951" s="6">
        <v>0.13549616756904301</v>
      </c>
      <c r="U951" s="7">
        <v>0.36990659347230698</v>
      </c>
      <c r="V951" s="7">
        <v>0.23307570557818499</v>
      </c>
      <c r="W951" s="8">
        <v>0.77178189994378898</v>
      </c>
      <c r="X951" s="8">
        <v>0.176134598863392</v>
      </c>
      <c r="Y951" s="2">
        <v>49</v>
      </c>
      <c r="Z951" s="2">
        <f>VLOOKUP(E951,YieldData!T:U,2,FALSE)</f>
        <v>2654.4849165596916</v>
      </c>
      <c r="AA951">
        <f t="shared" si="28"/>
        <v>0.53304470543210503</v>
      </c>
    </row>
    <row r="952" spans="1:27" hidden="1" x14ac:dyDescent="0.25">
      <c r="A952">
        <v>15</v>
      </c>
      <c r="B952">
        <v>205</v>
      </c>
      <c r="C952" t="s">
        <v>20</v>
      </c>
      <c r="D952">
        <v>25111</v>
      </c>
      <c r="E952">
        <f t="shared" si="29"/>
        <v>25111205</v>
      </c>
      <c r="F952">
        <f>VLOOKUP(E952,YieldData!D:F,2,FALSE)</f>
        <v>3</v>
      </c>
      <c r="G952">
        <f>VLOOKUP($E952,YieldData!$D:$F,3,FALSE)</f>
        <v>2</v>
      </c>
      <c r="H952">
        <v>37</v>
      </c>
      <c r="I952" t="s">
        <v>21</v>
      </c>
      <c r="J952" t="s">
        <v>22</v>
      </c>
      <c r="K952" s="2">
        <v>12982.7886150512</v>
      </c>
      <c r="L952" s="2">
        <v>149961964.08779699</v>
      </c>
      <c r="M952" s="3">
        <v>8763.8823240541406</v>
      </c>
      <c r="N952" s="3">
        <v>97521167.111430705</v>
      </c>
      <c r="O952" s="4">
        <v>3.1619250253708299E-2</v>
      </c>
      <c r="P952" s="4">
        <v>4.2239875130393303E-2</v>
      </c>
      <c r="Q952" s="5">
        <v>-7.0315827926052704E-2</v>
      </c>
      <c r="R952" s="5">
        <v>2.1646224091886402E-3</v>
      </c>
      <c r="S952" s="6">
        <v>0.22512723399882101</v>
      </c>
      <c r="T952" s="6">
        <v>0.12892666008351</v>
      </c>
      <c r="U952" s="7">
        <v>0.37381536507303997</v>
      </c>
      <c r="V952" s="7">
        <v>0.234077437908185</v>
      </c>
      <c r="W952" s="8">
        <v>0.92799412196914</v>
      </c>
      <c r="X952" s="8">
        <v>6.6821031559794103E-2</v>
      </c>
      <c r="Y952" s="2">
        <v>75</v>
      </c>
      <c r="Z952" s="2">
        <f>VLOOKUP(E952,YieldData!T:U,2,FALSE)</f>
        <v>2797.6251604621311</v>
      </c>
      <c r="AA952">
        <f t="shared" si="28"/>
        <v>0.57540285422529902</v>
      </c>
    </row>
    <row r="953" spans="1:27" hidden="1" x14ac:dyDescent="0.25">
      <c r="A953">
        <v>16</v>
      </c>
      <c r="B953">
        <v>206</v>
      </c>
      <c r="C953" t="s">
        <v>20</v>
      </c>
      <c r="D953">
        <v>25111</v>
      </c>
      <c r="E953">
        <f t="shared" si="29"/>
        <v>25111206</v>
      </c>
      <c r="F953">
        <f>VLOOKUP(E953,YieldData!D:F,2,FALSE)</f>
        <v>13</v>
      </c>
      <c r="G953">
        <f>VLOOKUP($E953,YieldData!$D:$F,3,FALSE)</f>
        <v>2</v>
      </c>
      <c r="H953">
        <v>37</v>
      </c>
      <c r="I953" t="s">
        <v>21</v>
      </c>
      <c r="J953" t="s">
        <v>22</v>
      </c>
      <c r="K953" s="2">
        <v>13765.8764066443</v>
      </c>
      <c r="L953" s="2">
        <v>111864253.618129</v>
      </c>
      <c r="M953" s="3">
        <v>5979.6612215446503</v>
      </c>
      <c r="N953" s="3">
        <v>118559337.713798</v>
      </c>
      <c r="O953" s="4">
        <v>0.153670252656819</v>
      </c>
      <c r="P953" s="4">
        <v>5.5838216251303099E-2</v>
      </c>
      <c r="Q953" s="5">
        <v>-3.1495211899748798E-2</v>
      </c>
      <c r="R953" s="5">
        <v>3.5944755246849801E-3</v>
      </c>
      <c r="S953" s="6">
        <v>0.37366652083048202</v>
      </c>
      <c r="T953" s="6">
        <v>0.13814280676690599</v>
      </c>
      <c r="U953" s="7">
        <v>0.52520299924660097</v>
      </c>
      <c r="V953" s="7">
        <v>0.24936480882877499</v>
      </c>
      <c r="W953" s="8">
        <v>0.78066514392317699</v>
      </c>
      <c r="X953" s="8">
        <v>0.171227076986428</v>
      </c>
      <c r="Y953" s="2">
        <v>37</v>
      </c>
      <c r="Z953" s="2">
        <f>VLOOKUP(E953,YieldData!T:U,2,FALSE)</f>
        <v>1323.0712451861359</v>
      </c>
      <c r="AA953">
        <f t="shared" si="28"/>
        <v>0.92605835924419999</v>
      </c>
    </row>
    <row r="954" spans="1:27" hidden="1" x14ac:dyDescent="0.25">
      <c r="A954">
        <v>17</v>
      </c>
      <c r="B954">
        <v>207</v>
      </c>
      <c r="C954" t="s">
        <v>20</v>
      </c>
      <c r="D954">
        <v>25111</v>
      </c>
      <c r="E954">
        <f t="shared" si="29"/>
        <v>25111207</v>
      </c>
      <c r="F954">
        <f>VLOOKUP(E954,YieldData!D:F,2,FALSE)</f>
        <v>14</v>
      </c>
      <c r="G954">
        <f>VLOOKUP($E954,YieldData!$D:$F,3,FALSE)</f>
        <v>1</v>
      </c>
      <c r="H954">
        <v>37</v>
      </c>
      <c r="I954" t="s">
        <v>21</v>
      </c>
      <c r="J954" t="s">
        <v>22</v>
      </c>
      <c r="K954" s="2">
        <v>15074.9727763792</v>
      </c>
      <c r="L954" s="2">
        <v>160275792.87825701</v>
      </c>
      <c r="M954" s="3">
        <v>7276.9428963365499</v>
      </c>
      <c r="N954" s="3">
        <v>131705233.607556</v>
      </c>
      <c r="O954" s="4">
        <v>0.103309126152626</v>
      </c>
      <c r="P954" s="4">
        <v>4.7398252661617499E-2</v>
      </c>
      <c r="Q954" s="5">
        <v>-4.5106229061060502E-2</v>
      </c>
      <c r="R954" s="5">
        <v>2.9181965749874501E-3</v>
      </c>
      <c r="S954" s="6">
        <v>0.327613985360307</v>
      </c>
      <c r="T954" s="6">
        <v>0.13398741881095699</v>
      </c>
      <c r="U954" s="7">
        <v>0.47368088147857701</v>
      </c>
      <c r="V954" s="7">
        <v>0.24930730400057399</v>
      </c>
      <c r="W954" s="8">
        <v>0.56749611000771705</v>
      </c>
      <c r="X954" s="8">
        <v>0.24544427513377601</v>
      </c>
      <c r="Y954" s="2">
        <v>20</v>
      </c>
      <c r="Z954" s="2">
        <f>VLOOKUP(E954,YieldData!T:U,2,FALSE)</f>
        <v>2191.5661103979464</v>
      </c>
      <c r="AA954">
        <f t="shared" si="28"/>
        <v>0.61661964346714904</v>
      </c>
    </row>
    <row r="955" spans="1:27" hidden="1" x14ac:dyDescent="0.25">
      <c r="A955">
        <v>18</v>
      </c>
      <c r="B955">
        <v>208</v>
      </c>
      <c r="C955" t="s">
        <v>20</v>
      </c>
      <c r="D955">
        <v>25111</v>
      </c>
      <c r="E955">
        <f t="shared" si="29"/>
        <v>25111208</v>
      </c>
      <c r="F955">
        <f>VLOOKUP(E955,YieldData!D:F,2,FALSE)</f>
        <v>13</v>
      </c>
      <c r="G955">
        <f>VLOOKUP($E955,YieldData!$D:$F,3,FALSE)</f>
        <v>1</v>
      </c>
      <c r="H955">
        <v>37</v>
      </c>
      <c r="I955" t="s">
        <v>21</v>
      </c>
      <c r="J955" t="s">
        <v>22</v>
      </c>
      <c r="K955" s="2">
        <v>14505.8546654866</v>
      </c>
      <c r="L955" s="2">
        <v>154892945.17776799</v>
      </c>
      <c r="M955" s="3">
        <v>8040.3801862884502</v>
      </c>
      <c r="N955" s="3">
        <v>132013228.73795199</v>
      </c>
      <c r="O955" s="4">
        <v>0.100082903197553</v>
      </c>
      <c r="P955" s="4">
        <v>5.2885887054124101E-2</v>
      </c>
      <c r="Q955" s="5">
        <v>-4.5242595954416501E-2</v>
      </c>
      <c r="R955" s="5">
        <v>2.9602737489624401E-3</v>
      </c>
      <c r="S955" s="6">
        <v>0.31560505935187</v>
      </c>
      <c r="T955" s="6">
        <v>0.13640379733606101</v>
      </c>
      <c r="U955" s="7">
        <v>0.45843997416700599</v>
      </c>
      <c r="V955" s="7">
        <v>0.24827276425258901</v>
      </c>
      <c r="W955" s="8">
        <v>0.61787499701006998</v>
      </c>
      <c r="X955" s="8">
        <v>0.23610548507972801</v>
      </c>
      <c r="Y955" s="2">
        <v>21</v>
      </c>
      <c r="Z955" s="2">
        <f>VLOOKUP(E955,YieldData!T:U,2,FALSE)</f>
        <v>2785.418806161746</v>
      </c>
      <c r="AA955">
        <f t="shared" si="28"/>
        <v>0.53164133047877604</v>
      </c>
    </row>
    <row r="956" spans="1:27" hidden="1" x14ac:dyDescent="0.25">
      <c r="A956">
        <v>19</v>
      </c>
      <c r="B956">
        <v>209</v>
      </c>
      <c r="C956" t="s">
        <v>20</v>
      </c>
      <c r="D956">
        <v>25111</v>
      </c>
      <c r="E956">
        <f t="shared" si="29"/>
        <v>25111209</v>
      </c>
      <c r="F956">
        <f>VLOOKUP(E956,YieldData!D:F,2,FALSE)</f>
        <v>12</v>
      </c>
      <c r="G956">
        <f>VLOOKUP($E956,YieldData!$D:$F,3,FALSE)</f>
        <v>1</v>
      </c>
      <c r="H956">
        <v>37</v>
      </c>
      <c r="I956" t="s">
        <v>21</v>
      </c>
      <c r="J956" t="s">
        <v>22</v>
      </c>
      <c r="K956" s="2">
        <v>16020.9260456508</v>
      </c>
      <c r="L956" s="2">
        <v>95122798.078725502</v>
      </c>
      <c r="M956" s="3">
        <v>2872.4664286582802</v>
      </c>
      <c r="N956" s="3">
        <v>79698593.401697606</v>
      </c>
      <c r="O956" s="4">
        <v>0.27733913679579503</v>
      </c>
      <c r="P956" s="4">
        <v>3.6851290750038797E-2</v>
      </c>
      <c r="Q956" s="5">
        <v>4.0664249829839103E-3</v>
      </c>
      <c r="R956" s="5">
        <v>2.58070344096855E-3</v>
      </c>
      <c r="S956" s="6">
        <v>0.53895262968530699</v>
      </c>
      <c r="T956" s="6">
        <v>8.4313948608560799E-2</v>
      </c>
      <c r="U956" s="7">
        <v>0.66810610734114695</v>
      </c>
      <c r="V956" s="7">
        <v>0.22174033667485701</v>
      </c>
      <c r="W956" s="8">
        <v>0.684318322023442</v>
      </c>
      <c r="X956" s="8">
        <v>0.216026756166774</v>
      </c>
      <c r="Y956" s="2">
        <v>29</v>
      </c>
      <c r="Z956" s="2">
        <f>VLOOKUP(E956,YieldData!T:U,2,FALSE)</f>
        <v>2428.5847240051348</v>
      </c>
      <c r="AA956">
        <f t="shared" si="28"/>
        <v>0.86303736242041396</v>
      </c>
    </row>
    <row r="957" spans="1:27" hidden="1" x14ac:dyDescent="0.25">
      <c r="A957">
        <v>20</v>
      </c>
      <c r="B957">
        <v>210</v>
      </c>
      <c r="C957" t="s">
        <v>20</v>
      </c>
      <c r="D957">
        <v>25111</v>
      </c>
      <c r="E957">
        <f t="shared" si="29"/>
        <v>25111210</v>
      </c>
      <c r="F957">
        <f>VLOOKUP(E957,YieldData!D:F,2,FALSE)</f>
        <v>11</v>
      </c>
      <c r="G957">
        <f>VLOOKUP($E957,YieldData!$D:$F,3,FALSE)</f>
        <v>1</v>
      </c>
      <c r="H957">
        <v>37</v>
      </c>
      <c r="I957" t="s">
        <v>21</v>
      </c>
      <c r="J957" t="s">
        <v>22</v>
      </c>
      <c r="K957" s="2">
        <v>16215.968928530499</v>
      </c>
      <c r="L957" s="2">
        <v>143482031.75486499</v>
      </c>
      <c r="M957" s="3">
        <v>4371.6950170396103</v>
      </c>
      <c r="N957" s="3">
        <v>84347448.193936497</v>
      </c>
      <c r="O957" s="4">
        <v>0.18963076726710701</v>
      </c>
      <c r="P957" s="4">
        <v>3.2518207774964697E-2</v>
      </c>
      <c r="Q957" s="5">
        <v>-2.7823735509486001E-2</v>
      </c>
      <c r="R957" s="5">
        <v>2.1020193455136798E-3</v>
      </c>
      <c r="S957" s="6">
        <v>0.44738899752489902</v>
      </c>
      <c r="T957" s="6">
        <v>9.0600129644337404E-2</v>
      </c>
      <c r="U957" s="7">
        <v>0.56536841703459595</v>
      </c>
      <c r="V957" s="7">
        <v>0.245726970054224</v>
      </c>
      <c r="W957" s="8">
        <v>0.75490183604137795</v>
      </c>
      <c r="X957" s="8">
        <v>0.18502505398299701</v>
      </c>
      <c r="Y957" s="2">
        <v>30</v>
      </c>
      <c r="Z957" s="2">
        <f>VLOOKUP(E957,YieldData!T:U,2,FALSE)</f>
        <v>2134.146341463415</v>
      </c>
      <c r="AA957">
        <f t="shared" si="28"/>
        <v>0.68992238198244005</v>
      </c>
    </row>
    <row r="958" spans="1:27" hidden="1" x14ac:dyDescent="0.25">
      <c r="A958">
        <v>21</v>
      </c>
      <c r="B958">
        <v>301</v>
      </c>
      <c r="C958" t="s">
        <v>20</v>
      </c>
      <c r="D958">
        <v>25111</v>
      </c>
      <c r="E958">
        <f t="shared" si="29"/>
        <v>25111301</v>
      </c>
      <c r="F958">
        <f>VLOOKUP(E958,YieldData!D:F,2,FALSE)</f>
        <v>4</v>
      </c>
      <c r="G958">
        <f>VLOOKUP($E958,YieldData!$D:$F,3,FALSE)</f>
        <v>2</v>
      </c>
      <c r="H958">
        <v>37</v>
      </c>
      <c r="I958" t="s">
        <v>21</v>
      </c>
      <c r="J958" t="s">
        <v>22</v>
      </c>
      <c r="K958" s="2">
        <v>16529.195402608999</v>
      </c>
      <c r="L958" s="2">
        <v>193447009.50376499</v>
      </c>
      <c r="M958" s="3">
        <v>7214.4705157723502</v>
      </c>
      <c r="N958" s="3">
        <v>117419948.843151</v>
      </c>
      <c r="O958" s="4">
        <v>0.104939374383097</v>
      </c>
      <c r="P958" s="4">
        <v>4.2009675164541502E-2</v>
      </c>
      <c r="Q958" s="5">
        <v>-6.2663936423459493E-2</v>
      </c>
      <c r="R958" s="5">
        <v>2.1285397050681601E-3</v>
      </c>
      <c r="S958" s="6">
        <v>0.37577504322941402</v>
      </c>
      <c r="T958" s="6">
        <v>0.11369288833281201</v>
      </c>
      <c r="U958" s="7">
        <v>0.47148889098733299</v>
      </c>
      <c r="V958" s="7">
        <v>0.249187116662626</v>
      </c>
      <c r="W958" s="8">
        <v>0.81783107825547396</v>
      </c>
      <c r="X958" s="8">
        <v>0.14898340569481999</v>
      </c>
      <c r="Y958" s="2">
        <v>37</v>
      </c>
      <c r="Z958" s="2">
        <f>VLOOKUP(E958,YieldData!T:U,2,FALSE)</f>
        <v>1772.581835686778</v>
      </c>
      <c r="AA958">
        <f t="shared" si="28"/>
        <v>0.74455341364378302</v>
      </c>
    </row>
    <row r="959" spans="1:27" hidden="1" x14ac:dyDescent="0.25">
      <c r="A959">
        <v>22</v>
      </c>
      <c r="B959">
        <v>302</v>
      </c>
      <c r="C959" t="s">
        <v>20</v>
      </c>
      <c r="D959">
        <v>25111</v>
      </c>
      <c r="E959">
        <f t="shared" si="29"/>
        <v>25111302</v>
      </c>
      <c r="F959">
        <f>VLOOKUP(E959,YieldData!D:F,2,FALSE)</f>
        <v>2</v>
      </c>
      <c r="G959">
        <f>VLOOKUP($E959,YieldData!$D:$F,3,FALSE)</f>
        <v>2</v>
      </c>
      <c r="H959">
        <v>37</v>
      </c>
      <c r="I959" t="s">
        <v>21</v>
      </c>
      <c r="J959" t="s">
        <v>22</v>
      </c>
      <c r="K959" s="2">
        <v>18655.815454904299</v>
      </c>
      <c r="L959" s="2">
        <v>170411488.047369</v>
      </c>
      <c r="M959" s="3">
        <v>4434.96436265588</v>
      </c>
      <c r="N959" s="3">
        <v>109193570.913866</v>
      </c>
      <c r="O959" s="4">
        <v>0.174184952813872</v>
      </c>
      <c r="P959" s="4">
        <v>5.6910868579190102E-2</v>
      </c>
      <c r="Q959" s="5">
        <v>-3.11522878747151E-2</v>
      </c>
      <c r="R959" s="5">
        <v>4.4080967008183697E-3</v>
      </c>
      <c r="S959" s="6">
        <v>0.46038507751899599</v>
      </c>
      <c r="T959" s="6">
        <v>0.123742445342748</v>
      </c>
      <c r="U959" s="7">
        <v>0.61979883029744898</v>
      </c>
      <c r="V959" s="7">
        <v>0.23564824025946901</v>
      </c>
      <c r="W959" s="8">
        <v>0.77046082453265696</v>
      </c>
      <c r="X959" s="8">
        <v>0.17685094239313301</v>
      </c>
      <c r="Y959" s="2">
        <v>35</v>
      </c>
      <c r="Z959" s="2">
        <f>VLOOKUP(E959,YieldData!T:U,2,FALSE)</f>
        <v>2060.9114249037229</v>
      </c>
      <c r="AA959">
        <f t="shared" si="28"/>
        <v>0.743042349873823</v>
      </c>
    </row>
    <row r="960" spans="1:27" hidden="1" x14ac:dyDescent="0.25">
      <c r="A960">
        <v>23</v>
      </c>
      <c r="B960">
        <v>303</v>
      </c>
      <c r="C960" t="s">
        <v>20</v>
      </c>
      <c r="D960">
        <v>25111</v>
      </c>
      <c r="E960">
        <f t="shared" si="29"/>
        <v>25111303</v>
      </c>
      <c r="F960">
        <f>VLOOKUP(E960,YieldData!D:F,2,FALSE)</f>
        <v>6</v>
      </c>
      <c r="G960">
        <f>VLOOKUP($E960,YieldData!$D:$F,3,FALSE)</f>
        <v>2</v>
      </c>
      <c r="H960">
        <v>37</v>
      </c>
      <c r="I960" t="s">
        <v>21</v>
      </c>
      <c r="J960" t="s">
        <v>22</v>
      </c>
      <c r="K960" s="2">
        <v>20487.319991077598</v>
      </c>
      <c r="L960" s="2">
        <v>181568924.82971999</v>
      </c>
      <c r="M960" s="3">
        <v>1527.4516175751301</v>
      </c>
      <c r="N960" s="3">
        <v>102469957.538158</v>
      </c>
      <c r="O960" s="4">
        <v>0.21437356547886199</v>
      </c>
      <c r="P960" s="4">
        <v>4.6350653186872003E-2</v>
      </c>
      <c r="Q960" s="5">
        <v>-2.4186586725335E-2</v>
      </c>
      <c r="R960" s="5">
        <v>3.2537002508779898E-3</v>
      </c>
      <c r="S960" s="6">
        <v>0.50692104202816402</v>
      </c>
      <c r="T960" s="6">
        <v>0.115371222686789</v>
      </c>
      <c r="U960" s="7">
        <v>0.66252354515713296</v>
      </c>
      <c r="V960" s="7">
        <v>0.223586097269589</v>
      </c>
      <c r="W960" s="8">
        <v>0.49045801526717597</v>
      </c>
      <c r="X960" s="8">
        <v>0.24990895052743201</v>
      </c>
      <c r="Y960" s="2">
        <v>13</v>
      </c>
      <c r="Z960" s="2">
        <f>VLOOKUP(E960,YieldData!T:U,2,FALSE)</f>
        <v>1677.4679075738127</v>
      </c>
      <c r="AA960">
        <f t="shared" si="28"/>
        <v>0.66252354515713296</v>
      </c>
    </row>
    <row r="961" spans="1:27" hidden="1" x14ac:dyDescent="0.25">
      <c r="A961">
        <v>24</v>
      </c>
      <c r="B961">
        <v>304</v>
      </c>
      <c r="C961" t="s">
        <v>20</v>
      </c>
      <c r="D961">
        <v>25111</v>
      </c>
      <c r="E961">
        <f t="shared" si="29"/>
        <v>25111304</v>
      </c>
      <c r="F961">
        <f>VLOOKUP(E961,YieldData!D:F,2,FALSE)</f>
        <v>8</v>
      </c>
      <c r="G961">
        <f>VLOOKUP($E961,YieldData!$D:$F,3,FALSE)</f>
        <v>2</v>
      </c>
      <c r="H961">
        <v>37</v>
      </c>
      <c r="I961" t="s">
        <v>21</v>
      </c>
      <c r="J961" t="s">
        <v>22</v>
      </c>
      <c r="K961" s="2">
        <v>19980.318961393099</v>
      </c>
      <c r="L961" s="2">
        <v>174469471.350914</v>
      </c>
      <c r="M961" s="3">
        <v>1526.6561952263401</v>
      </c>
      <c r="N961" s="3">
        <v>100880176.126799</v>
      </c>
      <c r="O961" s="4">
        <v>0.195394619326486</v>
      </c>
      <c r="P961" s="4">
        <v>5.0240255002421103E-2</v>
      </c>
      <c r="Q961" s="5">
        <v>-2.9261418105815999E-2</v>
      </c>
      <c r="R961" s="5">
        <v>3.6446748835785498E-3</v>
      </c>
      <c r="S961" s="6">
        <v>0.48097295292453901</v>
      </c>
      <c r="T961" s="6">
        <v>0.12305504714879401</v>
      </c>
      <c r="U961" s="7">
        <v>0.65057647227670701</v>
      </c>
      <c r="V961" s="7">
        <v>0.22732672599659501</v>
      </c>
      <c r="W961" s="8">
        <v>0.39253934841888699</v>
      </c>
      <c r="X961" s="8">
        <v>0.23845220836206699</v>
      </c>
      <c r="Y961" s="2">
        <v>10</v>
      </c>
      <c r="Z961" s="2">
        <f>VLOOKUP(E961,YieldData!T:U,2,FALSE)</f>
        <v>2638.8783697047497</v>
      </c>
      <c r="AA961">
        <f t="shared" si="28"/>
        <v>0.72992272912131295</v>
      </c>
    </row>
    <row r="962" spans="1:27" hidden="1" x14ac:dyDescent="0.25">
      <c r="A962">
        <v>25</v>
      </c>
      <c r="B962">
        <v>305</v>
      </c>
      <c r="C962" t="s">
        <v>20</v>
      </c>
      <c r="D962">
        <v>25111</v>
      </c>
      <c r="E962">
        <f t="shared" si="29"/>
        <v>25111305</v>
      </c>
      <c r="F962">
        <f>VLOOKUP(E962,YieldData!D:F,2,FALSE)</f>
        <v>11</v>
      </c>
      <c r="G962">
        <f>VLOOKUP($E962,YieldData!$D:$F,3,FALSE)</f>
        <v>2</v>
      </c>
      <c r="H962">
        <v>37</v>
      </c>
      <c r="I962" t="s">
        <v>21</v>
      </c>
      <c r="J962" t="s">
        <v>22</v>
      </c>
      <c r="K962" s="2">
        <v>17348.811322560199</v>
      </c>
      <c r="L962" s="2">
        <v>195446753.06486401</v>
      </c>
      <c r="M962" s="3">
        <v>4976.6964341779803</v>
      </c>
      <c r="N962" s="3">
        <v>130676152.602516</v>
      </c>
      <c r="O962" s="4">
        <v>9.9231670961559507E-2</v>
      </c>
      <c r="P962" s="4">
        <v>5.3474881798746002E-2</v>
      </c>
      <c r="Q962" s="5">
        <v>-5.8313814065184301E-2</v>
      </c>
      <c r="R962" s="5">
        <v>2.9214521116428999E-3</v>
      </c>
      <c r="S962" s="6">
        <v>0.34632447204160099</v>
      </c>
      <c r="T962" s="6">
        <v>0.15010951175488399</v>
      </c>
      <c r="U962" s="7">
        <v>0.51541212635910205</v>
      </c>
      <c r="V962" s="7">
        <v>0.24976246636121699</v>
      </c>
      <c r="W962" s="8">
        <v>0.71859861488224097</v>
      </c>
      <c r="X962" s="8">
        <v>0.20221464557158</v>
      </c>
      <c r="Y962" s="2">
        <v>41</v>
      </c>
      <c r="Z962" s="2">
        <f>VLOOKUP(E962,YieldData!T:U,2,FALSE)</f>
        <v>2035.834403080873</v>
      </c>
      <c r="AA962">
        <f t="shared" ref="AA962:AA1025" si="30">_xlfn.MAXIFS(U:U,E:E,E962)</f>
        <v>0.59360086119251199</v>
      </c>
    </row>
    <row r="963" spans="1:27" hidden="1" x14ac:dyDescent="0.25">
      <c r="A963">
        <v>26</v>
      </c>
      <c r="B963">
        <v>306</v>
      </c>
      <c r="C963" t="s">
        <v>20</v>
      </c>
      <c r="D963">
        <v>25111</v>
      </c>
      <c r="E963">
        <f t="shared" ref="E963:E1026" si="31">D963*1000+B963</f>
        <v>25111306</v>
      </c>
      <c r="F963">
        <f>VLOOKUP(E963,YieldData!D:F,2,FALSE)</f>
        <v>10</v>
      </c>
      <c r="G963">
        <f>VLOOKUP($E963,YieldData!$D:$F,3,FALSE)</f>
        <v>2</v>
      </c>
      <c r="H963">
        <v>37</v>
      </c>
      <c r="I963" t="s">
        <v>21</v>
      </c>
      <c r="J963" t="s">
        <v>22</v>
      </c>
      <c r="K963" s="2">
        <v>19869.3994942477</v>
      </c>
      <c r="L963" s="2">
        <v>178358563.591436</v>
      </c>
      <c r="M963" s="3">
        <v>1679.70834325135</v>
      </c>
      <c r="N963" s="3">
        <v>122735429.774571</v>
      </c>
      <c r="O963" s="4">
        <v>0.190387126263875</v>
      </c>
      <c r="P963" s="4">
        <v>5.3671136387374897E-2</v>
      </c>
      <c r="Q963" s="5">
        <v>-3.2960502724463402E-2</v>
      </c>
      <c r="R963" s="5">
        <v>3.55383976723431E-3</v>
      </c>
      <c r="S963" s="6">
        <v>0.47241937628033998</v>
      </c>
      <c r="T963" s="6">
        <v>0.13701842701057099</v>
      </c>
      <c r="U963" s="7">
        <v>0.64350721698526603</v>
      </c>
      <c r="V963" s="7">
        <v>0.22940567867323999</v>
      </c>
      <c r="W963" s="8">
        <v>0.70154354602471203</v>
      </c>
      <c r="X963" s="8">
        <v>0.209380199055896</v>
      </c>
      <c r="Y963" s="2">
        <v>28</v>
      </c>
      <c r="Z963" s="2">
        <f>VLOOKUP(E963,YieldData!T:U,2,FALSE)</f>
        <v>1864.1880616174585</v>
      </c>
      <c r="AA963">
        <f t="shared" si="30"/>
        <v>0.78637689505376895</v>
      </c>
    </row>
    <row r="964" spans="1:27" hidden="1" x14ac:dyDescent="0.25">
      <c r="A964">
        <v>27</v>
      </c>
      <c r="B964">
        <v>307</v>
      </c>
      <c r="C964" t="s">
        <v>20</v>
      </c>
      <c r="D964">
        <v>25111</v>
      </c>
      <c r="E964">
        <f t="shared" si="31"/>
        <v>25111307</v>
      </c>
      <c r="F964">
        <f>VLOOKUP(E964,YieldData!D:F,2,FALSE)</f>
        <v>1</v>
      </c>
      <c r="G964">
        <f>VLOOKUP($E964,YieldData!$D:$F,3,FALSE)</f>
        <v>2</v>
      </c>
      <c r="H964">
        <v>37</v>
      </c>
      <c r="I964" t="s">
        <v>21</v>
      </c>
      <c r="J964" t="s">
        <v>22</v>
      </c>
      <c r="K964" s="2">
        <v>19897.171321781399</v>
      </c>
      <c r="L964" s="2">
        <v>197509557.571228</v>
      </c>
      <c r="M964" s="3">
        <v>2580.0685632693298</v>
      </c>
      <c r="N964" s="3">
        <v>112809362.011813</v>
      </c>
      <c r="O964" s="4">
        <v>0.17285851529582799</v>
      </c>
      <c r="P964" s="4">
        <v>4.73769265859409E-2</v>
      </c>
      <c r="Q964" s="5">
        <v>-2.9772422947125201E-2</v>
      </c>
      <c r="R964" s="5">
        <v>3.5286910071718899E-3</v>
      </c>
      <c r="S964" s="6">
        <v>0.447276263540062</v>
      </c>
      <c r="T964" s="6">
        <v>0.12586778875504701</v>
      </c>
      <c r="U964" s="7">
        <v>0.60556325404594502</v>
      </c>
      <c r="V964" s="7">
        <v>0.23885639939505501</v>
      </c>
      <c r="W964" s="8">
        <v>0.75008581344792102</v>
      </c>
      <c r="X964" s="8">
        <v>0.187457085912004</v>
      </c>
      <c r="Y964" s="2">
        <v>27</v>
      </c>
      <c r="Z964" s="2">
        <f>VLOOKUP(E964,YieldData!T:U,2,FALSE)</f>
        <v>2916.8164313222082</v>
      </c>
      <c r="AA964">
        <f t="shared" si="30"/>
        <v>0.80669929447657795</v>
      </c>
    </row>
    <row r="965" spans="1:27" hidden="1" x14ac:dyDescent="0.25">
      <c r="A965">
        <v>28</v>
      </c>
      <c r="B965">
        <v>308</v>
      </c>
      <c r="C965" t="s">
        <v>20</v>
      </c>
      <c r="D965">
        <v>25111</v>
      </c>
      <c r="E965">
        <f t="shared" si="31"/>
        <v>25111308</v>
      </c>
      <c r="F965">
        <f>VLOOKUP(E965,YieldData!D:F,2,FALSE)</f>
        <v>12</v>
      </c>
      <c r="G965">
        <f>VLOOKUP($E965,YieldData!$D:$F,3,FALSE)</f>
        <v>2</v>
      </c>
      <c r="H965">
        <v>37</v>
      </c>
      <c r="I965" t="s">
        <v>21</v>
      </c>
      <c r="J965" t="s">
        <v>22</v>
      </c>
      <c r="K965" s="2">
        <v>19501.817677887499</v>
      </c>
      <c r="L965" s="2">
        <v>211231158.37756401</v>
      </c>
      <c r="M965" s="3">
        <v>4264.0687562739904</v>
      </c>
      <c r="N965" s="3">
        <v>138631924.689307</v>
      </c>
      <c r="O965" s="4">
        <v>0.15607279065822499</v>
      </c>
      <c r="P965" s="4">
        <v>5.5849142576793E-2</v>
      </c>
      <c r="Q965" s="5">
        <v>-3.2577310797066897E-2</v>
      </c>
      <c r="R965" s="5">
        <v>3.35072787371742E-3</v>
      </c>
      <c r="S965" s="6">
        <v>0.415646079824326</v>
      </c>
      <c r="T965" s="6">
        <v>0.146128588381432</v>
      </c>
      <c r="U965" s="7">
        <v>0.57173452932876401</v>
      </c>
      <c r="V965" s="7">
        <v>0.244854157302339</v>
      </c>
      <c r="W965" s="8">
        <v>0.36516075388026598</v>
      </c>
      <c r="X965" s="8">
        <v>0.23181837770622801</v>
      </c>
      <c r="Y965" s="2">
        <v>10</v>
      </c>
      <c r="Z965" s="2">
        <f>VLOOKUP(E965,YieldData!T:U,2,FALSE)</f>
        <v>3189.6566110397944</v>
      </c>
      <c r="AA965">
        <f t="shared" si="30"/>
        <v>0.71376382555239204</v>
      </c>
    </row>
    <row r="966" spans="1:27" hidden="1" x14ac:dyDescent="0.25">
      <c r="A966">
        <v>29</v>
      </c>
      <c r="B966">
        <v>309</v>
      </c>
      <c r="C966" t="s">
        <v>20</v>
      </c>
      <c r="D966">
        <v>25111</v>
      </c>
      <c r="E966">
        <f t="shared" si="31"/>
        <v>25111309</v>
      </c>
      <c r="F966">
        <f>VLOOKUP(E966,YieldData!D:F,2,FALSE)</f>
        <v>5</v>
      </c>
      <c r="G966">
        <f>VLOOKUP($E966,YieldData!$D:$F,3,FALSE)</f>
        <v>3</v>
      </c>
      <c r="H966">
        <v>37</v>
      </c>
      <c r="I966" t="s">
        <v>21</v>
      </c>
      <c r="J966" t="s">
        <v>22</v>
      </c>
      <c r="K966" s="2">
        <v>26747.7461631398</v>
      </c>
      <c r="L966" s="2">
        <v>141678464.96414399</v>
      </c>
      <c r="M966" s="3">
        <v>-1816.3518047868999</v>
      </c>
      <c r="N966" s="3">
        <v>63873602.637371503</v>
      </c>
      <c r="O966" s="4">
        <v>0.28563923776622402</v>
      </c>
      <c r="P966" s="4">
        <v>2.5734867582951799E-2</v>
      </c>
      <c r="Q966" s="5">
        <v>-1.51548642378448E-2</v>
      </c>
      <c r="R966" s="5">
        <v>2.7017495509798501E-3</v>
      </c>
      <c r="S966" s="6">
        <v>0.640370419443546</v>
      </c>
      <c r="T966" s="6">
        <v>5.83549689821301E-2</v>
      </c>
      <c r="U966" s="7">
        <v>0.84451595152936099</v>
      </c>
      <c r="V966" s="7">
        <v>0.131308759141924</v>
      </c>
      <c r="W966" s="8">
        <v>0.79690658755696997</v>
      </c>
      <c r="X966" s="8">
        <v>0.161846478265153</v>
      </c>
      <c r="Y966" s="2">
        <v>35</v>
      </c>
      <c r="Z966" s="2">
        <f>VLOOKUP(E966,YieldData!T:U,2,FALSE)</f>
        <v>3449.2297817715021</v>
      </c>
      <c r="AA966">
        <f t="shared" si="30"/>
        <v>0.94319581833187804</v>
      </c>
    </row>
    <row r="967" spans="1:27" hidden="1" x14ac:dyDescent="0.25">
      <c r="A967">
        <v>30</v>
      </c>
      <c r="B967">
        <v>310</v>
      </c>
      <c r="C967" t="s">
        <v>20</v>
      </c>
      <c r="D967">
        <v>25111</v>
      </c>
      <c r="E967">
        <f t="shared" si="31"/>
        <v>25111310</v>
      </c>
      <c r="H967">
        <v>37</v>
      </c>
      <c r="I967" t="s">
        <v>21</v>
      </c>
      <c r="J967" t="s">
        <v>22</v>
      </c>
      <c r="K967" s="2">
        <v>24212.4560148448</v>
      </c>
      <c r="L967" s="2">
        <v>180445938.144346</v>
      </c>
      <c r="M967" s="3">
        <v>-102.665837214172</v>
      </c>
      <c r="N967" s="3">
        <v>73716800.078042805</v>
      </c>
      <c r="O967" s="4">
        <v>0.230915198527854</v>
      </c>
      <c r="P967" s="4">
        <v>2.7654561603162101E-2</v>
      </c>
      <c r="Q967" s="5">
        <v>-3.5238698137613197E-2</v>
      </c>
      <c r="R967" s="5">
        <v>2.6755598902002999E-3</v>
      </c>
      <c r="S967" s="6">
        <v>0.569526870715101</v>
      </c>
      <c r="T967" s="6">
        <v>7.5063156255507496E-2</v>
      </c>
      <c r="U967" s="7">
        <v>0.74608735991405595</v>
      </c>
      <c r="V967" s="7">
        <v>0.189441011290338</v>
      </c>
      <c r="W967" s="8">
        <v>0.74019093195302399</v>
      </c>
      <c r="X967" s="8">
        <v>0.19230831620795799</v>
      </c>
      <c r="Y967" s="2">
        <v>32</v>
      </c>
      <c r="Z967" s="2">
        <f>VLOOKUP(E967,YieldData!T:U,2,FALSE)</f>
        <v>0</v>
      </c>
      <c r="AA967">
        <f t="shared" si="30"/>
        <v>0.87222249352932602</v>
      </c>
    </row>
    <row r="968" spans="1:27" hidden="1" x14ac:dyDescent="0.25">
      <c r="A968">
        <v>31</v>
      </c>
      <c r="B968">
        <v>401</v>
      </c>
      <c r="C968" t="s">
        <v>20</v>
      </c>
      <c r="D968">
        <v>25111</v>
      </c>
      <c r="E968">
        <f t="shared" si="31"/>
        <v>25111401</v>
      </c>
      <c r="F968">
        <f>VLOOKUP(E968,YieldData!D:F,2,FALSE)</f>
        <v>1</v>
      </c>
      <c r="G968">
        <f>VLOOKUP($E968,YieldData!$D:$F,3,FALSE)</f>
        <v>3</v>
      </c>
      <c r="H968">
        <v>37</v>
      </c>
      <c r="I968" t="s">
        <v>21</v>
      </c>
      <c r="J968" t="s">
        <v>22</v>
      </c>
      <c r="K968" s="2">
        <v>14752.336490850401</v>
      </c>
      <c r="L968" s="2">
        <v>150014156.78669101</v>
      </c>
      <c r="M968" s="3">
        <v>6197.8211114205196</v>
      </c>
      <c r="N968" s="3">
        <v>118513609.18678699</v>
      </c>
      <c r="O968" s="4">
        <v>0.15539448276613099</v>
      </c>
      <c r="P968" s="4">
        <v>4.8235046554776E-2</v>
      </c>
      <c r="Q968" s="5">
        <v>-3.8731737027481401E-2</v>
      </c>
      <c r="R968" s="5">
        <v>2.4125327454428899E-3</v>
      </c>
      <c r="S968" s="6">
        <v>0.41634722196540502</v>
      </c>
      <c r="T968" s="6">
        <v>0.11986503404583899</v>
      </c>
      <c r="U968" s="7">
        <v>0.51001076426264802</v>
      </c>
      <c r="V968" s="7">
        <v>0.24989978459885701</v>
      </c>
      <c r="W968" s="8">
        <v>0.67190527448869797</v>
      </c>
      <c r="X968" s="8">
        <v>0.22044857660303499</v>
      </c>
      <c r="Y968" s="2">
        <v>24</v>
      </c>
      <c r="Z968" s="2">
        <f>VLOOKUP(E968,YieldData!T:U,2,FALSE)</f>
        <v>1960.5166880616171</v>
      </c>
      <c r="AA968">
        <f t="shared" si="30"/>
        <v>0.70643112583573497</v>
      </c>
    </row>
    <row r="969" spans="1:27" hidden="1" x14ac:dyDescent="0.25">
      <c r="A969">
        <v>32</v>
      </c>
      <c r="B969">
        <v>402</v>
      </c>
      <c r="C969" t="s">
        <v>20</v>
      </c>
      <c r="D969">
        <v>25111</v>
      </c>
      <c r="E969">
        <f t="shared" si="31"/>
        <v>25111402</v>
      </c>
      <c r="F969">
        <f>VLOOKUP(E969,YieldData!D:F,2,FALSE)</f>
        <v>14</v>
      </c>
      <c r="G969">
        <f>VLOOKUP($E969,YieldData!$D:$F,3,FALSE)</f>
        <v>3</v>
      </c>
      <c r="H969">
        <v>37</v>
      </c>
      <c r="I969" t="s">
        <v>21</v>
      </c>
      <c r="J969" t="s">
        <v>22</v>
      </c>
      <c r="K969" s="2">
        <v>9685.2617213663798</v>
      </c>
      <c r="L969" s="2">
        <v>125096767.528035</v>
      </c>
      <c r="M969" s="3">
        <v>14007.3504445653</v>
      </c>
      <c r="N969" s="3">
        <v>110112796.15686999</v>
      </c>
      <c r="O969" s="4">
        <v>-5.4726079115063199E-2</v>
      </c>
      <c r="P969" s="4">
        <v>4.67473805144826E-2</v>
      </c>
      <c r="Q969" s="5">
        <v>-9.0051041655030806E-2</v>
      </c>
      <c r="R969" s="5">
        <v>2.7658104963350998E-3</v>
      </c>
      <c r="S969" s="6">
        <v>0.132194256924134</v>
      </c>
      <c r="T969" s="6">
        <v>0.11726921344362901</v>
      </c>
      <c r="U969" s="7">
        <v>0.26613481963448499</v>
      </c>
      <c r="V969" s="7">
        <v>0.195307077412605</v>
      </c>
      <c r="W969" s="8">
        <v>0.76826380250693704</v>
      </c>
      <c r="X969" s="8">
        <v>0.178034532264679</v>
      </c>
      <c r="Y969" s="2">
        <v>49</v>
      </c>
      <c r="Z969" s="2">
        <f>VLOOKUP(E969,YieldData!T:U,2,FALSE)</f>
        <v>2271.8405006418484</v>
      </c>
      <c r="AA969">
        <f t="shared" si="30"/>
        <v>0.39816996591113002</v>
      </c>
    </row>
    <row r="970" spans="1:27" hidden="1" x14ac:dyDescent="0.25">
      <c r="A970">
        <v>33</v>
      </c>
      <c r="B970">
        <v>403</v>
      </c>
      <c r="C970" t="s">
        <v>20</v>
      </c>
      <c r="D970">
        <v>25111</v>
      </c>
      <c r="E970">
        <f t="shared" si="31"/>
        <v>25111403</v>
      </c>
      <c r="F970">
        <f>VLOOKUP(E970,YieldData!D:F,2,FALSE)</f>
        <v>9</v>
      </c>
      <c r="G970">
        <f>VLOOKUP($E970,YieldData!$D:$F,3,FALSE)</f>
        <v>3</v>
      </c>
      <c r="H970">
        <v>37</v>
      </c>
      <c r="I970" t="s">
        <v>21</v>
      </c>
      <c r="J970" t="s">
        <v>22</v>
      </c>
      <c r="K970" s="2">
        <v>20981.385223510501</v>
      </c>
      <c r="L970" s="2">
        <v>168422385.16694799</v>
      </c>
      <c r="M970" s="3">
        <v>1716.46606679108</v>
      </c>
      <c r="N970" s="3">
        <v>85761159.199607104</v>
      </c>
      <c r="O970" s="4">
        <v>0.18957429526010999</v>
      </c>
      <c r="P970" s="4">
        <v>3.4510558010685803E-2</v>
      </c>
      <c r="Q970" s="5">
        <v>-3.2859251619460898E-2</v>
      </c>
      <c r="R970" s="5">
        <v>3.3968840906940202E-3</v>
      </c>
      <c r="S970" s="6">
        <v>0.50901741602735395</v>
      </c>
      <c r="T970" s="6">
        <v>9.3540678875246794E-2</v>
      </c>
      <c r="U970" s="7">
        <v>0.69276281833402598</v>
      </c>
      <c r="V970" s="7">
        <v>0.212842495868067</v>
      </c>
      <c r="W970" s="8">
        <v>0.76264209373465797</v>
      </c>
      <c r="X970" s="8">
        <v>0.181019130598638</v>
      </c>
      <c r="Y970" s="2">
        <v>32</v>
      </c>
      <c r="Z970" s="2">
        <f>VLOOKUP(E970,YieldData!T:U,2,FALSE)</f>
        <v>1551.3222079589218</v>
      </c>
      <c r="AA970">
        <f t="shared" si="30"/>
        <v>0.79020442072403196</v>
      </c>
    </row>
    <row r="971" spans="1:27" hidden="1" x14ac:dyDescent="0.25">
      <c r="A971">
        <v>34</v>
      </c>
      <c r="B971">
        <v>404</v>
      </c>
      <c r="C971" t="s">
        <v>20</v>
      </c>
      <c r="D971">
        <v>25111</v>
      </c>
      <c r="E971">
        <f t="shared" si="31"/>
        <v>25111404</v>
      </c>
      <c r="F971">
        <f>VLOOKUP(E971,YieldData!D:F,2,FALSE)</f>
        <v>6</v>
      </c>
      <c r="G971">
        <f>VLOOKUP($E971,YieldData!$D:$F,3,FALSE)</f>
        <v>3</v>
      </c>
      <c r="H971">
        <v>37</v>
      </c>
      <c r="I971" t="s">
        <v>21</v>
      </c>
      <c r="J971" t="s">
        <v>22</v>
      </c>
      <c r="K971" s="2">
        <v>16455.219940437</v>
      </c>
      <c r="L971" s="2">
        <v>175827005.27884299</v>
      </c>
      <c r="M971" s="3">
        <v>5839.9000862604298</v>
      </c>
      <c r="N971" s="3">
        <v>121756239.827821</v>
      </c>
      <c r="O971" s="4">
        <v>6.5761877261507104E-2</v>
      </c>
      <c r="P971" s="4">
        <v>5.2206453641643703E-2</v>
      </c>
      <c r="Q971" s="5">
        <v>-6.5650878839183399E-2</v>
      </c>
      <c r="R971" s="5">
        <v>3.2907339874061201E-3</v>
      </c>
      <c r="S971" s="6">
        <v>0.31969321006503298</v>
      </c>
      <c r="T971" s="6">
        <v>0.146219718390007</v>
      </c>
      <c r="U971" s="7">
        <v>0.475798060017462</v>
      </c>
      <c r="V971" s="7">
        <v>0.24941426610133999</v>
      </c>
      <c r="W971" s="8">
        <v>0.76606585415445705</v>
      </c>
      <c r="X971" s="8">
        <v>0.179208961253252</v>
      </c>
      <c r="Y971" s="2">
        <v>54</v>
      </c>
      <c r="Z971" s="2">
        <f>VLOOKUP(E971,YieldData!T:U,2,FALSE)</f>
        <v>2596.150513478819</v>
      </c>
      <c r="AA971">
        <f t="shared" si="30"/>
        <v>0.644271138595505</v>
      </c>
    </row>
    <row r="972" spans="1:27" hidden="1" x14ac:dyDescent="0.25">
      <c r="A972">
        <v>35</v>
      </c>
      <c r="B972">
        <v>405</v>
      </c>
      <c r="C972" t="s">
        <v>20</v>
      </c>
      <c r="D972">
        <v>25111</v>
      </c>
      <c r="E972">
        <f t="shared" si="31"/>
        <v>25111405</v>
      </c>
      <c r="F972">
        <f>VLOOKUP(E972,YieldData!D:F,2,FALSE)</f>
        <v>13</v>
      </c>
      <c r="G972">
        <f>VLOOKUP($E972,YieldData!$D:$F,3,FALSE)</f>
        <v>3</v>
      </c>
      <c r="H972">
        <v>37</v>
      </c>
      <c r="I972" t="s">
        <v>21</v>
      </c>
      <c r="J972" t="s">
        <v>22</v>
      </c>
      <c r="K972" s="2">
        <v>9582.5694837864103</v>
      </c>
      <c r="L972" s="2">
        <v>122201964.15661401</v>
      </c>
      <c r="M972" s="3">
        <v>13013.8126967632</v>
      </c>
      <c r="N972" s="3">
        <v>109874765.16278701</v>
      </c>
      <c r="O972" s="4">
        <v>-8.6424406355284894E-2</v>
      </c>
      <c r="P972" s="4">
        <v>5.1966023259233399E-2</v>
      </c>
      <c r="Q972" s="5">
        <v>-0.10150358647287699</v>
      </c>
      <c r="R972" s="5">
        <v>2.98692992911687E-3</v>
      </c>
      <c r="S972" s="6">
        <v>7.1527764595755605E-2</v>
      </c>
      <c r="T972" s="6">
        <v>0.14554359216380899</v>
      </c>
      <c r="U972" s="7">
        <v>0.26119308332981001</v>
      </c>
      <c r="V972" s="7">
        <v>0.19297125655042099</v>
      </c>
      <c r="W972" s="8">
        <v>0.85106892712693205</v>
      </c>
      <c r="X972" s="8">
        <v>0.126750608405964</v>
      </c>
      <c r="Y972" s="2">
        <v>78</v>
      </c>
      <c r="Z972" s="2">
        <f>VLOOKUP(E972,YieldData!T:U,2,FALSE)</f>
        <v>2056.2371630295247</v>
      </c>
      <c r="AA972">
        <f t="shared" si="30"/>
        <v>0.39605118520815102</v>
      </c>
    </row>
    <row r="973" spans="1:27" hidden="1" x14ac:dyDescent="0.25">
      <c r="A973">
        <v>36</v>
      </c>
      <c r="B973">
        <v>406</v>
      </c>
      <c r="C973" t="s">
        <v>20</v>
      </c>
      <c r="D973">
        <v>25111</v>
      </c>
      <c r="E973">
        <f t="shared" si="31"/>
        <v>25111406</v>
      </c>
      <c r="F973">
        <f>VLOOKUP(E973,YieldData!D:F,2,FALSE)</f>
        <v>12</v>
      </c>
      <c r="G973">
        <f>VLOOKUP($E973,YieldData!$D:$F,3,FALSE)</f>
        <v>3</v>
      </c>
      <c r="H973">
        <v>37</v>
      </c>
      <c r="I973" t="s">
        <v>21</v>
      </c>
      <c r="J973" t="s">
        <v>22</v>
      </c>
      <c r="K973" s="2">
        <v>19302.0078849538</v>
      </c>
      <c r="L973" s="2">
        <v>164628113.902172</v>
      </c>
      <c r="M973" s="3">
        <v>1596.17844715569</v>
      </c>
      <c r="N973" s="3">
        <v>95732668.787299797</v>
      </c>
      <c r="O973" s="4">
        <v>0.169911924201889</v>
      </c>
      <c r="P973" s="4">
        <v>4.2123244387100203E-2</v>
      </c>
      <c r="Q973" s="5">
        <v>-3.3189433518530903E-2</v>
      </c>
      <c r="R973" s="5">
        <v>3.4958303550723102E-3</v>
      </c>
      <c r="S973" s="6">
        <v>0.46377239756807698</v>
      </c>
      <c r="T973" s="6">
        <v>0.118324195349419</v>
      </c>
      <c r="U973" s="7">
        <v>0.64892111077301695</v>
      </c>
      <c r="V973" s="7">
        <v>0.22782250276625701</v>
      </c>
      <c r="W973" s="8">
        <v>0.88355140434201695</v>
      </c>
      <c r="X973" s="8">
        <v>0.102888320227337</v>
      </c>
      <c r="Y973" s="2">
        <v>41</v>
      </c>
      <c r="Z973" s="2">
        <f>VLOOKUP(E973,YieldData!T:U,2,FALSE)</f>
        <v>1804.3132220795892</v>
      </c>
      <c r="AA973">
        <f t="shared" si="30"/>
        <v>0.83448868898002404</v>
      </c>
    </row>
    <row r="974" spans="1:27" hidden="1" x14ac:dyDescent="0.25">
      <c r="A974">
        <v>37</v>
      </c>
      <c r="B974">
        <v>407</v>
      </c>
      <c r="C974" t="s">
        <v>20</v>
      </c>
      <c r="D974">
        <v>25111</v>
      </c>
      <c r="E974">
        <f t="shared" si="31"/>
        <v>25111407</v>
      </c>
      <c r="F974">
        <f>VLOOKUP(E974,YieldData!D:F,2,FALSE)</f>
        <v>11</v>
      </c>
      <c r="G974">
        <f>VLOOKUP($E974,YieldData!$D:$F,3,FALSE)</f>
        <v>3</v>
      </c>
      <c r="H974">
        <v>37</v>
      </c>
      <c r="I974" t="s">
        <v>21</v>
      </c>
      <c r="J974" t="s">
        <v>22</v>
      </c>
      <c r="K974" s="2">
        <v>7443.1403400421405</v>
      </c>
      <c r="L974" s="2">
        <v>109632461.650978</v>
      </c>
      <c r="M974" s="3">
        <v>15735.4534281712</v>
      </c>
      <c r="N974" s="3">
        <v>79950338.265194505</v>
      </c>
      <c r="O974" s="4">
        <v>-0.13341958605927601</v>
      </c>
      <c r="P974" s="4">
        <v>3.1902398932567397E-2</v>
      </c>
      <c r="Q974" s="5">
        <v>-0.10439259424703901</v>
      </c>
      <c r="R974" s="5">
        <v>2.3204922799178701E-3</v>
      </c>
      <c r="S974" s="6">
        <v>-1.71491221766846E-2</v>
      </c>
      <c r="T974" s="6">
        <v>9.2541048167982407E-2</v>
      </c>
      <c r="U974" s="7">
        <v>0.13679188161495801</v>
      </c>
      <c r="V974" s="7">
        <v>0.118079862739459</v>
      </c>
      <c r="W974" s="8">
        <v>0.72240790525321497</v>
      </c>
      <c r="X974" s="8">
        <v>0.20053472368087399</v>
      </c>
      <c r="Y974" s="2">
        <v>65</v>
      </c>
      <c r="Z974" s="2">
        <f>VLOOKUP(E974,YieldData!T:U,2,FALSE)</f>
        <v>2259.0404364569963</v>
      </c>
      <c r="AA974">
        <f t="shared" si="30"/>
        <v>0.33240483947148503</v>
      </c>
    </row>
    <row r="975" spans="1:27" hidden="1" x14ac:dyDescent="0.25">
      <c r="A975">
        <v>38</v>
      </c>
      <c r="B975">
        <v>408</v>
      </c>
      <c r="C975" t="s">
        <v>20</v>
      </c>
      <c r="D975">
        <v>25111</v>
      </c>
      <c r="E975">
        <f t="shared" si="31"/>
        <v>25111408</v>
      </c>
      <c r="F975">
        <f>VLOOKUP(E975,YieldData!D:F,2,FALSE)</f>
        <v>4</v>
      </c>
      <c r="G975">
        <f>VLOOKUP($E975,YieldData!$D:$F,3,FALSE)</f>
        <v>3</v>
      </c>
      <c r="H975">
        <v>37</v>
      </c>
      <c r="I975" t="s">
        <v>21</v>
      </c>
      <c r="J975" t="s">
        <v>22</v>
      </c>
      <c r="K975" s="2">
        <v>21879.6932397196</v>
      </c>
      <c r="L975" s="2">
        <v>180073310.77943701</v>
      </c>
      <c r="M975" s="3">
        <v>553.18584280290099</v>
      </c>
      <c r="N975" s="3">
        <v>96806474.454741493</v>
      </c>
      <c r="O975" s="4">
        <v>0.22593191326499201</v>
      </c>
      <c r="P975" s="4">
        <v>4.4351703832871098E-2</v>
      </c>
      <c r="Q975" s="5">
        <v>-1.20192111634856E-2</v>
      </c>
      <c r="R975" s="5">
        <v>4.0911202846152604E-3</v>
      </c>
      <c r="S975" s="6">
        <v>0.52659932060064296</v>
      </c>
      <c r="T975" s="6">
        <v>0.105735226471185</v>
      </c>
      <c r="U975" s="7">
        <v>0.70644451355165905</v>
      </c>
      <c r="V975" s="7">
        <v>0.20738066282446599</v>
      </c>
      <c r="W975" s="8">
        <v>0.66880367437743704</v>
      </c>
      <c r="X975" s="8">
        <v>0.22150531951673999</v>
      </c>
      <c r="Y975" s="2">
        <v>24</v>
      </c>
      <c r="Z975" s="2">
        <f>VLOOKUP(E975,YieldData!T:U,2,FALSE)</f>
        <v>2716.4634146341464</v>
      </c>
      <c r="AA975">
        <f t="shared" si="30"/>
        <v>0.91196698762035799</v>
      </c>
    </row>
    <row r="976" spans="1:27" hidden="1" x14ac:dyDescent="0.25">
      <c r="A976">
        <v>39</v>
      </c>
      <c r="B976">
        <v>410</v>
      </c>
      <c r="C976" t="s">
        <v>20</v>
      </c>
      <c r="D976">
        <v>25111</v>
      </c>
      <c r="E976">
        <f t="shared" si="31"/>
        <v>25111410</v>
      </c>
      <c r="F976">
        <f>VLOOKUP(E976,YieldData!D:F,2,FALSE)</f>
        <v>7</v>
      </c>
      <c r="G976">
        <f>VLOOKUP($E976,YieldData!$D:$F,3,FALSE)</f>
        <v>3</v>
      </c>
      <c r="H976">
        <v>37</v>
      </c>
      <c r="I976" t="s">
        <v>21</v>
      </c>
      <c r="J976" t="s">
        <v>22</v>
      </c>
      <c r="K976" s="2">
        <v>18811.803124999999</v>
      </c>
      <c r="L976" s="2">
        <v>192787687.97063601</v>
      </c>
      <c r="M976" s="3">
        <v>3436.3338517459301</v>
      </c>
      <c r="N976" s="3">
        <v>93484016.553933993</v>
      </c>
      <c r="O976" s="4">
        <v>0.161419915737538</v>
      </c>
      <c r="P976" s="4">
        <v>3.1938586638650603E-2</v>
      </c>
      <c r="Q976" s="5">
        <v>-4.2603682045507102E-2</v>
      </c>
      <c r="R976" s="5">
        <v>2.60368788648667E-3</v>
      </c>
      <c r="S976" s="6">
        <v>0.44416917779994702</v>
      </c>
      <c r="T976" s="6">
        <v>9.7276617909939203E-2</v>
      </c>
      <c r="U976" s="7">
        <v>0.56566422594142296</v>
      </c>
      <c r="V976" s="7">
        <v>0.24568820943181</v>
      </c>
      <c r="W976" s="8">
        <v>0.82502615062761497</v>
      </c>
      <c r="X976" s="8">
        <v>0.14435800140805699</v>
      </c>
      <c r="Y976" s="2">
        <v>43</v>
      </c>
      <c r="Z976" s="2">
        <f>VLOOKUP(E976,YieldData!T:U,2,FALSE)</f>
        <v>3008.472400513479</v>
      </c>
      <c r="AA976">
        <f t="shared" si="30"/>
        <v>0.76582808127827595</v>
      </c>
    </row>
    <row r="977" spans="1:27" hidden="1" x14ac:dyDescent="0.25">
      <c r="A977">
        <v>40</v>
      </c>
      <c r="B977">
        <v>409</v>
      </c>
      <c r="C977" t="s">
        <v>20</v>
      </c>
      <c r="D977">
        <v>25111</v>
      </c>
      <c r="E977">
        <f t="shared" si="31"/>
        <v>25111409</v>
      </c>
      <c r="F977">
        <f>VLOOKUP(E977,YieldData!D:F,2,FALSE)</f>
        <v>8</v>
      </c>
      <c r="G977">
        <f>VLOOKUP($E977,YieldData!$D:$F,3,FALSE)</f>
        <v>3</v>
      </c>
      <c r="H977">
        <v>37</v>
      </c>
      <c r="I977" t="s">
        <v>21</v>
      </c>
      <c r="J977" t="s">
        <v>22</v>
      </c>
      <c r="K977" s="2">
        <v>25515.897984811301</v>
      </c>
      <c r="L977" s="2">
        <v>152109533.669339</v>
      </c>
      <c r="M977" s="3">
        <v>-877.07451378691303</v>
      </c>
      <c r="N977" s="3">
        <v>52600336.598922201</v>
      </c>
      <c r="O977" s="4">
        <v>0.26598731634697798</v>
      </c>
      <c r="P977" s="4">
        <v>2.4200935123910802E-2</v>
      </c>
      <c r="Q977" s="5">
        <v>-1.0387854410733E-2</v>
      </c>
      <c r="R977" s="5">
        <v>3.3282371428457799E-3</v>
      </c>
      <c r="S977" s="6">
        <v>0.61585715576977096</v>
      </c>
      <c r="T977" s="6">
        <v>5.060010042562E-2</v>
      </c>
      <c r="U977" s="7">
        <v>0.84551814865753705</v>
      </c>
      <c r="V977" s="7">
        <v>0.13061720894824</v>
      </c>
      <c r="W977" s="8">
        <v>0.76797225378221601</v>
      </c>
      <c r="X977" s="8">
        <v>0.17819087120291</v>
      </c>
      <c r="Y977" s="2">
        <v>51</v>
      </c>
      <c r="Z977" s="2">
        <f>VLOOKUP(E977,YieldData!T:U,2,FALSE)</f>
        <v>2987.8305519897308</v>
      </c>
      <c r="AA977">
        <f t="shared" si="30"/>
        <v>0.97096145336251505</v>
      </c>
    </row>
    <row r="978" spans="1:27" hidden="1" x14ac:dyDescent="0.25">
      <c r="A978">
        <v>41</v>
      </c>
      <c r="B978">
        <v>501</v>
      </c>
      <c r="C978" t="s">
        <v>20</v>
      </c>
      <c r="D978">
        <v>25111</v>
      </c>
      <c r="E978">
        <f t="shared" si="31"/>
        <v>25111501</v>
      </c>
      <c r="F978">
        <f>VLOOKUP(E978,YieldData!D:F,2,FALSE)</f>
        <v>10</v>
      </c>
      <c r="G978">
        <f>VLOOKUP($E978,YieldData!$D:$F,3,FALSE)</f>
        <v>3</v>
      </c>
      <c r="H978">
        <v>37</v>
      </c>
      <c r="I978" t="s">
        <v>21</v>
      </c>
      <c r="J978" t="s">
        <v>22</v>
      </c>
      <c r="K978" s="2">
        <v>15407.3874192777</v>
      </c>
      <c r="L978" s="2">
        <v>187682633.02998501</v>
      </c>
      <c r="M978" s="3">
        <v>6912.7920280631997</v>
      </c>
      <c r="N978" s="3">
        <v>120567933.770283</v>
      </c>
      <c r="O978" s="4">
        <v>0.12574410901172101</v>
      </c>
      <c r="P978" s="4">
        <v>4.1405794512918197E-2</v>
      </c>
      <c r="Q978" s="5">
        <v>-4.7963713138999303E-2</v>
      </c>
      <c r="R978" s="5">
        <v>2.0877489977789098E-3</v>
      </c>
      <c r="S978" s="6">
        <v>0.38690071157921302</v>
      </c>
      <c r="T978" s="6">
        <v>0.116899777183429</v>
      </c>
      <c r="U978" s="7">
        <v>0.475173403491988</v>
      </c>
      <c r="V978" s="7">
        <v>0.24938364010591699</v>
      </c>
      <c r="W978" s="8">
        <v>0.447476680220043</v>
      </c>
      <c r="X978" s="8">
        <v>0.247241300879152</v>
      </c>
      <c r="Y978" s="2">
        <v>9</v>
      </c>
      <c r="Z978" s="2">
        <f>VLOOKUP(E978,YieldData!T:U,2,FALSE)</f>
        <v>3019.9518613607192</v>
      </c>
      <c r="AA978">
        <f t="shared" si="30"/>
        <v>0.71092479188594404</v>
      </c>
    </row>
    <row r="979" spans="1:27" hidden="1" x14ac:dyDescent="0.25">
      <c r="A979">
        <v>42</v>
      </c>
      <c r="B979">
        <v>502</v>
      </c>
      <c r="C979" t="s">
        <v>20</v>
      </c>
      <c r="D979">
        <v>25111</v>
      </c>
      <c r="E979">
        <f t="shared" si="31"/>
        <v>25111502</v>
      </c>
      <c r="F979">
        <f>VLOOKUP(E979,YieldData!D:F,2,FALSE)</f>
        <v>2</v>
      </c>
      <c r="G979">
        <f>VLOOKUP($E979,YieldData!$D:$F,3,FALSE)</f>
        <v>3</v>
      </c>
      <c r="H979">
        <v>37</v>
      </c>
      <c r="I979" t="s">
        <v>21</v>
      </c>
      <c r="J979" t="s">
        <v>22</v>
      </c>
      <c r="K979" s="2">
        <v>24324.9489684865</v>
      </c>
      <c r="L979" s="2">
        <v>178984041.50919199</v>
      </c>
      <c r="M979" s="3">
        <v>556.65273721884103</v>
      </c>
      <c r="N979" s="3">
        <v>110726628.677743</v>
      </c>
      <c r="O979" s="4">
        <v>0.23535151226065401</v>
      </c>
      <c r="P979" s="4">
        <v>4.0103782286128799E-2</v>
      </c>
      <c r="Q979" s="5">
        <v>-3.0825058686371198E-2</v>
      </c>
      <c r="R979" s="5">
        <v>2.8497910790653501E-3</v>
      </c>
      <c r="S979" s="6">
        <v>0.56490135380698603</v>
      </c>
      <c r="T979" s="6">
        <v>9.39661249395978E-2</v>
      </c>
      <c r="U979" s="7">
        <v>0.72659211863899997</v>
      </c>
      <c r="V979" s="7">
        <v>0.198656011770621</v>
      </c>
      <c r="W979" s="8">
        <v>0.63679961729354795</v>
      </c>
      <c r="X979" s="8">
        <v>0.23128586470857301</v>
      </c>
      <c r="Y979" s="2">
        <v>16</v>
      </c>
      <c r="Z979" s="2">
        <f>VLOOKUP(E979,YieldData!T:U,2,FALSE)</f>
        <v>3292.9252246469832</v>
      </c>
      <c r="AA979">
        <f t="shared" si="30"/>
        <v>0.77927017426353595</v>
      </c>
    </row>
    <row r="980" spans="1:27" hidden="1" x14ac:dyDescent="0.25">
      <c r="A980">
        <v>43</v>
      </c>
      <c r="B980">
        <v>503</v>
      </c>
      <c r="C980" t="s">
        <v>20</v>
      </c>
      <c r="D980" t="s">
        <v>100</v>
      </c>
      <c r="E980" t="e">
        <f t="shared" si="31"/>
        <v>#VALUE!</v>
      </c>
      <c r="H980">
        <v>37</v>
      </c>
      <c r="I980" t="s">
        <v>21</v>
      </c>
      <c r="J980" t="s">
        <v>22</v>
      </c>
      <c r="K980" s="2">
        <v>27274.4034804449</v>
      </c>
      <c r="L980" s="2">
        <v>192880206.09220901</v>
      </c>
      <c r="M980" s="3">
        <v>-1140.1839336912301</v>
      </c>
      <c r="N980" s="3">
        <v>89603849.316657707</v>
      </c>
      <c r="O980" s="4">
        <v>0.230704168237132</v>
      </c>
      <c r="P980" s="4">
        <v>2.72029990039796E-2</v>
      </c>
      <c r="Q980" s="5">
        <v>-3.3661771979450097E-2</v>
      </c>
      <c r="R980" s="5">
        <v>2.8752256686996398E-3</v>
      </c>
      <c r="S980" s="6">
        <v>0.59645920179812495</v>
      </c>
      <c r="T980" s="6">
        <v>7.5239060259731996E-2</v>
      </c>
      <c r="U980" s="7">
        <v>0.78711876569788297</v>
      </c>
      <c r="V980" s="7">
        <v>0.167562814384073</v>
      </c>
      <c r="W980" s="8">
        <v>0.64924052146872402</v>
      </c>
      <c r="X980" s="8">
        <v>0.227727266751691</v>
      </c>
      <c r="Y980" s="2">
        <v>32</v>
      </c>
      <c r="Z980" s="2" t="e">
        <f>VLOOKUP(E980,YieldData!T:U,2,FALSE)</f>
        <v>#VALUE!</v>
      </c>
      <c r="AA980">
        <f t="shared" si="30"/>
        <v>0.913534329143595</v>
      </c>
    </row>
    <row r="981" spans="1:27" hidden="1" x14ac:dyDescent="0.25">
      <c r="A981">
        <v>44</v>
      </c>
      <c r="B981">
        <v>504</v>
      </c>
      <c r="C981" t="s">
        <v>20</v>
      </c>
      <c r="D981" t="s">
        <v>100</v>
      </c>
      <c r="E981" t="e">
        <f t="shared" si="31"/>
        <v>#VALUE!</v>
      </c>
      <c r="H981">
        <v>37</v>
      </c>
      <c r="I981" t="s">
        <v>21</v>
      </c>
      <c r="J981" t="s">
        <v>22</v>
      </c>
      <c r="K981" s="2">
        <v>21896.832183454098</v>
      </c>
      <c r="L981" s="2">
        <v>187006870.65652001</v>
      </c>
      <c r="M981" s="3">
        <v>1380.41349124209</v>
      </c>
      <c r="N981" s="3">
        <v>118038373.27093101</v>
      </c>
      <c r="O981" s="4">
        <v>0.20276454912424699</v>
      </c>
      <c r="P981" s="4">
        <v>4.4816240803151997E-2</v>
      </c>
      <c r="Q981" s="5">
        <v>-3.0173586577754302E-2</v>
      </c>
      <c r="R981" s="5">
        <v>3.5822114398693199E-3</v>
      </c>
      <c r="S981" s="6">
        <v>0.49978683522587902</v>
      </c>
      <c r="T981" s="6">
        <v>0.111901480024405</v>
      </c>
      <c r="U981" s="7">
        <v>0.67440109598509101</v>
      </c>
      <c r="V981" s="7">
        <v>0.21958425771905499</v>
      </c>
      <c r="W981" s="8">
        <v>0.44375053997013197</v>
      </c>
      <c r="X981" s="8">
        <v>0.24683599824640401</v>
      </c>
      <c r="Y981" s="2">
        <v>22</v>
      </c>
      <c r="Z981" s="2" t="e">
        <f>VLOOKUP(E981,YieldData!T:U,2,FALSE)</f>
        <v>#VALUE!</v>
      </c>
      <c r="AA981">
        <f t="shared" si="30"/>
        <v>0.913534329143595</v>
      </c>
    </row>
    <row r="982" spans="1:27" hidden="1" x14ac:dyDescent="0.25">
      <c r="A982">
        <v>45</v>
      </c>
      <c r="B982">
        <v>505</v>
      </c>
      <c r="C982" t="s">
        <v>20</v>
      </c>
      <c r="D982" t="s">
        <v>100</v>
      </c>
      <c r="E982" t="e">
        <f t="shared" si="31"/>
        <v>#VALUE!</v>
      </c>
      <c r="H982">
        <v>37</v>
      </c>
      <c r="I982" t="s">
        <v>21</v>
      </c>
      <c r="J982" t="s">
        <v>22</v>
      </c>
      <c r="K982" s="2">
        <v>24399.680478316499</v>
      </c>
      <c r="L982" s="2">
        <v>162077788.543686</v>
      </c>
      <c r="M982" s="3">
        <v>-1565.5092433465099</v>
      </c>
      <c r="N982" s="3">
        <v>84895249.995834604</v>
      </c>
      <c r="O982" s="4">
        <v>0.24499748776907199</v>
      </c>
      <c r="P982" s="4">
        <v>3.64793981046714E-2</v>
      </c>
      <c r="Q982" s="5">
        <v>-2.1351569084479001E-2</v>
      </c>
      <c r="R982" s="5">
        <v>3.3072995548626598E-3</v>
      </c>
      <c r="S982" s="6">
        <v>0.57484256830237301</v>
      </c>
      <c r="T982" s="6">
        <v>8.9218960412843606E-2</v>
      </c>
      <c r="U982" s="7">
        <v>0.77751233649252005</v>
      </c>
      <c r="V982" s="7">
        <v>0.172986903094555</v>
      </c>
      <c r="W982" s="8">
        <v>0.75594631993942696</v>
      </c>
      <c r="X982" s="8">
        <v>0.184491481309151</v>
      </c>
      <c r="Y982" s="2">
        <v>30</v>
      </c>
      <c r="Z982" s="2" t="e">
        <f>VLOOKUP(E982,YieldData!T:U,2,FALSE)</f>
        <v>#VALUE!</v>
      </c>
      <c r="AA982">
        <f t="shared" si="30"/>
        <v>0.913534329143595</v>
      </c>
    </row>
    <row r="983" spans="1:27" hidden="1" x14ac:dyDescent="0.25">
      <c r="A983">
        <v>46</v>
      </c>
      <c r="B983">
        <v>506</v>
      </c>
      <c r="C983" t="s">
        <v>20</v>
      </c>
      <c r="D983" t="s">
        <v>100</v>
      </c>
      <c r="E983" t="e">
        <f t="shared" si="31"/>
        <v>#VALUE!</v>
      </c>
      <c r="H983">
        <v>37</v>
      </c>
      <c r="I983" t="s">
        <v>21</v>
      </c>
      <c r="J983" t="s">
        <v>22</v>
      </c>
      <c r="K983" s="2">
        <v>21004.484212171701</v>
      </c>
      <c r="L983" s="2">
        <v>185829181.55021599</v>
      </c>
      <c r="M983" s="3">
        <v>1577.75882619451</v>
      </c>
      <c r="N983" s="3">
        <v>123988936.75199901</v>
      </c>
      <c r="O983" s="4">
        <v>0.19507777384684799</v>
      </c>
      <c r="P983" s="4">
        <v>5.3441190193063197E-2</v>
      </c>
      <c r="Q983" s="5">
        <v>-3.1525179511040897E-2</v>
      </c>
      <c r="R983" s="5">
        <v>3.50259338356196E-3</v>
      </c>
      <c r="S983" s="6">
        <v>0.481998400175355</v>
      </c>
      <c r="T983" s="6">
        <v>0.13726336111529899</v>
      </c>
      <c r="U983" s="7">
        <v>0.65768288870362601</v>
      </c>
      <c r="V983" s="7">
        <v>0.22513610661</v>
      </c>
      <c r="W983" s="8">
        <v>0.75295696123384703</v>
      </c>
      <c r="X983" s="8">
        <v>0.18601277576334899</v>
      </c>
      <c r="Y983" s="2">
        <v>24</v>
      </c>
      <c r="Z983" s="2" t="e">
        <f>VLOOKUP(E983,YieldData!T:U,2,FALSE)</f>
        <v>#VALUE!</v>
      </c>
      <c r="AA983">
        <f t="shared" si="30"/>
        <v>0.913534329143595</v>
      </c>
    </row>
    <row r="984" spans="1:27" hidden="1" x14ac:dyDescent="0.25">
      <c r="A984">
        <v>47</v>
      </c>
      <c r="B984">
        <v>510</v>
      </c>
      <c r="C984" t="s">
        <v>20</v>
      </c>
      <c r="D984" t="s">
        <v>100</v>
      </c>
      <c r="E984" t="e">
        <f t="shared" si="31"/>
        <v>#VALUE!</v>
      </c>
      <c r="H984">
        <v>37</v>
      </c>
      <c r="I984" t="s">
        <v>21</v>
      </c>
      <c r="J984" t="s">
        <v>22</v>
      </c>
      <c r="K984" s="2">
        <v>22609.4675719718</v>
      </c>
      <c r="L984" s="2">
        <v>154948264.385369</v>
      </c>
      <c r="M984" s="3">
        <v>-16.252404557384999</v>
      </c>
      <c r="N984" s="3">
        <v>72440857.150352105</v>
      </c>
      <c r="O984" s="4">
        <v>0.25740847460118899</v>
      </c>
      <c r="P984" s="4">
        <v>2.9577559116744902E-2</v>
      </c>
      <c r="Q984" s="5">
        <v>-2.60206498359591E-2</v>
      </c>
      <c r="R984" s="5">
        <v>2.7293542489085299E-3</v>
      </c>
      <c r="S984" s="6">
        <v>0.58393925429739801</v>
      </c>
      <c r="T984" s="6">
        <v>7.6812213393088705E-2</v>
      </c>
      <c r="U984" s="7">
        <v>0.7393536121673</v>
      </c>
      <c r="V984" s="7">
        <v>0.192709848342282</v>
      </c>
      <c r="W984" s="8">
        <v>0.73193916349809895</v>
      </c>
      <c r="X984" s="8">
        <v>0.19620422443602101</v>
      </c>
      <c r="Y984" s="2">
        <v>30</v>
      </c>
      <c r="Z984" s="2" t="e">
        <f>VLOOKUP(E984,YieldData!T:U,2,FALSE)</f>
        <v>#VALUE!</v>
      </c>
      <c r="AA984">
        <f t="shared" si="30"/>
        <v>0.913534329143595</v>
      </c>
    </row>
    <row r="985" spans="1:27" hidden="1" x14ac:dyDescent="0.25">
      <c r="A985">
        <v>48</v>
      </c>
      <c r="B985">
        <v>509</v>
      </c>
      <c r="C985" t="s">
        <v>20</v>
      </c>
      <c r="D985" t="s">
        <v>100</v>
      </c>
      <c r="E985" t="e">
        <f t="shared" si="31"/>
        <v>#VALUE!</v>
      </c>
      <c r="H985">
        <v>37</v>
      </c>
      <c r="I985" t="s">
        <v>21</v>
      </c>
      <c r="J985" t="s">
        <v>22</v>
      </c>
      <c r="K985" s="2">
        <v>21693.141607891401</v>
      </c>
      <c r="L985" s="2">
        <v>130831425.566864</v>
      </c>
      <c r="M985" s="3">
        <v>290.60005028840698</v>
      </c>
      <c r="N985" s="3">
        <v>84376078.962021694</v>
      </c>
      <c r="O985" s="4">
        <v>0.28275774647771201</v>
      </c>
      <c r="P985" s="4">
        <v>4.13867255089371E-2</v>
      </c>
      <c r="Q985" s="5">
        <v>-1.01916765346114E-2</v>
      </c>
      <c r="R985" s="5">
        <v>3.0324253617287299E-3</v>
      </c>
      <c r="S985" s="6">
        <v>0.59028839981709902</v>
      </c>
      <c r="T985" s="6">
        <v>9.2550310280446205E-2</v>
      </c>
      <c r="U985" s="7">
        <v>0.748491746588548</v>
      </c>
      <c r="V985" s="7">
        <v>0.188251851877271</v>
      </c>
      <c r="W985" s="8">
        <v>0.67363262056697903</v>
      </c>
      <c r="X985" s="8">
        <v>0.21985171307490001</v>
      </c>
      <c r="Y985" s="2">
        <v>39</v>
      </c>
      <c r="Z985" s="2" t="e">
        <f>VLOOKUP(E985,YieldData!T:U,2,FALSE)</f>
        <v>#VALUE!</v>
      </c>
      <c r="AA985">
        <f t="shared" si="30"/>
        <v>0.913534329143595</v>
      </c>
    </row>
    <row r="986" spans="1:27" hidden="1" x14ac:dyDescent="0.25">
      <c r="A986">
        <v>49</v>
      </c>
      <c r="B986">
        <v>508</v>
      </c>
      <c r="C986" t="s">
        <v>20</v>
      </c>
      <c r="D986" t="s">
        <v>100</v>
      </c>
      <c r="E986" t="e">
        <f t="shared" si="31"/>
        <v>#VALUE!</v>
      </c>
      <c r="H986">
        <v>37</v>
      </c>
      <c r="I986" t="s">
        <v>21</v>
      </c>
      <c r="J986" t="s">
        <v>22</v>
      </c>
      <c r="K986" s="2">
        <v>21681.0561542418</v>
      </c>
      <c r="L986" s="2">
        <v>194838573.843142</v>
      </c>
      <c r="M986" s="3">
        <v>2439.8641779719901</v>
      </c>
      <c r="N986" s="3">
        <v>125110167.67700399</v>
      </c>
      <c r="O986" s="4">
        <v>0.17573920478784799</v>
      </c>
      <c r="P986" s="4">
        <v>5.7762137534916699E-2</v>
      </c>
      <c r="Q986" s="5">
        <v>-3.7511807996294902E-2</v>
      </c>
      <c r="R986" s="5">
        <v>3.7915922616844301E-3</v>
      </c>
      <c r="S986" s="6">
        <v>0.46220702076921999</v>
      </c>
      <c r="T986" s="6">
        <v>0.13850651624559801</v>
      </c>
      <c r="U986" s="7">
        <v>0.64150988529942998</v>
      </c>
      <c r="V986" s="7">
        <v>0.229974952362417</v>
      </c>
      <c r="W986" s="8">
        <v>0.58636032006123695</v>
      </c>
      <c r="X986" s="8">
        <v>0.24254189511896501</v>
      </c>
      <c r="Y986" s="2">
        <v>26</v>
      </c>
      <c r="Z986" s="2" t="e">
        <f>VLOOKUP(E986,YieldData!T:U,2,FALSE)</f>
        <v>#VALUE!</v>
      </c>
      <c r="AA986">
        <f t="shared" si="30"/>
        <v>0.913534329143595</v>
      </c>
    </row>
    <row r="987" spans="1:27" hidden="1" x14ac:dyDescent="0.25">
      <c r="A987">
        <v>50</v>
      </c>
      <c r="B987">
        <v>507</v>
      </c>
      <c r="C987" t="s">
        <v>20</v>
      </c>
      <c r="D987" t="s">
        <v>100</v>
      </c>
      <c r="E987" t="e">
        <f t="shared" si="31"/>
        <v>#VALUE!</v>
      </c>
      <c r="H987">
        <v>37</v>
      </c>
      <c r="I987" t="s">
        <v>21</v>
      </c>
      <c r="J987" t="s">
        <v>22</v>
      </c>
      <c r="K987" s="2">
        <v>20705.569463853299</v>
      </c>
      <c r="L987" s="2">
        <v>171422952.017654</v>
      </c>
      <c r="M987" s="3">
        <v>1584.6958922409799</v>
      </c>
      <c r="N987" s="3">
        <v>111419841.744992</v>
      </c>
      <c r="O987" s="4">
        <v>0.20362979827108099</v>
      </c>
      <c r="P987" s="4">
        <v>5.4632195337376503E-2</v>
      </c>
      <c r="Q987" s="5">
        <v>-2.8689024060863801E-2</v>
      </c>
      <c r="R987" s="5">
        <v>3.7265023679307402E-3</v>
      </c>
      <c r="S987" s="6">
        <v>0.485671634766912</v>
      </c>
      <c r="T987" s="6">
        <v>0.130237056921472</v>
      </c>
      <c r="U987" s="7">
        <v>0.67028709789000396</v>
      </c>
      <c r="V987" s="7">
        <v>0.221002304292365</v>
      </c>
      <c r="W987" s="8">
        <v>0.55157384987893499</v>
      </c>
      <c r="X987" s="8">
        <v>0.24734013800849899</v>
      </c>
      <c r="Y987" s="2">
        <v>14</v>
      </c>
      <c r="Z987" s="2" t="e">
        <f>VLOOKUP(E987,YieldData!T:U,2,FALSE)</f>
        <v>#VALUE!</v>
      </c>
      <c r="AA987">
        <f t="shared" si="30"/>
        <v>0.913534329143595</v>
      </c>
    </row>
    <row r="988" spans="1:27" hidden="1" x14ac:dyDescent="0.25">
      <c r="A988">
        <v>51</v>
      </c>
      <c r="B988">
        <v>601</v>
      </c>
      <c r="C988" t="s">
        <v>20</v>
      </c>
      <c r="D988">
        <v>25112</v>
      </c>
      <c r="E988">
        <f t="shared" si="31"/>
        <v>25112601</v>
      </c>
      <c r="F988">
        <f>VLOOKUP(E988,YieldData!D:F,2,FALSE)</f>
        <v>1</v>
      </c>
      <c r="G988">
        <f>VLOOKUP($E988,YieldData!$D:$F,3,FALSE)</f>
        <v>1</v>
      </c>
      <c r="H988">
        <v>37</v>
      </c>
      <c r="I988" t="s">
        <v>21</v>
      </c>
      <c r="J988" t="s">
        <v>22</v>
      </c>
      <c r="K988" s="2">
        <v>11388.9607348315</v>
      </c>
      <c r="L988" s="2">
        <v>153621774.74004599</v>
      </c>
      <c r="M988" s="3">
        <v>9754.9951195806498</v>
      </c>
      <c r="N988" s="3">
        <v>113356528.005878</v>
      </c>
      <c r="O988" s="4">
        <v>6.81213318739287E-2</v>
      </c>
      <c r="P988" s="4">
        <v>4.4406301098840098E-2</v>
      </c>
      <c r="Q988" s="5">
        <v>-5.9116912038102702E-2</v>
      </c>
      <c r="R988" s="5">
        <v>2.1919431340845499E-3</v>
      </c>
      <c r="S988" s="6">
        <v>0.28312335979244702</v>
      </c>
      <c r="T988" s="6">
        <v>0.122230755399893</v>
      </c>
      <c r="U988" s="7">
        <v>0.354642331750607</v>
      </c>
      <c r="V988" s="7">
        <v>0.22887114828126501</v>
      </c>
      <c r="W988" s="8">
        <v>0.53787181112533</v>
      </c>
      <c r="X988" s="8">
        <v>0.24856572592204501</v>
      </c>
      <c r="Y988" s="2">
        <v>15</v>
      </c>
      <c r="Z988" s="2">
        <f>VLOOKUP(E988,YieldData!T:U,2,FALSE)</f>
        <v>2181.5917843388966</v>
      </c>
      <c r="AA988">
        <f t="shared" si="30"/>
        <v>0.56725628789781501</v>
      </c>
    </row>
    <row r="989" spans="1:27" hidden="1" x14ac:dyDescent="0.25">
      <c r="A989">
        <v>52</v>
      </c>
      <c r="B989">
        <v>602</v>
      </c>
      <c r="C989" t="s">
        <v>20</v>
      </c>
      <c r="D989">
        <v>25112</v>
      </c>
      <c r="E989">
        <f t="shared" si="31"/>
        <v>25112602</v>
      </c>
      <c r="F989">
        <f>VLOOKUP(E989,YieldData!D:F,2,FALSE)</f>
        <v>2</v>
      </c>
      <c r="G989">
        <f>VLOOKUP($E989,YieldData!$D:$F,3,FALSE)</f>
        <v>1</v>
      </c>
      <c r="H989">
        <v>37</v>
      </c>
      <c r="I989" t="s">
        <v>21</v>
      </c>
      <c r="J989" t="s">
        <v>22</v>
      </c>
      <c r="K989" s="2">
        <v>16525.5272965609</v>
      </c>
      <c r="L989" s="2">
        <v>175311047.26853099</v>
      </c>
      <c r="M989" s="3">
        <v>6242.09673781528</v>
      </c>
      <c r="N989" s="3">
        <v>129816264.646455</v>
      </c>
      <c r="O989" s="4">
        <v>0.127896488513534</v>
      </c>
      <c r="P989" s="4">
        <v>4.9684517786044401E-2</v>
      </c>
      <c r="Q989" s="5">
        <v>-4.8409860043991199E-2</v>
      </c>
      <c r="R989" s="5">
        <v>2.8480268986002099E-3</v>
      </c>
      <c r="S989" s="6">
        <v>0.38320639936147899</v>
      </c>
      <c r="T989" s="6">
        <v>0.12760838458638299</v>
      </c>
      <c r="U989" s="7">
        <v>0.51046111139670003</v>
      </c>
      <c r="V989" s="7">
        <v>0.249890565148424</v>
      </c>
      <c r="W989" s="8">
        <v>0.40758494833701697</v>
      </c>
      <c r="X989" s="8">
        <v>0.24145945822588599</v>
      </c>
      <c r="Y989" s="2">
        <v>12</v>
      </c>
      <c r="Z989" s="2">
        <f>VLOOKUP(E989,YieldData!T:U,2,FALSE)</f>
        <v>2508.231707317073</v>
      </c>
      <c r="AA989">
        <f t="shared" si="30"/>
        <v>0.55694771065448401</v>
      </c>
    </row>
    <row r="990" spans="1:27" hidden="1" x14ac:dyDescent="0.25">
      <c r="A990">
        <v>53</v>
      </c>
      <c r="B990">
        <v>603</v>
      </c>
      <c r="C990" t="s">
        <v>20</v>
      </c>
      <c r="D990">
        <v>25112</v>
      </c>
      <c r="E990">
        <f t="shared" si="31"/>
        <v>25112603</v>
      </c>
      <c r="F990">
        <f>VLOOKUP(E990,YieldData!D:F,2,FALSE)</f>
        <v>3</v>
      </c>
      <c r="G990">
        <f>VLOOKUP($E990,YieldData!$D:$F,3,FALSE)</f>
        <v>1</v>
      </c>
      <c r="H990">
        <v>37</v>
      </c>
      <c r="I990" t="s">
        <v>21</v>
      </c>
      <c r="J990" t="s">
        <v>22</v>
      </c>
      <c r="K990" s="2">
        <v>25481.593951135001</v>
      </c>
      <c r="L990" s="2">
        <v>168098163.773783</v>
      </c>
      <c r="M990" s="3">
        <v>-954.26098828526403</v>
      </c>
      <c r="N990" s="3">
        <v>94265383.008951604</v>
      </c>
      <c r="O990" s="4">
        <v>0.24373218681259101</v>
      </c>
      <c r="P990" s="4">
        <v>2.9947045347602699E-2</v>
      </c>
      <c r="Q990" s="5">
        <v>-3.0237386557578402E-2</v>
      </c>
      <c r="R990" s="5">
        <v>2.7206010793828801E-3</v>
      </c>
      <c r="S990" s="6">
        <v>0.597623592720126</v>
      </c>
      <c r="T990" s="6">
        <v>8.4720141938329399E-2</v>
      </c>
      <c r="U990" s="7">
        <v>0.75921795541734105</v>
      </c>
      <c r="V990" s="7">
        <v>0.18280605158919699</v>
      </c>
      <c r="W990" s="8">
        <v>0.56628133722486296</v>
      </c>
      <c r="X990" s="8">
        <v>0.245606784335651</v>
      </c>
      <c r="Y990" s="2">
        <v>23</v>
      </c>
      <c r="Z990" s="2">
        <f>VLOOKUP(E990,YieldData!T:U,2,FALSE)</f>
        <v>2318.1354300385115</v>
      </c>
      <c r="AA990">
        <f t="shared" si="30"/>
        <v>0.77373397558427004</v>
      </c>
    </row>
    <row r="991" spans="1:27" hidden="1" x14ac:dyDescent="0.25">
      <c r="A991">
        <v>54</v>
      </c>
      <c r="B991">
        <v>604</v>
      </c>
      <c r="C991" t="s">
        <v>20</v>
      </c>
      <c r="D991">
        <v>25112</v>
      </c>
      <c r="E991">
        <f t="shared" si="31"/>
        <v>25112604</v>
      </c>
      <c r="F991">
        <f>VLOOKUP(E991,YieldData!D:F,2,FALSE)</f>
        <v>4</v>
      </c>
      <c r="G991">
        <f>VLOOKUP($E991,YieldData!$D:$F,3,FALSE)</f>
        <v>1</v>
      </c>
      <c r="H991">
        <v>37</v>
      </c>
      <c r="I991" t="s">
        <v>21</v>
      </c>
      <c r="J991" t="s">
        <v>22</v>
      </c>
      <c r="K991" s="2">
        <v>24815.265192566902</v>
      </c>
      <c r="L991" s="2">
        <v>170069168.40316099</v>
      </c>
      <c r="M991" s="3">
        <v>-372.895226245598</v>
      </c>
      <c r="N991" s="3">
        <v>99241463.798444495</v>
      </c>
      <c r="O991" s="4">
        <v>0.21951114572373501</v>
      </c>
      <c r="P991" s="4">
        <v>3.69131270744643E-2</v>
      </c>
      <c r="Q991" s="5">
        <v>-3.3340082367962001E-2</v>
      </c>
      <c r="R991" s="5">
        <v>3.3163245720867198E-3</v>
      </c>
      <c r="S991" s="6">
        <v>0.55237928175325002</v>
      </c>
      <c r="T991" s="6">
        <v>9.4777830120966494E-2</v>
      </c>
      <c r="U991" s="7">
        <v>0.74096640321429497</v>
      </c>
      <c r="V991" s="7">
        <v>0.19193519252204799</v>
      </c>
      <c r="W991" s="8">
        <v>0.75839919642621101</v>
      </c>
      <c r="X991" s="8">
        <v>0.18322985528623101</v>
      </c>
      <c r="Y991" s="2">
        <v>31</v>
      </c>
      <c r="Z991" s="2">
        <f>VLOOKUP(E991,YieldData!T:U,2,FALSE)</f>
        <v>634.45924261874211</v>
      </c>
      <c r="AA991">
        <f t="shared" si="30"/>
        <v>0.83857877413982296</v>
      </c>
    </row>
    <row r="992" spans="1:27" hidden="1" x14ac:dyDescent="0.25">
      <c r="A992">
        <v>55</v>
      </c>
      <c r="B992">
        <v>605</v>
      </c>
      <c r="C992" t="s">
        <v>20</v>
      </c>
      <c r="D992">
        <v>25112</v>
      </c>
      <c r="E992">
        <f t="shared" si="31"/>
        <v>25112605</v>
      </c>
      <c r="F992">
        <f>VLOOKUP(E992,YieldData!D:F,2,FALSE)</f>
        <v>3</v>
      </c>
      <c r="G992">
        <f>VLOOKUP($E992,YieldData!$D:$F,3,FALSE)</f>
        <v>2</v>
      </c>
      <c r="H992">
        <v>37</v>
      </c>
      <c r="I992" t="s">
        <v>21</v>
      </c>
      <c r="J992" t="s">
        <v>22</v>
      </c>
      <c r="K992" s="2">
        <v>19526.0338670198</v>
      </c>
      <c r="L992" s="2">
        <v>177110729.479076</v>
      </c>
      <c r="M992" s="3">
        <v>3000.1162982640699</v>
      </c>
      <c r="N992" s="3">
        <v>120668770.082738</v>
      </c>
      <c r="O992" s="4">
        <v>0.166587710574713</v>
      </c>
      <c r="P992" s="4">
        <v>5.1268808848735102E-2</v>
      </c>
      <c r="Q992" s="5">
        <v>-4.1064332728674303E-2</v>
      </c>
      <c r="R992" s="5">
        <v>3.1267060499978101E-3</v>
      </c>
      <c r="S992" s="6">
        <v>0.44799475953635398</v>
      </c>
      <c r="T992" s="6">
        <v>0.143978398374696</v>
      </c>
      <c r="U992" s="7">
        <v>0.61670879980739102</v>
      </c>
      <c r="V992" s="7">
        <v>0.23637905604784001</v>
      </c>
      <c r="W992" s="8">
        <v>0.87784064309885901</v>
      </c>
      <c r="X992" s="8">
        <v>0.107236448422391</v>
      </c>
      <c r="Y992" s="2">
        <v>49</v>
      </c>
      <c r="Z992" s="2">
        <f>VLOOKUP(E992,YieldData!T:U,2,FALSE)</f>
        <v>1653.1209884467266</v>
      </c>
      <c r="AA992">
        <f t="shared" si="30"/>
        <v>0.73001203691320005</v>
      </c>
    </row>
    <row r="993" spans="1:27" hidden="1" x14ac:dyDescent="0.25">
      <c r="A993">
        <v>56</v>
      </c>
      <c r="B993">
        <v>606</v>
      </c>
      <c r="C993" t="s">
        <v>20</v>
      </c>
      <c r="D993">
        <v>25112</v>
      </c>
      <c r="E993">
        <f t="shared" si="31"/>
        <v>25112606</v>
      </c>
      <c r="F993">
        <f>VLOOKUP(E993,YieldData!D:F,2,FALSE)</f>
        <v>4</v>
      </c>
      <c r="G993">
        <f>VLOOKUP($E993,YieldData!$D:$F,3,FALSE)</f>
        <v>2</v>
      </c>
      <c r="H993">
        <v>37</v>
      </c>
      <c r="I993" t="s">
        <v>21</v>
      </c>
      <c r="J993" t="s">
        <v>22</v>
      </c>
      <c r="K993" s="2">
        <v>23768.752532542501</v>
      </c>
      <c r="L993" s="2">
        <v>177967650.67982501</v>
      </c>
      <c r="M993" s="3">
        <v>-503.31348396935198</v>
      </c>
      <c r="N993" s="3">
        <v>96738372.721100003</v>
      </c>
      <c r="O993" s="4">
        <v>0.215552270328047</v>
      </c>
      <c r="P993" s="4">
        <v>3.8467756180814203E-2</v>
      </c>
      <c r="Q993" s="5">
        <v>-2.8236446477010999E-2</v>
      </c>
      <c r="R993" s="5">
        <v>3.4975894557938299E-3</v>
      </c>
      <c r="S993" s="6">
        <v>0.54893076006346497</v>
      </c>
      <c r="T993" s="6">
        <v>0.10303880625375</v>
      </c>
      <c r="U993" s="7">
        <v>0.74692945622506801</v>
      </c>
      <c r="V993" s="7">
        <v>0.189025843648397</v>
      </c>
      <c r="W993" s="8">
        <v>0.63394919168591202</v>
      </c>
      <c r="X993" s="8">
        <v>0.232057614046877</v>
      </c>
      <c r="Y993" s="2">
        <v>24</v>
      </c>
      <c r="Z993" s="2">
        <f>VLOOKUP(E993,YieldData!T:U,2,FALSE)</f>
        <v>258.99550706033375</v>
      </c>
      <c r="AA993">
        <f t="shared" si="30"/>
        <v>0.83590551181102402</v>
      </c>
    </row>
    <row r="994" spans="1:27" hidden="1" x14ac:dyDescent="0.25">
      <c r="A994">
        <v>57</v>
      </c>
      <c r="B994">
        <v>607</v>
      </c>
      <c r="C994" t="s">
        <v>20</v>
      </c>
      <c r="D994">
        <v>25112</v>
      </c>
      <c r="E994">
        <f t="shared" si="31"/>
        <v>25112607</v>
      </c>
      <c r="F994">
        <f>VLOOKUP(E994,YieldData!D:F,2,FALSE)</f>
        <v>1</v>
      </c>
      <c r="G994">
        <f>VLOOKUP($E994,YieldData!$D:$F,3,FALSE)</f>
        <v>2</v>
      </c>
      <c r="H994">
        <v>37</v>
      </c>
      <c r="I994" t="s">
        <v>21</v>
      </c>
      <c r="J994" t="s">
        <v>22</v>
      </c>
      <c r="K994" s="2">
        <v>17780.335318658399</v>
      </c>
      <c r="L994" s="2">
        <v>204404777.60845199</v>
      </c>
      <c r="M994" s="3">
        <v>6027.7460578882801</v>
      </c>
      <c r="N994" s="3">
        <v>124569423.044503</v>
      </c>
      <c r="O994" s="4">
        <v>5.7484997918497899E-2</v>
      </c>
      <c r="P994" s="4">
        <v>4.8030551483504803E-2</v>
      </c>
      <c r="Q994" s="5">
        <v>-6.9282633224351506E-2</v>
      </c>
      <c r="R994" s="5">
        <v>2.6854523905307302E-3</v>
      </c>
      <c r="S994" s="6">
        <v>0.30567679094947398</v>
      </c>
      <c r="T994" s="6">
        <v>0.140701157675097</v>
      </c>
      <c r="U994" s="7">
        <v>0.47348630400175701</v>
      </c>
      <c r="V994" s="7">
        <v>0.24929702392452999</v>
      </c>
      <c r="W994" s="8">
        <v>0.74448317505626604</v>
      </c>
      <c r="X994" s="8">
        <v>0.19022797711424899</v>
      </c>
      <c r="Y994" s="2">
        <v>26</v>
      </c>
      <c r="Z994" s="2">
        <f>VLOOKUP(E994,YieldData!T:U,2,FALSE)</f>
        <v>1494.5314505776639</v>
      </c>
      <c r="AA994">
        <f t="shared" si="30"/>
        <v>0.50546796745290101</v>
      </c>
    </row>
    <row r="995" spans="1:27" hidden="1" x14ac:dyDescent="0.25">
      <c r="A995">
        <v>58</v>
      </c>
      <c r="B995">
        <v>608</v>
      </c>
      <c r="C995" t="s">
        <v>20</v>
      </c>
      <c r="D995">
        <v>25112</v>
      </c>
      <c r="E995">
        <f t="shared" si="31"/>
        <v>25112608</v>
      </c>
      <c r="F995">
        <f>VLOOKUP(E995,YieldData!D:F,2,FALSE)</f>
        <v>2</v>
      </c>
      <c r="G995">
        <f>VLOOKUP($E995,YieldData!$D:$F,3,FALSE)</f>
        <v>2</v>
      </c>
      <c r="H995">
        <v>37</v>
      </c>
      <c r="I995" t="s">
        <v>21</v>
      </c>
      <c r="J995" t="s">
        <v>22</v>
      </c>
      <c r="K995" s="2">
        <v>20351.376933504402</v>
      </c>
      <c r="L995" s="2">
        <v>195269398.152289</v>
      </c>
      <c r="M995" s="3">
        <v>4294.7690914163704</v>
      </c>
      <c r="N995" s="3">
        <v>125323126.213851</v>
      </c>
      <c r="O995" s="4">
        <v>0.116883551443206</v>
      </c>
      <c r="P995" s="4">
        <v>5.2453493664372401E-2</v>
      </c>
      <c r="Q995" s="5">
        <v>-5.1106219214929298E-2</v>
      </c>
      <c r="R995" s="5">
        <v>2.7391545444297302E-3</v>
      </c>
      <c r="S995" s="6">
        <v>0.399008041643169</v>
      </c>
      <c r="T995" s="6">
        <v>0.13577799723161699</v>
      </c>
      <c r="U995" s="7">
        <v>0.57938563578707802</v>
      </c>
      <c r="V995" s="7">
        <v>0.24369792083080799</v>
      </c>
      <c r="W995" s="8">
        <v>0.42253879112100901</v>
      </c>
      <c r="X995" s="8">
        <v>0.243999761119464</v>
      </c>
      <c r="Y995" s="2">
        <v>11</v>
      </c>
      <c r="Z995" s="2">
        <f>VLOOKUP(E995,YieldData!T:U,2,FALSE)</f>
        <v>1636.4489730423622</v>
      </c>
      <c r="AA995">
        <f t="shared" si="30"/>
        <v>0.63237323006172097</v>
      </c>
    </row>
    <row r="996" spans="1:27" hidden="1" x14ac:dyDescent="0.25">
      <c r="A996">
        <v>59</v>
      </c>
      <c r="B996">
        <v>609</v>
      </c>
      <c r="C996" t="s">
        <v>20</v>
      </c>
      <c r="D996">
        <v>25112</v>
      </c>
      <c r="E996">
        <f t="shared" si="31"/>
        <v>25112609</v>
      </c>
      <c r="F996">
        <f>VLOOKUP(E996,YieldData!D:F,2,FALSE)</f>
        <v>4</v>
      </c>
      <c r="G996">
        <f>VLOOKUP($E996,YieldData!$D:$F,3,FALSE)</f>
        <v>3</v>
      </c>
      <c r="H996">
        <v>37</v>
      </c>
      <c r="I996" t="s">
        <v>21</v>
      </c>
      <c r="J996" t="s">
        <v>22</v>
      </c>
      <c r="K996" s="2">
        <v>22489.4738253828</v>
      </c>
      <c r="L996" s="2">
        <v>156276993.05189201</v>
      </c>
      <c r="M996" s="3">
        <v>665.15368723158599</v>
      </c>
      <c r="N996" s="3">
        <v>82456881.445805401</v>
      </c>
      <c r="O996" s="4">
        <v>0.232601776463394</v>
      </c>
      <c r="P996" s="4">
        <v>3.6161720805958003E-2</v>
      </c>
      <c r="Q996" s="5">
        <v>-3.0423596058128499E-2</v>
      </c>
      <c r="R996" s="5">
        <v>2.05146388694364E-3</v>
      </c>
      <c r="S996" s="6">
        <v>0.55789366065259904</v>
      </c>
      <c r="T996" s="6">
        <v>9.0146511910225199E-2</v>
      </c>
      <c r="U996" s="7">
        <v>0.69999614984791902</v>
      </c>
      <c r="V996" s="7">
        <v>0.21000154004577101</v>
      </c>
      <c r="W996" s="8">
        <v>0.48848162835765302</v>
      </c>
      <c r="X996" s="8">
        <v>0.24986732711441001</v>
      </c>
      <c r="Y996" s="2">
        <v>19</v>
      </c>
      <c r="Z996" s="2">
        <f>VLOOKUP(E996,YieldData!T:U,2,FALSE)</f>
        <v>428.16431322207961</v>
      </c>
      <c r="AA996">
        <f t="shared" si="30"/>
        <v>0.74996470784512503</v>
      </c>
    </row>
    <row r="997" spans="1:27" hidden="1" x14ac:dyDescent="0.25">
      <c r="A997">
        <v>60</v>
      </c>
      <c r="B997">
        <v>610</v>
      </c>
      <c r="C997" t="s">
        <v>20</v>
      </c>
      <c r="D997">
        <v>25112</v>
      </c>
      <c r="E997">
        <f t="shared" si="31"/>
        <v>25112610</v>
      </c>
      <c r="F997">
        <f>VLOOKUP(E997,YieldData!D:F,2,FALSE)</f>
        <v>3</v>
      </c>
      <c r="G997">
        <f>VLOOKUP($E997,YieldData!$D:$F,3,FALSE)</f>
        <v>3</v>
      </c>
      <c r="H997">
        <v>37</v>
      </c>
      <c r="I997" t="s">
        <v>21</v>
      </c>
      <c r="J997" t="s">
        <v>22</v>
      </c>
      <c r="K997" s="2">
        <v>13670.7250669234</v>
      </c>
      <c r="L997" s="2">
        <v>133379865.857646</v>
      </c>
      <c r="M997" s="3">
        <v>6549.4545756749903</v>
      </c>
      <c r="N997" s="3">
        <v>103427597.38228799</v>
      </c>
      <c r="O997" s="4">
        <v>0.14009703337371901</v>
      </c>
      <c r="P997" s="4">
        <v>4.9405746528039099E-2</v>
      </c>
      <c r="Q997" s="5">
        <v>-4.4651283481953498E-2</v>
      </c>
      <c r="R997" s="5">
        <v>2.43169546177292E-3</v>
      </c>
      <c r="S997" s="6">
        <v>0.37819209939505899</v>
      </c>
      <c r="T997" s="6">
        <v>0.120762063399248</v>
      </c>
      <c r="U997" s="7">
        <v>0.46667018316564002</v>
      </c>
      <c r="V997" s="7">
        <v>0.24888912330943999</v>
      </c>
      <c r="W997" s="8">
        <v>0.83645642398428099</v>
      </c>
      <c r="X997" s="8">
        <v>0.136797074759859</v>
      </c>
      <c r="Y997" s="2">
        <v>33</v>
      </c>
      <c r="Z997" s="2">
        <f>VLOOKUP(E997,YieldData!T:U,2,FALSE)</f>
        <v>2054.942233632863</v>
      </c>
      <c r="AA997">
        <f t="shared" si="30"/>
        <v>0.57715333087188103</v>
      </c>
    </row>
    <row r="998" spans="1:27" hidden="1" x14ac:dyDescent="0.25">
      <c r="A998">
        <v>61</v>
      </c>
      <c r="B998">
        <v>701</v>
      </c>
      <c r="C998" t="s">
        <v>20</v>
      </c>
      <c r="D998" t="s">
        <v>100</v>
      </c>
      <c r="E998" t="e">
        <f t="shared" si="31"/>
        <v>#VALUE!</v>
      </c>
      <c r="H998">
        <v>37</v>
      </c>
      <c r="I998" t="s">
        <v>21</v>
      </c>
      <c r="J998" t="s">
        <v>22</v>
      </c>
      <c r="K998" s="2">
        <v>15140.6876793915</v>
      </c>
      <c r="L998" s="2">
        <v>146719834.38684699</v>
      </c>
      <c r="M998" s="3">
        <v>4130.87290214312</v>
      </c>
      <c r="N998" s="3">
        <v>99257512.291117996</v>
      </c>
      <c r="O998" s="4">
        <v>0.217550624061499</v>
      </c>
      <c r="P998" s="4">
        <v>4.8313412185695799E-2</v>
      </c>
      <c r="Q998" s="5">
        <v>-1.8057775812773399E-2</v>
      </c>
      <c r="R998" s="5">
        <v>2.38747795868832E-3</v>
      </c>
      <c r="S998" s="6">
        <v>0.47959492616195099</v>
      </c>
      <c r="T998" s="6">
        <v>0.117374327817864</v>
      </c>
      <c r="U998" s="7">
        <v>0.55335103329506297</v>
      </c>
      <c r="V998" s="7">
        <v>0.24715366724617099</v>
      </c>
      <c r="W998" s="8">
        <v>0.51773584003061601</v>
      </c>
      <c r="X998" s="8">
        <v>0.24968543997871101</v>
      </c>
      <c r="Y998" s="2">
        <v>13</v>
      </c>
      <c r="Z998" s="2" t="e">
        <f>VLOOKUP(E998,YieldData!T:U,2,FALSE)</f>
        <v>#VALUE!</v>
      </c>
      <c r="AA998">
        <f t="shared" si="30"/>
        <v>0.913534329143595</v>
      </c>
    </row>
    <row r="999" spans="1:27" hidden="1" x14ac:dyDescent="0.25">
      <c r="A999">
        <v>62</v>
      </c>
      <c r="B999">
        <v>702</v>
      </c>
      <c r="C999" t="s">
        <v>20</v>
      </c>
      <c r="D999" t="s">
        <v>100</v>
      </c>
      <c r="E999" t="e">
        <f t="shared" si="31"/>
        <v>#VALUE!</v>
      </c>
      <c r="H999">
        <v>37</v>
      </c>
      <c r="I999" t="s">
        <v>21</v>
      </c>
      <c r="J999" t="s">
        <v>22</v>
      </c>
      <c r="K999" s="2">
        <v>21793.027695725399</v>
      </c>
      <c r="L999" s="2">
        <v>172741948.54964301</v>
      </c>
      <c r="M999" s="3">
        <v>1239.28821760695</v>
      </c>
      <c r="N999" s="3">
        <v>87812306.267697394</v>
      </c>
      <c r="O999" s="4">
        <v>0.25334218165296402</v>
      </c>
      <c r="P999" s="4">
        <v>3.5342246541153997E-2</v>
      </c>
      <c r="Q999" s="5">
        <v>-8.8279416551163697E-3</v>
      </c>
      <c r="R999" s="5">
        <v>2.6050008428814501E-3</v>
      </c>
      <c r="S999" s="6">
        <v>0.54752081379704198</v>
      </c>
      <c r="T999" s="6">
        <v>8.6612116180151799E-2</v>
      </c>
      <c r="U999" s="7">
        <v>0.67571955179064003</v>
      </c>
      <c r="V999" s="7">
        <v>0.219122639118353</v>
      </c>
      <c r="W999" s="8">
        <v>0.416546639650416</v>
      </c>
      <c r="X999" s="8">
        <v>0.243035536646486</v>
      </c>
      <c r="Y999" s="2">
        <v>14</v>
      </c>
      <c r="Z999" s="2" t="e">
        <f>VLOOKUP(E999,YieldData!T:U,2,FALSE)</f>
        <v>#VALUE!</v>
      </c>
      <c r="AA999">
        <f t="shared" si="30"/>
        <v>0.913534329143595</v>
      </c>
    </row>
    <row r="1000" spans="1:27" hidden="1" x14ac:dyDescent="0.25">
      <c r="A1000">
        <v>63</v>
      </c>
      <c r="B1000">
        <v>703</v>
      </c>
      <c r="C1000" t="s">
        <v>20</v>
      </c>
      <c r="D1000" t="s">
        <v>100</v>
      </c>
      <c r="E1000" t="e">
        <f t="shared" si="31"/>
        <v>#VALUE!</v>
      </c>
      <c r="H1000">
        <v>37</v>
      </c>
      <c r="I1000" t="s">
        <v>21</v>
      </c>
      <c r="J1000" t="s">
        <v>22</v>
      </c>
      <c r="K1000" s="2">
        <v>20375.849683676799</v>
      </c>
      <c r="L1000" s="2">
        <v>164412120.80722499</v>
      </c>
      <c r="M1000" s="3">
        <v>2404.8624997936099</v>
      </c>
      <c r="N1000" s="3">
        <v>119466107.464496</v>
      </c>
      <c r="O1000" s="4">
        <v>0.22765673491650401</v>
      </c>
      <c r="P1000" s="4">
        <v>4.5870154709113098E-2</v>
      </c>
      <c r="Q1000" s="5">
        <v>-2.0512846547557299E-2</v>
      </c>
      <c r="R1000" s="5">
        <v>3.3036595179572899E-3</v>
      </c>
      <c r="S1000" s="6">
        <v>0.52427795099172703</v>
      </c>
      <c r="T1000" s="6">
        <v>0.12068032360813399</v>
      </c>
      <c r="U1000" s="7">
        <v>0.64796632263774101</v>
      </c>
      <c r="V1000" s="7">
        <v>0.22810596736504099</v>
      </c>
      <c r="W1000" s="8">
        <v>0.59882559766554599</v>
      </c>
      <c r="X1000" s="8">
        <v>0.24023350124604601</v>
      </c>
      <c r="Y1000" s="2">
        <v>17</v>
      </c>
      <c r="Z1000" s="2" t="e">
        <f>VLOOKUP(E1000,YieldData!T:U,2,FALSE)</f>
        <v>#VALUE!</v>
      </c>
      <c r="AA1000">
        <f t="shared" si="30"/>
        <v>0.913534329143595</v>
      </c>
    </row>
    <row r="1001" spans="1:27" hidden="1" x14ac:dyDescent="0.25">
      <c r="A1001">
        <v>64</v>
      </c>
      <c r="B1001">
        <v>704</v>
      </c>
      <c r="C1001" t="s">
        <v>20</v>
      </c>
      <c r="D1001" t="s">
        <v>100</v>
      </c>
      <c r="E1001" t="e">
        <f t="shared" si="31"/>
        <v>#VALUE!</v>
      </c>
      <c r="H1001">
        <v>37</v>
      </c>
      <c r="I1001" t="s">
        <v>21</v>
      </c>
      <c r="J1001" t="s">
        <v>22</v>
      </c>
      <c r="K1001" s="2">
        <v>19693.3558047802</v>
      </c>
      <c r="L1001" s="2">
        <v>135625459.676202</v>
      </c>
      <c r="M1001" s="3">
        <v>2043.56782627143</v>
      </c>
      <c r="N1001" s="3">
        <v>112944958.43494099</v>
      </c>
      <c r="O1001" s="4">
        <v>0.21954730493242899</v>
      </c>
      <c r="P1001" s="4">
        <v>5.2744869575896303E-2</v>
      </c>
      <c r="Q1001" s="5">
        <v>-2.41841260193301E-2</v>
      </c>
      <c r="R1001" s="5">
        <v>3.8180755655571798E-3</v>
      </c>
      <c r="S1001" s="6">
        <v>0.51113290188146399</v>
      </c>
      <c r="T1001" s="6">
        <v>0.12500408561597101</v>
      </c>
      <c r="U1001" s="7">
        <v>0.67320881265547905</v>
      </c>
      <c r="V1001" s="7">
        <v>0.21999870721873199</v>
      </c>
      <c r="W1001" s="8">
        <v>0.80029961929108395</v>
      </c>
      <c r="X1001" s="8">
        <v>0.15982013865351499</v>
      </c>
      <c r="Y1001" s="2">
        <v>31</v>
      </c>
      <c r="Z1001" s="2" t="e">
        <f>VLOOKUP(E1001,YieldData!T:U,2,FALSE)</f>
        <v>#VALUE!</v>
      </c>
      <c r="AA1001">
        <f t="shared" si="30"/>
        <v>0.913534329143595</v>
      </c>
    </row>
    <row r="1002" spans="1:27" hidden="1" x14ac:dyDescent="0.25">
      <c r="A1002">
        <v>65</v>
      </c>
      <c r="B1002">
        <v>705</v>
      </c>
      <c r="C1002" t="s">
        <v>20</v>
      </c>
      <c r="D1002" t="s">
        <v>100</v>
      </c>
      <c r="E1002" t="e">
        <f t="shared" si="31"/>
        <v>#VALUE!</v>
      </c>
      <c r="H1002">
        <v>37</v>
      </c>
      <c r="I1002" t="s">
        <v>21</v>
      </c>
      <c r="J1002" t="s">
        <v>22</v>
      </c>
      <c r="K1002" s="2">
        <v>22919.101800382701</v>
      </c>
      <c r="L1002" s="2">
        <v>176558128.938178</v>
      </c>
      <c r="M1002" s="3">
        <v>652.29162517737404</v>
      </c>
      <c r="N1002" s="3">
        <v>111126113.81849501</v>
      </c>
      <c r="O1002" s="4">
        <v>0.19320482633946501</v>
      </c>
      <c r="P1002" s="4">
        <v>3.5437079443909197E-2</v>
      </c>
      <c r="Q1002" s="5">
        <v>-4.2386502312295203E-2</v>
      </c>
      <c r="R1002" s="5">
        <v>2.44365666197833E-3</v>
      </c>
      <c r="S1002" s="6">
        <v>0.51115146512373799</v>
      </c>
      <c r="T1002" s="6">
        <v>0.108320400736042</v>
      </c>
      <c r="U1002" s="7">
        <v>0.69368759519377199</v>
      </c>
      <c r="V1002" s="7">
        <v>0.212485115468171</v>
      </c>
      <c r="W1002" s="8">
        <v>0.83368264837210504</v>
      </c>
      <c r="X1002" s="8">
        <v>0.138655890175226</v>
      </c>
      <c r="Y1002" s="2">
        <v>45</v>
      </c>
      <c r="Z1002" s="2" t="e">
        <f>VLOOKUP(E1002,YieldData!T:U,2,FALSE)</f>
        <v>#VALUE!</v>
      </c>
      <c r="AA1002">
        <f t="shared" si="30"/>
        <v>0.913534329143595</v>
      </c>
    </row>
    <row r="1003" spans="1:27" hidden="1" x14ac:dyDescent="0.25">
      <c r="A1003">
        <v>66</v>
      </c>
      <c r="B1003">
        <v>706</v>
      </c>
      <c r="C1003" t="s">
        <v>20</v>
      </c>
      <c r="D1003" t="s">
        <v>100</v>
      </c>
      <c r="E1003" t="e">
        <f t="shared" si="31"/>
        <v>#VALUE!</v>
      </c>
      <c r="H1003">
        <v>37</v>
      </c>
      <c r="I1003" t="s">
        <v>21</v>
      </c>
      <c r="J1003" t="s">
        <v>22</v>
      </c>
      <c r="K1003" s="2">
        <v>23609.969828678601</v>
      </c>
      <c r="L1003" s="2">
        <v>195486097.859079</v>
      </c>
      <c r="M1003" s="3">
        <v>504.13401456404</v>
      </c>
      <c r="N1003" s="3">
        <v>109738442.76702701</v>
      </c>
      <c r="O1003" s="4">
        <v>0.19378002962692101</v>
      </c>
      <c r="P1003" s="4">
        <v>3.5831280316462398E-2</v>
      </c>
      <c r="Q1003" s="5">
        <v>-3.8356193925144597E-2</v>
      </c>
      <c r="R1003" s="5">
        <v>3.17300720374427E-3</v>
      </c>
      <c r="S1003" s="6">
        <v>0.52544710999996003</v>
      </c>
      <c r="T1003" s="6">
        <v>0.104670757181654</v>
      </c>
      <c r="U1003" s="7">
        <v>0.70614324091438996</v>
      </c>
      <c r="V1003" s="7">
        <v>0.207504964225247</v>
      </c>
      <c r="W1003" s="8">
        <v>0.56140706574078802</v>
      </c>
      <c r="X1003" s="8">
        <v>0.24622917227725</v>
      </c>
      <c r="Y1003" s="2">
        <v>18</v>
      </c>
      <c r="Z1003" s="2" t="e">
        <f>VLOOKUP(E1003,YieldData!T:U,2,FALSE)</f>
        <v>#VALUE!</v>
      </c>
      <c r="AA1003">
        <f t="shared" si="30"/>
        <v>0.913534329143595</v>
      </c>
    </row>
    <row r="1004" spans="1:27" hidden="1" x14ac:dyDescent="0.25">
      <c r="A1004">
        <v>67</v>
      </c>
      <c r="B1004">
        <v>707</v>
      </c>
      <c r="C1004" t="s">
        <v>20</v>
      </c>
      <c r="D1004" t="s">
        <v>100</v>
      </c>
      <c r="E1004" t="e">
        <f t="shared" si="31"/>
        <v>#VALUE!</v>
      </c>
      <c r="H1004">
        <v>37</v>
      </c>
      <c r="I1004" t="s">
        <v>21</v>
      </c>
      <c r="J1004" t="s">
        <v>22</v>
      </c>
      <c r="K1004" s="2">
        <v>17422.916788093298</v>
      </c>
      <c r="L1004" s="2">
        <v>176482120.97814101</v>
      </c>
      <c r="M1004" s="3">
        <v>5295.0836327155002</v>
      </c>
      <c r="N1004" s="3">
        <v>114273984.155228</v>
      </c>
      <c r="O1004" s="4">
        <v>9.3476319734598606E-2</v>
      </c>
      <c r="P1004" s="4">
        <v>5.00664082026391E-2</v>
      </c>
      <c r="Q1004" s="5">
        <v>-5.79611658549085E-2</v>
      </c>
      <c r="R1004" s="5">
        <v>2.8609453321108598E-3</v>
      </c>
      <c r="S1004" s="6">
        <v>0.34731522024601702</v>
      </c>
      <c r="T1004" s="6">
        <v>0.13190881727249401</v>
      </c>
      <c r="U1004" s="7">
        <v>0.50714248542880902</v>
      </c>
      <c r="V1004" s="7">
        <v>0.24994898490185699</v>
      </c>
      <c r="W1004" s="8">
        <v>0.65351790174854296</v>
      </c>
      <c r="X1004" s="8">
        <v>0.22643225384259599</v>
      </c>
      <c r="Y1004" s="2">
        <v>18</v>
      </c>
      <c r="Z1004" s="2" t="e">
        <f>VLOOKUP(E1004,YieldData!T:U,2,FALSE)</f>
        <v>#VALUE!</v>
      </c>
      <c r="AA1004">
        <f t="shared" si="30"/>
        <v>0.913534329143595</v>
      </c>
    </row>
    <row r="1005" spans="1:27" hidden="1" x14ac:dyDescent="0.25">
      <c r="A1005">
        <v>68</v>
      </c>
      <c r="B1005">
        <v>708</v>
      </c>
      <c r="C1005" t="s">
        <v>20</v>
      </c>
      <c r="D1005" t="s">
        <v>100</v>
      </c>
      <c r="E1005" t="e">
        <f t="shared" si="31"/>
        <v>#VALUE!</v>
      </c>
      <c r="H1005">
        <v>37</v>
      </c>
      <c r="I1005" t="s">
        <v>21</v>
      </c>
      <c r="J1005" t="s">
        <v>22</v>
      </c>
      <c r="K1005" s="2">
        <v>17515.776807711602</v>
      </c>
      <c r="L1005" s="2">
        <v>198506048.86235201</v>
      </c>
      <c r="M1005" s="3">
        <v>5770.5359533578503</v>
      </c>
      <c r="N1005" s="3">
        <v>118655851.770564</v>
      </c>
      <c r="O1005" s="4">
        <v>8.5616335029184698E-2</v>
      </c>
      <c r="P1005" s="4">
        <v>4.6125410342181303E-2</v>
      </c>
      <c r="Q1005" s="5">
        <v>-5.8428885137245402E-2</v>
      </c>
      <c r="R1005" s="5">
        <v>2.2284148387253801E-3</v>
      </c>
      <c r="S1005" s="6">
        <v>0.35001858850266399</v>
      </c>
      <c r="T1005" s="6">
        <v>0.12632082924396301</v>
      </c>
      <c r="U1005" s="7">
        <v>0.49064749922261802</v>
      </c>
      <c r="V1005" s="7">
        <v>0.24991253072918701</v>
      </c>
      <c r="W1005" s="8">
        <v>0.54987203099959303</v>
      </c>
      <c r="X1005" s="8">
        <v>0.24751278052387299</v>
      </c>
      <c r="Y1005" s="2">
        <v>17</v>
      </c>
      <c r="Z1005" s="2" t="e">
        <f>VLOOKUP(E1005,YieldData!T:U,2,FALSE)</f>
        <v>#VALUE!</v>
      </c>
      <c r="AA1005">
        <f t="shared" si="30"/>
        <v>0.913534329143595</v>
      </c>
    </row>
    <row r="1006" spans="1:27" hidden="1" x14ac:dyDescent="0.25">
      <c r="A1006">
        <v>69</v>
      </c>
      <c r="B1006">
        <v>709</v>
      </c>
      <c r="C1006" t="s">
        <v>20</v>
      </c>
      <c r="D1006">
        <v>25112</v>
      </c>
      <c r="E1006">
        <f t="shared" si="31"/>
        <v>25112709</v>
      </c>
      <c r="F1006">
        <f>VLOOKUP(E1006,YieldData!D:F,2,FALSE)</f>
        <v>2</v>
      </c>
      <c r="G1006">
        <f>VLOOKUP($E1006,YieldData!$D:$F,3,FALSE)</f>
        <v>3</v>
      </c>
      <c r="H1006">
        <v>37</v>
      </c>
      <c r="I1006" t="s">
        <v>21</v>
      </c>
      <c r="J1006" t="s">
        <v>22</v>
      </c>
      <c r="K1006" s="2">
        <v>15568.1190067313</v>
      </c>
      <c r="L1006" s="2">
        <v>114924313.355354</v>
      </c>
      <c r="M1006" s="3">
        <v>4307.5869334864401</v>
      </c>
      <c r="N1006" s="3">
        <v>94118305.932491496</v>
      </c>
      <c r="O1006" s="4">
        <v>0.197878439684125</v>
      </c>
      <c r="P1006" s="4">
        <v>5.56211423975577E-2</v>
      </c>
      <c r="Q1006" s="5">
        <v>-2.8303358914138502E-2</v>
      </c>
      <c r="R1006" s="5">
        <v>2.6624767460708401E-3</v>
      </c>
      <c r="S1006" s="6">
        <v>0.46460083015707399</v>
      </c>
      <c r="T1006" s="6">
        <v>0.11794661508650001</v>
      </c>
      <c r="U1006" s="7">
        <v>0.57245822730862295</v>
      </c>
      <c r="V1006" s="7">
        <v>0.24474980529534199</v>
      </c>
      <c r="W1006" s="8">
        <v>0.71188437770284696</v>
      </c>
      <c r="X1006" s="8">
        <v>0.205105010485468</v>
      </c>
      <c r="Y1006" s="2">
        <v>28</v>
      </c>
      <c r="Z1006" s="2">
        <f>VLOOKUP(E1006,YieldData!T:U,2,FALSE)</f>
        <v>1822.0876123234914</v>
      </c>
      <c r="AA1006">
        <f t="shared" si="30"/>
        <v>0.67412448923316004</v>
      </c>
    </row>
    <row r="1007" spans="1:27" hidden="1" x14ac:dyDescent="0.25">
      <c r="A1007">
        <v>70</v>
      </c>
      <c r="B1007">
        <v>710</v>
      </c>
      <c r="C1007" t="s">
        <v>20</v>
      </c>
      <c r="D1007">
        <v>25112</v>
      </c>
      <c r="E1007">
        <f t="shared" si="31"/>
        <v>25112710</v>
      </c>
      <c r="F1007">
        <f>VLOOKUP(E1007,YieldData!D:F,2,FALSE)</f>
        <v>1</v>
      </c>
      <c r="G1007">
        <f>VLOOKUP($E1007,YieldData!$D:$F,3,FALSE)</f>
        <v>3</v>
      </c>
      <c r="H1007">
        <v>37</v>
      </c>
      <c r="I1007" t="s">
        <v>21</v>
      </c>
      <c r="J1007" t="s">
        <v>22</v>
      </c>
      <c r="K1007" s="2">
        <v>14130.9491061259</v>
      </c>
      <c r="L1007" s="2">
        <v>127326016.544778</v>
      </c>
      <c r="M1007" s="3">
        <v>5925.9249743424598</v>
      </c>
      <c r="N1007" s="3">
        <v>93623958.836282402</v>
      </c>
      <c r="O1007" s="4">
        <v>0.15764703821185599</v>
      </c>
      <c r="P1007" s="4">
        <v>4.9911751244310701E-2</v>
      </c>
      <c r="Q1007" s="5">
        <v>-4.1665769567752697E-2</v>
      </c>
      <c r="R1007" s="5">
        <v>2.4563089018635998E-3</v>
      </c>
      <c r="S1007" s="6">
        <v>0.410340291939017</v>
      </c>
      <c r="T1007" s="6">
        <v>0.115309138570956</v>
      </c>
      <c r="U1007" s="7">
        <v>0.498061246688763</v>
      </c>
      <c r="V1007" s="7">
        <v>0.249996241235589</v>
      </c>
      <c r="W1007" s="8">
        <v>0.71829850402467299</v>
      </c>
      <c r="X1007" s="8">
        <v>0.20234576314021599</v>
      </c>
      <c r="Y1007" s="2">
        <v>28</v>
      </c>
      <c r="Z1007" s="2">
        <f>VLOOKUP(E1007,YieldData!T:U,2,FALSE)</f>
        <v>1640.641848523748</v>
      </c>
      <c r="AA1007">
        <f t="shared" si="30"/>
        <v>0.55894961800801102</v>
      </c>
    </row>
    <row r="1008" spans="1:27" hidden="1" x14ac:dyDescent="0.25">
      <c r="A1008">
        <v>71</v>
      </c>
      <c r="B1008">
        <v>801</v>
      </c>
      <c r="C1008" t="s">
        <v>20</v>
      </c>
      <c r="D1008">
        <v>25113</v>
      </c>
      <c r="E1008">
        <f t="shared" si="31"/>
        <v>25113801</v>
      </c>
      <c r="F1008">
        <f>VLOOKUP(E1008,YieldData!D:F,2,FALSE)</f>
        <v>1</v>
      </c>
      <c r="G1008">
        <f>VLOOKUP($E1008,YieldData!$D:$F,3,FALSE)</f>
        <v>1</v>
      </c>
      <c r="H1008">
        <v>37</v>
      </c>
      <c r="I1008" t="s">
        <v>21</v>
      </c>
      <c r="J1008" t="s">
        <v>22</v>
      </c>
      <c r="K1008" s="2">
        <v>17899.8539394984</v>
      </c>
      <c r="L1008" s="2">
        <v>188558984.348813</v>
      </c>
      <c r="M1008" s="3">
        <v>3403.6839621961099</v>
      </c>
      <c r="N1008" s="3">
        <v>90120012.039060101</v>
      </c>
      <c r="O1008" s="4">
        <v>0.20748907440414199</v>
      </c>
      <c r="P1008" s="4">
        <v>3.5049605945989597E-2</v>
      </c>
      <c r="Q1008" s="5">
        <v>-2.6473416061641299E-2</v>
      </c>
      <c r="R1008" s="5">
        <v>2.2411719209328401E-3</v>
      </c>
      <c r="S1008" s="6">
        <v>0.505405430422048</v>
      </c>
      <c r="T1008" s="6">
        <v>0.10214491262266299</v>
      </c>
      <c r="U1008" s="7">
        <v>0.58285130578186894</v>
      </c>
      <c r="V1008" s="7">
        <v>0.243135661130089</v>
      </c>
      <c r="W1008" s="8">
        <v>0.52743249563098404</v>
      </c>
      <c r="X1008" s="8">
        <v>0.24924745818322</v>
      </c>
      <c r="Y1008" s="2">
        <v>16</v>
      </c>
      <c r="Z1008" s="2">
        <f>VLOOKUP(E1008,YieldData!T:U,2,FALSE)</f>
        <v>2262.7551347881895</v>
      </c>
      <c r="AA1008">
        <f t="shared" si="30"/>
        <v>0.68267076923076897</v>
      </c>
    </row>
    <row r="1009" spans="1:27" hidden="1" x14ac:dyDescent="0.25">
      <c r="A1009">
        <v>72</v>
      </c>
      <c r="B1009">
        <v>802</v>
      </c>
      <c r="C1009" t="s">
        <v>20</v>
      </c>
      <c r="D1009">
        <v>25113</v>
      </c>
      <c r="E1009">
        <f t="shared" si="31"/>
        <v>25113802</v>
      </c>
      <c r="F1009">
        <f>VLOOKUP(E1009,YieldData!D:F,2,FALSE)</f>
        <v>2</v>
      </c>
      <c r="G1009">
        <f>VLOOKUP($E1009,YieldData!$D:$F,3,FALSE)</f>
        <v>1</v>
      </c>
      <c r="H1009">
        <v>37</v>
      </c>
      <c r="I1009" t="s">
        <v>21</v>
      </c>
      <c r="J1009" t="s">
        <v>22</v>
      </c>
      <c r="K1009" s="2">
        <v>17055.616677223399</v>
      </c>
      <c r="L1009" s="2">
        <v>168963982.53247401</v>
      </c>
      <c r="M1009" s="3">
        <v>4585.5205942639004</v>
      </c>
      <c r="N1009" s="3">
        <v>109354068.641785</v>
      </c>
      <c r="O1009" s="4">
        <v>0.20665845524370699</v>
      </c>
      <c r="P1009" s="4">
        <v>5.1406684120268303E-2</v>
      </c>
      <c r="Q1009" s="5">
        <v>-2.0639292490950801E-2</v>
      </c>
      <c r="R1009" s="5">
        <v>3.3408900299912599E-3</v>
      </c>
      <c r="S1009" s="6">
        <v>0.46691565154369902</v>
      </c>
      <c r="T1009" s="6">
        <v>0.118428930607006</v>
      </c>
      <c r="U1009" s="7">
        <v>0.55805606269483499</v>
      </c>
      <c r="V1009" s="7">
        <v>0.24662949358469999</v>
      </c>
      <c r="W1009" s="8">
        <v>0.62959375038811705</v>
      </c>
      <c r="X1009" s="8">
        <v>0.23320545986043001</v>
      </c>
      <c r="Y1009" s="2">
        <v>25</v>
      </c>
      <c r="Z1009" s="2">
        <f>VLOOKUP(E1009,YieldData!T:U,2,FALSE)</f>
        <v>1414.4736842105262</v>
      </c>
      <c r="AA1009">
        <f t="shared" si="30"/>
        <v>0.68109840157979096</v>
      </c>
    </row>
    <row r="1010" spans="1:27" hidden="1" x14ac:dyDescent="0.25">
      <c r="A1010">
        <v>73</v>
      </c>
      <c r="B1010">
        <v>803</v>
      </c>
      <c r="C1010" t="s">
        <v>20</v>
      </c>
      <c r="D1010">
        <v>25113</v>
      </c>
      <c r="E1010">
        <f t="shared" si="31"/>
        <v>25113803</v>
      </c>
      <c r="F1010">
        <f>VLOOKUP(E1010,YieldData!D:F,2,FALSE)</f>
        <v>3</v>
      </c>
      <c r="G1010">
        <f>VLOOKUP($E1010,YieldData!$D:$F,3,FALSE)</f>
        <v>1</v>
      </c>
      <c r="H1010">
        <v>37</v>
      </c>
      <c r="I1010" t="s">
        <v>21</v>
      </c>
      <c r="J1010" t="s">
        <v>22</v>
      </c>
      <c r="K1010" s="2">
        <v>24801.1248593784</v>
      </c>
      <c r="L1010" s="2">
        <v>174428684.95100299</v>
      </c>
      <c r="M1010" s="3">
        <v>-895.46233320153306</v>
      </c>
      <c r="N1010" s="3">
        <v>82273846.946472004</v>
      </c>
      <c r="O1010" s="4">
        <v>0.27104231441965498</v>
      </c>
      <c r="P1010" s="4">
        <v>2.3126124286724101E-2</v>
      </c>
      <c r="Q1010" s="5">
        <v>-1.6586878799277401E-2</v>
      </c>
      <c r="R1010" s="5">
        <v>2.7658382804248501E-3</v>
      </c>
      <c r="S1010" s="6">
        <v>0.62001406043651297</v>
      </c>
      <c r="T1010" s="6">
        <v>6.7137208856953401E-2</v>
      </c>
      <c r="U1010" s="7">
        <v>0.75639907474119294</v>
      </c>
      <c r="V1010" s="7">
        <v>0.18425951447160099</v>
      </c>
      <c r="W1010" s="8">
        <v>0.442392527144717</v>
      </c>
      <c r="X1010" s="8">
        <v>0.246681379071164</v>
      </c>
      <c r="Y1010" s="2">
        <v>13</v>
      </c>
      <c r="Z1010" s="2">
        <f>VLOOKUP(E1010,YieldData!T:U,2,FALSE)</f>
        <v>1660.9900513478819</v>
      </c>
      <c r="AA1010">
        <f t="shared" si="30"/>
        <v>0.78146565888925401</v>
      </c>
    </row>
    <row r="1011" spans="1:27" hidden="1" x14ac:dyDescent="0.25">
      <c r="A1011">
        <v>74</v>
      </c>
      <c r="B1011">
        <v>804</v>
      </c>
      <c r="C1011" t="s">
        <v>20</v>
      </c>
      <c r="D1011">
        <v>25113</v>
      </c>
      <c r="E1011">
        <f t="shared" si="31"/>
        <v>25113804</v>
      </c>
      <c r="F1011">
        <f>VLOOKUP(E1011,YieldData!D:F,2,FALSE)</f>
        <v>3</v>
      </c>
      <c r="G1011">
        <f>VLOOKUP($E1011,YieldData!$D:$F,3,FALSE)</f>
        <v>2</v>
      </c>
      <c r="H1011">
        <v>37</v>
      </c>
      <c r="I1011" t="s">
        <v>21</v>
      </c>
      <c r="J1011" t="s">
        <v>22</v>
      </c>
      <c r="K1011" s="2">
        <v>24287.8550485917</v>
      </c>
      <c r="L1011" s="2">
        <v>223049636.16931799</v>
      </c>
      <c r="M1011" s="3">
        <v>1485.9714263743101</v>
      </c>
      <c r="N1011" s="3">
        <v>116980161.643857</v>
      </c>
      <c r="O1011" s="4">
        <v>0.191362592265725</v>
      </c>
      <c r="P1011" s="4">
        <v>4.1260707635838903E-2</v>
      </c>
      <c r="Q1011" s="5">
        <v>-4.1658649659747901E-2</v>
      </c>
      <c r="R1011" s="5">
        <v>3.2577658954867001E-3</v>
      </c>
      <c r="S1011" s="6">
        <v>0.52163851018590002</v>
      </c>
      <c r="T1011" s="6">
        <v>0.11448049674585301</v>
      </c>
      <c r="U1011" s="7">
        <v>0.67696151100862001</v>
      </c>
      <c r="V1011" s="7">
        <v>0.21868462362194699</v>
      </c>
      <c r="W1011" s="8">
        <v>0.56462416954922301</v>
      </c>
      <c r="X1011" s="8">
        <v>0.245823716710103</v>
      </c>
      <c r="Y1011" s="2">
        <v>17</v>
      </c>
      <c r="Z1011" s="2">
        <f>VLOOKUP(E1011,YieldData!T:U,2,FALSE)</f>
        <v>1550.2759948652119</v>
      </c>
      <c r="AA1011">
        <f t="shared" si="30"/>
        <v>0.78450725493156903</v>
      </c>
    </row>
    <row r="1012" spans="1:27" hidden="1" x14ac:dyDescent="0.25">
      <c r="A1012">
        <v>75</v>
      </c>
      <c r="B1012">
        <v>805</v>
      </c>
      <c r="C1012" t="s">
        <v>20</v>
      </c>
      <c r="D1012">
        <v>25113</v>
      </c>
      <c r="E1012">
        <f t="shared" si="31"/>
        <v>25113805</v>
      </c>
      <c r="F1012">
        <f>VLOOKUP(E1012,YieldData!D:F,2,FALSE)</f>
        <v>2</v>
      </c>
      <c r="G1012">
        <f>VLOOKUP($E1012,YieldData!$D:$F,3,FALSE)</f>
        <v>2</v>
      </c>
      <c r="H1012">
        <v>37</v>
      </c>
      <c r="I1012" t="s">
        <v>21</v>
      </c>
      <c r="J1012" t="s">
        <v>22</v>
      </c>
      <c r="K1012" s="2">
        <v>21581.927198792298</v>
      </c>
      <c r="L1012" s="2">
        <v>201432150.787761</v>
      </c>
      <c r="M1012" s="3">
        <v>1722.69614989875</v>
      </c>
      <c r="N1012" s="3">
        <v>102967977.184728</v>
      </c>
      <c r="O1012" s="4">
        <v>0.19435995978110401</v>
      </c>
      <c r="P1012" s="4">
        <v>3.82717661766247E-2</v>
      </c>
      <c r="Q1012" s="5">
        <v>-3.5465142417707103E-2</v>
      </c>
      <c r="R1012" s="5">
        <v>3.0071656334332E-3</v>
      </c>
      <c r="S1012" s="6">
        <v>0.50460446682086302</v>
      </c>
      <c r="T1012" s="6">
        <v>0.114218978556728</v>
      </c>
      <c r="U1012" s="7">
        <v>0.65914129119123099</v>
      </c>
      <c r="V1012" s="7">
        <v>0.22467404943818101</v>
      </c>
      <c r="W1012" s="8">
        <v>0.88992098355750804</v>
      </c>
      <c r="X1012" s="8">
        <v>9.7961626581257594E-2</v>
      </c>
      <c r="Y1012" s="2">
        <v>38</v>
      </c>
      <c r="Z1012" s="2">
        <f>VLOOKUP(E1012,YieldData!T:U,2,FALSE)</f>
        <v>1315.7814505776639</v>
      </c>
      <c r="AA1012">
        <f t="shared" si="30"/>
        <v>0.77694368514816503</v>
      </c>
    </row>
    <row r="1013" spans="1:27" hidden="1" x14ac:dyDescent="0.25">
      <c r="A1013">
        <v>76</v>
      </c>
      <c r="B1013">
        <v>806</v>
      </c>
      <c r="C1013" t="s">
        <v>20</v>
      </c>
      <c r="D1013">
        <v>25113</v>
      </c>
      <c r="E1013">
        <f t="shared" si="31"/>
        <v>25113806</v>
      </c>
      <c r="F1013">
        <f>VLOOKUP(E1013,YieldData!D:F,2,FALSE)</f>
        <v>1</v>
      </c>
      <c r="G1013">
        <f>VLOOKUP($E1013,YieldData!$D:$F,3,FALSE)</f>
        <v>2</v>
      </c>
      <c r="H1013">
        <v>37</v>
      </c>
      <c r="I1013" t="s">
        <v>21</v>
      </c>
      <c r="J1013" t="s">
        <v>22</v>
      </c>
      <c r="K1013" s="2">
        <v>20102.901453835999</v>
      </c>
      <c r="L1013" s="2">
        <v>148691937.55291599</v>
      </c>
      <c r="M1013" s="3">
        <v>475.86299338618301</v>
      </c>
      <c r="N1013" s="3">
        <v>94552844.683661401</v>
      </c>
      <c r="O1013" s="4">
        <v>0.26904049535004798</v>
      </c>
      <c r="P1013" s="4">
        <v>3.9523663509169402E-2</v>
      </c>
      <c r="Q1013" s="5">
        <v>-8.1345654967067797E-3</v>
      </c>
      <c r="R1013" s="5">
        <v>3.0492811169186801E-3</v>
      </c>
      <c r="S1013" s="6">
        <v>0.57538139389966103</v>
      </c>
      <c r="T1013" s="6">
        <v>0.104363674584253</v>
      </c>
      <c r="U1013" s="7">
        <v>0.71375165208634905</v>
      </c>
      <c r="V1013" s="7">
        <v>0.20431023123047701</v>
      </c>
      <c r="W1013" s="8">
        <v>0.42603058719869102</v>
      </c>
      <c r="X1013" s="8">
        <v>0.24452852596984101</v>
      </c>
      <c r="Y1013" s="2">
        <v>20</v>
      </c>
      <c r="Z1013" s="2">
        <f>VLOOKUP(E1013,YieldData!T:U,2,FALSE)</f>
        <v>1287.3668164313224</v>
      </c>
      <c r="AA1013">
        <f t="shared" si="30"/>
        <v>0.81061416648833695</v>
      </c>
    </row>
    <row r="1014" spans="1:27" hidden="1" x14ac:dyDescent="0.25">
      <c r="A1014">
        <v>77</v>
      </c>
      <c r="B1014">
        <v>807</v>
      </c>
      <c r="C1014" t="s">
        <v>20</v>
      </c>
      <c r="D1014">
        <v>25113</v>
      </c>
      <c r="E1014">
        <f t="shared" si="31"/>
        <v>25113807</v>
      </c>
      <c r="F1014">
        <f>VLOOKUP(E1014,YieldData!D:F,2,FALSE)</f>
        <v>1</v>
      </c>
      <c r="G1014">
        <f>VLOOKUP($E1014,YieldData!$D:$F,3,FALSE)</f>
        <v>3</v>
      </c>
      <c r="H1014">
        <v>37</v>
      </c>
      <c r="I1014" t="s">
        <v>21</v>
      </c>
      <c r="J1014" t="s">
        <v>22</v>
      </c>
      <c r="K1014" s="2">
        <v>23728.7664152205</v>
      </c>
      <c r="L1014" s="2">
        <v>239464374.37391001</v>
      </c>
      <c r="M1014" s="3">
        <v>2713.42622078253</v>
      </c>
      <c r="N1014" s="3">
        <v>94862791.583541706</v>
      </c>
      <c r="O1014" s="4">
        <v>0.141722469504101</v>
      </c>
      <c r="P1014" s="4">
        <v>3.2876650007345298E-2</v>
      </c>
      <c r="Q1014" s="5">
        <v>-5.0281129574632197E-2</v>
      </c>
      <c r="R1014" s="5">
        <v>2.3535647752582498E-3</v>
      </c>
      <c r="S1014" s="6">
        <v>0.46159759407394202</v>
      </c>
      <c r="T1014" s="6">
        <v>0.102955574238702</v>
      </c>
      <c r="U1014" s="7">
        <v>0.62810746534874196</v>
      </c>
      <c r="V1014" s="7">
        <v>0.233588477321717</v>
      </c>
      <c r="W1014" s="8">
        <v>0.327511674284369</v>
      </c>
      <c r="X1014" s="8">
        <v>0.220247777491865</v>
      </c>
      <c r="Y1014" s="2">
        <v>6</v>
      </c>
      <c r="Z1014" s="2">
        <f>VLOOKUP(E1014,YieldData!T:U,2,FALSE)</f>
        <v>1015.1347881899873</v>
      </c>
      <c r="AA1014">
        <f t="shared" si="30"/>
        <v>0.75823454358516995</v>
      </c>
    </row>
    <row r="1015" spans="1:27" hidden="1" x14ac:dyDescent="0.25">
      <c r="A1015">
        <v>78</v>
      </c>
      <c r="B1015">
        <v>808</v>
      </c>
      <c r="C1015" t="s">
        <v>20</v>
      </c>
      <c r="D1015">
        <v>25113</v>
      </c>
      <c r="E1015">
        <f t="shared" si="31"/>
        <v>25113808</v>
      </c>
      <c r="F1015">
        <f>VLOOKUP(E1015,YieldData!D:F,2,FALSE)</f>
        <v>2</v>
      </c>
      <c r="G1015">
        <f>VLOOKUP($E1015,YieldData!$D:$F,3,FALSE)</f>
        <v>3</v>
      </c>
      <c r="H1015">
        <v>37</v>
      </c>
      <c r="I1015" t="s">
        <v>21</v>
      </c>
      <c r="J1015" t="s">
        <v>22</v>
      </c>
      <c r="K1015" s="2">
        <v>15520.6740851471</v>
      </c>
      <c r="L1015" s="2">
        <v>166398865.44686401</v>
      </c>
      <c r="M1015" s="3">
        <v>6780.67873523053</v>
      </c>
      <c r="N1015" s="3">
        <v>129487660.41913</v>
      </c>
      <c r="O1015" s="4">
        <v>0.117416869823239</v>
      </c>
      <c r="P1015" s="4">
        <v>5.5348645889170899E-2</v>
      </c>
      <c r="Q1015" s="5">
        <v>-4.7793045174099401E-2</v>
      </c>
      <c r="R1015" s="5">
        <v>2.7918559322347102E-3</v>
      </c>
      <c r="S1015" s="6">
        <v>0.37106539597120097</v>
      </c>
      <c r="T1015" s="6">
        <v>0.13610115201768799</v>
      </c>
      <c r="U1015" s="7">
        <v>0.47653671370485501</v>
      </c>
      <c r="V1015" s="7">
        <v>0.249449474196374</v>
      </c>
      <c r="W1015" s="8">
        <v>0.43364027744558697</v>
      </c>
      <c r="X1015" s="8">
        <v>0.24559638722235699</v>
      </c>
      <c r="Y1015" s="2">
        <v>10</v>
      </c>
      <c r="Z1015" s="2">
        <f>VLOOKUP(E1015,YieldData!T:U,2,FALSE)</f>
        <v>1853.831835686778</v>
      </c>
      <c r="AA1015">
        <f t="shared" si="30"/>
        <v>0.55782939431633305</v>
      </c>
    </row>
    <row r="1016" spans="1:27" hidden="1" x14ac:dyDescent="0.25">
      <c r="A1016">
        <v>79</v>
      </c>
      <c r="B1016">
        <v>809</v>
      </c>
      <c r="C1016" t="s">
        <v>20</v>
      </c>
      <c r="D1016">
        <v>25113</v>
      </c>
      <c r="E1016">
        <f t="shared" si="31"/>
        <v>25113809</v>
      </c>
      <c r="F1016">
        <f>VLOOKUP(E1016,YieldData!D:F,2,FALSE)</f>
        <v>3</v>
      </c>
      <c r="G1016">
        <f>VLOOKUP($E1016,YieldData!$D:$F,3,FALSE)</f>
        <v>3</v>
      </c>
      <c r="H1016">
        <v>37</v>
      </c>
      <c r="I1016" t="s">
        <v>21</v>
      </c>
      <c r="J1016" t="s">
        <v>22</v>
      </c>
      <c r="K1016" s="2">
        <v>17817.533247727701</v>
      </c>
      <c r="L1016" s="2">
        <v>158864434.779347</v>
      </c>
      <c r="M1016" s="3">
        <v>3561.2525939671</v>
      </c>
      <c r="N1016" s="3">
        <v>101908264.50417</v>
      </c>
      <c r="O1016" s="4">
        <v>0.19978788080087101</v>
      </c>
      <c r="P1016" s="4">
        <v>4.9899198769164897E-2</v>
      </c>
      <c r="Q1016" s="5">
        <v>-2.8879600955821001E-2</v>
      </c>
      <c r="R1016" s="5">
        <v>2.5806534400350102E-3</v>
      </c>
      <c r="S1016" s="6">
        <v>0.49034139813126199</v>
      </c>
      <c r="T1016" s="6">
        <v>0.11142366548735599</v>
      </c>
      <c r="U1016" s="7">
        <v>0.59727572575974996</v>
      </c>
      <c r="V1016" s="7">
        <v>0.24053743317777401</v>
      </c>
      <c r="W1016" s="8">
        <v>0.62140896845179605</v>
      </c>
      <c r="X1016" s="8">
        <v>0.235259862379601</v>
      </c>
      <c r="Y1016" s="2">
        <v>19</v>
      </c>
      <c r="Z1016" s="2">
        <f>VLOOKUP(E1016,YieldData!T:U,2,FALSE)</f>
        <v>2012.4261874197691</v>
      </c>
      <c r="AA1016">
        <f t="shared" si="30"/>
        <v>0.68753068546610396</v>
      </c>
    </row>
    <row r="1017" spans="1:27" hidden="1" x14ac:dyDescent="0.25">
      <c r="A1017">
        <v>80</v>
      </c>
      <c r="B1017">
        <v>901</v>
      </c>
      <c r="C1017" t="s">
        <v>20</v>
      </c>
      <c r="D1017">
        <v>25114</v>
      </c>
      <c r="E1017">
        <f t="shared" si="31"/>
        <v>25114901</v>
      </c>
      <c r="F1017">
        <f>VLOOKUP(E1017,YieldData!D:F,2,FALSE)</f>
        <v>1</v>
      </c>
      <c r="G1017">
        <f>VLOOKUP($E1017,YieldData!$D:$F,3,FALSE)</f>
        <v>1</v>
      </c>
      <c r="H1017">
        <v>37</v>
      </c>
      <c r="I1017" t="s">
        <v>21</v>
      </c>
      <c r="J1017" t="s">
        <v>22</v>
      </c>
      <c r="K1017" s="2">
        <v>14052.5091313552</v>
      </c>
      <c r="L1017" s="2">
        <v>164770392.827867</v>
      </c>
      <c r="M1017" s="3">
        <v>6497.1905061964699</v>
      </c>
      <c r="N1017" s="3">
        <v>91235068.080982804</v>
      </c>
      <c r="O1017" s="4">
        <v>0.165909314882595</v>
      </c>
      <c r="P1017" s="4">
        <v>3.4938983644785898E-2</v>
      </c>
      <c r="Q1017" s="5">
        <v>-3.0518810196932599E-2</v>
      </c>
      <c r="R1017" s="5">
        <v>1.59863559734508E-3</v>
      </c>
      <c r="S1017" s="6">
        <v>0.43126473280198102</v>
      </c>
      <c r="T1017" s="6">
        <v>9.3317746126323098E-2</v>
      </c>
      <c r="U1017" s="7">
        <v>0.46727183571932601</v>
      </c>
      <c r="V1017" s="7">
        <v>0.24892886726275601</v>
      </c>
      <c r="W1017" s="8">
        <v>0.39036991855333503</v>
      </c>
      <c r="X1017" s="8">
        <v>0.237981245242115</v>
      </c>
      <c r="Y1017" s="2">
        <v>12</v>
      </c>
      <c r="Z1017" s="2">
        <f>VLOOKUP(E1017,YieldData!T:U,2,FALSE)</f>
        <v>799.50738125802309</v>
      </c>
      <c r="AA1017">
        <f t="shared" si="30"/>
        <v>0.58475062791532095</v>
      </c>
    </row>
    <row r="1018" spans="1:27" hidden="1" x14ac:dyDescent="0.25">
      <c r="A1018">
        <v>81</v>
      </c>
      <c r="B1018">
        <v>902</v>
      </c>
      <c r="C1018" t="s">
        <v>20</v>
      </c>
      <c r="D1018">
        <v>25114</v>
      </c>
      <c r="E1018">
        <f t="shared" si="31"/>
        <v>25114902</v>
      </c>
      <c r="F1018">
        <f>VLOOKUP(E1018,YieldData!D:F,2,FALSE)</f>
        <v>2</v>
      </c>
      <c r="G1018">
        <f>VLOOKUP($E1018,YieldData!$D:$F,3,FALSE)</f>
        <v>1</v>
      </c>
      <c r="H1018">
        <v>37</v>
      </c>
      <c r="I1018" t="s">
        <v>21</v>
      </c>
      <c r="J1018" t="s">
        <v>22</v>
      </c>
      <c r="K1018" s="2">
        <v>20991.101071687899</v>
      </c>
      <c r="L1018" s="2">
        <v>223275597.65106499</v>
      </c>
      <c r="M1018" s="3">
        <v>4248.3005389318196</v>
      </c>
      <c r="N1018" s="3">
        <v>103468808.15170901</v>
      </c>
      <c r="O1018" s="4">
        <v>0.18859223641363199</v>
      </c>
      <c r="P1018" s="4">
        <v>3.3212286813955598E-2</v>
      </c>
      <c r="Q1018" s="5">
        <v>-3.0391114664852E-2</v>
      </c>
      <c r="R1018" s="5">
        <v>2.2899672372697398E-3</v>
      </c>
      <c r="S1018" s="6">
        <v>0.49688404515224899</v>
      </c>
      <c r="T1018" s="6">
        <v>9.1473251980758702E-2</v>
      </c>
      <c r="U1018" s="7">
        <v>0.60362571049402802</v>
      </c>
      <c r="V1018" s="7">
        <v>0.23926171212448</v>
      </c>
      <c r="W1018" s="8">
        <v>0.34952550266670002</v>
      </c>
      <c r="X1018" s="8">
        <v>0.22735742565219799</v>
      </c>
      <c r="Y1018" s="2">
        <v>7</v>
      </c>
      <c r="Z1018" s="2">
        <f>VLOOKUP(E1018,YieldData!T:U,2,FALSE)</f>
        <v>662.83697047496776</v>
      </c>
      <c r="AA1018">
        <f t="shared" si="30"/>
        <v>0.69582853422805302</v>
      </c>
    </row>
    <row r="1019" spans="1:27" hidden="1" x14ac:dyDescent="0.25">
      <c r="A1019">
        <v>82</v>
      </c>
      <c r="B1019">
        <v>903</v>
      </c>
      <c r="C1019" t="s">
        <v>20</v>
      </c>
      <c r="D1019">
        <v>25114</v>
      </c>
      <c r="E1019">
        <f t="shared" si="31"/>
        <v>25114903</v>
      </c>
      <c r="F1019">
        <f>VLOOKUP(E1019,YieldData!D:F,2,FALSE)</f>
        <v>3</v>
      </c>
      <c r="G1019">
        <f>VLOOKUP($E1019,YieldData!$D:$F,3,FALSE)</f>
        <v>1</v>
      </c>
      <c r="H1019">
        <v>37</v>
      </c>
      <c r="I1019" t="s">
        <v>21</v>
      </c>
      <c r="J1019" t="s">
        <v>22</v>
      </c>
      <c r="K1019" s="2">
        <v>14288.355346234801</v>
      </c>
      <c r="L1019" s="2">
        <v>170335541.07744199</v>
      </c>
      <c r="M1019" s="3">
        <v>8684.8762908880599</v>
      </c>
      <c r="N1019" s="3">
        <v>146438948.135555</v>
      </c>
      <c r="O1019" s="4">
        <v>0.13668780601271599</v>
      </c>
      <c r="P1019" s="4">
        <v>4.8710842151748097E-2</v>
      </c>
      <c r="Q1019" s="5">
        <v>-3.5378912144641103E-2</v>
      </c>
      <c r="R1019" s="5">
        <v>3.1107019311998199E-3</v>
      </c>
      <c r="S1019" s="6">
        <v>0.38098181684766902</v>
      </c>
      <c r="T1019" s="6">
        <v>0.124424906854173</v>
      </c>
      <c r="U1019" s="7">
        <v>0.44322673374056798</v>
      </c>
      <c r="V1019" s="7">
        <v>0.246776796238284</v>
      </c>
      <c r="W1019" s="8">
        <v>0.42511934705610599</v>
      </c>
      <c r="X1019" s="8">
        <v>0.24439288781465099</v>
      </c>
      <c r="Y1019" s="2">
        <v>8</v>
      </c>
      <c r="Z1019" s="2">
        <f>VLOOKUP(E1019,YieldData!T:U,2,FALSE)</f>
        <v>1684.5876123234921</v>
      </c>
      <c r="AA1019">
        <f t="shared" si="30"/>
        <v>0.48949604096351501</v>
      </c>
    </row>
    <row r="1020" spans="1:27" hidden="1" x14ac:dyDescent="0.25">
      <c r="A1020">
        <v>83</v>
      </c>
      <c r="B1020">
        <v>904</v>
      </c>
      <c r="C1020" t="s">
        <v>20</v>
      </c>
      <c r="D1020">
        <v>25114</v>
      </c>
      <c r="E1020">
        <f t="shared" si="31"/>
        <v>25114904</v>
      </c>
      <c r="F1020">
        <f>VLOOKUP(E1020,YieldData!D:F,2,FALSE)</f>
        <v>3</v>
      </c>
      <c r="G1020">
        <f>VLOOKUP($E1020,YieldData!$D:$F,3,FALSE)</f>
        <v>2</v>
      </c>
      <c r="H1020">
        <v>37</v>
      </c>
      <c r="I1020" t="s">
        <v>21</v>
      </c>
      <c r="J1020" t="s">
        <v>22</v>
      </c>
      <c r="K1020" s="2">
        <v>14595.7569229905</v>
      </c>
      <c r="L1020" s="2">
        <v>159733794.827167</v>
      </c>
      <c r="M1020" s="3">
        <v>8521.3527673519802</v>
      </c>
      <c r="N1020" s="3">
        <v>142218263.98733801</v>
      </c>
      <c r="O1020" s="4">
        <v>0.12947076607139901</v>
      </c>
      <c r="P1020" s="4">
        <v>5.2928277907569703E-2</v>
      </c>
      <c r="Q1020" s="5">
        <v>-3.9846967991728897E-2</v>
      </c>
      <c r="R1020" s="5">
        <v>3.4795243894016501E-3</v>
      </c>
      <c r="S1020" s="6">
        <v>0.37769628373707398</v>
      </c>
      <c r="T1020" s="6">
        <v>0.12505808950667699</v>
      </c>
      <c r="U1020" s="7">
        <v>0.46247823400550497</v>
      </c>
      <c r="V1020" s="7">
        <v>0.24859211707682599</v>
      </c>
      <c r="W1020" s="8">
        <v>0.72569229905072197</v>
      </c>
      <c r="X1020" s="8">
        <v>0.19906298614915599</v>
      </c>
      <c r="Y1020" s="2">
        <v>36</v>
      </c>
      <c r="Z1020" s="2">
        <f>VLOOKUP(E1020,YieldData!T:U,2,FALSE)</f>
        <v>1847.6765083440309</v>
      </c>
      <c r="AA1020">
        <f t="shared" si="30"/>
        <v>0.48544629944256501</v>
      </c>
    </row>
    <row r="1021" spans="1:27" hidden="1" x14ac:dyDescent="0.25">
      <c r="A1021">
        <v>84</v>
      </c>
      <c r="B1021">
        <v>905</v>
      </c>
      <c r="C1021" t="s">
        <v>20</v>
      </c>
      <c r="D1021">
        <v>25114</v>
      </c>
      <c r="E1021">
        <f t="shared" si="31"/>
        <v>25114905</v>
      </c>
      <c r="F1021">
        <f>VLOOKUP(E1021,YieldData!D:F,2,FALSE)</f>
        <v>2</v>
      </c>
      <c r="G1021">
        <f>VLOOKUP($E1021,YieldData!$D:$F,3,FALSE)</f>
        <v>2</v>
      </c>
      <c r="H1021">
        <v>37</v>
      </c>
      <c r="I1021" t="s">
        <v>21</v>
      </c>
      <c r="J1021" t="s">
        <v>22</v>
      </c>
      <c r="K1021" s="2">
        <v>17593.455939583098</v>
      </c>
      <c r="L1021" s="2">
        <v>241052315.69531599</v>
      </c>
      <c r="M1021" s="3">
        <v>5605.7908982044901</v>
      </c>
      <c r="N1021" s="3">
        <v>95977448.622306302</v>
      </c>
      <c r="O1021" s="4">
        <v>0.15019131175480599</v>
      </c>
      <c r="P1021" s="4">
        <v>2.53173955316419E-2</v>
      </c>
      <c r="Q1021" s="5">
        <v>-3.4628681756316899E-2</v>
      </c>
      <c r="R1021" s="5">
        <v>2.3271744575890699E-3</v>
      </c>
      <c r="S1021" s="6">
        <v>0.42802761895740998</v>
      </c>
      <c r="T1021" s="6">
        <v>9.3302829133576307E-2</v>
      </c>
      <c r="U1021" s="7">
        <v>0.49897892343852301</v>
      </c>
      <c r="V1021" s="7">
        <v>0.24999895740269801</v>
      </c>
      <c r="W1021" s="8">
        <v>0.45369193028423199</v>
      </c>
      <c r="X1021" s="8">
        <v>0.24785556267893</v>
      </c>
      <c r="Y1021" s="2">
        <v>12</v>
      </c>
      <c r="Z1021" s="2">
        <f>VLOOKUP(E1021,YieldData!T:U,2,FALSE)</f>
        <v>830.78947368421052</v>
      </c>
      <c r="AA1021">
        <f t="shared" si="30"/>
        <v>0.57706139224248698</v>
      </c>
    </row>
    <row r="1022" spans="1:27" hidden="1" x14ac:dyDescent="0.25">
      <c r="A1022">
        <v>85</v>
      </c>
      <c r="B1022">
        <v>906</v>
      </c>
      <c r="C1022" t="s">
        <v>20</v>
      </c>
      <c r="D1022">
        <v>25114</v>
      </c>
      <c r="E1022">
        <f t="shared" si="31"/>
        <v>25114906</v>
      </c>
      <c r="F1022">
        <f>VLOOKUP(E1022,YieldData!D:F,2,FALSE)</f>
        <v>1</v>
      </c>
      <c r="G1022">
        <f>VLOOKUP($E1022,YieldData!$D:$F,3,FALSE)</f>
        <v>2</v>
      </c>
      <c r="H1022">
        <v>37</v>
      </c>
      <c r="I1022" t="s">
        <v>21</v>
      </c>
      <c r="J1022" t="s">
        <v>22</v>
      </c>
      <c r="K1022" s="2">
        <v>19468.9326801723</v>
      </c>
      <c r="L1022" s="2">
        <v>178022908.986635</v>
      </c>
      <c r="M1022" s="3">
        <v>3115.2223759467302</v>
      </c>
      <c r="N1022" s="3">
        <v>107641963.16608</v>
      </c>
      <c r="O1022" s="4">
        <v>0.25049963760567301</v>
      </c>
      <c r="P1022" s="4">
        <v>3.2604067108609497E-2</v>
      </c>
      <c r="Q1022" s="5">
        <v>-8.9511503960492903E-3</v>
      </c>
      <c r="R1022" s="5">
        <v>2.9467653419810499E-3</v>
      </c>
      <c r="S1022" s="6">
        <v>0.54814849041595304</v>
      </c>
      <c r="T1022" s="6">
        <v>8.7997634491215601E-2</v>
      </c>
      <c r="U1022" s="7">
        <v>0.63417775869471904</v>
      </c>
      <c r="V1022" s="7">
        <v>0.23199632907161899</v>
      </c>
      <c r="W1022" s="8">
        <v>0.52450655112741895</v>
      </c>
      <c r="X1022" s="8">
        <v>0.24939942895186001</v>
      </c>
      <c r="Y1022" s="2">
        <v>24</v>
      </c>
      <c r="Z1022" s="2">
        <f>VLOOKUP(E1022,YieldData!T:U,2,FALSE)</f>
        <v>861.67522464698322</v>
      </c>
      <c r="AA1022">
        <f t="shared" si="30"/>
        <v>0.66744298000234203</v>
      </c>
    </row>
    <row r="1023" spans="1:27" hidden="1" x14ac:dyDescent="0.25">
      <c r="A1023">
        <v>86</v>
      </c>
      <c r="B1023">
        <v>907</v>
      </c>
      <c r="C1023" t="s">
        <v>20</v>
      </c>
      <c r="D1023">
        <v>25114</v>
      </c>
      <c r="E1023">
        <f t="shared" si="31"/>
        <v>25114907</v>
      </c>
      <c r="F1023">
        <f>VLOOKUP(E1023,YieldData!D:F,2,FALSE)</f>
        <v>1</v>
      </c>
      <c r="G1023">
        <f>VLOOKUP($E1023,YieldData!$D:$F,3,FALSE)</f>
        <v>3</v>
      </c>
      <c r="H1023">
        <v>37</v>
      </c>
      <c r="I1023" t="s">
        <v>21</v>
      </c>
      <c r="J1023" t="s">
        <v>22</v>
      </c>
      <c r="K1023" s="2">
        <v>22316.020687957702</v>
      </c>
      <c r="L1023" s="2">
        <v>188203416.90855199</v>
      </c>
      <c r="M1023" s="3">
        <v>368.72920020995599</v>
      </c>
      <c r="N1023" s="3">
        <v>80799242.784583494</v>
      </c>
      <c r="O1023" s="4">
        <v>0.295866931912589</v>
      </c>
      <c r="P1023" s="4">
        <v>2.81532109143466E-2</v>
      </c>
      <c r="Q1023" s="5">
        <v>4.5904753920251798E-3</v>
      </c>
      <c r="R1023" s="5">
        <v>2.9192052701834999E-3</v>
      </c>
      <c r="S1023" s="6">
        <v>0.60530259852029</v>
      </c>
      <c r="T1023" s="6">
        <v>6.7578054856760494E-2</v>
      </c>
      <c r="U1023" s="7">
        <v>0.709790166758969</v>
      </c>
      <c r="V1023" s="7">
        <v>0.20598808593109699</v>
      </c>
      <c r="W1023" s="8">
        <v>0.41106393452710599</v>
      </c>
      <c r="X1023" s="8">
        <v>0.24209037625853999</v>
      </c>
      <c r="Y1023" s="2">
        <v>16</v>
      </c>
      <c r="Z1023" s="2">
        <f>VLOOKUP(E1023,YieldData!T:U,2,FALSE)</f>
        <v>684.6052631578948</v>
      </c>
      <c r="AA1023">
        <f t="shared" si="30"/>
        <v>0.80336726028577399</v>
      </c>
    </row>
    <row r="1024" spans="1:27" hidden="1" x14ac:dyDescent="0.25">
      <c r="A1024">
        <v>87</v>
      </c>
      <c r="B1024">
        <v>908</v>
      </c>
      <c r="C1024" t="s">
        <v>20</v>
      </c>
      <c r="D1024">
        <v>25114</v>
      </c>
      <c r="E1024">
        <f t="shared" si="31"/>
        <v>25114908</v>
      </c>
      <c r="F1024">
        <f>VLOOKUP(E1024,YieldData!D:F,2,FALSE)</f>
        <v>2</v>
      </c>
      <c r="G1024">
        <f>VLOOKUP($E1024,YieldData!$D:$F,3,FALSE)</f>
        <v>3</v>
      </c>
      <c r="H1024">
        <v>37</v>
      </c>
      <c r="I1024" t="s">
        <v>21</v>
      </c>
      <c r="J1024" t="s">
        <v>22</v>
      </c>
      <c r="K1024" s="2">
        <v>16926.621176442</v>
      </c>
      <c r="L1024" s="2">
        <v>147666305.978156</v>
      </c>
      <c r="M1024" s="3">
        <v>3831.9131595690001</v>
      </c>
      <c r="N1024" s="3">
        <v>107548516.815503</v>
      </c>
      <c r="O1024" s="4">
        <v>0.28441842495807901</v>
      </c>
      <c r="P1024" s="4">
        <v>4.7160482777938197E-2</v>
      </c>
      <c r="Q1024" s="5">
        <v>1.0739003379573901E-2</v>
      </c>
      <c r="R1024" s="5">
        <v>2.9920539220469602E-3</v>
      </c>
      <c r="S1024" s="6">
        <v>0.55492356020478495</v>
      </c>
      <c r="T1024" s="6">
        <v>9.3722838694204294E-2</v>
      </c>
      <c r="U1024" s="7">
        <v>0.610786074966013</v>
      </c>
      <c r="V1024" s="7">
        <v>0.237726445593679</v>
      </c>
      <c r="W1024" s="8">
        <v>0.37973392891823698</v>
      </c>
      <c r="X1024" s="8">
        <v>0.23553607214639199</v>
      </c>
      <c r="Y1024" s="2">
        <v>8</v>
      </c>
      <c r="Z1024" s="2">
        <f>VLOOKUP(E1024,YieldData!T:U,2,FALSE)</f>
        <v>766.58536585365857</v>
      </c>
      <c r="AA1024">
        <f t="shared" si="30"/>
        <v>0.70041031368359696</v>
      </c>
    </row>
    <row r="1025" spans="1:27" hidden="1" x14ac:dyDescent="0.25">
      <c r="A1025">
        <v>88</v>
      </c>
      <c r="B1025">
        <v>909</v>
      </c>
      <c r="C1025" t="s">
        <v>20</v>
      </c>
      <c r="D1025">
        <v>25114</v>
      </c>
      <c r="E1025">
        <f t="shared" si="31"/>
        <v>25114909</v>
      </c>
      <c r="F1025">
        <f>VLOOKUP(E1025,YieldData!D:F,2,FALSE)</f>
        <v>3</v>
      </c>
      <c r="G1025">
        <f>VLOOKUP($E1025,YieldData!$D:$F,3,FALSE)</f>
        <v>3</v>
      </c>
      <c r="H1025">
        <v>37</v>
      </c>
      <c r="I1025" t="s">
        <v>21</v>
      </c>
      <c r="J1025" t="s">
        <v>22</v>
      </c>
      <c r="K1025" s="2">
        <v>19753.5526202779</v>
      </c>
      <c r="L1025" s="2">
        <v>148651691.336014</v>
      </c>
      <c r="M1025" s="3">
        <v>1253.4733986767301</v>
      </c>
      <c r="N1025" s="3">
        <v>80168395.488361105</v>
      </c>
      <c r="O1025" s="4">
        <v>0.32425098146060299</v>
      </c>
      <c r="P1025" s="4">
        <v>3.6202764258991299E-2</v>
      </c>
      <c r="Q1025" s="5">
        <v>1.30164455627572E-2</v>
      </c>
      <c r="R1025" s="5">
        <v>2.76654492468815E-3</v>
      </c>
      <c r="S1025" s="6">
        <v>0.626002102334699</v>
      </c>
      <c r="T1025" s="6">
        <v>7.4881945563387606E-2</v>
      </c>
      <c r="U1025" s="7">
        <v>0.72353747904747401</v>
      </c>
      <c r="V1025" s="7">
        <v>0.200030995460864</v>
      </c>
      <c r="W1025" s="8">
        <v>0.58353997257123902</v>
      </c>
      <c r="X1025" s="8">
        <v>0.243021072982577</v>
      </c>
      <c r="Y1025" s="2">
        <v>23</v>
      </c>
      <c r="Z1025" s="2">
        <f>VLOOKUP(E1025,YieldData!T:U,2,FALSE)</f>
        <v>1461.7875481386391</v>
      </c>
      <c r="AA1025">
        <f t="shared" si="30"/>
        <v>0.73401941908943602</v>
      </c>
    </row>
    <row r="1026" spans="1:27" hidden="1" x14ac:dyDescent="0.25">
      <c r="A1026">
        <v>89</v>
      </c>
      <c r="B1026">
        <v>910</v>
      </c>
      <c r="C1026" t="s">
        <v>20</v>
      </c>
      <c r="D1026" t="s">
        <v>100</v>
      </c>
      <c r="E1026" t="e">
        <f t="shared" si="31"/>
        <v>#VALUE!</v>
      </c>
      <c r="H1026">
        <v>37</v>
      </c>
      <c r="I1026" t="s">
        <v>21</v>
      </c>
      <c r="J1026" t="s">
        <v>22</v>
      </c>
      <c r="K1026" s="2">
        <v>12041.0691372906</v>
      </c>
      <c r="L1026" s="2">
        <v>117274456.443362</v>
      </c>
      <c r="M1026" s="3">
        <v>7051.1934458260903</v>
      </c>
      <c r="N1026" s="3">
        <v>111982958.354307</v>
      </c>
      <c r="O1026" s="4">
        <v>0.200955799018461</v>
      </c>
      <c r="P1026" s="4">
        <v>6.3472315255420297E-2</v>
      </c>
      <c r="Q1026" s="5">
        <v>-9.7013073722163005E-3</v>
      </c>
      <c r="R1026" s="5">
        <v>3.8716695424515801E-3</v>
      </c>
      <c r="S1026" s="6">
        <v>0.44697812579782698</v>
      </c>
      <c r="T1026" s="6">
        <v>0.11992571710990101</v>
      </c>
      <c r="U1026" s="7">
        <v>0.47922560330619202</v>
      </c>
      <c r="V1026" s="7">
        <v>0.24956842444219801</v>
      </c>
      <c r="W1026" s="8">
        <v>0.41727140783744598</v>
      </c>
      <c r="X1026" s="8">
        <v>0.24315598003879599</v>
      </c>
      <c r="Y1026" s="2">
        <v>10</v>
      </c>
      <c r="Z1026" s="2" t="e">
        <f>VLOOKUP(E1026,YieldData!T:U,2,FALSE)</f>
        <v>#VALUE!</v>
      </c>
      <c r="AA1026">
        <f t="shared" ref="AA1026:AA1089" si="32">_xlfn.MAXIFS(U:U,E:E,E1026)</f>
        <v>0.913534329143595</v>
      </c>
    </row>
    <row r="1027" spans="1:27" hidden="1" x14ac:dyDescent="0.25">
      <c r="A1027">
        <v>90</v>
      </c>
      <c r="B1027">
        <v>810</v>
      </c>
      <c r="C1027" t="s">
        <v>20</v>
      </c>
      <c r="D1027" t="s">
        <v>100</v>
      </c>
      <c r="E1027" t="e">
        <f t="shared" ref="E1027:E1090" si="33">D1027*1000+B1027</f>
        <v>#VALUE!</v>
      </c>
      <c r="H1027">
        <v>37</v>
      </c>
      <c r="I1027" t="s">
        <v>21</v>
      </c>
      <c r="J1027" t="s">
        <v>22</v>
      </c>
      <c r="K1027" s="2">
        <v>15140.7415986211</v>
      </c>
      <c r="L1027" s="2">
        <v>152654964.97534001</v>
      </c>
      <c r="M1027" s="3">
        <v>5785.6806878057296</v>
      </c>
      <c r="N1027" s="3">
        <v>108807053.690944</v>
      </c>
      <c r="O1027" s="4">
        <v>0.16010781154634701</v>
      </c>
      <c r="P1027" s="4">
        <v>5.1813177148605699E-2</v>
      </c>
      <c r="Q1027" s="5">
        <v>-4.1695503036658497E-2</v>
      </c>
      <c r="R1027" s="5">
        <v>2.49895340470737E-3</v>
      </c>
      <c r="S1027" s="6">
        <v>0.437480771169238</v>
      </c>
      <c r="T1027" s="6">
        <v>0.11824076676938899</v>
      </c>
      <c r="U1027" s="7">
        <v>0.51372026018796901</v>
      </c>
      <c r="V1027" s="7">
        <v>0.24981175446015799</v>
      </c>
      <c r="W1027" s="8">
        <v>0.489890665693688</v>
      </c>
      <c r="X1027" s="8">
        <v>0.249897801359931</v>
      </c>
      <c r="Y1027" s="2">
        <v>15</v>
      </c>
      <c r="Z1027" s="2" t="e">
        <f>VLOOKUP(E1027,YieldData!T:U,2,FALSE)</f>
        <v>#VALUE!</v>
      </c>
      <c r="AA1027">
        <f t="shared" si="32"/>
        <v>0.913534329143595</v>
      </c>
    </row>
    <row r="1028" spans="1:27" hidden="1" x14ac:dyDescent="0.25">
      <c r="A1028">
        <v>93</v>
      </c>
      <c r="B1028">
        <v>101</v>
      </c>
      <c r="C1028" t="s">
        <v>23</v>
      </c>
      <c r="D1028">
        <v>25107</v>
      </c>
      <c r="E1028">
        <f t="shared" si="33"/>
        <v>25107101</v>
      </c>
      <c r="F1028">
        <f>VLOOKUP(E1028,YieldData!D:F,2,FALSE)</f>
        <v>1</v>
      </c>
      <c r="G1028">
        <f>VLOOKUP($E1028,YieldData!$D:$F,3,FALSE)</f>
        <v>1</v>
      </c>
      <c r="H1028">
        <v>37</v>
      </c>
      <c r="I1028" t="s">
        <v>24</v>
      </c>
      <c r="J1028" t="s">
        <v>25</v>
      </c>
      <c r="K1028" s="2">
        <v>9742.0803961201309</v>
      </c>
      <c r="L1028" s="2">
        <v>115032258.641683</v>
      </c>
      <c r="M1028" s="3">
        <v>10132.654422052499</v>
      </c>
      <c r="N1028" s="3">
        <v>75357668.590863302</v>
      </c>
      <c r="O1028" s="4">
        <v>0.14709825373915</v>
      </c>
      <c r="P1028" s="4">
        <v>3.24548589201216E-2</v>
      </c>
      <c r="Q1028" s="5">
        <v>9.4673849731157899E-3</v>
      </c>
      <c r="R1028" s="5">
        <v>3.3690905981230502E-3</v>
      </c>
      <c r="S1028" s="6">
        <v>0.355611167656327</v>
      </c>
      <c r="T1028" s="6">
        <v>8.3139655305150204E-2</v>
      </c>
      <c r="U1028" s="7">
        <v>0.34972671060027999</v>
      </c>
      <c r="V1028" s="7">
        <v>0.22741793849299499</v>
      </c>
      <c r="W1028" s="8">
        <v>0.73148269964478396</v>
      </c>
      <c r="X1028" s="8">
        <v>0.19641575976528999</v>
      </c>
      <c r="Y1028" s="2">
        <v>35</v>
      </c>
      <c r="Z1028" s="2">
        <f>VLOOKUP(E1028,YieldData!T:U,2,FALSE)</f>
        <v>1035.2455070603337</v>
      </c>
      <c r="AA1028">
        <f t="shared" si="32"/>
        <v>0.390075587236282</v>
      </c>
    </row>
    <row r="1029" spans="1:27" hidden="1" x14ac:dyDescent="0.25">
      <c r="A1029">
        <v>94</v>
      </c>
      <c r="B1029">
        <v>102</v>
      </c>
      <c r="C1029" t="s">
        <v>23</v>
      </c>
      <c r="D1029">
        <v>25107</v>
      </c>
      <c r="E1029">
        <f t="shared" si="33"/>
        <v>25107102</v>
      </c>
      <c r="F1029">
        <f>VLOOKUP(E1029,YieldData!D:F,2,FALSE)</f>
        <v>2</v>
      </c>
      <c r="G1029">
        <f>VLOOKUP($E1029,YieldData!$D:$F,3,FALSE)</f>
        <v>1</v>
      </c>
      <c r="H1029">
        <v>37</v>
      </c>
      <c r="I1029" t="s">
        <v>24</v>
      </c>
      <c r="J1029" t="s">
        <v>25</v>
      </c>
      <c r="K1029" s="2">
        <v>12413.536288393499</v>
      </c>
      <c r="L1029" s="2">
        <v>157149603.773204</v>
      </c>
      <c r="M1029" s="3">
        <v>8381.0594567941407</v>
      </c>
      <c r="N1029" s="3">
        <v>91551626.977823898</v>
      </c>
      <c r="O1029" s="4">
        <v>0.15823433021330099</v>
      </c>
      <c r="P1029" s="4">
        <v>3.1026911409216099E-2</v>
      </c>
      <c r="Q1029" s="5">
        <v>-6.4840965535106296E-3</v>
      </c>
      <c r="R1029" s="5">
        <v>2.07709798574206E-3</v>
      </c>
      <c r="S1029" s="6">
        <v>0.39458853998990601</v>
      </c>
      <c r="T1029" s="6">
        <v>8.4472054471410804E-2</v>
      </c>
      <c r="U1029" s="7">
        <v>0.39095541096545799</v>
      </c>
      <c r="V1029" s="7">
        <v>0.23810927760204201</v>
      </c>
      <c r="W1029" s="8">
        <v>0.60292077313175796</v>
      </c>
      <c r="X1029" s="8">
        <v>0.23940731445756699</v>
      </c>
      <c r="Y1029" s="2">
        <v>22</v>
      </c>
      <c r="Z1029" s="2">
        <f>VLOOKUP(E1029,YieldData!T:U,2,FALSE)</f>
        <v>1326.2869062901154</v>
      </c>
      <c r="AA1029">
        <f t="shared" si="32"/>
        <v>0.56265473812627798</v>
      </c>
    </row>
    <row r="1030" spans="1:27" hidden="1" x14ac:dyDescent="0.25">
      <c r="A1030">
        <v>95</v>
      </c>
      <c r="B1030">
        <v>103</v>
      </c>
      <c r="C1030" t="s">
        <v>23</v>
      </c>
      <c r="D1030">
        <v>25107</v>
      </c>
      <c r="E1030">
        <f t="shared" si="33"/>
        <v>25107103</v>
      </c>
      <c r="F1030">
        <f>VLOOKUP(E1030,YieldData!D:F,2,FALSE)</f>
        <v>3</v>
      </c>
      <c r="G1030">
        <f>VLOOKUP($E1030,YieldData!$D:$F,3,FALSE)</f>
        <v>1</v>
      </c>
      <c r="H1030">
        <v>37</v>
      </c>
      <c r="I1030" t="s">
        <v>24</v>
      </c>
      <c r="J1030" t="s">
        <v>25</v>
      </c>
      <c r="K1030" s="2">
        <v>12225.4209682821</v>
      </c>
      <c r="L1030" s="2">
        <v>170358533.76963499</v>
      </c>
      <c r="M1030" s="3">
        <v>8989.0155247662606</v>
      </c>
      <c r="N1030" s="3">
        <v>101433294.438875</v>
      </c>
      <c r="O1030" s="4">
        <v>0.13362383034449599</v>
      </c>
      <c r="P1030" s="4">
        <v>3.40745819985259E-2</v>
      </c>
      <c r="Q1030" s="5">
        <v>-2.3010061521992101E-2</v>
      </c>
      <c r="R1030" s="5">
        <v>1.68731882752299E-3</v>
      </c>
      <c r="S1030" s="6">
        <v>0.37331942390927902</v>
      </c>
      <c r="T1030" s="6">
        <v>9.2510256321613707E-2</v>
      </c>
      <c r="U1030" s="7">
        <v>0.37170501841840897</v>
      </c>
      <c r="V1030" s="7">
        <v>0.23354039770118001</v>
      </c>
      <c r="W1030" s="8">
        <v>0.56655743194756703</v>
      </c>
      <c r="X1030" s="8">
        <v>0.245570108252398</v>
      </c>
      <c r="Y1030" s="2">
        <v>19</v>
      </c>
      <c r="Z1030" s="2">
        <f>VLOOKUP(E1030,YieldData!T:U,2,FALSE)</f>
        <v>2390.8279845956354</v>
      </c>
      <c r="AA1030">
        <f t="shared" si="32"/>
        <v>0.45615461895421699</v>
      </c>
    </row>
    <row r="1031" spans="1:27" hidden="1" x14ac:dyDescent="0.25">
      <c r="A1031">
        <v>96</v>
      </c>
      <c r="B1031">
        <v>104</v>
      </c>
      <c r="C1031" t="s">
        <v>23</v>
      </c>
      <c r="D1031">
        <v>25107</v>
      </c>
      <c r="E1031">
        <f t="shared" si="33"/>
        <v>25107104</v>
      </c>
      <c r="F1031">
        <f>VLOOKUP(E1031,YieldData!D:F,2,FALSE)</f>
        <v>4</v>
      </c>
      <c r="G1031">
        <f>VLOOKUP($E1031,YieldData!$D:$F,3,FALSE)</f>
        <v>1</v>
      </c>
      <c r="H1031">
        <v>37</v>
      </c>
      <c r="I1031" t="s">
        <v>24</v>
      </c>
      <c r="J1031" t="s">
        <v>25</v>
      </c>
      <c r="K1031" s="2">
        <v>11828.7313887992</v>
      </c>
      <c r="L1031" s="2">
        <v>175559821.91931999</v>
      </c>
      <c r="M1031" s="3">
        <v>8608.78701362229</v>
      </c>
      <c r="N1031" s="3">
        <v>89585971.475148797</v>
      </c>
      <c r="O1031" s="4">
        <v>0.128204198719956</v>
      </c>
      <c r="P1031" s="4">
        <v>3.0463369470145898E-2</v>
      </c>
      <c r="Q1031" s="5">
        <v>-2.7696278560092401E-2</v>
      </c>
      <c r="R1031" s="5">
        <v>1.43930507255699E-3</v>
      </c>
      <c r="S1031" s="6">
        <v>0.37099533005441399</v>
      </c>
      <c r="T1031" s="6">
        <v>8.5350914881457005E-2</v>
      </c>
      <c r="U1031" s="7">
        <v>0.36172401009339999</v>
      </c>
      <c r="V1031" s="7">
        <v>0.23087975061524699</v>
      </c>
      <c r="W1031" s="8">
        <v>0.46416484291847498</v>
      </c>
      <c r="X1031" s="8">
        <v>0.24871584151694101</v>
      </c>
      <c r="Y1031" s="2">
        <v>15</v>
      </c>
      <c r="Z1031" s="2">
        <f>VLOOKUP(E1031,YieldData!T:U,2,FALSE)</f>
        <v>2488.1899871630299</v>
      </c>
      <c r="AA1031">
        <f t="shared" si="32"/>
        <v>0.44924173563603298</v>
      </c>
    </row>
    <row r="1032" spans="1:27" hidden="1" x14ac:dyDescent="0.25">
      <c r="A1032">
        <v>97</v>
      </c>
      <c r="B1032">
        <v>105</v>
      </c>
      <c r="C1032" t="s">
        <v>23</v>
      </c>
      <c r="D1032">
        <v>25107</v>
      </c>
      <c r="E1032">
        <f t="shared" si="33"/>
        <v>25107105</v>
      </c>
      <c r="F1032">
        <f>VLOOKUP(E1032,YieldData!D:F,2,FALSE)</f>
        <v>5</v>
      </c>
      <c r="G1032">
        <f>VLOOKUP($E1032,YieldData!$D:$F,3,FALSE)</f>
        <v>1</v>
      </c>
      <c r="H1032">
        <v>37</v>
      </c>
      <c r="I1032" t="s">
        <v>24</v>
      </c>
      <c r="J1032" t="s">
        <v>25</v>
      </c>
      <c r="K1032" s="2">
        <v>11899.6575016444</v>
      </c>
      <c r="L1032" s="2">
        <v>155257234.37526301</v>
      </c>
      <c r="M1032" s="3">
        <v>7473.3918496513897</v>
      </c>
      <c r="N1032" s="3">
        <v>82881272.636705294</v>
      </c>
      <c r="O1032" s="4">
        <v>0.149876917506758</v>
      </c>
      <c r="P1032" s="4">
        <v>3.5756937169399601E-2</v>
      </c>
      <c r="Q1032" s="5">
        <v>-2.4671696598923001E-2</v>
      </c>
      <c r="R1032" s="5">
        <v>1.6878474885880499E-3</v>
      </c>
      <c r="S1032" s="6">
        <v>0.39920962927648601</v>
      </c>
      <c r="T1032" s="6">
        <v>8.9513388812874198E-2</v>
      </c>
      <c r="U1032" s="7">
        <v>0.40330084315015202</v>
      </c>
      <c r="V1032" s="7">
        <v>0.24064927306456901</v>
      </c>
      <c r="W1032" s="8">
        <v>0.32901991269509101</v>
      </c>
      <c r="X1032" s="8">
        <v>0.220765809745367</v>
      </c>
      <c r="Y1032" s="2">
        <v>8</v>
      </c>
      <c r="Z1032" s="2">
        <f>VLOOKUP(E1032,YieldData!T:U,2,FALSE)</f>
        <v>2505.2118100128368</v>
      </c>
      <c r="AA1032">
        <f t="shared" si="32"/>
        <v>0.49696215854183601</v>
      </c>
    </row>
    <row r="1033" spans="1:27" hidden="1" x14ac:dyDescent="0.25">
      <c r="A1033">
        <v>98</v>
      </c>
      <c r="B1033">
        <v>106</v>
      </c>
      <c r="C1033" t="s">
        <v>23</v>
      </c>
      <c r="D1033">
        <v>25107</v>
      </c>
      <c r="E1033">
        <f t="shared" si="33"/>
        <v>25107106</v>
      </c>
      <c r="F1033">
        <f>VLOOKUP(E1033,YieldData!D:F,2,FALSE)</f>
        <v>6</v>
      </c>
      <c r="G1033">
        <f>VLOOKUP($E1033,YieldData!$D:$F,3,FALSE)</f>
        <v>1</v>
      </c>
      <c r="H1033">
        <v>37</v>
      </c>
      <c r="I1033" t="s">
        <v>24</v>
      </c>
      <c r="J1033" t="s">
        <v>25</v>
      </c>
      <c r="K1033" s="2">
        <v>11181.5590670314</v>
      </c>
      <c r="L1033" s="2">
        <v>196763750.51410601</v>
      </c>
      <c r="M1033" s="3">
        <v>9172.1905740530201</v>
      </c>
      <c r="N1033" s="3">
        <v>71087311.064039707</v>
      </c>
      <c r="O1033" s="4">
        <v>8.0080820452363394E-2</v>
      </c>
      <c r="P1033" s="4">
        <v>2.1409396422097701E-2</v>
      </c>
      <c r="Q1033" s="5">
        <v>-4.1622910167000697E-2</v>
      </c>
      <c r="R1033" s="5">
        <v>1.36566717118264E-3</v>
      </c>
      <c r="S1033" s="6">
        <v>0.31565703896536401</v>
      </c>
      <c r="T1033" s="6">
        <v>7.4144546507746406E-2</v>
      </c>
      <c r="U1033" s="7">
        <v>0.305623471882641</v>
      </c>
      <c r="V1033" s="7">
        <v>0.21221776531727901</v>
      </c>
      <c r="W1033" s="8">
        <v>0.51045776949333099</v>
      </c>
      <c r="X1033" s="8">
        <v>0.24989063505710599</v>
      </c>
      <c r="Y1033" s="2">
        <v>14</v>
      </c>
      <c r="Z1033" s="2">
        <f>VLOOKUP(E1033,YieldData!T:U,2,FALSE)</f>
        <v>2315.9114249037225</v>
      </c>
      <c r="AA1033">
        <f t="shared" si="32"/>
        <v>0.39903159423798601</v>
      </c>
    </row>
    <row r="1034" spans="1:27" hidden="1" x14ac:dyDescent="0.25">
      <c r="A1034">
        <v>99</v>
      </c>
      <c r="B1034">
        <v>107</v>
      </c>
      <c r="C1034" t="s">
        <v>23</v>
      </c>
      <c r="D1034">
        <v>25107</v>
      </c>
      <c r="E1034">
        <f t="shared" si="33"/>
        <v>25107107</v>
      </c>
      <c r="F1034">
        <f>VLOOKUP(E1034,YieldData!D:F,2,FALSE)</f>
        <v>7</v>
      </c>
      <c r="G1034">
        <f>VLOOKUP($E1034,YieldData!$D:$F,3,FALSE)</f>
        <v>1</v>
      </c>
      <c r="H1034">
        <v>37</v>
      </c>
      <c r="I1034" t="s">
        <v>24</v>
      </c>
      <c r="J1034" t="s">
        <v>25</v>
      </c>
      <c r="K1034" s="2">
        <v>11611.417926997499</v>
      </c>
      <c r="L1034" s="2">
        <v>156318434.70066801</v>
      </c>
      <c r="M1034" s="3">
        <v>6973.2037025213003</v>
      </c>
      <c r="N1034" s="3">
        <v>71559736.782600001</v>
      </c>
      <c r="O1034" s="4">
        <v>0.143367432375335</v>
      </c>
      <c r="P1034" s="4">
        <v>3.1325304049704197E-2</v>
      </c>
      <c r="Q1034" s="5">
        <v>-2.6245445384279299E-2</v>
      </c>
      <c r="R1034" s="5">
        <v>1.6897733971542E-3</v>
      </c>
      <c r="S1034" s="6">
        <v>0.391482040434806</v>
      </c>
      <c r="T1034" s="6">
        <v>8.4152732003322406E-2</v>
      </c>
      <c r="U1034" s="7">
        <v>0.389819363323405</v>
      </c>
      <c r="V1034" s="7">
        <v>0.23786022730149201</v>
      </c>
      <c r="W1034" s="8">
        <v>0.56840598769968698</v>
      </c>
      <c r="X1034" s="8">
        <v>0.245320620846569</v>
      </c>
      <c r="Y1034" s="2">
        <v>22</v>
      </c>
      <c r="Z1034" s="2">
        <f>VLOOKUP(E1034,YieldData!T:U,2,FALSE)</f>
        <v>2008.0359435173295</v>
      </c>
      <c r="AA1034">
        <f t="shared" si="32"/>
        <v>0.46002398174293102</v>
      </c>
    </row>
    <row r="1035" spans="1:27" hidden="1" x14ac:dyDescent="0.25">
      <c r="A1035">
        <v>100</v>
      </c>
      <c r="B1035">
        <v>108</v>
      </c>
      <c r="C1035" t="s">
        <v>23</v>
      </c>
      <c r="D1035">
        <v>25107</v>
      </c>
      <c r="E1035">
        <f t="shared" si="33"/>
        <v>25107108</v>
      </c>
      <c r="F1035">
        <f>VLOOKUP(E1035,YieldData!D:F,2,FALSE)</f>
        <v>4</v>
      </c>
      <c r="G1035">
        <f>VLOOKUP($E1035,YieldData!$D:$F,3,FALSE)</f>
        <v>2</v>
      </c>
      <c r="H1035">
        <v>37</v>
      </c>
      <c r="I1035" t="s">
        <v>24</v>
      </c>
      <c r="J1035" t="s">
        <v>25</v>
      </c>
      <c r="K1035" s="2">
        <v>13528.101619307299</v>
      </c>
      <c r="L1035" s="2">
        <v>188945778.302333</v>
      </c>
      <c r="M1035" s="3">
        <v>6241.0390094557197</v>
      </c>
      <c r="N1035" s="3">
        <v>75947827.330729902</v>
      </c>
      <c r="O1035" s="4">
        <v>0.1588678698008</v>
      </c>
      <c r="P1035" s="4">
        <v>2.81366173069789E-2</v>
      </c>
      <c r="Q1035" s="5">
        <v>-2.39264665712231E-2</v>
      </c>
      <c r="R1035" s="5">
        <v>1.7043618714656799E-3</v>
      </c>
      <c r="S1035" s="6">
        <v>0.42213196761710903</v>
      </c>
      <c r="T1035" s="6">
        <v>7.8569759958890401E-2</v>
      </c>
      <c r="U1035" s="7">
        <v>0.40829506314580899</v>
      </c>
      <c r="V1035" s="7">
        <v>0.24159020455625399</v>
      </c>
      <c r="W1035" s="8">
        <v>0.49534778032912402</v>
      </c>
      <c r="X1035" s="8">
        <v>0.24997835685204001</v>
      </c>
      <c r="Y1035" s="2">
        <v>15</v>
      </c>
      <c r="Z1035" s="2">
        <f>VLOOKUP(E1035,YieldData!T:U,2,FALSE)</f>
        <v>2547.5978818998715</v>
      </c>
      <c r="AA1035">
        <f t="shared" si="32"/>
        <v>0.50343837828140903</v>
      </c>
    </row>
    <row r="1036" spans="1:27" hidden="1" x14ac:dyDescent="0.25">
      <c r="A1036">
        <v>101</v>
      </c>
      <c r="B1036">
        <v>109</v>
      </c>
      <c r="C1036" t="s">
        <v>23</v>
      </c>
      <c r="D1036">
        <v>25107</v>
      </c>
      <c r="E1036">
        <f t="shared" si="33"/>
        <v>25107109</v>
      </c>
      <c r="F1036">
        <f>VLOOKUP(E1036,YieldData!D:F,2,FALSE)</f>
        <v>2</v>
      </c>
      <c r="G1036">
        <f>VLOOKUP($E1036,YieldData!$D:$F,3,FALSE)</f>
        <v>2</v>
      </c>
      <c r="H1036">
        <v>37</v>
      </c>
      <c r="I1036" t="s">
        <v>24</v>
      </c>
      <c r="J1036" t="s">
        <v>25</v>
      </c>
      <c r="K1036" s="2">
        <v>9906.4718982860304</v>
      </c>
      <c r="L1036" s="2">
        <v>160883628.297126</v>
      </c>
      <c r="M1036" s="3">
        <v>9769.1002655918601</v>
      </c>
      <c r="N1036" s="3">
        <v>75116121.750036001</v>
      </c>
      <c r="O1036" s="4">
        <v>9.0601478178892594E-2</v>
      </c>
      <c r="P1036" s="4">
        <v>2.4853250027872802E-2</v>
      </c>
      <c r="Q1036" s="5">
        <v>-3.8804682102720797E-2</v>
      </c>
      <c r="R1036" s="5">
        <v>1.5740543815805301E-3</v>
      </c>
      <c r="S1036" s="6">
        <v>0.31551487267672101</v>
      </c>
      <c r="T1036" s="6">
        <v>7.3034884840022005E-2</v>
      </c>
      <c r="U1036" s="7">
        <v>0.28415084861315398</v>
      </c>
      <c r="V1036" s="7">
        <v>0.20340914384557099</v>
      </c>
      <c r="W1036" s="8">
        <v>0.45450739770593401</v>
      </c>
      <c r="X1036" s="8">
        <v>0.247930423136211</v>
      </c>
      <c r="Y1036" s="2">
        <v>9</v>
      </c>
      <c r="Z1036" s="2">
        <f>VLOOKUP(E1036,YieldData!T:U,2,FALSE)</f>
        <v>1584.2105263157894</v>
      </c>
      <c r="AA1036">
        <f t="shared" si="32"/>
        <v>0.39993302556988097</v>
      </c>
    </row>
    <row r="1037" spans="1:27" hidden="1" x14ac:dyDescent="0.25">
      <c r="A1037">
        <v>102</v>
      </c>
      <c r="B1037">
        <v>110</v>
      </c>
      <c r="C1037" t="s">
        <v>23</v>
      </c>
      <c r="D1037">
        <v>25107</v>
      </c>
      <c r="E1037">
        <f t="shared" si="33"/>
        <v>25107110</v>
      </c>
      <c r="F1037">
        <f>VLOOKUP(E1037,YieldData!D:F,2,FALSE)</f>
        <v>1</v>
      </c>
      <c r="G1037">
        <f>VLOOKUP($E1037,YieldData!$D:$F,3,FALSE)</f>
        <v>2</v>
      </c>
      <c r="H1037">
        <v>37</v>
      </c>
      <c r="I1037" t="s">
        <v>24</v>
      </c>
      <c r="J1037" t="s">
        <v>25</v>
      </c>
      <c r="K1037" s="2">
        <v>13876.848446432399</v>
      </c>
      <c r="L1037" s="2">
        <v>203316483.83097699</v>
      </c>
      <c r="M1037" s="3">
        <v>7343.6748974432303</v>
      </c>
      <c r="N1037" s="3">
        <v>89370280.749653995</v>
      </c>
      <c r="O1037" s="4">
        <v>0.147368827905003</v>
      </c>
      <c r="P1037" s="4">
        <v>3.0141609271332099E-2</v>
      </c>
      <c r="Q1037" s="5">
        <v>-3.0438537985327099E-2</v>
      </c>
      <c r="R1037" s="5">
        <v>1.90444987777077E-3</v>
      </c>
      <c r="S1037" s="6">
        <v>0.41536340236744701</v>
      </c>
      <c r="T1037" s="6">
        <v>8.3019132244215796E-2</v>
      </c>
      <c r="U1037" s="7">
        <v>0.43503480278422302</v>
      </c>
      <c r="V1037" s="7">
        <v>0.24577952315111301</v>
      </c>
      <c r="W1037" s="8">
        <v>0.66555839931112004</v>
      </c>
      <c r="X1037" s="8">
        <v>0.22259041641743299</v>
      </c>
      <c r="Y1037" s="2">
        <v>27</v>
      </c>
      <c r="Z1037" s="2">
        <f>VLOOKUP(E1037,YieldData!T:U,2,FALSE)</f>
        <v>1585.0449293966622</v>
      </c>
      <c r="AA1037">
        <f t="shared" si="32"/>
        <v>0.54967766627994596</v>
      </c>
    </row>
    <row r="1038" spans="1:27" hidden="1" x14ac:dyDescent="0.25">
      <c r="A1038">
        <v>103</v>
      </c>
      <c r="B1038">
        <v>111</v>
      </c>
      <c r="C1038" t="s">
        <v>23</v>
      </c>
      <c r="D1038">
        <v>25107</v>
      </c>
      <c r="E1038">
        <f t="shared" si="33"/>
        <v>25107111</v>
      </c>
      <c r="F1038">
        <f>VLOOKUP(E1038,YieldData!D:F,2,FALSE)</f>
        <v>5</v>
      </c>
      <c r="G1038">
        <f>VLOOKUP($E1038,YieldData!$D:$F,3,FALSE)</f>
        <v>2</v>
      </c>
      <c r="H1038">
        <v>37</v>
      </c>
      <c r="I1038" t="s">
        <v>24</v>
      </c>
      <c r="J1038" t="s">
        <v>25</v>
      </c>
      <c r="K1038" s="2">
        <v>11893.597069109501</v>
      </c>
      <c r="L1038" s="2">
        <v>147330771.98892099</v>
      </c>
      <c r="M1038" s="3">
        <v>6312.7277106993197</v>
      </c>
      <c r="N1038" s="3">
        <v>82831050.005260095</v>
      </c>
      <c r="O1038" s="4">
        <v>0.19058777253915599</v>
      </c>
      <c r="P1038" s="4">
        <v>4.1504381818889602E-2</v>
      </c>
      <c r="Q1038" s="5">
        <v>-1.2729672919233E-2</v>
      </c>
      <c r="R1038" s="5">
        <v>1.66408345836808E-3</v>
      </c>
      <c r="S1038" s="6">
        <v>0.44332427305236199</v>
      </c>
      <c r="T1038" s="6">
        <v>8.9954114131062093E-2</v>
      </c>
      <c r="U1038" s="7">
        <v>0.42788339363723299</v>
      </c>
      <c r="V1038" s="7">
        <v>0.24479919508672099</v>
      </c>
      <c r="W1038" s="8">
        <v>0.26151723804107102</v>
      </c>
      <c r="X1038" s="8">
        <v>0.19312597224877301</v>
      </c>
      <c r="Y1038" s="2">
        <v>7</v>
      </c>
      <c r="Z1038" s="2">
        <f>VLOOKUP(E1038,YieldData!T:U,2,FALSE)</f>
        <v>2037.9974326059053</v>
      </c>
      <c r="AA1038">
        <f t="shared" si="32"/>
        <v>0.53001900013312198</v>
      </c>
    </row>
    <row r="1039" spans="1:27" hidden="1" x14ac:dyDescent="0.25">
      <c r="A1039">
        <v>104</v>
      </c>
      <c r="B1039">
        <v>112</v>
      </c>
      <c r="C1039" t="s">
        <v>23</v>
      </c>
      <c r="D1039">
        <v>25107</v>
      </c>
      <c r="E1039">
        <f t="shared" si="33"/>
        <v>25107112</v>
      </c>
      <c r="F1039">
        <f>VLOOKUP(E1039,YieldData!D:F,2,FALSE)</f>
        <v>3</v>
      </c>
      <c r="G1039">
        <f>VLOOKUP($E1039,YieldData!$D:$F,3,FALSE)</f>
        <v>2</v>
      </c>
      <c r="H1039">
        <v>37</v>
      </c>
      <c r="I1039" t="s">
        <v>24</v>
      </c>
      <c r="J1039" t="s">
        <v>25</v>
      </c>
      <c r="K1039" s="2">
        <v>11765.5299459486</v>
      </c>
      <c r="L1039" s="2">
        <v>169615172.08876199</v>
      </c>
      <c r="M1039" s="3">
        <v>8208.0758700430997</v>
      </c>
      <c r="N1039" s="3">
        <v>93286585.696180403</v>
      </c>
      <c r="O1039" s="4">
        <v>0.14121340935610999</v>
      </c>
      <c r="P1039" s="4">
        <v>3.5584163996240703E-2</v>
      </c>
      <c r="Q1039" s="5">
        <v>-2.92294869878435E-2</v>
      </c>
      <c r="R1039" s="5">
        <v>1.73563414418786E-3</v>
      </c>
      <c r="S1039" s="6">
        <v>0.39205528176398502</v>
      </c>
      <c r="T1039" s="6">
        <v>8.7747261203748497E-2</v>
      </c>
      <c r="U1039" s="7">
        <v>0.382120702789635</v>
      </c>
      <c r="V1039" s="7">
        <v>0.23610447128902801</v>
      </c>
      <c r="W1039" s="8">
        <v>0.48582207765511098</v>
      </c>
      <c r="X1039" s="8">
        <v>0.24979898651757901</v>
      </c>
      <c r="Y1039" s="2">
        <v>11</v>
      </c>
      <c r="Z1039" s="2">
        <f>VLOOKUP(E1039,YieldData!T:U,2,FALSE)</f>
        <v>3938.173940949936</v>
      </c>
      <c r="AA1039">
        <f t="shared" si="32"/>
        <v>0.47124059695716303</v>
      </c>
    </row>
    <row r="1040" spans="1:27" hidden="1" x14ac:dyDescent="0.25">
      <c r="A1040">
        <v>105</v>
      </c>
      <c r="B1040">
        <v>201</v>
      </c>
      <c r="C1040" t="s">
        <v>23</v>
      </c>
      <c r="D1040" t="s">
        <v>100</v>
      </c>
      <c r="E1040" t="e">
        <f t="shared" si="33"/>
        <v>#VALUE!</v>
      </c>
      <c r="H1040">
        <v>37</v>
      </c>
      <c r="I1040" t="s">
        <v>24</v>
      </c>
      <c r="J1040" t="s">
        <v>25</v>
      </c>
      <c r="K1040" s="2">
        <v>8556.6303835619692</v>
      </c>
      <c r="L1040" s="2">
        <v>114095216.636417</v>
      </c>
      <c r="M1040" s="3">
        <v>12071.9726987102</v>
      </c>
      <c r="N1040" s="3">
        <v>73825069.206987798</v>
      </c>
      <c r="O1040" s="4">
        <v>7.6899980102682397E-2</v>
      </c>
      <c r="P1040" s="4">
        <v>2.6633615729218799E-2</v>
      </c>
      <c r="Q1040" s="5">
        <v>-1.9641618616974901E-2</v>
      </c>
      <c r="R1040" s="5">
        <v>2.7316050039105002E-3</v>
      </c>
      <c r="S1040" s="6">
        <v>0.24320511918323801</v>
      </c>
      <c r="T1040" s="6">
        <v>8.1473757323470203E-2</v>
      </c>
      <c r="U1040" s="7">
        <v>0.25715515901017799</v>
      </c>
      <c r="V1040" s="7">
        <v>0.19102638320433099</v>
      </c>
      <c r="W1040" s="8">
        <v>0.72064680484625199</v>
      </c>
      <c r="X1040" s="8">
        <v>0.20131498751119201</v>
      </c>
      <c r="Y1040" s="2">
        <v>31</v>
      </c>
      <c r="Z1040" s="2" t="e">
        <f>VLOOKUP(E1040,YieldData!T:U,2,FALSE)</f>
        <v>#VALUE!</v>
      </c>
      <c r="AA1040">
        <f t="shared" si="32"/>
        <v>0.913534329143595</v>
      </c>
    </row>
    <row r="1041" spans="1:27" hidden="1" x14ac:dyDescent="0.25">
      <c r="A1041">
        <v>106</v>
      </c>
      <c r="B1041">
        <v>202</v>
      </c>
      <c r="C1041" t="s">
        <v>23</v>
      </c>
      <c r="D1041" t="s">
        <v>100</v>
      </c>
      <c r="E1041" t="e">
        <f t="shared" si="33"/>
        <v>#VALUE!</v>
      </c>
      <c r="H1041">
        <v>37</v>
      </c>
      <c r="I1041" t="s">
        <v>24</v>
      </c>
      <c r="J1041" t="s">
        <v>25</v>
      </c>
      <c r="K1041" s="2">
        <v>12912.529539094499</v>
      </c>
      <c r="L1041" s="2">
        <v>171651916.57644901</v>
      </c>
      <c r="M1041" s="3">
        <v>8662.3338306404894</v>
      </c>
      <c r="N1041" s="3">
        <v>101343113.860292</v>
      </c>
      <c r="O1041" s="4">
        <v>0.12770610101931801</v>
      </c>
      <c r="P1041" s="4">
        <v>3.00872077019061E-2</v>
      </c>
      <c r="Q1041" s="5">
        <v>-2.1665967049480001E-2</v>
      </c>
      <c r="R1041" s="5">
        <v>2.1920514163661299E-3</v>
      </c>
      <c r="S1041" s="6">
        <v>0.34321928210645503</v>
      </c>
      <c r="T1041" s="6">
        <v>9.5113891369290507E-2</v>
      </c>
      <c r="U1041" s="7">
        <v>0.385515080485063</v>
      </c>
      <c r="V1041" s="7">
        <v>0.23689320320339399</v>
      </c>
      <c r="W1041" s="8">
        <v>0.77498863880982605</v>
      </c>
      <c r="X1041" s="8">
        <v>0.17438124852537901</v>
      </c>
      <c r="Y1041" s="2">
        <v>34</v>
      </c>
      <c r="Z1041" s="2" t="e">
        <f>VLOOKUP(E1041,YieldData!T:U,2,FALSE)</f>
        <v>#VALUE!</v>
      </c>
      <c r="AA1041">
        <f t="shared" si="32"/>
        <v>0.913534329143595</v>
      </c>
    </row>
    <row r="1042" spans="1:27" hidden="1" x14ac:dyDescent="0.25">
      <c r="A1042">
        <v>107</v>
      </c>
      <c r="B1042">
        <v>203</v>
      </c>
      <c r="C1042" t="s">
        <v>23</v>
      </c>
      <c r="D1042" t="s">
        <v>100</v>
      </c>
      <c r="E1042" t="e">
        <f t="shared" si="33"/>
        <v>#VALUE!</v>
      </c>
      <c r="H1042">
        <v>37</v>
      </c>
      <c r="I1042" t="s">
        <v>24</v>
      </c>
      <c r="J1042" t="s">
        <v>25</v>
      </c>
      <c r="K1042" s="2">
        <v>13105.240875735601</v>
      </c>
      <c r="L1042" s="2">
        <v>195661374.00719801</v>
      </c>
      <c r="M1042" s="3">
        <v>9581.9647282711394</v>
      </c>
      <c r="N1042" s="3">
        <v>112394700.913554</v>
      </c>
      <c r="O1042" s="4">
        <v>9.7859386525806905E-2</v>
      </c>
      <c r="P1042" s="4">
        <v>3.2013181240870603E-2</v>
      </c>
      <c r="Q1042" s="5">
        <v>-4.1507680093031102E-2</v>
      </c>
      <c r="R1042" s="5">
        <v>1.5267781949704E-3</v>
      </c>
      <c r="S1042" s="6">
        <v>0.31432073073631001</v>
      </c>
      <c r="T1042" s="6">
        <v>0.102192085260459</v>
      </c>
      <c r="U1042" s="7">
        <v>0.36503112058317799</v>
      </c>
      <c r="V1042" s="7">
        <v>0.23178340158884</v>
      </c>
      <c r="W1042" s="8">
        <v>0.61088372768884303</v>
      </c>
      <c r="X1042" s="8">
        <v>0.237704798934151</v>
      </c>
      <c r="Y1042" s="2">
        <v>16</v>
      </c>
      <c r="Z1042" s="2" t="e">
        <f>VLOOKUP(E1042,YieldData!T:U,2,FALSE)</f>
        <v>#VALUE!</v>
      </c>
      <c r="AA1042">
        <f t="shared" si="32"/>
        <v>0.913534329143595</v>
      </c>
    </row>
    <row r="1043" spans="1:27" hidden="1" x14ac:dyDescent="0.25">
      <c r="A1043">
        <v>108</v>
      </c>
      <c r="B1043">
        <v>204</v>
      </c>
      <c r="C1043" t="s">
        <v>23</v>
      </c>
      <c r="D1043">
        <v>25107</v>
      </c>
      <c r="E1043">
        <f t="shared" si="33"/>
        <v>25107204</v>
      </c>
      <c r="F1043">
        <f>VLOOKUP(E1043,YieldData!D:F,2,FALSE)</f>
        <v>5</v>
      </c>
      <c r="G1043">
        <f>VLOOKUP($E1043,YieldData!$D:$F,3,FALSE)</f>
        <v>3</v>
      </c>
      <c r="H1043">
        <v>37</v>
      </c>
      <c r="I1043" t="s">
        <v>24</v>
      </c>
      <c r="J1043" t="s">
        <v>25</v>
      </c>
      <c r="K1043" s="2">
        <v>11478.753770346701</v>
      </c>
      <c r="L1043" s="2">
        <v>146100805.93994701</v>
      </c>
      <c r="M1043" s="3">
        <v>8683.17852216545</v>
      </c>
      <c r="N1043" s="3">
        <v>98562411.531042695</v>
      </c>
      <c r="O1043" s="4">
        <v>0.119322604129819</v>
      </c>
      <c r="P1043" s="4">
        <v>3.9768122269901202E-2</v>
      </c>
      <c r="Q1043" s="5">
        <v>-3.82130755907788E-2</v>
      </c>
      <c r="R1043" s="5">
        <v>1.88501814603504E-3</v>
      </c>
      <c r="S1043" s="6">
        <v>0.33071541752190198</v>
      </c>
      <c r="T1043" s="6">
        <v>0.107159064785169</v>
      </c>
      <c r="U1043" s="7">
        <v>0.37921136665351102</v>
      </c>
      <c r="V1043" s="7">
        <v>0.235410106053971</v>
      </c>
      <c r="W1043" s="8">
        <v>0.62151818497123701</v>
      </c>
      <c r="X1043" s="8">
        <v>0.23523333072125899</v>
      </c>
      <c r="Y1043" s="2">
        <v>34</v>
      </c>
      <c r="Z1043" s="2">
        <f>VLOOKUP(E1043,YieldData!T:U,2,FALSE)</f>
        <v>2665.7028241335051</v>
      </c>
      <c r="AA1043">
        <f t="shared" si="32"/>
        <v>0.44989833751943498</v>
      </c>
    </row>
    <row r="1044" spans="1:27" hidden="1" x14ac:dyDescent="0.25">
      <c r="A1044">
        <v>109</v>
      </c>
      <c r="B1044">
        <v>205</v>
      </c>
      <c r="C1044" t="s">
        <v>23</v>
      </c>
      <c r="D1044">
        <v>25107</v>
      </c>
      <c r="E1044">
        <f t="shared" si="33"/>
        <v>25107205</v>
      </c>
      <c r="F1044">
        <f>VLOOKUP(E1044,YieldData!D:F,2,FALSE)</f>
        <v>2</v>
      </c>
      <c r="G1044">
        <f>VLOOKUP($E1044,YieldData!$D:$F,3,FALSE)</f>
        <v>3</v>
      </c>
      <c r="H1044">
        <v>37</v>
      </c>
      <c r="I1044" t="s">
        <v>24</v>
      </c>
      <c r="J1044" t="s">
        <v>25</v>
      </c>
      <c r="K1044" s="2">
        <v>12818.9831054202</v>
      </c>
      <c r="L1044" s="2">
        <v>195971671.381951</v>
      </c>
      <c r="M1044" s="3">
        <v>7055.9971415074597</v>
      </c>
      <c r="N1044" s="3">
        <v>90953732.0528263</v>
      </c>
      <c r="O1044" s="4">
        <v>0.112522553674123</v>
      </c>
      <c r="P1044" s="4">
        <v>3.38295059984908E-2</v>
      </c>
      <c r="Q1044" s="5">
        <v>-3.80631978814703E-2</v>
      </c>
      <c r="R1044" s="5">
        <v>1.89905066547217E-3</v>
      </c>
      <c r="S1044" s="6">
        <v>0.33861294465148201</v>
      </c>
      <c r="T1044" s="6">
        <v>0.10049682053060301</v>
      </c>
      <c r="U1044" s="7">
        <v>0.38306812531079099</v>
      </c>
      <c r="V1044" s="7">
        <v>0.236326936681796</v>
      </c>
      <c r="W1044" s="8">
        <v>0.37350820487319703</v>
      </c>
      <c r="X1044" s="8">
        <v>0.233999825765242</v>
      </c>
      <c r="Y1044" s="2">
        <v>9</v>
      </c>
      <c r="Z1044" s="2">
        <f>VLOOKUP(E1044,YieldData!T:U,2,FALSE)</f>
        <v>2740.9948652118101</v>
      </c>
      <c r="AA1044">
        <f t="shared" si="32"/>
        <v>0.47171805072103401</v>
      </c>
    </row>
    <row r="1045" spans="1:27" hidden="1" x14ac:dyDescent="0.25">
      <c r="A1045">
        <v>110</v>
      </c>
      <c r="B1045">
        <v>206</v>
      </c>
      <c r="C1045" t="s">
        <v>23</v>
      </c>
      <c r="D1045">
        <v>25107</v>
      </c>
      <c r="E1045">
        <f t="shared" si="33"/>
        <v>25107206</v>
      </c>
      <c r="F1045">
        <f>VLOOKUP(E1045,YieldData!D:F,2,FALSE)</f>
        <v>1</v>
      </c>
      <c r="G1045">
        <f>VLOOKUP($E1045,YieldData!$D:$F,3,FALSE)</f>
        <v>3</v>
      </c>
      <c r="H1045">
        <v>37</v>
      </c>
      <c r="I1045" t="s">
        <v>24</v>
      </c>
      <c r="J1045" t="s">
        <v>25</v>
      </c>
      <c r="K1045" s="2">
        <v>11773.8063655718</v>
      </c>
      <c r="L1045" s="2">
        <v>168238360.553193</v>
      </c>
      <c r="M1045" s="3">
        <v>7672.1302759404098</v>
      </c>
      <c r="N1045" s="3">
        <v>72442266.650577307</v>
      </c>
      <c r="O1045" s="4">
        <v>9.7308369696239294E-2</v>
      </c>
      <c r="P1045" s="4">
        <v>2.6583488808984E-2</v>
      </c>
      <c r="Q1045" s="5">
        <v>-4.6776231295431299E-2</v>
      </c>
      <c r="R1045" s="5">
        <v>1.60611273157922E-3</v>
      </c>
      <c r="S1045" s="6">
        <v>0.32176758813165801</v>
      </c>
      <c r="T1045" s="6">
        <v>9.1880162275648006E-2</v>
      </c>
      <c r="U1045" s="7">
        <v>0.36760519579934497</v>
      </c>
      <c r="V1045" s="7">
        <v>0.23247161582070899</v>
      </c>
      <c r="W1045" s="8">
        <v>0.68157787718584795</v>
      </c>
      <c r="X1045" s="8">
        <v>0.21702947451697399</v>
      </c>
      <c r="Y1045" s="2">
        <v>23</v>
      </c>
      <c r="Z1045" s="2">
        <f>VLOOKUP(E1045,YieldData!T:U,2,FALSE)</f>
        <v>1823.433889602054</v>
      </c>
      <c r="AA1045">
        <f t="shared" si="32"/>
        <v>0.46218889407149599</v>
      </c>
    </row>
    <row r="1046" spans="1:27" hidden="1" x14ac:dyDescent="0.25">
      <c r="A1046">
        <v>111</v>
      </c>
      <c r="B1046">
        <v>207</v>
      </c>
      <c r="C1046" t="s">
        <v>23</v>
      </c>
      <c r="D1046">
        <v>25107</v>
      </c>
      <c r="E1046">
        <f t="shared" si="33"/>
        <v>25107207</v>
      </c>
      <c r="F1046">
        <f>VLOOKUP(E1046,YieldData!D:F,2,FALSE)</f>
        <v>3</v>
      </c>
      <c r="G1046">
        <f>VLOOKUP($E1046,YieldData!$D:$F,3,FALSE)</f>
        <v>3</v>
      </c>
      <c r="H1046">
        <v>37</v>
      </c>
      <c r="I1046" t="s">
        <v>24</v>
      </c>
      <c r="J1046" t="s">
        <v>25</v>
      </c>
      <c r="K1046" s="2">
        <v>11358.1512273808</v>
      </c>
      <c r="L1046" s="2">
        <v>173928434.300502</v>
      </c>
      <c r="M1046" s="3">
        <v>7902.3855452681701</v>
      </c>
      <c r="N1046" s="3">
        <v>74394160.544571504</v>
      </c>
      <c r="O1046" s="4">
        <v>8.6499575834314099E-2</v>
      </c>
      <c r="P1046" s="4">
        <v>2.8497080406261401E-2</v>
      </c>
      <c r="Q1046" s="5">
        <v>-4.4596236367223201E-2</v>
      </c>
      <c r="R1046" s="5">
        <v>1.60547661748677E-3</v>
      </c>
      <c r="S1046" s="6">
        <v>0.30729934444685097</v>
      </c>
      <c r="T1046" s="6">
        <v>9.56988241032036E-2</v>
      </c>
      <c r="U1046" s="7">
        <v>0.33930044146897598</v>
      </c>
      <c r="V1046" s="7">
        <v>0.22417565188782801</v>
      </c>
      <c r="W1046" s="8">
        <v>0.74591277349245599</v>
      </c>
      <c r="X1046" s="8">
        <v>0.189526907833377</v>
      </c>
      <c r="Y1046" s="2">
        <v>29</v>
      </c>
      <c r="Z1046" s="2">
        <f>VLOOKUP(E1046,YieldData!T:U,2,FALSE)</f>
        <v>2319.6341463414633</v>
      </c>
      <c r="AA1046">
        <f t="shared" si="32"/>
        <v>0.402401164200825</v>
      </c>
    </row>
    <row r="1047" spans="1:27" hidden="1" x14ac:dyDescent="0.25">
      <c r="A1047">
        <v>112</v>
      </c>
      <c r="B1047">
        <v>208</v>
      </c>
      <c r="C1047" t="s">
        <v>23</v>
      </c>
      <c r="D1047">
        <v>25107</v>
      </c>
      <c r="E1047">
        <f t="shared" si="33"/>
        <v>25107208</v>
      </c>
      <c r="F1047">
        <f>VLOOKUP(E1047,YieldData!D:F,2,FALSE)</f>
        <v>4</v>
      </c>
      <c r="G1047">
        <f>VLOOKUP($E1047,YieldData!$D:$F,3,FALSE)</f>
        <v>3</v>
      </c>
      <c r="H1047">
        <v>37</v>
      </c>
      <c r="I1047" t="s">
        <v>24</v>
      </c>
      <c r="J1047" t="s">
        <v>25</v>
      </c>
      <c r="K1047" s="2">
        <v>11563.232763039099</v>
      </c>
      <c r="L1047" s="2">
        <v>178472230.25582999</v>
      </c>
      <c r="M1047" s="3">
        <v>9074.3111106631295</v>
      </c>
      <c r="N1047" s="3">
        <v>89234751.208983496</v>
      </c>
      <c r="O1047" s="4">
        <v>8.0570700061009096E-2</v>
      </c>
      <c r="P1047" s="4">
        <v>3.0848698678943801E-2</v>
      </c>
      <c r="Q1047" s="5">
        <v>-4.8911899847530402E-2</v>
      </c>
      <c r="R1047" s="5">
        <v>1.6154256136912801E-3</v>
      </c>
      <c r="S1047" s="6">
        <v>0.29743510133926099</v>
      </c>
      <c r="T1047" s="6">
        <v>9.7081348462140005E-2</v>
      </c>
      <c r="U1047" s="7">
        <v>0.34077319210211598</v>
      </c>
      <c r="V1047" s="7">
        <v>0.22464682364646699</v>
      </c>
      <c r="W1047" s="8">
        <v>0.60809557513484502</v>
      </c>
      <c r="X1047" s="8">
        <v>0.23831534663627801</v>
      </c>
      <c r="Y1047" s="2">
        <v>20</v>
      </c>
      <c r="Z1047" s="2">
        <f>VLOOKUP(E1047,YieldData!T:U,2,FALSE)</f>
        <v>1785.5487804878051</v>
      </c>
      <c r="AA1047">
        <f t="shared" si="32"/>
        <v>0.41079926784624798</v>
      </c>
    </row>
    <row r="1048" spans="1:27" hidden="1" x14ac:dyDescent="0.25">
      <c r="A1048">
        <v>113</v>
      </c>
      <c r="B1048">
        <v>209</v>
      </c>
      <c r="C1048" t="s">
        <v>23</v>
      </c>
      <c r="D1048">
        <v>25107</v>
      </c>
      <c r="E1048">
        <f t="shared" si="33"/>
        <v>25107209</v>
      </c>
      <c r="F1048">
        <f>VLOOKUP(E1048,YieldData!D:F,2,FALSE)</f>
        <v>6</v>
      </c>
      <c r="G1048">
        <f>VLOOKUP($E1048,YieldData!$D:$F,3,FALSE)</f>
        <v>3</v>
      </c>
      <c r="H1048">
        <v>37</v>
      </c>
      <c r="I1048" t="s">
        <v>24</v>
      </c>
      <c r="J1048" t="s">
        <v>25</v>
      </c>
      <c r="K1048" s="2">
        <v>12650.292825873699</v>
      </c>
      <c r="L1048" s="2">
        <v>181246802.24901301</v>
      </c>
      <c r="M1048" s="3">
        <v>8343.23361735447</v>
      </c>
      <c r="N1048" s="3">
        <v>100521882.32778101</v>
      </c>
      <c r="O1048" s="4">
        <v>0.112018965959518</v>
      </c>
      <c r="P1048" s="4">
        <v>3.2624975856203303E-2</v>
      </c>
      <c r="Q1048" s="5">
        <v>-4.0288869952319298E-2</v>
      </c>
      <c r="R1048" s="5">
        <v>1.7042910994276099E-3</v>
      </c>
      <c r="S1048" s="6">
        <v>0.34287699674926703</v>
      </c>
      <c r="T1048" s="6">
        <v>9.8122316377612206E-2</v>
      </c>
      <c r="U1048" s="7">
        <v>0.37857330813578</v>
      </c>
      <c r="V1048" s="7">
        <v>0.23525555850291699</v>
      </c>
      <c r="W1048" s="8">
        <v>0.341075999330192</v>
      </c>
      <c r="X1048" s="8">
        <v>0.22474316201087599</v>
      </c>
      <c r="Y1048" s="2">
        <v>10</v>
      </c>
      <c r="Z1048" s="2">
        <f>VLOOKUP(E1048,YieldData!T:U,2,FALSE)</f>
        <v>1467.1453786906291</v>
      </c>
      <c r="AA1048">
        <f t="shared" si="32"/>
        <v>0.45786634450916802</v>
      </c>
    </row>
    <row r="1049" spans="1:27" hidden="1" x14ac:dyDescent="0.25">
      <c r="A1049">
        <v>114</v>
      </c>
      <c r="B1049">
        <v>210</v>
      </c>
      <c r="C1049" t="s">
        <v>23</v>
      </c>
      <c r="D1049">
        <v>25107</v>
      </c>
      <c r="E1049">
        <f t="shared" si="33"/>
        <v>25107210</v>
      </c>
      <c r="F1049">
        <f>VLOOKUP(E1049,YieldData!D:F,2,FALSE)</f>
        <v>7</v>
      </c>
      <c r="G1049">
        <f>VLOOKUP($E1049,YieldData!$D:$F,3,FALSE)</f>
        <v>3</v>
      </c>
      <c r="H1049">
        <v>37</v>
      </c>
      <c r="I1049" t="s">
        <v>24</v>
      </c>
      <c r="J1049" t="s">
        <v>25</v>
      </c>
      <c r="K1049" s="2">
        <v>13889.234508924101</v>
      </c>
      <c r="L1049" s="2">
        <v>145284654.65082499</v>
      </c>
      <c r="M1049" s="3">
        <v>6174.4587097202502</v>
      </c>
      <c r="N1049" s="3">
        <v>95641664.117155999</v>
      </c>
      <c r="O1049" s="4">
        <v>0.18914780112541199</v>
      </c>
      <c r="P1049" s="4">
        <v>3.7179008776290899E-2</v>
      </c>
      <c r="Q1049" s="5">
        <v>-1.9492601867876901E-2</v>
      </c>
      <c r="R1049" s="5">
        <v>2.0942076821605102E-3</v>
      </c>
      <c r="S1049" s="6">
        <v>0.44478264555464198</v>
      </c>
      <c r="T1049" s="6">
        <v>9.4926867356598096E-2</v>
      </c>
      <c r="U1049" s="7">
        <v>0.49098769789250801</v>
      </c>
      <c r="V1049" s="7">
        <v>0.24991877841070501</v>
      </c>
      <c r="W1049" s="8">
        <v>0.75777704951094105</v>
      </c>
      <c r="X1049" s="8">
        <v>0.18355099274546799</v>
      </c>
      <c r="Y1049" s="2">
        <v>25</v>
      </c>
      <c r="Z1049" s="2">
        <f>VLOOKUP(E1049,YieldData!T:U,2,FALSE)</f>
        <v>1599.6951219512193</v>
      </c>
      <c r="AA1049">
        <f t="shared" si="32"/>
        <v>0.55738738057425197</v>
      </c>
    </row>
    <row r="1050" spans="1:27" hidden="1" x14ac:dyDescent="0.25">
      <c r="A1050">
        <v>115</v>
      </c>
      <c r="B1050">
        <v>211</v>
      </c>
      <c r="C1050" t="s">
        <v>23</v>
      </c>
      <c r="D1050">
        <v>25107</v>
      </c>
      <c r="E1050">
        <f t="shared" si="33"/>
        <v>25107211</v>
      </c>
      <c r="F1050">
        <f>VLOOKUP(E1050,YieldData!D:F,2,FALSE)</f>
        <v>7</v>
      </c>
      <c r="G1050">
        <f>VLOOKUP($E1050,YieldData!$D:$F,3,FALSE)</f>
        <v>2</v>
      </c>
      <c r="H1050">
        <v>37</v>
      </c>
      <c r="I1050" t="s">
        <v>24</v>
      </c>
      <c r="J1050" t="s">
        <v>25</v>
      </c>
      <c r="K1050" s="2">
        <v>9680.9297014465992</v>
      </c>
      <c r="L1050" s="2">
        <v>115484834.87402201</v>
      </c>
      <c r="M1050" s="3">
        <v>8728.6686266956094</v>
      </c>
      <c r="N1050" s="3">
        <v>92124094.137202293</v>
      </c>
      <c r="O1050" s="4">
        <v>0.146081203842167</v>
      </c>
      <c r="P1050" s="4">
        <v>4.3890715159265202E-2</v>
      </c>
      <c r="Q1050" s="5">
        <v>-2.0410532396420499E-2</v>
      </c>
      <c r="R1050" s="5">
        <v>2.0181300466286202E-3</v>
      </c>
      <c r="S1050" s="6">
        <v>0.36497596654798897</v>
      </c>
      <c r="T1050" s="6">
        <v>9.7424408697865603E-2</v>
      </c>
      <c r="U1050" s="7">
        <v>0.369676823638042</v>
      </c>
      <c r="V1050" s="7">
        <v>0.233015869703009</v>
      </c>
      <c r="W1050" s="8">
        <v>0.65941520467836301</v>
      </c>
      <c r="X1050" s="8">
        <v>0.22458679251744701</v>
      </c>
      <c r="Y1050" s="2">
        <v>26</v>
      </c>
      <c r="Z1050" s="2">
        <f>VLOOKUP(E1050,YieldData!T:U,2,FALSE)</f>
        <v>1675.2695763799745</v>
      </c>
      <c r="AA1050">
        <f t="shared" si="32"/>
        <v>0.44863414213785402</v>
      </c>
    </row>
    <row r="1051" spans="1:27" hidden="1" x14ac:dyDescent="0.25">
      <c r="A1051">
        <v>116</v>
      </c>
      <c r="B1051">
        <v>212</v>
      </c>
      <c r="C1051" t="s">
        <v>23</v>
      </c>
      <c r="D1051">
        <v>25107</v>
      </c>
      <c r="E1051">
        <f t="shared" si="33"/>
        <v>25107212</v>
      </c>
      <c r="F1051">
        <f>VLOOKUP(E1051,YieldData!D:F,2,FALSE)</f>
        <v>6</v>
      </c>
      <c r="G1051">
        <f>VLOOKUP($E1051,YieldData!$D:$F,3,FALSE)</f>
        <v>2</v>
      </c>
      <c r="H1051">
        <v>37</v>
      </c>
      <c r="I1051" t="s">
        <v>24</v>
      </c>
      <c r="J1051" t="s">
        <v>25</v>
      </c>
      <c r="K1051" s="2">
        <v>10686.4095670892</v>
      </c>
      <c r="L1051" s="2">
        <v>147100544.80740601</v>
      </c>
      <c r="M1051" s="3">
        <v>8826.0279597567005</v>
      </c>
      <c r="N1051" s="3">
        <v>92542755.777624801</v>
      </c>
      <c r="O1051" s="4">
        <v>0.114136053984299</v>
      </c>
      <c r="P1051" s="4">
        <v>3.5068355144270001E-2</v>
      </c>
      <c r="Q1051" s="5">
        <v>-3.6893686795555797E-2</v>
      </c>
      <c r="R1051" s="5">
        <v>1.66155326128294E-3</v>
      </c>
      <c r="S1051" s="6">
        <v>0.34768899500266998</v>
      </c>
      <c r="T1051" s="6">
        <v>9.2594888689527505E-2</v>
      </c>
      <c r="U1051" s="7">
        <v>0.36414733317388198</v>
      </c>
      <c r="V1051" s="7">
        <v>0.23154405291614699</v>
      </c>
      <c r="W1051" s="8">
        <v>0.39319540779717799</v>
      </c>
      <c r="X1051" s="8">
        <v>0.23859277908433199</v>
      </c>
      <c r="Y1051" s="2">
        <v>12</v>
      </c>
      <c r="Z1051" s="2">
        <f>VLOOKUP(E1051,YieldData!T:U,2,FALSE)</f>
        <v>2312.836970474968</v>
      </c>
      <c r="AA1051">
        <f t="shared" si="32"/>
        <v>0.36414733317388198</v>
      </c>
    </row>
    <row r="1052" spans="1:27" hidden="1" x14ac:dyDescent="0.25">
      <c r="A1052">
        <v>117</v>
      </c>
      <c r="B1052">
        <v>301</v>
      </c>
      <c r="C1052" t="s">
        <v>23</v>
      </c>
      <c r="D1052">
        <v>25110</v>
      </c>
      <c r="E1052">
        <f t="shared" si="33"/>
        <v>25110301</v>
      </c>
      <c r="F1052">
        <f>VLOOKUP(E1052,YieldData!D:F,2,FALSE)</f>
        <v>1</v>
      </c>
      <c r="G1052">
        <f>VLOOKUP($E1052,YieldData!$D:$F,3,FALSE)</f>
        <v>1</v>
      </c>
      <c r="H1052">
        <v>37</v>
      </c>
      <c r="I1052" t="s">
        <v>24</v>
      </c>
      <c r="J1052" t="s">
        <v>25</v>
      </c>
      <c r="K1052" s="2">
        <v>14536.5264395538</v>
      </c>
      <c r="L1052" s="2">
        <v>172304548.72001499</v>
      </c>
      <c r="M1052" s="3">
        <v>8454.19908307271</v>
      </c>
      <c r="N1052" s="3">
        <v>96146133.600029007</v>
      </c>
      <c r="O1052" s="4">
        <v>0.132726484503838</v>
      </c>
      <c r="P1052" s="4">
        <v>2.8359410475745001E-2</v>
      </c>
      <c r="Q1052" s="5">
        <v>-5.7611364525537497E-3</v>
      </c>
      <c r="R1052" s="5">
        <v>2.8047411017731098E-3</v>
      </c>
      <c r="S1052" s="6">
        <v>0.37123273040174298</v>
      </c>
      <c r="T1052" s="6">
        <v>9.9955042329713903E-2</v>
      </c>
      <c r="U1052" s="7">
        <v>0.46315345191438001</v>
      </c>
      <c r="V1052" s="7">
        <v>0.24864233189395499</v>
      </c>
      <c r="W1052" s="8">
        <v>0.54435936086825398</v>
      </c>
      <c r="X1052" s="8">
        <v>0.24803224710333299</v>
      </c>
      <c r="Y1052" s="2">
        <v>15</v>
      </c>
      <c r="Z1052" s="2">
        <f>VLOOKUP(E1052,YieldData!T:U,2,FALSE)</f>
        <v>1782.9894094993581</v>
      </c>
      <c r="AA1052">
        <f t="shared" si="32"/>
        <v>0.52055802064242296</v>
      </c>
    </row>
    <row r="1053" spans="1:27" hidden="1" x14ac:dyDescent="0.25">
      <c r="A1053">
        <v>118</v>
      </c>
      <c r="B1053">
        <v>302</v>
      </c>
      <c r="C1053" t="s">
        <v>23</v>
      </c>
      <c r="D1053">
        <v>25110</v>
      </c>
      <c r="E1053">
        <f t="shared" si="33"/>
        <v>25110302</v>
      </c>
      <c r="F1053">
        <f>VLOOKUP(E1053,YieldData!D:F,2,FALSE)</f>
        <v>2</v>
      </c>
      <c r="G1053">
        <f>VLOOKUP($E1053,YieldData!$D:$F,3,FALSE)</f>
        <v>1</v>
      </c>
      <c r="H1053">
        <v>37</v>
      </c>
      <c r="I1053" t="s">
        <v>24</v>
      </c>
      <c r="J1053" t="s">
        <v>25</v>
      </c>
      <c r="K1053" s="2">
        <v>14845.796100944901</v>
      </c>
      <c r="L1053" s="2">
        <v>227926129.05824399</v>
      </c>
      <c r="M1053" s="3">
        <v>9868.3373846076593</v>
      </c>
      <c r="N1053" s="3">
        <v>111726609.248697</v>
      </c>
      <c r="O1053" s="4">
        <v>7.4789437111366402E-2</v>
      </c>
      <c r="P1053" s="4">
        <v>2.5126474730987499E-2</v>
      </c>
      <c r="Q1053" s="5">
        <v>-4.4763367401408502E-2</v>
      </c>
      <c r="R1053" s="5">
        <v>1.7718067413238501E-3</v>
      </c>
      <c r="S1053" s="6">
        <v>0.30456567454910799</v>
      </c>
      <c r="T1053" s="6">
        <v>0.100953345269751</v>
      </c>
      <c r="U1053" s="7">
        <v>0.393780648247817</v>
      </c>
      <c r="V1053" s="7">
        <v>0.23871744931321101</v>
      </c>
      <c r="W1053" s="8">
        <v>0.50074153809352995</v>
      </c>
      <c r="X1053" s="8">
        <v>0.24999945012116601</v>
      </c>
      <c r="Y1053" s="2">
        <v>19</v>
      </c>
      <c r="Z1053" s="2">
        <f>VLOOKUP(E1053,YieldData!T:U,2,FALSE)</f>
        <v>1480.0224646983313</v>
      </c>
      <c r="AA1053">
        <f t="shared" si="32"/>
        <v>0.51252795617906299</v>
      </c>
    </row>
    <row r="1054" spans="1:27" hidden="1" x14ac:dyDescent="0.25">
      <c r="A1054">
        <v>119</v>
      </c>
      <c r="B1054">
        <v>303</v>
      </c>
      <c r="C1054" t="s">
        <v>23</v>
      </c>
      <c r="D1054">
        <v>25110</v>
      </c>
      <c r="E1054">
        <f t="shared" si="33"/>
        <v>25110303</v>
      </c>
      <c r="F1054">
        <f>VLOOKUP(E1054,YieldData!D:F,2,FALSE)</f>
        <v>3</v>
      </c>
      <c r="G1054">
        <f>VLOOKUP($E1054,YieldData!$D:$F,3,FALSE)</f>
        <v>1</v>
      </c>
      <c r="H1054">
        <v>37</v>
      </c>
      <c r="I1054" t="s">
        <v>24</v>
      </c>
      <c r="J1054" t="s">
        <v>25</v>
      </c>
      <c r="K1054" s="2">
        <v>19065.576991616101</v>
      </c>
      <c r="L1054" s="2">
        <v>225500813.48849401</v>
      </c>
      <c r="M1054" s="3">
        <v>5227.5632709261299</v>
      </c>
      <c r="N1054" s="3">
        <v>110894977.60584</v>
      </c>
      <c r="O1054" s="4">
        <v>0.152843677424291</v>
      </c>
      <c r="P1054" s="4">
        <v>2.6348540015347002E-2</v>
      </c>
      <c r="Q1054" s="5">
        <v>-3.3225637339128901E-2</v>
      </c>
      <c r="R1054" s="5">
        <v>1.631181686938E-3</v>
      </c>
      <c r="S1054" s="6">
        <v>0.43851943944879601</v>
      </c>
      <c r="T1054" s="6">
        <v>9.7724488602477996E-2</v>
      </c>
      <c r="U1054" s="7">
        <v>0.54102830899501297</v>
      </c>
      <c r="V1054" s="7">
        <v>0.24831667786108699</v>
      </c>
      <c r="W1054" s="8">
        <v>0.31272648989989599</v>
      </c>
      <c r="X1054" s="8">
        <v>0.21492863241467</v>
      </c>
      <c r="Y1054" s="2">
        <v>7</v>
      </c>
      <c r="Z1054" s="2">
        <f>VLOOKUP(E1054,YieldData!T:U,2,FALSE)</f>
        <v>1611.0173299101414</v>
      </c>
      <c r="AA1054">
        <f t="shared" si="32"/>
        <v>0.61807200095682302</v>
      </c>
    </row>
    <row r="1055" spans="1:27" hidden="1" x14ac:dyDescent="0.25">
      <c r="A1055">
        <v>120</v>
      </c>
      <c r="B1055">
        <v>304</v>
      </c>
      <c r="C1055" t="s">
        <v>23</v>
      </c>
      <c r="D1055">
        <v>25110</v>
      </c>
      <c r="E1055">
        <f t="shared" si="33"/>
        <v>25110304</v>
      </c>
      <c r="F1055">
        <f>VLOOKUP(E1055,YieldData!D:F,2,FALSE)</f>
        <v>4</v>
      </c>
      <c r="G1055">
        <f>VLOOKUP($E1055,YieldData!$D:$F,3,FALSE)</f>
        <v>1</v>
      </c>
      <c r="H1055">
        <v>37</v>
      </c>
      <c r="I1055" t="s">
        <v>24</v>
      </c>
      <c r="J1055" t="s">
        <v>25</v>
      </c>
      <c r="K1055" s="2">
        <v>17667.538984104998</v>
      </c>
      <c r="L1055" s="2">
        <v>244595339.20251501</v>
      </c>
      <c r="M1055" s="3">
        <v>6782.0713959598997</v>
      </c>
      <c r="N1055" s="3">
        <v>117837230.099608</v>
      </c>
      <c r="O1055" s="4">
        <v>0.11544743760179101</v>
      </c>
      <c r="P1055" s="4">
        <v>2.9710563969835398E-2</v>
      </c>
      <c r="Q1055" s="5">
        <v>-4.9111776759475603E-2</v>
      </c>
      <c r="R1055" s="5">
        <v>1.79599603026684E-3</v>
      </c>
      <c r="S1055" s="6">
        <v>0.38440591728104201</v>
      </c>
      <c r="T1055" s="6">
        <v>0.108860078229681</v>
      </c>
      <c r="U1055" s="7">
        <v>0.49285381110141002</v>
      </c>
      <c r="V1055" s="7">
        <v>0.249948931983972</v>
      </c>
      <c r="W1055" s="8">
        <v>0.39267560488452502</v>
      </c>
      <c r="X1055" s="8">
        <v>0.23848147421326801</v>
      </c>
      <c r="Y1055" s="2">
        <v>11</v>
      </c>
      <c r="Z1055" s="2">
        <f>VLOOKUP(E1055,YieldData!T:U,2,FALSE)</f>
        <v>1064.6341463414635</v>
      </c>
      <c r="AA1055">
        <f t="shared" si="32"/>
        <v>0.569009030560373</v>
      </c>
    </row>
    <row r="1056" spans="1:27" hidden="1" x14ac:dyDescent="0.25">
      <c r="A1056">
        <v>121</v>
      </c>
      <c r="B1056">
        <v>305</v>
      </c>
      <c r="C1056" t="s">
        <v>23</v>
      </c>
      <c r="D1056">
        <v>25110</v>
      </c>
      <c r="E1056">
        <f t="shared" si="33"/>
        <v>25110305</v>
      </c>
      <c r="F1056">
        <f>VLOOKUP(E1056,YieldData!D:F,2,FALSE)</f>
        <v>5</v>
      </c>
      <c r="G1056">
        <f>VLOOKUP($E1056,YieldData!$D:$F,3,FALSE)</f>
        <v>1</v>
      </c>
      <c r="H1056">
        <v>37</v>
      </c>
      <c r="I1056" t="s">
        <v>24</v>
      </c>
      <c r="J1056" t="s">
        <v>25</v>
      </c>
      <c r="K1056" s="2">
        <v>15950.755998086401</v>
      </c>
      <c r="L1056" s="2">
        <v>253569996.321123</v>
      </c>
      <c r="M1056" s="3">
        <v>7254.00330510001</v>
      </c>
      <c r="N1056" s="3">
        <v>105164629.258231</v>
      </c>
      <c r="O1056" s="4">
        <v>9.3208670871204297E-2</v>
      </c>
      <c r="P1056" s="4">
        <v>2.56549745896705E-2</v>
      </c>
      <c r="Q1056" s="5">
        <v>-5.2461559865420303E-2</v>
      </c>
      <c r="R1056" s="5">
        <v>1.81357365608899E-3</v>
      </c>
      <c r="S1056" s="6">
        <v>0.344108249770193</v>
      </c>
      <c r="T1056" s="6">
        <v>0.103125089880118</v>
      </c>
      <c r="U1056" s="7">
        <v>0.431288123430212</v>
      </c>
      <c r="V1056" s="7">
        <v>0.24527867801828401</v>
      </c>
      <c r="W1056" s="8">
        <v>0.51013036718095905</v>
      </c>
      <c r="X1056" s="8">
        <v>0.249897375660976</v>
      </c>
      <c r="Y1056" s="2">
        <v>12</v>
      </c>
      <c r="Z1056" s="2">
        <f>VLOOKUP(E1056,YieldData!T:U,2,FALSE)</f>
        <v>1594.5442875481385</v>
      </c>
      <c r="AA1056">
        <f t="shared" si="32"/>
        <v>0.53438191495723897</v>
      </c>
    </row>
    <row r="1057" spans="1:27" hidden="1" x14ac:dyDescent="0.25">
      <c r="A1057">
        <v>122</v>
      </c>
      <c r="B1057">
        <v>306</v>
      </c>
      <c r="C1057" t="s">
        <v>23</v>
      </c>
      <c r="D1057">
        <v>25110</v>
      </c>
      <c r="E1057">
        <f t="shared" si="33"/>
        <v>25110306</v>
      </c>
      <c r="F1057">
        <f>VLOOKUP(E1057,YieldData!D:F,2,FALSE)</f>
        <v>6</v>
      </c>
      <c r="G1057">
        <f>VLOOKUP($E1057,YieldData!$D:$F,3,FALSE)</f>
        <v>1</v>
      </c>
      <c r="H1057">
        <v>37</v>
      </c>
      <c r="I1057" t="s">
        <v>24</v>
      </c>
      <c r="J1057" t="s">
        <v>25</v>
      </c>
      <c r="K1057" s="2">
        <v>12476.6405224068</v>
      </c>
      <c r="L1057" s="2">
        <v>224971268.35795999</v>
      </c>
      <c r="M1057" s="3">
        <v>8667.7234061995296</v>
      </c>
      <c r="N1057" s="3">
        <v>85820863.646481201</v>
      </c>
      <c r="O1057" s="4">
        <v>5.4563435515646998E-2</v>
      </c>
      <c r="P1057" s="4">
        <v>2.2514399231027198E-2</v>
      </c>
      <c r="Q1057" s="5">
        <v>-5.6799784564291599E-2</v>
      </c>
      <c r="R1057" s="5">
        <v>1.83737725978013E-3</v>
      </c>
      <c r="S1057" s="6">
        <v>0.27120829143757902</v>
      </c>
      <c r="T1057" s="6">
        <v>9.57564898372356E-2</v>
      </c>
      <c r="U1057" s="7">
        <v>0.34402545058782702</v>
      </c>
      <c r="V1057" s="7">
        <v>0.225671939935741</v>
      </c>
      <c r="W1057" s="8">
        <v>0.69333716048939797</v>
      </c>
      <c r="X1057" s="8">
        <v>0.21262074237372799</v>
      </c>
      <c r="Y1057" s="2">
        <v>27</v>
      </c>
      <c r="Z1057" s="2">
        <f>VLOOKUP(E1057,YieldData!T:U,2,FALSE)</f>
        <v>875.55519897304237</v>
      </c>
      <c r="AA1057">
        <f t="shared" si="32"/>
        <v>0.44526830668404699</v>
      </c>
    </row>
    <row r="1058" spans="1:27" hidden="1" x14ac:dyDescent="0.25">
      <c r="A1058">
        <v>123</v>
      </c>
      <c r="B1058">
        <v>307</v>
      </c>
      <c r="C1058" t="s">
        <v>23</v>
      </c>
      <c r="D1058">
        <v>25110</v>
      </c>
      <c r="E1058">
        <f t="shared" si="33"/>
        <v>25110307</v>
      </c>
      <c r="F1058">
        <f>VLOOKUP(E1058,YieldData!D:F,2,FALSE)</f>
        <v>7</v>
      </c>
      <c r="G1058">
        <f>VLOOKUP($E1058,YieldData!$D:$F,3,FALSE)</f>
        <v>1</v>
      </c>
      <c r="H1058">
        <v>37</v>
      </c>
      <c r="I1058" t="s">
        <v>24</v>
      </c>
      <c r="J1058" t="s">
        <v>25</v>
      </c>
      <c r="K1058" s="2">
        <v>14348.429321375201</v>
      </c>
      <c r="L1058" s="2">
        <v>223557685.48353499</v>
      </c>
      <c r="M1058" s="3">
        <v>7508.17589409631</v>
      </c>
      <c r="N1058" s="3">
        <v>94486816.441020906</v>
      </c>
      <c r="O1058" s="4">
        <v>8.1677586645186706E-2</v>
      </c>
      <c r="P1058" s="4">
        <v>2.7305935859870699E-2</v>
      </c>
      <c r="Q1058" s="5">
        <v>-5.5445108255111702E-2</v>
      </c>
      <c r="R1058" s="5">
        <v>1.6954598420181701E-3</v>
      </c>
      <c r="S1058" s="6">
        <v>0.32399240014545799</v>
      </c>
      <c r="T1058" s="6">
        <v>0.105203574135464</v>
      </c>
      <c r="U1058" s="7">
        <v>0.411204783258595</v>
      </c>
      <c r="V1058" s="7">
        <v>0.24211540948385599</v>
      </c>
      <c r="W1058" s="8">
        <v>0.58075934230194304</v>
      </c>
      <c r="X1058" s="8">
        <v>0.243477928630846</v>
      </c>
      <c r="Y1058" s="2">
        <v>25</v>
      </c>
      <c r="Z1058" s="2">
        <f>VLOOKUP(E1058,YieldData!T:U,2,FALSE)</f>
        <v>1489.1415275994866</v>
      </c>
      <c r="AA1058">
        <f t="shared" si="32"/>
        <v>0.48000382701875199</v>
      </c>
    </row>
    <row r="1059" spans="1:27" hidden="1" x14ac:dyDescent="0.25">
      <c r="A1059">
        <v>124</v>
      </c>
      <c r="B1059">
        <v>308</v>
      </c>
      <c r="C1059" t="s">
        <v>23</v>
      </c>
      <c r="D1059">
        <v>25110</v>
      </c>
      <c r="E1059">
        <f t="shared" si="33"/>
        <v>25110308</v>
      </c>
      <c r="F1059">
        <f>VLOOKUP(E1059,YieldData!D:F,2,FALSE)</f>
        <v>8</v>
      </c>
      <c r="G1059">
        <f>VLOOKUP($E1059,YieldData!$D:$F,3,FALSE)</f>
        <v>1</v>
      </c>
      <c r="H1059">
        <v>37</v>
      </c>
      <c r="I1059" t="s">
        <v>24</v>
      </c>
      <c r="J1059" t="s">
        <v>25</v>
      </c>
      <c r="K1059" s="2">
        <v>16819.600258329901</v>
      </c>
      <c r="L1059" s="2">
        <v>243905384.029935</v>
      </c>
      <c r="M1059" s="3">
        <v>7509.0463955596797</v>
      </c>
      <c r="N1059" s="3">
        <v>100744623.000726</v>
      </c>
      <c r="O1059" s="4">
        <v>8.8188733869478203E-2</v>
      </c>
      <c r="P1059" s="4">
        <v>2.6016308014780599E-2</v>
      </c>
      <c r="Q1059" s="5">
        <v>-5.5782947674469799E-2</v>
      </c>
      <c r="R1059" s="5">
        <v>1.81200189193354E-3</v>
      </c>
      <c r="S1059" s="6">
        <v>0.35065267105598902</v>
      </c>
      <c r="T1059" s="6">
        <v>9.9736052797364805E-2</v>
      </c>
      <c r="U1059" s="7">
        <v>0.45625134546846202</v>
      </c>
      <c r="V1059" s="7">
        <v>0.24808605522670599</v>
      </c>
      <c r="W1059" s="8">
        <v>0.66452986342000098</v>
      </c>
      <c r="X1059" s="8">
        <v>0.22292992404275799</v>
      </c>
      <c r="Y1059" s="2">
        <v>23</v>
      </c>
      <c r="Z1059" s="2">
        <f>VLOOKUP(E1059,YieldData!T:U,2,FALSE)</f>
        <v>1340.4685494223365</v>
      </c>
      <c r="AA1059">
        <f t="shared" si="32"/>
        <v>0.50702018752391897</v>
      </c>
    </row>
    <row r="1060" spans="1:27" hidden="1" x14ac:dyDescent="0.25">
      <c r="A1060">
        <v>125</v>
      </c>
      <c r="B1060">
        <v>309</v>
      </c>
      <c r="C1060" t="s">
        <v>23</v>
      </c>
      <c r="D1060">
        <v>25110</v>
      </c>
      <c r="E1060">
        <f t="shared" si="33"/>
        <v>25110309</v>
      </c>
      <c r="F1060">
        <f>VLOOKUP(E1060,YieldData!D:F,2,FALSE)</f>
        <v>9</v>
      </c>
      <c r="G1060">
        <f>VLOOKUP($E1060,YieldData!$D:$F,3,FALSE)</f>
        <v>1</v>
      </c>
      <c r="H1060">
        <v>37</v>
      </c>
      <c r="I1060" t="s">
        <v>24</v>
      </c>
      <c r="J1060" t="s">
        <v>25</v>
      </c>
      <c r="K1060" s="2">
        <v>9112.47144651079</v>
      </c>
      <c r="L1060" s="2">
        <v>149491878.935377</v>
      </c>
      <c r="M1060" s="3">
        <v>11997.4974567427</v>
      </c>
      <c r="N1060" s="3">
        <v>83960213.954121396</v>
      </c>
      <c r="O1060" s="4">
        <v>4.4189658753193299E-2</v>
      </c>
      <c r="P1060" s="4">
        <v>2.5013316642443599E-2</v>
      </c>
      <c r="Q1060" s="5">
        <v>-5.1655229897191998E-2</v>
      </c>
      <c r="R1060" s="5">
        <v>1.6203098961108801E-3</v>
      </c>
      <c r="S1060" s="6">
        <v>0.22764592433323699</v>
      </c>
      <c r="T1060" s="6">
        <v>8.6132099934373693E-2</v>
      </c>
      <c r="U1060" s="7">
        <v>0.25628176762542598</v>
      </c>
      <c r="V1060" s="7">
        <v>0.19060142320850801</v>
      </c>
      <c r="W1060" s="8">
        <v>0.60034682772229897</v>
      </c>
      <c r="X1060" s="8">
        <v>0.239930514166218</v>
      </c>
      <c r="Y1060" s="2">
        <v>25</v>
      </c>
      <c r="Z1060" s="2">
        <f>VLOOKUP(E1060,YieldData!T:U,2,FALSE)</f>
        <v>1535.1412066752248</v>
      </c>
      <c r="AA1060">
        <f t="shared" si="32"/>
        <v>0.30382214355760701</v>
      </c>
    </row>
    <row r="1061" spans="1:27" hidden="1" x14ac:dyDescent="0.25">
      <c r="A1061">
        <v>126</v>
      </c>
      <c r="B1061">
        <v>310</v>
      </c>
      <c r="C1061" t="s">
        <v>23</v>
      </c>
      <c r="D1061">
        <v>25110</v>
      </c>
      <c r="E1061">
        <f t="shared" si="33"/>
        <v>25110310</v>
      </c>
      <c r="F1061">
        <f>VLOOKUP(E1061,YieldData!D:F,2,FALSE)</f>
        <v>10</v>
      </c>
      <c r="G1061">
        <f>VLOOKUP($E1061,YieldData!$D:$F,3,FALSE)</f>
        <v>1</v>
      </c>
      <c r="H1061">
        <v>37</v>
      </c>
      <c r="I1061" t="s">
        <v>24</v>
      </c>
      <c r="J1061" t="s">
        <v>25</v>
      </c>
      <c r="K1061" s="2">
        <v>19508.035736497201</v>
      </c>
      <c r="L1061" s="2">
        <v>215830257.45229399</v>
      </c>
      <c r="M1061" s="3">
        <v>4105.4027811726301</v>
      </c>
      <c r="N1061" s="3">
        <v>92727005.034212396</v>
      </c>
      <c r="O1061" s="4">
        <v>0.171953118841568</v>
      </c>
      <c r="P1061" s="4">
        <v>2.5746185310291402E-2</v>
      </c>
      <c r="Q1061" s="5">
        <v>-3.2003938919459497E-2</v>
      </c>
      <c r="R1061" s="5">
        <v>1.9728423029662201E-3</v>
      </c>
      <c r="S1061" s="6">
        <v>0.48093415380419602</v>
      </c>
      <c r="T1061" s="6">
        <v>8.87980879832026E-2</v>
      </c>
      <c r="U1061" s="7">
        <v>0.59022628330861604</v>
      </c>
      <c r="V1061" s="7">
        <v>0.24185921780005701</v>
      </c>
      <c r="W1061" s="8">
        <v>0.74387647706070903</v>
      </c>
      <c r="X1061" s="8">
        <v>0.19052426393663</v>
      </c>
      <c r="Y1061" s="2">
        <v>26</v>
      </c>
      <c r="Z1061" s="2">
        <f>VLOOKUP(E1061,YieldData!T:U,2,FALSE)</f>
        <v>1065.8279845956356</v>
      </c>
      <c r="AA1061">
        <f t="shared" si="32"/>
        <v>0.59022628330861604</v>
      </c>
    </row>
    <row r="1062" spans="1:27" hidden="1" x14ac:dyDescent="0.25">
      <c r="A1062">
        <v>127</v>
      </c>
      <c r="B1062">
        <v>311</v>
      </c>
      <c r="C1062" t="s">
        <v>23</v>
      </c>
      <c r="D1062">
        <v>25110</v>
      </c>
      <c r="E1062">
        <f t="shared" si="33"/>
        <v>25110311</v>
      </c>
      <c r="F1062">
        <f>VLOOKUP(E1062,YieldData!D:F,2,FALSE)</f>
        <v>11</v>
      </c>
      <c r="G1062">
        <f>VLOOKUP($E1062,YieldData!$D:$F,3,FALSE)</f>
        <v>1</v>
      </c>
      <c r="H1062">
        <v>37</v>
      </c>
      <c r="I1062" t="s">
        <v>24</v>
      </c>
      <c r="J1062" t="s">
        <v>25</v>
      </c>
      <c r="K1062" s="2">
        <v>13458.231687695799</v>
      </c>
      <c r="L1062" s="2">
        <v>188862229.834831</v>
      </c>
      <c r="M1062" s="3">
        <v>8833.1680419147997</v>
      </c>
      <c r="N1062" s="3">
        <v>107363893.52744199</v>
      </c>
      <c r="O1062" s="4">
        <v>0.11818643060964699</v>
      </c>
      <c r="P1062" s="4">
        <v>3.2428801278305899E-2</v>
      </c>
      <c r="Q1062" s="5">
        <v>-3.5705254791949699E-2</v>
      </c>
      <c r="R1062" s="5">
        <v>1.80620222676809E-3</v>
      </c>
      <c r="S1062" s="6">
        <v>0.36172037962339298</v>
      </c>
      <c r="T1062" s="6">
        <v>9.74386922219726E-2</v>
      </c>
      <c r="U1062" s="7">
        <v>0.40600994398945101</v>
      </c>
      <c r="V1062" s="7">
        <v>0.24116586937092799</v>
      </c>
      <c r="W1062" s="8">
        <v>0.59480057583199297</v>
      </c>
      <c r="X1062" s="8">
        <v>0.241012850821542</v>
      </c>
      <c r="Y1062" s="2">
        <v>23</v>
      </c>
      <c r="Z1062" s="2">
        <f>VLOOKUP(E1062,YieldData!T:U,2,FALSE)</f>
        <v>854.77695763799738</v>
      </c>
      <c r="AA1062">
        <f t="shared" si="32"/>
        <v>0.44120778089615798</v>
      </c>
    </row>
    <row r="1063" spans="1:27" hidden="1" x14ac:dyDescent="0.25">
      <c r="A1063">
        <v>128</v>
      </c>
      <c r="B1063">
        <v>312</v>
      </c>
      <c r="C1063" t="s">
        <v>23</v>
      </c>
      <c r="D1063">
        <v>25110</v>
      </c>
      <c r="E1063">
        <f t="shared" si="33"/>
        <v>25110312</v>
      </c>
      <c r="F1063">
        <f>VLOOKUP(E1063,YieldData!D:F,2,FALSE)</f>
        <v>12</v>
      </c>
      <c r="G1063">
        <f>VLOOKUP($E1063,YieldData!$D:$F,3,FALSE)</f>
        <v>1</v>
      </c>
      <c r="H1063">
        <v>37</v>
      </c>
      <c r="I1063" t="s">
        <v>24</v>
      </c>
      <c r="J1063" t="s">
        <v>25</v>
      </c>
      <c r="K1063" s="2">
        <v>10426.211918232601</v>
      </c>
      <c r="L1063" s="2">
        <v>138919746.46826801</v>
      </c>
      <c r="M1063" s="3">
        <v>9467.2774740867007</v>
      </c>
      <c r="N1063" s="3">
        <v>94132262.897527799</v>
      </c>
      <c r="O1063" s="4">
        <v>0.11186499917454799</v>
      </c>
      <c r="P1063" s="4">
        <v>3.2974709916980101E-2</v>
      </c>
      <c r="Q1063" s="5">
        <v>-3.8403847310919101E-2</v>
      </c>
      <c r="R1063" s="5">
        <v>1.8794180698349899E-3</v>
      </c>
      <c r="S1063" s="6">
        <v>0.33430437000892199</v>
      </c>
      <c r="T1063" s="6">
        <v>9.1919326278271707E-2</v>
      </c>
      <c r="U1063" s="7">
        <v>0.35516668062150902</v>
      </c>
      <c r="V1063" s="7">
        <v>0.229023309598097</v>
      </c>
      <c r="W1063" s="8">
        <v>0.69572862217862996</v>
      </c>
      <c r="X1063" s="8">
        <v>0.21169030646018999</v>
      </c>
      <c r="Y1063" s="2">
        <v>26</v>
      </c>
      <c r="Z1063" s="2">
        <f>VLOOKUP(E1063,YieldData!T:U,2,FALSE)</f>
        <v>1500.4236200256737</v>
      </c>
      <c r="AA1063">
        <f t="shared" si="32"/>
        <v>0.35516668062150902</v>
      </c>
    </row>
    <row r="1064" spans="1:27" hidden="1" x14ac:dyDescent="0.25">
      <c r="A1064">
        <v>129</v>
      </c>
      <c r="B1064">
        <v>401</v>
      </c>
      <c r="C1064" t="s">
        <v>23</v>
      </c>
      <c r="D1064">
        <v>25110</v>
      </c>
      <c r="E1064">
        <f t="shared" si="33"/>
        <v>25110401</v>
      </c>
      <c r="F1064">
        <f>VLOOKUP(E1064,YieldData!D:F,2,FALSE)</f>
        <v>3</v>
      </c>
      <c r="G1064">
        <f>VLOOKUP($E1064,YieldData!$D:$F,3,FALSE)</f>
        <v>2</v>
      </c>
      <c r="H1064">
        <v>37</v>
      </c>
      <c r="I1064" t="s">
        <v>24</v>
      </c>
      <c r="J1064" t="s">
        <v>25</v>
      </c>
      <c r="K1064" s="2">
        <v>12717.8710398852</v>
      </c>
      <c r="L1064" s="2">
        <v>145191826.46659601</v>
      </c>
      <c r="M1064" s="3">
        <v>10293.4059072912</v>
      </c>
      <c r="N1064" s="3">
        <v>118618517.747233</v>
      </c>
      <c r="O1064" s="4">
        <v>0.10837824183811801</v>
      </c>
      <c r="P1064" s="4">
        <v>3.8242927514482002E-2</v>
      </c>
      <c r="Q1064" s="5">
        <v>-4.2781808610073196E-3</v>
      </c>
      <c r="R1064" s="5">
        <v>4.0624261625243603E-3</v>
      </c>
      <c r="S1064" s="6">
        <v>0.339271634665676</v>
      </c>
      <c r="T1064" s="6">
        <v>0.109493199345174</v>
      </c>
      <c r="U1064" s="7">
        <v>0.42694492614961399</v>
      </c>
      <c r="V1064" s="7">
        <v>0.24466295618495301</v>
      </c>
      <c r="W1064" s="8">
        <v>0.50459845721461505</v>
      </c>
      <c r="X1064" s="8">
        <v>0.24997885419132501</v>
      </c>
      <c r="Y1064" s="2">
        <v>16</v>
      </c>
      <c r="Z1064" s="2">
        <f>VLOOKUP(E1064,YieldData!T:U,2,FALSE)</f>
        <v>1017.8177150192552</v>
      </c>
      <c r="AA1064">
        <f t="shared" si="32"/>
        <v>0.456787465614161</v>
      </c>
    </row>
    <row r="1065" spans="1:27" hidden="1" x14ac:dyDescent="0.25">
      <c r="A1065">
        <v>130</v>
      </c>
      <c r="B1065">
        <v>402</v>
      </c>
      <c r="C1065" t="s">
        <v>23</v>
      </c>
      <c r="D1065">
        <v>25110</v>
      </c>
      <c r="E1065">
        <f t="shared" si="33"/>
        <v>25110402</v>
      </c>
      <c r="F1065">
        <f>VLOOKUP(E1065,YieldData!D:F,2,FALSE)</f>
        <v>15</v>
      </c>
      <c r="G1065">
        <f>VLOOKUP($E1065,YieldData!$D:$F,3,FALSE)</f>
        <v>2</v>
      </c>
      <c r="H1065">
        <v>37</v>
      </c>
      <c r="I1065" t="s">
        <v>24</v>
      </c>
      <c r="J1065" t="s">
        <v>25</v>
      </c>
      <c r="K1065" s="2">
        <v>12422.0822293452</v>
      </c>
      <c r="L1065" s="2">
        <v>173120135.00554901</v>
      </c>
      <c r="M1065" s="3">
        <v>10207.888447163201</v>
      </c>
      <c r="N1065" s="3">
        <v>102003716.130171</v>
      </c>
      <c r="O1065" s="4">
        <v>8.9716510737538294E-2</v>
      </c>
      <c r="P1065" s="4">
        <v>2.9724103878630701E-2</v>
      </c>
      <c r="Q1065" s="5">
        <v>-2.7489601020688099E-2</v>
      </c>
      <c r="R1065" s="5">
        <v>2.1536778926524599E-3</v>
      </c>
      <c r="S1065" s="6">
        <v>0.30955715172561998</v>
      </c>
      <c r="T1065" s="6">
        <v>9.6898106676383794E-2</v>
      </c>
      <c r="U1065" s="7">
        <v>0.36905095611266198</v>
      </c>
      <c r="V1065" s="7">
        <v>0.232852347905248</v>
      </c>
      <c r="W1065" s="8">
        <v>0.78547488756992601</v>
      </c>
      <c r="X1065" s="8">
        <v>0.168504088567105</v>
      </c>
      <c r="Y1065" s="2">
        <v>31</v>
      </c>
      <c r="Z1065" s="2">
        <f>VLOOKUP(E1065,YieldData!T:U,2,FALSE)</f>
        <v>894.42394094993597</v>
      </c>
      <c r="AA1065">
        <f t="shared" si="32"/>
        <v>0.448570906210007</v>
      </c>
    </row>
    <row r="1066" spans="1:27" hidden="1" x14ac:dyDescent="0.25">
      <c r="A1066">
        <v>131</v>
      </c>
      <c r="B1066">
        <v>403</v>
      </c>
      <c r="C1066" t="s">
        <v>23</v>
      </c>
      <c r="D1066">
        <v>25110</v>
      </c>
      <c r="E1066">
        <f t="shared" si="33"/>
        <v>25110403</v>
      </c>
      <c r="F1066">
        <f>VLOOKUP(E1066,YieldData!D:F,2,FALSE)</f>
        <v>7</v>
      </c>
      <c r="G1066">
        <f>VLOOKUP($E1066,YieldData!$D:$F,3,FALSE)</f>
        <v>2</v>
      </c>
      <c r="H1066">
        <v>37</v>
      </c>
      <c r="I1066" t="s">
        <v>24</v>
      </c>
      <c r="J1066" t="s">
        <v>25</v>
      </c>
      <c r="K1066" s="2">
        <v>15874.635612375499</v>
      </c>
      <c r="L1066" s="2">
        <v>213420804.402603</v>
      </c>
      <c r="M1066" s="3">
        <v>8065.1896000136303</v>
      </c>
      <c r="N1066" s="3">
        <v>126343401.87158599</v>
      </c>
      <c r="O1066" s="4">
        <v>0.107533257011537</v>
      </c>
      <c r="P1066" s="4">
        <v>3.05355414022906E-2</v>
      </c>
      <c r="Q1066" s="5">
        <v>-3.8241631499746402E-2</v>
      </c>
      <c r="R1066" s="5">
        <v>1.73475631250338E-3</v>
      </c>
      <c r="S1066" s="6">
        <v>0.36325624578082499</v>
      </c>
      <c r="T1066" s="6">
        <v>0.10413046337556001</v>
      </c>
      <c r="U1066" s="7">
        <v>0.44529222526519702</v>
      </c>
      <c r="V1066" s="7">
        <v>0.24700705938377299</v>
      </c>
      <c r="W1066" s="8">
        <v>0.56584187426001897</v>
      </c>
      <c r="X1066" s="8">
        <v>0.245664847594286</v>
      </c>
      <c r="Y1066" s="2">
        <v>12</v>
      </c>
      <c r="Z1066" s="2">
        <f>VLOOKUP(E1066,YieldData!T:U,2,FALSE)</f>
        <v>1357.461489088575</v>
      </c>
      <c r="AA1066">
        <f t="shared" si="32"/>
        <v>0.53847349789513999</v>
      </c>
    </row>
    <row r="1067" spans="1:27" hidden="1" x14ac:dyDescent="0.25">
      <c r="A1067">
        <v>132</v>
      </c>
      <c r="B1067">
        <v>404</v>
      </c>
      <c r="C1067" t="s">
        <v>23</v>
      </c>
      <c r="D1067">
        <v>25110</v>
      </c>
      <c r="E1067">
        <f t="shared" si="33"/>
        <v>25110404</v>
      </c>
      <c r="F1067">
        <f>VLOOKUP(E1067,YieldData!D:F,2,FALSE)</f>
        <v>14</v>
      </c>
      <c r="G1067">
        <f>VLOOKUP($E1067,YieldData!$D:$F,3,FALSE)</f>
        <v>2</v>
      </c>
      <c r="H1067">
        <v>37</v>
      </c>
      <c r="I1067" t="s">
        <v>24</v>
      </c>
      <c r="J1067" t="s">
        <v>25</v>
      </c>
      <c r="K1067" s="2">
        <v>18701.251402260401</v>
      </c>
      <c r="L1067" s="2">
        <v>247465249.64691001</v>
      </c>
      <c r="M1067" s="3">
        <v>5463.5354404543205</v>
      </c>
      <c r="N1067" s="3">
        <v>115301082.31701</v>
      </c>
      <c r="O1067" s="4">
        <v>0.13376735677609999</v>
      </c>
      <c r="P1067" s="4">
        <v>2.7234493523229399E-2</v>
      </c>
      <c r="Q1067" s="5">
        <v>-3.9969456687935098E-2</v>
      </c>
      <c r="R1067" s="5">
        <v>1.63856493745965E-3</v>
      </c>
      <c r="S1067" s="6">
        <v>0.42444576436995102</v>
      </c>
      <c r="T1067" s="6">
        <v>0.10011192015100399</v>
      </c>
      <c r="U1067" s="7">
        <v>0.53480834778448805</v>
      </c>
      <c r="V1067" s="7">
        <v>0.24878837892431699</v>
      </c>
      <c r="W1067" s="8">
        <v>0.41095497219398402</v>
      </c>
      <c r="X1067" s="8">
        <v>0.242070983023184</v>
      </c>
      <c r="Y1067" s="2">
        <v>14</v>
      </c>
      <c r="Z1067" s="2">
        <f>VLOOKUP(E1067,YieldData!T:U,2,FALSE)</f>
        <v>1325.8616816431324</v>
      </c>
      <c r="AA1067">
        <f t="shared" si="32"/>
        <v>0.53480834778448805</v>
      </c>
    </row>
    <row r="1068" spans="1:27" hidden="1" x14ac:dyDescent="0.25">
      <c r="A1068">
        <v>133</v>
      </c>
      <c r="B1068">
        <v>405</v>
      </c>
      <c r="C1068" t="s">
        <v>23</v>
      </c>
      <c r="D1068">
        <v>25110</v>
      </c>
      <c r="E1068">
        <f t="shared" si="33"/>
        <v>25110405</v>
      </c>
      <c r="F1068">
        <f>VLOOKUP(E1068,YieldData!D:F,2,FALSE)</f>
        <v>9</v>
      </c>
      <c r="G1068">
        <f>VLOOKUP($E1068,YieldData!$D:$F,3,FALSE)</f>
        <v>2</v>
      </c>
      <c r="H1068">
        <v>37</v>
      </c>
      <c r="I1068" t="s">
        <v>24</v>
      </c>
      <c r="J1068" t="s">
        <v>25</v>
      </c>
      <c r="K1068" s="2">
        <v>12067.510638552299</v>
      </c>
      <c r="L1068" s="2">
        <v>187127147.83967599</v>
      </c>
      <c r="M1068" s="3">
        <v>11085.775190116299</v>
      </c>
      <c r="N1068" s="3">
        <v>124469761.042776</v>
      </c>
      <c r="O1068" s="4">
        <v>5.48416203273537E-2</v>
      </c>
      <c r="P1068" s="4">
        <v>3.1952735235630997E-2</v>
      </c>
      <c r="Q1068" s="5">
        <v>-5.5158172801850702E-2</v>
      </c>
      <c r="R1068" s="5">
        <v>1.81906494786792E-3</v>
      </c>
      <c r="S1068" s="6">
        <v>0.270867283256368</v>
      </c>
      <c r="T1068" s="6">
        <v>0.10245291109962899</v>
      </c>
      <c r="U1068" s="7">
        <v>0.33255193694609603</v>
      </c>
      <c r="V1068" s="7">
        <v>0.22196114617919799</v>
      </c>
      <c r="W1068" s="8">
        <v>0.648311824999103</v>
      </c>
      <c r="X1068" s="8">
        <v>0.22800360256555199</v>
      </c>
      <c r="Y1068" s="2">
        <v>18</v>
      </c>
      <c r="Z1068" s="2">
        <f>VLOOKUP(E1068,YieldData!T:U,2,FALSE)</f>
        <v>2104.1399229781773</v>
      </c>
      <c r="AA1068">
        <f t="shared" si="32"/>
        <v>0.36840909090909102</v>
      </c>
    </row>
    <row r="1069" spans="1:27" hidden="1" x14ac:dyDescent="0.25">
      <c r="A1069">
        <v>134</v>
      </c>
      <c r="B1069">
        <v>406</v>
      </c>
      <c r="C1069" t="s">
        <v>23</v>
      </c>
      <c r="D1069">
        <v>25110</v>
      </c>
      <c r="E1069">
        <f t="shared" si="33"/>
        <v>25110406</v>
      </c>
      <c r="F1069">
        <f>VLOOKUP(E1069,YieldData!D:F,2,FALSE)</f>
        <v>8</v>
      </c>
      <c r="G1069">
        <f>VLOOKUP($E1069,YieldData!$D:$F,3,FALSE)</f>
        <v>2</v>
      </c>
      <c r="H1069">
        <v>37</v>
      </c>
      <c r="I1069" t="s">
        <v>24</v>
      </c>
      <c r="J1069" t="s">
        <v>25</v>
      </c>
      <c r="K1069" s="2">
        <v>16369.847914718501</v>
      </c>
      <c r="L1069" s="2">
        <v>252187779.803689</v>
      </c>
      <c r="M1069" s="3">
        <v>7181.2698365362703</v>
      </c>
      <c r="N1069" s="3">
        <v>93844738.484814197</v>
      </c>
      <c r="O1069" s="4">
        <v>9.1454629211257105E-2</v>
      </c>
      <c r="P1069" s="4">
        <v>2.1016229536417599E-2</v>
      </c>
      <c r="Q1069" s="5">
        <v>-4.9997276687130901E-2</v>
      </c>
      <c r="R1069" s="5">
        <v>1.7487001837892199E-3</v>
      </c>
      <c r="S1069" s="6">
        <v>0.35678488992012702</v>
      </c>
      <c r="T1069" s="6">
        <v>9.3430364825313306E-2</v>
      </c>
      <c r="U1069" s="7">
        <v>0.442391372108971</v>
      </c>
      <c r="V1069" s="7">
        <v>0.24668124599267799</v>
      </c>
      <c r="W1069" s="8">
        <v>0.40572283523471098</v>
      </c>
      <c r="X1069" s="8">
        <v>0.24111181620366601</v>
      </c>
      <c r="Y1069" s="2">
        <v>10</v>
      </c>
      <c r="Z1069" s="2">
        <f>VLOOKUP(E1069,YieldData!T:U,2,FALSE)</f>
        <v>1424.2105263157896</v>
      </c>
      <c r="AA1069">
        <f t="shared" si="32"/>
        <v>0.442391372108971</v>
      </c>
    </row>
    <row r="1070" spans="1:27" hidden="1" x14ac:dyDescent="0.25">
      <c r="A1070">
        <v>135</v>
      </c>
      <c r="B1070">
        <v>407</v>
      </c>
      <c r="C1070" t="s">
        <v>23</v>
      </c>
      <c r="D1070">
        <v>25110</v>
      </c>
      <c r="E1070">
        <f t="shared" si="33"/>
        <v>25110407</v>
      </c>
      <c r="F1070">
        <f>VLOOKUP(E1070,YieldData!D:F,2,FALSE)</f>
        <v>11</v>
      </c>
      <c r="G1070">
        <f>VLOOKUP($E1070,YieldData!$D:$F,3,FALSE)</f>
        <v>2</v>
      </c>
      <c r="H1070">
        <v>37</v>
      </c>
      <c r="I1070" t="s">
        <v>24</v>
      </c>
      <c r="J1070" t="s">
        <v>25</v>
      </c>
      <c r="K1070" s="2">
        <v>18343.503869108099</v>
      </c>
      <c r="L1070" s="2">
        <v>238761102.49677199</v>
      </c>
      <c r="M1070" s="3">
        <v>6117.8834388887399</v>
      </c>
      <c r="N1070" s="3">
        <v>118528684.664965</v>
      </c>
      <c r="O1070" s="4">
        <v>0.115274576724431</v>
      </c>
      <c r="P1070" s="4">
        <v>2.7593438042502E-2</v>
      </c>
      <c r="Q1070" s="5">
        <v>-5.0591907311951199E-2</v>
      </c>
      <c r="R1070" s="5">
        <v>1.7038356944909601E-3</v>
      </c>
      <c r="S1070" s="6">
        <v>0.40365562026723001</v>
      </c>
      <c r="T1070" s="6">
        <v>0.105389393587577</v>
      </c>
      <c r="U1070" s="7">
        <v>0.50809104065254596</v>
      </c>
      <c r="V1070" s="7">
        <v>0.24993453506143701</v>
      </c>
      <c r="W1070" s="8">
        <v>0.59971774048869197</v>
      </c>
      <c r="X1070" s="8">
        <v>0.240056372231787</v>
      </c>
      <c r="Y1070" s="2">
        <v>18</v>
      </c>
      <c r="Z1070" s="2">
        <f>VLOOKUP(E1070,YieldData!T:U,2,FALSE)</f>
        <v>1069.6983311938379</v>
      </c>
      <c r="AA1070">
        <f t="shared" si="32"/>
        <v>0.54326923076923095</v>
      </c>
    </row>
    <row r="1071" spans="1:27" hidden="1" x14ac:dyDescent="0.25">
      <c r="A1071">
        <v>136</v>
      </c>
      <c r="B1071">
        <v>408</v>
      </c>
      <c r="C1071" t="s">
        <v>23</v>
      </c>
      <c r="D1071">
        <v>25110</v>
      </c>
      <c r="E1071">
        <f t="shared" si="33"/>
        <v>25110408</v>
      </c>
      <c r="H1071">
        <v>37</v>
      </c>
      <c r="I1071" t="s">
        <v>24</v>
      </c>
      <c r="J1071" t="s">
        <v>25</v>
      </c>
      <c r="K1071" s="2">
        <v>16020.5109280734</v>
      </c>
      <c r="L1071" s="2">
        <v>170950537.74881399</v>
      </c>
      <c r="M1071" s="3">
        <v>6782.2437723328503</v>
      </c>
      <c r="N1071" s="3">
        <v>97623688.129859105</v>
      </c>
      <c r="O1071" s="4">
        <v>0.145048276771959</v>
      </c>
      <c r="P1071" s="4">
        <v>2.8576188810576799E-2</v>
      </c>
      <c r="Q1071" s="5">
        <v>-4.0383603757103301E-2</v>
      </c>
      <c r="R1071" s="5">
        <v>1.8368194404043299E-3</v>
      </c>
      <c r="S1071" s="6">
        <v>0.41340826188761698</v>
      </c>
      <c r="T1071" s="6">
        <v>8.9033816249698194E-2</v>
      </c>
      <c r="U1071" s="7">
        <v>0.51172284238286203</v>
      </c>
      <c r="V1071" s="7">
        <v>0.249862574966352</v>
      </c>
      <c r="W1071" s="8">
        <v>0.85437664824247705</v>
      </c>
      <c r="X1071" s="8">
        <v>0.12441719118078901</v>
      </c>
      <c r="Y1071" s="2">
        <v>56</v>
      </c>
      <c r="Z1071" s="2">
        <f>VLOOKUP(E1071,YieldData!T:U,2,FALSE)</f>
        <v>0</v>
      </c>
      <c r="AA1071">
        <f t="shared" si="32"/>
        <v>0.51172284238286203</v>
      </c>
    </row>
    <row r="1072" spans="1:27" hidden="1" x14ac:dyDescent="0.25">
      <c r="A1072">
        <v>137</v>
      </c>
      <c r="B1072">
        <v>409</v>
      </c>
      <c r="C1072" t="s">
        <v>23</v>
      </c>
      <c r="D1072">
        <v>25110</v>
      </c>
      <c r="E1072">
        <f t="shared" si="33"/>
        <v>25110409</v>
      </c>
      <c r="F1072">
        <f>VLOOKUP(E1072,YieldData!D:F,2,FALSE)</f>
        <v>10</v>
      </c>
      <c r="G1072">
        <f>VLOOKUP($E1072,YieldData!$D:$F,3,FALSE)</f>
        <v>2</v>
      </c>
      <c r="H1072">
        <v>37</v>
      </c>
      <c r="I1072" t="s">
        <v>24</v>
      </c>
      <c r="J1072" t="s">
        <v>25</v>
      </c>
      <c r="K1072" s="2">
        <v>14852.251629492301</v>
      </c>
      <c r="L1072" s="2">
        <v>209325732.618929</v>
      </c>
      <c r="M1072" s="3">
        <v>7645.5439319319803</v>
      </c>
      <c r="N1072" s="3">
        <v>109645235.64332201</v>
      </c>
      <c r="O1072" s="4">
        <v>0.107487392857124</v>
      </c>
      <c r="P1072" s="4">
        <v>2.7573636793441599E-2</v>
      </c>
      <c r="Q1072" s="5">
        <v>-4.2913717254228101E-2</v>
      </c>
      <c r="R1072" s="5">
        <v>1.8059827027554699E-3</v>
      </c>
      <c r="S1072" s="6">
        <v>0.36552889724558002</v>
      </c>
      <c r="T1072" s="6">
        <v>9.7718046059721897E-2</v>
      </c>
      <c r="U1072" s="7">
        <v>0.44340130359385299</v>
      </c>
      <c r="V1072" s="7">
        <v>0.24679658756501299</v>
      </c>
      <c r="W1072" s="8">
        <v>0.547939962925312</v>
      </c>
      <c r="X1072" s="8">
        <v>0.24770175995452201</v>
      </c>
      <c r="Y1072" s="2">
        <v>16</v>
      </c>
      <c r="Z1072" s="2">
        <f>VLOOKUP(E1072,YieldData!T:U,2,FALSE)</f>
        <v>402.03947368421052</v>
      </c>
      <c r="AA1072">
        <f t="shared" si="32"/>
        <v>0.47419659622307497</v>
      </c>
    </row>
    <row r="1073" spans="1:27" hidden="1" x14ac:dyDescent="0.25">
      <c r="A1073">
        <v>138</v>
      </c>
      <c r="B1073">
        <v>410</v>
      </c>
      <c r="C1073" t="s">
        <v>23</v>
      </c>
      <c r="D1073">
        <v>25110</v>
      </c>
      <c r="E1073">
        <f t="shared" si="33"/>
        <v>25110410</v>
      </c>
      <c r="F1073">
        <f>VLOOKUP(E1073,YieldData!D:F,2,FALSE)</f>
        <v>15</v>
      </c>
      <c r="G1073">
        <f>VLOOKUP($E1073,YieldData!$D:$F,3,FALSE)</f>
        <v>1</v>
      </c>
      <c r="H1073">
        <v>37</v>
      </c>
      <c r="I1073" t="s">
        <v>24</v>
      </c>
      <c r="J1073" t="s">
        <v>25</v>
      </c>
      <c r="K1073" s="2">
        <v>13105.77326812</v>
      </c>
      <c r="L1073" s="2">
        <v>136699437.596917</v>
      </c>
      <c r="M1073" s="3">
        <v>7873.7693929951402</v>
      </c>
      <c r="N1073" s="3">
        <v>82726548.236339599</v>
      </c>
      <c r="O1073" s="4">
        <v>0.14838939444355401</v>
      </c>
      <c r="P1073" s="4">
        <v>3.1660474569235403E-2</v>
      </c>
      <c r="Q1073" s="5">
        <v>-2.6113153990719701E-2</v>
      </c>
      <c r="R1073" s="5">
        <v>2.0956526191541701E-3</v>
      </c>
      <c r="S1073" s="6">
        <v>0.39858748669387301</v>
      </c>
      <c r="T1073" s="6">
        <v>8.6474286568537395E-2</v>
      </c>
      <c r="U1073" s="7">
        <v>0.45241141791133999</v>
      </c>
      <c r="V1073" s="7">
        <v>0.24773532685458699</v>
      </c>
      <c r="W1073" s="8">
        <v>0.67507743085036398</v>
      </c>
      <c r="X1073" s="8">
        <v>0.21934789320690901</v>
      </c>
      <c r="Y1073" s="2">
        <v>32</v>
      </c>
      <c r="Z1073" s="2">
        <f>VLOOKUP(E1073,YieldData!T:U,2,FALSE)</f>
        <v>837.17747111681626</v>
      </c>
      <c r="AA1073">
        <f t="shared" si="32"/>
        <v>0.45241141791133999</v>
      </c>
    </row>
    <row r="1074" spans="1:27" hidden="1" x14ac:dyDescent="0.25">
      <c r="A1074">
        <v>139</v>
      </c>
      <c r="B1074">
        <v>411</v>
      </c>
      <c r="C1074" t="s">
        <v>23</v>
      </c>
      <c r="D1074">
        <v>25110</v>
      </c>
      <c r="E1074">
        <f t="shared" si="33"/>
        <v>25110411</v>
      </c>
      <c r="F1074">
        <f>VLOOKUP(E1074,YieldData!D:F,2,FALSE)</f>
        <v>14</v>
      </c>
      <c r="G1074">
        <f>VLOOKUP($E1074,YieldData!$D:$F,3,FALSE)</f>
        <v>1</v>
      </c>
      <c r="H1074">
        <v>37</v>
      </c>
      <c r="I1074" t="s">
        <v>24</v>
      </c>
      <c r="J1074" t="s">
        <v>25</v>
      </c>
      <c r="K1074" s="2">
        <v>10236.6818249112</v>
      </c>
      <c r="L1074" s="2">
        <v>113497707.566846</v>
      </c>
      <c r="M1074" s="3">
        <v>10344.4319083308</v>
      </c>
      <c r="N1074" s="3">
        <v>84885759.433198094</v>
      </c>
      <c r="O1074" s="4">
        <v>0.116624481642621</v>
      </c>
      <c r="P1074" s="4">
        <v>3.2779934866670302E-2</v>
      </c>
      <c r="Q1074" s="5">
        <v>-2.7323652310624901E-2</v>
      </c>
      <c r="R1074" s="5">
        <v>1.9377254563448601E-3</v>
      </c>
      <c r="S1074" s="6">
        <v>0.33739199183107599</v>
      </c>
      <c r="T1074" s="6">
        <v>8.3759403998854495E-2</v>
      </c>
      <c r="U1074" s="7">
        <v>0.35523588630082897</v>
      </c>
      <c r="V1074" s="7">
        <v>0.229043351384767</v>
      </c>
      <c r="W1074" s="8">
        <v>0.82842726016581103</v>
      </c>
      <c r="X1074" s="8">
        <v>0.142135534779809</v>
      </c>
      <c r="Y1074" s="2">
        <v>36</v>
      </c>
      <c r="Z1074" s="2">
        <f>VLOOKUP(E1074,YieldData!T:U,2,FALSE)</f>
        <v>231.2130937098845</v>
      </c>
      <c r="AA1074">
        <f t="shared" si="32"/>
        <v>0.35523588630082897</v>
      </c>
    </row>
    <row r="1075" spans="1:27" hidden="1" x14ac:dyDescent="0.25">
      <c r="A1075">
        <v>140</v>
      </c>
      <c r="B1075">
        <v>412</v>
      </c>
      <c r="C1075" t="s">
        <v>23</v>
      </c>
      <c r="D1075">
        <v>25110</v>
      </c>
      <c r="E1075">
        <f t="shared" si="33"/>
        <v>25110412</v>
      </c>
      <c r="F1075">
        <f>VLOOKUP(E1075,YieldData!D:F,2,FALSE)</f>
        <v>13</v>
      </c>
      <c r="G1075">
        <f>VLOOKUP($E1075,YieldData!$D:$F,3,FALSE)</f>
        <v>1</v>
      </c>
      <c r="H1075">
        <v>37</v>
      </c>
      <c r="I1075" t="s">
        <v>24</v>
      </c>
      <c r="J1075" t="s">
        <v>25</v>
      </c>
      <c r="K1075" s="2">
        <v>8066.0498164029304</v>
      </c>
      <c r="L1075" s="2">
        <v>95525762.621424496</v>
      </c>
      <c r="M1075" s="3">
        <v>11736.3272283481</v>
      </c>
      <c r="N1075" s="3">
        <v>88127944.558181897</v>
      </c>
      <c r="O1075" s="4">
        <v>8.8127985961120897E-2</v>
      </c>
      <c r="P1075" s="4">
        <v>3.4903949431368202E-2</v>
      </c>
      <c r="Q1075" s="5">
        <v>-4.0570110826675498E-2</v>
      </c>
      <c r="R1075" s="5">
        <v>2.0686192493490699E-3</v>
      </c>
      <c r="S1075" s="6">
        <v>0.28659384676378002</v>
      </c>
      <c r="T1075" s="6">
        <v>8.7052802798357004E-2</v>
      </c>
      <c r="U1075" s="7">
        <v>0.292654921238652</v>
      </c>
      <c r="V1075" s="7">
        <v>0.20700801831364701</v>
      </c>
      <c r="W1075" s="8">
        <v>0.53540971449759001</v>
      </c>
      <c r="X1075" s="8">
        <v>0.24874615211930701</v>
      </c>
      <c r="Y1075" s="2">
        <v>24</v>
      </c>
      <c r="Z1075" s="2">
        <f>VLOOKUP(E1075,YieldData!T:U,2,FALSE)</f>
        <v>646.25641848523742</v>
      </c>
      <c r="AA1075">
        <f t="shared" si="32"/>
        <v>0.32691870686871299</v>
      </c>
    </row>
    <row r="1076" spans="1:27" hidden="1" x14ac:dyDescent="0.25">
      <c r="A1076">
        <v>141</v>
      </c>
      <c r="B1076">
        <v>501</v>
      </c>
      <c r="C1076" t="s">
        <v>23</v>
      </c>
      <c r="D1076">
        <v>25110</v>
      </c>
      <c r="E1076">
        <f t="shared" si="33"/>
        <v>25110501</v>
      </c>
      <c r="F1076">
        <f>VLOOKUP(E1076,YieldData!D:F,2,FALSE)</f>
        <v>2</v>
      </c>
      <c r="G1076">
        <f>VLOOKUP($E1076,YieldData!$D:$F,3,FALSE)</f>
        <v>2</v>
      </c>
      <c r="H1076">
        <v>37</v>
      </c>
      <c r="I1076" t="s">
        <v>24</v>
      </c>
      <c r="J1076" t="s">
        <v>25</v>
      </c>
      <c r="K1076" s="2">
        <v>10360.211519602</v>
      </c>
      <c r="L1076" s="2">
        <v>134724887.90450299</v>
      </c>
      <c r="M1076" s="3">
        <v>13232.8457542628</v>
      </c>
      <c r="N1076" s="3">
        <v>102750945.857365</v>
      </c>
      <c r="O1076" s="4">
        <v>7.1067565866846302E-2</v>
      </c>
      <c r="P1076" s="4">
        <v>3.0201620910913399E-2</v>
      </c>
      <c r="Q1076" s="5">
        <v>-1.78852712575128E-2</v>
      </c>
      <c r="R1076" s="5">
        <v>3.2504393657660602E-3</v>
      </c>
      <c r="S1076" s="6">
        <v>0.28268655100484702</v>
      </c>
      <c r="T1076" s="6">
        <v>9.2288757850504E-2</v>
      </c>
      <c r="U1076" s="7">
        <v>0.33060253067668099</v>
      </c>
      <c r="V1076" s="7">
        <v>0.221304497386974</v>
      </c>
      <c r="W1076" s="8">
        <v>0.65625373741239501</v>
      </c>
      <c r="X1076" s="8">
        <v>0.22558476954446899</v>
      </c>
      <c r="Y1076" s="2">
        <v>19</v>
      </c>
      <c r="Z1076" s="2">
        <f>VLOOKUP(E1076,YieldData!T:U,2,FALSE)</f>
        <v>1158.1290115532736</v>
      </c>
      <c r="AA1076">
        <f t="shared" si="32"/>
        <v>0.38311944600590803</v>
      </c>
    </row>
    <row r="1077" spans="1:27" hidden="1" x14ac:dyDescent="0.25">
      <c r="A1077">
        <v>142</v>
      </c>
      <c r="B1077">
        <v>502</v>
      </c>
      <c r="C1077" t="s">
        <v>23</v>
      </c>
      <c r="D1077">
        <v>25110</v>
      </c>
      <c r="E1077">
        <f t="shared" si="33"/>
        <v>25110502</v>
      </c>
      <c r="F1077">
        <f>VLOOKUP(E1077,YieldData!D:F,2,FALSE)</f>
        <v>5</v>
      </c>
      <c r="G1077">
        <f>VLOOKUP($E1077,YieldData!$D:$F,3,FALSE)</f>
        <v>2</v>
      </c>
      <c r="H1077">
        <v>37</v>
      </c>
      <c r="I1077" t="s">
        <v>24</v>
      </c>
      <c r="J1077" t="s">
        <v>25</v>
      </c>
      <c r="K1077" s="2">
        <v>10378.828535549799</v>
      </c>
      <c r="L1077" s="2">
        <v>133680714.39568099</v>
      </c>
      <c r="M1077" s="3">
        <v>11108.8865100529</v>
      </c>
      <c r="N1077" s="3">
        <v>107770378.94031</v>
      </c>
      <c r="O1077" s="4">
        <v>8.4720644807023293E-2</v>
      </c>
      <c r="P1077" s="4">
        <v>3.58340084019904E-2</v>
      </c>
      <c r="Q1077" s="5">
        <v>-2.6251411181258101E-2</v>
      </c>
      <c r="R1077" s="5">
        <v>2.42175808558054E-3</v>
      </c>
      <c r="S1077" s="6">
        <v>0.30060944804763901</v>
      </c>
      <c r="T1077" s="6">
        <v>0.103051671146662</v>
      </c>
      <c r="U1077" s="7">
        <v>0.345344734796388</v>
      </c>
      <c r="V1077" s="7">
        <v>0.22608174894514799</v>
      </c>
      <c r="W1077" s="8">
        <v>0.61136159779943799</v>
      </c>
      <c r="X1077" s="8">
        <v>0.23759859453542401</v>
      </c>
      <c r="Y1077" s="2">
        <v>19</v>
      </c>
      <c r="Z1077" s="2">
        <f>VLOOKUP(E1077,YieldData!T:U,2,FALSE)</f>
        <v>769.25866495507046</v>
      </c>
      <c r="AA1077">
        <f t="shared" si="32"/>
        <v>0.42938299068326702</v>
      </c>
    </row>
    <row r="1078" spans="1:27" hidden="1" x14ac:dyDescent="0.25">
      <c r="A1078">
        <v>143</v>
      </c>
      <c r="B1078">
        <v>503</v>
      </c>
      <c r="C1078" t="s">
        <v>23</v>
      </c>
      <c r="D1078">
        <v>25110</v>
      </c>
      <c r="E1078">
        <f t="shared" si="33"/>
        <v>25110503</v>
      </c>
      <c r="F1078">
        <f>VLOOKUP(E1078,YieldData!D:F,2,FALSE)</f>
        <v>6</v>
      </c>
      <c r="G1078">
        <f>VLOOKUP($E1078,YieldData!$D:$F,3,FALSE)</f>
        <v>2</v>
      </c>
      <c r="H1078">
        <v>37</v>
      </c>
      <c r="I1078" t="s">
        <v>24</v>
      </c>
      <c r="J1078" t="s">
        <v>25</v>
      </c>
      <c r="K1078" s="2">
        <v>8990.4386407674101</v>
      </c>
      <c r="L1078" s="2">
        <v>98515029.408496603</v>
      </c>
      <c r="M1078" s="3">
        <v>12464.1007609234</v>
      </c>
      <c r="N1078" s="3">
        <v>111074455.682164</v>
      </c>
      <c r="O1078" s="4">
        <v>7.0028649340227303E-2</v>
      </c>
      <c r="P1078" s="4">
        <v>4.2449813106624101E-2</v>
      </c>
      <c r="Q1078" s="5">
        <v>-3.7754408475090602E-2</v>
      </c>
      <c r="R1078" s="5">
        <v>2.6125716754346702E-3</v>
      </c>
      <c r="S1078" s="6">
        <v>0.27163945608607698</v>
      </c>
      <c r="T1078" s="6">
        <v>0.104713567064345</v>
      </c>
      <c r="U1078" s="7">
        <v>0.31496543310288699</v>
      </c>
      <c r="V1078" s="7">
        <v>0.21576220905350199</v>
      </c>
      <c r="W1078" s="8">
        <v>0.625612994282707</v>
      </c>
      <c r="X1078" s="8">
        <v>0.234221375667133</v>
      </c>
      <c r="Y1078" s="2">
        <v>21</v>
      </c>
      <c r="Z1078" s="2">
        <f>VLOOKUP(E1078,YieldData!T:U,2,FALSE)</f>
        <v>712.86906290115519</v>
      </c>
      <c r="AA1078">
        <f t="shared" si="32"/>
        <v>0.33415054174938402</v>
      </c>
    </row>
    <row r="1079" spans="1:27" hidden="1" x14ac:dyDescent="0.25">
      <c r="A1079">
        <v>144</v>
      </c>
      <c r="B1079">
        <v>504</v>
      </c>
      <c r="C1079" t="s">
        <v>23</v>
      </c>
      <c r="D1079">
        <v>25110</v>
      </c>
      <c r="E1079">
        <f t="shared" si="33"/>
        <v>25110504</v>
      </c>
      <c r="F1079">
        <f>VLOOKUP(E1079,YieldData!D:F,2,FALSE)</f>
        <v>13</v>
      </c>
      <c r="G1079">
        <f>VLOOKUP($E1079,YieldData!$D:$F,3,FALSE)</f>
        <v>2</v>
      </c>
      <c r="H1079">
        <v>37</v>
      </c>
      <c r="I1079" t="s">
        <v>24</v>
      </c>
      <c r="J1079" t="s">
        <v>25</v>
      </c>
      <c r="K1079" s="2">
        <v>14730.006314732</v>
      </c>
      <c r="L1079" s="2">
        <v>234978004.48835</v>
      </c>
      <c r="M1079" s="3">
        <v>8406.8479295099696</v>
      </c>
      <c r="N1079" s="3">
        <v>110167808.581517</v>
      </c>
      <c r="O1079" s="4">
        <v>9.5379582918095507E-2</v>
      </c>
      <c r="P1079" s="4">
        <v>2.4656101444819601E-2</v>
      </c>
      <c r="Q1079" s="5">
        <v>-4.0761959534864403E-2</v>
      </c>
      <c r="R1079" s="5">
        <v>1.55168502132631E-3</v>
      </c>
      <c r="S1079" s="6">
        <v>0.35197392983812698</v>
      </c>
      <c r="T1079" s="6">
        <v>9.3963374821857099E-2</v>
      </c>
      <c r="U1079" s="7">
        <v>0.40672614633913001</v>
      </c>
      <c r="V1079" s="7">
        <v>0.24129998822316401</v>
      </c>
      <c r="W1079" s="8">
        <v>0.47716889516109701</v>
      </c>
      <c r="X1079" s="8">
        <v>0.24947874065187101</v>
      </c>
      <c r="Y1079" s="2">
        <v>9</v>
      </c>
      <c r="Z1079" s="2">
        <f>VLOOKUP(E1079,YieldData!T:U,2,FALSE)</f>
        <v>1186.1986521181002</v>
      </c>
      <c r="AA1079">
        <f t="shared" si="32"/>
        <v>0.50452680803224403</v>
      </c>
    </row>
    <row r="1080" spans="1:27" hidden="1" x14ac:dyDescent="0.25">
      <c r="A1080">
        <v>145</v>
      </c>
      <c r="B1080">
        <v>505</v>
      </c>
      <c r="C1080" t="s">
        <v>23</v>
      </c>
      <c r="D1080">
        <v>25110</v>
      </c>
      <c r="E1080">
        <f t="shared" si="33"/>
        <v>25110505</v>
      </c>
      <c r="F1080">
        <f>VLOOKUP(E1080,YieldData!D:F,2,FALSE)</f>
        <v>12</v>
      </c>
      <c r="G1080">
        <f>VLOOKUP($E1080,YieldData!$D:$F,3,FALSE)</f>
        <v>2</v>
      </c>
      <c r="H1080">
        <v>37</v>
      </c>
      <c r="I1080" t="s">
        <v>24</v>
      </c>
      <c r="J1080" t="s">
        <v>25</v>
      </c>
      <c r="K1080" s="2">
        <v>17003.191616336801</v>
      </c>
      <c r="L1080" s="2">
        <v>263354620.92425901</v>
      </c>
      <c r="M1080" s="3">
        <v>6707.15288420451</v>
      </c>
      <c r="N1080" s="3">
        <v>108102915.120782</v>
      </c>
      <c r="O1080" s="4">
        <v>0.119300349309437</v>
      </c>
      <c r="P1080" s="4">
        <v>2.4222461803521101E-2</v>
      </c>
      <c r="Q1080" s="5">
        <v>-3.7489174131466602E-2</v>
      </c>
      <c r="R1080" s="5">
        <v>1.8778756454081601E-3</v>
      </c>
      <c r="S1080" s="6">
        <v>0.39971318475162199</v>
      </c>
      <c r="T1080" s="6">
        <v>9.2732376733515198E-2</v>
      </c>
      <c r="U1080" s="7">
        <v>0.46728457812593399</v>
      </c>
      <c r="V1080" s="7">
        <v>0.24892970117139701</v>
      </c>
      <c r="W1080" s="8">
        <v>0.37437062727979398</v>
      </c>
      <c r="X1080" s="8">
        <v>0.23421726071021101</v>
      </c>
      <c r="Y1080" s="2">
        <v>7</v>
      </c>
      <c r="Z1080" s="2">
        <f>VLOOKUP(E1080,YieldData!T:U,2,FALSE)</f>
        <v>1316.9335686777922</v>
      </c>
      <c r="AA1080">
        <f t="shared" si="32"/>
        <v>0.55529377997297202</v>
      </c>
    </row>
    <row r="1081" spans="1:27" hidden="1" x14ac:dyDescent="0.25">
      <c r="A1081">
        <v>146</v>
      </c>
      <c r="B1081">
        <v>506</v>
      </c>
      <c r="C1081" t="s">
        <v>23</v>
      </c>
      <c r="D1081">
        <v>25110</v>
      </c>
      <c r="E1081">
        <f t="shared" si="33"/>
        <v>25110506</v>
      </c>
      <c r="F1081">
        <f>VLOOKUP(E1081,YieldData!D:F,2,FALSE)</f>
        <v>4</v>
      </c>
      <c r="G1081">
        <f>VLOOKUP($E1081,YieldData!$D:$F,3,FALSE)</f>
        <v>2</v>
      </c>
      <c r="H1081">
        <v>37</v>
      </c>
      <c r="I1081" t="s">
        <v>24</v>
      </c>
      <c r="J1081" t="s">
        <v>25</v>
      </c>
      <c r="K1081" s="2">
        <v>12907.1953961909</v>
      </c>
      <c r="L1081" s="2">
        <v>209129549.354931</v>
      </c>
      <c r="M1081" s="3">
        <v>9242.5914809403203</v>
      </c>
      <c r="N1081" s="3">
        <v>95077350.062906101</v>
      </c>
      <c r="O1081" s="4">
        <v>7.2645308079354695E-2</v>
      </c>
      <c r="P1081" s="4">
        <v>2.4422942191081001E-2</v>
      </c>
      <c r="Q1081" s="5">
        <v>-4.8190457862671898E-2</v>
      </c>
      <c r="R1081" s="5">
        <v>1.6869890813437801E-3</v>
      </c>
      <c r="S1081" s="6">
        <v>0.313721034494164</v>
      </c>
      <c r="T1081" s="6">
        <v>9.2786829627591105E-2</v>
      </c>
      <c r="U1081" s="7">
        <v>0.36648108114636302</v>
      </c>
      <c r="V1081" s="7">
        <v>0.232172698308166</v>
      </c>
      <c r="W1081" s="8">
        <v>0.38161374862622399</v>
      </c>
      <c r="X1081" s="8">
        <v>0.23598469548603601</v>
      </c>
      <c r="Y1081" s="2">
        <v>13</v>
      </c>
      <c r="Z1081" s="2">
        <f>VLOOKUP(E1081,YieldData!T:U,2,FALSE)</f>
        <v>695.94030808729133</v>
      </c>
      <c r="AA1081">
        <f t="shared" si="32"/>
        <v>0.45165147032184</v>
      </c>
    </row>
    <row r="1082" spans="1:27" hidden="1" x14ac:dyDescent="0.25">
      <c r="A1082">
        <v>147</v>
      </c>
      <c r="B1082">
        <v>507</v>
      </c>
      <c r="C1082" t="s">
        <v>23</v>
      </c>
      <c r="D1082">
        <v>25110</v>
      </c>
      <c r="E1082">
        <f t="shared" si="33"/>
        <v>25110507</v>
      </c>
      <c r="F1082">
        <f>VLOOKUP(E1082,YieldData!D:F,2,FALSE)</f>
        <v>4</v>
      </c>
      <c r="G1082">
        <f>VLOOKUP($E1082,YieldData!$D:$F,3,FALSE)</f>
        <v>3</v>
      </c>
      <c r="H1082">
        <v>37</v>
      </c>
      <c r="I1082" t="s">
        <v>24</v>
      </c>
      <c r="J1082" t="s">
        <v>25</v>
      </c>
      <c r="K1082" s="2">
        <v>14523.1315839832</v>
      </c>
      <c r="L1082" s="2">
        <v>193657688.10558599</v>
      </c>
      <c r="M1082" s="3">
        <v>7920.8698695304502</v>
      </c>
      <c r="N1082" s="3">
        <v>109681093.80968601</v>
      </c>
      <c r="O1082" s="4">
        <v>0.11389720936457901</v>
      </c>
      <c r="P1082" s="4">
        <v>2.9021151583402901E-2</v>
      </c>
      <c r="Q1082" s="5">
        <v>-4.5508157503275699E-2</v>
      </c>
      <c r="R1082" s="5">
        <v>1.63561867677643E-3</v>
      </c>
      <c r="S1082" s="6">
        <v>0.37527101256515699</v>
      </c>
      <c r="T1082" s="6">
        <v>9.8981510659613803E-2</v>
      </c>
      <c r="U1082" s="7">
        <v>0.43707840979763701</v>
      </c>
      <c r="V1082" s="7">
        <v>0.246040873486639</v>
      </c>
      <c r="W1082" s="8">
        <v>0.52387217145864196</v>
      </c>
      <c r="X1082" s="8">
        <v>0.24943011942988699</v>
      </c>
      <c r="Y1082" s="2">
        <v>14</v>
      </c>
      <c r="Z1082" s="2">
        <f>VLOOKUP(E1082,YieldData!T:U,2,FALSE)</f>
        <v>641.50994865211806</v>
      </c>
      <c r="AA1082">
        <f t="shared" si="32"/>
        <v>0.51023727516264805</v>
      </c>
    </row>
    <row r="1083" spans="1:27" hidden="1" x14ac:dyDescent="0.25">
      <c r="A1083">
        <v>148</v>
      </c>
      <c r="B1083">
        <v>508</v>
      </c>
      <c r="C1083" t="s">
        <v>23</v>
      </c>
      <c r="D1083">
        <v>25110</v>
      </c>
      <c r="E1083">
        <f t="shared" si="33"/>
        <v>25110508</v>
      </c>
      <c r="F1083">
        <f>VLOOKUP(E1083,YieldData!D:F,2,FALSE)</f>
        <v>13</v>
      </c>
      <c r="G1083">
        <f>VLOOKUP($E1083,YieldData!$D:$F,3,FALSE)</f>
        <v>3</v>
      </c>
      <c r="H1083">
        <v>37</v>
      </c>
      <c r="I1083" t="s">
        <v>24</v>
      </c>
      <c r="J1083" t="s">
        <v>25</v>
      </c>
      <c r="K1083" s="2">
        <v>11332.3358570455</v>
      </c>
      <c r="L1083" s="2">
        <v>155058057.91339299</v>
      </c>
      <c r="M1083" s="3">
        <v>9764.8997512937294</v>
      </c>
      <c r="N1083" s="3">
        <v>97762649.161628097</v>
      </c>
      <c r="O1083" s="4">
        <v>0.103579789759636</v>
      </c>
      <c r="P1083" s="4">
        <v>2.8932494993533099E-2</v>
      </c>
      <c r="Q1083" s="5">
        <v>-4.3920942273715E-2</v>
      </c>
      <c r="R1083" s="5">
        <v>1.58564373923796E-3</v>
      </c>
      <c r="S1083" s="6">
        <v>0.33266459612684601</v>
      </c>
      <c r="T1083" s="6">
        <v>8.9382562430623605E-2</v>
      </c>
      <c r="U1083" s="7">
        <v>0.36670374490174301</v>
      </c>
      <c r="V1083" s="7">
        <v>0.23223210837674099</v>
      </c>
      <c r="W1083" s="8">
        <v>0.56674680349731499</v>
      </c>
      <c r="X1083" s="8">
        <v>0.245544864222735</v>
      </c>
      <c r="Y1083" s="2">
        <v>15</v>
      </c>
      <c r="Z1083" s="2">
        <f>VLOOKUP(E1083,YieldData!T:U,2,FALSE)</f>
        <v>394.67265725288831</v>
      </c>
      <c r="AA1083">
        <f t="shared" si="32"/>
        <v>0.41675238619237898</v>
      </c>
    </row>
    <row r="1084" spans="1:27" hidden="1" x14ac:dyDescent="0.25">
      <c r="A1084">
        <v>149</v>
      </c>
      <c r="B1084">
        <v>509</v>
      </c>
      <c r="C1084" t="s">
        <v>23</v>
      </c>
      <c r="D1084">
        <v>25110</v>
      </c>
      <c r="E1084">
        <f t="shared" si="33"/>
        <v>25110509</v>
      </c>
      <c r="F1084">
        <f>VLOOKUP(E1084,YieldData!D:F,2,FALSE)</f>
        <v>8</v>
      </c>
      <c r="G1084">
        <f>VLOOKUP($E1084,YieldData!$D:$F,3,FALSE)</f>
        <v>3</v>
      </c>
      <c r="H1084">
        <v>37</v>
      </c>
      <c r="I1084" t="s">
        <v>24</v>
      </c>
      <c r="J1084" t="s">
        <v>25</v>
      </c>
      <c r="K1084" s="2">
        <v>13565.8205726177</v>
      </c>
      <c r="L1084" s="2">
        <v>210390164.39993599</v>
      </c>
      <c r="M1084" s="3">
        <v>9038.18820190728</v>
      </c>
      <c r="N1084" s="3">
        <v>99690095.925693601</v>
      </c>
      <c r="O1084" s="4">
        <v>9.4129620931816205E-2</v>
      </c>
      <c r="P1084" s="4">
        <v>2.2820860405807799E-2</v>
      </c>
      <c r="Q1084" s="5">
        <v>-4.6681463425101301E-2</v>
      </c>
      <c r="R1084" s="5">
        <v>1.6050620985121301E-3</v>
      </c>
      <c r="S1084" s="6">
        <v>0.34416908253532502</v>
      </c>
      <c r="T1084" s="6">
        <v>8.6804244698215099E-2</v>
      </c>
      <c r="U1084" s="7">
        <v>0.38676808266360502</v>
      </c>
      <c r="V1084" s="7">
        <v>0.237178532896167</v>
      </c>
      <c r="W1084" s="8">
        <v>0.22097445464982801</v>
      </c>
      <c r="X1084" s="8">
        <v>0.17214474504171701</v>
      </c>
      <c r="Y1084" s="2">
        <v>4</v>
      </c>
      <c r="Z1084" s="2">
        <f>VLOOKUP(E1084,YieldData!T:U,2,FALSE)</f>
        <v>690.69801026957646</v>
      </c>
      <c r="AA1084">
        <f t="shared" si="32"/>
        <v>0.46421439077765703</v>
      </c>
    </row>
    <row r="1085" spans="1:27" hidden="1" x14ac:dyDescent="0.25">
      <c r="A1085">
        <v>150</v>
      </c>
      <c r="B1085">
        <v>510</v>
      </c>
      <c r="C1085" t="s">
        <v>23</v>
      </c>
      <c r="D1085">
        <v>25110</v>
      </c>
      <c r="E1085">
        <f t="shared" si="33"/>
        <v>25110510</v>
      </c>
      <c r="F1085">
        <f>VLOOKUP(E1085,YieldData!D:F,2,FALSE)</f>
        <v>5</v>
      </c>
      <c r="G1085">
        <f>VLOOKUP($E1085,YieldData!$D:$F,3,FALSE)</f>
        <v>3</v>
      </c>
      <c r="H1085">
        <v>37</v>
      </c>
      <c r="I1085" t="s">
        <v>24</v>
      </c>
      <c r="J1085" t="s">
        <v>25</v>
      </c>
      <c r="K1085" s="2">
        <v>11222.8591931684</v>
      </c>
      <c r="L1085" s="2">
        <v>144577288.52898899</v>
      </c>
      <c r="M1085" s="3">
        <v>9829.68155855031</v>
      </c>
      <c r="N1085" s="3">
        <v>89441169.760612205</v>
      </c>
      <c r="O1085" s="4">
        <v>9.9091218267180897E-2</v>
      </c>
      <c r="P1085" s="4">
        <v>2.8698796777668002E-2</v>
      </c>
      <c r="Q1085" s="5">
        <v>-3.9026625904530397E-2</v>
      </c>
      <c r="R1085" s="5">
        <v>1.7776245192949701E-3</v>
      </c>
      <c r="S1085" s="6">
        <v>0.33492875215378798</v>
      </c>
      <c r="T1085" s="6">
        <v>8.5378923559286599E-2</v>
      </c>
      <c r="U1085" s="7">
        <v>0.35097056607384203</v>
      </c>
      <c r="V1085" s="7">
        <v>0.22779022782362701</v>
      </c>
      <c r="W1085" s="8">
        <v>0.60757555823994402</v>
      </c>
      <c r="X1085" s="8">
        <v>0.23842749926929099</v>
      </c>
      <c r="Y1085" s="2">
        <v>24</v>
      </c>
      <c r="Z1085" s="2">
        <f>VLOOKUP(E1085,YieldData!T:U,2,FALSE)</f>
        <v>1385.9820282413348</v>
      </c>
      <c r="AA1085">
        <f t="shared" si="32"/>
        <v>0.377397751734035</v>
      </c>
    </row>
    <row r="1086" spans="1:27" hidden="1" x14ac:dyDescent="0.25">
      <c r="A1086">
        <v>151</v>
      </c>
      <c r="B1086">
        <v>511</v>
      </c>
      <c r="C1086" t="s">
        <v>23</v>
      </c>
      <c r="D1086">
        <v>25110</v>
      </c>
      <c r="E1086">
        <f t="shared" si="33"/>
        <v>25110511</v>
      </c>
      <c r="F1086">
        <f>VLOOKUP(E1086,YieldData!D:F,2,FALSE)</f>
        <v>1</v>
      </c>
      <c r="G1086">
        <f>VLOOKUP($E1086,YieldData!$D:$F,3,FALSE)</f>
        <v>3</v>
      </c>
      <c r="H1086">
        <v>37</v>
      </c>
      <c r="I1086" t="s">
        <v>24</v>
      </c>
      <c r="J1086" t="s">
        <v>25</v>
      </c>
      <c r="K1086" s="2">
        <v>10156.2368839999</v>
      </c>
      <c r="L1086" s="2">
        <v>148370419.527311</v>
      </c>
      <c r="M1086" s="3">
        <v>10359.0712038859</v>
      </c>
      <c r="N1086" s="3">
        <v>83723573.233885095</v>
      </c>
      <c r="O1086" s="4">
        <v>9.2657898682804399E-2</v>
      </c>
      <c r="P1086" s="4">
        <v>2.4683208827630199E-2</v>
      </c>
      <c r="Q1086" s="5">
        <v>-3.9292899393799E-2</v>
      </c>
      <c r="R1086" s="5">
        <v>1.51738708383172E-3</v>
      </c>
      <c r="S1086" s="6">
        <v>0.31820069390598499</v>
      </c>
      <c r="T1086" s="6">
        <v>7.6499573565586801E-2</v>
      </c>
      <c r="U1086" s="7">
        <v>0.31958392684006998</v>
      </c>
      <c r="V1086" s="7">
        <v>0.21745004054536299</v>
      </c>
      <c r="W1086" s="8">
        <v>0.576732939923153</v>
      </c>
      <c r="X1086" s="8">
        <v>0.24411205593056901</v>
      </c>
      <c r="Y1086" s="2">
        <v>18</v>
      </c>
      <c r="Z1086" s="2">
        <f>VLOOKUP(E1086,YieldData!T:U,2,FALSE)</f>
        <v>557.27214377406938</v>
      </c>
      <c r="AA1086">
        <f t="shared" si="32"/>
        <v>0.36131758172046902</v>
      </c>
    </row>
    <row r="1087" spans="1:27" hidden="1" x14ac:dyDescent="0.25">
      <c r="A1087">
        <v>152</v>
      </c>
      <c r="B1087">
        <v>512</v>
      </c>
      <c r="C1087" t="s">
        <v>23</v>
      </c>
      <c r="D1087">
        <v>25110</v>
      </c>
      <c r="E1087">
        <f t="shared" si="33"/>
        <v>25110512</v>
      </c>
      <c r="F1087">
        <f>VLOOKUP(E1087,YieldData!D:F,2,FALSE)</f>
        <v>10</v>
      </c>
      <c r="G1087">
        <f>VLOOKUP($E1087,YieldData!$D:$F,3,FALSE)</f>
        <v>3</v>
      </c>
      <c r="H1087">
        <v>37</v>
      </c>
      <c r="I1087" t="s">
        <v>24</v>
      </c>
      <c r="J1087" t="s">
        <v>25</v>
      </c>
      <c r="K1087" s="2">
        <v>5548.1801537854399</v>
      </c>
      <c r="L1087" s="2">
        <v>59015925.2726743</v>
      </c>
      <c r="M1087" s="3">
        <v>16873.805850614699</v>
      </c>
      <c r="N1087" s="3">
        <v>65321989.2494286</v>
      </c>
      <c r="O1087" s="4">
        <v>2.92942898505543E-3</v>
      </c>
      <c r="P1087" s="4">
        <v>2.0877475562016801E-2</v>
      </c>
      <c r="Q1087" s="5">
        <v>-6.75000562280514E-2</v>
      </c>
      <c r="R1087" s="5">
        <v>1.3744916847838299E-3</v>
      </c>
      <c r="S1087" s="6">
        <v>0.17355828751343</v>
      </c>
      <c r="T1087" s="6">
        <v>5.6027594779135902E-2</v>
      </c>
      <c r="U1087" s="7">
        <v>0.15358214845198101</v>
      </c>
      <c r="V1087" s="7">
        <v>0.129994672128983</v>
      </c>
      <c r="W1087" s="8">
        <v>0.67931071595135295</v>
      </c>
      <c r="X1087" s="8">
        <v>0.21784766714505599</v>
      </c>
      <c r="Y1087" s="2">
        <v>30</v>
      </c>
      <c r="Z1087" s="2">
        <f>VLOOKUP(E1087,YieldData!T:U,2,FALSE)</f>
        <v>1164.9743260590499</v>
      </c>
      <c r="AA1087">
        <f t="shared" si="32"/>
        <v>0.17485979408564201</v>
      </c>
    </row>
    <row r="1088" spans="1:27" hidden="1" x14ac:dyDescent="0.25">
      <c r="A1088">
        <v>153</v>
      </c>
      <c r="B1088">
        <v>601</v>
      </c>
      <c r="C1088" t="s">
        <v>23</v>
      </c>
      <c r="D1088" t="s">
        <v>100</v>
      </c>
      <c r="E1088" t="e">
        <f t="shared" si="33"/>
        <v>#VALUE!</v>
      </c>
      <c r="H1088">
        <v>37</v>
      </c>
      <c r="I1088" t="s">
        <v>24</v>
      </c>
      <c r="J1088" t="s">
        <v>25</v>
      </c>
      <c r="K1088" s="2">
        <v>6556.9925130364099</v>
      </c>
      <c r="L1088" s="2">
        <v>66978776.448382199</v>
      </c>
      <c r="M1088" s="3">
        <v>15711.138719660001</v>
      </c>
      <c r="N1088" s="3">
        <v>77108159.921769693</v>
      </c>
      <c r="O1088" s="4">
        <v>6.4144161233078104E-2</v>
      </c>
      <c r="P1088" s="4">
        <v>3.1436381094144199E-2</v>
      </c>
      <c r="Q1088" s="5">
        <v>-2.5230345824270198E-2</v>
      </c>
      <c r="R1088" s="5">
        <v>3.12625628230096E-3</v>
      </c>
      <c r="S1088" s="6">
        <v>0.25664451805731803</v>
      </c>
      <c r="T1088" s="6">
        <v>6.9383794022558801E-2</v>
      </c>
      <c r="U1088" s="7">
        <v>0.23142611108453301</v>
      </c>
      <c r="V1088" s="7">
        <v>0.17786806619297499</v>
      </c>
      <c r="W1088" s="8">
        <v>0.57498923599483298</v>
      </c>
      <c r="X1088" s="8">
        <v>0.24437661448495701</v>
      </c>
      <c r="Y1088" s="2">
        <v>17</v>
      </c>
      <c r="Z1088" s="2" t="e">
        <f>VLOOKUP(E1088,YieldData!T:U,2,FALSE)</f>
        <v>#VALUE!</v>
      </c>
      <c r="AA1088">
        <f t="shared" si="32"/>
        <v>0.913534329143595</v>
      </c>
    </row>
    <row r="1089" spans="1:27" hidden="1" x14ac:dyDescent="0.25">
      <c r="A1089">
        <v>154</v>
      </c>
      <c r="B1089">
        <v>602</v>
      </c>
      <c r="C1089" t="s">
        <v>23</v>
      </c>
      <c r="D1089" t="s">
        <v>100</v>
      </c>
      <c r="E1089" t="e">
        <f t="shared" si="33"/>
        <v>#VALUE!</v>
      </c>
      <c r="H1089">
        <v>37</v>
      </c>
      <c r="I1089" t="s">
        <v>24</v>
      </c>
      <c r="J1089" t="s">
        <v>25</v>
      </c>
      <c r="K1089" s="2">
        <v>5878.7551305970101</v>
      </c>
      <c r="L1089" s="2">
        <v>66970474.580336198</v>
      </c>
      <c r="M1089" s="3">
        <v>15157.3094269265</v>
      </c>
      <c r="N1089" s="3">
        <v>74868991.832595497</v>
      </c>
      <c r="O1089" s="4">
        <v>4.2291239185128199E-2</v>
      </c>
      <c r="P1089" s="4">
        <v>3.1401012507934499E-2</v>
      </c>
      <c r="Q1089" s="5">
        <v>-4.1496321927326198E-2</v>
      </c>
      <c r="R1089" s="5">
        <v>2.1223897331427099E-3</v>
      </c>
      <c r="S1089" s="6">
        <v>0.23300789394240001</v>
      </c>
      <c r="T1089" s="6">
        <v>6.8511851736933596E-2</v>
      </c>
      <c r="U1089" s="7">
        <v>0.205989284347493</v>
      </c>
      <c r="V1089" s="7">
        <v>0.16355769908124701</v>
      </c>
      <c r="W1089" s="8">
        <v>0.60362849215461201</v>
      </c>
      <c r="X1089" s="8">
        <v>0.23926113561337001</v>
      </c>
      <c r="Y1089" s="2">
        <v>17</v>
      </c>
      <c r="Z1089" s="2" t="e">
        <f>VLOOKUP(E1089,YieldData!T:U,2,FALSE)</f>
        <v>#VALUE!</v>
      </c>
      <c r="AA1089">
        <f t="shared" si="32"/>
        <v>0.913534329143595</v>
      </c>
    </row>
    <row r="1090" spans="1:27" hidden="1" x14ac:dyDescent="0.25">
      <c r="A1090">
        <v>155</v>
      </c>
      <c r="B1090">
        <v>603</v>
      </c>
      <c r="C1090" t="s">
        <v>23</v>
      </c>
      <c r="D1090" t="s">
        <v>100</v>
      </c>
      <c r="E1090" t="e">
        <f t="shared" si="33"/>
        <v>#VALUE!</v>
      </c>
      <c r="H1090">
        <v>37</v>
      </c>
      <c r="I1090" t="s">
        <v>24</v>
      </c>
      <c r="J1090" t="s">
        <v>25</v>
      </c>
      <c r="K1090" s="2">
        <v>7641.13387870307</v>
      </c>
      <c r="L1090" s="2">
        <v>81881435.792153597</v>
      </c>
      <c r="M1090" s="3">
        <v>14805.6797741395</v>
      </c>
      <c r="N1090" s="3">
        <v>90080345.663479805</v>
      </c>
      <c r="O1090" s="4">
        <v>4.9647788179953398E-2</v>
      </c>
      <c r="P1090" s="4">
        <v>3.5711040166696198E-2</v>
      </c>
      <c r="Q1090" s="5">
        <v>-4.5739130021908297E-2</v>
      </c>
      <c r="R1090" s="5">
        <v>2.29324479973393E-3</v>
      </c>
      <c r="S1090" s="6">
        <v>0.25670071400445599</v>
      </c>
      <c r="T1090" s="6">
        <v>7.8567891921892202E-2</v>
      </c>
      <c r="U1090" s="7">
        <v>0.24838242856972001</v>
      </c>
      <c r="V1090" s="7">
        <v>0.18668859774779201</v>
      </c>
      <c r="W1090" s="8">
        <v>0.53561049119156101</v>
      </c>
      <c r="X1090" s="8">
        <v>0.248731892916984</v>
      </c>
      <c r="Y1090" s="2">
        <v>14</v>
      </c>
      <c r="Z1090" s="2" t="e">
        <f>VLOOKUP(E1090,YieldData!T:U,2,FALSE)</f>
        <v>#VALUE!</v>
      </c>
      <c r="AA1090">
        <f t="shared" ref="AA1090:AA1153" si="34">_xlfn.MAXIFS(U:U,E:E,E1090)</f>
        <v>0.913534329143595</v>
      </c>
    </row>
    <row r="1091" spans="1:27" hidden="1" x14ac:dyDescent="0.25">
      <c r="A1091">
        <v>156</v>
      </c>
      <c r="B1091">
        <v>604</v>
      </c>
      <c r="C1091" t="s">
        <v>23</v>
      </c>
      <c r="D1091">
        <v>25110</v>
      </c>
      <c r="E1091">
        <f t="shared" ref="E1091:E1154" si="35">D1091*1000+B1091</f>
        <v>25110604</v>
      </c>
      <c r="F1091">
        <f>VLOOKUP(E1091,YieldData!D:F,2,FALSE)</f>
        <v>7</v>
      </c>
      <c r="G1091">
        <f>VLOOKUP($E1091,YieldData!$D:$F,3,FALSE)</f>
        <v>3</v>
      </c>
      <c r="H1091">
        <v>37</v>
      </c>
      <c r="I1091" t="s">
        <v>24</v>
      </c>
      <c r="J1091" t="s">
        <v>25</v>
      </c>
      <c r="K1091" s="2">
        <v>10331.9434803927</v>
      </c>
      <c r="L1091" s="2">
        <v>142624351.21516901</v>
      </c>
      <c r="M1091" s="3">
        <v>10494.433961268</v>
      </c>
      <c r="N1091" s="3">
        <v>101482734.281545</v>
      </c>
      <c r="O1091" s="4">
        <v>0.113790230845621</v>
      </c>
      <c r="P1091" s="4">
        <v>3.3596365544467897E-2</v>
      </c>
      <c r="Q1091" s="5">
        <v>-3.0035855167618301E-2</v>
      </c>
      <c r="R1091" s="5">
        <v>1.8828765994443599E-3</v>
      </c>
      <c r="S1091" s="6">
        <v>0.34605569935858899</v>
      </c>
      <c r="T1091" s="6">
        <v>8.6880018439777107E-2</v>
      </c>
      <c r="U1091" s="7">
        <v>0.34746522836265398</v>
      </c>
      <c r="V1091" s="7">
        <v>0.22673314344147899</v>
      </c>
      <c r="W1091" s="8">
        <v>0.60760371694751103</v>
      </c>
      <c r="X1091" s="8">
        <v>0.23842144009905</v>
      </c>
      <c r="Y1091" s="2">
        <v>20</v>
      </c>
      <c r="Z1091" s="2">
        <f>VLOOKUP(E1091,YieldData!T:U,2,FALSE)</f>
        <v>223.72432605905007</v>
      </c>
      <c r="AA1091">
        <f t="shared" si="34"/>
        <v>0.34746522836265398</v>
      </c>
    </row>
    <row r="1092" spans="1:27" hidden="1" x14ac:dyDescent="0.25">
      <c r="A1092">
        <v>157</v>
      </c>
      <c r="B1092">
        <v>605</v>
      </c>
      <c r="C1092" t="s">
        <v>23</v>
      </c>
      <c r="D1092">
        <v>25110</v>
      </c>
      <c r="E1092">
        <f t="shared" si="35"/>
        <v>25110605</v>
      </c>
      <c r="F1092">
        <f>VLOOKUP(E1092,YieldData!D:F,2,FALSE)</f>
        <v>11</v>
      </c>
      <c r="G1092">
        <f>VLOOKUP($E1092,YieldData!$D:$F,3,FALSE)</f>
        <v>3</v>
      </c>
      <c r="H1092">
        <v>37</v>
      </c>
      <c r="I1092" t="s">
        <v>24</v>
      </c>
      <c r="J1092" t="s">
        <v>25</v>
      </c>
      <c r="K1092" s="2">
        <v>15889.429142098499</v>
      </c>
      <c r="L1092" s="2">
        <v>231981988.19089901</v>
      </c>
      <c r="M1092" s="3">
        <v>6933.0589103636203</v>
      </c>
      <c r="N1092" s="3">
        <v>103726941.800835</v>
      </c>
      <c r="O1092" s="4">
        <v>0.15189344451992201</v>
      </c>
      <c r="P1092" s="4">
        <v>2.6992346544955598E-2</v>
      </c>
      <c r="Q1092" s="5">
        <v>-2.6106576980149301E-2</v>
      </c>
      <c r="R1092" s="5">
        <v>1.9609620562611898E-3</v>
      </c>
      <c r="S1092" s="6">
        <v>0.43711334318612299</v>
      </c>
      <c r="T1092" s="6">
        <v>8.3987548934624998E-2</v>
      </c>
      <c r="U1092" s="7">
        <v>0.46992620588200101</v>
      </c>
      <c r="V1092" s="7">
        <v>0.249095566907028</v>
      </c>
      <c r="W1092" s="8">
        <v>0.306179808876822</v>
      </c>
      <c r="X1092" s="8">
        <v>0.212433733512645</v>
      </c>
      <c r="Y1092" s="2">
        <v>7</v>
      </c>
      <c r="Z1092" s="2">
        <f>VLOOKUP(E1092,YieldData!T:U,2,FALSE)</f>
        <v>429.84595635430037</v>
      </c>
      <c r="AA1092">
        <f t="shared" si="34"/>
        <v>0.46992620588200101</v>
      </c>
    </row>
    <row r="1093" spans="1:27" hidden="1" x14ac:dyDescent="0.25">
      <c r="A1093">
        <v>158</v>
      </c>
      <c r="B1093">
        <v>606</v>
      </c>
      <c r="C1093" t="s">
        <v>23</v>
      </c>
      <c r="D1093">
        <v>25110</v>
      </c>
      <c r="E1093">
        <f t="shared" si="35"/>
        <v>25110606</v>
      </c>
      <c r="F1093">
        <f>VLOOKUP(E1093,YieldData!D:F,2,FALSE)</f>
        <v>9</v>
      </c>
      <c r="G1093">
        <f>VLOOKUP($E1093,YieldData!$D:$F,3,FALSE)</f>
        <v>3</v>
      </c>
      <c r="H1093">
        <v>37</v>
      </c>
      <c r="I1093" t="s">
        <v>24</v>
      </c>
      <c r="J1093" t="s">
        <v>25</v>
      </c>
      <c r="K1093" s="2">
        <v>9469.9875142019991</v>
      </c>
      <c r="L1093" s="2">
        <v>147489740.633201</v>
      </c>
      <c r="M1093" s="3">
        <v>11353.7130740711</v>
      </c>
      <c r="N1093" s="3">
        <v>79335186.687426105</v>
      </c>
      <c r="O1093" s="4">
        <v>6.6541223033852501E-2</v>
      </c>
      <c r="P1093" s="4">
        <v>2.7562771138609499E-2</v>
      </c>
      <c r="Q1093" s="5">
        <v>-4.4106564937196599E-2</v>
      </c>
      <c r="R1093" s="5">
        <v>1.6968799811891799E-3</v>
      </c>
      <c r="S1093" s="6">
        <v>0.296696545717478</v>
      </c>
      <c r="T1093" s="6">
        <v>7.9743183608367102E-2</v>
      </c>
      <c r="U1093" s="7">
        <v>0.28997189499491699</v>
      </c>
      <c r="V1093" s="7">
        <v>0.205888195107929</v>
      </c>
      <c r="W1093" s="8">
        <v>0.23217126113735601</v>
      </c>
      <c r="X1093" s="8">
        <v>0.17826776663899099</v>
      </c>
      <c r="Y1093" s="2">
        <v>5</v>
      </c>
      <c r="Z1093" s="2">
        <f>VLOOKUP(E1093,YieldData!T:U,2,FALSE)</f>
        <v>1469.6084724005136</v>
      </c>
      <c r="AA1093">
        <f t="shared" si="34"/>
        <v>0.39368063528511299</v>
      </c>
    </row>
    <row r="1094" spans="1:27" hidden="1" x14ac:dyDescent="0.25">
      <c r="A1094">
        <v>159</v>
      </c>
      <c r="B1094">
        <v>607</v>
      </c>
      <c r="C1094" t="s">
        <v>23</v>
      </c>
      <c r="D1094">
        <v>25110</v>
      </c>
      <c r="E1094">
        <f t="shared" si="35"/>
        <v>25110607</v>
      </c>
      <c r="F1094">
        <f>VLOOKUP(E1094,YieldData!D:F,2,FALSE)</f>
        <v>6</v>
      </c>
      <c r="G1094">
        <f>VLOOKUP($E1094,YieldData!$D:$F,3,FALSE)</f>
        <v>3</v>
      </c>
      <c r="H1094">
        <v>37</v>
      </c>
      <c r="I1094" t="s">
        <v>24</v>
      </c>
      <c r="J1094" t="s">
        <v>25</v>
      </c>
      <c r="K1094" s="2">
        <v>9983.3590632923497</v>
      </c>
      <c r="L1094" s="2">
        <v>157466521.38296199</v>
      </c>
      <c r="M1094" s="3">
        <v>10935.7147627331</v>
      </c>
      <c r="N1094" s="3">
        <v>82794757.881628796</v>
      </c>
      <c r="O1094" s="4">
        <v>8.2349079185132595E-2</v>
      </c>
      <c r="P1094" s="4">
        <v>2.7058621934854799E-2</v>
      </c>
      <c r="Q1094" s="5">
        <v>-4.3105411542197797E-2</v>
      </c>
      <c r="R1094" s="5">
        <v>1.77262689475368E-3</v>
      </c>
      <c r="S1094" s="6">
        <v>0.31277791223715701</v>
      </c>
      <c r="T1094" s="6">
        <v>7.9568992489097004E-2</v>
      </c>
      <c r="U1094" s="7">
        <v>0.30456154618954201</v>
      </c>
      <c r="V1094" s="7">
        <v>0.21180381077226301</v>
      </c>
      <c r="W1094" s="8">
        <v>0.60268860929053203</v>
      </c>
      <c r="X1094" s="8">
        <v>0.239455049521868</v>
      </c>
      <c r="Y1094" s="2">
        <v>15</v>
      </c>
      <c r="Z1094" s="2">
        <f>VLOOKUP(E1094,YieldData!T:U,2,FALSE)</f>
        <v>429.81386392811288</v>
      </c>
      <c r="AA1094">
        <f t="shared" si="34"/>
        <v>0.39178586805721699</v>
      </c>
    </row>
    <row r="1095" spans="1:27" hidden="1" x14ac:dyDescent="0.25">
      <c r="A1095">
        <v>160</v>
      </c>
      <c r="B1095">
        <v>608</v>
      </c>
      <c r="C1095" t="s">
        <v>23</v>
      </c>
      <c r="D1095">
        <v>25110</v>
      </c>
      <c r="E1095">
        <f t="shared" si="35"/>
        <v>25110608</v>
      </c>
      <c r="F1095">
        <f>VLOOKUP(E1095,YieldData!D:F,2,FALSE)</f>
        <v>14</v>
      </c>
      <c r="G1095">
        <f>VLOOKUP($E1095,YieldData!$D:$F,3,FALSE)</f>
        <v>3</v>
      </c>
      <c r="H1095">
        <v>37</v>
      </c>
      <c r="I1095" t="s">
        <v>24</v>
      </c>
      <c r="J1095" t="s">
        <v>25</v>
      </c>
      <c r="K1095" s="2">
        <v>12402.8008635227</v>
      </c>
      <c r="L1095" s="2">
        <v>163098607.731282</v>
      </c>
      <c r="M1095" s="3">
        <v>9154.9591693966795</v>
      </c>
      <c r="N1095" s="3">
        <v>109329650.82815599</v>
      </c>
      <c r="O1095" s="4">
        <v>0.12950600937067899</v>
      </c>
      <c r="P1095" s="4">
        <v>3.3799915217434397E-2</v>
      </c>
      <c r="Q1095" s="5">
        <v>-3.5941126759189299E-2</v>
      </c>
      <c r="R1095" s="5">
        <v>1.91578561703915E-3</v>
      </c>
      <c r="S1095" s="6">
        <v>0.38418979401481101</v>
      </c>
      <c r="T1095" s="6">
        <v>9.0962070947480003E-2</v>
      </c>
      <c r="U1095" s="7">
        <v>0.40535336259583099</v>
      </c>
      <c r="V1095" s="7">
        <v>0.241042014027953</v>
      </c>
      <c r="W1095" s="8">
        <v>0.60622406142732399</v>
      </c>
      <c r="X1095" s="8">
        <v>0.23871644877373299</v>
      </c>
      <c r="Y1095" s="2">
        <v>25</v>
      </c>
      <c r="Z1095" s="2">
        <f>VLOOKUP(E1095,YieldData!T:U,2,FALSE)</f>
        <v>260.46373555840825</v>
      </c>
      <c r="AA1095">
        <f t="shared" si="34"/>
        <v>0.446201131348888</v>
      </c>
    </row>
    <row r="1096" spans="1:27" hidden="1" x14ac:dyDescent="0.25">
      <c r="A1096">
        <v>161</v>
      </c>
      <c r="B1096">
        <v>609</v>
      </c>
      <c r="C1096" t="s">
        <v>23</v>
      </c>
      <c r="D1096">
        <v>25110</v>
      </c>
      <c r="E1096">
        <f t="shared" si="35"/>
        <v>25110609</v>
      </c>
      <c r="F1096">
        <f>VLOOKUP(E1096,YieldData!D:F,2,FALSE)</f>
        <v>2</v>
      </c>
      <c r="G1096">
        <f>VLOOKUP($E1096,YieldData!$D:$F,3,FALSE)</f>
        <v>3</v>
      </c>
      <c r="H1096">
        <v>37</v>
      </c>
      <c r="I1096" t="s">
        <v>24</v>
      </c>
      <c r="J1096" t="s">
        <v>25</v>
      </c>
      <c r="K1096" s="2">
        <v>9071.4871794871797</v>
      </c>
      <c r="L1096" s="2">
        <v>151550416.62045801</v>
      </c>
      <c r="M1096" s="3">
        <v>12350.195062557401</v>
      </c>
      <c r="N1096" s="3">
        <v>75653130.351914003</v>
      </c>
      <c r="O1096" s="4">
        <v>5.6336013855786397E-2</v>
      </c>
      <c r="P1096" s="4">
        <v>2.1617878159678201E-2</v>
      </c>
      <c r="Q1096" s="5">
        <v>-4.9939146043503198E-2</v>
      </c>
      <c r="R1096" s="5">
        <v>1.6161036187113201E-3</v>
      </c>
      <c r="S1096" s="6">
        <v>0.27873261746553002</v>
      </c>
      <c r="T1096" s="6">
        <v>6.82585144176166E-2</v>
      </c>
      <c r="U1096" s="7">
        <v>0.26441111748947599</v>
      </c>
      <c r="V1096" s="7">
        <v>0.194497878437733</v>
      </c>
      <c r="W1096" s="8">
        <v>0.55522866437045504</v>
      </c>
      <c r="X1096" s="8">
        <v>0.24694979463219599</v>
      </c>
      <c r="Y1096" s="2">
        <v>19</v>
      </c>
      <c r="Z1096" s="2">
        <f>VLOOKUP(E1096,YieldData!T:U,2,FALSE)</f>
        <v>459.55551989730429</v>
      </c>
      <c r="AA1096">
        <f t="shared" si="34"/>
        <v>0.30308321572942298</v>
      </c>
    </row>
    <row r="1097" spans="1:27" hidden="1" x14ac:dyDescent="0.25">
      <c r="A1097">
        <v>162</v>
      </c>
      <c r="B1097">
        <v>610</v>
      </c>
      <c r="C1097" t="s">
        <v>23</v>
      </c>
      <c r="D1097">
        <v>25110</v>
      </c>
      <c r="E1097">
        <f t="shared" si="35"/>
        <v>25110610</v>
      </c>
      <c r="F1097">
        <f>VLOOKUP(E1097,YieldData!D:F,2,FALSE)</f>
        <v>3</v>
      </c>
      <c r="G1097">
        <f>VLOOKUP($E1097,YieldData!$D:$F,3,FALSE)</f>
        <v>3</v>
      </c>
      <c r="H1097">
        <v>37</v>
      </c>
      <c r="I1097" t="s">
        <v>24</v>
      </c>
      <c r="J1097" t="s">
        <v>25</v>
      </c>
      <c r="K1097" s="2">
        <v>10460.146692476001</v>
      </c>
      <c r="L1097" s="2">
        <v>137092681.76248899</v>
      </c>
      <c r="M1097" s="3">
        <v>9660.5771822422594</v>
      </c>
      <c r="N1097" s="3">
        <v>89198666.185854793</v>
      </c>
      <c r="O1097" s="4">
        <v>0.13963129473908201</v>
      </c>
      <c r="P1097" s="4">
        <v>3.4450043411705801E-2</v>
      </c>
      <c r="Q1097" s="5">
        <v>-2.46605400052218E-2</v>
      </c>
      <c r="R1097" s="5">
        <v>1.93393218910699E-3</v>
      </c>
      <c r="S1097" s="6">
        <v>0.37952369742552899</v>
      </c>
      <c r="T1097" s="6">
        <v>8.5739968671683306E-2</v>
      </c>
      <c r="U1097" s="7">
        <v>0.36314232813138703</v>
      </c>
      <c r="V1097" s="7">
        <v>0.23126997765091301</v>
      </c>
      <c r="W1097" s="8">
        <v>0.488409839613341</v>
      </c>
      <c r="X1097" s="8">
        <v>0.249865668182219</v>
      </c>
      <c r="Y1097" s="2">
        <v>11</v>
      </c>
      <c r="Z1097" s="2">
        <f>VLOOKUP(E1097,YieldData!T:U,2,FALSE)</f>
        <v>431.31578947368428</v>
      </c>
      <c r="AA1097">
        <f t="shared" si="34"/>
        <v>0.388695850816972</v>
      </c>
    </row>
    <row r="1098" spans="1:27" hidden="1" x14ac:dyDescent="0.25">
      <c r="A1098">
        <v>163</v>
      </c>
      <c r="B1098">
        <v>611</v>
      </c>
      <c r="C1098" t="s">
        <v>23</v>
      </c>
      <c r="D1098">
        <v>25110</v>
      </c>
      <c r="E1098">
        <f t="shared" si="35"/>
        <v>25110611</v>
      </c>
      <c r="H1098">
        <v>37</v>
      </c>
      <c r="I1098" t="s">
        <v>24</v>
      </c>
      <c r="J1098" t="s">
        <v>25</v>
      </c>
      <c r="K1098" s="2">
        <v>12542.495820028</v>
      </c>
      <c r="L1098" s="2">
        <v>188468719.074709</v>
      </c>
      <c r="M1098" s="3">
        <v>9367.2001401964699</v>
      </c>
      <c r="N1098" s="3">
        <v>111451423.231894</v>
      </c>
      <c r="O1098" s="4">
        <v>0.137668922001982</v>
      </c>
      <c r="P1098" s="4">
        <v>3.1623904471322697E-2</v>
      </c>
      <c r="Q1098" s="5">
        <v>-3.2365489944641002E-2</v>
      </c>
      <c r="R1098" s="5">
        <v>1.73190650843171E-3</v>
      </c>
      <c r="S1098" s="6">
        <v>0.39163290108052901</v>
      </c>
      <c r="T1098" s="6">
        <v>8.7616383190950095E-2</v>
      </c>
      <c r="U1098" s="7">
        <v>0.38757131068135298</v>
      </c>
      <c r="V1098" s="7">
        <v>0.237359789818475</v>
      </c>
      <c r="W1098" s="8">
        <v>0.23291832609761601</v>
      </c>
      <c r="X1098" s="8">
        <v>0.17866737946549599</v>
      </c>
      <c r="Y1098" s="2">
        <v>6</v>
      </c>
      <c r="Z1098" s="2">
        <f>VLOOKUP(E1098,YieldData!T:U,2,FALSE)</f>
        <v>0</v>
      </c>
      <c r="AA1098">
        <f t="shared" si="34"/>
        <v>0.44827833658250699</v>
      </c>
    </row>
    <row r="1099" spans="1:27" hidden="1" x14ac:dyDescent="0.25">
      <c r="A1099">
        <v>164</v>
      </c>
      <c r="B1099">
        <v>612</v>
      </c>
      <c r="C1099" t="s">
        <v>23</v>
      </c>
      <c r="D1099">
        <v>25110</v>
      </c>
      <c r="E1099">
        <f t="shared" si="35"/>
        <v>25110612</v>
      </c>
      <c r="F1099">
        <f>VLOOKUP(E1099,YieldData!D:F,2,FALSE)</f>
        <v>15</v>
      </c>
      <c r="G1099">
        <f>VLOOKUP($E1099,YieldData!$D:$F,3,FALSE)</f>
        <v>3</v>
      </c>
      <c r="H1099">
        <v>37</v>
      </c>
      <c r="I1099" t="s">
        <v>24</v>
      </c>
      <c r="J1099" t="s">
        <v>25</v>
      </c>
      <c r="K1099" s="2">
        <v>9484.0742883897401</v>
      </c>
      <c r="L1099" s="2">
        <v>167222983.20292899</v>
      </c>
      <c r="M1099" s="3">
        <v>12473.6516956263</v>
      </c>
      <c r="N1099" s="3">
        <v>99612404.910041496</v>
      </c>
      <c r="O1099" s="4">
        <v>9.0839533402811604E-2</v>
      </c>
      <c r="P1099" s="4">
        <v>2.7774500505028599E-2</v>
      </c>
      <c r="Q1099" s="5">
        <v>-4.2441093140048201E-2</v>
      </c>
      <c r="R1099" s="5">
        <v>1.7769570880253099E-3</v>
      </c>
      <c r="S1099" s="6">
        <v>0.31813598124493803</v>
      </c>
      <c r="T1099" s="6">
        <v>7.8931771147808305E-2</v>
      </c>
      <c r="U1099" s="7">
        <v>0.28616876958353799</v>
      </c>
      <c r="V1099" s="7">
        <v>0.20427620489873399</v>
      </c>
      <c r="W1099" s="8">
        <v>0.445358176164808</v>
      </c>
      <c r="X1099" s="8">
        <v>0.24701427108799601</v>
      </c>
      <c r="Y1099" s="2">
        <v>11</v>
      </c>
      <c r="Z1099" s="2">
        <f>VLOOKUP(E1099,YieldData!T:U,2,FALSE)</f>
        <v>1202.8161103979462</v>
      </c>
      <c r="AA1099">
        <f t="shared" si="34"/>
        <v>0.347999903956973</v>
      </c>
    </row>
    <row r="1100" spans="1:27" hidden="1" x14ac:dyDescent="0.25">
      <c r="A1100">
        <v>230</v>
      </c>
      <c r="B1100">
        <v>101</v>
      </c>
      <c r="C1100" t="s">
        <v>26</v>
      </c>
      <c r="D1100">
        <v>25104</v>
      </c>
      <c r="E1100">
        <f t="shared" si="35"/>
        <v>25104101</v>
      </c>
      <c r="F1100">
        <f>VLOOKUP(E1100,YieldData!D:F,2,FALSE)</f>
        <v>1</v>
      </c>
      <c r="G1100">
        <f>VLOOKUP($E1100,YieldData!$D:$F,3,FALSE)</f>
        <v>1</v>
      </c>
      <c r="H1100">
        <v>37</v>
      </c>
      <c r="I1100" t="s">
        <v>27</v>
      </c>
      <c r="J1100" t="s">
        <v>28</v>
      </c>
      <c r="K1100" s="2">
        <v>4688.2424053963596</v>
      </c>
      <c r="L1100" s="2">
        <v>26288190.341708701</v>
      </c>
      <c r="M1100" s="3">
        <v>15525.5082929571</v>
      </c>
      <c r="N1100" s="3">
        <v>47717067.4973391</v>
      </c>
      <c r="O1100" s="4">
        <v>1.13712630933214E-2</v>
      </c>
      <c r="P1100" s="4">
        <v>3.7641044211241301E-2</v>
      </c>
      <c r="Q1100" s="5">
        <v>-7.0345641267859194E-2</v>
      </c>
      <c r="R1100" s="5">
        <v>2.5104901641950701E-3</v>
      </c>
      <c r="S1100" s="6">
        <v>0.21907049924696501</v>
      </c>
      <c r="T1100" s="6">
        <v>5.7185672459086401E-2</v>
      </c>
      <c r="U1100" s="7">
        <v>0.181110366932976</v>
      </c>
      <c r="V1100" s="7">
        <v>0.14830940192242101</v>
      </c>
      <c r="W1100" s="8">
        <v>0.92788116538295895</v>
      </c>
      <c r="X1100" s="8">
        <v>6.6917708310711504E-2</v>
      </c>
      <c r="Y1100" s="2">
        <v>89</v>
      </c>
      <c r="Z1100" s="2">
        <f>VLOOKUP(E1100,YieldData!T:U,2,FALSE)</f>
        <v>534</v>
      </c>
      <c r="AA1100">
        <f t="shared" si="34"/>
        <v>0.27361559622054799</v>
      </c>
    </row>
    <row r="1101" spans="1:27" hidden="1" x14ac:dyDescent="0.25">
      <c r="A1101">
        <v>231</v>
      </c>
      <c r="B1101">
        <v>102</v>
      </c>
      <c r="C1101" t="s">
        <v>26</v>
      </c>
      <c r="D1101">
        <v>25104</v>
      </c>
      <c r="E1101">
        <f t="shared" si="35"/>
        <v>25104102</v>
      </c>
      <c r="F1101">
        <f>VLOOKUP(E1101,YieldData!D:F,2,FALSE)</f>
        <v>2</v>
      </c>
      <c r="G1101">
        <f>VLOOKUP($E1101,YieldData!$D:$F,3,FALSE)</f>
        <v>1</v>
      </c>
      <c r="H1101">
        <v>37</v>
      </c>
      <c r="I1101" t="s">
        <v>27</v>
      </c>
      <c r="J1101" t="s">
        <v>28</v>
      </c>
      <c r="K1101" s="2">
        <v>6044.1573846504698</v>
      </c>
      <c r="L1101" s="2">
        <v>33505812.177538201</v>
      </c>
      <c r="M1101" s="3">
        <v>10442.248958697901</v>
      </c>
      <c r="N1101" s="3">
        <v>69074880.393323705</v>
      </c>
      <c r="O1101" s="4">
        <v>0.117089061466844</v>
      </c>
      <c r="P1101" s="4">
        <v>6.9147104774015894E-2</v>
      </c>
      <c r="Q1101" s="5">
        <v>-3.5477133517288401E-2</v>
      </c>
      <c r="R1101" s="5">
        <v>4.3209019960375903E-3</v>
      </c>
      <c r="S1101" s="6">
        <v>0.33197517704243901</v>
      </c>
      <c r="T1101" s="6">
        <v>9.7851171606683093E-2</v>
      </c>
      <c r="U1101" s="7">
        <v>0.34332480299997498</v>
      </c>
      <c r="V1101" s="7">
        <v>0.22545288264508501</v>
      </c>
      <c r="W1101" s="8">
        <v>0.84673271340613698</v>
      </c>
      <c r="X1101" s="8">
        <v>0.12977642545406801</v>
      </c>
      <c r="Y1101" s="2">
        <v>30</v>
      </c>
      <c r="Z1101" s="2">
        <f>VLOOKUP(E1101,YieldData!T:U,2,FALSE)</f>
        <v>1547</v>
      </c>
      <c r="AA1101">
        <f t="shared" si="34"/>
        <v>0.40237923302041001</v>
      </c>
    </row>
    <row r="1102" spans="1:27" hidden="1" x14ac:dyDescent="0.25">
      <c r="A1102">
        <v>232</v>
      </c>
      <c r="B1102">
        <v>103</v>
      </c>
      <c r="C1102" t="s">
        <v>26</v>
      </c>
      <c r="D1102">
        <v>25104</v>
      </c>
      <c r="E1102">
        <f t="shared" si="35"/>
        <v>25104103</v>
      </c>
      <c r="F1102">
        <f>VLOOKUP(E1102,YieldData!D:F,2,FALSE)</f>
        <v>3</v>
      </c>
      <c r="G1102">
        <f>VLOOKUP($E1102,YieldData!$D:$F,3,FALSE)</f>
        <v>1</v>
      </c>
      <c r="H1102">
        <v>37</v>
      </c>
      <c r="I1102" t="s">
        <v>27</v>
      </c>
      <c r="J1102" t="s">
        <v>28</v>
      </c>
      <c r="K1102" s="2">
        <v>6147.1386151638399</v>
      </c>
      <c r="L1102" s="2">
        <v>48791302.393402703</v>
      </c>
      <c r="M1102" s="3">
        <v>12372.954291877501</v>
      </c>
      <c r="N1102" s="3">
        <v>79787245.960591301</v>
      </c>
      <c r="O1102" s="4">
        <v>4.8938522755966697E-2</v>
      </c>
      <c r="P1102" s="4">
        <v>6.9585073556425597E-2</v>
      </c>
      <c r="Q1102" s="5">
        <v>-5.9787987993727899E-2</v>
      </c>
      <c r="R1102" s="5">
        <v>4.8601925022939002E-3</v>
      </c>
      <c r="S1102" s="6">
        <v>0.25530774754695401</v>
      </c>
      <c r="T1102" s="6">
        <v>0.102814118057854</v>
      </c>
      <c r="U1102" s="7">
        <v>0.26972016264051701</v>
      </c>
      <c r="V1102" s="7">
        <v>0.19697119650568301</v>
      </c>
      <c r="W1102" s="8">
        <v>0.673606792633341</v>
      </c>
      <c r="X1102" s="8">
        <v>0.21986068155161201</v>
      </c>
      <c r="Y1102" s="2">
        <v>32</v>
      </c>
      <c r="Z1102" s="2">
        <f>VLOOKUP(E1102,YieldData!T:U,2,FALSE)</f>
        <v>1172</v>
      </c>
      <c r="AA1102">
        <f t="shared" si="34"/>
        <v>0.32019468793724098</v>
      </c>
    </row>
    <row r="1103" spans="1:27" hidden="1" x14ac:dyDescent="0.25">
      <c r="A1103">
        <v>233</v>
      </c>
      <c r="B1103">
        <v>104</v>
      </c>
      <c r="C1103" t="s">
        <v>26</v>
      </c>
      <c r="D1103">
        <v>25104</v>
      </c>
      <c r="E1103">
        <f t="shared" si="35"/>
        <v>25104104</v>
      </c>
      <c r="F1103">
        <f>VLOOKUP(E1103,YieldData!D:F,2,FALSE)</f>
        <v>4</v>
      </c>
      <c r="G1103">
        <f>VLOOKUP($E1103,YieldData!$D:$F,3,FALSE)</f>
        <v>1</v>
      </c>
      <c r="H1103">
        <v>37</v>
      </c>
      <c r="I1103" t="s">
        <v>27</v>
      </c>
      <c r="J1103" t="s">
        <v>28</v>
      </c>
      <c r="K1103" s="2">
        <v>6873.7871245523102</v>
      </c>
      <c r="L1103" s="2">
        <v>44476788.968376704</v>
      </c>
      <c r="M1103" s="3">
        <v>11327.981417196699</v>
      </c>
      <c r="N1103" s="3">
        <v>78885943.71604</v>
      </c>
      <c r="O1103" s="4">
        <v>0.104842559343459</v>
      </c>
      <c r="P1103" s="4">
        <v>6.6920084665088794E-2</v>
      </c>
      <c r="Q1103" s="5">
        <v>-4.6095352538808601E-2</v>
      </c>
      <c r="R1103" s="5">
        <v>3.4126709913872601E-3</v>
      </c>
      <c r="S1103" s="6">
        <v>0.319801787633407</v>
      </c>
      <c r="T1103" s="6">
        <v>0.10409500306192</v>
      </c>
      <c r="U1103" s="7">
        <v>0.32602371316636702</v>
      </c>
      <c r="V1103" s="7">
        <v>0.21973225161961699</v>
      </c>
      <c r="W1103" s="8">
        <v>0.76266146028626502</v>
      </c>
      <c r="X1103" s="8">
        <v>0.18100895728060601</v>
      </c>
      <c r="Y1103" s="2">
        <v>31</v>
      </c>
      <c r="Z1103" s="2">
        <f>VLOOKUP(E1103,YieldData!T:U,2,FALSE)</f>
        <v>1125</v>
      </c>
      <c r="AA1103">
        <f t="shared" si="34"/>
        <v>0.41335522997944002</v>
      </c>
    </row>
    <row r="1104" spans="1:27" hidden="1" x14ac:dyDescent="0.25">
      <c r="A1104">
        <v>234</v>
      </c>
      <c r="B1104">
        <v>105</v>
      </c>
      <c r="C1104" t="s">
        <v>26</v>
      </c>
      <c r="D1104">
        <v>25104</v>
      </c>
      <c r="E1104">
        <f t="shared" si="35"/>
        <v>25104105</v>
      </c>
      <c r="F1104">
        <f>VLOOKUP(E1104,YieldData!D:F,2,FALSE)</f>
        <v>5</v>
      </c>
      <c r="G1104">
        <f>VLOOKUP($E1104,YieldData!$D:$F,3,FALSE)</f>
        <v>1</v>
      </c>
      <c r="H1104">
        <v>37</v>
      </c>
      <c r="I1104" t="s">
        <v>27</v>
      </c>
      <c r="J1104" t="s">
        <v>28</v>
      </c>
      <c r="K1104" s="2">
        <v>9168.8939316611704</v>
      </c>
      <c r="L1104" s="2">
        <v>53696896.892079003</v>
      </c>
      <c r="M1104" s="3">
        <v>8159.5741603289098</v>
      </c>
      <c r="N1104" s="3">
        <v>85051159.324883893</v>
      </c>
      <c r="O1104" s="4">
        <v>0.18876413100817199</v>
      </c>
      <c r="P1104" s="4">
        <v>7.0354420619094596E-2</v>
      </c>
      <c r="Q1104" s="5">
        <v>-2.2655993107614101E-2</v>
      </c>
      <c r="R1104" s="5">
        <v>4.4065947669873302E-3</v>
      </c>
      <c r="S1104" s="6">
        <v>0.42338999886063799</v>
      </c>
      <c r="T1104" s="6">
        <v>0.109415727173928</v>
      </c>
      <c r="U1104" s="7">
        <v>0.46959606647164998</v>
      </c>
      <c r="V1104" s="7">
        <v>0.24907560082611299</v>
      </c>
      <c r="W1104" s="8">
        <v>0.63156780979647698</v>
      </c>
      <c r="X1104" s="8">
        <v>0.23268991142525799</v>
      </c>
      <c r="Y1104" s="2">
        <v>19</v>
      </c>
      <c r="Z1104" s="2">
        <f>VLOOKUP(E1104,YieldData!T:U,2,FALSE)</f>
        <v>2382</v>
      </c>
      <c r="AA1104">
        <f t="shared" si="34"/>
        <v>0.52409286114396003</v>
      </c>
    </row>
    <row r="1105" spans="1:27" hidden="1" x14ac:dyDescent="0.25">
      <c r="A1105">
        <v>235</v>
      </c>
      <c r="B1105">
        <v>106</v>
      </c>
      <c r="C1105" t="s">
        <v>26</v>
      </c>
      <c r="D1105">
        <v>25104</v>
      </c>
      <c r="E1105">
        <f t="shared" si="35"/>
        <v>25104106</v>
      </c>
      <c r="F1105">
        <f>VLOOKUP(E1105,YieldData!D:F,2,FALSE)</f>
        <v>4</v>
      </c>
      <c r="G1105">
        <f>VLOOKUP($E1105,YieldData!$D:$F,3,FALSE)</f>
        <v>2</v>
      </c>
      <c r="H1105">
        <v>37</v>
      </c>
      <c r="I1105" t="s">
        <v>27</v>
      </c>
      <c r="J1105" t="s">
        <v>28</v>
      </c>
      <c r="K1105" s="2">
        <v>6955.8391915326201</v>
      </c>
      <c r="L1105" s="2">
        <v>53202451.207339801</v>
      </c>
      <c r="M1105" s="3">
        <v>10858.481653885399</v>
      </c>
      <c r="N1105" s="3">
        <v>85975087.571978301</v>
      </c>
      <c r="O1105" s="4">
        <v>0.104366756233107</v>
      </c>
      <c r="P1105" s="4">
        <v>7.0428640255062597E-2</v>
      </c>
      <c r="Q1105" s="5">
        <v>-4.7211632980430698E-2</v>
      </c>
      <c r="R1105" s="5">
        <v>3.6673867815709802E-3</v>
      </c>
      <c r="S1105" s="6">
        <v>0.31420811307292501</v>
      </c>
      <c r="T1105" s="6">
        <v>0.112507782733148</v>
      </c>
      <c r="U1105" s="7">
        <v>0.33367218800454501</v>
      </c>
      <c r="V1105" s="7">
        <v>0.22233505895698299</v>
      </c>
      <c r="W1105" s="8">
        <v>0.67872989296178898</v>
      </c>
      <c r="X1105" s="8">
        <v>0.218055625362085</v>
      </c>
      <c r="Y1105" s="2">
        <v>19</v>
      </c>
      <c r="Z1105" s="2">
        <f>VLOOKUP(E1105,YieldData!T:U,2,FALSE)</f>
        <v>1226</v>
      </c>
      <c r="AA1105">
        <f t="shared" si="34"/>
        <v>0.36991281677170901</v>
      </c>
    </row>
    <row r="1106" spans="1:27" hidden="1" x14ac:dyDescent="0.25">
      <c r="A1106">
        <v>236</v>
      </c>
      <c r="B1106">
        <v>107</v>
      </c>
      <c r="C1106" t="s">
        <v>26</v>
      </c>
      <c r="D1106">
        <v>25104</v>
      </c>
      <c r="E1106">
        <f t="shared" si="35"/>
        <v>25104107</v>
      </c>
      <c r="F1106">
        <f>VLOOKUP(E1106,YieldData!D:F,2,FALSE)</f>
        <v>1</v>
      </c>
      <c r="G1106">
        <f>VLOOKUP($E1106,YieldData!$D:$F,3,FALSE)</f>
        <v>2</v>
      </c>
      <c r="H1106">
        <v>37</v>
      </c>
      <c r="I1106" t="s">
        <v>27</v>
      </c>
      <c r="J1106" t="s">
        <v>28</v>
      </c>
      <c r="K1106" s="2">
        <v>7023.2021742250299</v>
      </c>
      <c r="L1106" s="2">
        <v>51480474.396733403</v>
      </c>
      <c r="M1106" s="3">
        <v>10480.055663827001</v>
      </c>
      <c r="N1106" s="3">
        <v>89700927.6658739</v>
      </c>
      <c r="O1106" s="4">
        <v>0.12982044599960399</v>
      </c>
      <c r="P1106" s="4">
        <v>7.5900628588470603E-2</v>
      </c>
      <c r="Q1106" s="5">
        <v>-3.7787311633175398E-2</v>
      </c>
      <c r="R1106" s="5">
        <v>4.6879970802095397E-3</v>
      </c>
      <c r="S1106" s="6">
        <v>0.33727349650905902</v>
      </c>
      <c r="T1106" s="6">
        <v>0.117811960352164</v>
      </c>
      <c r="U1106" s="7">
        <v>0.36272962112514401</v>
      </c>
      <c r="V1106" s="7">
        <v>0.23115684308385301</v>
      </c>
      <c r="W1106" s="8">
        <v>0.86942690394182898</v>
      </c>
      <c r="X1106" s="8">
        <v>0.11352376264404</v>
      </c>
      <c r="Y1106" s="2">
        <v>44</v>
      </c>
      <c r="Z1106" s="2">
        <f>VLOOKUP(E1106,YieldData!T:U,2,FALSE)</f>
        <v>2154</v>
      </c>
      <c r="AA1106">
        <f t="shared" si="34"/>
        <v>0.46171693735498798</v>
      </c>
    </row>
    <row r="1107" spans="1:27" hidden="1" x14ac:dyDescent="0.25">
      <c r="A1107">
        <v>237</v>
      </c>
      <c r="B1107">
        <v>108</v>
      </c>
      <c r="C1107" t="s">
        <v>26</v>
      </c>
      <c r="D1107">
        <v>25104</v>
      </c>
      <c r="E1107">
        <f t="shared" si="35"/>
        <v>25104108</v>
      </c>
      <c r="F1107">
        <f>VLOOKUP(E1107,YieldData!D:F,2,FALSE)</f>
        <v>5</v>
      </c>
      <c r="G1107">
        <f>VLOOKUP($E1107,YieldData!$D:$F,3,FALSE)</f>
        <v>2</v>
      </c>
      <c r="H1107">
        <v>37</v>
      </c>
      <c r="I1107" t="s">
        <v>27</v>
      </c>
      <c r="J1107" t="s">
        <v>28</v>
      </c>
      <c r="K1107" s="2">
        <v>9706.7600703248299</v>
      </c>
      <c r="L1107" s="2">
        <v>74499055.918980494</v>
      </c>
      <c r="M1107" s="3">
        <v>7860.1837508690796</v>
      </c>
      <c r="N1107" s="3">
        <v>77331931.9736792</v>
      </c>
      <c r="O1107" s="4">
        <v>0.181686708985386</v>
      </c>
      <c r="P1107" s="4">
        <v>6.5673167468881299E-2</v>
      </c>
      <c r="Q1107" s="5">
        <v>-2.5662749037922001E-2</v>
      </c>
      <c r="R1107" s="5">
        <v>3.5178343434004999E-3</v>
      </c>
      <c r="S1107" s="6">
        <v>0.41731024913750803</v>
      </c>
      <c r="T1107" s="6">
        <v>0.11242581297182801</v>
      </c>
      <c r="U1107" s="7">
        <v>0.469501985360953</v>
      </c>
      <c r="V1107" s="7">
        <v>0.249069871102964</v>
      </c>
      <c r="W1107" s="8">
        <v>0.49761995885757998</v>
      </c>
      <c r="X1107" s="8">
        <v>0.249994335404359</v>
      </c>
      <c r="Y1107" s="2">
        <v>15</v>
      </c>
      <c r="Z1107" s="2">
        <f>VLOOKUP(E1107,YieldData!T:U,2,FALSE)</f>
        <v>2192</v>
      </c>
      <c r="AA1107">
        <f t="shared" si="34"/>
        <v>0.52551636707210603</v>
      </c>
    </row>
    <row r="1108" spans="1:27" hidden="1" x14ac:dyDescent="0.25">
      <c r="A1108">
        <v>238</v>
      </c>
      <c r="B1108">
        <v>109</v>
      </c>
      <c r="C1108" t="s">
        <v>26</v>
      </c>
      <c r="D1108">
        <v>25104</v>
      </c>
      <c r="E1108">
        <f t="shared" si="35"/>
        <v>25104109</v>
      </c>
      <c r="F1108">
        <f>VLOOKUP(E1108,YieldData!D:F,2,FALSE)</f>
        <v>2</v>
      </c>
      <c r="G1108">
        <f>VLOOKUP($E1108,YieldData!$D:$F,3,FALSE)</f>
        <v>2</v>
      </c>
      <c r="H1108">
        <v>37</v>
      </c>
      <c r="I1108" t="s">
        <v>27</v>
      </c>
      <c r="J1108" t="s">
        <v>28</v>
      </c>
      <c r="K1108" s="2">
        <v>7372.8453150547102</v>
      </c>
      <c r="L1108" s="2">
        <v>58320577.953144602</v>
      </c>
      <c r="M1108" s="3">
        <v>9199.5266339843802</v>
      </c>
      <c r="N1108" s="3">
        <v>70739356.053168699</v>
      </c>
      <c r="O1108" s="4">
        <v>0.13356622554570699</v>
      </c>
      <c r="P1108" s="4">
        <v>5.9434606583345401E-2</v>
      </c>
      <c r="Q1108" s="5">
        <v>-3.6922830537011203E-2</v>
      </c>
      <c r="R1108" s="5">
        <v>3.3293130029635899E-3</v>
      </c>
      <c r="S1108" s="6">
        <v>0.34620818945409099</v>
      </c>
      <c r="T1108" s="6">
        <v>0.10063243886567801</v>
      </c>
      <c r="U1108" s="7">
        <v>0.37083385737643099</v>
      </c>
      <c r="V1108" s="7">
        <v>0.23331610759978499</v>
      </c>
      <c r="W1108" s="8">
        <v>0.84891208652999595</v>
      </c>
      <c r="X1108" s="8">
        <v>0.128260355873414</v>
      </c>
      <c r="Y1108" s="2">
        <v>40</v>
      </c>
      <c r="Z1108" s="2">
        <f>VLOOKUP(E1108,YieldData!T:U,2,FALSE)</f>
        <v>1678</v>
      </c>
      <c r="AA1108">
        <f t="shared" si="34"/>
        <v>0.42171660000503097</v>
      </c>
    </row>
    <row r="1109" spans="1:27" hidden="1" x14ac:dyDescent="0.25">
      <c r="A1109">
        <v>221</v>
      </c>
      <c r="B1109">
        <v>201</v>
      </c>
      <c r="C1109" t="s">
        <v>26</v>
      </c>
      <c r="D1109">
        <v>25104</v>
      </c>
      <c r="E1109">
        <f t="shared" si="35"/>
        <v>25104201</v>
      </c>
      <c r="F1109">
        <f>VLOOKUP(E1109,YieldData!D:F,2,FALSE)</f>
        <v>5</v>
      </c>
      <c r="G1109">
        <f>VLOOKUP($E1109,YieldData!$D:$F,3,FALSE)</f>
        <v>4</v>
      </c>
      <c r="H1109">
        <v>37</v>
      </c>
      <c r="I1109" t="s">
        <v>27</v>
      </c>
      <c r="J1109" t="s">
        <v>28</v>
      </c>
      <c r="K1109" s="2">
        <v>7800.7306786826302</v>
      </c>
      <c r="L1109" s="2">
        <v>75575073.112591401</v>
      </c>
      <c r="M1109" s="3">
        <v>12987.1819089696</v>
      </c>
      <c r="N1109" s="3">
        <v>110448762.621177</v>
      </c>
      <c r="O1109" s="4">
        <v>6.3666311822432695E-2</v>
      </c>
      <c r="P1109" s="4">
        <v>7.2233728584136001E-2</v>
      </c>
      <c r="Q1109" s="5">
        <v>-5.9655265351808102E-2</v>
      </c>
      <c r="R1109" s="5">
        <v>5.2128872908100699E-3</v>
      </c>
      <c r="S1109" s="6">
        <v>0.27696413075647702</v>
      </c>
      <c r="T1109" s="6">
        <v>0.11257475559869599</v>
      </c>
      <c r="U1109" s="7">
        <v>0.311748474799382</v>
      </c>
      <c r="V1109" s="7">
        <v>0.21456136325980399</v>
      </c>
      <c r="W1109" s="8">
        <v>0.79092727134648</v>
      </c>
      <c r="X1109" s="8">
        <v>0.16536132278690399</v>
      </c>
      <c r="Y1109" s="2">
        <v>44</v>
      </c>
      <c r="Z1109" s="2">
        <f>VLOOKUP(E1109,YieldData!T:U,2,FALSE)</f>
        <v>1492</v>
      </c>
      <c r="AA1109">
        <f t="shared" si="34"/>
        <v>0.37392096802774499</v>
      </c>
    </row>
    <row r="1110" spans="1:27" hidden="1" x14ac:dyDescent="0.25">
      <c r="A1110">
        <v>222</v>
      </c>
      <c r="B1110">
        <v>202</v>
      </c>
      <c r="C1110" t="s">
        <v>26</v>
      </c>
      <c r="D1110">
        <v>25104</v>
      </c>
      <c r="E1110">
        <f t="shared" si="35"/>
        <v>25104202</v>
      </c>
      <c r="F1110">
        <f>VLOOKUP(E1110,YieldData!D:F,2,FALSE)</f>
        <v>1</v>
      </c>
      <c r="G1110">
        <f>VLOOKUP($E1110,YieldData!$D:$F,3,FALSE)</f>
        <v>4</v>
      </c>
      <c r="H1110">
        <v>37</v>
      </c>
      <c r="I1110" t="s">
        <v>27</v>
      </c>
      <c r="J1110" t="s">
        <v>28</v>
      </c>
      <c r="K1110" s="2">
        <v>10040.506567893701</v>
      </c>
      <c r="L1110" s="2">
        <v>61496424.392261401</v>
      </c>
      <c r="M1110" s="3">
        <v>6293.44475399762</v>
      </c>
      <c r="N1110" s="3">
        <v>86890543.516522899</v>
      </c>
      <c r="O1110" s="4">
        <v>0.225294660438037</v>
      </c>
      <c r="P1110" s="4">
        <v>8.3827955155874295E-2</v>
      </c>
      <c r="Q1110" s="5">
        <v>-1.1190161506053601E-2</v>
      </c>
      <c r="R1110" s="5">
        <v>4.9828855458260001E-3</v>
      </c>
      <c r="S1110" s="6">
        <v>0.46290826507022798</v>
      </c>
      <c r="T1110" s="6">
        <v>0.12660344564965001</v>
      </c>
      <c r="U1110" s="7">
        <v>0.52307672725421295</v>
      </c>
      <c r="V1110" s="7">
        <v>0.24946746465907499</v>
      </c>
      <c r="W1110" s="8">
        <v>0.66426098467491501</v>
      </c>
      <c r="X1110" s="8">
        <v>0.223018328913442</v>
      </c>
      <c r="Y1110" s="2">
        <v>26</v>
      </c>
      <c r="Z1110" s="2">
        <f>VLOOKUP(E1110,YieldData!T:U,2,FALSE)</f>
        <v>3107</v>
      </c>
      <c r="AA1110">
        <f t="shared" si="34"/>
        <v>0.58287292817679603</v>
      </c>
    </row>
    <row r="1111" spans="1:27" hidden="1" x14ac:dyDescent="0.25">
      <c r="A1111">
        <v>223</v>
      </c>
      <c r="B1111">
        <v>203</v>
      </c>
      <c r="C1111" t="s">
        <v>26</v>
      </c>
      <c r="D1111">
        <v>25104</v>
      </c>
      <c r="E1111">
        <f t="shared" si="35"/>
        <v>25104203</v>
      </c>
      <c r="F1111">
        <f>VLOOKUP(E1111,YieldData!D:F,2,FALSE)</f>
        <v>3</v>
      </c>
      <c r="G1111">
        <f>VLOOKUP($E1111,YieldData!$D:$F,3,FALSE)</f>
        <v>4</v>
      </c>
      <c r="H1111">
        <v>37</v>
      </c>
      <c r="I1111" t="s">
        <v>27</v>
      </c>
      <c r="J1111" t="s">
        <v>28</v>
      </c>
      <c r="K1111" s="2">
        <v>10934.270055970101</v>
      </c>
      <c r="L1111" s="2">
        <v>96758236.957795203</v>
      </c>
      <c r="M1111" s="3">
        <v>8067.9381021418803</v>
      </c>
      <c r="N1111" s="3">
        <v>102337508.943133</v>
      </c>
      <c r="O1111" s="4">
        <v>0.13429359313322001</v>
      </c>
      <c r="P1111" s="4">
        <v>7.4167875276102593E-2</v>
      </c>
      <c r="Q1111" s="5">
        <v>-4.6639582167376403E-2</v>
      </c>
      <c r="R1111" s="5">
        <v>4.0181477529023998E-3</v>
      </c>
      <c r="S1111" s="6">
        <v>0.374343311809893</v>
      </c>
      <c r="T1111" s="6">
        <v>0.12677361383715699</v>
      </c>
      <c r="U1111" s="7">
        <v>0.44688815537696103</v>
      </c>
      <c r="V1111" s="7">
        <v>0.24717913196056401</v>
      </c>
      <c r="W1111" s="8">
        <v>0.79661787217757396</v>
      </c>
      <c r="X1111" s="8">
        <v>0.16201783790483601</v>
      </c>
      <c r="Y1111" s="2">
        <v>34</v>
      </c>
      <c r="Z1111" s="2">
        <f>VLOOKUP(E1111,YieldData!T:U,2,FALSE)</f>
        <v>1849</v>
      </c>
      <c r="AA1111">
        <f t="shared" si="34"/>
        <v>0.52339947137406895</v>
      </c>
    </row>
    <row r="1112" spans="1:27" hidden="1" x14ac:dyDescent="0.25">
      <c r="A1112">
        <v>224</v>
      </c>
      <c r="B1112">
        <v>204</v>
      </c>
      <c r="C1112" t="s">
        <v>26</v>
      </c>
      <c r="D1112">
        <v>25104</v>
      </c>
      <c r="E1112">
        <f t="shared" si="35"/>
        <v>25104204</v>
      </c>
      <c r="F1112">
        <f>VLOOKUP(E1112,YieldData!D:F,2,FALSE)</f>
        <v>4</v>
      </c>
      <c r="G1112">
        <f>VLOOKUP($E1112,YieldData!$D:$F,3,FALSE)</f>
        <v>3</v>
      </c>
      <c r="H1112">
        <v>37</v>
      </c>
      <c r="I1112" t="s">
        <v>27</v>
      </c>
      <c r="J1112" t="s">
        <v>28</v>
      </c>
      <c r="K1112" s="2">
        <v>10850.3798740981</v>
      </c>
      <c r="L1112" s="2">
        <v>80481102.320099905</v>
      </c>
      <c r="M1112" s="3">
        <v>7363.4922277097503</v>
      </c>
      <c r="N1112" s="3">
        <v>99837549.3506888</v>
      </c>
      <c r="O1112" s="4">
        <v>0.164243403821626</v>
      </c>
      <c r="P1112" s="4">
        <v>7.8467626532515794E-2</v>
      </c>
      <c r="Q1112" s="5">
        <v>-4.0478096985912003E-2</v>
      </c>
      <c r="R1112" s="5">
        <v>3.7794191696604099E-3</v>
      </c>
      <c r="S1112" s="6">
        <v>0.40792980953114799</v>
      </c>
      <c r="T1112" s="6">
        <v>0.134019868693012</v>
      </c>
      <c r="U1112" s="7">
        <v>0.47949166130028498</v>
      </c>
      <c r="V1112" s="7">
        <v>0.24957940804395201</v>
      </c>
      <c r="W1112" s="8">
        <v>0.46661234574391203</v>
      </c>
      <c r="X1112" s="8">
        <v>0.24888526454336801</v>
      </c>
      <c r="Y1112" s="2">
        <v>11</v>
      </c>
      <c r="Z1112" s="2">
        <f>VLOOKUP(E1112,YieldData!T:U,2,FALSE)</f>
        <v>2033</v>
      </c>
      <c r="AA1112">
        <f t="shared" si="34"/>
        <v>0.56408874635261996</v>
      </c>
    </row>
    <row r="1113" spans="1:27" hidden="1" x14ac:dyDescent="0.25">
      <c r="A1113">
        <v>225</v>
      </c>
      <c r="B1113">
        <v>205</v>
      </c>
      <c r="C1113" t="s">
        <v>26</v>
      </c>
      <c r="D1113">
        <v>25104</v>
      </c>
      <c r="E1113">
        <f t="shared" si="35"/>
        <v>25104205</v>
      </c>
      <c r="F1113">
        <f>VLOOKUP(E1113,YieldData!D:F,2,FALSE)</f>
        <v>2</v>
      </c>
      <c r="G1113">
        <f>VLOOKUP($E1113,YieldData!$D:$F,3,FALSE)</f>
        <v>3</v>
      </c>
      <c r="H1113">
        <v>37</v>
      </c>
      <c r="I1113" t="s">
        <v>27</v>
      </c>
      <c r="J1113" t="s">
        <v>28</v>
      </c>
      <c r="K1113" s="2">
        <v>10416.1146057572</v>
      </c>
      <c r="L1113" s="2">
        <v>75331251.125001594</v>
      </c>
      <c r="M1113" s="3">
        <v>7201.9600624930899</v>
      </c>
      <c r="N1113" s="3">
        <v>95838235.422003597</v>
      </c>
      <c r="O1113" s="4">
        <v>0.16411882105824799</v>
      </c>
      <c r="P1113" s="4">
        <v>7.6152188651148395E-2</v>
      </c>
      <c r="Q1113" s="5">
        <v>-3.7706291793957902E-2</v>
      </c>
      <c r="R1113" s="5">
        <v>4.1675236987116799E-3</v>
      </c>
      <c r="S1113" s="6">
        <v>0.401105632560394</v>
      </c>
      <c r="T1113" s="6">
        <v>0.12715741086809901</v>
      </c>
      <c r="U1113" s="7">
        <v>0.48434292866082601</v>
      </c>
      <c r="V1113" s="7">
        <v>0.24975485611714901</v>
      </c>
      <c r="W1113" s="8">
        <v>0.73141426783479302</v>
      </c>
      <c r="X1113" s="8">
        <v>0.19644743664266801</v>
      </c>
      <c r="Y1113" s="2">
        <v>23</v>
      </c>
      <c r="Z1113" s="2">
        <f>VLOOKUP(E1113,YieldData!T:U,2,FALSE)</f>
        <v>2592</v>
      </c>
      <c r="AA1113">
        <f t="shared" si="34"/>
        <v>0.49701490669236598</v>
      </c>
    </row>
    <row r="1114" spans="1:27" hidden="1" x14ac:dyDescent="0.25">
      <c r="A1114">
        <v>226</v>
      </c>
      <c r="B1114">
        <v>206</v>
      </c>
      <c r="C1114" t="s">
        <v>26</v>
      </c>
      <c r="D1114">
        <v>25104</v>
      </c>
      <c r="E1114">
        <f t="shared" si="35"/>
        <v>25104206</v>
      </c>
      <c r="F1114">
        <f>VLOOKUP(E1114,YieldData!D:F,2,FALSE)</f>
        <v>3</v>
      </c>
      <c r="G1114">
        <f>VLOOKUP($E1114,YieldData!$D:$F,3,FALSE)</f>
        <v>3</v>
      </c>
      <c r="H1114">
        <v>37</v>
      </c>
      <c r="I1114" t="s">
        <v>27</v>
      </c>
      <c r="J1114" t="s">
        <v>28</v>
      </c>
      <c r="K1114" s="2">
        <v>11399.928721775699</v>
      </c>
      <c r="L1114" s="2">
        <v>100735814.549814</v>
      </c>
      <c r="M1114" s="3">
        <v>8133.2329071567601</v>
      </c>
      <c r="N1114" s="3">
        <v>104531883.735027</v>
      </c>
      <c r="O1114" s="4">
        <v>0.12639245733840501</v>
      </c>
      <c r="P1114" s="4">
        <v>6.9755018750337502E-2</v>
      </c>
      <c r="Q1114" s="5">
        <v>-5.5131731214115097E-2</v>
      </c>
      <c r="R1114" s="5">
        <v>3.3478297268717599E-3</v>
      </c>
      <c r="S1114" s="6">
        <v>0.37180749834702298</v>
      </c>
      <c r="T1114" s="6">
        <v>0.13411108888381701</v>
      </c>
      <c r="U1114" s="7">
        <v>0.453681113662457</v>
      </c>
      <c r="V1114" s="7">
        <v>0.24785456076860299</v>
      </c>
      <c r="W1114" s="8">
        <v>0.72074722541140501</v>
      </c>
      <c r="X1114" s="8">
        <v>0.20127066247320899</v>
      </c>
      <c r="Y1114" s="2">
        <v>29</v>
      </c>
      <c r="Z1114" s="2">
        <f>VLOOKUP(E1114,YieldData!T:U,2,FALSE)</f>
        <v>1865</v>
      </c>
      <c r="AA1114">
        <f t="shared" si="34"/>
        <v>0.49840916702550098</v>
      </c>
    </row>
    <row r="1115" spans="1:27" hidden="1" x14ac:dyDescent="0.25">
      <c r="A1115">
        <v>227</v>
      </c>
      <c r="B1115">
        <v>207</v>
      </c>
      <c r="C1115" t="s">
        <v>26</v>
      </c>
      <c r="D1115">
        <v>25104</v>
      </c>
      <c r="E1115">
        <f t="shared" si="35"/>
        <v>25104207</v>
      </c>
      <c r="F1115">
        <f>VLOOKUP(E1115,YieldData!D:F,2,FALSE)</f>
        <v>1</v>
      </c>
      <c r="G1115">
        <f>VLOOKUP($E1115,YieldData!$D:$F,3,FALSE)</f>
        <v>3</v>
      </c>
      <c r="H1115">
        <v>37</v>
      </c>
      <c r="I1115" t="s">
        <v>27</v>
      </c>
      <c r="J1115" t="s">
        <v>28</v>
      </c>
      <c r="K1115" s="2">
        <v>10195.0004958473</v>
      </c>
      <c r="L1115" s="2">
        <v>74884302.8137348</v>
      </c>
      <c r="M1115" s="3">
        <v>7329.5635174789204</v>
      </c>
      <c r="N1115" s="3">
        <v>95831617.234619603</v>
      </c>
      <c r="O1115" s="4">
        <v>0.19507464546092901</v>
      </c>
      <c r="P1115" s="4">
        <v>7.7889627025003794E-2</v>
      </c>
      <c r="Q1115" s="5">
        <v>-2.0282975586802299E-2</v>
      </c>
      <c r="R1115" s="5">
        <v>4.2302923397458496E-3</v>
      </c>
      <c r="S1115" s="6">
        <v>0.41521359140325298</v>
      </c>
      <c r="T1115" s="6">
        <v>0.130840940021309</v>
      </c>
      <c r="U1115" s="7">
        <v>0.49406222883351902</v>
      </c>
      <c r="V1115" s="7">
        <v>0.24996474287376899</v>
      </c>
      <c r="W1115" s="8">
        <v>0.75511342506507995</v>
      </c>
      <c r="X1115" s="8">
        <v>0.18491714035182399</v>
      </c>
      <c r="Y1115" s="2">
        <v>33</v>
      </c>
      <c r="Z1115" s="2">
        <f>VLOOKUP(E1115,YieldData!T:U,2,FALSE)</f>
        <v>2723</v>
      </c>
      <c r="AA1115">
        <f t="shared" si="34"/>
        <v>0.59957852981281801</v>
      </c>
    </row>
    <row r="1116" spans="1:27" hidden="1" x14ac:dyDescent="0.25">
      <c r="A1116">
        <v>228</v>
      </c>
      <c r="B1116">
        <v>208</v>
      </c>
      <c r="C1116" t="s">
        <v>26</v>
      </c>
      <c r="D1116">
        <v>25104</v>
      </c>
      <c r="E1116">
        <f t="shared" si="35"/>
        <v>25104208</v>
      </c>
      <c r="F1116">
        <f>VLOOKUP(E1116,YieldData!D:F,2,FALSE)</f>
        <v>5</v>
      </c>
      <c r="G1116">
        <f>VLOOKUP($E1116,YieldData!$D:$F,3,FALSE)</f>
        <v>3</v>
      </c>
      <c r="H1116">
        <v>37</v>
      </c>
      <c r="I1116" t="s">
        <v>27</v>
      </c>
      <c r="J1116" t="s">
        <v>28</v>
      </c>
      <c r="K1116" s="2">
        <v>12789.307508312</v>
      </c>
      <c r="L1116" s="2">
        <v>85326712.937133104</v>
      </c>
      <c r="M1116" s="3">
        <v>4970.0363964116896</v>
      </c>
      <c r="N1116" s="3">
        <v>84421671.306836799</v>
      </c>
      <c r="O1116" s="4">
        <v>0.24683114866091899</v>
      </c>
      <c r="P1116" s="4">
        <v>7.1370907953931306E-2</v>
      </c>
      <c r="Q1116" s="5">
        <v>-4.9488369775746903E-3</v>
      </c>
      <c r="R1116" s="5">
        <v>4.0263887874162898E-3</v>
      </c>
      <c r="S1116" s="6">
        <v>0.49639402042057301</v>
      </c>
      <c r="T1116" s="6">
        <v>0.124364670980282</v>
      </c>
      <c r="U1116" s="7">
        <v>0.597065084794412</v>
      </c>
      <c r="V1116" s="7">
        <v>0.24057836931395701</v>
      </c>
      <c r="W1116" s="8">
        <v>0.49358959026000399</v>
      </c>
      <c r="X1116" s="8">
        <v>0.24995890664727299</v>
      </c>
      <c r="Y1116" s="2">
        <v>15</v>
      </c>
      <c r="Z1116" s="2">
        <f>VLOOKUP(E1116,YieldData!T:U,2,FALSE)</f>
        <v>2342</v>
      </c>
      <c r="AA1116">
        <f t="shared" si="34"/>
        <v>0.597065084794412</v>
      </c>
    </row>
    <row r="1117" spans="1:27" hidden="1" x14ac:dyDescent="0.25">
      <c r="A1117">
        <v>229</v>
      </c>
      <c r="B1117">
        <v>209</v>
      </c>
      <c r="C1117" t="s">
        <v>26</v>
      </c>
      <c r="D1117">
        <v>25104</v>
      </c>
      <c r="E1117">
        <f t="shared" si="35"/>
        <v>25104209</v>
      </c>
      <c r="F1117">
        <f>VLOOKUP(E1117,YieldData!D:F,2,FALSE)</f>
        <v>3</v>
      </c>
      <c r="G1117">
        <f>VLOOKUP($E1117,YieldData!$D:$F,3,FALSE)</f>
        <v>2</v>
      </c>
      <c r="H1117">
        <v>37</v>
      </c>
      <c r="I1117" t="s">
        <v>27</v>
      </c>
      <c r="J1117" t="s">
        <v>28</v>
      </c>
      <c r="K1117" s="2">
        <v>14797.145445099201</v>
      </c>
      <c r="L1117" s="2">
        <v>100386733.064174</v>
      </c>
      <c r="M1117" s="3">
        <v>2710.7770084264898</v>
      </c>
      <c r="N1117" s="3">
        <v>68074341.4017542</v>
      </c>
      <c r="O1117" s="4">
        <v>0.26620899343253601</v>
      </c>
      <c r="P1117" s="4">
        <v>4.4446655622846103E-2</v>
      </c>
      <c r="Q1117" s="5">
        <v>-9.1314929963672194E-3</v>
      </c>
      <c r="R1117" s="5">
        <v>2.4244071304943301E-3</v>
      </c>
      <c r="S1117" s="6">
        <v>0.53751683426128105</v>
      </c>
      <c r="T1117" s="6">
        <v>9.1041581429823201E-2</v>
      </c>
      <c r="U1117" s="7">
        <v>0.63562160757987995</v>
      </c>
      <c r="V1117" s="7">
        <v>0.231606779557672</v>
      </c>
      <c r="W1117" s="8">
        <v>0.54466031364077605</v>
      </c>
      <c r="X1117" s="8">
        <v>0.24800545638535401</v>
      </c>
      <c r="Y1117" s="2">
        <v>19</v>
      </c>
      <c r="Z1117" s="2">
        <f>VLOOKUP(E1117,YieldData!T:U,2,FALSE)</f>
        <v>2259</v>
      </c>
      <c r="AA1117">
        <f t="shared" si="34"/>
        <v>0.65496356452428794</v>
      </c>
    </row>
    <row r="1118" spans="1:27" hidden="1" x14ac:dyDescent="0.25">
      <c r="A1118">
        <v>212</v>
      </c>
      <c r="B1118">
        <v>301</v>
      </c>
      <c r="C1118" t="s">
        <v>26</v>
      </c>
      <c r="D1118">
        <v>25104</v>
      </c>
      <c r="E1118">
        <f t="shared" si="35"/>
        <v>25104301</v>
      </c>
      <c r="F1118">
        <f>VLOOKUP(E1118,YieldData!D:F,2,FALSE)</f>
        <v>2</v>
      </c>
      <c r="G1118">
        <f>VLOOKUP($E1118,YieldData!$D:$F,3,FALSE)</f>
        <v>4</v>
      </c>
      <c r="H1118">
        <v>37</v>
      </c>
      <c r="I1118" t="s">
        <v>27</v>
      </c>
      <c r="J1118" t="s">
        <v>28</v>
      </c>
      <c r="K1118" s="2">
        <v>12905.787643572699</v>
      </c>
      <c r="L1118" s="2">
        <v>80125698.985718399</v>
      </c>
      <c r="M1118" s="3">
        <v>4959.1977859734097</v>
      </c>
      <c r="N1118" s="3">
        <v>110053029.811197</v>
      </c>
      <c r="O1118" s="4">
        <v>0.28730454037369701</v>
      </c>
      <c r="P1118" s="4">
        <v>7.4395021442005604E-2</v>
      </c>
      <c r="Q1118" s="5">
        <v>4.3467307145357102E-3</v>
      </c>
      <c r="R1118" s="5">
        <v>5.4242627502917098E-3</v>
      </c>
      <c r="S1118" s="6">
        <v>0.52892850811631298</v>
      </c>
      <c r="T1118" s="6">
        <v>0.11521776150907601</v>
      </c>
      <c r="U1118" s="7">
        <v>0.61340273771437603</v>
      </c>
      <c r="V1118" s="7">
        <v>0.23713981907883699</v>
      </c>
      <c r="W1118" s="8">
        <v>0.59124403419520599</v>
      </c>
      <c r="X1118" s="8">
        <v>0.24167452622344601</v>
      </c>
      <c r="Y1118" s="2">
        <v>25</v>
      </c>
      <c r="Z1118" s="2">
        <f>VLOOKUP(E1118,YieldData!T:U,2,FALSE)</f>
        <v>2760</v>
      </c>
      <c r="AA1118">
        <f t="shared" si="34"/>
        <v>0.61340273771437603</v>
      </c>
    </row>
    <row r="1119" spans="1:27" hidden="1" x14ac:dyDescent="0.25">
      <c r="A1119">
        <v>213</v>
      </c>
      <c r="B1119">
        <v>302</v>
      </c>
      <c r="C1119" t="s">
        <v>26</v>
      </c>
      <c r="D1119">
        <v>25104</v>
      </c>
      <c r="E1119">
        <f t="shared" si="35"/>
        <v>25104302</v>
      </c>
      <c r="F1119">
        <f>VLOOKUP(E1119,YieldData!D:F,2,FALSE)</f>
        <v>4</v>
      </c>
      <c r="G1119">
        <f>VLOOKUP($E1119,YieldData!$D:$F,3,FALSE)</f>
        <v>4</v>
      </c>
      <c r="H1119">
        <v>37</v>
      </c>
      <c r="I1119" t="s">
        <v>27</v>
      </c>
      <c r="J1119" t="s">
        <v>28</v>
      </c>
      <c r="K1119" s="2">
        <v>12700.379737580801</v>
      </c>
      <c r="L1119" s="2">
        <v>93577541.337071195</v>
      </c>
      <c r="M1119" s="3">
        <v>5699.5456397116996</v>
      </c>
      <c r="N1119" s="3">
        <v>102224911.705355</v>
      </c>
      <c r="O1119" s="4">
        <v>0.23061001722177299</v>
      </c>
      <c r="P1119" s="4">
        <v>7.1973097511727993E-2</v>
      </c>
      <c r="Q1119" s="5">
        <v>-1.33159604883603E-2</v>
      </c>
      <c r="R1119" s="5">
        <v>3.8606203086548399E-3</v>
      </c>
      <c r="S1119" s="6">
        <v>0.473018223230043</v>
      </c>
      <c r="T1119" s="6">
        <v>0.124813510565205</v>
      </c>
      <c r="U1119" s="7">
        <v>0.55233370324433695</v>
      </c>
      <c r="V1119" s="7">
        <v>0.24726118350476101</v>
      </c>
      <c r="W1119" s="8">
        <v>0.47739408577583398</v>
      </c>
      <c r="X1119" s="8">
        <v>0.249488972641978</v>
      </c>
      <c r="Y1119" s="2">
        <v>13</v>
      </c>
      <c r="Z1119" s="2">
        <f>VLOOKUP(E1119,YieldData!T:U,2,FALSE)</f>
        <v>2118</v>
      </c>
      <c r="AA1119">
        <f t="shared" si="34"/>
        <v>0.63668411912937894</v>
      </c>
    </row>
    <row r="1120" spans="1:27" hidden="1" x14ac:dyDescent="0.25">
      <c r="A1120">
        <v>214</v>
      </c>
      <c r="B1120">
        <v>303</v>
      </c>
      <c r="C1120" t="s">
        <v>26</v>
      </c>
      <c r="D1120" t="s">
        <v>100</v>
      </c>
      <c r="E1120" t="e">
        <f t="shared" si="35"/>
        <v>#VALUE!</v>
      </c>
      <c r="H1120">
        <v>37</v>
      </c>
      <c r="I1120" t="s">
        <v>27</v>
      </c>
      <c r="J1120" t="s">
        <v>28</v>
      </c>
      <c r="K1120" s="2">
        <v>11670.707155923599</v>
      </c>
      <c r="L1120" s="2">
        <v>81866734.617498904</v>
      </c>
      <c r="M1120" s="3">
        <v>7368.7424288853899</v>
      </c>
      <c r="N1120" s="3">
        <v>96883887.5072276</v>
      </c>
      <c r="O1120" s="4">
        <v>0.17353220975938199</v>
      </c>
      <c r="P1120" s="4">
        <v>6.9213782379037303E-2</v>
      </c>
      <c r="Q1120" s="5">
        <v>-3.2022274153648299E-2</v>
      </c>
      <c r="R1120" s="5">
        <v>4.0603558948333002E-3</v>
      </c>
      <c r="S1120" s="6">
        <v>0.40409427755819299</v>
      </c>
      <c r="T1120" s="6">
        <v>0.120273630492105</v>
      </c>
      <c r="U1120" s="7">
        <v>0.49945843161796599</v>
      </c>
      <c r="V1120" s="7">
        <v>0.249999706703639</v>
      </c>
      <c r="W1120" s="8">
        <v>0.85251287729263903</v>
      </c>
      <c r="X1120" s="8">
        <v>0.12573467134295099</v>
      </c>
      <c r="Y1120" s="2">
        <v>44</v>
      </c>
      <c r="Z1120" s="2" t="e">
        <f>VLOOKUP(E1120,YieldData!T:U,2,FALSE)</f>
        <v>#VALUE!</v>
      </c>
      <c r="AA1120">
        <f t="shared" si="34"/>
        <v>0.913534329143595</v>
      </c>
    </row>
    <row r="1121" spans="1:27" hidden="1" x14ac:dyDescent="0.25">
      <c r="A1121">
        <v>215</v>
      </c>
      <c r="B1121">
        <v>304</v>
      </c>
      <c r="C1121" t="s">
        <v>26</v>
      </c>
      <c r="D1121" t="s">
        <v>100</v>
      </c>
      <c r="E1121" t="e">
        <f t="shared" si="35"/>
        <v>#VALUE!</v>
      </c>
      <c r="H1121">
        <v>37</v>
      </c>
      <c r="I1121" t="s">
        <v>27</v>
      </c>
      <c r="J1121" t="s">
        <v>28</v>
      </c>
      <c r="K1121" s="2">
        <v>10756.832452689299</v>
      </c>
      <c r="L1121" s="2">
        <v>71842347.835682407</v>
      </c>
      <c r="M1121" s="3">
        <v>8501.3865190867291</v>
      </c>
      <c r="N1121" s="3">
        <v>93543681.972479805</v>
      </c>
      <c r="O1121" s="4">
        <v>0.12754214583433299</v>
      </c>
      <c r="P1121" s="4">
        <v>6.9312812402915605E-2</v>
      </c>
      <c r="Q1121" s="5">
        <v>-4.7502636430051703E-2</v>
      </c>
      <c r="R1121" s="5">
        <v>3.6610129037138099E-3</v>
      </c>
      <c r="S1121" s="6">
        <v>0.35450449005594298</v>
      </c>
      <c r="T1121" s="6">
        <v>0.13144163461970601</v>
      </c>
      <c r="U1121" s="7">
        <v>0.46433391723860701</v>
      </c>
      <c r="V1121" s="7">
        <v>0.24872793054036901</v>
      </c>
      <c r="W1121" s="8">
        <v>0.910734284811762</v>
      </c>
      <c r="X1121" s="8">
        <v>8.1297347280111204E-2</v>
      </c>
      <c r="Y1121" s="2">
        <v>66</v>
      </c>
      <c r="Z1121" s="2" t="e">
        <f>VLOOKUP(E1121,YieldData!T:U,2,FALSE)</f>
        <v>#VALUE!</v>
      </c>
      <c r="AA1121">
        <f t="shared" si="34"/>
        <v>0.913534329143595</v>
      </c>
    </row>
    <row r="1122" spans="1:27" hidden="1" x14ac:dyDescent="0.25">
      <c r="A1122">
        <v>216</v>
      </c>
      <c r="B1122">
        <v>305</v>
      </c>
      <c r="C1122" t="s">
        <v>26</v>
      </c>
      <c r="D1122" t="s">
        <v>100</v>
      </c>
      <c r="E1122" t="e">
        <f t="shared" si="35"/>
        <v>#VALUE!</v>
      </c>
      <c r="H1122">
        <v>37</v>
      </c>
      <c r="I1122" t="s">
        <v>27</v>
      </c>
      <c r="J1122" t="s">
        <v>28</v>
      </c>
      <c r="K1122" s="2">
        <v>10768.036710209701</v>
      </c>
      <c r="L1122" s="2">
        <v>70415680.080742195</v>
      </c>
      <c r="M1122" s="3">
        <v>7755.2441750465996</v>
      </c>
      <c r="N1122" s="3">
        <v>104246506.720889</v>
      </c>
      <c r="O1122" s="4">
        <v>0.147528594498015</v>
      </c>
      <c r="P1122" s="4">
        <v>7.8939297360845498E-2</v>
      </c>
      <c r="Q1122" s="5">
        <v>-3.96981203978281E-2</v>
      </c>
      <c r="R1122" s="5">
        <v>4.9524170684334999E-3</v>
      </c>
      <c r="S1122" s="6">
        <v>0.36665198025819601</v>
      </c>
      <c r="T1122" s="6">
        <v>0.138104739364728</v>
      </c>
      <c r="U1122" s="7">
        <v>0.48762557022952902</v>
      </c>
      <c r="V1122" s="7">
        <v>0.249846873487511</v>
      </c>
      <c r="W1122" s="8">
        <v>0.67722314682886497</v>
      </c>
      <c r="X1122" s="8">
        <v>0.218591956228292</v>
      </c>
      <c r="Y1122" s="2">
        <v>32</v>
      </c>
      <c r="Z1122" s="2" t="e">
        <f>VLOOKUP(E1122,YieldData!T:U,2,FALSE)</f>
        <v>#VALUE!</v>
      </c>
      <c r="AA1122">
        <f t="shared" si="34"/>
        <v>0.913534329143595</v>
      </c>
    </row>
    <row r="1123" spans="1:27" hidden="1" x14ac:dyDescent="0.25">
      <c r="A1123">
        <v>217</v>
      </c>
      <c r="B1123">
        <v>306</v>
      </c>
      <c r="C1123" t="s">
        <v>26</v>
      </c>
      <c r="D1123" t="s">
        <v>100</v>
      </c>
      <c r="E1123" t="e">
        <f t="shared" si="35"/>
        <v>#VALUE!</v>
      </c>
      <c r="H1123">
        <v>37</v>
      </c>
      <c r="I1123" t="s">
        <v>27</v>
      </c>
      <c r="J1123" t="s">
        <v>28</v>
      </c>
      <c r="K1123" s="2">
        <v>10836.83333732</v>
      </c>
      <c r="L1123" s="2">
        <v>88242002.691773906</v>
      </c>
      <c r="M1123" s="3">
        <v>8353.4745548724095</v>
      </c>
      <c r="N1123" s="3">
        <v>104659668.25402901</v>
      </c>
      <c r="O1123" s="4">
        <v>0.121875992552756</v>
      </c>
      <c r="P1123" s="4">
        <v>7.2844693186254195E-2</v>
      </c>
      <c r="Q1123" s="5">
        <v>-5.0334911103896998E-2</v>
      </c>
      <c r="R1123" s="5">
        <v>3.8050053360433101E-3</v>
      </c>
      <c r="S1123" s="6">
        <v>0.34326993210889301</v>
      </c>
      <c r="T1123" s="6">
        <v>0.14581676633938101</v>
      </c>
      <c r="U1123" s="7">
        <v>0.46859302492465199</v>
      </c>
      <c r="V1123" s="7">
        <v>0.24901360191647201</v>
      </c>
      <c r="W1123" s="8">
        <v>0.673958283499976</v>
      </c>
      <c r="X1123" s="8">
        <v>0.21973851560194099</v>
      </c>
      <c r="Y1123" s="2">
        <v>40</v>
      </c>
      <c r="Z1123" s="2" t="e">
        <f>VLOOKUP(E1123,YieldData!T:U,2,FALSE)</f>
        <v>#VALUE!</v>
      </c>
      <c r="AA1123">
        <f t="shared" si="34"/>
        <v>0.913534329143595</v>
      </c>
    </row>
    <row r="1124" spans="1:27" hidden="1" x14ac:dyDescent="0.25">
      <c r="A1124">
        <v>218</v>
      </c>
      <c r="B1124">
        <v>307</v>
      </c>
      <c r="C1124" t="s">
        <v>26</v>
      </c>
      <c r="D1124" t="s">
        <v>100</v>
      </c>
      <c r="E1124" t="e">
        <f t="shared" si="35"/>
        <v>#VALUE!</v>
      </c>
      <c r="H1124">
        <v>37</v>
      </c>
      <c r="I1124" t="s">
        <v>27</v>
      </c>
      <c r="J1124" t="s">
        <v>28</v>
      </c>
      <c r="K1124" s="2">
        <v>10728.394659187899</v>
      </c>
      <c r="L1124" s="2">
        <v>93312878.600566402</v>
      </c>
      <c r="M1124" s="3">
        <v>8091.2873481650904</v>
      </c>
      <c r="N1124" s="3">
        <v>103984527.497462</v>
      </c>
      <c r="O1124" s="4">
        <v>0.115022085948266</v>
      </c>
      <c r="P1124" s="4">
        <v>6.9322888805461003E-2</v>
      </c>
      <c r="Q1124" s="5">
        <v>-5.26705276413304E-2</v>
      </c>
      <c r="R1124" s="5">
        <v>3.4133541989772799E-3</v>
      </c>
      <c r="S1124" s="6">
        <v>0.33310180762577901</v>
      </c>
      <c r="T1124" s="6">
        <v>0.142334393531097</v>
      </c>
      <c r="U1124" s="7">
        <v>0.45237166199244</v>
      </c>
      <c r="V1124" s="7">
        <v>0.247731541418509</v>
      </c>
      <c r="W1124" s="8">
        <v>0.86823558102670395</v>
      </c>
      <c r="X1124" s="8">
        <v>0.114402556865921</v>
      </c>
      <c r="Y1124" s="2">
        <v>49</v>
      </c>
      <c r="Z1124" s="2" t="e">
        <f>VLOOKUP(E1124,YieldData!T:U,2,FALSE)</f>
        <v>#VALUE!</v>
      </c>
      <c r="AA1124">
        <f t="shared" si="34"/>
        <v>0.913534329143595</v>
      </c>
    </row>
    <row r="1125" spans="1:27" hidden="1" x14ac:dyDescent="0.25">
      <c r="A1125">
        <v>219</v>
      </c>
      <c r="B1125">
        <v>308</v>
      </c>
      <c r="C1125" t="s">
        <v>26</v>
      </c>
      <c r="D1125" t="s">
        <v>100</v>
      </c>
      <c r="E1125" t="e">
        <f t="shared" si="35"/>
        <v>#VALUE!</v>
      </c>
      <c r="H1125">
        <v>37</v>
      </c>
      <c r="I1125" t="s">
        <v>27</v>
      </c>
      <c r="J1125" t="s">
        <v>28</v>
      </c>
      <c r="K1125" s="2">
        <v>13593.311451294599</v>
      </c>
      <c r="L1125" s="2">
        <v>116994127.889052</v>
      </c>
      <c r="M1125" s="3">
        <v>5417.0950668278902</v>
      </c>
      <c r="N1125" s="3">
        <v>87525128.174499407</v>
      </c>
      <c r="O1125" s="4">
        <v>0.168073675788185</v>
      </c>
      <c r="P1125" s="4">
        <v>5.8111787297630002E-2</v>
      </c>
      <c r="Q1125" s="5">
        <v>-3.7483413756005002E-2</v>
      </c>
      <c r="R1125" s="5">
        <v>2.6161711319542601E-3</v>
      </c>
      <c r="S1125" s="6">
        <v>0.41170168077830599</v>
      </c>
      <c r="T1125" s="6">
        <v>0.12627925301885901</v>
      </c>
      <c r="U1125" s="7">
        <v>0.536339173593255</v>
      </c>
      <c r="V1125" s="7">
        <v>0.248679464462431</v>
      </c>
      <c r="W1125" s="8">
        <v>0.78258685642528303</v>
      </c>
      <c r="X1125" s="8">
        <v>0.17014466857535601</v>
      </c>
      <c r="Y1125" s="2">
        <v>33</v>
      </c>
      <c r="Z1125" s="2" t="e">
        <f>VLOOKUP(E1125,YieldData!T:U,2,FALSE)</f>
        <v>#VALUE!</v>
      </c>
      <c r="AA1125">
        <f t="shared" si="34"/>
        <v>0.913534329143595</v>
      </c>
    </row>
    <row r="1126" spans="1:27" hidden="1" x14ac:dyDescent="0.25">
      <c r="A1126">
        <v>220</v>
      </c>
      <c r="B1126">
        <v>309</v>
      </c>
      <c r="C1126" t="s">
        <v>26</v>
      </c>
      <c r="D1126" t="s">
        <v>100</v>
      </c>
      <c r="E1126" t="e">
        <f t="shared" si="35"/>
        <v>#VALUE!</v>
      </c>
      <c r="H1126">
        <v>37</v>
      </c>
      <c r="I1126" t="s">
        <v>27</v>
      </c>
      <c r="J1126" t="s">
        <v>28</v>
      </c>
      <c r="K1126" s="2">
        <v>13487.7416688089</v>
      </c>
      <c r="L1126" s="2">
        <v>93345352.077157497</v>
      </c>
      <c r="M1126" s="3">
        <v>4315.7218369189904</v>
      </c>
      <c r="N1126" s="3">
        <v>75429304.809072003</v>
      </c>
      <c r="O1126" s="4">
        <v>0.20818416524831601</v>
      </c>
      <c r="P1126" s="4">
        <v>5.4177252484717699E-2</v>
      </c>
      <c r="Q1126" s="5">
        <v>-2.62896509268928E-2</v>
      </c>
      <c r="R1126" s="5">
        <v>3.0780343106583401E-3</v>
      </c>
      <c r="S1126" s="6">
        <v>0.46097032640397401</v>
      </c>
      <c r="T1126" s="6">
        <v>0.115057512307638</v>
      </c>
      <c r="U1126" s="7">
        <v>0.59114586856810403</v>
      </c>
      <c r="V1126" s="7">
        <v>0.24169243064263499</v>
      </c>
      <c r="W1126" s="8">
        <v>0.78273282008957001</v>
      </c>
      <c r="X1126" s="8">
        <v>0.170062152444142</v>
      </c>
      <c r="Y1126" s="2">
        <v>31</v>
      </c>
      <c r="Z1126" s="2" t="e">
        <f>VLOOKUP(E1126,YieldData!T:U,2,FALSE)</f>
        <v>#VALUE!</v>
      </c>
      <c r="AA1126">
        <f t="shared" si="34"/>
        <v>0.913534329143595</v>
      </c>
    </row>
    <row r="1127" spans="1:27" hidden="1" x14ac:dyDescent="0.25">
      <c r="A1127">
        <v>203</v>
      </c>
      <c r="B1127">
        <v>401</v>
      </c>
      <c r="C1127" t="s">
        <v>26</v>
      </c>
      <c r="D1127">
        <v>25105</v>
      </c>
      <c r="E1127">
        <f t="shared" si="35"/>
        <v>25105401</v>
      </c>
      <c r="F1127">
        <f>VLOOKUP(E1127,YieldData!D:F,2,FALSE)</f>
        <v>1</v>
      </c>
      <c r="G1127">
        <f>VLOOKUP($E1127,YieldData!$D:$F,3,FALSE)</f>
        <v>1</v>
      </c>
      <c r="H1127">
        <v>37</v>
      </c>
      <c r="I1127" t="s">
        <v>27</v>
      </c>
      <c r="J1127" t="s">
        <v>28</v>
      </c>
      <c r="K1127" s="2">
        <v>12394.7047098162</v>
      </c>
      <c r="L1127" s="2">
        <v>99850155.291117594</v>
      </c>
      <c r="M1127" s="3">
        <v>8880.8838381308396</v>
      </c>
      <c r="N1127" s="3">
        <v>104608402.295397</v>
      </c>
      <c r="O1127" s="4">
        <v>0.13352207411998901</v>
      </c>
      <c r="P1127" s="4">
        <v>6.0785155555415603E-2</v>
      </c>
      <c r="Q1127" s="5">
        <v>-4.6226609561442998E-2</v>
      </c>
      <c r="R1127" s="5">
        <v>4.4990004954540003E-3</v>
      </c>
      <c r="S1127" s="6">
        <v>0.381778403293624</v>
      </c>
      <c r="T1127" s="6">
        <v>0.116095027096181</v>
      </c>
      <c r="U1127" s="7">
        <v>0.49361051349179602</v>
      </c>
      <c r="V1127" s="7">
        <v>0.24995917446211599</v>
      </c>
      <c r="W1127" s="8">
        <v>0.85612639000492496</v>
      </c>
      <c r="X1127" s="8">
        <v>0.12317399434210401</v>
      </c>
      <c r="Y1127" s="2">
        <v>57</v>
      </c>
      <c r="Z1127" s="2">
        <f>VLOOKUP(E1127,YieldData!T:U,2,FALSE)</f>
        <v>622</v>
      </c>
      <c r="AA1127">
        <f t="shared" si="34"/>
        <v>0.49484830026309301</v>
      </c>
    </row>
    <row r="1128" spans="1:27" hidden="1" x14ac:dyDescent="0.25">
      <c r="A1128">
        <v>204</v>
      </c>
      <c r="B1128">
        <v>402</v>
      </c>
      <c r="C1128" t="s">
        <v>26</v>
      </c>
      <c r="D1128">
        <v>25105</v>
      </c>
      <c r="E1128">
        <f t="shared" si="35"/>
        <v>25105402</v>
      </c>
      <c r="H1128">
        <v>37</v>
      </c>
      <c r="I1128" t="s">
        <v>27</v>
      </c>
      <c r="J1128" t="s">
        <v>28</v>
      </c>
      <c r="K1128" s="2">
        <v>16094.6113634594</v>
      </c>
      <c r="L1128" s="2">
        <v>98866906.694343805</v>
      </c>
      <c r="M1128" s="3">
        <v>4943.4546522607698</v>
      </c>
      <c r="N1128" s="3">
        <v>89024286.807387203</v>
      </c>
      <c r="O1128" s="4">
        <v>0.213549808777763</v>
      </c>
      <c r="P1128" s="4">
        <v>5.8962917993493298E-2</v>
      </c>
      <c r="Q1128" s="5">
        <v>-2.6335068159152E-2</v>
      </c>
      <c r="R1128" s="5">
        <v>3.7362218043422699E-3</v>
      </c>
      <c r="S1128" s="6">
        <v>0.49702089851737102</v>
      </c>
      <c r="T1128" s="6">
        <v>0.11357663931112</v>
      </c>
      <c r="U1128" s="7">
        <v>0.66065356762789695</v>
      </c>
      <c r="V1128" s="7">
        <v>0.22419043120851601</v>
      </c>
      <c r="W1128" s="8">
        <v>0.88598904664261402</v>
      </c>
      <c r="X1128" s="8">
        <v>0.10101245587200899</v>
      </c>
      <c r="Y1128" s="2">
        <v>46</v>
      </c>
      <c r="Z1128" s="2">
        <f>VLOOKUP(E1128,YieldData!T:U,2,FALSE)</f>
        <v>0</v>
      </c>
      <c r="AA1128">
        <f t="shared" si="34"/>
        <v>0.71958832461616296</v>
      </c>
    </row>
    <row r="1129" spans="1:27" hidden="1" x14ac:dyDescent="0.25">
      <c r="A1129">
        <v>205</v>
      </c>
      <c r="B1129">
        <v>403</v>
      </c>
      <c r="C1129" t="s">
        <v>26</v>
      </c>
      <c r="D1129">
        <v>25105</v>
      </c>
      <c r="E1129">
        <f t="shared" si="35"/>
        <v>25105403</v>
      </c>
      <c r="F1129">
        <f>VLOOKUP(E1129,YieldData!D:F,2,FALSE)</f>
        <v>3</v>
      </c>
      <c r="G1129">
        <f>VLOOKUP($E1129,YieldData!$D:$F,3,FALSE)</f>
        <v>1</v>
      </c>
      <c r="H1129">
        <v>37</v>
      </c>
      <c r="I1129" t="s">
        <v>27</v>
      </c>
      <c r="J1129" t="s">
        <v>28</v>
      </c>
      <c r="K1129" s="2">
        <v>14673.9828499671</v>
      </c>
      <c r="L1129" s="2">
        <v>91659252.577976093</v>
      </c>
      <c r="M1129" s="3">
        <v>6397.7833028407904</v>
      </c>
      <c r="N1129" s="3">
        <v>90249014.7914453</v>
      </c>
      <c r="O1129" s="4">
        <v>0.17654347409499699</v>
      </c>
      <c r="P1129" s="4">
        <v>5.6702538699807598E-2</v>
      </c>
      <c r="Q1129" s="5">
        <v>-3.44364748884581E-2</v>
      </c>
      <c r="R1129" s="5">
        <v>3.36044067610594E-3</v>
      </c>
      <c r="S1129" s="6">
        <v>0.43317130302768497</v>
      </c>
      <c r="T1129" s="6">
        <v>0.111407204032851</v>
      </c>
      <c r="U1129" s="7">
        <v>0.58725109131136799</v>
      </c>
      <c r="V1129" s="7">
        <v>0.24238724706488901</v>
      </c>
      <c r="W1129" s="8">
        <v>0.96775698140285804</v>
      </c>
      <c r="X1129" s="8">
        <v>3.1203406348908499E-2</v>
      </c>
      <c r="Y1129" s="2">
        <v>82</v>
      </c>
      <c r="Z1129" s="2">
        <f>VLOOKUP(E1129,YieldData!T:U,2,FALSE)</f>
        <v>361</v>
      </c>
      <c r="AA1129">
        <f t="shared" si="34"/>
        <v>0.58725109131136799</v>
      </c>
    </row>
    <row r="1130" spans="1:27" hidden="1" x14ac:dyDescent="0.25">
      <c r="A1130">
        <v>206</v>
      </c>
      <c r="B1130">
        <v>404</v>
      </c>
      <c r="C1130" t="s">
        <v>26</v>
      </c>
      <c r="D1130">
        <v>25105</v>
      </c>
      <c r="E1130">
        <f t="shared" si="35"/>
        <v>25105404</v>
      </c>
      <c r="H1130">
        <v>37</v>
      </c>
      <c r="I1130" t="s">
        <v>27</v>
      </c>
      <c r="J1130" t="s">
        <v>28</v>
      </c>
      <c r="K1130" s="2">
        <v>15682.1501560168</v>
      </c>
      <c r="L1130" s="2">
        <v>143549930.61169499</v>
      </c>
      <c r="M1130" s="3">
        <v>7632.9335792782804</v>
      </c>
      <c r="N1130" s="3">
        <v>111741603.27921399</v>
      </c>
      <c r="O1130" s="4">
        <v>0.105785740154287</v>
      </c>
      <c r="P1130" s="4">
        <v>5.3337172471265203E-2</v>
      </c>
      <c r="Q1130" s="5">
        <v>-5.6185500625396498E-2</v>
      </c>
      <c r="R1130" s="5">
        <v>2.90268198961433E-3</v>
      </c>
      <c r="S1130" s="6">
        <v>0.36291493796162</v>
      </c>
      <c r="T1130" s="6">
        <v>0.13105851860762899</v>
      </c>
      <c r="U1130" s="7">
        <v>0.51097544430877795</v>
      </c>
      <c r="V1130" s="7">
        <v>0.249879539622231</v>
      </c>
      <c r="W1130" s="8">
        <v>0.94300637633970996</v>
      </c>
      <c r="X1130" s="8">
        <v>5.3745350522485802E-2</v>
      </c>
      <c r="Y1130" s="2">
        <v>81</v>
      </c>
      <c r="Z1130" s="2">
        <f>VLOOKUP(E1130,YieldData!T:U,2,FALSE)</f>
        <v>0</v>
      </c>
      <c r="AA1130">
        <f t="shared" si="34"/>
        <v>0.65126375340867504</v>
      </c>
    </row>
    <row r="1131" spans="1:27" hidden="1" x14ac:dyDescent="0.25">
      <c r="A1131">
        <v>207</v>
      </c>
      <c r="B1131">
        <v>405</v>
      </c>
      <c r="C1131" t="s">
        <v>26</v>
      </c>
      <c r="D1131">
        <v>25105</v>
      </c>
      <c r="E1131">
        <f t="shared" si="35"/>
        <v>25105405</v>
      </c>
      <c r="H1131">
        <v>37</v>
      </c>
      <c r="I1131" t="s">
        <v>27</v>
      </c>
      <c r="J1131" t="s">
        <v>28</v>
      </c>
      <c r="K1131" s="2">
        <v>15619.6035115837</v>
      </c>
      <c r="L1131" s="2">
        <v>112467009.863177</v>
      </c>
      <c r="M1131" s="3">
        <v>5264.1559758102403</v>
      </c>
      <c r="N1131" s="3">
        <v>105195095.300547</v>
      </c>
      <c r="O1131" s="4">
        <v>0.17642919235656199</v>
      </c>
      <c r="P1131" s="4">
        <v>6.1630185571697298E-2</v>
      </c>
      <c r="Q1131" s="5">
        <v>-3.2284876831394402E-2</v>
      </c>
      <c r="R1131" s="5">
        <v>4.1371905085463003E-3</v>
      </c>
      <c r="S1131" s="6">
        <v>0.43457225374473302</v>
      </c>
      <c r="T1131" s="6">
        <v>0.12719694328744599</v>
      </c>
      <c r="U1131" s="7">
        <v>0.60358334629047095</v>
      </c>
      <c r="V1131" s="7">
        <v>0.239270490371322</v>
      </c>
      <c r="W1131" s="8">
        <v>0.75970290279754604</v>
      </c>
      <c r="X1131" s="8">
        <v>0.18255440227851899</v>
      </c>
      <c r="Y1131" s="2">
        <v>33</v>
      </c>
      <c r="Z1131" s="2">
        <f>VLOOKUP(E1131,YieldData!T:U,2,FALSE)</f>
        <v>0</v>
      </c>
      <c r="AA1131">
        <f t="shared" si="34"/>
        <v>0.65411339799323098</v>
      </c>
    </row>
    <row r="1132" spans="1:27" hidden="1" x14ac:dyDescent="0.25">
      <c r="A1132">
        <v>208</v>
      </c>
      <c r="B1132">
        <v>406</v>
      </c>
      <c r="C1132" t="s">
        <v>26</v>
      </c>
      <c r="D1132">
        <v>25105</v>
      </c>
      <c r="E1132">
        <f t="shared" si="35"/>
        <v>25105406</v>
      </c>
      <c r="F1132">
        <f>VLOOKUP(E1132,YieldData!D:F,2,FALSE)</f>
        <v>3</v>
      </c>
      <c r="G1132">
        <f>VLOOKUP($E1132,YieldData!$D:$F,3,FALSE)</f>
        <v>2</v>
      </c>
      <c r="H1132">
        <v>37</v>
      </c>
      <c r="I1132" t="s">
        <v>27</v>
      </c>
      <c r="J1132" t="s">
        <v>28</v>
      </c>
      <c r="K1132" s="2">
        <v>12826.981007738001</v>
      </c>
      <c r="L1132" s="2">
        <v>111069276.08788</v>
      </c>
      <c r="M1132" s="3">
        <v>8864.5525153426006</v>
      </c>
      <c r="N1132" s="3">
        <v>108964770.581054</v>
      </c>
      <c r="O1132" s="4">
        <v>8.3464455169983506E-2</v>
      </c>
      <c r="P1132" s="4">
        <v>6.5231780695284694E-2</v>
      </c>
      <c r="Q1132" s="5">
        <v>-6.14916971469096E-2</v>
      </c>
      <c r="R1132" s="5">
        <v>3.6222136122067202E-3</v>
      </c>
      <c r="S1132" s="6">
        <v>0.31085262899052102</v>
      </c>
      <c r="T1132" s="6">
        <v>0.14493136483498301</v>
      </c>
      <c r="U1132" s="7">
        <v>0.476217813019507</v>
      </c>
      <c r="V1132" s="7">
        <v>0.24943440758225299</v>
      </c>
      <c r="W1132" s="8">
        <v>0.91690287395500703</v>
      </c>
      <c r="X1132" s="8">
        <v>7.6191993688222603E-2</v>
      </c>
      <c r="Y1132" s="2">
        <v>75</v>
      </c>
      <c r="Z1132" s="2">
        <f>VLOOKUP(E1132,YieldData!T:U,2,FALSE)</f>
        <v>604</v>
      </c>
      <c r="AA1132">
        <f t="shared" si="34"/>
        <v>0.63115597120237299</v>
      </c>
    </row>
    <row r="1133" spans="1:27" hidden="1" x14ac:dyDescent="0.25">
      <c r="A1133">
        <v>209</v>
      </c>
      <c r="B1133">
        <v>407</v>
      </c>
      <c r="C1133" t="s">
        <v>26</v>
      </c>
      <c r="D1133">
        <v>25105</v>
      </c>
      <c r="E1133">
        <f t="shared" si="35"/>
        <v>25105407</v>
      </c>
      <c r="F1133">
        <f>VLOOKUP(E1133,YieldData!D:F,2,FALSE)</f>
        <v>2</v>
      </c>
      <c r="G1133">
        <f>VLOOKUP($E1133,YieldData!$D:$F,3,FALSE)</f>
        <v>2</v>
      </c>
      <c r="H1133">
        <v>37</v>
      </c>
      <c r="I1133" t="s">
        <v>27</v>
      </c>
      <c r="J1133" t="s">
        <v>28</v>
      </c>
      <c r="K1133" s="2">
        <v>13406.924812302799</v>
      </c>
      <c r="L1133" s="2">
        <v>121652752.05534001</v>
      </c>
      <c r="M1133" s="3">
        <v>7734.2975034814399</v>
      </c>
      <c r="N1133" s="3">
        <v>104344233.609348</v>
      </c>
      <c r="O1133" s="4">
        <v>9.0199330075534295E-2</v>
      </c>
      <c r="P1133" s="4">
        <v>5.1191678732639398E-2</v>
      </c>
      <c r="Q1133" s="5">
        <v>-6.3094600907824996E-2</v>
      </c>
      <c r="R1133" s="5">
        <v>2.6434721745379002E-3</v>
      </c>
      <c r="S1133" s="6">
        <v>0.32241887044518902</v>
      </c>
      <c r="T1133" s="6">
        <v>0.125382821399566</v>
      </c>
      <c r="U1133" s="7">
        <v>0.45915394194383002</v>
      </c>
      <c r="V1133" s="7">
        <v>0.24833159954145101</v>
      </c>
      <c r="W1133" s="8">
        <v>0.92432870286412006</v>
      </c>
      <c r="X1133" s="8">
        <v>6.9945151925663598E-2</v>
      </c>
      <c r="Y1133" s="2">
        <v>119</v>
      </c>
      <c r="Z1133" s="2">
        <f>VLOOKUP(E1133,YieldData!T:U,2,FALSE)</f>
        <v>1430</v>
      </c>
      <c r="AA1133">
        <f t="shared" si="34"/>
        <v>0.63048314552401197</v>
      </c>
    </row>
    <row r="1134" spans="1:27" hidden="1" x14ac:dyDescent="0.25">
      <c r="A1134">
        <v>210</v>
      </c>
      <c r="B1134">
        <v>408</v>
      </c>
      <c r="C1134" t="s">
        <v>26</v>
      </c>
      <c r="D1134">
        <v>25105</v>
      </c>
      <c r="E1134">
        <f t="shared" si="35"/>
        <v>25105408</v>
      </c>
      <c r="F1134">
        <f>VLOOKUP(E1134,YieldData!D:F,2,FALSE)</f>
        <v>4</v>
      </c>
      <c r="G1134">
        <f>VLOOKUP($E1134,YieldData!$D:$F,3,FALSE)</f>
        <v>2</v>
      </c>
      <c r="H1134">
        <v>37</v>
      </c>
      <c r="I1134" t="s">
        <v>27</v>
      </c>
      <c r="J1134" t="s">
        <v>28</v>
      </c>
      <c r="K1134" s="2">
        <v>15597.258156333701</v>
      </c>
      <c r="L1134" s="2">
        <v>148436483.51453599</v>
      </c>
      <c r="M1134" s="3">
        <v>5918.2691234611802</v>
      </c>
      <c r="N1134" s="3">
        <v>86483750.072277993</v>
      </c>
      <c r="O1134" s="4">
        <v>0.12122078080904899</v>
      </c>
      <c r="P1134" s="4">
        <v>4.3213656271088398E-2</v>
      </c>
      <c r="Q1134" s="5">
        <v>-5.5886388926377401E-2</v>
      </c>
      <c r="R1134" s="5">
        <v>2.2418578654815799E-3</v>
      </c>
      <c r="S1134" s="6">
        <v>0.38335495076027598</v>
      </c>
      <c r="T1134" s="6">
        <v>0.11669359426631699</v>
      </c>
      <c r="U1134" s="7">
        <v>0.53190776884806701</v>
      </c>
      <c r="V1134" s="7">
        <v>0.24898189428693701</v>
      </c>
      <c r="W1134" s="8">
        <v>0.95608495981630304</v>
      </c>
      <c r="X1134" s="8">
        <v>4.1986509429435499E-2</v>
      </c>
      <c r="Y1134" s="2">
        <v>131</v>
      </c>
      <c r="Z1134" s="2">
        <f>VLOOKUP(E1134,YieldData!T:U,2,FALSE)</f>
        <v>1144</v>
      </c>
      <c r="AA1134">
        <f t="shared" si="34"/>
        <v>0.56772434249082104</v>
      </c>
    </row>
    <row r="1135" spans="1:27" hidden="1" x14ac:dyDescent="0.25">
      <c r="A1135">
        <v>211</v>
      </c>
      <c r="B1135">
        <v>409</v>
      </c>
      <c r="C1135" t="s">
        <v>26</v>
      </c>
      <c r="D1135">
        <v>25105</v>
      </c>
      <c r="E1135">
        <f t="shared" si="35"/>
        <v>25105409</v>
      </c>
      <c r="F1135">
        <f>VLOOKUP(E1135,YieldData!D:F,2,FALSE)</f>
        <v>1</v>
      </c>
      <c r="G1135">
        <f>VLOOKUP($E1135,YieldData!$D:$F,3,FALSE)</f>
        <v>2</v>
      </c>
      <c r="H1135">
        <v>37</v>
      </c>
      <c r="I1135" t="s">
        <v>27</v>
      </c>
      <c r="J1135" t="s">
        <v>28</v>
      </c>
      <c r="K1135" s="2">
        <v>16394.8507193757</v>
      </c>
      <c r="L1135" s="2">
        <v>119902782.669848</v>
      </c>
      <c r="M1135" s="3">
        <v>3962.5917277534099</v>
      </c>
      <c r="N1135" s="3">
        <v>60257128.130531996</v>
      </c>
      <c r="O1135" s="4">
        <v>0.18509404436219901</v>
      </c>
      <c r="P1135" s="4">
        <v>3.2104822500596798E-2</v>
      </c>
      <c r="Q1135" s="5">
        <v>-3.7692333065102099E-2</v>
      </c>
      <c r="R1135" s="5">
        <v>2.8377399968351701E-3</v>
      </c>
      <c r="S1135" s="6">
        <v>0.47033505881794502</v>
      </c>
      <c r="T1135" s="6">
        <v>8.3888575732007406E-2</v>
      </c>
      <c r="U1135" s="7">
        <v>0.62809223182594098</v>
      </c>
      <c r="V1135" s="7">
        <v>0.23359238014599801</v>
      </c>
      <c r="W1135" s="8">
        <v>0.99151922399544801</v>
      </c>
      <c r="X1135" s="8">
        <v>8.4088524429407497E-3</v>
      </c>
      <c r="Y1135" s="2">
        <v>103</v>
      </c>
      <c r="Z1135" s="2">
        <f>VLOOKUP(E1135,YieldData!T:U,2,FALSE)</f>
        <v>840</v>
      </c>
      <c r="AA1135">
        <f t="shared" si="34"/>
        <v>0.690714247005907</v>
      </c>
    </row>
    <row r="1136" spans="1:27" hidden="1" x14ac:dyDescent="0.25">
      <c r="A1136">
        <v>194</v>
      </c>
      <c r="B1136">
        <v>501</v>
      </c>
      <c r="C1136" t="s">
        <v>26</v>
      </c>
      <c r="D1136">
        <v>25105</v>
      </c>
      <c r="E1136">
        <f t="shared" si="35"/>
        <v>25105501</v>
      </c>
      <c r="H1136">
        <v>37</v>
      </c>
      <c r="I1136" t="s">
        <v>27</v>
      </c>
      <c r="J1136" t="s">
        <v>28</v>
      </c>
      <c r="K1136" s="2">
        <v>16717.338200782298</v>
      </c>
      <c r="L1136" s="2">
        <v>105905708.03399</v>
      </c>
      <c r="M1136" s="3">
        <v>4330.38364106463</v>
      </c>
      <c r="N1136" s="3">
        <v>82527490.699978501</v>
      </c>
      <c r="O1136" s="4">
        <v>0.236787562761825</v>
      </c>
      <c r="P1136" s="4">
        <v>4.28038140331473E-2</v>
      </c>
      <c r="Q1136" s="5">
        <v>-1.5805564250556198E-2</v>
      </c>
      <c r="R1136" s="5">
        <v>3.2362797060621301E-3</v>
      </c>
      <c r="S1136" s="6">
        <v>0.51509406474363895</v>
      </c>
      <c r="T1136" s="6">
        <v>8.6773842362877496E-2</v>
      </c>
      <c r="U1136" s="7">
        <v>0.64228367528992003</v>
      </c>
      <c r="V1136" s="7">
        <v>0.229755355746074</v>
      </c>
      <c r="W1136" s="8">
        <v>0.83440609346050898</v>
      </c>
      <c r="X1136" s="8">
        <v>0.13817256465670999</v>
      </c>
      <c r="Y1136" s="2">
        <v>44</v>
      </c>
      <c r="Z1136" s="2">
        <f>VLOOKUP(E1136,YieldData!T:U,2,FALSE)</f>
        <v>0</v>
      </c>
      <c r="AA1136">
        <f t="shared" si="34"/>
        <v>0.64228367528992003</v>
      </c>
    </row>
    <row r="1137" spans="1:27" hidden="1" x14ac:dyDescent="0.25">
      <c r="A1137">
        <v>195</v>
      </c>
      <c r="B1137">
        <v>502</v>
      </c>
      <c r="C1137" t="s">
        <v>26</v>
      </c>
      <c r="D1137">
        <v>25105</v>
      </c>
      <c r="E1137">
        <f t="shared" si="35"/>
        <v>25105502</v>
      </c>
      <c r="F1137">
        <f>VLOOKUP(E1137,YieldData!D:F,2,FALSE)</f>
        <v>2</v>
      </c>
      <c r="G1137">
        <f>VLOOKUP($E1137,YieldData!$D:$F,3,FALSE)</f>
        <v>4</v>
      </c>
      <c r="H1137">
        <v>37</v>
      </c>
      <c r="I1137" t="s">
        <v>27</v>
      </c>
      <c r="J1137" t="s">
        <v>28</v>
      </c>
      <c r="K1137" s="2">
        <v>16512.197197390698</v>
      </c>
      <c r="L1137" s="2">
        <v>112771989.795203</v>
      </c>
      <c r="M1137" s="3">
        <v>5038.1029394971802</v>
      </c>
      <c r="N1137" s="3">
        <v>88026411.902950704</v>
      </c>
      <c r="O1137" s="4">
        <v>0.20258294080132899</v>
      </c>
      <c r="P1137" s="4">
        <v>4.8039993835996803E-2</v>
      </c>
      <c r="Q1137" s="5">
        <v>-2.51136623874357E-2</v>
      </c>
      <c r="R1137" s="5">
        <v>2.9593627209228901E-3</v>
      </c>
      <c r="S1137" s="6">
        <v>0.47307592662613501</v>
      </c>
      <c r="T1137" s="6">
        <v>9.9247634034918E-2</v>
      </c>
      <c r="U1137" s="7">
        <v>0.61412176854312595</v>
      </c>
      <c r="V1137" s="7">
        <v>0.23697622194446699</v>
      </c>
      <c r="W1137" s="8">
        <v>0.95681323991302203</v>
      </c>
      <c r="X1137" s="8">
        <v>4.13216638402924E-2</v>
      </c>
      <c r="Y1137" s="2">
        <v>86</v>
      </c>
      <c r="Z1137" s="2">
        <f>VLOOKUP(E1137,YieldData!T:U,2,FALSE)</f>
        <v>1109</v>
      </c>
      <c r="AA1137">
        <f t="shared" si="34"/>
        <v>0.68266872833138004</v>
      </c>
    </row>
    <row r="1138" spans="1:27" hidden="1" x14ac:dyDescent="0.25">
      <c r="A1138">
        <v>196</v>
      </c>
      <c r="B1138">
        <v>503</v>
      </c>
      <c r="C1138" t="s">
        <v>26</v>
      </c>
      <c r="D1138">
        <v>25105</v>
      </c>
      <c r="E1138">
        <f t="shared" si="35"/>
        <v>25105503</v>
      </c>
      <c r="H1138">
        <v>37</v>
      </c>
      <c r="I1138" t="s">
        <v>27</v>
      </c>
      <c r="J1138" t="s">
        <v>28</v>
      </c>
      <c r="K1138" s="2">
        <v>17833.512500504901</v>
      </c>
      <c r="L1138" s="2">
        <v>105196806.320149</v>
      </c>
      <c r="M1138" s="3">
        <v>3456.0275812200498</v>
      </c>
      <c r="N1138" s="3">
        <v>92247384.355288595</v>
      </c>
      <c r="O1138" s="4">
        <v>0.23185151728817699</v>
      </c>
      <c r="P1138" s="4">
        <v>4.8717646874179302E-2</v>
      </c>
      <c r="Q1138" s="5">
        <v>-1.5605228699684399E-2</v>
      </c>
      <c r="R1138" s="5">
        <v>3.5010189393325499E-3</v>
      </c>
      <c r="S1138" s="6">
        <v>0.50584789246528294</v>
      </c>
      <c r="T1138" s="6">
        <v>9.9184404204264304E-2</v>
      </c>
      <c r="U1138" s="7">
        <v>0.66826877768353599</v>
      </c>
      <c r="V1138" s="7">
        <v>0.22168561845703</v>
      </c>
      <c r="W1138" s="8">
        <v>0.91152038989189099</v>
      </c>
      <c r="X1138" s="8">
        <v>8.0650968703115306E-2</v>
      </c>
      <c r="Y1138" s="2">
        <v>51</v>
      </c>
      <c r="Z1138" s="2">
        <f>VLOOKUP(E1138,YieldData!T:U,2,FALSE)</f>
        <v>0</v>
      </c>
      <c r="AA1138">
        <f t="shared" si="34"/>
        <v>0.66826877768353599</v>
      </c>
    </row>
    <row r="1139" spans="1:27" hidden="1" x14ac:dyDescent="0.25">
      <c r="A1139">
        <v>197</v>
      </c>
      <c r="B1139">
        <v>504</v>
      </c>
      <c r="C1139" t="s">
        <v>26</v>
      </c>
      <c r="D1139">
        <v>25105</v>
      </c>
      <c r="E1139">
        <f t="shared" si="35"/>
        <v>25105504</v>
      </c>
      <c r="F1139">
        <f>VLOOKUP(E1139,YieldData!D:F,2,FALSE)</f>
        <v>5</v>
      </c>
      <c r="G1139">
        <f>VLOOKUP($E1139,YieldData!$D:$F,3,FALSE)</f>
        <v>3</v>
      </c>
      <c r="H1139">
        <v>37</v>
      </c>
      <c r="I1139" t="s">
        <v>27</v>
      </c>
      <c r="J1139" t="s">
        <v>28</v>
      </c>
      <c r="K1139" s="2">
        <v>20024.8746715046</v>
      </c>
      <c r="L1139" s="2">
        <v>132403576.341254</v>
      </c>
      <c r="M1139" s="3">
        <v>2053.0629878806599</v>
      </c>
      <c r="N1139" s="3">
        <v>94649218.463595405</v>
      </c>
      <c r="O1139" s="4">
        <v>0.22188560503121499</v>
      </c>
      <c r="P1139" s="4">
        <v>3.9814377635609001E-2</v>
      </c>
      <c r="Q1139" s="5">
        <v>-2.9044587694725999E-2</v>
      </c>
      <c r="R1139" s="5">
        <v>2.89592177181656E-3</v>
      </c>
      <c r="S1139" s="6">
        <v>0.52906334058277604</v>
      </c>
      <c r="T1139" s="6">
        <v>9.8977904490527402E-2</v>
      </c>
      <c r="U1139" s="7">
        <v>0.71259154516227996</v>
      </c>
      <c r="V1139" s="7">
        <v>0.204804834925636</v>
      </c>
      <c r="W1139" s="8">
        <v>0.95214972719875102</v>
      </c>
      <c r="X1139" s="8">
        <v>4.5560624194020703E-2</v>
      </c>
      <c r="Y1139" s="2">
        <v>65</v>
      </c>
      <c r="Z1139" s="2">
        <f>VLOOKUP(E1139,YieldData!T:U,2,FALSE)</f>
        <v>1282</v>
      </c>
      <c r="AA1139">
        <f t="shared" si="34"/>
        <v>0.77873237369762105</v>
      </c>
    </row>
    <row r="1140" spans="1:27" hidden="1" x14ac:dyDescent="0.25">
      <c r="A1140">
        <v>198</v>
      </c>
      <c r="B1140">
        <v>505</v>
      </c>
      <c r="C1140" t="s">
        <v>26</v>
      </c>
      <c r="D1140">
        <v>25105</v>
      </c>
      <c r="E1140">
        <f t="shared" si="35"/>
        <v>25105505</v>
      </c>
      <c r="F1140">
        <f>VLOOKUP(E1140,YieldData!D:F,2,FALSE)</f>
        <v>3</v>
      </c>
      <c r="G1140">
        <f>VLOOKUP($E1140,YieldData!$D:$F,3,FALSE)</f>
        <v>3</v>
      </c>
      <c r="H1140">
        <v>37</v>
      </c>
      <c r="I1140" t="s">
        <v>27</v>
      </c>
      <c r="J1140" t="s">
        <v>28</v>
      </c>
      <c r="K1140" s="2">
        <v>23549.158477069901</v>
      </c>
      <c r="L1140" s="2">
        <v>120733530.47957499</v>
      </c>
      <c r="M1140" s="3">
        <v>193.729604127009</v>
      </c>
      <c r="N1140" s="3">
        <v>67386134.208441302</v>
      </c>
      <c r="O1140" s="4">
        <v>0.25124343282185002</v>
      </c>
      <c r="P1140" s="4">
        <v>3.1427315237182597E-2</v>
      </c>
      <c r="Q1140" s="5">
        <v>-2.55407441436542E-2</v>
      </c>
      <c r="R1140" s="5">
        <v>3.45270195418515E-3</v>
      </c>
      <c r="S1140" s="6">
        <v>0.59037565601701203</v>
      </c>
      <c r="T1140" s="6">
        <v>6.7417193773441797E-2</v>
      </c>
      <c r="U1140" s="7">
        <v>0.81420300949738</v>
      </c>
      <c r="V1140" s="7">
        <v>0.15127646882293699</v>
      </c>
      <c r="W1140" s="8">
        <v>0.89914116887155804</v>
      </c>
      <c r="X1140" s="8">
        <v>9.0686327311901099E-2</v>
      </c>
      <c r="Y1140" s="2">
        <v>63</v>
      </c>
      <c r="Z1140" s="2">
        <f>VLOOKUP(E1140,YieldData!T:U,2,FALSE)</f>
        <v>1252</v>
      </c>
      <c r="AA1140">
        <f t="shared" si="34"/>
        <v>0.81420300949738</v>
      </c>
    </row>
    <row r="1141" spans="1:27" hidden="1" x14ac:dyDescent="0.25">
      <c r="A1141">
        <v>199</v>
      </c>
      <c r="B1141">
        <v>506</v>
      </c>
      <c r="C1141" t="s">
        <v>26</v>
      </c>
      <c r="D1141">
        <v>25105</v>
      </c>
      <c r="E1141">
        <f t="shared" si="35"/>
        <v>25105506</v>
      </c>
      <c r="F1141">
        <f>VLOOKUP(E1141,YieldData!D:F,2,FALSE)</f>
        <v>1</v>
      </c>
      <c r="G1141">
        <f>VLOOKUP($E1141,YieldData!$D:$F,3,FALSE)</f>
        <v>3</v>
      </c>
      <c r="H1141">
        <v>37</v>
      </c>
      <c r="I1141" t="s">
        <v>27</v>
      </c>
      <c r="J1141" t="s">
        <v>28</v>
      </c>
      <c r="K1141" s="2">
        <v>19249.8845339617</v>
      </c>
      <c r="L1141" s="2">
        <v>143789358.24534899</v>
      </c>
      <c r="M1141" s="3">
        <v>5000.06582387247</v>
      </c>
      <c r="N1141" s="3">
        <v>92536615.847920999</v>
      </c>
      <c r="O1141" s="4">
        <v>0.147129248521742</v>
      </c>
      <c r="P1141" s="4">
        <v>4.1060164061761897E-2</v>
      </c>
      <c r="Q1141" s="5">
        <v>-4.77811434448688E-2</v>
      </c>
      <c r="R1141" s="5">
        <v>2.85931308400005E-3</v>
      </c>
      <c r="S1141" s="6">
        <v>0.43643854798281601</v>
      </c>
      <c r="T1141" s="6">
        <v>0.105587164754968</v>
      </c>
      <c r="U1141" s="7">
        <v>0.61526869116961103</v>
      </c>
      <c r="V1141" s="7">
        <v>0.23671312883638701</v>
      </c>
      <c r="W1141" s="8">
        <v>0.98495377291918296</v>
      </c>
      <c r="X1141" s="8">
        <v>1.48198381314675E-2</v>
      </c>
      <c r="Y1141" s="2">
        <v>192</v>
      </c>
      <c r="Z1141" s="2">
        <f>VLOOKUP(E1141,YieldData!T:U,2,FALSE)</f>
        <v>1552</v>
      </c>
      <c r="AA1141">
        <f t="shared" si="34"/>
        <v>0.75781857322250801</v>
      </c>
    </row>
    <row r="1142" spans="1:27" hidden="1" x14ac:dyDescent="0.25">
      <c r="A1142">
        <v>200</v>
      </c>
      <c r="B1142">
        <v>507</v>
      </c>
      <c r="C1142" t="s">
        <v>26</v>
      </c>
      <c r="D1142">
        <v>25105</v>
      </c>
      <c r="E1142">
        <f t="shared" si="35"/>
        <v>25105507</v>
      </c>
      <c r="F1142">
        <f>VLOOKUP(E1142,YieldData!D:F,2,FALSE)</f>
        <v>2</v>
      </c>
      <c r="G1142">
        <f>VLOOKUP($E1142,YieldData!$D:$F,3,FALSE)</f>
        <v>3</v>
      </c>
      <c r="H1142">
        <v>37</v>
      </c>
      <c r="I1142" t="s">
        <v>27</v>
      </c>
      <c r="J1142" t="s">
        <v>28</v>
      </c>
      <c r="K1142" s="2">
        <v>16227.5041592986</v>
      </c>
      <c r="L1142" s="2">
        <v>145045058.22368401</v>
      </c>
      <c r="M1142" s="3">
        <v>6883.5151756527803</v>
      </c>
      <c r="N1142" s="3">
        <v>104312267.21473201</v>
      </c>
      <c r="O1142" s="4">
        <v>0.10300677851998501</v>
      </c>
      <c r="P1142" s="4">
        <v>4.9102402582317302E-2</v>
      </c>
      <c r="Q1142" s="5">
        <v>-5.99575994345449E-2</v>
      </c>
      <c r="R1142" s="5">
        <v>2.9394527372870001E-3</v>
      </c>
      <c r="S1142" s="6">
        <v>0.35201801762711799</v>
      </c>
      <c r="T1142" s="6">
        <v>0.124602211952416</v>
      </c>
      <c r="U1142" s="7">
        <v>0.49316330851037299</v>
      </c>
      <c r="V1142" s="7">
        <v>0.24995325964978801</v>
      </c>
      <c r="W1142" s="8">
        <v>0.94926651889118596</v>
      </c>
      <c r="X1142" s="8">
        <v>4.8159595003409397E-2</v>
      </c>
      <c r="Y1142" s="2">
        <v>116</v>
      </c>
      <c r="Z1142" s="2">
        <f>VLOOKUP(E1142,YieldData!T:U,2,FALSE)</f>
        <v>1595</v>
      </c>
      <c r="AA1142">
        <f t="shared" si="34"/>
        <v>0.77628760709304601</v>
      </c>
    </row>
    <row r="1143" spans="1:27" hidden="1" x14ac:dyDescent="0.25">
      <c r="A1143">
        <v>201</v>
      </c>
      <c r="B1143">
        <v>508</v>
      </c>
      <c r="C1143" t="s">
        <v>26</v>
      </c>
      <c r="D1143">
        <v>25105</v>
      </c>
      <c r="E1143">
        <f t="shared" si="35"/>
        <v>25105508</v>
      </c>
      <c r="H1143">
        <v>37</v>
      </c>
      <c r="I1143" t="s">
        <v>27</v>
      </c>
      <c r="J1143" t="s">
        <v>28</v>
      </c>
      <c r="K1143" s="2">
        <v>20437.003384883999</v>
      </c>
      <c r="L1143" s="2">
        <v>140414377.916181</v>
      </c>
      <c r="M1143" s="3">
        <v>3677.6110932754</v>
      </c>
      <c r="N1143" s="3">
        <v>70772722.845204607</v>
      </c>
      <c r="O1143" s="4">
        <v>0.171980887694131</v>
      </c>
      <c r="P1143" s="4">
        <v>3.38679436103188E-2</v>
      </c>
      <c r="Q1143" s="5">
        <v>-4.8391941057183703E-2</v>
      </c>
      <c r="R1143" s="5">
        <v>2.62608030499707E-3</v>
      </c>
      <c r="S1143" s="6">
        <v>0.47507636535051401</v>
      </c>
      <c r="T1143" s="6">
        <v>8.7779397335084206E-2</v>
      </c>
      <c r="U1143" s="7">
        <v>0.66758764218307098</v>
      </c>
      <c r="V1143" s="7">
        <v>0.221914382187544</v>
      </c>
      <c r="W1143" s="8">
        <v>0.981472843182987</v>
      </c>
      <c r="X1143" s="8">
        <v>1.8183901277314101E-2</v>
      </c>
      <c r="Y1143" s="2">
        <v>160</v>
      </c>
      <c r="Z1143" s="2">
        <f>VLOOKUP(E1143,YieldData!T:U,2,FALSE)</f>
        <v>0</v>
      </c>
      <c r="AA1143">
        <f t="shared" si="34"/>
        <v>0.68555196746800595</v>
      </c>
    </row>
    <row r="1144" spans="1:27" hidden="1" x14ac:dyDescent="0.25">
      <c r="A1144">
        <v>202</v>
      </c>
      <c r="B1144">
        <v>509</v>
      </c>
      <c r="C1144" t="s">
        <v>26</v>
      </c>
      <c r="D1144">
        <v>25105</v>
      </c>
      <c r="E1144">
        <f t="shared" si="35"/>
        <v>25105509</v>
      </c>
      <c r="H1144">
        <v>37</v>
      </c>
      <c r="I1144" t="s">
        <v>27</v>
      </c>
      <c r="J1144" t="s">
        <v>28</v>
      </c>
      <c r="K1144" s="2">
        <v>20613.336110734199</v>
      </c>
      <c r="L1144" s="2">
        <v>100071106.39092401</v>
      </c>
      <c r="M1144" s="3">
        <v>-66.575982898766497</v>
      </c>
      <c r="N1144" s="3">
        <v>46182403.820641696</v>
      </c>
      <c r="O1144" s="4">
        <v>0.28949590830128702</v>
      </c>
      <c r="P1144" s="4">
        <v>2.59110659347697E-2</v>
      </c>
      <c r="Q1144" s="5">
        <v>-1.9408847040960499E-2</v>
      </c>
      <c r="R1144" s="5">
        <v>3.0777878094686E-3</v>
      </c>
      <c r="S1144" s="6">
        <v>0.61158048915915098</v>
      </c>
      <c r="T1144" s="6">
        <v>5.46515031091344E-2</v>
      </c>
      <c r="U1144" s="7">
        <v>0.83235174379155896</v>
      </c>
      <c r="V1144" s="7">
        <v>0.139542318398786</v>
      </c>
      <c r="W1144" s="8">
        <v>0.91080200841362502</v>
      </c>
      <c r="X1144" s="8">
        <v>8.1241709883193097E-2</v>
      </c>
      <c r="Y1144" s="2">
        <v>68</v>
      </c>
      <c r="Z1144" s="2">
        <f>VLOOKUP(E1144,YieldData!T:U,2,FALSE)</f>
        <v>0</v>
      </c>
      <c r="AA1144">
        <f t="shared" si="34"/>
        <v>0.85520816370840802</v>
      </c>
    </row>
    <row r="1145" spans="1:27" hidden="1" x14ac:dyDescent="0.25">
      <c r="A1145">
        <v>185</v>
      </c>
      <c r="B1145">
        <v>601</v>
      </c>
      <c r="C1145" t="s">
        <v>26</v>
      </c>
      <c r="D1145">
        <v>25105</v>
      </c>
      <c r="E1145">
        <f t="shared" si="35"/>
        <v>25105601</v>
      </c>
      <c r="F1145">
        <f>VLOOKUP(E1145,YieldData!D:F,2,FALSE)</f>
        <v>1</v>
      </c>
      <c r="G1145">
        <f>VLOOKUP($E1145,YieldData!$D:$F,3,FALSE)</f>
        <v>4</v>
      </c>
      <c r="H1145">
        <v>37</v>
      </c>
      <c r="I1145" t="s">
        <v>27</v>
      </c>
      <c r="J1145" t="s">
        <v>28</v>
      </c>
      <c r="K1145" s="2">
        <v>19101.873347134198</v>
      </c>
      <c r="L1145" s="2">
        <v>113646306.476248</v>
      </c>
      <c r="M1145" s="3">
        <v>2303.2828092364598</v>
      </c>
      <c r="N1145" s="3">
        <v>74744133.165429607</v>
      </c>
      <c r="O1145" s="4">
        <v>0.27052167923801501</v>
      </c>
      <c r="P1145" s="4">
        <v>3.4373087367571498E-2</v>
      </c>
      <c r="Q1145" s="5">
        <v>-1.4120601920204199E-2</v>
      </c>
      <c r="R1145" s="5">
        <v>3.0380535418971801E-3</v>
      </c>
      <c r="S1145" s="6">
        <v>0.578671548762413</v>
      </c>
      <c r="T1145" s="6">
        <v>7.8889726942557206E-2</v>
      </c>
      <c r="U1145" s="7">
        <v>0.72786906456203904</v>
      </c>
      <c r="V1145" s="7">
        <v>0.19807568941565101</v>
      </c>
      <c r="W1145" s="8">
        <v>0.857174278690646</v>
      </c>
      <c r="X1145" s="8">
        <v>0.122426534641778</v>
      </c>
      <c r="Y1145" s="2">
        <v>48</v>
      </c>
      <c r="Z1145" s="2">
        <f>VLOOKUP(E1145,YieldData!T:U,2,FALSE)</f>
        <v>1237</v>
      </c>
      <c r="AA1145">
        <f t="shared" si="34"/>
        <v>0.72786906456203904</v>
      </c>
    </row>
    <row r="1146" spans="1:27" hidden="1" x14ac:dyDescent="0.25">
      <c r="A1146">
        <v>186</v>
      </c>
      <c r="B1146">
        <v>602</v>
      </c>
      <c r="C1146" t="s">
        <v>26</v>
      </c>
      <c r="D1146">
        <v>25105</v>
      </c>
      <c r="E1146">
        <f t="shared" si="35"/>
        <v>25105602</v>
      </c>
      <c r="F1146">
        <f>VLOOKUP(E1146,YieldData!D:F,2,FALSE)</f>
        <v>3</v>
      </c>
      <c r="G1146">
        <f>VLOOKUP($E1146,YieldData!$D:$F,3,FALSE)</f>
        <v>4</v>
      </c>
      <c r="H1146">
        <v>37</v>
      </c>
      <c r="I1146" t="s">
        <v>27</v>
      </c>
      <c r="J1146" t="s">
        <v>28</v>
      </c>
      <c r="K1146" s="2">
        <v>19850.466841500202</v>
      </c>
      <c r="L1146" s="2">
        <v>116183132.07116701</v>
      </c>
      <c r="M1146" s="3">
        <v>1915.6032119353799</v>
      </c>
      <c r="N1146" s="3">
        <v>66666273.167900197</v>
      </c>
      <c r="O1146" s="4">
        <v>0.25836309267948199</v>
      </c>
      <c r="P1146" s="4">
        <v>3.0657073532853501E-2</v>
      </c>
      <c r="Q1146" s="5">
        <v>-1.7396380943433501E-2</v>
      </c>
      <c r="R1146" s="5">
        <v>2.63174318635541E-3</v>
      </c>
      <c r="S1146" s="6">
        <v>0.55697974293917596</v>
      </c>
      <c r="T1146" s="6">
        <v>7.1586771746197306E-2</v>
      </c>
      <c r="U1146" s="7">
        <v>0.72686449202471604</v>
      </c>
      <c r="V1146" s="7">
        <v>0.19853250225814401</v>
      </c>
      <c r="W1146" s="8">
        <v>0.91482253197298502</v>
      </c>
      <c r="X1146" s="8">
        <v>7.7922266967707293E-2</v>
      </c>
      <c r="Y1146" s="2">
        <v>74</v>
      </c>
      <c r="Z1146" s="2">
        <f>VLOOKUP(E1146,YieldData!T:U,2,FALSE)</f>
        <v>691</v>
      </c>
      <c r="AA1146">
        <f t="shared" si="34"/>
        <v>0.72686449202471604</v>
      </c>
    </row>
    <row r="1147" spans="1:27" hidden="1" x14ac:dyDescent="0.25">
      <c r="A1147">
        <v>187</v>
      </c>
      <c r="B1147">
        <v>603</v>
      </c>
      <c r="C1147" t="s">
        <v>26</v>
      </c>
      <c r="D1147" t="s">
        <v>100</v>
      </c>
      <c r="E1147" t="e">
        <f t="shared" si="35"/>
        <v>#VALUE!</v>
      </c>
      <c r="H1147">
        <v>37</v>
      </c>
      <c r="I1147" t="s">
        <v>27</v>
      </c>
      <c r="J1147" t="s">
        <v>28</v>
      </c>
      <c r="K1147" s="2">
        <v>14241.2354157889</v>
      </c>
      <c r="L1147" s="2">
        <v>110644896.240796</v>
      </c>
      <c r="M1147" s="3">
        <v>6402.7866287610204</v>
      </c>
      <c r="N1147" s="3">
        <v>131381467.847019</v>
      </c>
      <c r="O1147" s="4">
        <v>0.172438459202121</v>
      </c>
      <c r="P1147" s="4">
        <v>7.5779694994303107E-2</v>
      </c>
      <c r="Q1147" s="5">
        <v>-2.91233000209416E-2</v>
      </c>
      <c r="R1147" s="5">
        <v>4.8289799682930002E-3</v>
      </c>
      <c r="S1147" s="6">
        <v>0.39060892618127802</v>
      </c>
      <c r="T1147" s="6">
        <v>0.15747275538351899</v>
      </c>
      <c r="U1147" s="7">
        <v>0.539357260504845</v>
      </c>
      <c r="V1147" s="7">
        <v>0.24845100604540701</v>
      </c>
      <c r="W1147" s="8">
        <v>0.86054825653400702</v>
      </c>
      <c r="X1147" s="8">
        <v>0.12000495471044501</v>
      </c>
      <c r="Y1147" s="2">
        <v>45</v>
      </c>
      <c r="Z1147" s="2" t="e">
        <f>VLOOKUP(E1147,YieldData!T:U,2,FALSE)</f>
        <v>#VALUE!</v>
      </c>
      <c r="AA1147">
        <f t="shared" si="34"/>
        <v>0.913534329143595</v>
      </c>
    </row>
    <row r="1148" spans="1:27" hidden="1" x14ac:dyDescent="0.25">
      <c r="A1148">
        <v>188</v>
      </c>
      <c r="B1148">
        <v>604</v>
      </c>
      <c r="C1148" t="s">
        <v>26</v>
      </c>
      <c r="D1148" t="s">
        <v>100</v>
      </c>
      <c r="E1148" t="e">
        <f t="shared" si="35"/>
        <v>#VALUE!</v>
      </c>
      <c r="H1148">
        <v>37</v>
      </c>
      <c r="I1148" t="s">
        <v>27</v>
      </c>
      <c r="J1148" t="s">
        <v>28</v>
      </c>
      <c r="K1148" s="2">
        <v>21324.9966488028</v>
      </c>
      <c r="L1148" s="2">
        <v>120756637.952352</v>
      </c>
      <c r="M1148" s="3">
        <v>50.6820563227691</v>
      </c>
      <c r="N1148" s="3">
        <v>75474941.846204907</v>
      </c>
      <c r="O1148" s="4">
        <v>0.26848552238219298</v>
      </c>
      <c r="P1148" s="4">
        <v>3.39295984997443E-2</v>
      </c>
      <c r="Q1148" s="5">
        <v>-1.17099791889768E-2</v>
      </c>
      <c r="R1148" s="5">
        <v>2.7074213114518398E-3</v>
      </c>
      <c r="S1148" s="6">
        <v>0.57499443964733699</v>
      </c>
      <c r="T1148" s="6">
        <v>8.5641165788344104E-2</v>
      </c>
      <c r="U1148" s="7">
        <v>0.74794012158475598</v>
      </c>
      <c r="V1148" s="7">
        <v>0.18852569610859499</v>
      </c>
      <c r="W1148" s="8">
        <v>0.875174830016756</v>
      </c>
      <c r="X1148" s="8">
        <v>0.109243846921871</v>
      </c>
      <c r="Y1148" s="2">
        <v>39</v>
      </c>
      <c r="Z1148" s="2" t="e">
        <f>VLOOKUP(E1148,YieldData!T:U,2,FALSE)</f>
        <v>#VALUE!</v>
      </c>
      <c r="AA1148">
        <f t="shared" si="34"/>
        <v>0.913534329143595</v>
      </c>
    </row>
    <row r="1149" spans="1:27" hidden="1" x14ac:dyDescent="0.25">
      <c r="A1149">
        <v>189</v>
      </c>
      <c r="B1149">
        <v>605</v>
      </c>
      <c r="C1149" t="s">
        <v>26</v>
      </c>
      <c r="D1149" t="s">
        <v>100</v>
      </c>
      <c r="E1149" t="e">
        <f t="shared" si="35"/>
        <v>#VALUE!</v>
      </c>
      <c r="H1149">
        <v>37</v>
      </c>
      <c r="I1149" t="s">
        <v>27</v>
      </c>
      <c r="J1149" t="s">
        <v>28</v>
      </c>
      <c r="K1149" s="2">
        <v>17840.9971021581</v>
      </c>
      <c r="L1149" s="2">
        <v>144974988.581824</v>
      </c>
      <c r="M1149" s="3">
        <v>3961.1503302389901</v>
      </c>
      <c r="N1149" s="3">
        <v>116462828.807428</v>
      </c>
      <c r="O1149" s="4">
        <v>0.16526003741399001</v>
      </c>
      <c r="P1149" s="4">
        <v>5.2418254521297197E-2</v>
      </c>
      <c r="Q1149" s="5">
        <v>-3.4880031356911999E-2</v>
      </c>
      <c r="R1149" s="5">
        <v>3.6178412011856698E-3</v>
      </c>
      <c r="S1149" s="6">
        <v>0.41872746674454597</v>
      </c>
      <c r="T1149" s="6">
        <v>0.13151483836657599</v>
      </c>
      <c r="U1149" s="7">
        <v>0.57877361374335101</v>
      </c>
      <c r="V1149" s="7">
        <v>0.243794717777681</v>
      </c>
      <c r="W1149" s="8">
        <v>0.72238185486336104</v>
      </c>
      <c r="X1149" s="8">
        <v>0.20054631062724201</v>
      </c>
      <c r="Y1149" s="2">
        <v>28</v>
      </c>
      <c r="Z1149" s="2" t="e">
        <f>VLOOKUP(E1149,YieldData!T:U,2,FALSE)</f>
        <v>#VALUE!</v>
      </c>
      <c r="AA1149">
        <f t="shared" si="34"/>
        <v>0.913534329143595</v>
      </c>
    </row>
    <row r="1150" spans="1:27" hidden="1" x14ac:dyDescent="0.25">
      <c r="A1150">
        <v>190</v>
      </c>
      <c r="B1150">
        <v>606</v>
      </c>
      <c r="C1150" t="s">
        <v>26</v>
      </c>
      <c r="D1150" t="s">
        <v>100</v>
      </c>
      <c r="E1150" t="e">
        <f t="shared" si="35"/>
        <v>#VALUE!</v>
      </c>
      <c r="H1150">
        <v>37</v>
      </c>
      <c r="I1150" t="s">
        <v>27</v>
      </c>
      <c r="J1150" t="s">
        <v>28</v>
      </c>
      <c r="K1150" s="2">
        <v>19206.018950648599</v>
      </c>
      <c r="L1150" s="2">
        <v>151243946.42403001</v>
      </c>
      <c r="M1150" s="3">
        <v>2803.6109400036999</v>
      </c>
      <c r="N1150" s="3">
        <v>102440473.72957601</v>
      </c>
      <c r="O1150" s="4">
        <v>0.17688836456424001</v>
      </c>
      <c r="P1150" s="4">
        <v>4.9496608872989699E-2</v>
      </c>
      <c r="Q1150" s="5">
        <v>-3.1204423040350999E-2</v>
      </c>
      <c r="R1150" s="5">
        <v>3.1751592237233301E-3</v>
      </c>
      <c r="S1150" s="6">
        <v>0.44795958646813</v>
      </c>
      <c r="T1150" s="6">
        <v>0.12935067337230399</v>
      </c>
      <c r="U1150" s="7">
        <v>0.628221851825011</v>
      </c>
      <c r="V1150" s="7">
        <v>0.233559156714716</v>
      </c>
      <c r="W1150" s="8">
        <v>0.81404449597796902</v>
      </c>
      <c r="X1150" s="8">
        <v>0.15137605454630901</v>
      </c>
      <c r="Y1150" s="2">
        <v>36</v>
      </c>
      <c r="Z1150" s="2" t="e">
        <f>VLOOKUP(E1150,YieldData!T:U,2,FALSE)</f>
        <v>#VALUE!</v>
      </c>
      <c r="AA1150">
        <f t="shared" si="34"/>
        <v>0.913534329143595</v>
      </c>
    </row>
    <row r="1151" spans="1:27" hidden="1" x14ac:dyDescent="0.25">
      <c r="A1151">
        <v>191</v>
      </c>
      <c r="B1151">
        <v>607</v>
      </c>
      <c r="C1151" t="s">
        <v>26</v>
      </c>
      <c r="D1151" t="s">
        <v>100</v>
      </c>
      <c r="E1151" t="e">
        <f t="shared" si="35"/>
        <v>#VALUE!</v>
      </c>
      <c r="H1151">
        <v>37</v>
      </c>
      <c r="I1151" t="s">
        <v>27</v>
      </c>
      <c r="J1151" t="s">
        <v>28</v>
      </c>
      <c r="K1151" s="2">
        <v>19746.215996871</v>
      </c>
      <c r="L1151" s="2">
        <v>162653611.82300401</v>
      </c>
      <c r="M1151" s="3">
        <v>2874.1651711186501</v>
      </c>
      <c r="N1151" s="3">
        <v>98094703.155367196</v>
      </c>
      <c r="O1151" s="4">
        <v>0.18435695313301201</v>
      </c>
      <c r="P1151" s="4">
        <v>4.3739120598596803E-2</v>
      </c>
      <c r="Q1151" s="5">
        <v>-2.89569438352788E-2</v>
      </c>
      <c r="R1151" s="5">
        <v>2.7138852108319002E-3</v>
      </c>
      <c r="S1151" s="6">
        <v>0.45372977842762902</v>
      </c>
      <c r="T1151" s="6">
        <v>0.11508594472083999</v>
      </c>
      <c r="U1151" s="7">
        <v>0.61231299501320002</v>
      </c>
      <c r="V1151" s="7">
        <v>0.23738579115146599</v>
      </c>
      <c r="W1151" s="8">
        <v>0.67402464065708401</v>
      </c>
      <c r="X1151" s="8">
        <v>0.21971542444426401</v>
      </c>
      <c r="Y1151" s="2">
        <v>40</v>
      </c>
      <c r="Z1151" s="2" t="e">
        <f>VLOOKUP(E1151,YieldData!T:U,2,FALSE)</f>
        <v>#VALUE!</v>
      </c>
      <c r="AA1151">
        <f t="shared" si="34"/>
        <v>0.913534329143595</v>
      </c>
    </row>
    <row r="1152" spans="1:27" hidden="1" x14ac:dyDescent="0.25">
      <c r="A1152">
        <v>192</v>
      </c>
      <c r="B1152">
        <v>608</v>
      </c>
      <c r="C1152" t="s">
        <v>26</v>
      </c>
      <c r="D1152" t="s">
        <v>100</v>
      </c>
      <c r="E1152" t="e">
        <f t="shared" si="35"/>
        <v>#VALUE!</v>
      </c>
      <c r="H1152">
        <v>37</v>
      </c>
      <c r="I1152" t="s">
        <v>27</v>
      </c>
      <c r="J1152" t="s">
        <v>28</v>
      </c>
      <c r="K1152" s="2">
        <v>17141.629289690001</v>
      </c>
      <c r="L1152" s="2">
        <v>148932180.39878899</v>
      </c>
      <c r="M1152" s="3">
        <v>3830.0592067133398</v>
      </c>
      <c r="N1152" s="3">
        <v>117410294.032786</v>
      </c>
      <c r="O1152" s="4">
        <v>0.17538426952383801</v>
      </c>
      <c r="P1152" s="4">
        <v>5.8617413382130598E-2</v>
      </c>
      <c r="Q1152" s="5">
        <v>-3.9176418378768299E-2</v>
      </c>
      <c r="R1152" s="5">
        <v>3.64674911445998E-3</v>
      </c>
      <c r="S1152" s="6">
        <v>0.42937940686360598</v>
      </c>
      <c r="T1152" s="6">
        <v>0.14210886092123301</v>
      </c>
      <c r="U1152" s="7">
        <v>0.60185287576640001</v>
      </c>
      <c r="V1152" s="7">
        <v>0.23962599169797799</v>
      </c>
      <c r="W1152" s="8">
        <v>0.81586739897035199</v>
      </c>
      <c r="X1152" s="8">
        <v>0.150227786267463</v>
      </c>
      <c r="Y1152" s="2">
        <v>57</v>
      </c>
      <c r="Z1152" s="2" t="e">
        <f>VLOOKUP(E1152,YieldData!T:U,2,FALSE)</f>
        <v>#VALUE!</v>
      </c>
      <c r="AA1152">
        <f t="shared" si="34"/>
        <v>0.913534329143595</v>
      </c>
    </row>
    <row r="1153" spans="1:27" hidden="1" x14ac:dyDescent="0.25">
      <c r="A1153">
        <v>193</v>
      </c>
      <c r="B1153">
        <v>609</v>
      </c>
      <c r="C1153" t="s">
        <v>26</v>
      </c>
      <c r="D1153" t="s">
        <v>100</v>
      </c>
      <c r="E1153" t="e">
        <f t="shared" si="35"/>
        <v>#VALUE!</v>
      </c>
      <c r="H1153">
        <v>37</v>
      </c>
      <c r="I1153" t="s">
        <v>27</v>
      </c>
      <c r="J1153" t="s">
        <v>28</v>
      </c>
      <c r="K1153" s="2">
        <v>20921.142396756499</v>
      </c>
      <c r="L1153" s="2">
        <v>147463824.649914</v>
      </c>
      <c r="M1153" s="3">
        <v>300.49058299761401</v>
      </c>
      <c r="N1153" s="3">
        <v>81828097.762260705</v>
      </c>
      <c r="O1153" s="4">
        <v>0.239065297083663</v>
      </c>
      <c r="P1153" s="4">
        <v>3.6759068452336098E-2</v>
      </c>
      <c r="Q1153" s="5">
        <v>-3.2104752145195502E-2</v>
      </c>
      <c r="R1153" s="5">
        <v>3.03752350470854E-3</v>
      </c>
      <c r="S1153" s="6">
        <v>0.540448655480816</v>
      </c>
      <c r="T1153" s="6">
        <v>9.6807623762576497E-2</v>
      </c>
      <c r="U1153" s="7">
        <v>0.731605894430439</v>
      </c>
      <c r="V1153" s="7">
        <v>0.19635870966484101</v>
      </c>
      <c r="W1153" s="8">
        <v>0.59074252150635398</v>
      </c>
      <c r="X1153" s="8">
        <v>0.241765794791028</v>
      </c>
      <c r="Y1153" s="2">
        <v>20</v>
      </c>
      <c r="Z1153" s="2" t="e">
        <f>VLOOKUP(E1153,YieldData!T:U,2,FALSE)</f>
        <v>#VALUE!</v>
      </c>
      <c r="AA1153">
        <f t="shared" si="34"/>
        <v>0.913534329143595</v>
      </c>
    </row>
    <row r="1154" spans="1:27" hidden="1" x14ac:dyDescent="0.25">
      <c r="A1154">
        <v>176</v>
      </c>
      <c r="B1154">
        <v>701</v>
      </c>
      <c r="C1154" t="s">
        <v>26</v>
      </c>
      <c r="D1154">
        <v>25106</v>
      </c>
      <c r="E1154">
        <f t="shared" si="35"/>
        <v>25106701</v>
      </c>
      <c r="F1154">
        <f>VLOOKUP(E1154,YieldData!D:F,2,FALSE)</f>
        <v>1</v>
      </c>
      <c r="G1154">
        <f>VLOOKUP($E1154,YieldData!$D:$F,3,FALSE)</f>
        <v>1</v>
      </c>
      <c r="H1154">
        <v>37</v>
      </c>
      <c r="I1154" t="s">
        <v>27</v>
      </c>
      <c r="J1154" t="s">
        <v>28</v>
      </c>
      <c r="K1154" s="2">
        <v>23190.281909819802</v>
      </c>
      <c r="L1154" s="2">
        <v>188593766.42010099</v>
      </c>
      <c r="M1154" s="3">
        <v>2640.0414129936598</v>
      </c>
      <c r="N1154" s="3">
        <v>68264034.5252489</v>
      </c>
      <c r="O1154" s="4">
        <v>0.21446329182419199</v>
      </c>
      <c r="P1154" s="4">
        <v>1.93519657025518E-2</v>
      </c>
      <c r="Q1154" s="5">
        <v>-3.5227783451787099E-2</v>
      </c>
      <c r="R1154" s="5">
        <v>2.2143358717273301E-3</v>
      </c>
      <c r="S1154" s="6">
        <v>0.55903843505333195</v>
      </c>
      <c r="T1154" s="6">
        <v>6.1854885081954698E-2</v>
      </c>
      <c r="U1154" s="7">
        <v>0.68657351310938697</v>
      </c>
      <c r="V1154" s="7">
        <v>0.21519032420619</v>
      </c>
      <c r="W1154" s="8">
        <v>0.733068653484235</v>
      </c>
      <c r="X1154" s="8">
        <v>0.195679002762747</v>
      </c>
      <c r="Y1154" s="2">
        <v>27</v>
      </c>
      <c r="Z1154" s="2">
        <f>VLOOKUP(E1154,YieldData!T:U,2,FALSE)</f>
        <v>1542</v>
      </c>
      <c r="AA1154">
        <f t="shared" ref="AA1154:AA1217" si="36">_xlfn.MAXIFS(U:U,E:E,E1154)</f>
        <v>0.76417356330729402</v>
      </c>
    </row>
    <row r="1155" spans="1:27" hidden="1" x14ac:dyDescent="0.25">
      <c r="A1155">
        <v>177</v>
      </c>
      <c r="B1155">
        <v>702</v>
      </c>
      <c r="C1155" t="s">
        <v>26</v>
      </c>
      <c r="D1155">
        <v>25106</v>
      </c>
      <c r="E1155">
        <f t="shared" ref="E1155:E1218" si="37">D1155*1000+B1155</f>
        <v>25106702</v>
      </c>
      <c r="F1155">
        <f>VLOOKUP(E1155,YieldData!D:F,2,FALSE)</f>
        <v>2</v>
      </c>
      <c r="G1155">
        <f>VLOOKUP($E1155,YieldData!$D:$F,3,FALSE)</f>
        <v>1</v>
      </c>
      <c r="H1155">
        <v>37</v>
      </c>
      <c r="I1155" t="s">
        <v>27</v>
      </c>
      <c r="J1155" t="s">
        <v>28</v>
      </c>
      <c r="K1155" s="2">
        <v>20262.4922784189</v>
      </c>
      <c r="L1155" s="2">
        <v>176008754.81559101</v>
      </c>
      <c r="M1155" s="3">
        <v>3937.6214122207898</v>
      </c>
      <c r="N1155" s="3">
        <v>94894708.561104596</v>
      </c>
      <c r="O1155" s="4">
        <v>0.200177714556947</v>
      </c>
      <c r="P1155" s="4">
        <v>3.6837036657657501E-2</v>
      </c>
      <c r="Q1155" s="5">
        <v>-2.7320061196198599E-2</v>
      </c>
      <c r="R1155" s="5">
        <v>2.64788524491694E-3</v>
      </c>
      <c r="S1155" s="6">
        <v>0.489802715574922</v>
      </c>
      <c r="T1155" s="6">
        <v>9.5761906333596394E-2</v>
      </c>
      <c r="U1155" s="7">
        <v>0.62322612325067495</v>
      </c>
      <c r="V1155" s="7">
        <v>0.23481532254840201</v>
      </c>
      <c r="W1155" s="8">
        <v>0.82493248219985305</v>
      </c>
      <c r="X1155" s="8">
        <v>0.14441888201142999</v>
      </c>
      <c r="Y1155" s="2">
        <v>43</v>
      </c>
      <c r="Z1155" s="2">
        <f>VLOOKUP(E1155,YieldData!T:U,2,FALSE)</f>
        <v>1239</v>
      </c>
      <c r="AA1155">
        <f t="shared" si="36"/>
        <v>0.65016756896107197</v>
      </c>
    </row>
    <row r="1156" spans="1:27" hidden="1" x14ac:dyDescent="0.25">
      <c r="A1156">
        <v>178</v>
      </c>
      <c r="B1156">
        <v>703</v>
      </c>
      <c r="C1156" t="s">
        <v>26</v>
      </c>
      <c r="D1156">
        <v>25106</v>
      </c>
      <c r="E1156">
        <f t="shared" si="37"/>
        <v>25106703</v>
      </c>
      <c r="F1156">
        <f>VLOOKUP(E1156,YieldData!D:F,2,FALSE)</f>
        <v>3</v>
      </c>
      <c r="G1156">
        <f>VLOOKUP($E1156,YieldData!$D:$F,3,FALSE)</f>
        <v>1</v>
      </c>
      <c r="H1156">
        <v>37</v>
      </c>
      <c r="I1156" t="s">
        <v>27</v>
      </c>
      <c r="J1156" t="s">
        <v>28</v>
      </c>
      <c r="K1156" s="2">
        <v>25389.9179026454</v>
      </c>
      <c r="L1156" s="2">
        <v>187205240.25912601</v>
      </c>
      <c r="M1156" s="3">
        <v>1938.4908080760999</v>
      </c>
      <c r="N1156" s="3">
        <v>97311950.365924805</v>
      </c>
      <c r="O1156" s="4">
        <v>0.19647905977404001</v>
      </c>
      <c r="P1156" s="4">
        <v>3.8366029097276502E-2</v>
      </c>
      <c r="Q1156" s="5">
        <v>-4.3203591373519701E-2</v>
      </c>
      <c r="R1156" s="5">
        <v>3.05521206962144E-3</v>
      </c>
      <c r="S1156" s="6">
        <v>0.53313603658098796</v>
      </c>
      <c r="T1156" s="6">
        <v>0.104205907109931</v>
      </c>
      <c r="U1156" s="7">
        <v>0.74555047656097995</v>
      </c>
      <c r="V1156" s="7">
        <v>0.18970496346094601</v>
      </c>
      <c r="W1156" s="8">
        <v>0.92113645205213002</v>
      </c>
      <c r="X1156" s="8">
        <v>7.2644088752701105E-2</v>
      </c>
      <c r="Y1156" s="2">
        <v>96</v>
      </c>
      <c r="Z1156" s="2">
        <f>VLOOKUP(E1156,YieldData!T:U,2,FALSE)</f>
        <v>975</v>
      </c>
      <c r="AA1156">
        <f t="shared" si="36"/>
        <v>0.87971551881344601</v>
      </c>
    </row>
    <row r="1157" spans="1:27" hidden="1" x14ac:dyDescent="0.25">
      <c r="A1157">
        <v>179</v>
      </c>
      <c r="B1157">
        <v>704</v>
      </c>
      <c r="C1157" t="s">
        <v>26</v>
      </c>
      <c r="D1157">
        <v>25106</v>
      </c>
      <c r="E1157">
        <f t="shared" si="37"/>
        <v>25106704</v>
      </c>
      <c r="F1157">
        <f>VLOOKUP(E1157,YieldData!D:F,2,FALSE)</f>
        <v>4</v>
      </c>
      <c r="G1157">
        <f>VLOOKUP($E1157,YieldData!$D:$F,3,FALSE)</f>
        <v>1</v>
      </c>
      <c r="H1157">
        <v>37</v>
      </c>
      <c r="I1157" t="s">
        <v>27</v>
      </c>
      <c r="J1157" t="s">
        <v>28</v>
      </c>
      <c r="K1157" s="2">
        <v>18287.8888716568</v>
      </c>
      <c r="L1157" s="2">
        <v>206678422.870305</v>
      </c>
      <c r="M1157" s="3">
        <v>7568.4482132405301</v>
      </c>
      <c r="N1157" s="3">
        <v>117154159.48789801</v>
      </c>
      <c r="O1157" s="4">
        <v>8.6899589653108594E-2</v>
      </c>
      <c r="P1157" s="4">
        <v>4.0264338616861302E-2</v>
      </c>
      <c r="Q1157" s="5">
        <v>-5.3812341340410803E-2</v>
      </c>
      <c r="R1157" s="5">
        <v>2.9880227320329398E-3</v>
      </c>
      <c r="S1157" s="6">
        <v>0.33318118362871102</v>
      </c>
      <c r="T1157" s="6">
        <v>0.13032074791783299</v>
      </c>
      <c r="U1157" s="7">
        <v>0.481593751321782</v>
      </c>
      <c r="V1157" s="7">
        <v>0.249661210009687</v>
      </c>
      <c r="W1157" s="8">
        <v>0.79273055394983605</v>
      </c>
      <c r="X1157" s="8">
        <v>0.164308822784477</v>
      </c>
      <c r="Y1157" s="2">
        <v>50</v>
      </c>
      <c r="Z1157" s="2">
        <f>VLOOKUP(E1157,YieldData!T:U,2,FALSE)</f>
        <v>819</v>
      </c>
      <c r="AA1157">
        <f t="shared" si="36"/>
        <v>0.63442830960101504</v>
      </c>
    </row>
    <row r="1158" spans="1:27" hidden="1" x14ac:dyDescent="0.25">
      <c r="A1158">
        <v>180</v>
      </c>
      <c r="B1158">
        <v>705</v>
      </c>
      <c r="C1158" t="s">
        <v>26</v>
      </c>
      <c r="D1158">
        <v>25106</v>
      </c>
      <c r="E1158">
        <f t="shared" si="37"/>
        <v>25106705</v>
      </c>
      <c r="F1158">
        <f>VLOOKUP(E1158,YieldData!D:F,2,FALSE)</f>
        <v>3</v>
      </c>
      <c r="G1158">
        <f>VLOOKUP($E1158,YieldData!$D:$F,3,FALSE)</f>
        <v>2</v>
      </c>
      <c r="H1158">
        <v>37</v>
      </c>
      <c r="I1158" t="s">
        <v>27</v>
      </c>
      <c r="J1158" t="s">
        <v>28</v>
      </c>
      <c r="K1158" s="2">
        <v>28084.722949142299</v>
      </c>
      <c r="L1158" s="2">
        <v>170250534.54012999</v>
      </c>
      <c r="M1158" s="3">
        <v>559.33044338365096</v>
      </c>
      <c r="N1158" s="3">
        <v>71470763.503864601</v>
      </c>
      <c r="O1158" s="4">
        <v>0.17390206696176</v>
      </c>
      <c r="P1158" s="4">
        <v>2.5875348859466199E-2</v>
      </c>
      <c r="Q1158" s="5">
        <v>-4.8461398392280301E-2</v>
      </c>
      <c r="R1158" s="5">
        <v>2.8010779668146699E-3</v>
      </c>
      <c r="S1158" s="6">
        <v>0.54234240249949806</v>
      </c>
      <c r="T1158" s="6">
        <v>7.3505242528857595E-2</v>
      </c>
      <c r="U1158" s="7">
        <v>0.79144146855251296</v>
      </c>
      <c r="V1158" s="7">
        <v>0.165061870407718</v>
      </c>
      <c r="W1158" s="8">
        <v>0.97663557026782999</v>
      </c>
      <c r="X1158" s="8">
        <v>2.2818533155539601E-2</v>
      </c>
      <c r="Y1158" s="2">
        <v>128</v>
      </c>
      <c r="Z1158" s="2">
        <f>VLOOKUP(E1158,YieldData!T:U,2,FALSE)</f>
        <v>1642</v>
      </c>
      <c r="AA1158">
        <f t="shared" si="36"/>
        <v>0.883592151197785</v>
      </c>
    </row>
    <row r="1159" spans="1:27" hidden="1" x14ac:dyDescent="0.25">
      <c r="A1159">
        <v>181</v>
      </c>
      <c r="B1159">
        <v>706</v>
      </c>
      <c r="C1159" t="s">
        <v>26</v>
      </c>
      <c r="D1159">
        <v>25106</v>
      </c>
      <c r="E1159">
        <f t="shared" si="37"/>
        <v>25106706</v>
      </c>
      <c r="F1159">
        <f>VLOOKUP(E1159,YieldData!D:F,2,FALSE)</f>
        <v>2</v>
      </c>
      <c r="G1159">
        <f>VLOOKUP($E1159,YieldData!$D:$F,3,FALSE)</f>
        <v>2</v>
      </c>
      <c r="H1159">
        <v>37</v>
      </c>
      <c r="I1159" t="s">
        <v>27</v>
      </c>
      <c r="J1159" t="s">
        <v>28</v>
      </c>
      <c r="K1159" s="2">
        <v>23898.186974082801</v>
      </c>
      <c r="L1159" s="2">
        <v>215963781.70957401</v>
      </c>
      <c r="M1159" s="3">
        <v>2988.8853444210499</v>
      </c>
      <c r="N1159" s="3">
        <v>83871683.050748795</v>
      </c>
      <c r="O1159" s="4">
        <v>0.13883870165092899</v>
      </c>
      <c r="P1159" s="4">
        <v>2.8319824641759899E-2</v>
      </c>
      <c r="Q1159" s="5">
        <v>-4.6820613017628E-2</v>
      </c>
      <c r="R1159" s="5">
        <v>2.58025022451174E-3</v>
      </c>
      <c r="S1159" s="6">
        <v>0.45227493613111402</v>
      </c>
      <c r="T1159" s="6">
        <v>9.4406934194181003E-2</v>
      </c>
      <c r="U1159" s="7">
        <v>0.63812088281963697</v>
      </c>
      <c r="V1159" s="7">
        <v>0.230922621729274</v>
      </c>
      <c r="W1159" s="8">
        <v>0.98045391162186901</v>
      </c>
      <c r="X1159" s="8">
        <v>1.91640388071883E-2</v>
      </c>
      <c r="Y1159" s="2">
        <v>131</v>
      </c>
      <c r="Z1159" s="2">
        <f>VLOOKUP(E1159,YieldData!T:U,2,FALSE)</f>
        <v>1263</v>
      </c>
      <c r="AA1159">
        <f t="shared" si="36"/>
        <v>0.73635303593109502</v>
      </c>
    </row>
    <row r="1160" spans="1:27" hidden="1" x14ac:dyDescent="0.25">
      <c r="A1160">
        <v>182</v>
      </c>
      <c r="B1160">
        <v>707</v>
      </c>
      <c r="C1160" t="s">
        <v>26</v>
      </c>
      <c r="D1160">
        <v>25106</v>
      </c>
      <c r="E1160">
        <f t="shared" si="37"/>
        <v>25106707</v>
      </c>
      <c r="F1160">
        <f>VLOOKUP(E1160,YieldData!D:F,2,FALSE)</f>
        <v>1</v>
      </c>
      <c r="G1160">
        <f>VLOOKUP($E1160,YieldData!$D:$F,3,FALSE)</f>
        <v>2</v>
      </c>
      <c r="H1160">
        <v>37</v>
      </c>
      <c r="I1160" t="s">
        <v>27</v>
      </c>
      <c r="J1160" t="s">
        <v>28</v>
      </c>
      <c r="K1160" s="2">
        <v>27194.766112925001</v>
      </c>
      <c r="L1160" s="2">
        <v>180410949.02125299</v>
      </c>
      <c r="M1160" s="3">
        <v>612.06204965410598</v>
      </c>
      <c r="N1160" s="3">
        <v>59476171.588521004</v>
      </c>
      <c r="O1160" s="4">
        <v>0.17560479113504601</v>
      </c>
      <c r="P1160" s="4">
        <v>2.0000545707228399E-2</v>
      </c>
      <c r="Q1160" s="5">
        <v>-4.73344338793628E-2</v>
      </c>
      <c r="R1160" s="5">
        <v>2.1948193376064499E-3</v>
      </c>
      <c r="S1160" s="6">
        <v>0.52564658436713796</v>
      </c>
      <c r="T1160" s="6">
        <v>6.0099526125529303E-2</v>
      </c>
      <c r="U1160" s="7">
        <v>0.71547486634853397</v>
      </c>
      <c r="V1160" s="7">
        <v>0.203570581971762</v>
      </c>
      <c r="W1160" s="8">
        <v>0.98122301555978098</v>
      </c>
      <c r="X1160" s="8">
        <v>1.84244092955675E-2</v>
      </c>
      <c r="Y1160" s="2">
        <v>127</v>
      </c>
      <c r="Z1160" s="2">
        <f>VLOOKUP(E1160,YieldData!T:U,2,FALSE)</f>
        <v>2142</v>
      </c>
      <c r="AA1160">
        <f t="shared" si="36"/>
        <v>0.77565543967084505</v>
      </c>
    </row>
    <row r="1161" spans="1:27" hidden="1" x14ac:dyDescent="0.25">
      <c r="A1161">
        <v>183</v>
      </c>
      <c r="B1161">
        <v>708</v>
      </c>
      <c r="C1161" t="s">
        <v>26</v>
      </c>
      <c r="D1161">
        <v>25106</v>
      </c>
      <c r="E1161">
        <f t="shared" si="37"/>
        <v>25106708</v>
      </c>
      <c r="F1161">
        <f>VLOOKUP(E1161,YieldData!D:F,2,FALSE)</f>
        <v>4</v>
      </c>
      <c r="G1161">
        <f>VLOOKUP($E1161,YieldData!$D:$F,3,FALSE)</f>
        <v>2</v>
      </c>
      <c r="H1161">
        <v>37</v>
      </c>
      <c r="I1161" t="s">
        <v>27</v>
      </c>
      <c r="J1161" t="s">
        <v>28</v>
      </c>
      <c r="K1161" s="2">
        <v>19818.782249301501</v>
      </c>
      <c r="L1161" s="2">
        <v>213730940.50431699</v>
      </c>
      <c r="M1161" s="3">
        <v>4912.9467424402501</v>
      </c>
      <c r="N1161" s="3">
        <v>94272706.056741893</v>
      </c>
      <c r="O1161" s="4">
        <v>9.4282920278867893E-2</v>
      </c>
      <c r="P1161" s="4">
        <v>3.4766336220013599E-2</v>
      </c>
      <c r="Q1161" s="5">
        <v>-6.2034042982928202E-2</v>
      </c>
      <c r="R1161" s="5">
        <v>2.2846840548533501E-3</v>
      </c>
      <c r="S1161" s="6">
        <v>0.36265549867605701</v>
      </c>
      <c r="T1161" s="6">
        <v>0.117713385488767</v>
      </c>
      <c r="U1161" s="7">
        <v>0.52904118803684197</v>
      </c>
      <c r="V1161" s="7">
        <v>0.24915660939759299</v>
      </c>
      <c r="W1161" s="8">
        <v>0.91238487012314995</v>
      </c>
      <c r="X1161" s="8">
        <v>7.9938718893697996E-2</v>
      </c>
      <c r="Y1161" s="2">
        <v>72</v>
      </c>
      <c r="Z1161" s="2">
        <f>VLOOKUP(E1161,YieldData!T:U,2,FALSE)</f>
        <v>1574</v>
      </c>
      <c r="AA1161">
        <f t="shared" si="36"/>
        <v>0.61726430715098801</v>
      </c>
    </row>
    <row r="1162" spans="1:27" hidden="1" x14ac:dyDescent="0.25">
      <c r="A1162">
        <v>184</v>
      </c>
      <c r="B1162">
        <v>709</v>
      </c>
      <c r="C1162" t="s">
        <v>26</v>
      </c>
      <c r="D1162">
        <v>25106</v>
      </c>
      <c r="E1162">
        <f t="shared" si="37"/>
        <v>25106709</v>
      </c>
      <c r="F1162">
        <f>VLOOKUP(E1162,YieldData!D:F,2,FALSE)</f>
        <v>4</v>
      </c>
      <c r="G1162">
        <f>VLOOKUP($E1162,YieldData!$D:$F,3,FALSE)</f>
        <v>3</v>
      </c>
      <c r="H1162">
        <v>37</v>
      </c>
      <c r="I1162" t="s">
        <v>27</v>
      </c>
      <c r="J1162" t="s">
        <v>28</v>
      </c>
      <c r="K1162" s="2">
        <v>14510.180279635</v>
      </c>
      <c r="L1162" s="2">
        <v>214663726.61511999</v>
      </c>
      <c r="M1162" s="3">
        <v>7915.6829571299204</v>
      </c>
      <c r="N1162" s="3">
        <v>88230758.196497396</v>
      </c>
      <c r="O1162" s="4">
        <v>3.0344444256572699E-2</v>
      </c>
      <c r="P1162" s="4">
        <v>2.8399223318251701E-2</v>
      </c>
      <c r="Q1162" s="5">
        <v>-7.5986002821354606E-2</v>
      </c>
      <c r="R1162" s="5">
        <v>1.9230393286611401E-3</v>
      </c>
      <c r="S1162" s="6">
        <v>0.23531085785240999</v>
      </c>
      <c r="T1162" s="6">
        <v>0.11384164288354399</v>
      </c>
      <c r="U1162" s="7">
        <v>0.36022437775837501</v>
      </c>
      <c r="V1162" s="7">
        <v>0.23046277542695601</v>
      </c>
      <c r="W1162" s="8">
        <v>0.92364458371706404</v>
      </c>
      <c r="X1162" s="8">
        <v>7.0525266687145594E-2</v>
      </c>
      <c r="Y1162" s="2">
        <v>57</v>
      </c>
      <c r="Z1162" s="2">
        <f>VLOOKUP(E1162,YieldData!T:U,2,FALSE)</f>
        <v>1301</v>
      </c>
      <c r="AA1162">
        <f t="shared" si="36"/>
        <v>0.44834597077044502</v>
      </c>
    </row>
    <row r="1163" spans="1:27" hidden="1" x14ac:dyDescent="0.25">
      <c r="A1163">
        <v>167</v>
      </c>
      <c r="B1163">
        <v>801</v>
      </c>
      <c r="C1163" t="s">
        <v>26</v>
      </c>
      <c r="D1163" t="s">
        <v>100</v>
      </c>
      <c r="E1163" t="e">
        <f t="shared" si="37"/>
        <v>#VALUE!</v>
      </c>
      <c r="H1163">
        <v>37</v>
      </c>
      <c r="I1163" t="s">
        <v>27</v>
      </c>
      <c r="J1163" t="s">
        <v>28</v>
      </c>
      <c r="K1163" s="2">
        <v>15299.339090289301</v>
      </c>
      <c r="L1163" s="2">
        <v>154096297.050574</v>
      </c>
      <c r="M1163" s="3">
        <v>6681.7231328528096</v>
      </c>
      <c r="N1163" s="3">
        <v>118887556.222317</v>
      </c>
      <c r="O1163" s="4">
        <v>0.214712234159256</v>
      </c>
      <c r="P1163" s="4">
        <v>4.4896564184092998E-2</v>
      </c>
      <c r="Q1163" s="5">
        <v>-1.30932119488652E-2</v>
      </c>
      <c r="R1163" s="5">
        <v>3.0396963097216599E-3</v>
      </c>
      <c r="S1163" s="6">
        <v>0.48015622154223497</v>
      </c>
      <c r="T1163" s="6">
        <v>9.8314228036140594E-2</v>
      </c>
      <c r="U1163" s="7">
        <v>0.51343754858926705</v>
      </c>
      <c r="V1163" s="7">
        <v>0.249819432287578</v>
      </c>
      <c r="W1163" s="8">
        <v>0.46033321771579599</v>
      </c>
      <c r="X1163" s="8">
        <v>0.24842654638306699</v>
      </c>
      <c r="Y1163" s="2">
        <v>19</v>
      </c>
      <c r="Z1163" s="2" t="e">
        <f>VLOOKUP(E1163,YieldData!T:U,2,FALSE)</f>
        <v>#VALUE!</v>
      </c>
      <c r="AA1163">
        <f t="shared" si="36"/>
        <v>0.913534329143595</v>
      </c>
    </row>
    <row r="1164" spans="1:27" hidden="1" x14ac:dyDescent="0.25">
      <c r="A1164">
        <v>168</v>
      </c>
      <c r="B1164">
        <v>802</v>
      </c>
      <c r="C1164" t="s">
        <v>26</v>
      </c>
      <c r="D1164" t="s">
        <v>100</v>
      </c>
      <c r="E1164" t="e">
        <f t="shared" si="37"/>
        <v>#VALUE!</v>
      </c>
      <c r="H1164">
        <v>37</v>
      </c>
      <c r="I1164" t="s">
        <v>27</v>
      </c>
      <c r="J1164" t="s">
        <v>28</v>
      </c>
      <c r="K1164" s="2">
        <v>16019.9445627971</v>
      </c>
      <c r="L1164" s="2">
        <v>157887826.691347</v>
      </c>
      <c r="M1164" s="3">
        <v>6978.3633707600802</v>
      </c>
      <c r="N1164" s="3">
        <v>123680755.59724601</v>
      </c>
      <c r="O1164" s="4">
        <v>0.19696426516684901</v>
      </c>
      <c r="P1164" s="4">
        <v>4.6354588371891797E-2</v>
      </c>
      <c r="Q1164" s="5">
        <v>-2.0307247028350701E-2</v>
      </c>
      <c r="R1164" s="5">
        <v>2.1257519933887601E-3</v>
      </c>
      <c r="S1164" s="6">
        <v>0.45872037011164901</v>
      </c>
      <c r="T1164" s="6">
        <v>0.105130966072763</v>
      </c>
      <c r="U1164" s="7">
        <v>0.50687849792381301</v>
      </c>
      <c r="V1164" s="7">
        <v>0.24995268626643499</v>
      </c>
      <c r="W1164" s="8">
        <v>0.34636817716796098</v>
      </c>
      <c r="X1164" s="8">
        <v>0.22639726301320101</v>
      </c>
      <c r="Y1164" s="2">
        <v>6</v>
      </c>
      <c r="Z1164" s="2" t="e">
        <f>VLOOKUP(E1164,YieldData!T:U,2,FALSE)</f>
        <v>#VALUE!</v>
      </c>
      <c r="AA1164">
        <f t="shared" si="36"/>
        <v>0.913534329143595</v>
      </c>
    </row>
    <row r="1165" spans="1:27" hidden="1" x14ac:dyDescent="0.25">
      <c r="A1165">
        <v>169</v>
      </c>
      <c r="B1165">
        <v>803</v>
      </c>
      <c r="C1165" t="s">
        <v>26</v>
      </c>
      <c r="D1165">
        <v>25106</v>
      </c>
      <c r="E1165">
        <f t="shared" si="37"/>
        <v>25106803</v>
      </c>
      <c r="F1165">
        <f>VLOOKUP(E1165,YieldData!D:F,2,FALSE)</f>
        <v>1</v>
      </c>
      <c r="G1165">
        <f>VLOOKUP($E1165,YieldData!$D:$F,3,FALSE)</f>
        <v>4</v>
      </c>
      <c r="H1165">
        <v>37</v>
      </c>
      <c r="I1165" t="s">
        <v>27</v>
      </c>
      <c r="J1165" t="s">
        <v>28</v>
      </c>
      <c r="K1165" s="2">
        <v>24198.526498802399</v>
      </c>
      <c r="L1165" s="2">
        <v>182936026.04346001</v>
      </c>
      <c r="M1165" s="3">
        <v>3231.6946106228402</v>
      </c>
      <c r="N1165" s="3">
        <v>69965846.536818996</v>
      </c>
      <c r="O1165" s="4">
        <v>0.23166343454695501</v>
      </c>
      <c r="P1165" s="4">
        <v>2.54840904118331E-2</v>
      </c>
      <c r="Q1165" s="5">
        <v>-1.4906283006027201E-2</v>
      </c>
      <c r="R1165" s="5">
        <v>2.42838400395241E-3</v>
      </c>
      <c r="S1165" s="6">
        <v>0.56962262643183004</v>
      </c>
      <c r="T1165" s="6">
        <v>6.43081836401867E-2</v>
      </c>
      <c r="U1165" s="7">
        <v>0.72233097058930795</v>
      </c>
      <c r="V1165" s="7">
        <v>0.20056893951642699</v>
      </c>
      <c r="W1165" s="8">
        <v>0.89168257364831205</v>
      </c>
      <c r="X1165" s="8">
        <v>9.6584761500250305E-2</v>
      </c>
      <c r="Y1165" s="2">
        <v>92</v>
      </c>
      <c r="Z1165" s="2">
        <f>VLOOKUP(E1165,YieldData!T:U,2,FALSE)</f>
        <v>1371</v>
      </c>
      <c r="AA1165">
        <f t="shared" si="36"/>
        <v>0.87296955549071098</v>
      </c>
    </row>
    <row r="1166" spans="1:27" hidden="1" x14ac:dyDescent="0.25">
      <c r="A1166">
        <v>170</v>
      </c>
      <c r="B1166">
        <v>804</v>
      </c>
      <c r="C1166" t="s">
        <v>26</v>
      </c>
      <c r="D1166">
        <v>25106</v>
      </c>
      <c r="E1166">
        <f t="shared" si="37"/>
        <v>25106804</v>
      </c>
      <c r="F1166">
        <f>VLOOKUP(E1166,YieldData!D:F,2,FALSE)</f>
        <v>3</v>
      </c>
      <c r="G1166">
        <f>VLOOKUP($E1166,YieldData!$D:$F,3,FALSE)</f>
        <v>4</v>
      </c>
      <c r="H1166">
        <v>37</v>
      </c>
      <c r="I1166" t="s">
        <v>27</v>
      </c>
      <c r="J1166" t="s">
        <v>28</v>
      </c>
      <c r="K1166" s="2">
        <v>28834.119760741101</v>
      </c>
      <c r="L1166" s="2">
        <v>150778094.663066</v>
      </c>
      <c r="M1166" s="3">
        <v>372.42077751776299</v>
      </c>
      <c r="N1166" s="3">
        <v>49628710.6653179</v>
      </c>
      <c r="O1166" s="4">
        <v>0.24547179631955199</v>
      </c>
      <c r="P1166" s="4">
        <v>1.6223932901113298E-2</v>
      </c>
      <c r="Q1166" s="5">
        <v>-2.3640010852516099E-2</v>
      </c>
      <c r="R1166" s="5">
        <v>2.2115682343728901E-3</v>
      </c>
      <c r="S1166" s="6">
        <v>0.63126086723965802</v>
      </c>
      <c r="T1166" s="6">
        <v>3.8757337459078799E-2</v>
      </c>
      <c r="U1166" s="7">
        <v>0.85456269603909796</v>
      </c>
      <c r="V1166" s="7">
        <v>0.124285294577566</v>
      </c>
      <c r="W1166" s="8">
        <v>0.96247720475599996</v>
      </c>
      <c r="X1166" s="8">
        <v>3.6114835081029799E-2</v>
      </c>
      <c r="Y1166" s="2">
        <v>60</v>
      </c>
      <c r="Z1166" s="2">
        <f>VLOOKUP(E1166,YieldData!T:U,2,FALSE)</f>
        <v>646</v>
      </c>
      <c r="AA1166">
        <f t="shared" si="36"/>
        <v>0.89469691443577204</v>
      </c>
    </row>
    <row r="1167" spans="1:27" hidden="1" x14ac:dyDescent="0.25">
      <c r="A1167">
        <v>171</v>
      </c>
      <c r="B1167">
        <v>805</v>
      </c>
      <c r="C1167" t="s">
        <v>26</v>
      </c>
      <c r="D1167">
        <v>25106</v>
      </c>
      <c r="E1167">
        <f t="shared" si="37"/>
        <v>25106805</v>
      </c>
      <c r="F1167">
        <f>VLOOKUP(E1167,YieldData!D:F,2,FALSE)</f>
        <v>2</v>
      </c>
      <c r="G1167">
        <f>VLOOKUP($E1167,YieldData!$D:$F,3,FALSE)</f>
        <v>4</v>
      </c>
      <c r="H1167">
        <v>37</v>
      </c>
      <c r="I1167" t="s">
        <v>27</v>
      </c>
      <c r="J1167" t="s">
        <v>28</v>
      </c>
      <c r="K1167" s="2">
        <v>23763.357450516</v>
      </c>
      <c r="L1167" s="2">
        <v>173369176.94583201</v>
      </c>
      <c r="M1167" s="3">
        <v>1971.1475934502</v>
      </c>
      <c r="N1167" s="3">
        <v>67583033.817187503</v>
      </c>
      <c r="O1167" s="4">
        <v>0.23170013080184099</v>
      </c>
      <c r="P1167" s="4">
        <v>2.2171420363200901E-2</v>
      </c>
      <c r="Q1167" s="5">
        <v>-1.5872324579921201E-2</v>
      </c>
      <c r="R1167" s="5">
        <v>2.5605865132310801E-3</v>
      </c>
      <c r="S1167" s="6">
        <v>0.56564458935481099</v>
      </c>
      <c r="T1167" s="6">
        <v>5.88101991540603E-2</v>
      </c>
      <c r="U1167" s="7">
        <v>0.71822655262544299</v>
      </c>
      <c r="V1167" s="7">
        <v>0.202377171729032</v>
      </c>
      <c r="W1167" s="8">
        <v>0.85324759789424598</v>
      </c>
      <c r="X1167" s="8">
        <v>0.125216134581809</v>
      </c>
      <c r="Y1167" s="2">
        <v>35</v>
      </c>
      <c r="Z1167" s="2">
        <f>VLOOKUP(E1167,YieldData!T:U,2,FALSE)</f>
        <v>1918</v>
      </c>
      <c r="AA1167">
        <f t="shared" si="36"/>
        <v>0.80746058040370605</v>
      </c>
    </row>
    <row r="1168" spans="1:27" hidden="1" x14ac:dyDescent="0.25">
      <c r="A1168">
        <v>172</v>
      </c>
      <c r="B1168">
        <v>806</v>
      </c>
      <c r="C1168" t="s">
        <v>26</v>
      </c>
      <c r="D1168">
        <v>25106</v>
      </c>
      <c r="E1168">
        <f t="shared" si="37"/>
        <v>25106806</v>
      </c>
      <c r="F1168">
        <f>VLOOKUP(E1168,YieldData!D:F,2,FALSE)</f>
        <v>4</v>
      </c>
      <c r="G1168">
        <f>VLOOKUP($E1168,YieldData!$D:$F,3,FALSE)</f>
        <v>4</v>
      </c>
      <c r="H1168">
        <v>37</v>
      </c>
      <c r="I1168" t="s">
        <v>27</v>
      </c>
      <c r="J1168" t="s">
        <v>28</v>
      </c>
      <c r="K1168" s="2">
        <v>20652.1720696263</v>
      </c>
      <c r="L1168" s="2">
        <v>218923965.42879301</v>
      </c>
      <c r="M1168" s="3">
        <v>5088.8250384800904</v>
      </c>
      <c r="N1168" s="3">
        <v>99079106.6323217</v>
      </c>
      <c r="O1168" s="4">
        <v>0.15427690263105601</v>
      </c>
      <c r="P1168" s="4">
        <v>3.03946583336876E-2</v>
      </c>
      <c r="Q1168" s="5">
        <v>-3.8061631461164001E-2</v>
      </c>
      <c r="R1168" s="5">
        <v>2.24183011662405E-3</v>
      </c>
      <c r="S1168" s="6">
        <v>0.44208375380168602</v>
      </c>
      <c r="T1168" s="6">
        <v>9.6946553527995902E-2</v>
      </c>
      <c r="U1168" s="7">
        <v>0.56129564569360202</v>
      </c>
      <c r="V1168" s="7">
        <v>0.24624284381883399</v>
      </c>
      <c r="W1168" s="8">
        <v>0.74699244117960195</v>
      </c>
      <c r="X1168" s="8">
        <v>0.18899473400004899</v>
      </c>
      <c r="Y1168" s="2">
        <v>23</v>
      </c>
      <c r="Z1168" s="2">
        <f>VLOOKUP(E1168,YieldData!T:U,2,FALSE)</f>
        <v>1642</v>
      </c>
      <c r="AA1168">
        <f t="shared" si="36"/>
        <v>0.65630406430491595</v>
      </c>
    </row>
    <row r="1169" spans="1:27" hidden="1" x14ac:dyDescent="0.25">
      <c r="A1169">
        <v>173</v>
      </c>
      <c r="B1169">
        <v>807</v>
      </c>
      <c r="C1169" t="s">
        <v>26</v>
      </c>
      <c r="D1169">
        <v>25106</v>
      </c>
      <c r="E1169">
        <f t="shared" si="37"/>
        <v>25106807</v>
      </c>
      <c r="F1169">
        <f>VLOOKUP(E1169,YieldData!D:F,2,FALSE)</f>
        <v>2</v>
      </c>
      <c r="G1169">
        <f>VLOOKUP($E1169,YieldData!$D:$F,3,FALSE)</f>
        <v>3</v>
      </c>
      <c r="H1169">
        <v>37</v>
      </c>
      <c r="I1169" t="s">
        <v>27</v>
      </c>
      <c r="J1169" t="s">
        <v>28</v>
      </c>
      <c r="K1169" s="2">
        <v>25971.861130012199</v>
      </c>
      <c r="L1169" s="2">
        <v>159288479.710738</v>
      </c>
      <c r="M1169" s="3">
        <v>408.75171313999999</v>
      </c>
      <c r="N1169" s="3">
        <v>64378906.073085897</v>
      </c>
      <c r="O1169" s="4">
        <v>0.25094192418049399</v>
      </c>
      <c r="P1169" s="4">
        <v>2.4225217843959999E-2</v>
      </c>
      <c r="Q1169" s="5">
        <v>-2.52048988492873E-2</v>
      </c>
      <c r="R1169" s="5">
        <v>2.5602795413920501E-3</v>
      </c>
      <c r="S1169" s="6">
        <v>0.59780622483311496</v>
      </c>
      <c r="T1169" s="6">
        <v>5.8237745890603501E-2</v>
      </c>
      <c r="U1169" s="7">
        <v>0.78133657351154295</v>
      </c>
      <c r="V1169" s="7">
        <v>0.170849732404913</v>
      </c>
      <c r="W1169" s="8">
        <v>0.90224787363305003</v>
      </c>
      <c r="X1169" s="8">
        <v>8.8196648157642998E-2</v>
      </c>
      <c r="Y1169" s="2">
        <v>81</v>
      </c>
      <c r="Z1169" s="2">
        <f>VLOOKUP(E1169,YieldData!T:U,2,FALSE)</f>
        <v>1837</v>
      </c>
      <c r="AA1169">
        <f t="shared" si="36"/>
        <v>0.88711774211185002</v>
      </c>
    </row>
    <row r="1170" spans="1:27" hidden="1" x14ac:dyDescent="0.25">
      <c r="A1170">
        <v>174</v>
      </c>
      <c r="B1170">
        <v>808</v>
      </c>
      <c r="C1170" t="s">
        <v>26</v>
      </c>
      <c r="D1170">
        <v>25106</v>
      </c>
      <c r="E1170">
        <f t="shared" si="37"/>
        <v>25106808</v>
      </c>
      <c r="F1170">
        <f>VLOOKUP(E1170,YieldData!D:F,2,FALSE)</f>
        <v>3</v>
      </c>
      <c r="G1170">
        <f>VLOOKUP($E1170,YieldData!$D:$F,3,FALSE)</f>
        <v>3</v>
      </c>
      <c r="H1170">
        <v>37</v>
      </c>
      <c r="I1170" t="s">
        <v>27</v>
      </c>
      <c r="J1170" t="s">
        <v>28</v>
      </c>
      <c r="K1170" s="2">
        <v>27264.4859089651</v>
      </c>
      <c r="L1170" s="2">
        <v>164684790.562828</v>
      </c>
      <c r="M1170" s="3">
        <v>572.85813004611498</v>
      </c>
      <c r="N1170" s="3">
        <v>55088772.212527797</v>
      </c>
      <c r="O1170" s="4">
        <v>0.19580749626457</v>
      </c>
      <c r="P1170" s="4">
        <v>1.9780272707957999E-2</v>
      </c>
      <c r="Q1170" s="5">
        <v>-5.3571780892496298E-2</v>
      </c>
      <c r="R1170" s="5">
        <v>2.7012360520969302E-3</v>
      </c>
      <c r="S1170" s="6">
        <v>0.565565648161101</v>
      </c>
      <c r="T1170" s="6">
        <v>5.5176884458053799E-2</v>
      </c>
      <c r="U1170" s="7">
        <v>0.790458304741955</v>
      </c>
      <c r="V1170" s="7">
        <v>0.16563397320605</v>
      </c>
      <c r="W1170" s="8">
        <v>0.98546956071604896</v>
      </c>
      <c r="X1170" s="8">
        <v>1.43193056181346E-2</v>
      </c>
      <c r="Y1170" s="2">
        <v>127</v>
      </c>
      <c r="Z1170" s="2">
        <f>VLOOKUP(E1170,YieldData!T:U,2,FALSE)</f>
        <v>963</v>
      </c>
      <c r="AA1170">
        <f t="shared" si="36"/>
        <v>0.87328453796889305</v>
      </c>
    </row>
    <row r="1171" spans="1:27" hidden="1" x14ac:dyDescent="0.25">
      <c r="A1171">
        <v>175</v>
      </c>
      <c r="B1171">
        <v>809</v>
      </c>
      <c r="C1171" t="s">
        <v>26</v>
      </c>
      <c r="D1171">
        <v>25106</v>
      </c>
      <c r="E1171">
        <f t="shared" si="37"/>
        <v>25106809</v>
      </c>
      <c r="F1171">
        <f>VLOOKUP(E1171,YieldData!D:F,2,FALSE)</f>
        <v>1</v>
      </c>
      <c r="G1171">
        <f>VLOOKUP($E1171,YieldData!$D:$F,3,FALSE)</f>
        <v>3</v>
      </c>
      <c r="H1171">
        <v>37</v>
      </c>
      <c r="I1171" t="s">
        <v>27</v>
      </c>
      <c r="J1171" t="s">
        <v>28</v>
      </c>
      <c r="K1171" s="2">
        <v>20773.7607754497</v>
      </c>
      <c r="L1171" s="2">
        <v>237721996.093712</v>
      </c>
      <c r="M1171" s="3">
        <v>4491.3246221218697</v>
      </c>
      <c r="N1171" s="3">
        <v>75741238.957251802</v>
      </c>
      <c r="O1171" s="4">
        <v>0.116387861727289</v>
      </c>
      <c r="P1171" s="4">
        <v>2.2828347803949E-2</v>
      </c>
      <c r="Q1171" s="5">
        <v>-6.0540998322690998E-2</v>
      </c>
      <c r="R1171" s="5">
        <v>2.2106689348200801E-3</v>
      </c>
      <c r="S1171" s="6">
        <v>0.405440799362838</v>
      </c>
      <c r="T1171" s="6">
        <v>8.8887785351082604E-2</v>
      </c>
      <c r="U1171" s="7">
        <v>0.54470436280137802</v>
      </c>
      <c r="V1171" s="7">
        <v>0.248001519946384</v>
      </c>
      <c r="W1171" s="8">
        <v>0.82074004975124404</v>
      </c>
      <c r="X1171" s="8">
        <v>0.14712582048546999</v>
      </c>
      <c r="Y1171" s="2">
        <v>51</v>
      </c>
      <c r="Z1171" s="2">
        <f>VLOOKUP(E1171,YieldData!T:U,2,FALSE)</f>
        <v>1538</v>
      </c>
      <c r="AA1171">
        <f t="shared" si="36"/>
        <v>0.67314914483913402</v>
      </c>
    </row>
    <row r="1172" spans="1:27" hidden="1" x14ac:dyDescent="0.25">
      <c r="A1172">
        <v>1</v>
      </c>
      <c r="B1172">
        <v>101</v>
      </c>
      <c r="C1172" t="s">
        <v>20</v>
      </c>
      <c r="D1172">
        <v>25111</v>
      </c>
      <c r="E1172">
        <f t="shared" si="37"/>
        <v>25111101</v>
      </c>
      <c r="F1172">
        <f>VLOOKUP(E1172,YieldData!D:F,2,FALSE)</f>
        <v>1</v>
      </c>
      <c r="G1172">
        <f>VLOOKUP($E1172,YieldData!$D:$F,3,FALSE)</f>
        <v>1</v>
      </c>
      <c r="H1172">
        <v>42</v>
      </c>
      <c r="I1172" t="s">
        <v>21</v>
      </c>
      <c r="J1172" t="s">
        <v>22</v>
      </c>
      <c r="K1172" s="2">
        <v>15088.483201569201</v>
      </c>
      <c r="L1172" s="2">
        <v>89896628.230080605</v>
      </c>
      <c r="M1172" s="3">
        <v>4965.6890271304901</v>
      </c>
      <c r="N1172" s="3">
        <v>112828941.330295</v>
      </c>
      <c r="O1172" s="4">
        <v>0.27311488498118902</v>
      </c>
      <c r="P1172" s="4">
        <v>5.1341565177174697E-2</v>
      </c>
      <c r="Q1172" s="5">
        <v>4965.6890271304901</v>
      </c>
      <c r="R1172" s="5">
        <v>112828941.330295</v>
      </c>
      <c r="S1172" s="6">
        <v>0.545974524465905</v>
      </c>
      <c r="T1172" s="6">
        <v>9.6815242313099598E-2</v>
      </c>
      <c r="U1172" s="7">
        <v>0.63921348180219795</v>
      </c>
      <c r="V1172" s="7">
        <v>0.23061960648421201</v>
      </c>
      <c r="W1172" s="8">
        <v>0.86378805095389</v>
      </c>
      <c r="X1172" s="8">
        <v>0.117658253983221</v>
      </c>
      <c r="Y1172" s="2">
        <v>80</v>
      </c>
      <c r="Z1172" s="2">
        <f>VLOOKUP(E1172,YieldData!T:U,2,FALSE)</f>
        <v>2712.5032092426181</v>
      </c>
      <c r="AA1172">
        <f t="shared" si="36"/>
        <v>0.63921348180219795</v>
      </c>
    </row>
    <row r="1173" spans="1:27" hidden="1" x14ac:dyDescent="0.25">
      <c r="A1173">
        <v>2</v>
      </c>
      <c r="B1173">
        <v>102</v>
      </c>
      <c r="C1173" t="s">
        <v>20</v>
      </c>
      <c r="D1173">
        <v>25111</v>
      </c>
      <c r="E1173">
        <f t="shared" si="37"/>
        <v>25111102</v>
      </c>
      <c r="F1173">
        <f>VLOOKUP(E1173,YieldData!D:F,2,FALSE)</f>
        <v>2</v>
      </c>
      <c r="G1173">
        <f>VLOOKUP($E1173,YieldData!$D:$F,3,FALSE)</f>
        <v>1</v>
      </c>
      <c r="H1173">
        <v>42</v>
      </c>
      <c r="I1173" t="s">
        <v>21</v>
      </c>
      <c r="J1173" t="s">
        <v>22</v>
      </c>
      <c r="K1173" s="2">
        <v>15873.3800832456</v>
      </c>
      <c r="L1173" s="2">
        <v>166667854.10058701</v>
      </c>
      <c r="M1173" s="3">
        <v>8593.3548186735607</v>
      </c>
      <c r="N1173" s="3">
        <v>120502728.304251</v>
      </c>
      <c r="O1173" s="4">
        <v>0.14808904497980299</v>
      </c>
      <c r="P1173" s="4">
        <v>4.2275828976150599E-2</v>
      </c>
      <c r="Q1173" s="5">
        <v>8593.3548186735607</v>
      </c>
      <c r="R1173" s="5">
        <v>120502728.304251</v>
      </c>
      <c r="S1173" s="6">
        <v>0.41604713397686999</v>
      </c>
      <c r="T1173" s="6">
        <v>0.104022049132028</v>
      </c>
      <c r="U1173" s="7">
        <v>0.505442062960482</v>
      </c>
      <c r="V1173" s="7">
        <v>0.249970383950815</v>
      </c>
      <c r="W1173" s="8">
        <v>0.83818499294376503</v>
      </c>
      <c r="X1173" s="8">
        <v>0.13563091054759899</v>
      </c>
      <c r="Y1173" s="2">
        <v>128</v>
      </c>
      <c r="Z1173" s="2">
        <f>VLOOKUP(E1173,YieldData!T:U,2,FALSE)</f>
        <v>2630.8777278562261</v>
      </c>
      <c r="AA1173">
        <f t="shared" si="36"/>
        <v>0.50606430314339002</v>
      </c>
    </row>
    <row r="1174" spans="1:27" hidden="1" x14ac:dyDescent="0.25">
      <c r="A1174">
        <v>3</v>
      </c>
      <c r="B1174">
        <v>103</v>
      </c>
      <c r="C1174" t="s">
        <v>20</v>
      </c>
      <c r="D1174">
        <v>25111</v>
      </c>
      <c r="E1174">
        <f t="shared" si="37"/>
        <v>25111103</v>
      </c>
      <c r="F1174">
        <f>VLOOKUP(E1174,YieldData!D:F,2,FALSE)</f>
        <v>3</v>
      </c>
      <c r="G1174">
        <f>VLOOKUP($E1174,YieldData!$D:$F,3,FALSE)</f>
        <v>1</v>
      </c>
      <c r="H1174">
        <v>42</v>
      </c>
      <c r="I1174" t="s">
        <v>21</v>
      </c>
      <c r="J1174" t="s">
        <v>22</v>
      </c>
      <c r="K1174" s="2">
        <v>19226.0933847835</v>
      </c>
      <c r="L1174" s="2">
        <v>170198871.782078</v>
      </c>
      <c r="M1174" s="3">
        <v>4562.9436464768496</v>
      </c>
      <c r="N1174" s="3">
        <v>109224340.80558901</v>
      </c>
      <c r="O1174" s="4">
        <v>0.22312058122674</v>
      </c>
      <c r="P1174" s="4">
        <v>3.8150475596245098E-2</v>
      </c>
      <c r="Q1174" s="5">
        <v>4562.9436464768496</v>
      </c>
      <c r="R1174" s="5">
        <v>109224340.80558901</v>
      </c>
      <c r="S1174" s="6">
        <v>0.52191365265209699</v>
      </c>
      <c r="T1174" s="6">
        <v>8.9167610490438906E-2</v>
      </c>
      <c r="U1174" s="7">
        <v>0.65522869037246001</v>
      </c>
      <c r="V1174" s="7">
        <v>0.22590405368501901</v>
      </c>
      <c r="W1174" s="8">
        <v>0.74772469501230998</v>
      </c>
      <c r="X1174" s="8">
        <v>0.188632475481499</v>
      </c>
      <c r="Y1174" s="2">
        <v>84</v>
      </c>
      <c r="Z1174" s="2">
        <f>VLOOKUP(E1174,YieldData!T:U,2,FALSE)</f>
        <v>2507.2143774069318</v>
      </c>
      <c r="AA1174">
        <f t="shared" si="36"/>
        <v>0.65522869037246001</v>
      </c>
    </row>
    <row r="1175" spans="1:27" hidden="1" x14ac:dyDescent="0.25">
      <c r="A1175">
        <v>4</v>
      </c>
      <c r="B1175">
        <v>104</v>
      </c>
      <c r="C1175" t="s">
        <v>20</v>
      </c>
      <c r="D1175">
        <v>25111</v>
      </c>
      <c r="E1175">
        <f t="shared" si="37"/>
        <v>25111104</v>
      </c>
      <c r="F1175">
        <f>VLOOKUP(E1175,YieldData!D:F,2,FALSE)</f>
        <v>4</v>
      </c>
      <c r="G1175">
        <f>VLOOKUP($E1175,YieldData!$D:$F,3,FALSE)</f>
        <v>1</v>
      </c>
      <c r="H1175">
        <v>42</v>
      </c>
      <c r="I1175" t="s">
        <v>21</v>
      </c>
      <c r="J1175" t="s">
        <v>22</v>
      </c>
      <c r="K1175" s="2">
        <v>27089.0461219221</v>
      </c>
      <c r="L1175" s="2">
        <v>144379236.11633199</v>
      </c>
      <c r="M1175" s="3">
        <v>-995.10838988041598</v>
      </c>
      <c r="N1175" s="3">
        <v>73215870.927742198</v>
      </c>
      <c r="O1175" s="4">
        <v>0.28368568534180999</v>
      </c>
      <c r="P1175" s="4">
        <v>3.0762563466671E-2</v>
      </c>
      <c r="Q1175" s="5">
        <v>-995.10838988041598</v>
      </c>
      <c r="R1175" s="5">
        <v>73215870.927742198</v>
      </c>
      <c r="S1175" s="6">
        <v>0.655475183306783</v>
      </c>
      <c r="T1175" s="6">
        <v>6.2910428627446793E-2</v>
      </c>
      <c r="U1175" s="7">
        <v>0.87333663091604397</v>
      </c>
      <c r="V1175" s="7">
        <v>0.110619760016156</v>
      </c>
      <c r="W1175" s="8">
        <v>0.76551998745128302</v>
      </c>
      <c r="X1175" s="8">
        <v>0.17949913626370201</v>
      </c>
      <c r="Y1175" s="2">
        <v>86</v>
      </c>
      <c r="Z1175" s="2">
        <f>VLOOKUP(E1175,YieldData!T:U,2,FALSE)</f>
        <v>1929.165596919127</v>
      </c>
      <c r="AA1175">
        <f t="shared" si="36"/>
        <v>0.87333663091604397</v>
      </c>
    </row>
    <row r="1176" spans="1:27" hidden="1" x14ac:dyDescent="0.25">
      <c r="A1176">
        <v>5</v>
      </c>
      <c r="B1176">
        <v>105</v>
      </c>
      <c r="C1176" t="s">
        <v>20</v>
      </c>
      <c r="D1176">
        <v>25111</v>
      </c>
      <c r="E1176">
        <f t="shared" si="37"/>
        <v>25111105</v>
      </c>
      <c r="F1176">
        <f>VLOOKUP(E1176,YieldData!D:F,2,FALSE)</f>
        <v>5</v>
      </c>
      <c r="G1176">
        <f>VLOOKUP($E1176,YieldData!$D:$F,3,FALSE)</f>
        <v>1</v>
      </c>
      <c r="H1176">
        <v>42</v>
      </c>
      <c r="I1176" t="s">
        <v>21</v>
      </c>
      <c r="J1176" t="s">
        <v>22</v>
      </c>
      <c r="K1176" s="2">
        <v>27641.103573551802</v>
      </c>
      <c r="L1176" s="2">
        <v>120781363.94004899</v>
      </c>
      <c r="M1176" s="3">
        <v>-1922.7445726162</v>
      </c>
      <c r="N1176" s="3">
        <v>43519740.158536099</v>
      </c>
      <c r="O1176" s="4">
        <v>0.300706033357306</v>
      </c>
      <c r="P1176" s="4">
        <v>1.72756809994601E-2</v>
      </c>
      <c r="Q1176" s="5">
        <v>-1922.7445726162</v>
      </c>
      <c r="R1176" s="5">
        <v>43519740.158536099</v>
      </c>
      <c r="S1176" s="6">
        <v>0.68126296285217403</v>
      </c>
      <c r="T1176" s="6">
        <v>3.06773489713329E-2</v>
      </c>
      <c r="U1176" s="7">
        <v>0.89342757117379001</v>
      </c>
      <c r="V1176" s="7">
        <v>9.5214746240419507E-2</v>
      </c>
      <c r="W1176" s="8">
        <v>0.83555943085886397</v>
      </c>
      <c r="X1176" s="8">
        <v>0.137399868361507</v>
      </c>
      <c r="Y1176" s="2">
        <v>98</v>
      </c>
      <c r="Z1176" s="2">
        <f>VLOOKUP(E1176,YieldData!T:U,2,FALSE)</f>
        <v>2572.6668806161747</v>
      </c>
      <c r="AA1176">
        <f t="shared" si="36"/>
        <v>0.89342757117379001</v>
      </c>
    </row>
    <row r="1177" spans="1:27" hidden="1" x14ac:dyDescent="0.25">
      <c r="A1177">
        <v>6</v>
      </c>
      <c r="B1177">
        <v>106</v>
      </c>
      <c r="C1177" t="s">
        <v>20</v>
      </c>
      <c r="D1177">
        <v>25111</v>
      </c>
      <c r="E1177">
        <f t="shared" si="37"/>
        <v>25111106</v>
      </c>
      <c r="F1177">
        <f>VLOOKUP(E1177,YieldData!D:F,2,FALSE)</f>
        <v>6</v>
      </c>
      <c r="G1177">
        <f>VLOOKUP($E1177,YieldData!$D:$F,3,FALSE)</f>
        <v>1</v>
      </c>
      <c r="H1177">
        <v>42</v>
      </c>
      <c r="I1177" t="s">
        <v>21</v>
      </c>
      <c r="J1177" t="s">
        <v>22</v>
      </c>
      <c r="K1177" s="2">
        <v>25495.930535284599</v>
      </c>
      <c r="L1177" s="2">
        <v>138537794.641868</v>
      </c>
      <c r="M1177" s="3">
        <v>-582.64526079368102</v>
      </c>
      <c r="N1177" s="3">
        <v>82868656.819329202</v>
      </c>
      <c r="O1177" s="4">
        <v>0.30335640094974398</v>
      </c>
      <c r="P1177" s="4">
        <v>3.9534665543631498E-2</v>
      </c>
      <c r="Q1177" s="5">
        <v>-582.64526079368102</v>
      </c>
      <c r="R1177" s="5">
        <v>82868656.819329202</v>
      </c>
      <c r="S1177" s="6">
        <v>0.65014311889317999</v>
      </c>
      <c r="T1177" s="6">
        <v>7.1732722796235396E-2</v>
      </c>
      <c r="U1177" s="7">
        <v>0.86296398564159205</v>
      </c>
      <c r="V1177" s="7">
        <v>0.118257145127067</v>
      </c>
      <c r="W1177" s="8">
        <v>0.73965920744694802</v>
      </c>
      <c r="X1177" s="8">
        <v>0.19256346428580501</v>
      </c>
      <c r="Y1177" s="2">
        <v>68</v>
      </c>
      <c r="Z1177" s="2">
        <f>VLOOKUP(E1177,YieldData!T:U,2,FALSE)</f>
        <v>1598.7419768934531</v>
      </c>
      <c r="AA1177">
        <f t="shared" si="36"/>
        <v>0.86296398564159205</v>
      </c>
    </row>
    <row r="1178" spans="1:27" hidden="1" x14ac:dyDescent="0.25">
      <c r="A1178">
        <v>7</v>
      </c>
      <c r="B1178">
        <v>107</v>
      </c>
      <c r="C1178" t="s">
        <v>20</v>
      </c>
      <c r="D1178">
        <v>25111</v>
      </c>
      <c r="E1178">
        <f t="shared" si="37"/>
        <v>25111107</v>
      </c>
      <c r="F1178">
        <f>VLOOKUP(E1178,YieldData!D:F,2,FALSE)</f>
        <v>7</v>
      </c>
      <c r="G1178">
        <f>VLOOKUP($E1178,YieldData!$D:$F,3,FALSE)</f>
        <v>1</v>
      </c>
      <c r="H1178">
        <v>42</v>
      </c>
      <c r="I1178" t="s">
        <v>21</v>
      </c>
      <c r="J1178" t="s">
        <v>22</v>
      </c>
      <c r="K1178" s="2">
        <v>30108.7073710851</v>
      </c>
      <c r="L1178" s="2">
        <v>140149463.23712301</v>
      </c>
      <c r="M1178" s="3">
        <v>-1705.1965412652701</v>
      </c>
      <c r="N1178" s="3">
        <v>57630239.568775401</v>
      </c>
      <c r="O1178" s="4">
        <v>0.29583527431108902</v>
      </c>
      <c r="P1178" s="4">
        <v>2.3903789877127199E-2</v>
      </c>
      <c r="Q1178" s="5">
        <v>-1705.1965412652701</v>
      </c>
      <c r="R1178" s="5">
        <v>57630239.568775401</v>
      </c>
      <c r="S1178" s="6">
        <v>0.68430078561250496</v>
      </c>
      <c r="T1178" s="6">
        <v>4.0924688347727202E-2</v>
      </c>
      <c r="U1178" s="7">
        <v>0.90252597766042897</v>
      </c>
      <c r="V1178" s="7">
        <v>8.7972837308577106E-2</v>
      </c>
      <c r="W1178" s="8">
        <v>0.74906913922756801</v>
      </c>
      <c r="X1178" s="8">
        <v>0.187964563884262</v>
      </c>
      <c r="Y1178" s="2">
        <v>62</v>
      </c>
      <c r="Z1178" s="2">
        <f>VLOOKUP(E1178,YieldData!T:U,2,FALSE)</f>
        <v>1100.0449293966624</v>
      </c>
      <c r="AA1178">
        <f t="shared" si="36"/>
        <v>0.90252597766042897</v>
      </c>
    </row>
    <row r="1179" spans="1:27" hidden="1" x14ac:dyDescent="0.25">
      <c r="A1179">
        <v>8</v>
      </c>
      <c r="B1179">
        <v>108</v>
      </c>
      <c r="C1179" t="s">
        <v>20</v>
      </c>
      <c r="D1179">
        <v>25111</v>
      </c>
      <c r="E1179">
        <f t="shared" si="37"/>
        <v>25111108</v>
      </c>
      <c r="F1179">
        <f>VLOOKUP(E1179,YieldData!D:F,2,FALSE)</f>
        <v>8</v>
      </c>
      <c r="G1179">
        <f>VLOOKUP($E1179,YieldData!$D:$F,3,FALSE)</f>
        <v>1</v>
      </c>
      <c r="H1179">
        <v>42</v>
      </c>
      <c r="I1179" t="s">
        <v>21</v>
      </c>
      <c r="J1179" t="s">
        <v>22</v>
      </c>
      <c r="K1179" s="2">
        <v>25124.6217260267</v>
      </c>
      <c r="L1179" s="2">
        <v>144210817.32896999</v>
      </c>
      <c r="M1179" s="3">
        <v>791.29317633728203</v>
      </c>
      <c r="N1179" s="3">
        <v>82332367.865226001</v>
      </c>
      <c r="O1179" s="4">
        <v>0.30345308089616801</v>
      </c>
      <c r="P1179" s="4">
        <v>2.7932543970037499E-2</v>
      </c>
      <c r="Q1179" s="5">
        <v>791.29317633728203</v>
      </c>
      <c r="R1179" s="5">
        <v>82332367.865226001</v>
      </c>
      <c r="S1179" s="6">
        <v>0.64569131756662701</v>
      </c>
      <c r="T1179" s="6">
        <v>6.1034999673042399E-2</v>
      </c>
      <c r="U1179" s="7">
        <v>0.80795082163274101</v>
      </c>
      <c r="V1179" s="7">
        <v>0.15516629145576599</v>
      </c>
      <c r="W1179" s="8">
        <v>0.703747114614106</v>
      </c>
      <c r="X1179" s="8">
        <v>0.20848711328633401</v>
      </c>
      <c r="Y1179" s="2">
        <v>50</v>
      </c>
      <c r="Z1179" s="2">
        <f>VLOOKUP(E1179,YieldData!T:U,2,FALSE)</f>
        <v>1751.4040436456994</v>
      </c>
      <c r="AA1179">
        <f t="shared" si="36"/>
        <v>0.80795082163274101</v>
      </c>
    </row>
    <row r="1180" spans="1:27" hidden="1" x14ac:dyDescent="0.25">
      <c r="A1180">
        <v>9</v>
      </c>
      <c r="B1180">
        <v>109</v>
      </c>
      <c r="C1180" t="s">
        <v>20</v>
      </c>
      <c r="D1180">
        <v>25111</v>
      </c>
      <c r="E1180">
        <f t="shared" si="37"/>
        <v>25111109</v>
      </c>
      <c r="F1180">
        <f>VLOOKUP(E1180,YieldData!D:F,2,FALSE)</f>
        <v>9</v>
      </c>
      <c r="G1180">
        <f>VLOOKUP($E1180,YieldData!$D:$F,3,FALSE)</f>
        <v>1</v>
      </c>
      <c r="H1180">
        <v>42</v>
      </c>
      <c r="I1180" t="s">
        <v>21</v>
      </c>
      <c r="J1180" t="s">
        <v>22</v>
      </c>
      <c r="K1180" s="2">
        <v>24807.9704330977</v>
      </c>
      <c r="L1180" s="2">
        <v>167741154.63799599</v>
      </c>
      <c r="M1180" s="3">
        <v>1374.2328313604</v>
      </c>
      <c r="N1180" s="3">
        <v>102961783.64545199</v>
      </c>
      <c r="O1180" s="4">
        <v>0.28126990532308199</v>
      </c>
      <c r="P1180" s="4">
        <v>3.4722311429788398E-2</v>
      </c>
      <c r="Q1180" s="5">
        <v>1374.2328313604</v>
      </c>
      <c r="R1180" s="5">
        <v>102961783.64545199</v>
      </c>
      <c r="S1180" s="6">
        <v>0.625717537667141</v>
      </c>
      <c r="T1180" s="6">
        <v>7.5103194482092003E-2</v>
      </c>
      <c r="U1180" s="7">
        <v>0.78055665195498003</v>
      </c>
      <c r="V1180" s="7">
        <v>0.17128796504388299</v>
      </c>
      <c r="W1180" s="8">
        <v>0.65656807281512797</v>
      </c>
      <c r="X1180" s="8">
        <v>0.225486438574904</v>
      </c>
      <c r="Y1180" s="2">
        <v>66</v>
      </c>
      <c r="Z1180" s="2">
        <f>VLOOKUP(E1180,YieldData!T:U,2,FALSE)</f>
        <v>2836.1071887034655</v>
      </c>
      <c r="AA1180">
        <f t="shared" si="36"/>
        <v>0.78055665195498003</v>
      </c>
    </row>
    <row r="1181" spans="1:27" hidden="1" x14ac:dyDescent="0.25">
      <c r="A1181">
        <v>10</v>
      </c>
      <c r="B1181">
        <v>110</v>
      </c>
      <c r="C1181" t="s">
        <v>20</v>
      </c>
      <c r="D1181">
        <v>25111</v>
      </c>
      <c r="E1181">
        <f t="shared" si="37"/>
        <v>25111110</v>
      </c>
      <c r="F1181">
        <f>VLOOKUP(E1181,YieldData!D:F,2,FALSE)</f>
        <v>10</v>
      </c>
      <c r="G1181">
        <f>VLOOKUP($E1181,YieldData!$D:$F,3,FALSE)</f>
        <v>1</v>
      </c>
      <c r="H1181">
        <v>42</v>
      </c>
      <c r="I1181" t="s">
        <v>21</v>
      </c>
      <c r="J1181" t="s">
        <v>22</v>
      </c>
      <c r="K1181" s="2">
        <v>25596.662684175299</v>
      </c>
      <c r="L1181" s="2">
        <v>183313286.214349</v>
      </c>
      <c r="M1181" s="3">
        <v>476.47921198535198</v>
      </c>
      <c r="N1181" s="3">
        <v>89604374.499231398</v>
      </c>
      <c r="O1181" s="4">
        <v>0.26871181273825101</v>
      </c>
      <c r="P1181" s="4">
        <v>3.2236482463072098E-2</v>
      </c>
      <c r="Q1181" s="5">
        <v>476.47921198535198</v>
      </c>
      <c r="R1181" s="5">
        <v>89604374.499231398</v>
      </c>
      <c r="S1181" s="6">
        <v>0.63282150616813804</v>
      </c>
      <c r="T1181" s="6">
        <v>6.9339369407423301E-2</v>
      </c>
      <c r="U1181" s="7">
        <v>0.82046498277841595</v>
      </c>
      <c r="V1181" s="7">
        <v>0.14730219481249501</v>
      </c>
      <c r="W1181" s="8">
        <v>0.63991245380503003</v>
      </c>
      <c r="X1181" s="8">
        <v>0.23042450527042799</v>
      </c>
      <c r="Y1181" s="2">
        <v>56</v>
      </c>
      <c r="Z1181" s="2">
        <f>VLOOKUP(E1181,YieldData!T:U,2,FALSE)</f>
        <v>1890.8279845956356</v>
      </c>
      <c r="AA1181">
        <f t="shared" si="36"/>
        <v>0.82046498277841595</v>
      </c>
    </row>
    <row r="1182" spans="1:27" hidden="1" x14ac:dyDescent="0.25">
      <c r="A1182">
        <v>11</v>
      </c>
      <c r="B1182">
        <v>201</v>
      </c>
      <c r="C1182" t="s">
        <v>20</v>
      </c>
      <c r="D1182">
        <v>25111</v>
      </c>
      <c r="E1182">
        <f t="shared" si="37"/>
        <v>25111201</v>
      </c>
      <c r="F1182">
        <f>VLOOKUP(E1182,YieldData!D:F,2,FALSE)</f>
        <v>14</v>
      </c>
      <c r="G1182">
        <f>VLOOKUP($E1182,YieldData!$D:$F,3,FALSE)</f>
        <v>2</v>
      </c>
      <c r="H1182">
        <v>42</v>
      </c>
      <c r="I1182" t="s">
        <v>21</v>
      </c>
      <c r="J1182" t="s">
        <v>22</v>
      </c>
      <c r="K1182" s="2">
        <v>19776.900145035299</v>
      </c>
      <c r="L1182" s="2">
        <v>106056740.622492</v>
      </c>
      <c r="M1182" s="3">
        <v>1647.59862305616</v>
      </c>
      <c r="N1182" s="3">
        <v>86006588.720541298</v>
      </c>
      <c r="O1182" s="4">
        <v>0.28907700829384497</v>
      </c>
      <c r="P1182" s="4">
        <v>3.5378544998632001E-2</v>
      </c>
      <c r="Q1182" s="5">
        <v>1647.59862305616</v>
      </c>
      <c r="R1182" s="5">
        <v>86006588.720541298</v>
      </c>
      <c r="S1182" s="6">
        <v>0.60155792230101102</v>
      </c>
      <c r="T1182" s="6">
        <v>7.6184119790749794E-2</v>
      </c>
      <c r="U1182" s="7">
        <v>0.73810771612085502</v>
      </c>
      <c r="V1182" s="7">
        <v>0.19330471552391701</v>
      </c>
      <c r="W1182" s="8">
        <v>0.78326101794071801</v>
      </c>
      <c r="X1182" s="8">
        <v>0.169763195715252</v>
      </c>
      <c r="Y1182" s="2">
        <v>50</v>
      </c>
      <c r="Z1182" s="2">
        <f>VLOOKUP(E1182,YieldData!T:U,2,FALSE)</f>
        <v>2873.0102695763803</v>
      </c>
      <c r="AA1182">
        <f t="shared" si="36"/>
        <v>0.73810771612085502</v>
      </c>
    </row>
    <row r="1183" spans="1:27" hidden="1" x14ac:dyDescent="0.25">
      <c r="A1183">
        <v>12</v>
      </c>
      <c r="B1183">
        <v>202</v>
      </c>
      <c r="C1183" t="s">
        <v>20</v>
      </c>
      <c r="D1183">
        <v>25111</v>
      </c>
      <c r="E1183">
        <f t="shared" si="37"/>
        <v>25111202</v>
      </c>
      <c r="F1183">
        <f>VLOOKUP(E1183,YieldData!D:F,2,FALSE)</f>
        <v>5</v>
      </c>
      <c r="G1183">
        <f>VLOOKUP($E1183,YieldData!$D:$F,3,FALSE)</f>
        <v>2</v>
      </c>
      <c r="H1183">
        <v>42</v>
      </c>
      <c r="I1183" t="s">
        <v>21</v>
      </c>
      <c r="J1183" t="s">
        <v>22</v>
      </c>
      <c r="K1183" s="2">
        <v>15869.0224026984</v>
      </c>
      <c r="L1183" s="2">
        <v>118144648.635325</v>
      </c>
      <c r="M1183" s="3">
        <v>5478.8096949887204</v>
      </c>
      <c r="N1183" s="3">
        <v>114858405.710614</v>
      </c>
      <c r="O1183" s="4">
        <v>0.19958707187900601</v>
      </c>
      <c r="P1183" s="4">
        <v>5.1810755048813703E-2</v>
      </c>
      <c r="Q1183" s="5">
        <v>5478.8096949887204</v>
      </c>
      <c r="R1183" s="5">
        <v>114858405.710614</v>
      </c>
      <c r="S1183" s="6">
        <v>0.45974174167437998</v>
      </c>
      <c r="T1183" s="6">
        <v>0.11711523009769299</v>
      </c>
      <c r="U1183" s="7">
        <v>0.59069923211252795</v>
      </c>
      <c r="V1183" s="7">
        <v>0.241773649294277</v>
      </c>
      <c r="W1183" s="8">
        <v>0.78726661643163898</v>
      </c>
      <c r="X1183" s="8">
        <v>0.16747789108420699</v>
      </c>
      <c r="Y1183" s="2">
        <v>102</v>
      </c>
      <c r="Z1183" s="2">
        <f>VLOOKUP(E1183,YieldData!T:U,2,FALSE)</f>
        <v>2254.9277920410782</v>
      </c>
      <c r="AA1183">
        <f t="shared" si="36"/>
        <v>0.59069923211252795</v>
      </c>
    </row>
    <row r="1184" spans="1:27" hidden="1" x14ac:dyDescent="0.25">
      <c r="A1184">
        <v>13</v>
      </c>
      <c r="B1184">
        <v>203</v>
      </c>
      <c r="C1184" t="s">
        <v>20</v>
      </c>
      <c r="D1184">
        <v>25111</v>
      </c>
      <c r="E1184">
        <f t="shared" si="37"/>
        <v>25111203</v>
      </c>
      <c r="F1184">
        <f>VLOOKUP(E1184,YieldData!D:F,2,FALSE)</f>
        <v>7</v>
      </c>
      <c r="G1184">
        <f>VLOOKUP($E1184,YieldData!$D:$F,3,FALSE)</f>
        <v>2</v>
      </c>
      <c r="H1184">
        <v>42</v>
      </c>
      <c r="I1184" t="s">
        <v>21</v>
      </c>
      <c r="J1184" t="s">
        <v>22</v>
      </c>
      <c r="K1184" s="2">
        <v>12718.812533636299</v>
      </c>
      <c r="L1184" s="2">
        <v>90744792.164999798</v>
      </c>
      <c r="M1184" s="3">
        <v>7072.0984777352696</v>
      </c>
      <c r="N1184" s="3">
        <v>130857838.25465</v>
      </c>
      <c r="O1184" s="4">
        <v>0.15425170094397</v>
      </c>
      <c r="P1184" s="4">
        <v>7.6163150286100406E-2</v>
      </c>
      <c r="Q1184" s="5">
        <v>7072.0984777352696</v>
      </c>
      <c r="R1184" s="5">
        <v>130857838.25465</v>
      </c>
      <c r="S1184" s="6">
        <v>0.37310392309379198</v>
      </c>
      <c r="T1184" s="6">
        <v>0.147662496590061</v>
      </c>
      <c r="U1184" s="7">
        <v>0.52829037852060001</v>
      </c>
      <c r="V1184" s="7">
        <v>0.24919965448314299</v>
      </c>
      <c r="W1184" s="8">
        <v>0.92374300339664195</v>
      </c>
      <c r="X1184" s="8">
        <v>7.0441867072418396E-2</v>
      </c>
      <c r="Y1184" s="2">
        <v>144</v>
      </c>
      <c r="Z1184" s="2">
        <f>VLOOKUP(E1184,YieldData!T:U,2,FALSE)</f>
        <v>1622.7968549422335</v>
      </c>
      <c r="AA1184">
        <f t="shared" si="36"/>
        <v>0.52829037852060001</v>
      </c>
    </row>
    <row r="1185" spans="1:27" hidden="1" x14ac:dyDescent="0.25">
      <c r="A1185">
        <v>14</v>
      </c>
      <c r="B1185">
        <v>204</v>
      </c>
      <c r="C1185" t="s">
        <v>20</v>
      </c>
      <c r="D1185">
        <v>25111</v>
      </c>
      <c r="E1185">
        <f t="shared" si="37"/>
        <v>25111204</v>
      </c>
      <c r="F1185">
        <f>VLOOKUP(E1185,YieldData!D:F,2,FALSE)</f>
        <v>9</v>
      </c>
      <c r="G1185">
        <f>VLOOKUP($E1185,YieldData!$D:$F,3,FALSE)</f>
        <v>2</v>
      </c>
      <c r="H1185">
        <v>42</v>
      </c>
      <c r="I1185" t="s">
        <v>21</v>
      </c>
      <c r="J1185" t="s">
        <v>22</v>
      </c>
      <c r="K1185" s="2">
        <v>16076.5141363886</v>
      </c>
      <c r="L1185" s="2">
        <v>123470407.95468301</v>
      </c>
      <c r="M1185" s="3">
        <v>6540.3446862330302</v>
      </c>
      <c r="N1185" s="3">
        <v>130133802.354119</v>
      </c>
      <c r="O1185" s="4">
        <v>0.105699953847604</v>
      </c>
      <c r="P1185" s="4">
        <v>5.5514988884648397E-2</v>
      </c>
      <c r="Q1185" s="5">
        <v>6540.3446862330302</v>
      </c>
      <c r="R1185" s="5">
        <v>130133802.354119</v>
      </c>
      <c r="S1185" s="6">
        <v>0.36172671991567001</v>
      </c>
      <c r="T1185" s="6">
        <v>0.14816506998280601</v>
      </c>
      <c r="U1185" s="7">
        <v>0.53304470543210503</v>
      </c>
      <c r="V1185" s="7">
        <v>0.24890804744275299</v>
      </c>
      <c r="W1185" s="8">
        <v>0.879145587408657</v>
      </c>
      <c r="X1185" s="8">
        <v>0.106248623548283</v>
      </c>
      <c r="Y1185" s="2">
        <v>126</v>
      </c>
      <c r="Z1185" s="2">
        <f>VLOOKUP(E1185,YieldData!T:U,2,FALSE)</f>
        <v>2654.4849165596916</v>
      </c>
      <c r="AA1185">
        <f t="shared" si="36"/>
        <v>0.53304470543210503</v>
      </c>
    </row>
    <row r="1186" spans="1:27" hidden="1" x14ac:dyDescent="0.25">
      <c r="A1186">
        <v>15</v>
      </c>
      <c r="B1186">
        <v>205</v>
      </c>
      <c r="C1186" t="s">
        <v>20</v>
      </c>
      <c r="D1186">
        <v>25111</v>
      </c>
      <c r="E1186">
        <f t="shared" si="37"/>
        <v>25111205</v>
      </c>
      <c r="F1186">
        <f>VLOOKUP(E1186,YieldData!D:F,2,FALSE)</f>
        <v>3</v>
      </c>
      <c r="G1186">
        <f>VLOOKUP($E1186,YieldData!$D:$F,3,FALSE)</f>
        <v>2</v>
      </c>
      <c r="H1186">
        <v>42</v>
      </c>
      <c r="I1186" t="s">
        <v>21</v>
      </c>
      <c r="J1186" t="s">
        <v>22</v>
      </c>
      <c r="K1186" s="2">
        <v>17490.442056237702</v>
      </c>
      <c r="L1186" s="2">
        <v>132972589.20701601</v>
      </c>
      <c r="M1186" s="3">
        <v>5105.8780807937601</v>
      </c>
      <c r="N1186" s="3">
        <v>122852615.69965</v>
      </c>
      <c r="O1186" s="4">
        <v>0.12154059189800299</v>
      </c>
      <c r="P1186" s="4">
        <v>4.9720195836740699E-2</v>
      </c>
      <c r="Q1186" s="5">
        <v>5105.8780807937601</v>
      </c>
      <c r="R1186" s="5">
        <v>122852615.69965</v>
      </c>
      <c r="S1186" s="6">
        <v>0.38460565062952601</v>
      </c>
      <c r="T1186" s="6">
        <v>0.14110059811985401</v>
      </c>
      <c r="U1186" s="7">
        <v>0.57540285422529902</v>
      </c>
      <c r="V1186" s="7">
        <v>0.24431440957497</v>
      </c>
      <c r="W1186" s="8">
        <v>0.93021083699672502</v>
      </c>
      <c r="X1186" s="8">
        <v>6.4918635730427707E-2</v>
      </c>
      <c r="Y1186" s="2">
        <v>154</v>
      </c>
      <c r="Z1186" s="2">
        <f>VLOOKUP(E1186,YieldData!T:U,2,FALSE)</f>
        <v>2797.6251604621311</v>
      </c>
      <c r="AA1186">
        <f t="shared" si="36"/>
        <v>0.57540285422529902</v>
      </c>
    </row>
    <row r="1187" spans="1:27" hidden="1" x14ac:dyDescent="0.25">
      <c r="A1187">
        <v>16</v>
      </c>
      <c r="B1187">
        <v>206</v>
      </c>
      <c r="C1187" t="s">
        <v>20</v>
      </c>
      <c r="D1187">
        <v>25111</v>
      </c>
      <c r="E1187">
        <f t="shared" si="37"/>
        <v>25111206</v>
      </c>
      <c r="F1187">
        <f>VLOOKUP(E1187,YieldData!D:F,2,FALSE)</f>
        <v>13</v>
      </c>
      <c r="G1187">
        <f>VLOOKUP($E1187,YieldData!$D:$F,3,FALSE)</f>
        <v>2</v>
      </c>
      <c r="H1187">
        <v>42</v>
      </c>
      <c r="I1187" t="s">
        <v>21</v>
      </c>
      <c r="J1187" t="s">
        <v>22</v>
      </c>
      <c r="K1187" s="2">
        <v>21715.797440803599</v>
      </c>
      <c r="L1187" s="2">
        <v>50104458.995061502</v>
      </c>
      <c r="M1187" s="3">
        <v>-2834.4191627892201</v>
      </c>
      <c r="N1187" s="3">
        <v>26086074.416460101</v>
      </c>
      <c r="O1187" s="4">
        <v>0.35143693259591702</v>
      </c>
      <c r="P1187" s="4">
        <v>1.48104583123917E-2</v>
      </c>
      <c r="Q1187" s="5">
        <v>-2834.4191627892201</v>
      </c>
      <c r="R1187" s="5">
        <v>26086074.416460101</v>
      </c>
      <c r="S1187" s="6">
        <v>0.67359418621209499</v>
      </c>
      <c r="T1187" s="6">
        <v>2.3388286871522401E-2</v>
      </c>
      <c r="U1187" s="7">
        <v>0.92605835924419999</v>
      </c>
      <c r="V1187" s="7">
        <v>6.8474274518231695E-2</v>
      </c>
      <c r="W1187" s="8">
        <v>0.89733071826640198</v>
      </c>
      <c r="X1187" s="8">
        <v>9.2128300321869694E-2</v>
      </c>
      <c r="Y1187" s="2">
        <v>120</v>
      </c>
      <c r="Z1187" s="2">
        <f>VLOOKUP(E1187,YieldData!T:U,2,FALSE)</f>
        <v>1323.0712451861359</v>
      </c>
      <c r="AA1187">
        <f t="shared" si="36"/>
        <v>0.92605835924419999</v>
      </c>
    </row>
    <row r="1188" spans="1:27" hidden="1" x14ac:dyDescent="0.25">
      <c r="A1188">
        <v>17</v>
      </c>
      <c r="B1188">
        <v>207</v>
      </c>
      <c r="C1188" t="s">
        <v>20</v>
      </c>
      <c r="D1188">
        <v>25111</v>
      </c>
      <c r="E1188">
        <f t="shared" si="37"/>
        <v>25111207</v>
      </c>
      <c r="F1188">
        <f>VLOOKUP(E1188,YieldData!D:F,2,FALSE)</f>
        <v>14</v>
      </c>
      <c r="G1188">
        <f>VLOOKUP($E1188,YieldData!$D:$F,3,FALSE)</f>
        <v>1</v>
      </c>
      <c r="H1188">
        <v>42</v>
      </c>
      <c r="I1188" t="s">
        <v>21</v>
      </c>
      <c r="J1188" t="s">
        <v>22</v>
      </c>
      <c r="K1188" s="2">
        <v>18076.9442300636</v>
      </c>
      <c r="L1188" s="2">
        <v>135473124.60352701</v>
      </c>
      <c r="M1188" s="3">
        <v>3935.8277520496399</v>
      </c>
      <c r="N1188" s="3">
        <v>112940429.551028</v>
      </c>
      <c r="O1188" s="4">
        <v>0.17141411026918299</v>
      </c>
      <c r="P1188" s="4">
        <v>4.8644587361528303E-2</v>
      </c>
      <c r="Q1188" s="5">
        <v>3935.8277520496399</v>
      </c>
      <c r="R1188" s="5">
        <v>112940429.551028</v>
      </c>
      <c r="S1188" s="6">
        <v>0.43033716790301701</v>
      </c>
      <c r="T1188" s="6">
        <v>0.124595561848367</v>
      </c>
      <c r="U1188" s="7">
        <v>0.61661964346714904</v>
      </c>
      <c r="V1188" s="7">
        <v>0.23639985875750599</v>
      </c>
      <c r="W1188" s="8">
        <v>0.86373815458191505</v>
      </c>
      <c r="X1188" s="8">
        <v>0.11769455490125</v>
      </c>
      <c r="Y1188" s="2">
        <v>102</v>
      </c>
      <c r="Z1188" s="2">
        <f>VLOOKUP(E1188,YieldData!T:U,2,FALSE)</f>
        <v>2191.5661103979464</v>
      </c>
      <c r="AA1188">
        <f t="shared" si="36"/>
        <v>0.61661964346714904</v>
      </c>
    </row>
    <row r="1189" spans="1:27" hidden="1" x14ac:dyDescent="0.25">
      <c r="A1189">
        <v>18</v>
      </c>
      <c r="B1189">
        <v>208</v>
      </c>
      <c r="C1189" t="s">
        <v>20</v>
      </c>
      <c r="D1189">
        <v>25111</v>
      </c>
      <c r="E1189">
        <f t="shared" si="37"/>
        <v>25111208</v>
      </c>
      <c r="F1189">
        <f>VLOOKUP(E1189,YieldData!D:F,2,FALSE)</f>
        <v>13</v>
      </c>
      <c r="G1189">
        <f>VLOOKUP($E1189,YieldData!$D:$F,3,FALSE)</f>
        <v>1</v>
      </c>
      <c r="H1189">
        <v>42</v>
      </c>
      <c r="I1189" t="s">
        <v>21</v>
      </c>
      <c r="J1189" t="s">
        <v>22</v>
      </c>
      <c r="K1189" s="2">
        <v>15110.3985216902</v>
      </c>
      <c r="L1189" s="2">
        <v>99091171.337264493</v>
      </c>
      <c r="M1189" s="3">
        <v>6941.9340894137003</v>
      </c>
      <c r="N1189" s="3">
        <v>135471157.68965599</v>
      </c>
      <c r="O1189" s="4">
        <v>0.16092460561431601</v>
      </c>
      <c r="P1189" s="4">
        <v>5.9046865154013702E-2</v>
      </c>
      <c r="Q1189" s="5">
        <v>6941.9340894137003</v>
      </c>
      <c r="R1189" s="5">
        <v>135471157.68965599</v>
      </c>
      <c r="S1189" s="6">
        <v>0.39144538400022799</v>
      </c>
      <c r="T1189" s="6">
        <v>0.130998775943102</v>
      </c>
      <c r="U1189" s="7">
        <v>0.53164133047877604</v>
      </c>
      <c r="V1189" s="7">
        <v>0.24899882620525299</v>
      </c>
      <c r="W1189" s="8">
        <v>0.82153194746788505</v>
      </c>
      <c r="X1189" s="8">
        <v>0.14661720675763401</v>
      </c>
      <c r="Y1189" s="2">
        <v>112</v>
      </c>
      <c r="Z1189" s="2">
        <f>VLOOKUP(E1189,YieldData!T:U,2,FALSE)</f>
        <v>2785.418806161746</v>
      </c>
      <c r="AA1189">
        <f t="shared" si="36"/>
        <v>0.53164133047877604</v>
      </c>
    </row>
    <row r="1190" spans="1:27" hidden="1" x14ac:dyDescent="0.25">
      <c r="A1190">
        <v>19</v>
      </c>
      <c r="B1190">
        <v>209</v>
      </c>
      <c r="C1190" t="s">
        <v>20</v>
      </c>
      <c r="D1190">
        <v>25111</v>
      </c>
      <c r="E1190">
        <f t="shared" si="37"/>
        <v>25111209</v>
      </c>
      <c r="F1190">
        <f>VLOOKUP(E1190,YieldData!D:F,2,FALSE)</f>
        <v>12</v>
      </c>
      <c r="G1190">
        <f>VLOOKUP($E1190,YieldData!$D:$F,3,FALSE)</f>
        <v>1</v>
      </c>
      <c r="H1190">
        <v>42</v>
      </c>
      <c r="I1190" t="s">
        <v>21</v>
      </c>
      <c r="J1190" t="s">
        <v>22</v>
      </c>
      <c r="K1190" s="2">
        <v>17992.087742460899</v>
      </c>
      <c r="L1190" s="2">
        <v>59154269.173449703</v>
      </c>
      <c r="M1190" s="3">
        <v>37.321812688770201</v>
      </c>
      <c r="N1190" s="3">
        <v>47518043.317013398</v>
      </c>
      <c r="O1190" s="4">
        <v>0.38004078935234198</v>
      </c>
      <c r="P1190" s="4">
        <v>2.3982080478918501E-2</v>
      </c>
      <c r="Q1190" s="5">
        <v>37.321812688770201</v>
      </c>
      <c r="R1190" s="5">
        <v>47518043.317013398</v>
      </c>
      <c r="S1190" s="6">
        <v>0.67544208649529403</v>
      </c>
      <c r="T1190" s="6">
        <v>4.3022094276999698E-2</v>
      </c>
      <c r="U1190" s="7">
        <v>0.86303736242041396</v>
      </c>
      <c r="V1190" s="7">
        <v>0.118203873486904</v>
      </c>
      <c r="W1190" s="8">
        <v>0.98519249753208304</v>
      </c>
      <c r="X1190" s="8">
        <v>1.45882403385905E-2</v>
      </c>
      <c r="Y1190" s="2">
        <v>200</v>
      </c>
      <c r="Z1190" s="2">
        <f>VLOOKUP(E1190,YieldData!T:U,2,FALSE)</f>
        <v>2428.5847240051348</v>
      </c>
      <c r="AA1190">
        <f t="shared" si="36"/>
        <v>0.86303736242041396</v>
      </c>
    </row>
    <row r="1191" spans="1:27" hidden="1" x14ac:dyDescent="0.25">
      <c r="A1191">
        <v>20</v>
      </c>
      <c r="B1191">
        <v>210</v>
      </c>
      <c r="C1191" t="s">
        <v>20</v>
      </c>
      <c r="D1191">
        <v>25111</v>
      </c>
      <c r="E1191">
        <f t="shared" si="37"/>
        <v>25111210</v>
      </c>
      <c r="F1191">
        <f>VLOOKUP(E1191,YieldData!D:F,2,FALSE)</f>
        <v>11</v>
      </c>
      <c r="G1191">
        <f>VLOOKUP($E1191,YieldData!$D:$F,3,FALSE)</f>
        <v>1</v>
      </c>
      <c r="H1191">
        <v>42</v>
      </c>
      <c r="I1191" t="s">
        <v>21</v>
      </c>
      <c r="J1191" t="s">
        <v>22</v>
      </c>
      <c r="K1191" s="2">
        <v>17556.1955210587</v>
      </c>
      <c r="L1191" s="2">
        <v>102506348.28542601</v>
      </c>
      <c r="M1191" s="3">
        <v>2808.2522183254</v>
      </c>
      <c r="N1191" s="3">
        <v>88939763.409388095</v>
      </c>
      <c r="O1191" s="4">
        <v>0.255790563829211</v>
      </c>
      <c r="P1191" s="4">
        <v>3.8302140207784302E-2</v>
      </c>
      <c r="Q1191" s="5">
        <v>2808.2522183254</v>
      </c>
      <c r="R1191" s="5">
        <v>88939763.409388095</v>
      </c>
      <c r="S1191" s="6">
        <v>0.53617888782669199</v>
      </c>
      <c r="T1191" s="6">
        <v>8.3555413721978597E-2</v>
      </c>
      <c r="U1191" s="7">
        <v>0.68992238198244005</v>
      </c>
      <c r="V1191" s="7">
        <v>0.21392948882228799</v>
      </c>
      <c r="W1191" s="8">
        <v>0.935866439314891</v>
      </c>
      <c r="X1191" s="8">
        <v>6.00204470788415E-2</v>
      </c>
      <c r="Y1191" s="2">
        <v>130</v>
      </c>
      <c r="Z1191" s="2">
        <f>VLOOKUP(E1191,YieldData!T:U,2,FALSE)</f>
        <v>2134.146341463415</v>
      </c>
      <c r="AA1191">
        <f t="shared" si="36"/>
        <v>0.68992238198244005</v>
      </c>
    </row>
    <row r="1192" spans="1:27" hidden="1" x14ac:dyDescent="0.25">
      <c r="A1192">
        <v>21</v>
      </c>
      <c r="B1192">
        <v>301</v>
      </c>
      <c r="C1192" t="s">
        <v>20</v>
      </c>
      <c r="D1192">
        <v>25111</v>
      </c>
      <c r="E1192">
        <f t="shared" si="37"/>
        <v>25111301</v>
      </c>
      <c r="F1192">
        <f>VLOOKUP(E1192,YieldData!D:F,2,FALSE)</f>
        <v>4</v>
      </c>
      <c r="G1192">
        <f>VLOOKUP($E1192,YieldData!$D:$F,3,FALSE)</f>
        <v>2</v>
      </c>
      <c r="H1192">
        <v>42</v>
      </c>
      <c r="I1192" t="s">
        <v>21</v>
      </c>
      <c r="J1192" t="s">
        <v>22</v>
      </c>
      <c r="K1192" s="2">
        <v>22986.482334848701</v>
      </c>
      <c r="L1192" s="2">
        <v>138268957.54605001</v>
      </c>
      <c r="M1192" s="3">
        <v>791.31331680049595</v>
      </c>
      <c r="N1192" s="3">
        <v>83255178.534019604</v>
      </c>
      <c r="O1192" s="4">
        <v>0.244151042030882</v>
      </c>
      <c r="P1192" s="4">
        <v>3.1660448837379999E-2</v>
      </c>
      <c r="Q1192" s="5">
        <v>791.31331680049595</v>
      </c>
      <c r="R1192" s="5">
        <v>83255178.534019604</v>
      </c>
      <c r="S1192" s="6">
        <v>0.58672171658028005</v>
      </c>
      <c r="T1192" s="6">
        <v>7.0990197480862702E-2</v>
      </c>
      <c r="U1192" s="7">
        <v>0.74455341364378302</v>
      </c>
      <c r="V1192" s="7">
        <v>0.19019362787507299</v>
      </c>
      <c r="W1192" s="8">
        <v>0.87570316610233501</v>
      </c>
      <c r="X1192" s="8">
        <v>0.108847130980733</v>
      </c>
      <c r="Y1192" s="2">
        <v>92</v>
      </c>
      <c r="Z1192" s="2">
        <f>VLOOKUP(E1192,YieldData!T:U,2,FALSE)</f>
        <v>1772.581835686778</v>
      </c>
      <c r="AA1192">
        <f t="shared" si="36"/>
        <v>0.74455341364378302</v>
      </c>
    </row>
    <row r="1193" spans="1:27" hidden="1" x14ac:dyDescent="0.25">
      <c r="A1193">
        <v>22</v>
      </c>
      <c r="B1193">
        <v>302</v>
      </c>
      <c r="C1193" t="s">
        <v>20</v>
      </c>
      <c r="D1193">
        <v>25111</v>
      </c>
      <c r="E1193">
        <f t="shared" si="37"/>
        <v>25111302</v>
      </c>
      <c r="F1193">
        <f>VLOOKUP(E1193,YieldData!D:F,2,FALSE)</f>
        <v>2</v>
      </c>
      <c r="G1193">
        <f>VLOOKUP($E1193,YieldData!$D:$F,3,FALSE)</f>
        <v>2</v>
      </c>
      <c r="H1193">
        <v>42</v>
      </c>
      <c r="I1193" t="s">
        <v>21</v>
      </c>
      <c r="J1193" t="s">
        <v>22</v>
      </c>
      <c r="K1193" s="2">
        <v>21343.801430399599</v>
      </c>
      <c r="L1193" s="2">
        <v>150583772.65135899</v>
      </c>
      <c r="M1193" s="3">
        <v>1958.3218924796299</v>
      </c>
      <c r="N1193" s="3">
        <v>100007439.274544</v>
      </c>
      <c r="O1193" s="4">
        <v>0.22420308711457901</v>
      </c>
      <c r="P1193" s="4">
        <v>5.2933779623225798E-2</v>
      </c>
      <c r="Q1193" s="5">
        <v>1958.3218924796299</v>
      </c>
      <c r="R1193" s="5">
        <v>100007439.274544</v>
      </c>
      <c r="S1193" s="6">
        <v>0.534228892851625</v>
      </c>
      <c r="T1193" s="6">
        <v>0.106432026556581</v>
      </c>
      <c r="U1193" s="7">
        <v>0.743042349873823</v>
      </c>
      <c r="V1193" s="7">
        <v>0.19093041616806</v>
      </c>
      <c r="W1193" s="8">
        <v>0.91491550154883905</v>
      </c>
      <c r="X1193" s="8">
        <v>7.7845126574295195E-2</v>
      </c>
      <c r="Y1193" s="2">
        <v>160</v>
      </c>
      <c r="Z1193" s="2">
        <f>VLOOKUP(E1193,YieldData!T:U,2,FALSE)</f>
        <v>2060.9114249037229</v>
      </c>
      <c r="AA1193">
        <f t="shared" si="36"/>
        <v>0.743042349873823</v>
      </c>
    </row>
    <row r="1194" spans="1:27" hidden="1" x14ac:dyDescent="0.25">
      <c r="A1194">
        <v>23</v>
      </c>
      <c r="B1194">
        <v>303</v>
      </c>
      <c r="C1194" t="s">
        <v>20</v>
      </c>
      <c r="D1194">
        <v>25111</v>
      </c>
      <c r="E1194">
        <f t="shared" si="37"/>
        <v>25111303</v>
      </c>
      <c r="F1194">
        <f>VLOOKUP(E1194,YieldData!D:F,2,FALSE)</f>
        <v>6</v>
      </c>
      <c r="G1194">
        <f>VLOOKUP($E1194,YieldData!$D:$F,3,FALSE)</f>
        <v>2</v>
      </c>
      <c r="H1194">
        <v>42</v>
      </c>
      <c r="I1194" t="s">
        <v>21</v>
      </c>
      <c r="J1194" t="s">
        <v>22</v>
      </c>
      <c r="K1194" s="2">
        <v>18735.8187225816</v>
      </c>
      <c r="L1194" s="2">
        <v>166317320.77098799</v>
      </c>
      <c r="M1194" s="3">
        <v>3207.6989534459599</v>
      </c>
      <c r="N1194" s="3">
        <v>129383656.30564301</v>
      </c>
      <c r="O1194" s="4">
        <v>0.18257705995444601</v>
      </c>
      <c r="P1194" s="4">
        <v>6.0338594598874702E-2</v>
      </c>
      <c r="Q1194" s="5">
        <v>3207.6989534459599</v>
      </c>
      <c r="R1194" s="5">
        <v>129383656.30564301</v>
      </c>
      <c r="S1194" s="6">
        <v>0.44920527727715298</v>
      </c>
      <c r="T1194" s="6">
        <v>0.13636125357471801</v>
      </c>
      <c r="U1194" s="7">
        <v>0.61163159590551996</v>
      </c>
      <c r="V1194" s="7">
        <v>0.23753838679558101</v>
      </c>
      <c r="W1194" s="8">
        <v>0.66561752642470395</v>
      </c>
      <c r="X1194" s="8">
        <v>0.222570834941337</v>
      </c>
      <c r="Y1194" s="2">
        <v>60</v>
      </c>
      <c r="Z1194" s="2">
        <f>VLOOKUP(E1194,YieldData!T:U,2,FALSE)</f>
        <v>1677.4679075738127</v>
      </c>
      <c r="AA1194">
        <f t="shared" si="36"/>
        <v>0.66252354515713296</v>
      </c>
    </row>
    <row r="1195" spans="1:27" hidden="1" x14ac:dyDescent="0.25">
      <c r="A1195">
        <v>24</v>
      </c>
      <c r="B1195">
        <v>304</v>
      </c>
      <c r="C1195" t="s">
        <v>20</v>
      </c>
      <c r="D1195">
        <v>25111</v>
      </c>
      <c r="E1195">
        <f t="shared" si="37"/>
        <v>25111304</v>
      </c>
      <c r="F1195">
        <f>VLOOKUP(E1195,YieldData!D:F,2,FALSE)</f>
        <v>8</v>
      </c>
      <c r="G1195">
        <f>VLOOKUP($E1195,YieldData!$D:$F,3,FALSE)</f>
        <v>2</v>
      </c>
      <c r="H1195">
        <v>42</v>
      </c>
      <c r="I1195" t="s">
        <v>21</v>
      </c>
      <c r="J1195" t="s">
        <v>22</v>
      </c>
      <c r="K1195" s="2">
        <v>20361.283976459901</v>
      </c>
      <c r="L1195" s="2">
        <v>130390357.249696</v>
      </c>
      <c r="M1195" s="3">
        <v>471.77142457347401</v>
      </c>
      <c r="N1195" s="3">
        <v>108558935.63770001</v>
      </c>
      <c r="O1195" s="4">
        <v>0.228747653302485</v>
      </c>
      <c r="P1195" s="4">
        <v>5.5748105216459599E-2</v>
      </c>
      <c r="Q1195" s="5">
        <v>471.77142457347401</v>
      </c>
      <c r="R1195" s="5">
        <v>108558935.63770001</v>
      </c>
      <c r="S1195" s="6">
        <v>0.52512630848103403</v>
      </c>
      <c r="T1195" s="6">
        <v>0.124263386734434</v>
      </c>
      <c r="U1195" s="7">
        <v>0.72992272912131295</v>
      </c>
      <c r="V1195" s="7">
        <v>0.197135538633607</v>
      </c>
      <c r="W1195" s="8">
        <v>0.83766715307513795</v>
      </c>
      <c r="X1195" s="8">
        <v>0.135980893734234</v>
      </c>
      <c r="Y1195" s="2">
        <v>118</v>
      </c>
      <c r="Z1195" s="2">
        <f>VLOOKUP(E1195,YieldData!T:U,2,FALSE)</f>
        <v>2638.8783697047497</v>
      </c>
      <c r="AA1195">
        <f t="shared" si="36"/>
        <v>0.72992272912131295</v>
      </c>
    </row>
    <row r="1196" spans="1:27" hidden="1" x14ac:dyDescent="0.25">
      <c r="A1196">
        <v>25</v>
      </c>
      <c r="B1196">
        <v>305</v>
      </c>
      <c r="C1196" t="s">
        <v>20</v>
      </c>
      <c r="D1196">
        <v>25111</v>
      </c>
      <c r="E1196">
        <f t="shared" si="37"/>
        <v>25111305</v>
      </c>
      <c r="F1196">
        <f>VLOOKUP(E1196,YieldData!D:F,2,FALSE)</f>
        <v>11</v>
      </c>
      <c r="G1196">
        <f>VLOOKUP($E1196,YieldData!$D:$F,3,FALSE)</f>
        <v>2</v>
      </c>
      <c r="H1196">
        <v>42</v>
      </c>
      <c r="I1196" t="s">
        <v>21</v>
      </c>
      <c r="J1196" t="s">
        <v>22</v>
      </c>
      <c r="K1196" s="2">
        <v>18564.679217750101</v>
      </c>
      <c r="L1196" s="2">
        <v>156815649.33970499</v>
      </c>
      <c r="M1196" s="3">
        <v>3487.6777603873502</v>
      </c>
      <c r="N1196" s="3">
        <v>145935835.75521299</v>
      </c>
      <c r="O1196" s="4">
        <v>0.12526477903965</v>
      </c>
      <c r="P1196" s="4">
        <v>7.3547929562615105E-2</v>
      </c>
      <c r="Q1196" s="5">
        <v>3487.6777603873502</v>
      </c>
      <c r="R1196" s="5">
        <v>145935835.75521299</v>
      </c>
      <c r="S1196" s="6">
        <v>0.37832804236848699</v>
      </c>
      <c r="T1196" s="6">
        <v>0.17644698145068799</v>
      </c>
      <c r="U1196" s="7">
        <v>0.59360086119251199</v>
      </c>
      <c r="V1196" s="7">
        <v>0.24123887878384001</v>
      </c>
      <c r="W1196" s="8">
        <v>0.92095221006040995</v>
      </c>
      <c r="X1196" s="8">
        <v>7.2799236845266194E-2</v>
      </c>
      <c r="Y1196" s="2">
        <v>162</v>
      </c>
      <c r="Z1196" s="2">
        <f>VLOOKUP(E1196,YieldData!T:U,2,FALSE)</f>
        <v>2035.834403080873</v>
      </c>
      <c r="AA1196">
        <f t="shared" si="36"/>
        <v>0.59360086119251199</v>
      </c>
    </row>
    <row r="1197" spans="1:27" hidden="1" x14ac:dyDescent="0.25">
      <c r="A1197">
        <v>26</v>
      </c>
      <c r="B1197">
        <v>306</v>
      </c>
      <c r="C1197" t="s">
        <v>20</v>
      </c>
      <c r="D1197">
        <v>25111</v>
      </c>
      <c r="E1197">
        <f t="shared" si="37"/>
        <v>25111306</v>
      </c>
      <c r="F1197">
        <f>VLOOKUP(E1197,YieldData!D:F,2,FALSE)</f>
        <v>10</v>
      </c>
      <c r="G1197">
        <f>VLOOKUP($E1197,YieldData!$D:$F,3,FALSE)</f>
        <v>2</v>
      </c>
      <c r="H1197">
        <v>42</v>
      </c>
      <c r="I1197" t="s">
        <v>21</v>
      </c>
      <c r="J1197" t="s">
        <v>22</v>
      </c>
      <c r="K1197" s="2">
        <v>22766.8313073524</v>
      </c>
      <c r="L1197" s="2">
        <v>116556097.764092</v>
      </c>
      <c r="M1197" s="3">
        <v>-1276.2007227541701</v>
      </c>
      <c r="N1197" s="3">
        <v>76513486.3171608</v>
      </c>
      <c r="O1197" s="4">
        <v>0.25210124439125597</v>
      </c>
      <c r="P1197" s="4">
        <v>4.3194463228813602E-2</v>
      </c>
      <c r="Q1197" s="5">
        <v>-1276.2007227541701</v>
      </c>
      <c r="R1197" s="5">
        <v>76513486.3171608</v>
      </c>
      <c r="S1197" s="6">
        <v>0.57038846330022297</v>
      </c>
      <c r="T1197" s="6">
        <v>9.7066959621900803E-2</v>
      </c>
      <c r="U1197" s="7">
        <v>0.78637689505376895</v>
      </c>
      <c r="V1197" s="7">
        <v>0.16798827397944999</v>
      </c>
      <c r="W1197" s="8">
        <v>0.95291274898902001</v>
      </c>
      <c r="X1197" s="8">
        <v>4.4870041803202899E-2</v>
      </c>
      <c r="Y1197" s="2">
        <v>176</v>
      </c>
      <c r="Z1197" s="2">
        <f>VLOOKUP(E1197,YieldData!T:U,2,FALSE)</f>
        <v>1864.1880616174585</v>
      </c>
      <c r="AA1197">
        <f t="shared" si="36"/>
        <v>0.78637689505376895</v>
      </c>
    </row>
    <row r="1198" spans="1:27" hidden="1" x14ac:dyDescent="0.25">
      <c r="A1198">
        <v>27</v>
      </c>
      <c r="B1198">
        <v>307</v>
      </c>
      <c r="C1198" t="s">
        <v>20</v>
      </c>
      <c r="D1198">
        <v>25111</v>
      </c>
      <c r="E1198">
        <f t="shared" si="37"/>
        <v>25111307</v>
      </c>
      <c r="F1198">
        <f>VLOOKUP(E1198,YieldData!D:F,2,FALSE)</f>
        <v>1</v>
      </c>
      <c r="G1198">
        <f>VLOOKUP($E1198,YieldData!$D:$F,3,FALSE)</f>
        <v>2</v>
      </c>
      <c r="H1198">
        <v>42</v>
      </c>
      <c r="I1198" t="s">
        <v>21</v>
      </c>
      <c r="J1198" t="s">
        <v>22</v>
      </c>
      <c r="K1198" s="2">
        <v>25626.133172312999</v>
      </c>
      <c r="L1198" s="2">
        <v>150563481.178121</v>
      </c>
      <c r="M1198" s="3">
        <v>-1906.8727524542301</v>
      </c>
      <c r="N1198" s="3">
        <v>68113666.914804801</v>
      </c>
      <c r="O1198" s="4">
        <v>0.24656652730537401</v>
      </c>
      <c r="P1198" s="4">
        <v>2.9732459762239399E-2</v>
      </c>
      <c r="Q1198" s="5">
        <v>-1906.8727524542301</v>
      </c>
      <c r="R1198" s="5">
        <v>68113666.914804801</v>
      </c>
      <c r="S1198" s="6">
        <v>0.59198858772682195</v>
      </c>
      <c r="T1198" s="6">
        <v>7.7867594882517294E-2</v>
      </c>
      <c r="U1198" s="7">
        <v>0.80669929447657795</v>
      </c>
      <c r="V1198" s="7">
        <v>0.15593554276775101</v>
      </c>
      <c r="W1198" s="8">
        <v>0.73622587780631099</v>
      </c>
      <c r="X1198" s="8">
        <v>0.194197334654405</v>
      </c>
      <c r="Y1198" s="2">
        <v>62</v>
      </c>
      <c r="Z1198" s="2">
        <f>VLOOKUP(E1198,YieldData!T:U,2,FALSE)</f>
        <v>2916.8164313222082</v>
      </c>
      <c r="AA1198">
        <f t="shared" si="36"/>
        <v>0.80669929447657795</v>
      </c>
    </row>
    <row r="1199" spans="1:27" hidden="1" x14ac:dyDescent="0.25">
      <c r="A1199">
        <v>28</v>
      </c>
      <c r="B1199">
        <v>308</v>
      </c>
      <c r="C1199" t="s">
        <v>20</v>
      </c>
      <c r="D1199">
        <v>25111</v>
      </c>
      <c r="E1199">
        <f t="shared" si="37"/>
        <v>25111308</v>
      </c>
      <c r="F1199">
        <f>VLOOKUP(E1199,YieldData!D:F,2,FALSE)</f>
        <v>12</v>
      </c>
      <c r="G1199">
        <f>VLOOKUP($E1199,YieldData!$D:$F,3,FALSE)</f>
        <v>2</v>
      </c>
      <c r="H1199">
        <v>42</v>
      </c>
      <c r="I1199" t="s">
        <v>21</v>
      </c>
      <c r="J1199" t="s">
        <v>22</v>
      </c>
      <c r="K1199" s="2">
        <v>22339.858267617299</v>
      </c>
      <c r="L1199" s="2">
        <v>151081933.54138699</v>
      </c>
      <c r="M1199" s="3">
        <v>1223.2133930993</v>
      </c>
      <c r="N1199" s="3">
        <v>124852270.76587801</v>
      </c>
      <c r="O1199" s="4">
        <v>0.223441802001724</v>
      </c>
      <c r="P1199" s="4">
        <v>5.4827261285248098E-2</v>
      </c>
      <c r="Q1199" s="5">
        <v>1223.2133930993</v>
      </c>
      <c r="R1199" s="5">
        <v>124852270.76587801</v>
      </c>
      <c r="S1199" s="6">
        <v>0.51548308726481495</v>
      </c>
      <c r="T1199" s="6">
        <v>0.12237772067677399</v>
      </c>
      <c r="U1199" s="7">
        <v>0.71376382555239204</v>
      </c>
      <c r="V1199" s="7">
        <v>0.20430502688537</v>
      </c>
      <c r="W1199" s="8">
        <v>0.76630380002015897</v>
      </c>
      <c r="X1199" s="8">
        <v>0.17908228609489399</v>
      </c>
      <c r="Y1199" s="2">
        <v>88</v>
      </c>
      <c r="Z1199" s="2">
        <f>VLOOKUP(E1199,YieldData!T:U,2,FALSE)</f>
        <v>3189.6566110397944</v>
      </c>
      <c r="AA1199">
        <f t="shared" si="36"/>
        <v>0.71376382555239204</v>
      </c>
    </row>
    <row r="1200" spans="1:27" hidden="1" x14ac:dyDescent="0.25">
      <c r="A1200">
        <v>29</v>
      </c>
      <c r="B1200">
        <v>309</v>
      </c>
      <c r="C1200" t="s">
        <v>20</v>
      </c>
      <c r="D1200">
        <v>25111</v>
      </c>
      <c r="E1200">
        <f t="shared" si="37"/>
        <v>25111309</v>
      </c>
      <c r="F1200">
        <f>VLOOKUP(E1200,YieldData!D:F,2,FALSE)</f>
        <v>5</v>
      </c>
      <c r="G1200">
        <f>VLOOKUP($E1200,YieldData!$D:$F,3,FALSE)</f>
        <v>3</v>
      </c>
      <c r="H1200">
        <v>42</v>
      </c>
      <c r="I1200" t="s">
        <v>21</v>
      </c>
      <c r="J1200" t="s">
        <v>22</v>
      </c>
      <c r="K1200" s="2">
        <v>26479.568735571698</v>
      </c>
      <c r="L1200" s="2">
        <v>72736153.676803604</v>
      </c>
      <c r="M1200" s="3">
        <v>-2533.6380660763498</v>
      </c>
      <c r="N1200" s="3">
        <v>31936125.648006</v>
      </c>
      <c r="O1200" s="4">
        <v>0.34381260338894198</v>
      </c>
      <c r="P1200" s="4">
        <v>1.4599029545604001E-2</v>
      </c>
      <c r="Q1200" s="5">
        <v>-2533.6380660763498</v>
      </c>
      <c r="R1200" s="5">
        <v>31936125.648006</v>
      </c>
      <c r="S1200" s="6">
        <v>0.71012220859345099</v>
      </c>
      <c r="T1200" s="6">
        <v>1.9947281922156199E-2</v>
      </c>
      <c r="U1200" s="7">
        <v>0.94319581833187804</v>
      </c>
      <c r="V1200" s="7">
        <v>5.35774666131534E-2</v>
      </c>
      <c r="W1200" s="8">
        <v>0.89924770664147102</v>
      </c>
      <c r="X1200" s="8">
        <v>9.0601268741356003E-2</v>
      </c>
      <c r="Y1200" s="2">
        <v>188</v>
      </c>
      <c r="Z1200" s="2">
        <f>VLOOKUP(E1200,YieldData!T:U,2,FALSE)</f>
        <v>3449.2297817715021</v>
      </c>
      <c r="AA1200">
        <f t="shared" si="36"/>
        <v>0.94319581833187804</v>
      </c>
    </row>
    <row r="1201" spans="1:27" hidden="1" x14ac:dyDescent="0.25">
      <c r="A1201">
        <v>30</v>
      </c>
      <c r="B1201">
        <v>310</v>
      </c>
      <c r="C1201" t="s">
        <v>20</v>
      </c>
      <c r="D1201">
        <v>25111</v>
      </c>
      <c r="E1201">
        <f t="shared" si="37"/>
        <v>25111310</v>
      </c>
      <c r="H1201">
        <v>42</v>
      </c>
      <c r="I1201" t="s">
        <v>21</v>
      </c>
      <c r="J1201" t="s">
        <v>22</v>
      </c>
      <c r="K1201" s="2">
        <v>25656.094300923</v>
      </c>
      <c r="L1201" s="2">
        <v>122924540.062723</v>
      </c>
      <c r="M1201" s="3">
        <v>-1597.02122369314</v>
      </c>
      <c r="N1201" s="3">
        <v>64789533.9360727</v>
      </c>
      <c r="O1201" s="4">
        <v>0.28048964511401903</v>
      </c>
      <c r="P1201" s="4">
        <v>3.11150199403302E-2</v>
      </c>
      <c r="Q1201" s="5">
        <v>-1597.02122369314</v>
      </c>
      <c r="R1201" s="5">
        <v>64789533.9360727</v>
      </c>
      <c r="S1201" s="6">
        <v>0.64599720908013103</v>
      </c>
      <c r="T1201" s="6">
        <v>6.3739124167292896E-2</v>
      </c>
      <c r="U1201" s="7">
        <v>0.87222249352932602</v>
      </c>
      <c r="V1201" s="7">
        <v>0.11145041531080099</v>
      </c>
      <c r="W1201" s="8">
        <v>0.86724053724053696</v>
      </c>
      <c r="X1201" s="8">
        <v>0.115134387807119</v>
      </c>
      <c r="Y1201" s="2">
        <v>96</v>
      </c>
      <c r="Z1201" s="2">
        <f>VLOOKUP(E1201,YieldData!T:U,2,FALSE)</f>
        <v>0</v>
      </c>
      <c r="AA1201">
        <f t="shared" si="36"/>
        <v>0.87222249352932602</v>
      </c>
    </row>
    <row r="1202" spans="1:27" hidden="1" x14ac:dyDescent="0.25">
      <c r="A1202">
        <v>31</v>
      </c>
      <c r="B1202">
        <v>401</v>
      </c>
      <c r="C1202" t="s">
        <v>20</v>
      </c>
      <c r="D1202">
        <v>25111</v>
      </c>
      <c r="E1202">
        <f t="shared" si="37"/>
        <v>25111401</v>
      </c>
      <c r="F1202">
        <f>VLOOKUP(E1202,YieldData!D:F,2,FALSE)</f>
        <v>1</v>
      </c>
      <c r="G1202">
        <f>VLOOKUP($E1202,YieldData!$D:$F,3,FALSE)</f>
        <v>3</v>
      </c>
      <c r="H1202">
        <v>42</v>
      </c>
      <c r="I1202" t="s">
        <v>21</v>
      </c>
      <c r="J1202" t="s">
        <v>22</v>
      </c>
      <c r="K1202" s="2">
        <v>17216.930665358999</v>
      </c>
      <c r="L1202" s="2">
        <v>113264260.700104</v>
      </c>
      <c r="M1202" s="3">
        <v>1853.9216218269601</v>
      </c>
      <c r="N1202" s="3">
        <v>91717246.869360298</v>
      </c>
      <c r="O1202" s="4">
        <v>0.26555188153863701</v>
      </c>
      <c r="P1202" s="4">
        <v>4.40016016567914E-2</v>
      </c>
      <c r="Q1202" s="5">
        <v>1853.9216218269601</v>
      </c>
      <c r="R1202" s="5">
        <v>91717246.869360298</v>
      </c>
      <c r="S1202" s="6">
        <v>0.56513412581828304</v>
      </c>
      <c r="T1202" s="6">
        <v>9.41700163983442E-2</v>
      </c>
      <c r="U1202" s="7">
        <v>0.70643112583573497</v>
      </c>
      <c r="V1202" s="7">
        <v>0.20738619028588201</v>
      </c>
      <c r="W1202" s="8">
        <v>0.94380853277835597</v>
      </c>
      <c r="X1202" s="8">
        <v>5.3033986233188703E-2</v>
      </c>
      <c r="Y1202" s="2">
        <v>140</v>
      </c>
      <c r="Z1202" s="2">
        <f>VLOOKUP(E1202,YieldData!T:U,2,FALSE)</f>
        <v>1960.5166880616171</v>
      </c>
      <c r="AA1202">
        <f t="shared" si="36"/>
        <v>0.70643112583573497</v>
      </c>
    </row>
    <row r="1203" spans="1:27" hidden="1" x14ac:dyDescent="0.25">
      <c r="A1203">
        <v>32</v>
      </c>
      <c r="B1203">
        <v>402</v>
      </c>
      <c r="C1203" t="s">
        <v>20</v>
      </c>
      <c r="D1203">
        <v>25111</v>
      </c>
      <c r="E1203">
        <f t="shared" si="37"/>
        <v>25111402</v>
      </c>
      <c r="F1203">
        <f>VLOOKUP(E1203,YieldData!D:F,2,FALSE)</f>
        <v>14</v>
      </c>
      <c r="G1203">
        <f>VLOOKUP($E1203,YieldData!$D:$F,3,FALSE)</f>
        <v>3</v>
      </c>
      <c r="H1203">
        <v>42</v>
      </c>
      <c r="I1203" t="s">
        <v>21</v>
      </c>
      <c r="J1203" t="s">
        <v>22</v>
      </c>
      <c r="K1203" s="2">
        <v>12613.4458943843</v>
      </c>
      <c r="L1203" s="2">
        <v>132473208.30654401</v>
      </c>
      <c r="M1203" s="3">
        <v>10661.1543282523</v>
      </c>
      <c r="N1203" s="3">
        <v>125871628.17308301</v>
      </c>
      <c r="O1203" s="4">
        <v>2.2884176339051699E-2</v>
      </c>
      <c r="P1203" s="4">
        <v>5.9153638301837903E-2</v>
      </c>
      <c r="Q1203" s="5">
        <v>10661.1543282523</v>
      </c>
      <c r="R1203" s="5">
        <v>125871628.17308301</v>
      </c>
      <c r="S1203" s="6">
        <v>0.24156347114906901</v>
      </c>
      <c r="T1203" s="6">
        <v>0.138449981220991</v>
      </c>
      <c r="U1203" s="7">
        <v>0.39816996591113002</v>
      </c>
      <c r="V1203" s="7">
        <v>0.239630644157422</v>
      </c>
      <c r="W1203" s="8">
        <v>0.89843563124910297</v>
      </c>
      <c r="X1203" s="8">
        <v>9.1249047750742301E-2</v>
      </c>
      <c r="Y1203" s="2">
        <v>200</v>
      </c>
      <c r="Z1203" s="2">
        <f>VLOOKUP(E1203,YieldData!T:U,2,FALSE)</f>
        <v>2271.8405006418484</v>
      </c>
      <c r="AA1203">
        <f t="shared" si="36"/>
        <v>0.39816996591113002</v>
      </c>
    </row>
    <row r="1204" spans="1:27" hidden="1" x14ac:dyDescent="0.25">
      <c r="A1204">
        <v>33</v>
      </c>
      <c r="B1204">
        <v>403</v>
      </c>
      <c r="C1204" t="s">
        <v>20</v>
      </c>
      <c r="D1204">
        <v>25111</v>
      </c>
      <c r="E1204">
        <f t="shared" si="37"/>
        <v>25111403</v>
      </c>
      <c r="F1204">
        <f>VLOOKUP(E1204,YieldData!D:F,2,FALSE)</f>
        <v>9</v>
      </c>
      <c r="G1204">
        <f>VLOOKUP($E1204,YieldData!$D:$F,3,FALSE)</f>
        <v>3</v>
      </c>
      <c r="H1204">
        <v>42</v>
      </c>
      <c r="I1204" t="s">
        <v>21</v>
      </c>
      <c r="J1204" t="s">
        <v>22</v>
      </c>
      <c r="K1204" s="2">
        <v>23734.474976083799</v>
      </c>
      <c r="L1204" s="2">
        <v>139608434.22928399</v>
      </c>
      <c r="M1204" s="3">
        <v>-44.275417525409203</v>
      </c>
      <c r="N1204" s="3">
        <v>76532512.851783097</v>
      </c>
      <c r="O1204" s="4">
        <v>0.227656676466305</v>
      </c>
      <c r="P1204" s="4">
        <v>3.2916431205637198E-2</v>
      </c>
      <c r="Q1204" s="5">
        <v>-44.275417525409203</v>
      </c>
      <c r="R1204" s="5">
        <v>76532512.851783097</v>
      </c>
      <c r="S1204" s="6">
        <v>0.56236680507218295</v>
      </c>
      <c r="T1204" s="6">
        <v>7.4432677617184806E-2</v>
      </c>
      <c r="U1204" s="7">
        <v>0.79020442072403196</v>
      </c>
      <c r="V1204" s="7">
        <v>0.16578139419221799</v>
      </c>
      <c r="W1204" s="8">
        <v>0.90728410135058601</v>
      </c>
      <c r="X1204" s="8">
        <v>8.4119660787097497E-2</v>
      </c>
      <c r="Y1204" s="2">
        <v>166</v>
      </c>
      <c r="Z1204" s="2">
        <f>VLOOKUP(E1204,YieldData!T:U,2,FALSE)</f>
        <v>1551.3222079589218</v>
      </c>
      <c r="AA1204">
        <f t="shared" si="36"/>
        <v>0.79020442072403196</v>
      </c>
    </row>
    <row r="1205" spans="1:27" hidden="1" x14ac:dyDescent="0.25">
      <c r="A1205">
        <v>34</v>
      </c>
      <c r="B1205">
        <v>404</v>
      </c>
      <c r="C1205" t="s">
        <v>20</v>
      </c>
      <c r="D1205">
        <v>25111</v>
      </c>
      <c r="E1205">
        <f t="shared" si="37"/>
        <v>25111404</v>
      </c>
      <c r="F1205">
        <f>VLOOKUP(E1205,YieldData!D:F,2,FALSE)</f>
        <v>6</v>
      </c>
      <c r="G1205">
        <f>VLOOKUP($E1205,YieldData!$D:$F,3,FALSE)</f>
        <v>3</v>
      </c>
      <c r="H1205">
        <v>42</v>
      </c>
      <c r="I1205" t="s">
        <v>21</v>
      </c>
      <c r="J1205" t="s">
        <v>22</v>
      </c>
      <c r="K1205" s="2">
        <v>20983.142937454399</v>
      </c>
      <c r="L1205" s="2">
        <v>163557053.268233</v>
      </c>
      <c r="M1205" s="3">
        <v>2510.4054601827102</v>
      </c>
      <c r="N1205" s="3">
        <v>128987413.48248</v>
      </c>
      <c r="O1205" s="4">
        <v>0.123491395951614</v>
      </c>
      <c r="P1205" s="4">
        <v>5.6596263146609101E-2</v>
      </c>
      <c r="Q1205" s="5">
        <v>2510.4054601827102</v>
      </c>
      <c r="R1205" s="5">
        <v>128987413.48248</v>
      </c>
      <c r="S1205" s="6">
        <v>0.425927542063263</v>
      </c>
      <c r="T1205" s="6">
        <v>0.14354332560658201</v>
      </c>
      <c r="U1205" s="7">
        <v>0.644271138595505</v>
      </c>
      <c r="V1205" s="7">
        <v>0.22918583856833699</v>
      </c>
      <c r="W1205" s="8">
        <v>0.91775611506488797</v>
      </c>
      <c r="X1205" s="8">
        <v>7.5479828326091306E-2</v>
      </c>
      <c r="Y1205" s="2">
        <v>192</v>
      </c>
      <c r="Z1205" s="2">
        <f>VLOOKUP(E1205,YieldData!T:U,2,FALSE)</f>
        <v>2596.150513478819</v>
      </c>
      <c r="AA1205">
        <f t="shared" si="36"/>
        <v>0.644271138595505</v>
      </c>
    </row>
    <row r="1206" spans="1:27" hidden="1" x14ac:dyDescent="0.25">
      <c r="A1206">
        <v>35</v>
      </c>
      <c r="B1206">
        <v>405</v>
      </c>
      <c r="C1206" t="s">
        <v>20</v>
      </c>
      <c r="D1206">
        <v>25111</v>
      </c>
      <c r="E1206">
        <f t="shared" si="37"/>
        <v>25111405</v>
      </c>
      <c r="F1206">
        <f>VLOOKUP(E1206,YieldData!D:F,2,FALSE)</f>
        <v>13</v>
      </c>
      <c r="G1206">
        <f>VLOOKUP($E1206,YieldData!$D:$F,3,FALSE)</f>
        <v>3</v>
      </c>
      <c r="H1206">
        <v>42</v>
      </c>
      <c r="I1206" t="s">
        <v>21</v>
      </c>
      <c r="J1206" t="s">
        <v>22</v>
      </c>
      <c r="K1206" s="2">
        <v>14364.1021590236</v>
      </c>
      <c r="L1206" s="2">
        <v>143140858.240769</v>
      </c>
      <c r="M1206" s="3">
        <v>8390.5053221807302</v>
      </c>
      <c r="N1206" s="3">
        <v>128207023.076491</v>
      </c>
      <c r="O1206" s="4">
        <v>-1.30840940652505E-2</v>
      </c>
      <c r="P1206" s="4">
        <v>6.3977514094679694E-2</v>
      </c>
      <c r="Q1206" s="5">
        <v>8390.5053221807302</v>
      </c>
      <c r="R1206" s="5">
        <v>128207023.076491</v>
      </c>
      <c r="S1206" s="6">
        <v>0.190897433762348</v>
      </c>
      <c r="T1206" s="6">
        <v>0.16765332651414699</v>
      </c>
      <c r="U1206" s="7">
        <v>0.39605118520815102</v>
      </c>
      <c r="V1206" s="7">
        <v>0.23919464390360401</v>
      </c>
      <c r="W1206" s="8">
        <v>0.90574706164209795</v>
      </c>
      <c r="X1206" s="8">
        <v>8.5369321969180997E-2</v>
      </c>
      <c r="Y1206" s="2">
        <v>398</v>
      </c>
      <c r="Z1206" s="2">
        <f>VLOOKUP(E1206,YieldData!T:U,2,FALSE)</f>
        <v>2056.2371630295247</v>
      </c>
      <c r="AA1206">
        <f t="shared" si="36"/>
        <v>0.39605118520815102</v>
      </c>
    </row>
    <row r="1207" spans="1:27" hidden="1" x14ac:dyDescent="0.25">
      <c r="A1207">
        <v>36</v>
      </c>
      <c r="B1207">
        <v>406</v>
      </c>
      <c r="C1207" t="s">
        <v>20</v>
      </c>
      <c r="D1207">
        <v>25111</v>
      </c>
      <c r="E1207">
        <f t="shared" si="37"/>
        <v>25111406</v>
      </c>
      <c r="F1207">
        <f>VLOOKUP(E1207,YieldData!D:F,2,FALSE)</f>
        <v>12</v>
      </c>
      <c r="G1207">
        <f>VLOOKUP($E1207,YieldData!$D:$F,3,FALSE)</f>
        <v>3</v>
      </c>
      <c r="H1207">
        <v>42</v>
      </c>
      <c r="I1207" t="s">
        <v>21</v>
      </c>
      <c r="J1207" t="s">
        <v>22</v>
      </c>
      <c r="K1207" s="2">
        <v>23758.943114168502</v>
      </c>
      <c r="L1207" s="2">
        <v>116018898.596155</v>
      </c>
      <c r="M1207" s="3">
        <v>-2863.3973999949399</v>
      </c>
      <c r="N1207" s="3">
        <v>52112551.734394297</v>
      </c>
      <c r="O1207" s="4">
        <v>0.24345606704971501</v>
      </c>
      <c r="P1207" s="4">
        <v>3.0930642210914499E-2</v>
      </c>
      <c r="Q1207" s="5">
        <v>-2863.3973999949399</v>
      </c>
      <c r="R1207" s="5">
        <v>52112551.734394297</v>
      </c>
      <c r="S1207" s="6">
        <v>0.58756487083914599</v>
      </c>
      <c r="T1207" s="6">
        <v>6.8718876121035E-2</v>
      </c>
      <c r="U1207" s="7">
        <v>0.83448868898002404</v>
      </c>
      <c r="V1207" s="7">
        <v>0.13811731694437401</v>
      </c>
      <c r="W1207" s="8">
        <v>0.84077680177796599</v>
      </c>
      <c r="X1207" s="8">
        <v>0.13387117137029</v>
      </c>
      <c r="Y1207" s="2">
        <v>140</v>
      </c>
      <c r="Z1207" s="2">
        <f>VLOOKUP(E1207,YieldData!T:U,2,FALSE)</f>
        <v>1804.3132220795892</v>
      </c>
      <c r="AA1207">
        <f t="shared" si="36"/>
        <v>0.83448868898002404</v>
      </c>
    </row>
    <row r="1208" spans="1:27" hidden="1" x14ac:dyDescent="0.25">
      <c r="A1208">
        <v>37</v>
      </c>
      <c r="B1208">
        <v>407</v>
      </c>
      <c r="C1208" t="s">
        <v>20</v>
      </c>
      <c r="D1208">
        <v>25111</v>
      </c>
      <c r="E1208">
        <f t="shared" si="37"/>
        <v>25111407</v>
      </c>
      <c r="F1208">
        <f>VLOOKUP(E1208,YieldData!D:F,2,FALSE)</f>
        <v>11</v>
      </c>
      <c r="G1208">
        <f>VLOOKUP($E1208,YieldData!$D:$F,3,FALSE)</f>
        <v>3</v>
      </c>
      <c r="H1208">
        <v>42</v>
      </c>
      <c r="I1208" t="s">
        <v>21</v>
      </c>
      <c r="J1208" t="s">
        <v>22</v>
      </c>
      <c r="K1208" s="2">
        <v>12125.754393188899</v>
      </c>
      <c r="L1208" s="2">
        <v>143612468.71941701</v>
      </c>
      <c r="M1208" s="3">
        <v>10655.5274829389</v>
      </c>
      <c r="N1208" s="3">
        <v>116770196.191939</v>
      </c>
      <c r="O1208" s="4">
        <v>-3.5150720207895697E-2</v>
      </c>
      <c r="P1208" s="4">
        <v>5.9987848648220099E-2</v>
      </c>
      <c r="Q1208" s="5">
        <v>10655.5274829389</v>
      </c>
      <c r="R1208" s="5">
        <v>116770196.191939</v>
      </c>
      <c r="S1208" s="6">
        <v>0.133050430041698</v>
      </c>
      <c r="T1208" s="6">
        <v>0.159384844818664</v>
      </c>
      <c r="U1208" s="7">
        <v>0.33240483947148503</v>
      </c>
      <c r="V1208" s="7">
        <v>0.22191186216752001</v>
      </c>
      <c r="W1208" s="8">
        <v>0.83380360148709698</v>
      </c>
      <c r="X1208" s="8">
        <v>0.13857515563434</v>
      </c>
      <c r="Y1208" s="2">
        <v>230</v>
      </c>
      <c r="Z1208" s="2">
        <f>VLOOKUP(E1208,YieldData!T:U,2,FALSE)</f>
        <v>2259.0404364569963</v>
      </c>
      <c r="AA1208">
        <f t="shared" si="36"/>
        <v>0.33240483947148503</v>
      </c>
    </row>
    <row r="1209" spans="1:27" hidden="1" x14ac:dyDescent="0.25">
      <c r="A1209">
        <v>38</v>
      </c>
      <c r="B1209">
        <v>408</v>
      </c>
      <c r="C1209" t="s">
        <v>20</v>
      </c>
      <c r="D1209">
        <v>25111</v>
      </c>
      <c r="E1209">
        <f t="shared" si="37"/>
        <v>25111408</v>
      </c>
      <c r="F1209">
        <f>VLOOKUP(E1209,YieldData!D:F,2,FALSE)</f>
        <v>4</v>
      </c>
      <c r="G1209">
        <f>VLOOKUP($E1209,YieldData!$D:$F,3,FALSE)</f>
        <v>3</v>
      </c>
      <c r="H1209">
        <v>42</v>
      </c>
      <c r="I1209" t="s">
        <v>21</v>
      </c>
      <c r="J1209" t="s">
        <v>22</v>
      </c>
      <c r="K1209" s="2">
        <v>25898.966305843001</v>
      </c>
      <c r="L1209" s="2">
        <v>106584578.382919</v>
      </c>
      <c r="M1209" s="3">
        <v>-3426.5685287776901</v>
      </c>
      <c r="N1209" s="3">
        <v>50848352.992174298</v>
      </c>
      <c r="O1209" s="4">
        <v>0.32511779381242201</v>
      </c>
      <c r="P1209" s="4">
        <v>2.6081682948081799E-2</v>
      </c>
      <c r="Q1209" s="5">
        <v>-3426.5685287776901</v>
      </c>
      <c r="R1209" s="5">
        <v>50848352.992174298</v>
      </c>
      <c r="S1209" s="6">
        <v>0.66850359938165105</v>
      </c>
      <c r="T1209" s="6">
        <v>4.3181527741775402E-2</v>
      </c>
      <c r="U1209" s="7">
        <v>0.91196698762035799</v>
      </c>
      <c r="V1209" s="7">
        <v>8.0283201111048003E-2</v>
      </c>
      <c r="W1209" s="8">
        <v>0.78165400944806596</v>
      </c>
      <c r="X1209" s="8">
        <v>0.170671018961913</v>
      </c>
      <c r="Y1209" s="2">
        <v>96</v>
      </c>
      <c r="Z1209" s="2">
        <f>VLOOKUP(E1209,YieldData!T:U,2,FALSE)</f>
        <v>2716.4634146341464</v>
      </c>
      <c r="AA1209">
        <f t="shared" si="36"/>
        <v>0.91196698762035799</v>
      </c>
    </row>
    <row r="1210" spans="1:27" hidden="1" x14ac:dyDescent="0.25">
      <c r="A1210">
        <v>39</v>
      </c>
      <c r="B1210">
        <v>410</v>
      </c>
      <c r="C1210" t="s">
        <v>20</v>
      </c>
      <c r="D1210">
        <v>25111</v>
      </c>
      <c r="E1210">
        <f t="shared" si="37"/>
        <v>25111410</v>
      </c>
      <c r="F1210">
        <f>VLOOKUP(E1210,YieldData!D:F,2,FALSE)</f>
        <v>7</v>
      </c>
      <c r="G1210">
        <f>VLOOKUP($E1210,YieldData!$D:$F,3,FALSE)</f>
        <v>3</v>
      </c>
      <c r="H1210">
        <v>42</v>
      </c>
      <c r="I1210" t="s">
        <v>21</v>
      </c>
      <c r="J1210" t="s">
        <v>22</v>
      </c>
      <c r="K1210" s="2">
        <v>21630.015599257302</v>
      </c>
      <c r="L1210" s="2">
        <v>135659185.90755999</v>
      </c>
      <c r="M1210" s="3">
        <v>746.234062150363</v>
      </c>
      <c r="N1210" s="3">
        <v>95303063.634556502</v>
      </c>
      <c r="O1210" s="4">
        <v>0.23402846870601701</v>
      </c>
      <c r="P1210" s="4">
        <v>4.4256951306520201E-2</v>
      </c>
      <c r="Q1210" s="5">
        <v>746.234062150363</v>
      </c>
      <c r="R1210" s="5">
        <v>95303063.634556502</v>
      </c>
      <c r="S1210" s="6">
        <v>0.56464739423284804</v>
      </c>
      <c r="T1210" s="6">
        <v>9.7994517810465198E-2</v>
      </c>
      <c r="U1210" s="7">
        <v>0.76582808127827595</v>
      </c>
      <c r="V1210" s="7">
        <v>0.17933543120376799</v>
      </c>
      <c r="W1210" s="8">
        <v>0.87662295210575203</v>
      </c>
      <c r="X1210" s="8">
        <v>0.10815515194733399</v>
      </c>
      <c r="Y1210" s="2">
        <v>140</v>
      </c>
      <c r="Z1210" s="2">
        <f>VLOOKUP(E1210,YieldData!T:U,2,FALSE)</f>
        <v>3008.472400513479</v>
      </c>
      <c r="AA1210">
        <f t="shared" si="36"/>
        <v>0.76582808127827595</v>
      </c>
    </row>
    <row r="1211" spans="1:27" hidden="1" x14ac:dyDescent="0.25">
      <c r="A1211">
        <v>40</v>
      </c>
      <c r="B1211">
        <v>409</v>
      </c>
      <c r="C1211" t="s">
        <v>20</v>
      </c>
      <c r="D1211">
        <v>25111</v>
      </c>
      <c r="E1211">
        <f t="shared" si="37"/>
        <v>25111409</v>
      </c>
      <c r="F1211">
        <f>VLOOKUP(E1211,YieldData!D:F,2,FALSE)</f>
        <v>8</v>
      </c>
      <c r="G1211">
        <f>VLOOKUP($E1211,YieldData!$D:$F,3,FALSE)</f>
        <v>3</v>
      </c>
      <c r="H1211">
        <v>42</v>
      </c>
      <c r="I1211" t="s">
        <v>21</v>
      </c>
      <c r="J1211" t="s">
        <v>22</v>
      </c>
      <c r="K1211" s="2">
        <v>27115.368794326201</v>
      </c>
      <c r="L1211" s="2">
        <v>76559540.366424799</v>
      </c>
      <c r="M1211" s="3">
        <v>-2854.0201428517498</v>
      </c>
      <c r="N1211" s="3">
        <v>19377268.149251599</v>
      </c>
      <c r="O1211" s="4">
        <v>0.33904910224266899</v>
      </c>
      <c r="P1211" s="4">
        <v>1.37291509707398E-2</v>
      </c>
      <c r="Q1211" s="5">
        <v>-2854.0201428517498</v>
      </c>
      <c r="R1211" s="5">
        <v>19377268.149251599</v>
      </c>
      <c r="S1211" s="6">
        <v>0.71638298268316503</v>
      </c>
      <c r="T1211" s="6">
        <v>1.0543016669455599E-2</v>
      </c>
      <c r="U1211" s="7">
        <v>0.97096145336251505</v>
      </c>
      <c r="V1211" s="7">
        <v>2.81953094466478E-2</v>
      </c>
      <c r="W1211" s="8">
        <v>0.84238161876397899</v>
      </c>
      <c r="X1211" s="8">
        <v>0.13277482713256999</v>
      </c>
      <c r="Y1211" s="2">
        <v>124</v>
      </c>
      <c r="Z1211" s="2">
        <f>VLOOKUP(E1211,YieldData!T:U,2,FALSE)</f>
        <v>2987.8305519897308</v>
      </c>
      <c r="AA1211">
        <f t="shared" si="36"/>
        <v>0.97096145336251505</v>
      </c>
    </row>
    <row r="1212" spans="1:27" hidden="1" x14ac:dyDescent="0.25">
      <c r="A1212">
        <v>41</v>
      </c>
      <c r="B1212">
        <v>501</v>
      </c>
      <c r="C1212" t="s">
        <v>20</v>
      </c>
      <c r="D1212">
        <v>25111</v>
      </c>
      <c r="E1212">
        <f t="shared" si="37"/>
        <v>25111501</v>
      </c>
      <c r="F1212">
        <f>VLOOKUP(E1212,YieldData!D:F,2,FALSE)</f>
        <v>10</v>
      </c>
      <c r="G1212">
        <f>VLOOKUP($E1212,YieldData!$D:$F,3,FALSE)</f>
        <v>3</v>
      </c>
      <c r="H1212">
        <v>42</v>
      </c>
      <c r="I1212" t="s">
        <v>21</v>
      </c>
      <c r="J1212" t="s">
        <v>22</v>
      </c>
      <c r="K1212" s="2">
        <v>21072.163728351399</v>
      </c>
      <c r="L1212" s="2">
        <v>151682077.59250101</v>
      </c>
      <c r="M1212" s="3">
        <v>1524.0827272773499</v>
      </c>
      <c r="N1212" s="3">
        <v>96620103.543947697</v>
      </c>
      <c r="O1212" s="4">
        <v>0.24601959396758299</v>
      </c>
      <c r="P1212" s="4">
        <v>3.29491793053725E-2</v>
      </c>
      <c r="Q1212" s="5">
        <v>1524.0827272773499</v>
      </c>
      <c r="R1212" s="5">
        <v>96620103.543947697</v>
      </c>
      <c r="S1212" s="6">
        <v>0.56728859037196699</v>
      </c>
      <c r="T1212" s="6">
        <v>8.3881444675351205E-2</v>
      </c>
      <c r="U1212" s="7">
        <v>0.71092479188594404</v>
      </c>
      <c r="V1212" s="7">
        <v>0.20551073216797899</v>
      </c>
      <c r="W1212" s="8">
        <v>0.78551865185202896</v>
      </c>
      <c r="X1212" s="8">
        <v>0.168479099444828</v>
      </c>
      <c r="Y1212" s="2">
        <v>76</v>
      </c>
      <c r="Z1212" s="2">
        <f>VLOOKUP(E1212,YieldData!T:U,2,FALSE)</f>
        <v>3019.9518613607192</v>
      </c>
      <c r="AA1212">
        <f t="shared" si="36"/>
        <v>0.71092479188594404</v>
      </c>
    </row>
    <row r="1213" spans="1:27" hidden="1" x14ac:dyDescent="0.25">
      <c r="A1213">
        <v>42</v>
      </c>
      <c r="B1213">
        <v>502</v>
      </c>
      <c r="C1213" t="s">
        <v>20</v>
      </c>
      <c r="D1213">
        <v>25111</v>
      </c>
      <c r="E1213">
        <f t="shared" si="37"/>
        <v>25111502</v>
      </c>
      <c r="F1213">
        <f>VLOOKUP(E1213,YieldData!D:F,2,FALSE)</f>
        <v>2</v>
      </c>
      <c r="G1213">
        <f>VLOOKUP($E1213,YieldData!$D:$F,3,FALSE)</f>
        <v>3</v>
      </c>
      <c r="H1213">
        <v>42</v>
      </c>
      <c r="I1213" t="s">
        <v>21</v>
      </c>
      <c r="J1213" t="s">
        <v>22</v>
      </c>
      <c r="K1213" s="2">
        <v>25591.043834993801</v>
      </c>
      <c r="L1213" s="2">
        <v>154788686.687942</v>
      </c>
      <c r="M1213" s="3">
        <v>-206.903860885032</v>
      </c>
      <c r="N1213" s="3">
        <v>94855652.004058093</v>
      </c>
      <c r="O1213" s="4">
        <v>0.26264122438064103</v>
      </c>
      <c r="P1213" s="4">
        <v>3.17670067658819E-2</v>
      </c>
      <c r="Q1213" s="5">
        <v>-206.903860885032</v>
      </c>
      <c r="R1213" s="5">
        <v>94855652.004058093</v>
      </c>
      <c r="S1213" s="6">
        <v>0.60207399126124095</v>
      </c>
      <c r="T1213" s="6">
        <v>7.5259648812231197E-2</v>
      </c>
      <c r="U1213" s="7">
        <v>0.77927017426353595</v>
      </c>
      <c r="V1213" s="7">
        <v>0.17200816976689101</v>
      </c>
      <c r="W1213" s="8">
        <v>0.83566755570439299</v>
      </c>
      <c r="X1213" s="8">
        <v>0.13732729204733299</v>
      </c>
      <c r="Y1213" s="2">
        <v>106</v>
      </c>
      <c r="Z1213" s="2">
        <f>VLOOKUP(E1213,YieldData!T:U,2,FALSE)</f>
        <v>3292.9252246469832</v>
      </c>
      <c r="AA1213">
        <f t="shared" si="36"/>
        <v>0.77927017426353595</v>
      </c>
    </row>
    <row r="1214" spans="1:27" hidden="1" x14ac:dyDescent="0.25">
      <c r="A1214">
        <v>43</v>
      </c>
      <c r="B1214">
        <v>503</v>
      </c>
      <c r="C1214" t="s">
        <v>20</v>
      </c>
      <c r="D1214" t="s">
        <v>100</v>
      </c>
      <c r="E1214" t="e">
        <f t="shared" si="37"/>
        <v>#VALUE!</v>
      </c>
      <c r="H1214">
        <v>42</v>
      </c>
      <c r="I1214" t="s">
        <v>21</v>
      </c>
      <c r="J1214" t="s">
        <v>22</v>
      </c>
      <c r="K1214" s="2">
        <v>30564.485284092902</v>
      </c>
      <c r="L1214" s="2">
        <v>117905706.87315001</v>
      </c>
      <c r="M1214" s="3">
        <v>-3492.73561356048</v>
      </c>
      <c r="N1214" s="3">
        <v>62307194.785769001</v>
      </c>
      <c r="O1214" s="4">
        <v>0.29091359777216602</v>
      </c>
      <c r="P1214" s="4">
        <v>2.3274248598135198E-2</v>
      </c>
      <c r="Q1214" s="5">
        <v>-3492.73561356048</v>
      </c>
      <c r="R1214" s="5">
        <v>62307194.785769001</v>
      </c>
      <c r="S1214" s="6">
        <v>0.67464454078162495</v>
      </c>
      <c r="T1214" s="6">
        <v>4.5628346627743198E-2</v>
      </c>
      <c r="U1214" s="7">
        <v>0.913534329143595</v>
      </c>
      <c r="V1214" s="7">
        <v>7.8989358619705394E-2</v>
      </c>
      <c r="W1214" s="8">
        <v>0.67079705291359704</v>
      </c>
      <c r="X1214" s="8">
        <v>0.220828366715841</v>
      </c>
      <c r="Y1214" s="2">
        <v>68</v>
      </c>
      <c r="Z1214" s="2" t="e">
        <f>VLOOKUP(E1214,YieldData!T:U,2,FALSE)</f>
        <v>#VALUE!</v>
      </c>
      <c r="AA1214">
        <f t="shared" si="36"/>
        <v>0.913534329143595</v>
      </c>
    </row>
    <row r="1215" spans="1:27" hidden="1" x14ac:dyDescent="0.25">
      <c r="A1215">
        <v>44</v>
      </c>
      <c r="B1215">
        <v>504</v>
      </c>
      <c r="C1215" t="s">
        <v>20</v>
      </c>
      <c r="D1215" t="s">
        <v>100</v>
      </c>
      <c r="E1215" t="e">
        <f t="shared" si="37"/>
        <v>#VALUE!</v>
      </c>
      <c r="H1215">
        <v>42</v>
      </c>
      <c r="I1215" t="s">
        <v>21</v>
      </c>
      <c r="J1215" t="s">
        <v>22</v>
      </c>
      <c r="K1215" s="2">
        <v>24231.7080432529</v>
      </c>
      <c r="L1215" s="2">
        <v>147529522.238763</v>
      </c>
      <c r="M1215" s="3">
        <v>-428.09755528985602</v>
      </c>
      <c r="N1215" s="3">
        <v>120142038.333828</v>
      </c>
      <c r="O1215" s="4">
        <v>0.24313898798828601</v>
      </c>
      <c r="P1215" s="4">
        <v>4.9794616371658898E-2</v>
      </c>
      <c r="Q1215" s="5">
        <v>-428.09755528985602</v>
      </c>
      <c r="R1215" s="5">
        <v>120142038.333828</v>
      </c>
      <c r="S1215" s="6">
        <v>0.55936932392503202</v>
      </c>
      <c r="T1215" s="6">
        <v>0.11366230463596699</v>
      </c>
      <c r="U1215" s="7">
        <v>0.77319409470201905</v>
      </c>
      <c r="V1215" s="7">
        <v>0.175364986620032</v>
      </c>
      <c r="W1215" s="8">
        <v>0.73176903327737697</v>
      </c>
      <c r="X1215" s="8">
        <v>0.196283115213918</v>
      </c>
      <c r="Y1215" s="2">
        <v>74</v>
      </c>
      <c r="Z1215" s="2" t="e">
        <f>VLOOKUP(E1215,YieldData!T:U,2,FALSE)</f>
        <v>#VALUE!</v>
      </c>
      <c r="AA1215">
        <f t="shared" si="36"/>
        <v>0.913534329143595</v>
      </c>
    </row>
    <row r="1216" spans="1:27" hidden="1" x14ac:dyDescent="0.25">
      <c r="A1216">
        <v>45</v>
      </c>
      <c r="B1216">
        <v>505</v>
      </c>
      <c r="C1216" t="s">
        <v>20</v>
      </c>
      <c r="D1216" t="s">
        <v>100</v>
      </c>
      <c r="E1216" t="e">
        <f t="shared" si="37"/>
        <v>#VALUE!</v>
      </c>
      <c r="H1216">
        <v>42</v>
      </c>
      <c r="I1216" t="s">
        <v>21</v>
      </c>
      <c r="J1216" t="s">
        <v>22</v>
      </c>
      <c r="K1216" s="2">
        <v>27916.247216384501</v>
      </c>
      <c r="L1216" s="2">
        <v>113703666.93230499</v>
      </c>
      <c r="M1216" s="3">
        <v>-4260.7464714658699</v>
      </c>
      <c r="N1216" s="3">
        <v>47080520.007002503</v>
      </c>
      <c r="O1216" s="4">
        <v>0.28530684081512903</v>
      </c>
      <c r="P1216" s="4">
        <v>2.42616977192237E-2</v>
      </c>
      <c r="Q1216" s="5">
        <v>-4260.7464714658699</v>
      </c>
      <c r="R1216" s="5">
        <v>47080520.007002503</v>
      </c>
      <c r="S1216" s="6">
        <v>0.64466108041732895</v>
      </c>
      <c r="T1216" s="6">
        <v>4.5853326417377299E-2</v>
      </c>
      <c r="U1216" s="7">
        <v>0.89456852328055403</v>
      </c>
      <c r="V1216" s="7">
        <v>9.4315680436197605E-2</v>
      </c>
      <c r="W1216" s="8">
        <v>0.752052845263117</v>
      </c>
      <c r="X1216" s="8">
        <v>0.186469363194563</v>
      </c>
      <c r="Y1216" s="2">
        <v>80</v>
      </c>
      <c r="Z1216" s="2" t="e">
        <f>VLOOKUP(E1216,YieldData!T:U,2,FALSE)</f>
        <v>#VALUE!</v>
      </c>
      <c r="AA1216">
        <f t="shared" si="36"/>
        <v>0.913534329143595</v>
      </c>
    </row>
    <row r="1217" spans="1:27" hidden="1" x14ac:dyDescent="0.25">
      <c r="A1217">
        <v>46</v>
      </c>
      <c r="B1217">
        <v>506</v>
      </c>
      <c r="C1217" t="s">
        <v>20</v>
      </c>
      <c r="D1217" t="s">
        <v>100</v>
      </c>
      <c r="E1217" t="e">
        <f t="shared" si="37"/>
        <v>#VALUE!</v>
      </c>
      <c r="H1217">
        <v>42</v>
      </c>
      <c r="I1217" t="s">
        <v>21</v>
      </c>
      <c r="J1217" t="s">
        <v>22</v>
      </c>
      <c r="K1217" s="2">
        <v>25425.704205905698</v>
      </c>
      <c r="L1217" s="2">
        <v>138467048.493478</v>
      </c>
      <c r="M1217" s="3">
        <v>-2101.5363114995398</v>
      </c>
      <c r="N1217" s="3">
        <v>76836796.019131303</v>
      </c>
      <c r="O1217" s="4">
        <v>0.25370832218763001</v>
      </c>
      <c r="P1217" s="4">
        <v>3.9530581281343298E-2</v>
      </c>
      <c r="Q1217" s="5">
        <v>-2101.5363114995398</v>
      </c>
      <c r="R1217" s="5">
        <v>76836796.019131303</v>
      </c>
      <c r="S1217" s="6">
        <v>0.58376819162137705</v>
      </c>
      <c r="T1217" s="6">
        <v>9.17260451587842E-2</v>
      </c>
      <c r="U1217" s="7">
        <v>0.80015109478592705</v>
      </c>
      <c r="V1217" s="7">
        <v>0.15990932029882901</v>
      </c>
      <c r="W1217" s="8">
        <v>0.83299901005575006</v>
      </c>
      <c r="X1217" s="8">
        <v>0.139111659301802</v>
      </c>
      <c r="Y1217" s="2">
        <v>96</v>
      </c>
      <c r="Z1217" s="2" t="e">
        <f>VLOOKUP(E1217,YieldData!T:U,2,FALSE)</f>
        <v>#VALUE!</v>
      </c>
      <c r="AA1217">
        <f t="shared" si="36"/>
        <v>0.913534329143595</v>
      </c>
    </row>
    <row r="1218" spans="1:27" hidden="1" x14ac:dyDescent="0.25">
      <c r="A1218">
        <v>47</v>
      </c>
      <c r="B1218">
        <v>510</v>
      </c>
      <c r="C1218" t="s">
        <v>20</v>
      </c>
      <c r="D1218" t="s">
        <v>100</v>
      </c>
      <c r="E1218" t="e">
        <f t="shared" si="37"/>
        <v>#VALUE!</v>
      </c>
      <c r="H1218">
        <v>42</v>
      </c>
      <c r="I1218" t="s">
        <v>21</v>
      </c>
      <c r="J1218" t="s">
        <v>22</v>
      </c>
      <c r="K1218" s="2">
        <v>23433.358690928799</v>
      </c>
      <c r="L1218" s="2">
        <v>113320925.419413</v>
      </c>
      <c r="M1218" s="3">
        <v>-825.07524472314003</v>
      </c>
      <c r="N1218" s="3">
        <v>68953756.618972898</v>
      </c>
      <c r="O1218" s="4">
        <v>0.28984874821250001</v>
      </c>
      <c r="P1218" s="4">
        <v>2.69000821258489E-2</v>
      </c>
      <c r="Q1218" s="5">
        <v>-825.07524472314003</v>
      </c>
      <c r="R1218" s="5">
        <v>68953756.618972898</v>
      </c>
      <c r="S1218" s="6">
        <v>0.628120159706269</v>
      </c>
      <c r="T1218" s="6">
        <v>6.0101595000366499E-2</v>
      </c>
      <c r="U1218" s="7">
        <v>0.81431287343834902</v>
      </c>
      <c r="V1218" s="7">
        <v>0.15120741759103701</v>
      </c>
      <c r="W1218" s="8">
        <v>0.80769909701948495</v>
      </c>
      <c r="X1218" s="8">
        <v>0.15532126569329799</v>
      </c>
      <c r="Y1218" s="2">
        <v>78</v>
      </c>
      <c r="Z1218" s="2" t="e">
        <f>VLOOKUP(E1218,YieldData!T:U,2,FALSE)</f>
        <v>#VALUE!</v>
      </c>
      <c r="AA1218">
        <f t="shared" ref="AA1218:AA1281" si="38">_xlfn.MAXIFS(U:U,E:E,E1218)</f>
        <v>0.913534329143595</v>
      </c>
    </row>
    <row r="1219" spans="1:27" hidden="1" x14ac:dyDescent="0.25">
      <c r="A1219">
        <v>48</v>
      </c>
      <c r="B1219">
        <v>509</v>
      </c>
      <c r="C1219" t="s">
        <v>20</v>
      </c>
      <c r="D1219" t="s">
        <v>100</v>
      </c>
      <c r="E1219" t="e">
        <f t="shared" ref="E1219:E1282" si="39">D1219*1000+B1219</f>
        <v>#VALUE!</v>
      </c>
      <c r="H1219">
        <v>42</v>
      </c>
      <c r="I1219" t="s">
        <v>21</v>
      </c>
      <c r="J1219" t="s">
        <v>22</v>
      </c>
      <c r="K1219" s="2">
        <v>21450.765846800801</v>
      </c>
      <c r="L1219" s="2">
        <v>82954362.395401299</v>
      </c>
      <c r="M1219" s="3">
        <v>-112.135114849045</v>
      </c>
      <c r="N1219" s="3">
        <v>81008842.220663205</v>
      </c>
      <c r="O1219" s="4">
        <v>0.335557469383713</v>
      </c>
      <c r="P1219" s="4">
        <v>4.4691896382601903E-2</v>
      </c>
      <c r="Q1219" s="5">
        <v>-112.135114849045</v>
      </c>
      <c r="R1219" s="5">
        <v>81008842.220663205</v>
      </c>
      <c r="S1219" s="6">
        <v>0.649017016187174</v>
      </c>
      <c r="T1219" s="6">
        <v>8.3481511521398405E-2</v>
      </c>
      <c r="U1219" s="7">
        <v>0.83152315903407603</v>
      </c>
      <c r="V1219" s="7">
        <v>0.14009239502408799</v>
      </c>
      <c r="W1219" s="8">
        <v>0.846034233965268</v>
      </c>
      <c r="X1219" s="8">
        <v>0.130260308924113</v>
      </c>
      <c r="Y1219" s="2">
        <v>136</v>
      </c>
      <c r="Z1219" s="2" t="e">
        <f>VLOOKUP(E1219,YieldData!T:U,2,FALSE)</f>
        <v>#VALUE!</v>
      </c>
      <c r="AA1219">
        <f t="shared" si="38"/>
        <v>0.913534329143595</v>
      </c>
    </row>
    <row r="1220" spans="1:27" hidden="1" x14ac:dyDescent="0.25">
      <c r="A1220">
        <v>49</v>
      </c>
      <c r="B1220">
        <v>508</v>
      </c>
      <c r="C1220" t="s">
        <v>20</v>
      </c>
      <c r="D1220" t="s">
        <v>100</v>
      </c>
      <c r="E1220" t="e">
        <f t="shared" si="39"/>
        <v>#VALUE!</v>
      </c>
      <c r="H1220">
        <v>42</v>
      </c>
      <c r="I1220" t="s">
        <v>21</v>
      </c>
      <c r="J1220" t="s">
        <v>22</v>
      </c>
      <c r="K1220" s="2">
        <v>26078.874952162299</v>
      </c>
      <c r="L1220" s="2">
        <v>155861559.01672301</v>
      </c>
      <c r="M1220" s="3">
        <v>73.501444946056694</v>
      </c>
      <c r="N1220" s="3">
        <v>106736949.433019</v>
      </c>
      <c r="O1220" s="4">
        <v>0.223231232308752</v>
      </c>
      <c r="P1220" s="4">
        <v>4.7294744643646303E-2</v>
      </c>
      <c r="Q1220" s="5">
        <v>73.501444946056694</v>
      </c>
      <c r="R1220" s="5">
        <v>106736949.433019</v>
      </c>
      <c r="S1220" s="6">
        <v>0.55715710535551299</v>
      </c>
      <c r="T1220" s="6">
        <v>9.9675069300329294E-2</v>
      </c>
      <c r="U1220" s="7">
        <v>0.78127391886720199</v>
      </c>
      <c r="V1220" s="7">
        <v>0.170884982565148</v>
      </c>
      <c r="W1220" s="8">
        <v>0.87858637804221695</v>
      </c>
      <c r="X1220" s="8">
        <v>0.10667235436083899</v>
      </c>
      <c r="Y1220" s="2">
        <v>104</v>
      </c>
      <c r="Z1220" s="2" t="e">
        <f>VLOOKUP(E1220,YieldData!T:U,2,FALSE)</f>
        <v>#VALUE!</v>
      </c>
      <c r="AA1220">
        <f t="shared" si="38"/>
        <v>0.913534329143595</v>
      </c>
    </row>
    <row r="1221" spans="1:27" hidden="1" x14ac:dyDescent="0.25">
      <c r="A1221">
        <v>50</v>
      </c>
      <c r="B1221">
        <v>507</v>
      </c>
      <c r="C1221" t="s">
        <v>20</v>
      </c>
      <c r="D1221" t="s">
        <v>100</v>
      </c>
      <c r="E1221" t="e">
        <f t="shared" si="39"/>
        <v>#VALUE!</v>
      </c>
      <c r="H1221">
        <v>42</v>
      </c>
      <c r="I1221" t="s">
        <v>21</v>
      </c>
      <c r="J1221" t="s">
        <v>22</v>
      </c>
      <c r="K1221" s="2">
        <v>22323.3367553059</v>
      </c>
      <c r="L1221" s="2">
        <v>144521222.145208</v>
      </c>
      <c r="M1221" s="3">
        <v>-235.86432279947701</v>
      </c>
      <c r="N1221" s="3">
        <v>96618015.900882795</v>
      </c>
      <c r="O1221" s="4">
        <v>0.249435460598039</v>
      </c>
      <c r="P1221" s="4">
        <v>5.0223266445709402E-2</v>
      </c>
      <c r="Q1221" s="5">
        <v>-235.86432279947701</v>
      </c>
      <c r="R1221" s="5">
        <v>96618015.900882795</v>
      </c>
      <c r="S1221" s="6">
        <v>0.55640544147791104</v>
      </c>
      <c r="T1221" s="6">
        <v>0.111457446381915</v>
      </c>
      <c r="U1221" s="7">
        <v>0.77679238495807901</v>
      </c>
      <c r="V1221" s="7">
        <v>0.173385975629234</v>
      </c>
      <c r="W1221" s="8">
        <v>0.90829090104051402</v>
      </c>
      <c r="X1221" s="8">
        <v>8.3298540127538498E-2</v>
      </c>
      <c r="Y1221" s="2">
        <v>76</v>
      </c>
      <c r="Z1221" s="2" t="e">
        <f>VLOOKUP(E1221,YieldData!T:U,2,FALSE)</f>
        <v>#VALUE!</v>
      </c>
      <c r="AA1221">
        <f t="shared" si="38"/>
        <v>0.913534329143595</v>
      </c>
    </row>
    <row r="1222" spans="1:27" hidden="1" x14ac:dyDescent="0.25">
      <c r="A1222">
        <v>51</v>
      </c>
      <c r="B1222">
        <v>601</v>
      </c>
      <c r="C1222" t="s">
        <v>20</v>
      </c>
      <c r="D1222">
        <v>25112</v>
      </c>
      <c r="E1222">
        <f t="shared" si="39"/>
        <v>25112601</v>
      </c>
      <c r="F1222">
        <f>VLOOKUP(E1222,YieldData!D:F,2,FALSE)</f>
        <v>1</v>
      </c>
      <c r="G1222">
        <f>VLOOKUP($E1222,YieldData!$D:$F,3,FALSE)</f>
        <v>1</v>
      </c>
      <c r="H1222">
        <v>42</v>
      </c>
      <c r="I1222" t="s">
        <v>21</v>
      </c>
      <c r="J1222" t="s">
        <v>22</v>
      </c>
      <c r="K1222" s="2">
        <v>15947.475225144401</v>
      </c>
      <c r="L1222" s="2">
        <v>136937667.90991801</v>
      </c>
      <c r="M1222" s="3">
        <v>5234.9964739573998</v>
      </c>
      <c r="N1222" s="3">
        <v>115906318.295057</v>
      </c>
      <c r="O1222" s="4">
        <v>0.17887782405070901</v>
      </c>
      <c r="P1222" s="4">
        <v>4.8134542817142099E-2</v>
      </c>
      <c r="Q1222" s="5">
        <v>5234.9964739573998</v>
      </c>
      <c r="R1222" s="5">
        <v>115906318.295057</v>
      </c>
      <c r="S1222" s="6">
        <v>0.45102322277501</v>
      </c>
      <c r="T1222" s="6">
        <v>0.119808866202272</v>
      </c>
      <c r="U1222" s="7">
        <v>0.56725628789781501</v>
      </c>
      <c r="V1222" s="7">
        <v>0.24547659173793901</v>
      </c>
      <c r="W1222" s="8">
        <v>0.77442386117655504</v>
      </c>
      <c r="X1222" s="8">
        <v>0.174691544416749</v>
      </c>
      <c r="Y1222" s="2">
        <v>84</v>
      </c>
      <c r="Z1222" s="2">
        <f>VLOOKUP(E1222,YieldData!T:U,2,FALSE)</f>
        <v>2181.5917843388966</v>
      </c>
      <c r="AA1222">
        <f t="shared" si="38"/>
        <v>0.56725628789781501</v>
      </c>
    </row>
    <row r="1223" spans="1:27" hidden="1" x14ac:dyDescent="0.25">
      <c r="A1223">
        <v>52</v>
      </c>
      <c r="B1223">
        <v>602</v>
      </c>
      <c r="C1223" t="s">
        <v>20</v>
      </c>
      <c r="D1223">
        <v>25112</v>
      </c>
      <c r="E1223">
        <f t="shared" si="39"/>
        <v>25112602</v>
      </c>
      <c r="F1223">
        <f>VLOOKUP(E1223,YieldData!D:F,2,FALSE)</f>
        <v>2</v>
      </c>
      <c r="G1223">
        <f>VLOOKUP($E1223,YieldData!$D:$F,3,FALSE)</f>
        <v>1</v>
      </c>
      <c r="H1223">
        <v>42</v>
      </c>
      <c r="I1223" t="s">
        <v>21</v>
      </c>
      <c r="J1223" t="s">
        <v>22</v>
      </c>
      <c r="K1223" s="2">
        <v>17715.074174023699</v>
      </c>
      <c r="L1223" s="2">
        <v>159146822.29648599</v>
      </c>
      <c r="M1223" s="3">
        <v>5613.8904693268796</v>
      </c>
      <c r="N1223" s="3">
        <v>131184216.088744</v>
      </c>
      <c r="O1223" s="4">
        <v>0.156576217283217</v>
      </c>
      <c r="P1223" s="4">
        <v>4.8400690158476402E-2</v>
      </c>
      <c r="Q1223" s="5">
        <v>5613.8904693268796</v>
      </c>
      <c r="R1223" s="5">
        <v>131184216.088744</v>
      </c>
      <c r="S1223" s="6">
        <v>0.41700935394446498</v>
      </c>
      <c r="T1223" s="6">
        <v>0.122658710972869</v>
      </c>
      <c r="U1223" s="7">
        <v>0.55694771065448401</v>
      </c>
      <c r="V1223" s="7">
        <v>0.24675695825108701</v>
      </c>
      <c r="W1223" s="8">
        <v>0.67916987920842997</v>
      </c>
      <c r="X1223" s="8">
        <v>0.21789815438424401</v>
      </c>
      <c r="Y1223" s="2">
        <v>56</v>
      </c>
      <c r="Z1223" s="2">
        <f>VLOOKUP(E1223,YieldData!T:U,2,FALSE)</f>
        <v>2508.231707317073</v>
      </c>
      <c r="AA1223">
        <f t="shared" si="38"/>
        <v>0.55694771065448401</v>
      </c>
    </row>
    <row r="1224" spans="1:27" hidden="1" x14ac:dyDescent="0.25">
      <c r="A1224">
        <v>53</v>
      </c>
      <c r="B1224">
        <v>603</v>
      </c>
      <c r="C1224" t="s">
        <v>20</v>
      </c>
      <c r="D1224">
        <v>25112</v>
      </c>
      <c r="E1224">
        <f t="shared" si="39"/>
        <v>25112603</v>
      </c>
      <c r="F1224">
        <f>VLOOKUP(E1224,YieldData!D:F,2,FALSE)</f>
        <v>3</v>
      </c>
      <c r="G1224">
        <f>VLOOKUP($E1224,YieldData!$D:$F,3,FALSE)</f>
        <v>1</v>
      </c>
      <c r="H1224">
        <v>42</v>
      </c>
      <c r="I1224" t="s">
        <v>21</v>
      </c>
      <c r="J1224" t="s">
        <v>22</v>
      </c>
      <c r="K1224" s="2">
        <v>25888.2344215919</v>
      </c>
      <c r="L1224" s="2">
        <v>152024420.285566</v>
      </c>
      <c r="M1224" s="3">
        <v>-538.07060375501601</v>
      </c>
      <c r="N1224" s="3">
        <v>90587065.044589505</v>
      </c>
      <c r="O1224" s="4">
        <v>0.25014060296621998</v>
      </c>
      <c r="P1224" s="4">
        <v>2.6932672676267599E-2</v>
      </c>
      <c r="Q1224" s="5">
        <v>-538.07060375501601</v>
      </c>
      <c r="R1224" s="5">
        <v>90587065.044589505</v>
      </c>
      <c r="S1224" s="6">
        <v>0.58983746113959001</v>
      </c>
      <c r="T1224" s="6">
        <v>7.5809927763216003E-2</v>
      </c>
      <c r="U1224" s="7">
        <v>0.77373397558427004</v>
      </c>
      <c r="V1224" s="7">
        <v>0.175069710610959</v>
      </c>
      <c r="W1224" s="8">
        <v>0.87401233623897601</v>
      </c>
      <c r="X1224" s="8">
        <v>0.110114772341096</v>
      </c>
      <c r="Y1224" s="2">
        <v>98</v>
      </c>
      <c r="Z1224" s="2">
        <f>VLOOKUP(E1224,YieldData!T:U,2,FALSE)</f>
        <v>2318.1354300385115</v>
      </c>
      <c r="AA1224">
        <f t="shared" si="38"/>
        <v>0.77373397558427004</v>
      </c>
    </row>
    <row r="1225" spans="1:27" hidden="1" x14ac:dyDescent="0.25">
      <c r="A1225">
        <v>54</v>
      </c>
      <c r="B1225">
        <v>604</v>
      </c>
      <c r="C1225" t="s">
        <v>20</v>
      </c>
      <c r="D1225">
        <v>25112</v>
      </c>
      <c r="E1225">
        <f t="shared" si="39"/>
        <v>25112604</v>
      </c>
      <c r="F1225">
        <f>VLOOKUP(E1225,YieldData!D:F,2,FALSE)</f>
        <v>4</v>
      </c>
      <c r="G1225">
        <f>VLOOKUP($E1225,YieldData!$D:$F,3,FALSE)</f>
        <v>1</v>
      </c>
      <c r="H1225">
        <v>42</v>
      </c>
      <c r="I1225" t="s">
        <v>21</v>
      </c>
      <c r="J1225" t="s">
        <v>22</v>
      </c>
      <c r="K1225" s="2">
        <v>26440.268370057998</v>
      </c>
      <c r="L1225" s="2">
        <v>130676245.405342</v>
      </c>
      <c r="M1225" s="3">
        <v>-1846.4068471836099</v>
      </c>
      <c r="N1225" s="3">
        <v>75591347.366288602</v>
      </c>
      <c r="O1225" s="4">
        <v>0.25248920290050803</v>
      </c>
      <c r="P1225" s="4">
        <v>3.3396295534023103E-2</v>
      </c>
      <c r="Q1225" s="5">
        <v>-1846.4068471836099</v>
      </c>
      <c r="R1225" s="5">
        <v>75591347.366288602</v>
      </c>
      <c r="S1225" s="6">
        <v>0.61786490489222801</v>
      </c>
      <c r="T1225" s="6">
        <v>7.9338044021037293E-2</v>
      </c>
      <c r="U1225" s="7">
        <v>0.83857877413982296</v>
      </c>
      <c r="V1225" s="7">
        <v>0.13536441370205601</v>
      </c>
      <c r="W1225" s="8">
        <v>0.93523059230962402</v>
      </c>
      <c r="X1225" s="8">
        <v>6.0574331517782701E-2</v>
      </c>
      <c r="Y1225" s="2">
        <v>188</v>
      </c>
      <c r="Z1225" s="2">
        <f>VLOOKUP(E1225,YieldData!T:U,2,FALSE)</f>
        <v>634.45924261874211</v>
      </c>
      <c r="AA1225">
        <f t="shared" si="38"/>
        <v>0.83857877413982296</v>
      </c>
    </row>
    <row r="1226" spans="1:27" hidden="1" x14ac:dyDescent="0.25">
      <c r="A1226">
        <v>55</v>
      </c>
      <c r="B1226">
        <v>605</v>
      </c>
      <c r="C1226" t="s">
        <v>20</v>
      </c>
      <c r="D1226">
        <v>25112</v>
      </c>
      <c r="E1226">
        <f t="shared" si="39"/>
        <v>25112605</v>
      </c>
      <c r="F1226">
        <f>VLOOKUP(E1226,YieldData!D:F,2,FALSE)</f>
        <v>3</v>
      </c>
      <c r="G1226">
        <f>VLOOKUP($E1226,YieldData!$D:$F,3,FALSE)</f>
        <v>2</v>
      </c>
      <c r="H1226">
        <v>42</v>
      </c>
      <c r="I1226" t="s">
        <v>21</v>
      </c>
      <c r="J1226" t="s">
        <v>22</v>
      </c>
      <c r="K1226" s="2">
        <v>22541.003918684</v>
      </c>
      <c r="L1226" s="2">
        <v>146883299.72448799</v>
      </c>
      <c r="M1226" s="3">
        <v>247.630627356784</v>
      </c>
      <c r="N1226" s="3">
        <v>87558013.436375305</v>
      </c>
      <c r="O1226" s="4">
        <v>0.21558807895486001</v>
      </c>
      <c r="P1226" s="4">
        <v>4.49391702235084E-2</v>
      </c>
      <c r="Q1226" s="5">
        <v>247.630627356784</v>
      </c>
      <c r="R1226" s="5">
        <v>87558013.436375305</v>
      </c>
      <c r="S1226" s="6">
        <v>0.52515186889287901</v>
      </c>
      <c r="T1226" s="6">
        <v>0.11442157609983999</v>
      </c>
      <c r="U1226" s="7">
        <v>0.73001203691320005</v>
      </c>
      <c r="V1226" s="7">
        <v>0.19709446287506399</v>
      </c>
      <c r="W1226" s="8">
        <v>0.91481194157615997</v>
      </c>
      <c r="X1226" s="8">
        <v>7.7931053125813096E-2</v>
      </c>
      <c r="Y1226" s="2">
        <v>140</v>
      </c>
      <c r="Z1226" s="2">
        <f>VLOOKUP(E1226,YieldData!T:U,2,FALSE)</f>
        <v>1653.1209884467266</v>
      </c>
      <c r="AA1226">
        <f t="shared" si="38"/>
        <v>0.73001203691320005</v>
      </c>
    </row>
    <row r="1227" spans="1:27" hidden="1" x14ac:dyDescent="0.25">
      <c r="A1227">
        <v>56</v>
      </c>
      <c r="B1227">
        <v>606</v>
      </c>
      <c r="C1227" t="s">
        <v>20</v>
      </c>
      <c r="D1227">
        <v>25112</v>
      </c>
      <c r="E1227">
        <f t="shared" si="39"/>
        <v>25112606</v>
      </c>
      <c r="F1227">
        <f>VLOOKUP(E1227,YieldData!D:F,2,FALSE)</f>
        <v>4</v>
      </c>
      <c r="G1227">
        <f>VLOOKUP($E1227,YieldData!$D:$F,3,FALSE)</f>
        <v>2</v>
      </c>
      <c r="H1227">
        <v>42</v>
      </c>
      <c r="I1227" t="s">
        <v>21</v>
      </c>
      <c r="J1227" t="s">
        <v>22</v>
      </c>
      <c r="K1227" s="2">
        <v>26754.595433070899</v>
      </c>
      <c r="L1227" s="2">
        <v>127945055.507061</v>
      </c>
      <c r="M1227" s="3">
        <v>-2979.99369616697</v>
      </c>
      <c r="N1227" s="3">
        <v>52073083.772405401</v>
      </c>
      <c r="O1227" s="4">
        <v>0.25578299127728998</v>
      </c>
      <c r="P1227" s="4">
        <v>2.2894794752843999E-2</v>
      </c>
      <c r="Q1227" s="5">
        <v>-2979.99369616697</v>
      </c>
      <c r="R1227" s="5">
        <v>52073083.772405401</v>
      </c>
      <c r="S1227" s="6">
        <v>0.61923901392744496</v>
      </c>
      <c r="T1227" s="6">
        <v>5.8253928354524399E-2</v>
      </c>
      <c r="U1227" s="7">
        <v>0.83590551181102402</v>
      </c>
      <c r="V1227" s="7">
        <v>0.13716748713496901</v>
      </c>
      <c r="W1227" s="8">
        <v>0.728975274292614</v>
      </c>
      <c r="X1227" s="8">
        <v>0.197570323762844</v>
      </c>
      <c r="Y1227" s="2">
        <v>94</v>
      </c>
      <c r="Z1227" s="2">
        <f>VLOOKUP(E1227,YieldData!T:U,2,FALSE)</f>
        <v>258.99550706033375</v>
      </c>
      <c r="AA1227">
        <f t="shared" si="38"/>
        <v>0.83590551181102402</v>
      </c>
    </row>
    <row r="1228" spans="1:27" hidden="1" x14ac:dyDescent="0.25">
      <c r="A1228">
        <v>57</v>
      </c>
      <c r="B1228">
        <v>607</v>
      </c>
      <c r="C1228" t="s">
        <v>20</v>
      </c>
      <c r="D1228">
        <v>25112</v>
      </c>
      <c r="E1228">
        <f t="shared" si="39"/>
        <v>25112607</v>
      </c>
      <c r="F1228">
        <f>VLOOKUP(E1228,YieldData!D:F,2,FALSE)</f>
        <v>1</v>
      </c>
      <c r="G1228">
        <f>VLOOKUP($E1228,YieldData!$D:$F,3,FALSE)</f>
        <v>2</v>
      </c>
      <c r="H1228">
        <v>42</v>
      </c>
      <c r="I1228" t="s">
        <v>21</v>
      </c>
      <c r="J1228" t="s">
        <v>22</v>
      </c>
      <c r="K1228" s="2">
        <v>19462.494147834099</v>
      </c>
      <c r="L1228" s="2">
        <v>215743987.26444</v>
      </c>
      <c r="M1228" s="3">
        <v>5139.4631680455404</v>
      </c>
      <c r="N1228" s="3">
        <v>136708513.78089401</v>
      </c>
      <c r="O1228" s="4">
        <v>6.9125905173245503E-2</v>
      </c>
      <c r="P1228" s="4">
        <v>4.9699107346241299E-2</v>
      </c>
      <c r="Q1228" s="5">
        <v>5139.4631680455404</v>
      </c>
      <c r="R1228" s="5">
        <v>136708513.78089401</v>
      </c>
      <c r="S1228" s="6">
        <v>0.33143092423672998</v>
      </c>
      <c r="T1228" s="6">
        <v>0.15214820804559101</v>
      </c>
      <c r="U1228" s="7">
        <v>0.50546796745290101</v>
      </c>
      <c r="V1228" s="7">
        <v>0.24997010133184899</v>
      </c>
      <c r="W1228" s="8">
        <v>0.56073932790866798</v>
      </c>
      <c r="X1228" s="8">
        <v>0.246310734045111</v>
      </c>
      <c r="Y1228" s="2">
        <v>36</v>
      </c>
      <c r="Z1228" s="2">
        <f>VLOOKUP(E1228,YieldData!T:U,2,FALSE)</f>
        <v>1494.5314505776639</v>
      </c>
      <c r="AA1228">
        <f t="shared" si="38"/>
        <v>0.50546796745290101</v>
      </c>
    </row>
    <row r="1229" spans="1:27" hidden="1" x14ac:dyDescent="0.25">
      <c r="A1229">
        <v>58</v>
      </c>
      <c r="B1229">
        <v>608</v>
      </c>
      <c r="C1229" t="s">
        <v>20</v>
      </c>
      <c r="D1229">
        <v>25112</v>
      </c>
      <c r="E1229">
        <f t="shared" si="39"/>
        <v>25112608</v>
      </c>
      <c r="F1229">
        <f>VLOOKUP(E1229,YieldData!D:F,2,FALSE)</f>
        <v>2</v>
      </c>
      <c r="G1229">
        <f>VLOOKUP($E1229,YieldData!$D:$F,3,FALSE)</f>
        <v>2</v>
      </c>
      <c r="H1229">
        <v>42</v>
      </c>
      <c r="I1229" t="s">
        <v>21</v>
      </c>
      <c r="J1229" t="s">
        <v>22</v>
      </c>
      <c r="K1229" s="2">
        <v>21970.3738230667</v>
      </c>
      <c r="L1229" s="2">
        <v>164242451.45777401</v>
      </c>
      <c r="M1229" s="3">
        <v>3677.4133392501099</v>
      </c>
      <c r="N1229" s="3">
        <v>139857105.50922799</v>
      </c>
      <c r="O1229" s="4">
        <v>0.15223150113854</v>
      </c>
      <c r="P1229" s="4">
        <v>5.0422473395089998E-2</v>
      </c>
      <c r="Q1229" s="5">
        <v>3677.4133392501099</v>
      </c>
      <c r="R1229" s="5">
        <v>139857105.50922799</v>
      </c>
      <c r="S1229" s="6">
        <v>0.44935502083853501</v>
      </c>
      <c r="T1229" s="6">
        <v>0.118822971073009</v>
      </c>
      <c r="U1229" s="7">
        <v>0.63237323006172097</v>
      </c>
      <c r="V1229" s="7">
        <v>0.23247732796312101</v>
      </c>
      <c r="W1229" s="8">
        <v>0.54491873116535805</v>
      </c>
      <c r="X1229" s="8">
        <v>0.24798230759033299</v>
      </c>
      <c r="Y1229" s="2">
        <v>36</v>
      </c>
      <c r="Z1229" s="2">
        <f>VLOOKUP(E1229,YieldData!T:U,2,FALSE)</f>
        <v>1636.4489730423622</v>
      </c>
      <c r="AA1229">
        <f t="shared" si="38"/>
        <v>0.63237323006172097</v>
      </c>
    </row>
    <row r="1230" spans="1:27" hidden="1" x14ac:dyDescent="0.25">
      <c r="A1230">
        <v>59</v>
      </c>
      <c r="B1230">
        <v>609</v>
      </c>
      <c r="C1230" t="s">
        <v>20</v>
      </c>
      <c r="D1230">
        <v>25112</v>
      </c>
      <c r="E1230">
        <f t="shared" si="39"/>
        <v>25112609</v>
      </c>
      <c r="F1230">
        <f>VLOOKUP(E1230,YieldData!D:F,2,FALSE)</f>
        <v>4</v>
      </c>
      <c r="G1230">
        <f>VLOOKUP($E1230,YieldData!$D:$F,3,FALSE)</f>
        <v>3</v>
      </c>
      <c r="H1230">
        <v>42</v>
      </c>
      <c r="I1230" t="s">
        <v>21</v>
      </c>
      <c r="J1230" t="s">
        <v>22</v>
      </c>
      <c r="K1230" s="2">
        <v>23484.969674413798</v>
      </c>
      <c r="L1230" s="2">
        <v>134564569.90910199</v>
      </c>
      <c r="M1230" s="3">
        <v>838.72074493021205</v>
      </c>
      <c r="N1230" s="3">
        <v>91054637.025488406</v>
      </c>
      <c r="O1230" s="4">
        <v>0.25836088432224003</v>
      </c>
      <c r="P1230" s="4">
        <v>3.1220399063611098E-2</v>
      </c>
      <c r="Q1230" s="5">
        <v>838.72074493021205</v>
      </c>
      <c r="R1230" s="5">
        <v>91054637.025488406</v>
      </c>
      <c r="S1230" s="6">
        <v>0.59769879570203099</v>
      </c>
      <c r="T1230" s="6">
        <v>7.9780510030488305E-2</v>
      </c>
      <c r="U1230" s="7">
        <v>0.74996470784512503</v>
      </c>
      <c r="V1230" s="7">
        <v>0.187517644831772</v>
      </c>
      <c r="W1230" s="8">
        <v>0.70779912473209405</v>
      </c>
      <c r="X1230" s="8">
        <v>0.20681952376076701</v>
      </c>
      <c r="Y1230" s="2">
        <v>50</v>
      </c>
      <c r="Z1230" s="2">
        <f>VLOOKUP(E1230,YieldData!T:U,2,FALSE)</f>
        <v>428.16431322207961</v>
      </c>
      <c r="AA1230">
        <f t="shared" si="38"/>
        <v>0.74996470784512503</v>
      </c>
    </row>
    <row r="1231" spans="1:27" hidden="1" x14ac:dyDescent="0.25">
      <c r="A1231">
        <v>60</v>
      </c>
      <c r="B1231">
        <v>610</v>
      </c>
      <c r="C1231" t="s">
        <v>20</v>
      </c>
      <c r="D1231">
        <v>25112</v>
      </c>
      <c r="E1231">
        <f t="shared" si="39"/>
        <v>25112610</v>
      </c>
      <c r="F1231">
        <f>VLOOKUP(E1231,YieldData!D:F,2,FALSE)</f>
        <v>3</v>
      </c>
      <c r="G1231">
        <f>VLOOKUP($E1231,YieldData!$D:$F,3,FALSE)</f>
        <v>3</v>
      </c>
      <c r="H1231">
        <v>42</v>
      </c>
      <c r="I1231" t="s">
        <v>21</v>
      </c>
      <c r="J1231" t="s">
        <v>22</v>
      </c>
      <c r="K1231" s="2">
        <v>15263.706841078099</v>
      </c>
      <c r="L1231" s="2">
        <v>98709251.301816493</v>
      </c>
      <c r="M1231" s="3">
        <v>5017.4518437197103</v>
      </c>
      <c r="N1231" s="3">
        <v>100226616.513026</v>
      </c>
      <c r="O1231" s="4">
        <v>0.19909113487152</v>
      </c>
      <c r="P1231" s="4">
        <v>4.78903191756887E-2</v>
      </c>
      <c r="Q1231" s="5">
        <v>5017.4518437197103</v>
      </c>
      <c r="R1231" s="5">
        <v>100226616.513026</v>
      </c>
      <c r="S1231" s="6">
        <v>0.46190276548297499</v>
      </c>
      <c r="T1231" s="6">
        <v>0.112049935562685</v>
      </c>
      <c r="U1231" s="7">
        <v>0.57715333087188103</v>
      </c>
      <c r="V1231" s="7">
        <v>0.24404736353533499</v>
      </c>
      <c r="W1231" s="8">
        <v>0.93441369216366299</v>
      </c>
      <c r="X1231" s="8">
        <v>6.1284744060816999E-2</v>
      </c>
      <c r="Y1231" s="2">
        <v>138</v>
      </c>
      <c r="Z1231" s="2">
        <f>VLOOKUP(E1231,YieldData!T:U,2,FALSE)</f>
        <v>2054.942233632863</v>
      </c>
      <c r="AA1231">
        <f t="shared" si="38"/>
        <v>0.57715333087188103</v>
      </c>
    </row>
    <row r="1232" spans="1:27" hidden="1" x14ac:dyDescent="0.25">
      <c r="A1232">
        <v>61</v>
      </c>
      <c r="B1232">
        <v>701</v>
      </c>
      <c r="C1232" t="s">
        <v>20</v>
      </c>
      <c r="D1232" t="s">
        <v>100</v>
      </c>
      <c r="E1232" t="e">
        <f t="shared" si="39"/>
        <v>#VALUE!</v>
      </c>
      <c r="H1232">
        <v>42</v>
      </c>
      <c r="I1232" t="s">
        <v>21</v>
      </c>
      <c r="J1232" t="s">
        <v>22</v>
      </c>
      <c r="K1232" s="2">
        <v>18273.245458350801</v>
      </c>
      <c r="L1232" s="2">
        <v>121213095.974361</v>
      </c>
      <c r="M1232" s="3">
        <v>1356.8671742593101</v>
      </c>
      <c r="N1232" s="3">
        <v>92134737.275974393</v>
      </c>
      <c r="O1232" s="4">
        <v>0.292138583972401</v>
      </c>
      <c r="P1232" s="4">
        <v>4.08506890371131E-2</v>
      </c>
      <c r="Q1232" s="5">
        <v>1356.8671742593101</v>
      </c>
      <c r="R1232" s="5">
        <v>92134737.275974393</v>
      </c>
      <c r="S1232" s="6">
        <v>0.59759677408978995</v>
      </c>
      <c r="T1232" s="6">
        <v>9.5228111677425994E-2</v>
      </c>
      <c r="U1232" s="7">
        <v>0.71111642647850304</v>
      </c>
      <c r="V1232" s="7">
        <v>0.20542985447110801</v>
      </c>
      <c r="W1232" s="8">
        <v>0.89288832019898801</v>
      </c>
      <c r="X1232" s="8">
        <v>9.5638767851074599E-2</v>
      </c>
      <c r="Y1232" s="2">
        <v>122</v>
      </c>
      <c r="Z1232" s="2" t="e">
        <f>VLOOKUP(E1232,YieldData!T:U,2,FALSE)</f>
        <v>#VALUE!</v>
      </c>
      <c r="AA1232">
        <f t="shared" si="38"/>
        <v>0.913534329143595</v>
      </c>
    </row>
    <row r="1233" spans="1:27" hidden="1" x14ac:dyDescent="0.25">
      <c r="A1233">
        <v>62</v>
      </c>
      <c r="B1233">
        <v>702</v>
      </c>
      <c r="C1233" t="s">
        <v>20</v>
      </c>
      <c r="D1233" t="s">
        <v>100</v>
      </c>
      <c r="E1233" t="e">
        <f t="shared" si="39"/>
        <v>#VALUE!</v>
      </c>
      <c r="H1233">
        <v>42</v>
      </c>
      <c r="I1233" t="s">
        <v>21</v>
      </c>
      <c r="J1233" t="s">
        <v>22</v>
      </c>
      <c r="K1233" s="2">
        <v>24284.485248703098</v>
      </c>
      <c r="L1233" s="2">
        <v>138149745.12751001</v>
      </c>
      <c r="M1233" s="3">
        <v>-356.32386447179999</v>
      </c>
      <c r="N1233" s="3">
        <v>80626418.564343303</v>
      </c>
      <c r="O1233" s="4">
        <v>0.297122407060042</v>
      </c>
      <c r="P1233" s="4">
        <v>2.9033036831912599E-2</v>
      </c>
      <c r="Q1233" s="5">
        <v>-356.32386447179999</v>
      </c>
      <c r="R1233" s="5">
        <v>80626418.564343303</v>
      </c>
      <c r="S1233" s="6">
        <v>0.62711884300417597</v>
      </c>
      <c r="T1233" s="6">
        <v>6.8363053214917494E-2</v>
      </c>
      <c r="U1233" s="7">
        <v>0.80179432407689999</v>
      </c>
      <c r="V1233" s="7">
        <v>0.158920185954986</v>
      </c>
      <c r="W1233" s="8">
        <v>0.59123811383860503</v>
      </c>
      <c r="X1233" s="8">
        <v>0.24167560658322301</v>
      </c>
      <c r="Y1233" s="2">
        <v>42</v>
      </c>
      <c r="Z1233" s="2" t="e">
        <f>VLOOKUP(E1233,YieldData!T:U,2,FALSE)</f>
        <v>#VALUE!</v>
      </c>
      <c r="AA1233">
        <f t="shared" si="38"/>
        <v>0.913534329143595</v>
      </c>
    </row>
    <row r="1234" spans="1:27" hidden="1" x14ac:dyDescent="0.25">
      <c r="A1234">
        <v>63</v>
      </c>
      <c r="B1234">
        <v>703</v>
      </c>
      <c r="C1234" t="s">
        <v>20</v>
      </c>
      <c r="D1234" t="s">
        <v>100</v>
      </c>
      <c r="E1234" t="e">
        <f t="shared" si="39"/>
        <v>#VALUE!</v>
      </c>
      <c r="H1234">
        <v>42</v>
      </c>
      <c r="I1234" t="s">
        <v>21</v>
      </c>
      <c r="J1234" t="s">
        <v>22</v>
      </c>
      <c r="K1234" s="2">
        <v>22484.249991030301</v>
      </c>
      <c r="L1234" s="2">
        <v>144393275.879583</v>
      </c>
      <c r="M1234" s="3">
        <v>1543.08851017505</v>
      </c>
      <c r="N1234" s="3">
        <v>121977943.70519599</v>
      </c>
      <c r="O1234" s="4">
        <v>0.24303209273432</v>
      </c>
      <c r="P1234" s="4">
        <v>4.8329646098607799E-2</v>
      </c>
      <c r="Q1234" s="5">
        <v>1543.08851017505</v>
      </c>
      <c r="R1234" s="5">
        <v>121977943.70519599</v>
      </c>
      <c r="S1234" s="6">
        <v>0.54880730843853098</v>
      </c>
      <c r="T1234" s="6">
        <v>0.11729803526010101</v>
      </c>
      <c r="U1234" s="7">
        <v>0.72311188183938302</v>
      </c>
      <c r="V1234" s="7">
        <v>0.200221088181989</v>
      </c>
      <c r="W1234" s="8">
        <v>0.79400086112041302</v>
      </c>
      <c r="X1234" s="8">
        <v>0.16356349366032699</v>
      </c>
      <c r="Y1234" s="2">
        <v>118</v>
      </c>
      <c r="Z1234" s="2" t="e">
        <f>VLOOKUP(E1234,YieldData!T:U,2,FALSE)</f>
        <v>#VALUE!</v>
      </c>
      <c r="AA1234">
        <f t="shared" si="38"/>
        <v>0.913534329143595</v>
      </c>
    </row>
    <row r="1235" spans="1:27" hidden="1" x14ac:dyDescent="0.25">
      <c r="A1235">
        <v>64</v>
      </c>
      <c r="B1235">
        <v>704</v>
      </c>
      <c r="C1235" t="s">
        <v>20</v>
      </c>
      <c r="D1235" t="s">
        <v>100</v>
      </c>
      <c r="E1235" t="e">
        <f t="shared" si="39"/>
        <v>#VALUE!</v>
      </c>
      <c r="H1235">
        <v>42</v>
      </c>
      <c r="I1235" t="s">
        <v>21</v>
      </c>
      <c r="J1235" t="s">
        <v>22</v>
      </c>
      <c r="K1235" s="2">
        <v>23299.488813456799</v>
      </c>
      <c r="L1235" s="2">
        <v>99020977.152494296</v>
      </c>
      <c r="M1235" s="3">
        <v>-934.54872935311698</v>
      </c>
      <c r="N1235" s="3">
        <v>63793209.9583482</v>
      </c>
      <c r="O1235" s="4">
        <v>0.28160009760006099</v>
      </c>
      <c r="P1235" s="4">
        <v>3.1579809898565098E-2</v>
      </c>
      <c r="Q1235" s="5">
        <v>-934.54872935311698</v>
      </c>
      <c r="R1235" s="5">
        <v>63793209.9583482</v>
      </c>
      <c r="S1235" s="6">
        <v>0.62477342724023999</v>
      </c>
      <c r="T1235" s="6">
        <v>6.9194318741150798E-2</v>
      </c>
      <c r="U1235" s="7">
        <v>0.83055273067091795</v>
      </c>
      <c r="V1235" s="7">
        <v>0.14073489224609101</v>
      </c>
      <c r="W1235" s="8">
        <v>0.94897482409850498</v>
      </c>
      <c r="X1235" s="8">
        <v>4.8421607325737803E-2</v>
      </c>
      <c r="Y1235" s="2">
        <v>132</v>
      </c>
      <c r="Z1235" s="2" t="e">
        <f>VLOOKUP(E1235,YieldData!T:U,2,FALSE)</f>
        <v>#VALUE!</v>
      </c>
      <c r="AA1235">
        <f t="shared" si="38"/>
        <v>0.913534329143595</v>
      </c>
    </row>
    <row r="1236" spans="1:27" hidden="1" x14ac:dyDescent="0.25">
      <c r="A1236">
        <v>65</v>
      </c>
      <c r="B1236">
        <v>705</v>
      </c>
      <c r="C1236" t="s">
        <v>20</v>
      </c>
      <c r="D1236" t="s">
        <v>100</v>
      </c>
      <c r="E1236" t="e">
        <f t="shared" si="39"/>
        <v>#VALUE!</v>
      </c>
      <c r="H1236">
        <v>42</v>
      </c>
      <c r="I1236" t="s">
        <v>21</v>
      </c>
      <c r="J1236" t="s">
        <v>22</v>
      </c>
      <c r="K1236" s="2">
        <v>25553.437853953201</v>
      </c>
      <c r="L1236" s="2">
        <v>145242444.725936</v>
      </c>
      <c r="M1236" s="3">
        <v>-1083.7347334859201</v>
      </c>
      <c r="N1236" s="3">
        <v>84656597.376229197</v>
      </c>
      <c r="O1236" s="4">
        <v>0.230448013503564</v>
      </c>
      <c r="P1236" s="4">
        <v>2.7913866912720599E-2</v>
      </c>
      <c r="Q1236" s="5">
        <v>-1083.7347334859201</v>
      </c>
      <c r="R1236" s="5">
        <v>84656597.376229197</v>
      </c>
      <c r="S1236" s="6">
        <v>0.57503312347489799</v>
      </c>
      <c r="T1236" s="6">
        <v>7.7784668402381602E-2</v>
      </c>
      <c r="U1236" s="7">
        <v>0.78461418286443396</v>
      </c>
      <c r="V1236" s="7">
        <v>0.168994766912476</v>
      </c>
      <c r="W1236" s="8">
        <v>0.881148287983336</v>
      </c>
      <c r="X1236" s="8">
        <v>0.104725982567269</v>
      </c>
      <c r="Y1236" s="2">
        <v>120</v>
      </c>
      <c r="Z1236" s="2" t="e">
        <f>VLOOKUP(E1236,YieldData!T:U,2,FALSE)</f>
        <v>#VALUE!</v>
      </c>
      <c r="AA1236">
        <f t="shared" si="38"/>
        <v>0.913534329143595</v>
      </c>
    </row>
    <row r="1237" spans="1:27" hidden="1" x14ac:dyDescent="0.25">
      <c r="A1237">
        <v>66</v>
      </c>
      <c r="B1237">
        <v>706</v>
      </c>
      <c r="C1237" t="s">
        <v>20</v>
      </c>
      <c r="D1237" t="s">
        <v>100</v>
      </c>
      <c r="E1237" t="e">
        <f t="shared" si="39"/>
        <v>#VALUE!</v>
      </c>
      <c r="H1237">
        <v>42</v>
      </c>
      <c r="I1237" t="s">
        <v>21</v>
      </c>
      <c r="J1237" t="s">
        <v>22</v>
      </c>
      <c r="K1237" s="2">
        <v>26163.346655346799</v>
      </c>
      <c r="L1237" s="2">
        <v>166730602.38518399</v>
      </c>
      <c r="M1237" s="3">
        <v>-271.17588852160702</v>
      </c>
      <c r="N1237" s="3">
        <v>101438102.550643</v>
      </c>
      <c r="O1237" s="4">
        <v>0.21138954232784099</v>
      </c>
      <c r="P1237" s="4">
        <v>3.40432954171744E-2</v>
      </c>
      <c r="Q1237" s="5">
        <v>-271.17588852160702</v>
      </c>
      <c r="R1237" s="5">
        <v>101438102.550643</v>
      </c>
      <c r="S1237" s="6">
        <v>0.56140436923493897</v>
      </c>
      <c r="T1237" s="6">
        <v>9.4977042652743801E-2</v>
      </c>
      <c r="U1237" s="7">
        <v>0.77044236349582496</v>
      </c>
      <c r="V1237" s="7">
        <v>0.17686092802665301</v>
      </c>
      <c r="W1237" s="8">
        <v>0.85195651072025902</v>
      </c>
      <c r="X1237" s="8">
        <v>0.126126614561683</v>
      </c>
      <c r="Y1237" s="2">
        <v>108</v>
      </c>
      <c r="Z1237" s="2" t="e">
        <f>VLOOKUP(E1237,YieldData!T:U,2,FALSE)</f>
        <v>#VALUE!</v>
      </c>
      <c r="AA1237">
        <f t="shared" si="38"/>
        <v>0.913534329143595</v>
      </c>
    </row>
    <row r="1238" spans="1:27" hidden="1" x14ac:dyDescent="0.25">
      <c r="A1238">
        <v>67</v>
      </c>
      <c r="B1238">
        <v>707</v>
      </c>
      <c r="C1238" t="s">
        <v>20</v>
      </c>
      <c r="D1238" t="s">
        <v>100</v>
      </c>
      <c r="E1238" t="e">
        <f t="shared" si="39"/>
        <v>#VALUE!</v>
      </c>
      <c r="H1238">
        <v>42</v>
      </c>
      <c r="I1238" t="s">
        <v>21</v>
      </c>
      <c r="J1238" t="s">
        <v>22</v>
      </c>
      <c r="K1238" s="2">
        <v>20173.885704622</v>
      </c>
      <c r="L1238" s="2">
        <v>166491756.836775</v>
      </c>
      <c r="M1238" s="3">
        <v>4582.0239100829403</v>
      </c>
      <c r="N1238" s="3">
        <v>126887542.398388</v>
      </c>
      <c r="O1238" s="4">
        <v>0.14054067951503199</v>
      </c>
      <c r="P1238" s="4">
        <v>4.3061961860338699E-2</v>
      </c>
      <c r="Q1238" s="5">
        <v>4582.0239100829403</v>
      </c>
      <c r="R1238" s="5">
        <v>126887542.398388</v>
      </c>
      <c r="S1238" s="6">
        <v>0.425643107697456</v>
      </c>
      <c r="T1238" s="6">
        <v>0.121006056681388</v>
      </c>
      <c r="U1238" s="7">
        <v>0.57324608760130602</v>
      </c>
      <c r="V1238" s="7">
        <v>0.244635010651233</v>
      </c>
      <c r="W1238" s="8">
        <v>0.83530651540383005</v>
      </c>
      <c r="X1238" s="8">
        <v>0.13756954072751101</v>
      </c>
      <c r="Y1238" s="2">
        <v>68</v>
      </c>
      <c r="Z1238" s="2" t="e">
        <f>VLOOKUP(E1238,YieldData!T:U,2,FALSE)</f>
        <v>#VALUE!</v>
      </c>
      <c r="AA1238">
        <f t="shared" si="38"/>
        <v>0.913534329143595</v>
      </c>
    </row>
    <row r="1239" spans="1:27" hidden="1" x14ac:dyDescent="0.25">
      <c r="A1239">
        <v>68</v>
      </c>
      <c r="B1239">
        <v>708</v>
      </c>
      <c r="C1239" t="s">
        <v>20</v>
      </c>
      <c r="D1239" t="s">
        <v>100</v>
      </c>
      <c r="E1239" t="e">
        <f t="shared" si="39"/>
        <v>#VALUE!</v>
      </c>
      <c r="H1239">
        <v>42</v>
      </c>
      <c r="I1239" t="s">
        <v>21</v>
      </c>
      <c r="J1239" t="s">
        <v>22</v>
      </c>
      <c r="K1239" s="2">
        <v>23031.266017629299</v>
      </c>
      <c r="L1239" s="2">
        <v>178753633.08690399</v>
      </c>
      <c r="M1239" s="3">
        <v>3024.9349274388501</v>
      </c>
      <c r="N1239" s="3">
        <v>129968862.114154</v>
      </c>
      <c r="O1239" s="4">
        <v>0.172750588735367</v>
      </c>
      <c r="P1239" s="4">
        <v>4.1387468349997902E-2</v>
      </c>
      <c r="Q1239" s="5">
        <v>3024.9349274388501</v>
      </c>
      <c r="R1239" s="5">
        <v>129968862.114154</v>
      </c>
      <c r="S1239" s="6">
        <v>0.48021249470219102</v>
      </c>
      <c r="T1239" s="6">
        <v>0.101858869455972</v>
      </c>
      <c r="U1239" s="7">
        <v>0.65579887813804405</v>
      </c>
      <c r="V1239" s="7">
        <v>0.22572670957099999</v>
      </c>
      <c r="W1239" s="8">
        <v>0.64304593783263397</v>
      </c>
      <c r="X1239" s="8">
        <v>0.229537859669765</v>
      </c>
      <c r="Y1239" s="2">
        <v>34</v>
      </c>
      <c r="Z1239" s="2" t="e">
        <f>VLOOKUP(E1239,YieldData!T:U,2,FALSE)</f>
        <v>#VALUE!</v>
      </c>
      <c r="AA1239">
        <f t="shared" si="38"/>
        <v>0.913534329143595</v>
      </c>
    </row>
    <row r="1240" spans="1:27" hidden="1" x14ac:dyDescent="0.25">
      <c r="A1240">
        <v>69</v>
      </c>
      <c r="B1240">
        <v>709</v>
      </c>
      <c r="C1240" t="s">
        <v>20</v>
      </c>
      <c r="D1240">
        <v>25112</v>
      </c>
      <c r="E1240">
        <f t="shared" si="39"/>
        <v>25112709</v>
      </c>
      <c r="F1240">
        <f>VLOOKUP(E1240,YieldData!D:F,2,FALSE)</f>
        <v>2</v>
      </c>
      <c r="G1240">
        <f>VLOOKUP($E1240,YieldData!$D:$F,3,FALSE)</f>
        <v>3</v>
      </c>
      <c r="H1240">
        <v>42</v>
      </c>
      <c r="I1240" t="s">
        <v>21</v>
      </c>
      <c r="J1240" t="s">
        <v>22</v>
      </c>
      <c r="K1240" s="2">
        <v>17248.166253039501</v>
      </c>
      <c r="L1240" s="2">
        <v>87856555.533615202</v>
      </c>
      <c r="M1240" s="3">
        <v>3675.7930834292702</v>
      </c>
      <c r="N1240" s="3">
        <v>99474796.799341395</v>
      </c>
      <c r="O1240" s="4">
        <v>0.26514729299772599</v>
      </c>
      <c r="P1240" s="4">
        <v>4.9485066164100602E-2</v>
      </c>
      <c r="Q1240" s="5">
        <v>3675.7930834292702</v>
      </c>
      <c r="R1240" s="5">
        <v>99474796.799341395</v>
      </c>
      <c r="S1240" s="6">
        <v>0.54812636678309201</v>
      </c>
      <c r="T1240" s="6">
        <v>0.102441094336008</v>
      </c>
      <c r="U1240" s="7">
        <v>0.67412448923316004</v>
      </c>
      <c r="V1240" s="7">
        <v>0.21968066224917901</v>
      </c>
      <c r="W1240" s="8">
        <v>0.95107857760619696</v>
      </c>
      <c r="X1240" s="8">
        <v>4.65281168247932E-2</v>
      </c>
      <c r="Y1240" s="2">
        <v>120</v>
      </c>
      <c r="Z1240" s="2">
        <f>VLOOKUP(E1240,YieldData!T:U,2,FALSE)</f>
        <v>1822.0876123234914</v>
      </c>
      <c r="AA1240">
        <f t="shared" si="38"/>
        <v>0.67412448923316004</v>
      </c>
    </row>
    <row r="1241" spans="1:27" hidden="1" x14ac:dyDescent="0.25">
      <c r="A1241">
        <v>70</v>
      </c>
      <c r="B1241">
        <v>710</v>
      </c>
      <c r="C1241" t="s">
        <v>20</v>
      </c>
      <c r="D1241">
        <v>25112</v>
      </c>
      <c r="E1241">
        <f t="shared" si="39"/>
        <v>25112710</v>
      </c>
      <c r="F1241">
        <f>VLOOKUP(E1241,YieldData!D:F,2,FALSE)</f>
        <v>1</v>
      </c>
      <c r="G1241">
        <f>VLOOKUP($E1241,YieldData!$D:$F,3,FALSE)</f>
        <v>3</v>
      </c>
      <c r="H1241">
        <v>42</v>
      </c>
      <c r="I1241" t="s">
        <v>21</v>
      </c>
      <c r="J1241" t="s">
        <v>22</v>
      </c>
      <c r="K1241" s="2">
        <v>15408.56888013</v>
      </c>
      <c r="L1241" s="2">
        <v>115648090.36022399</v>
      </c>
      <c r="M1241" s="3">
        <v>5600.7183655942099</v>
      </c>
      <c r="N1241" s="3">
        <v>109535356.687456</v>
      </c>
      <c r="O1241" s="4">
        <v>0.19541959661010899</v>
      </c>
      <c r="P1241" s="4">
        <v>4.8112363002006601E-2</v>
      </c>
      <c r="Q1241" s="5">
        <v>5600.7183655942099</v>
      </c>
      <c r="R1241" s="5">
        <v>109535356.687456</v>
      </c>
      <c r="S1241" s="6">
        <v>0.45515793696634399</v>
      </c>
      <c r="T1241" s="6">
        <v>0.107948833105319</v>
      </c>
      <c r="U1241" s="7">
        <v>0.55894961800801102</v>
      </c>
      <c r="V1241" s="7">
        <v>0.24652494253668</v>
      </c>
      <c r="W1241" s="8">
        <v>0.80306869369369405</v>
      </c>
      <c r="X1241" s="8">
        <v>0.15814936690286199</v>
      </c>
      <c r="Y1241" s="2">
        <v>40</v>
      </c>
      <c r="Z1241" s="2">
        <f>VLOOKUP(E1241,YieldData!T:U,2,FALSE)</f>
        <v>1640.641848523748</v>
      </c>
      <c r="AA1241">
        <f t="shared" si="38"/>
        <v>0.55894961800801102</v>
      </c>
    </row>
    <row r="1242" spans="1:27" hidden="1" x14ac:dyDescent="0.25">
      <c r="A1242">
        <v>71</v>
      </c>
      <c r="B1242">
        <v>801</v>
      </c>
      <c r="C1242" t="s">
        <v>20</v>
      </c>
      <c r="D1242">
        <v>25113</v>
      </c>
      <c r="E1242">
        <f t="shared" si="39"/>
        <v>25113801</v>
      </c>
      <c r="F1242">
        <f>VLOOKUP(E1242,YieldData!D:F,2,FALSE)</f>
        <v>1</v>
      </c>
      <c r="G1242">
        <f>VLOOKUP($E1242,YieldData!$D:$F,3,FALSE)</f>
        <v>1</v>
      </c>
      <c r="H1242">
        <v>42</v>
      </c>
      <c r="I1242" t="s">
        <v>21</v>
      </c>
      <c r="J1242" t="s">
        <v>22</v>
      </c>
      <c r="K1242" s="2">
        <v>19695.7016615385</v>
      </c>
      <c r="L1242" s="2">
        <v>159661172.27796099</v>
      </c>
      <c r="M1242" s="3">
        <v>2029.9102887107999</v>
      </c>
      <c r="N1242" s="3">
        <v>92569206.538593799</v>
      </c>
      <c r="O1242" s="4">
        <v>0.264031408185116</v>
      </c>
      <c r="P1242" s="4">
        <v>3.3465648868459902E-2</v>
      </c>
      <c r="Q1242" s="5">
        <v>2029.9102887107999</v>
      </c>
      <c r="R1242" s="5">
        <v>92569206.538593799</v>
      </c>
      <c r="S1242" s="6">
        <v>0.58602517338954696</v>
      </c>
      <c r="T1242" s="6">
        <v>8.6625985655794796E-2</v>
      </c>
      <c r="U1242" s="7">
        <v>0.68267076923076897</v>
      </c>
      <c r="V1242" s="7">
        <v>0.21663139006853099</v>
      </c>
      <c r="W1242" s="8">
        <v>0.75357235165971304</v>
      </c>
      <c r="X1242" s="8">
        <v>0.18570106247391699</v>
      </c>
      <c r="Y1242" s="2">
        <v>54</v>
      </c>
      <c r="Z1242" s="2">
        <f>VLOOKUP(E1242,YieldData!T:U,2,FALSE)</f>
        <v>2262.7551347881895</v>
      </c>
      <c r="AA1242">
        <f t="shared" si="38"/>
        <v>0.68267076923076897</v>
      </c>
    </row>
    <row r="1243" spans="1:27" hidden="1" x14ac:dyDescent="0.25">
      <c r="A1243">
        <v>72</v>
      </c>
      <c r="B1243">
        <v>802</v>
      </c>
      <c r="C1243" t="s">
        <v>20</v>
      </c>
      <c r="D1243">
        <v>25113</v>
      </c>
      <c r="E1243">
        <f t="shared" si="39"/>
        <v>25113802</v>
      </c>
      <c r="F1243">
        <f>VLOOKUP(E1243,YieldData!D:F,2,FALSE)</f>
        <v>2</v>
      </c>
      <c r="G1243">
        <f>VLOOKUP($E1243,YieldData!$D:$F,3,FALSE)</f>
        <v>1</v>
      </c>
      <c r="H1243">
        <v>42</v>
      </c>
      <c r="I1243" t="s">
        <v>21</v>
      </c>
      <c r="J1243" t="s">
        <v>22</v>
      </c>
      <c r="K1243" s="2">
        <v>19733.4986524585</v>
      </c>
      <c r="L1243" s="2">
        <v>148646484.88484401</v>
      </c>
      <c r="M1243" s="3">
        <v>2701.0311599614201</v>
      </c>
      <c r="N1243" s="3">
        <v>110819602.430573</v>
      </c>
      <c r="O1243" s="4">
        <v>0.27046590637247497</v>
      </c>
      <c r="P1243" s="4">
        <v>4.50194283215615E-2</v>
      </c>
      <c r="Q1243" s="5">
        <v>2701.0311599614201</v>
      </c>
      <c r="R1243" s="5">
        <v>110819602.430573</v>
      </c>
      <c r="S1243" s="6">
        <v>0.56423128175261905</v>
      </c>
      <c r="T1243" s="6">
        <v>9.8223095998659901E-2</v>
      </c>
      <c r="U1243" s="7">
        <v>0.68109840157979096</v>
      </c>
      <c r="V1243" s="7">
        <v>0.21720336894535699</v>
      </c>
      <c r="W1243" s="8">
        <v>0.80865914849222498</v>
      </c>
      <c r="X1243" s="8">
        <v>0.15472953005204801</v>
      </c>
      <c r="Y1243" s="2">
        <v>88</v>
      </c>
      <c r="Z1243" s="2">
        <f>VLOOKUP(E1243,YieldData!T:U,2,FALSE)</f>
        <v>1414.4736842105262</v>
      </c>
      <c r="AA1243">
        <f t="shared" si="38"/>
        <v>0.68109840157979096</v>
      </c>
    </row>
    <row r="1244" spans="1:27" hidden="1" x14ac:dyDescent="0.25">
      <c r="A1244">
        <v>73</v>
      </c>
      <c r="B1244">
        <v>803</v>
      </c>
      <c r="C1244" t="s">
        <v>20</v>
      </c>
      <c r="D1244">
        <v>25113</v>
      </c>
      <c r="E1244">
        <f t="shared" si="39"/>
        <v>25113803</v>
      </c>
      <c r="F1244">
        <f>VLOOKUP(E1244,YieldData!D:F,2,FALSE)</f>
        <v>3</v>
      </c>
      <c r="G1244">
        <f>VLOOKUP($E1244,YieldData!$D:$F,3,FALSE)</f>
        <v>1</v>
      </c>
      <c r="H1244">
        <v>42</v>
      </c>
      <c r="I1244" t="s">
        <v>21</v>
      </c>
      <c r="J1244" t="s">
        <v>22</v>
      </c>
      <c r="K1244" s="2">
        <v>24725.859652670701</v>
      </c>
      <c r="L1244" s="2">
        <v>155553954.787375</v>
      </c>
      <c r="M1244" s="3">
        <v>-478.954628774159</v>
      </c>
      <c r="N1244" s="3">
        <v>87567685.916641802</v>
      </c>
      <c r="O1244" s="4">
        <v>0.28613793116703801</v>
      </c>
      <c r="P1244" s="4">
        <v>2.47386862374964E-2</v>
      </c>
      <c r="Q1244" s="5">
        <v>-478.954628774159</v>
      </c>
      <c r="R1244" s="5">
        <v>87567685.916641802</v>
      </c>
      <c r="S1244" s="6">
        <v>0.62939463134816698</v>
      </c>
      <c r="T1244" s="6">
        <v>6.9532704034915002E-2</v>
      </c>
      <c r="U1244" s="7">
        <v>0.78146565888925401</v>
      </c>
      <c r="V1244" s="7">
        <v>0.17077708286599799</v>
      </c>
      <c r="W1244" s="8">
        <v>0.79978007533051898</v>
      </c>
      <c r="X1244" s="8">
        <v>0.16013190643483499</v>
      </c>
      <c r="Y1244" s="2">
        <v>102</v>
      </c>
      <c r="Z1244" s="2">
        <f>VLOOKUP(E1244,YieldData!T:U,2,FALSE)</f>
        <v>1660.9900513478819</v>
      </c>
      <c r="AA1244">
        <f t="shared" si="38"/>
        <v>0.78146565888925401</v>
      </c>
    </row>
    <row r="1245" spans="1:27" hidden="1" x14ac:dyDescent="0.25">
      <c r="A1245">
        <v>74</v>
      </c>
      <c r="B1245">
        <v>804</v>
      </c>
      <c r="C1245" t="s">
        <v>20</v>
      </c>
      <c r="D1245">
        <v>25113</v>
      </c>
      <c r="E1245">
        <f t="shared" si="39"/>
        <v>25113804</v>
      </c>
      <c r="F1245">
        <f>VLOOKUP(E1245,YieldData!D:F,2,FALSE)</f>
        <v>3</v>
      </c>
      <c r="G1245">
        <f>VLOOKUP($E1245,YieldData!$D:$F,3,FALSE)</f>
        <v>2</v>
      </c>
      <c r="H1245">
        <v>42</v>
      </c>
      <c r="I1245" t="s">
        <v>21</v>
      </c>
      <c r="J1245" t="s">
        <v>22</v>
      </c>
      <c r="K1245" s="2">
        <v>27057.446895548201</v>
      </c>
      <c r="L1245" s="2">
        <v>178377821.26234999</v>
      </c>
      <c r="M1245" s="3">
        <v>-111.23915303886599</v>
      </c>
      <c r="N1245" s="3">
        <v>88520635.529609099</v>
      </c>
      <c r="O1245" s="4">
        <v>0.22827141129651199</v>
      </c>
      <c r="P1245" s="4">
        <v>3.3507826252789502E-2</v>
      </c>
      <c r="Q1245" s="5">
        <v>-111.23915303886599</v>
      </c>
      <c r="R1245" s="5">
        <v>88520635.529609099</v>
      </c>
      <c r="S1245" s="6">
        <v>0.59616406738048799</v>
      </c>
      <c r="T1245" s="6">
        <v>8.7346534471373402E-2</v>
      </c>
      <c r="U1245" s="7">
        <v>0.78450725493156903</v>
      </c>
      <c r="V1245" s="7">
        <v>0.16905562189148299</v>
      </c>
      <c r="W1245" s="8">
        <v>0.82101578586135904</v>
      </c>
      <c r="X1245" s="8">
        <v>0.14694886522796699</v>
      </c>
      <c r="Y1245" s="2">
        <v>78</v>
      </c>
      <c r="Z1245" s="2">
        <f>VLOOKUP(E1245,YieldData!T:U,2,FALSE)</f>
        <v>1550.2759948652119</v>
      </c>
      <c r="AA1245">
        <f t="shared" si="38"/>
        <v>0.78450725493156903</v>
      </c>
    </row>
    <row r="1246" spans="1:27" hidden="1" x14ac:dyDescent="0.25">
      <c r="A1246">
        <v>75</v>
      </c>
      <c r="B1246">
        <v>805</v>
      </c>
      <c r="C1246" t="s">
        <v>20</v>
      </c>
      <c r="D1246">
        <v>25113</v>
      </c>
      <c r="E1246">
        <f t="shared" si="39"/>
        <v>25113805</v>
      </c>
      <c r="F1246">
        <f>VLOOKUP(E1246,YieldData!D:F,2,FALSE)</f>
        <v>2</v>
      </c>
      <c r="G1246">
        <f>VLOOKUP($E1246,YieldData!$D:$F,3,FALSE)</f>
        <v>2</v>
      </c>
      <c r="H1246">
        <v>42</v>
      </c>
      <c r="I1246" t="s">
        <v>21</v>
      </c>
      <c r="J1246" t="s">
        <v>22</v>
      </c>
      <c r="K1246" s="2">
        <v>24522.7009097956</v>
      </c>
      <c r="L1246" s="2">
        <v>158490433.51060101</v>
      </c>
      <c r="M1246" s="3">
        <v>-345.11191385857097</v>
      </c>
      <c r="N1246" s="3">
        <v>83423614.675347701</v>
      </c>
      <c r="O1246" s="4">
        <v>0.25134152236628099</v>
      </c>
      <c r="P1246" s="4">
        <v>3.44549064730321E-2</v>
      </c>
      <c r="Q1246" s="5">
        <v>-345.11191385857097</v>
      </c>
      <c r="R1246" s="5">
        <v>83423614.675347701</v>
      </c>
      <c r="S1246" s="6">
        <v>0.59375320442099599</v>
      </c>
      <c r="T1246" s="6">
        <v>8.6408901812425595E-2</v>
      </c>
      <c r="U1246" s="7">
        <v>0.77694368514816503</v>
      </c>
      <c r="V1246" s="7">
        <v>0.17330219525659801</v>
      </c>
      <c r="W1246" s="8">
        <v>0.81557689169341197</v>
      </c>
      <c r="X1246" s="8">
        <v>0.15041122542893501</v>
      </c>
      <c r="Y1246" s="2">
        <v>118</v>
      </c>
      <c r="Z1246" s="2">
        <f>VLOOKUP(E1246,YieldData!T:U,2,FALSE)</f>
        <v>1315.7814505776639</v>
      </c>
      <c r="AA1246">
        <f t="shared" si="38"/>
        <v>0.77694368514816503</v>
      </c>
    </row>
    <row r="1247" spans="1:27" hidden="1" x14ac:dyDescent="0.25">
      <c r="A1247">
        <v>76</v>
      </c>
      <c r="B1247">
        <v>806</v>
      </c>
      <c r="C1247" t="s">
        <v>20</v>
      </c>
      <c r="D1247">
        <v>25113</v>
      </c>
      <c r="E1247">
        <f t="shared" si="39"/>
        <v>25113806</v>
      </c>
      <c r="F1247">
        <f>VLOOKUP(E1247,YieldData!D:F,2,FALSE)</f>
        <v>1</v>
      </c>
      <c r="G1247">
        <f>VLOOKUP($E1247,YieldData!$D:$F,3,FALSE)</f>
        <v>2</v>
      </c>
      <c r="H1247">
        <v>42</v>
      </c>
      <c r="I1247" t="s">
        <v>21</v>
      </c>
      <c r="J1247" t="s">
        <v>22</v>
      </c>
      <c r="K1247" s="2">
        <v>21817.367568384099</v>
      </c>
      <c r="L1247" s="2">
        <v>114920897.688159</v>
      </c>
      <c r="M1247" s="3">
        <v>-252.731955127395</v>
      </c>
      <c r="N1247" s="3">
        <v>86086906.783165604</v>
      </c>
      <c r="O1247" s="4">
        <v>0.31715568423317902</v>
      </c>
      <c r="P1247" s="4">
        <v>3.9629251790775297E-2</v>
      </c>
      <c r="Q1247" s="5">
        <v>-252.731955127395</v>
      </c>
      <c r="R1247" s="5">
        <v>86086906.783165604</v>
      </c>
      <c r="S1247" s="6">
        <v>0.64918040303139901</v>
      </c>
      <c r="T1247" s="6">
        <v>8.7421087376322301E-2</v>
      </c>
      <c r="U1247" s="7">
        <v>0.81061416648833695</v>
      </c>
      <c r="V1247" s="7">
        <v>0.15351883957683801</v>
      </c>
      <c r="W1247" s="8">
        <v>0.79421723751620699</v>
      </c>
      <c r="X1247" s="8">
        <v>0.163436217148166</v>
      </c>
      <c r="Y1247" s="2">
        <v>90</v>
      </c>
      <c r="Z1247" s="2">
        <f>VLOOKUP(E1247,YieldData!T:U,2,FALSE)</f>
        <v>1287.3668164313224</v>
      </c>
      <c r="AA1247">
        <f t="shared" si="38"/>
        <v>0.81061416648833695</v>
      </c>
    </row>
    <row r="1248" spans="1:27" hidden="1" x14ac:dyDescent="0.25">
      <c r="A1248">
        <v>77</v>
      </c>
      <c r="B1248">
        <v>807</v>
      </c>
      <c r="C1248" t="s">
        <v>20</v>
      </c>
      <c r="D1248">
        <v>25113</v>
      </c>
      <c r="E1248">
        <f t="shared" si="39"/>
        <v>25113807</v>
      </c>
      <c r="F1248">
        <f>VLOOKUP(E1248,YieldData!D:F,2,FALSE)</f>
        <v>1</v>
      </c>
      <c r="G1248">
        <f>VLOOKUP($E1248,YieldData!$D:$F,3,FALSE)</f>
        <v>3</v>
      </c>
      <c r="H1248">
        <v>42</v>
      </c>
      <c r="I1248" t="s">
        <v>21</v>
      </c>
      <c r="J1248" t="s">
        <v>22</v>
      </c>
      <c r="K1248" s="2">
        <v>27826.179184163899</v>
      </c>
      <c r="L1248" s="2">
        <v>194061551.56955099</v>
      </c>
      <c r="M1248" s="3">
        <v>1261.0837632057001</v>
      </c>
      <c r="N1248" s="3">
        <v>87900313.296517104</v>
      </c>
      <c r="O1248" s="4">
        <v>0.198302630694069</v>
      </c>
      <c r="P1248" s="4">
        <v>2.7729930836178002E-2</v>
      </c>
      <c r="Q1248" s="5">
        <v>1261.0837632057001</v>
      </c>
      <c r="R1248" s="5">
        <v>87900313.296517104</v>
      </c>
      <c r="S1248" s="6">
        <v>0.56739812052752803</v>
      </c>
      <c r="T1248" s="6">
        <v>7.3716140101041605E-2</v>
      </c>
      <c r="U1248" s="7">
        <v>0.75823454358516995</v>
      </c>
      <c r="V1248" s="7">
        <v>0.18331492049929601</v>
      </c>
      <c r="W1248" s="8">
        <v>0.75143685279690797</v>
      </c>
      <c r="X1248" s="8">
        <v>0.18677950905551399</v>
      </c>
      <c r="Y1248" s="2">
        <v>86</v>
      </c>
      <c r="Z1248" s="2">
        <f>VLOOKUP(E1248,YieldData!T:U,2,FALSE)</f>
        <v>1015.1347881899873</v>
      </c>
      <c r="AA1248">
        <f t="shared" si="38"/>
        <v>0.75823454358516995</v>
      </c>
    </row>
    <row r="1249" spans="1:27" hidden="1" x14ac:dyDescent="0.25">
      <c r="A1249">
        <v>78</v>
      </c>
      <c r="B1249">
        <v>808</v>
      </c>
      <c r="C1249" t="s">
        <v>20</v>
      </c>
      <c r="D1249">
        <v>25113</v>
      </c>
      <c r="E1249">
        <f t="shared" si="39"/>
        <v>25113808</v>
      </c>
      <c r="F1249">
        <f>VLOOKUP(E1249,YieldData!D:F,2,FALSE)</f>
        <v>2</v>
      </c>
      <c r="G1249">
        <f>VLOOKUP($E1249,YieldData!$D:$F,3,FALSE)</f>
        <v>3</v>
      </c>
      <c r="H1249">
        <v>42</v>
      </c>
      <c r="I1249" t="s">
        <v>21</v>
      </c>
      <c r="J1249" t="s">
        <v>22</v>
      </c>
      <c r="K1249" s="2">
        <v>17283.145081810399</v>
      </c>
      <c r="L1249" s="2">
        <v>141130881.14321801</v>
      </c>
      <c r="M1249" s="3">
        <v>6492.8734317029403</v>
      </c>
      <c r="N1249" s="3">
        <v>149546831.68897599</v>
      </c>
      <c r="O1249" s="4">
        <v>0.179133665197036</v>
      </c>
      <c r="P1249" s="4">
        <v>5.89245373424278E-2</v>
      </c>
      <c r="Q1249" s="5">
        <v>6492.8734317029403</v>
      </c>
      <c r="R1249" s="5">
        <v>149546831.68897599</v>
      </c>
      <c r="S1249" s="6">
        <v>0.442532157643931</v>
      </c>
      <c r="T1249" s="6">
        <v>0.12736014430565301</v>
      </c>
      <c r="U1249" s="7">
        <v>0.55782939431633305</v>
      </c>
      <c r="V1249" s="7">
        <v>0.246655761152789</v>
      </c>
      <c r="W1249" s="8">
        <v>0.59390771880307103</v>
      </c>
      <c r="X1249" s="8">
        <v>0.24118134034913599</v>
      </c>
      <c r="Y1249" s="2">
        <v>38</v>
      </c>
      <c r="Z1249" s="2">
        <f>VLOOKUP(E1249,YieldData!T:U,2,FALSE)</f>
        <v>1853.831835686778</v>
      </c>
      <c r="AA1249">
        <f t="shared" si="38"/>
        <v>0.55782939431633305</v>
      </c>
    </row>
    <row r="1250" spans="1:27" hidden="1" x14ac:dyDescent="0.25">
      <c r="A1250">
        <v>79</v>
      </c>
      <c r="B1250">
        <v>809</v>
      </c>
      <c r="C1250" t="s">
        <v>20</v>
      </c>
      <c r="D1250">
        <v>25113</v>
      </c>
      <c r="E1250">
        <f t="shared" si="39"/>
        <v>25113809</v>
      </c>
      <c r="F1250">
        <f>VLOOKUP(E1250,YieldData!D:F,2,FALSE)</f>
        <v>3</v>
      </c>
      <c r="G1250">
        <f>VLOOKUP($E1250,YieldData!$D:$F,3,FALSE)</f>
        <v>3</v>
      </c>
      <c r="H1250">
        <v>42</v>
      </c>
      <c r="I1250" t="s">
        <v>21</v>
      </c>
      <c r="J1250" t="s">
        <v>22</v>
      </c>
      <c r="K1250" s="2">
        <v>19077.172014854899</v>
      </c>
      <c r="L1250" s="2">
        <v>129768032.860598</v>
      </c>
      <c r="M1250" s="3">
        <v>3091.6900851335699</v>
      </c>
      <c r="N1250" s="3">
        <v>104643687.19873001</v>
      </c>
      <c r="O1250" s="4">
        <v>0.27094737316359901</v>
      </c>
      <c r="P1250" s="4">
        <v>4.4490582470623201E-2</v>
      </c>
      <c r="Q1250" s="5">
        <v>3091.6900851335699</v>
      </c>
      <c r="R1250" s="5">
        <v>104643687.19873001</v>
      </c>
      <c r="S1250" s="6">
        <v>0.57350956214375204</v>
      </c>
      <c r="T1250" s="6">
        <v>9.5049139168757096E-2</v>
      </c>
      <c r="U1250" s="7">
        <v>0.68753068546610396</v>
      </c>
      <c r="V1250" s="7">
        <v>0.21483224200891801</v>
      </c>
      <c r="W1250" s="8">
        <v>0.78497060341680203</v>
      </c>
      <c r="X1250" s="8">
        <v>0.16879175518808201</v>
      </c>
      <c r="Y1250" s="2">
        <v>56</v>
      </c>
      <c r="Z1250" s="2">
        <f>VLOOKUP(E1250,YieldData!T:U,2,FALSE)</f>
        <v>2012.4261874197691</v>
      </c>
      <c r="AA1250">
        <f t="shared" si="38"/>
        <v>0.68753068546610396</v>
      </c>
    </row>
    <row r="1251" spans="1:27" hidden="1" x14ac:dyDescent="0.25">
      <c r="A1251">
        <v>80</v>
      </c>
      <c r="B1251">
        <v>901</v>
      </c>
      <c r="C1251" t="s">
        <v>20</v>
      </c>
      <c r="D1251">
        <v>25114</v>
      </c>
      <c r="E1251">
        <f t="shared" si="39"/>
        <v>25114901</v>
      </c>
      <c r="F1251">
        <f>VLOOKUP(E1251,YieldData!D:F,2,FALSE)</f>
        <v>1</v>
      </c>
      <c r="G1251">
        <f>VLOOKUP($E1251,YieldData!$D:$F,3,FALSE)</f>
        <v>1</v>
      </c>
      <c r="H1251">
        <v>42</v>
      </c>
      <c r="I1251" t="s">
        <v>21</v>
      </c>
      <c r="J1251" t="s">
        <v>22</v>
      </c>
      <c r="K1251" s="2">
        <v>14924.7320775027</v>
      </c>
      <c r="L1251" s="2">
        <v>126870658.97621401</v>
      </c>
      <c r="M1251" s="3">
        <v>4975.9388895037901</v>
      </c>
      <c r="N1251" s="3">
        <v>102891336.631675</v>
      </c>
      <c r="O1251" s="4">
        <v>0.24860444586962999</v>
      </c>
      <c r="P1251" s="4">
        <v>4.1806438587367101E-2</v>
      </c>
      <c r="Q1251" s="5">
        <v>4975.9388895037901</v>
      </c>
      <c r="R1251" s="5">
        <v>102891336.631675</v>
      </c>
      <c r="S1251" s="6">
        <v>0.53438787472954696</v>
      </c>
      <c r="T1251" s="6">
        <v>9.7074849469688598E-2</v>
      </c>
      <c r="U1251" s="7">
        <v>0.58475062791532095</v>
      </c>
      <c r="V1251" s="7">
        <v>0.24281733106839201</v>
      </c>
      <c r="W1251" s="8">
        <v>0.67594785312761596</v>
      </c>
      <c r="X1251" s="8">
        <v>0.21904235298008201</v>
      </c>
      <c r="Y1251" s="2">
        <v>52</v>
      </c>
      <c r="Z1251" s="2">
        <f>VLOOKUP(E1251,YieldData!T:U,2,FALSE)</f>
        <v>799.50738125802309</v>
      </c>
      <c r="AA1251">
        <f t="shared" si="38"/>
        <v>0.58475062791532095</v>
      </c>
    </row>
    <row r="1252" spans="1:27" hidden="1" x14ac:dyDescent="0.25">
      <c r="A1252">
        <v>81</v>
      </c>
      <c r="B1252">
        <v>902</v>
      </c>
      <c r="C1252" t="s">
        <v>20</v>
      </c>
      <c r="D1252">
        <v>25114</v>
      </c>
      <c r="E1252">
        <f t="shared" si="39"/>
        <v>25114902</v>
      </c>
      <c r="F1252">
        <f>VLOOKUP(E1252,YieldData!D:F,2,FALSE)</f>
        <v>2</v>
      </c>
      <c r="G1252">
        <f>VLOOKUP($E1252,YieldData!$D:$F,3,FALSE)</f>
        <v>1</v>
      </c>
      <c r="H1252">
        <v>42</v>
      </c>
      <c r="I1252" t="s">
        <v>21</v>
      </c>
      <c r="J1252" t="s">
        <v>22</v>
      </c>
      <c r="K1252" s="2">
        <v>22755.4100731133</v>
      </c>
      <c r="L1252" s="2">
        <v>199931312.325793</v>
      </c>
      <c r="M1252" s="3">
        <v>2831.97658849359</v>
      </c>
      <c r="N1252" s="3">
        <v>110088001.614336</v>
      </c>
      <c r="O1252" s="4">
        <v>0.24413507557188299</v>
      </c>
      <c r="P1252" s="4">
        <v>3.325340712245E-2</v>
      </c>
      <c r="Q1252" s="5">
        <v>2831.97658849359</v>
      </c>
      <c r="R1252" s="5">
        <v>110088001.614336</v>
      </c>
      <c r="S1252" s="6">
        <v>0.57644575822271504</v>
      </c>
      <c r="T1252" s="6">
        <v>8.4054703181749693E-2</v>
      </c>
      <c r="U1252" s="7">
        <v>0.69582853422805302</v>
      </c>
      <c r="V1252" s="7">
        <v>0.21165118518231499</v>
      </c>
      <c r="W1252" s="8">
        <v>0.60399163609500806</v>
      </c>
      <c r="X1252" s="8">
        <v>0.23918573962242901</v>
      </c>
      <c r="Y1252" s="2">
        <v>38</v>
      </c>
      <c r="Z1252" s="2">
        <f>VLOOKUP(E1252,YieldData!T:U,2,FALSE)</f>
        <v>662.83697047496776</v>
      </c>
      <c r="AA1252">
        <f t="shared" si="38"/>
        <v>0.69582853422805302</v>
      </c>
    </row>
    <row r="1253" spans="1:27" hidden="1" x14ac:dyDescent="0.25">
      <c r="A1253">
        <v>82</v>
      </c>
      <c r="B1253">
        <v>903</v>
      </c>
      <c r="C1253" t="s">
        <v>20</v>
      </c>
      <c r="D1253">
        <v>25114</v>
      </c>
      <c r="E1253">
        <f t="shared" si="39"/>
        <v>25114903</v>
      </c>
      <c r="F1253">
        <f>VLOOKUP(E1253,YieldData!D:F,2,FALSE)</f>
        <v>3</v>
      </c>
      <c r="G1253">
        <f>VLOOKUP($E1253,YieldData!$D:$F,3,FALSE)</f>
        <v>1</v>
      </c>
      <c r="H1253">
        <v>42</v>
      </c>
      <c r="I1253" t="s">
        <v>21</v>
      </c>
      <c r="J1253" t="s">
        <v>22</v>
      </c>
      <c r="K1253" s="2">
        <v>14841.1765204112</v>
      </c>
      <c r="L1253" s="2">
        <v>151712001.73652101</v>
      </c>
      <c r="M1253" s="3">
        <v>8209.21043359758</v>
      </c>
      <c r="N1253" s="3">
        <v>143279638.837127</v>
      </c>
      <c r="O1253" s="4">
        <v>0.16314745668618499</v>
      </c>
      <c r="P1253" s="4">
        <v>4.9468823118196101E-2</v>
      </c>
      <c r="Q1253" s="5">
        <v>8209.21043359758</v>
      </c>
      <c r="R1253" s="5">
        <v>143279638.837127</v>
      </c>
      <c r="S1253" s="6">
        <v>0.41673816399687502</v>
      </c>
      <c r="T1253" s="6">
        <v>0.120552937312205</v>
      </c>
      <c r="U1253" s="7">
        <v>0.48949604096351501</v>
      </c>
      <c r="V1253" s="7">
        <v>0.24988966684462999</v>
      </c>
      <c r="W1253" s="8">
        <v>0.50141166807833504</v>
      </c>
      <c r="X1253" s="8">
        <v>0.249998007193316</v>
      </c>
      <c r="Y1253" s="2">
        <v>28</v>
      </c>
      <c r="Z1253" s="2">
        <f>VLOOKUP(E1253,YieldData!T:U,2,FALSE)</f>
        <v>1684.5876123234921</v>
      </c>
      <c r="AA1253">
        <f t="shared" si="38"/>
        <v>0.48949604096351501</v>
      </c>
    </row>
    <row r="1254" spans="1:27" hidden="1" x14ac:dyDescent="0.25">
      <c r="A1254">
        <v>83</v>
      </c>
      <c r="B1254">
        <v>904</v>
      </c>
      <c r="C1254" t="s">
        <v>20</v>
      </c>
      <c r="D1254">
        <v>25114</v>
      </c>
      <c r="E1254">
        <f t="shared" si="39"/>
        <v>25114904</v>
      </c>
      <c r="F1254">
        <f>VLOOKUP(E1254,YieldData!D:F,2,FALSE)</f>
        <v>3</v>
      </c>
      <c r="G1254">
        <f>VLOOKUP($E1254,YieldData!$D:$F,3,FALSE)</f>
        <v>2</v>
      </c>
      <c r="H1254">
        <v>42</v>
      </c>
      <c r="I1254" t="s">
        <v>21</v>
      </c>
      <c r="J1254" t="s">
        <v>22</v>
      </c>
      <c r="K1254" s="2">
        <v>14143.342198009001</v>
      </c>
      <c r="L1254" s="2">
        <v>136692554.979756</v>
      </c>
      <c r="M1254" s="3">
        <v>8054.0140471406203</v>
      </c>
      <c r="N1254" s="3">
        <v>129892138.47957601</v>
      </c>
      <c r="O1254" s="4">
        <v>0.15599903095623699</v>
      </c>
      <c r="P1254" s="4">
        <v>5.4373301962749997E-2</v>
      </c>
      <c r="Q1254" s="5">
        <v>8054.0140471406203</v>
      </c>
      <c r="R1254" s="5">
        <v>129892138.47957601</v>
      </c>
      <c r="S1254" s="6">
        <v>0.40735461684213897</v>
      </c>
      <c r="T1254" s="6">
        <v>0.124802360757811</v>
      </c>
      <c r="U1254" s="7">
        <v>0.48544629944256501</v>
      </c>
      <c r="V1254" s="7">
        <v>0.249788189800289</v>
      </c>
      <c r="W1254" s="8">
        <v>0.62786093403353105</v>
      </c>
      <c r="X1254" s="8">
        <v>0.23365158154824101</v>
      </c>
      <c r="Y1254" s="2">
        <v>56</v>
      </c>
      <c r="Z1254" s="2">
        <f>VLOOKUP(E1254,YieldData!T:U,2,FALSE)</f>
        <v>1847.6765083440309</v>
      </c>
      <c r="AA1254">
        <f t="shared" si="38"/>
        <v>0.48544629944256501</v>
      </c>
    </row>
    <row r="1255" spans="1:27" hidden="1" x14ac:dyDescent="0.25">
      <c r="A1255">
        <v>84</v>
      </c>
      <c r="B1255">
        <v>905</v>
      </c>
      <c r="C1255" t="s">
        <v>20</v>
      </c>
      <c r="D1255">
        <v>25114</v>
      </c>
      <c r="E1255">
        <f t="shared" si="39"/>
        <v>25114905</v>
      </c>
      <c r="F1255">
        <f>VLOOKUP(E1255,YieldData!D:F,2,FALSE)</f>
        <v>2</v>
      </c>
      <c r="G1255">
        <f>VLOOKUP($E1255,YieldData!$D:$F,3,FALSE)</f>
        <v>2</v>
      </c>
      <c r="H1255">
        <v>42</v>
      </c>
      <c r="I1255" t="s">
        <v>21</v>
      </c>
      <c r="J1255" t="s">
        <v>22</v>
      </c>
      <c r="K1255" s="2">
        <v>18090.4135499615</v>
      </c>
      <c r="L1255" s="2">
        <v>193149020.523157</v>
      </c>
      <c r="M1255" s="3">
        <v>4506.3573842117903</v>
      </c>
      <c r="N1255" s="3">
        <v>106014349.979975</v>
      </c>
      <c r="O1255" s="4">
        <v>0.20448697007673799</v>
      </c>
      <c r="P1255" s="4">
        <v>3.3793228960830403E-2</v>
      </c>
      <c r="Q1255" s="5">
        <v>4506.3573842117903</v>
      </c>
      <c r="R1255" s="5">
        <v>106014349.979975</v>
      </c>
      <c r="S1255" s="6">
        <v>0.49146128477696499</v>
      </c>
      <c r="T1255" s="6">
        <v>9.4864761708349996E-2</v>
      </c>
      <c r="U1255" s="7">
        <v>0.57706139224248698</v>
      </c>
      <c r="V1255" s="7">
        <v>0.244061541825429</v>
      </c>
      <c r="W1255" s="8">
        <v>0.50087975033070897</v>
      </c>
      <c r="X1255" s="8">
        <v>0.24999922603903399</v>
      </c>
      <c r="Y1255" s="2">
        <v>34</v>
      </c>
      <c r="Z1255" s="2">
        <f>VLOOKUP(E1255,YieldData!T:U,2,FALSE)</f>
        <v>830.78947368421052</v>
      </c>
      <c r="AA1255">
        <f t="shared" si="38"/>
        <v>0.57706139224248698</v>
      </c>
    </row>
    <row r="1256" spans="1:27" hidden="1" x14ac:dyDescent="0.25">
      <c r="A1256">
        <v>85</v>
      </c>
      <c r="B1256">
        <v>906</v>
      </c>
      <c r="C1256" t="s">
        <v>20</v>
      </c>
      <c r="D1256">
        <v>25114</v>
      </c>
      <c r="E1256">
        <f t="shared" si="39"/>
        <v>25114906</v>
      </c>
      <c r="F1256">
        <f>VLOOKUP(E1256,YieldData!D:F,2,FALSE)</f>
        <v>1</v>
      </c>
      <c r="G1256">
        <f>VLOOKUP($E1256,YieldData!$D:$F,3,FALSE)</f>
        <v>2</v>
      </c>
      <c r="H1256">
        <v>42</v>
      </c>
      <c r="I1256" t="s">
        <v>21</v>
      </c>
      <c r="J1256" t="s">
        <v>22</v>
      </c>
      <c r="K1256" s="2">
        <v>18557.272564045801</v>
      </c>
      <c r="L1256" s="2">
        <v>135392449.85036299</v>
      </c>
      <c r="M1256" s="3">
        <v>3765.6548514876399</v>
      </c>
      <c r="N1256" s="3">
        <v>114068815.76494101</v>
      </c>
      <c r="O1256" s="4">
        <v>0.27525439603934898</v>
      </c>
      <c r="P1256" s="4">
        <v>3.9193411322521098E-2</v>
      </c>
      <c r="Q1256" s="5">
        <v>3765.6548514876399</v>
      </c>
      <c r="R1256" s="5">
        <v>114068815.76494101</v>
      </c>
      <c r="S1256" s="6">
        <v>0.566222423402994</v>
      </c>
      <c r="T1256" s="6">
        <v>8.8101057309512495E-2</v>
      </c>
      <c r="U1256" s="7">
        <v>0.66744298000234203</v>
      </c>
      <c r="V1256" s="7">
        <v>0.221962848448194</v>
      </c>
      <c r="W1256" s="8">
        <v>0.59080914401696605</v>
      </c>
      <c r="X1256" s="8">
        <v>0.24175369936312099</v>
      </c>
      <c r="Y1256" s="2">
        <v>38</v>
      </c>
      <c r="Z1256" s="2">
        <f>VLOOKUP(E1256,YieldData!T:U,2,FALSE)</f>
        <v>861.67522464698322</v>
      </c>
      <c r="AA1256">
        <f t="shared" si="38"/>
        <v>0.66744298000234203</v>
      </c>
    </row>
    <row r="1257" spans="1:27" hidden="1" x14ac:dyDescent="0.25">
      <c r="A1257">
        <v>86</v>
      </c>
      <c r="B1257">
        <v>907</v>
      </c>
      <c r="C1257" t="s">
        <v>20</v>
      </c>
      <c r="D1257">
        <v>25114</v>
      </c>
      <c r="E1257">
        <f t="shared" si="39"/>
        <v>25114907</v>
      </c>
      <c r="F1257">
        <f>VLOOKUP(E1257,YieldData!D:F,2,FALSE)</f>
        <v>1</v>
      </c>
      <c r="G1257">
        <f>VLOOKUP($E1257,YieldData!$D:$F,3,FALSE)</f>
        <v>3</v>
      </c>
      <c r="H1257">
        <v>42</v>
      </c>
      <c r="I1257" t="s">
        <v>21</v>
      </c>
      <c r="J1257" t="s">
        <v>22</v>
      </c>
      <c r="K1257" s="2">
        <v>23084.7393942378</v>
      </c>
      <c r="L1257" s="2">
        <v>138444991.35850599</v>
      </c>
      <c r="M1257" s="3">
        <v>241.50740333346101</v>
      </c>
      <c r="N1257" s="3">
        <v>75186345.823198006</v>
      </c>
      <c r="O1257" s="4">
        <v>0.33470410553748697</v>
      </c>
      <c r="P1257" s="4">
        <v>2.84007653207979E-2</v>
      </c>
      <c r="Q1257" s="5">
        <v>241.50740333346101</v>
      </c>
      <c r="R1257" s="5">
        <v>75186345.823198006</v>
      </c>
      <c r="S1257" s="6">
        <v>0.65866076164595999</v>
      </c>
      <c r="T1257" s="6">
        <v>5.73596300290697E-2</v>
      </c>
      <c r="U1257" s="7">
        <v>0.80336726028577399</v>
      </c>
      <c r="V1257" s="7">
        <v>0.157968305386434</v>
      </c>
      <c r="W1257" s="8">
        <v>0.81777903585098399</v>
      </c>
      <c r="X1257" s="8">
        <v>0.14901648437380799</v>
      </c>
      <c r="Y1257" s="2">
        <v>118</v>
      </c>
      <c r="Z1257" s="2">
        <f>VLOOKUP(E1257,YieldData!T:U,2,FALSE)</f>
        <v>684.6052631578948</v>
      </c>
      <c r="AA1257">
        <f t="shared" si="38"/>
        <v>0.80336726028577399</v>
      </c>
    </row>
    <row r="1258" spans="1:27" hidden="1" x14ac:dyDescent="0.25">
      <c r="A1258">
        <v>87</v>
      </c>
      <c r="B1258">
        <v>908</v>
      </c>
      <c r="C1258" t="s">
        <v>20</v>
      </c>
      <c r="D1258">
        <v>25114</v>
      </c>
      <c r="E1258">
        <f t="shared" si="39"/>
        <v>25114908</v>
      </c>
      <c r="F1258">
        <f>VLOOKUP(E1258,YieldData!D:F,2,FALSE)</f>
        <v>2</v>
      </c>
      <c r="G1258">
        <f>VLOOKUP($E1258,YieldData!$D:$F,3,FALSE)</f>
        <v>3</v>
      </c>
      <c r="H1258">
        <v>42</v>
      </c>
      <c r="I1258" t="s">
        <v>21</v>
      </c>
      <c r="J1258" t="s">
        <v>22</v>
      </c>
      <c r="K1258" s="2">
        <v>17235.101170243801</v>
      </c>
      <c r="L1258" s="2">
        <v>99353622.512830302</v>
      </c>
      <c r="M1258" s="3">
        <v>3716.9197681056498</v>
      </c>
      <c r="N1258" s="3">
        <v>101586074.582976</v>
      </c>
      <c r="O1258" s="4">
        <v>0.33927396981587699</v>
      </c>
      <c r="P1258" s="4">
        <v>4.4424602550463099E-2</v>
      </c>
      <c r="Q1258" s="5">
        <v>3716.9197681056498</v>
      </c>
      <c r="R1258" s="5">
        <v>101586074.582976</v>
      </c>
      <c r="S1258" s="6">
        <v>0.61526480792636196</v>
      </c>
      <c r="T1258" s="6">
        <v>8.1469909804807394E-2</v>
      </c>
      <c r="U1258" s="7">
        <v>0.70041031368359696</v>
      </c>
      <c r="V1258" s="7">
        <v>0.20983570616897801</v>
      </c>
      <c r="W1258" s="8">
        <v>0.73574255262327304</v>
      </c>
      <c r="X1258" s="8">
        <v>0.19442544888295901</v>
      </c>
      <c r="Y1258" s="2">
        <v>70</v>
      </c>
      <c r="Z1258" s="2">
        <f>VLOOKUP(E1258,YieldData!T:U,2,FALSE)</f>
        <v>766.58536585365857</v>
      </c>
      <c r="AA1258">
        <f t="shared" si="38"/>
        <v>0.70041031368359696</v>
      </c>
    </row>
    <row r="1259" spans="1:27" hidden="1" x14ac:dyDescent="0.25">
      <c r="A1259">
        <v>88</v>
      </c>
      <c r="B1259">
        <v>909</v>
      </c>
      <c r="C1259" t="s">
        <v>20</v>
      </c>
      <c r="D1259">
        <v>25114</v>
      </c>
      <c r="E1259">
        <f t="shared" si="39"/>
        <v>25114909</v>
      </c>
      <c r="F1259">
        <f>VLOOKUP(E1259,YieldData!D:F,2,FALSE)</f>
        <v>3</v>
      </c>
      <c r="G1259">
        <f>VLOOKUP($E1259,YieldData!$D:$F,3,FALSE)</f>
        <v>3</v>
      </c>
      <c r="H1259">
        <v>42</v>
      </c>
      <c r="I1259" t="s">
        <v>21</v>
      </c>
      <c r="J1259" t="s">
        <v>22</v>
      </c>
      <c r="K1259" s="2">
        <v>17495.582711193001</v>
      </c>
      <c r="L1259" s="2">
        <v>106262307.91829599</v>
      </c>
      <c r="M1259" s="3">
        <v>2411.3704022349598</v>
      </c>
      <c r="N1259" s="3">
        <v>82504342.595029697</v>
      </c>
      <c r="O1259" s="4">
        <v>0.36362228936857299</v>
      </c>
      <c r="P1259" s="4">
        <v>3.7721872961512103E-2</v>
      </c>
      <c r="Q1259" s="5">
        <v>2411.3704022349598</v>
      </c>
      <c r="R1259" s="5">
        <v>82504342.595029697</v>
      </c>
      <c r="S1259" s="6">
        <v>0.64545004260618699</v>
      </c>
      <c r="T1259" s="6">
        <v>6.9613513192734899E-2</v>
      </c>
      <c r="U1259" s="7">
        <v>0.73401941908943602</v>
      </c>
      <c r="V1259" s="7">
        <v>0.195234911489165</v>
      </c>
      <c r="W1259" s="8">
        <v>0.69088617064014302</v>
      </c>
      <c r="X1259" s="8">
        <v>0.213562469858392</v>
      </c>
      <c r="Y1259" s="2">
        <v>70</v>
      </c>
      <c r="Z1259" s="2">
        <f>VLOOKUP(E1259,YieldData!T:U,2,FALSE)</f>
        <v>1461.7875481386391</v>
      </c>
      <c r="AA1259">
        <f t="shared" si="38"/>
        <v>0.73401941908943602</v>
      </c>
    </row>
    <row r="1260" spans="1:27" hidden="1" x14ac:dyDescent="0.25">
      <c r="A1260">
        <v>89</v>
      </c>
      <c r="B1260">
        <v>910</v>
      </c>
      <c r="C1260" t="s">
        <v>20</v>
      </c>
      <c r="D1260" t="s">
        <v>100</v>
      </c>
      <c r="E1260" t="e">
        <f t="shared" si="39"/>
        <v>#VALUE!</v>
      </c>
      <c r="H1260">
        <v>42</v>
      </c>
      <c r="I1260" t="s">
        <v>21</v>
      </c>
      <c r="J1260" t="s">
        <v>22</v>
      </c>
      <c r="K1260" s="2">
        <v>13154.5630941401</v>
      </c>
      <c r="L1260" s="2">
        <v>96689690.162148103</v>
      </c>
      <c r="M1260" s="3">
        <v>5917.9385788835898</v>
      </c>
      <c r="N1260" s="3">
        <v>120716245.03876901</v>
      </c>
      <c r="O1260" s="4">
        <v>0.26655529969980202</v>
      </c>
      <c r="P1260" s="4">
        <v>6.9304271143372995E-2</v>
      </c>
      <c r="Q1260" s="5">
        <v>5917.9385788835898</v>
      </c>
      <c r="R1260" s="5">
        <v>120716245.03876901</v>
      </c>
      <c r="S1260" s="6">
        <v>0.51642999673243095</v>
      </c>
      <c r="T1260" s="6">
        <v>0.118573249589321</v>
      </c>
      <c r="U1260" s="7">
        <v>0.58322572711061904</v>
      </c>
      <c r="V1260" s="7">
        <v>0.24307347834685999</v>
      </c>
      <c r="W1260" s="8">
        <v>0.69033241917036603</v>
      </c>
      <c r="X1260" s="8">
        <v>0.213773570212938</v>
      </c>
      <c r="Y1260" s="2">
        <v>56</v>
      </c>
      <c r="Z1260" s="2" t="e">
        <f>VLOOKUP(E1260,YieldData!T:U,2,FALSE)</f>
        <v>#VALUE!</v>
      </c>
      <c r="AA1260">
        <f t="shared" si="38"/>
        <v>0.913534329143595</v>
      </c>
    </row>
    <row r="1261" spans="1:27" hidden="1" x14ac:dyDescent="0.25">
      <c r="A1261">
        <v>90</v>
      </c>
      <c r="B1261">
        <v>810</v>
      </c>
      <c r="C1261" t="s">
        <v>20</v>
      </c>
      <c r="D1261" t="s">
        <v>100</v>
      </c>
      <c r="E1261" t="e">
        <f t="shared" si="39"/>
        <v>#VALUE!</v>
      </c>
      <c r="H1261">
        <v>42</v>
      </c>
      <c r="I1261" t="s">
        <v>21</v>
      </c>
      <c r="J1261" t="s">
        <v>22</v>
      </c>
      <c r="K1261" s="2">
        <v>18033.381602456</v>
      </c>
      <c r="L1261" s="2">
        <v>140762958.98776299</v>
      </c>
      <c r="M1261" s="3">
        <v>3641.8710843797098</v>
      </c>
      <c r="N1261" s="3">
        <v>110673443.23856001</v>
      </c>
      <c r="O1261" s="4">
        <v>0.24515425204073801</v>
      </c>
      <c r="P1261" s="4">
        <v>4.68749236423961E-2</v>
      </c>
      <c r="Q1261" s="5">
        <v>3641.8710843797098</v>
      </c>
      <c r="R1261" s="5">
        <v>110673443.23856001</v>
      </c>
      <c r="S1261" s="6">
        <v>0.54169051677623103</v>
      </c>
      <c r="T1261" s="6">
        <v>0.10065785753680501</v>
      </c>
      <c r="U1261" s="7">
        <v>0.64000100656785497</v>
      </c>
      <c r="V1261" s="7">
        <v>0.23039971816000801</v>
      </c>
      <c r="W1261" s="8">
        <v>0.61413706765309095</v>
      </c>
      <c r="X1261" s="8">
        <v>0.236972729787644</v>
      </c>
      <c r="Y1261" s="2">
        <v>50</v>
      </c>
      <c r="Z1261" s="2" t="e">
        <f>VLOOKUP(E1261,YieldData!T:U,2,FALSE)</f>
        <v>#VALUE!</v>
      </c>
      <c r="AA1261">
        <f t="shared" si="38"/>
        <v>0.913534329143595</v>
      </c>
    </row>
    <row r="1262" spans="1:27" hidden="1" x14ac:dyDescent="0.25">
      <c r="A1262">
        <v>93</v>
      </c>
      <c r="B1262">
        <v>101</v>
      </c>
      <c r="C1262" t="s">
        <v>23</v>
      </c>
      <c r="D1262">
        <v>25107</v>
      </c>
      <c r="E1262">
        <f t="shared" si="39"/>
        <v>25107101</v>
      </c>
      <c r="F1262">
        <f>VLOOKUP(E1262,YieldData!D:F,2,FALSE)</f>
        <v>1</v>
      </c>
      <c r="G1262">
        <f>VLOOKUP($E1262,YieldData!$D:$F,3,FALSE)</f>
        <v>1</v>
      </c>
      <c r="H1262">
        <v>42</v>
      </c>
      <c r="I1262" t="s">
        <v>24</v>
      </c>
      <c r="J1262" t="s">
        <v>25</v>
      </c>
      <c r="K1262" s="2">
        <v>9097.3277400373208</v>
      </c>
      <c r="L1262" s="2">
        <v>70294683.632635698</v>
      </c>
      <c r="M1262" s="3">
        <v>10625.4961984495</v>
      </c>
      <c r="N1262" s="3">
        <v>84243270.792971402</v>
      </c>
      <c r="O1262" s="4">
        <v>0.166459513671847</v>
      </c>
      <c r="P1262" s="4">
        <v>4.13708995810253E-2</v>
      </c>
      <c r="Q1262" s="5">
        <v>10625.4961984495</v>
      </c>
      <c r="R1262" s="5">
        <v>84243270.792971402</v>
      </c>
      <c r="S1262" s="6">
        <v>0.373342668424823</v>
      </c>
      <c r="T1262" s="6">
        <v>9.5222233299891504E-2</v>
      </c>
      <c r="U1262" s="7">
        <v>0.390075587236282</v>
      </c>
      <c r="V1262" s="7">
        <v>0.237916623478447</v>
      </c>
      <c r="W1262" s="8">
        <v>0.87470098555162201</v>
      </c>
      <c r="X1262" s="8">
        <v>0.10959917142665</v>
      </c>
      <c r="Y1262" s="2">
        <v>110</v>
      </c>
      <c r="Z1262" s="2">
        <f>VLOOKUP(E1262,YieldData!T:U,2,FALSE)</f>
        <v>1035.2455070603337</v>
      </c>
      <c r="AA1262">
        <f t="shared" si="38"/>
        <v>0.390075587236282</v>
      </c>
    </row>
    <row r="1263" spans="1:27" hidden="1" x14ac:dyDescent="0.25">
      <c r="A1263">
        <v>94</v>
      </c>
      <c r="B1263">
        <v>102</v>
      </c>
      <c r="C1263" t="s">
        <v>23</v>
      </c>
      <c r="D1263">
        <v>25107</v>
      </c>
      <c r="E1263">
        <f t="shared" si="39"/>
        <v>25107102</v>
      </c>
      <c r="F1263">
        <f>VLOOKUP(E1263,YieldData!D:F,2,FALSE)</f>
        <v>2</v>
      </c>
      <c r="G1263">
        <f>VLOOKUP($E1263,YieldData!$D:$F,3,FALSE)</f>
        <v>1</v>
      </c>
      <c r="H1263">
        <v>42</v>
      </c>
      <c r="I1263" t="s">
        <v>24</v>
      </c>
      <c r="J1263" t="s">
        <v>25</v>
      </c>
      <c r="K1263" s="2">
        <v>14668.503020009801</v>
      </c>
      <c r="L1263" s="2">
        <v>119416469.49392501</v>
      </c>
      <c r="M1263" s="3">
        <v>6624.4432279394196</v>
      </c>
      <c r="N1263" s="3">
        <v>98935133.3459768</v>
      </c>
      <c r="O1263" s="4">
        <v>0.24413146698556301</v>
      </c>
      <c r="P1263" s="4">
        <v>3.9362650443334701E-2</v>
      </c>
      <c r="Q1263" s="5">
        <v>6624.4432279394196</v>
      </c>
      <c r="R1263" s="5">
        <v>98935133.3459768</v>
      </c>
      <c r="S1263" s="6">
        <v>0.50520219150929302</v>
      </c>
      <c r="T1263" s="6">
        <v>9.4223160966457095E-2</v>
      </c>
      <c r="U1263" s="7">
        <v>0.56265473812627798</v>
      </c>
      <c r="V1263" s="7">
        <v>0.24607438379036101</v>
      </c>
      <c r="W1263" s="8">
        <v>0.80553794629507802</v>
      </c>
      <c r="X1263" s="8">
        <v>0.156646563374159</v>
      </c>
      <c r="Y1263" s="2">
        <v>100</v>
      </c>
      <c r="Z1263" s="2">
        <f>VLOOKUP(E1263,YieldData!T:U,2,FALSE)</f>
        <v>1326.2869062901154</v>
      </c>
      <c r="AA1263">
        <f t="shared" si="38"/>
        <v>0.56265473812627798</v>
      </c>
    </row>
    <row r="1264" spans="1:27" hidden="1" x14ac:dyDescent="0.25">
      <c r="A1264">
        <v>95</v>
      </c>
      <c r="B1264">
        <v>103</v>
      </c>
      <c r="C1264" t="s">
        <v>23</v>
      </c>
      <c r="D1264">
        <v>25107</v>
      </c>
      <c r="E1264">
        <f t="shared" si="39"/>
        <v>25107103</v>
      </c>
      <c r="F1264">
        <f>VLOOKUP(E1264,YieldData!D:F,2,FALSE)</f>
        <v>3</v>
      </c>
      <c r="G1264">
        <f>VLOOKUP($E1264,YieldData!$D:$F,3,FALSE)</f>
        <v>1</v>
      </c>
      <c r="H1264">
        <v>42</v>
      </c>
      <c r="I1264" t="s">
        <v>24</v>
      </c>
      <c r="J1264" t="s">
        <v>25</v>
      </c>
      <c r="K1264" s="2">
        <v>12983.7566019232</v>
      </c>
      <c r="L1264" s="2">
        <v>118945131.332747</v>
      </c>
      <c r="M1264" s="3">
        <v>8880.0766708401097</v>
      </c>
      <c r="N1264" s="3">
        <v>117014211.633047</v>
      </c>
      <c r="O1264" s="4">
        <v>0.186303663589718</v>
      </c>
      <c r="P1264" s="4">
        <v>4.3019946305159498E-2</v>
      </c>
      <c r="Q1264" s="5">
        <v>8880.0766708401097</v>
      </c>
      <c r="R1264" s="5">
        <v>117014211.633047</v>
      </c>
      <c r="S1264" s="6">
        <v>0.43018209697175902</v>
      </c>
      <c r="T1264" s="6">
        <v>0.10286776944345501</v>
      </c>
      <c r="U1264" s="7">
        <v>0.45615461895421699</v>
      </c>
      <c r="V1264" s="7">
        <v>0.24807758256118501</v>
      </c>
      <c r="W1264" s="8">
        <v>0.76645059439806695</v>
      </c>
      <c r="X1264" s="8">
        <v>0.179004080745261</v>
      </c>
      <c r="Y1264" s="2">
        <v>70</v>
      </c>
      <c r="Z1264" s="2">
        <f>VLOOKUP(E1264,YieldData!T:U,2,FALSE)</f>
        <v>2390.8279845956354</v>
      </c>
      <c r="AA1264">
        <f t="shared" si="38"/>
        <v>0.45615461895421699</v>
      </c>
    </row>
    <row r="1265" spans="1:27" hidden="1" x14ac:dyDescent="0.25">
      <c r="A1265">
        <v>96</v>
      </c>
      <c r="B1265">
        <v>104</v>
      </c>
      <c r="C1265" t="s">
        <v>23</v>
      </c>
      <c r="D1265">
        <v>25107</v>
      </c>
      <c r="E1265">
        <f t="shared" si="39"/>
        <v>25107104</v>
      </c>
      <c r="F1265">
        <f>VLOOKUP(E1265,YieldData!D:F,2,FALSE)</f>
        <v>4</v>
      </c>
      <c r="G1265">
        <f>VLOOKUP($E1265,YieldData!$D:$F,3,FALSE)</f>
        <v>1</v>
      </c>
      <c r="H1265">
        <v>42</v>
      </c>
      <c r="I1265" t="s">
        <v>24</v>
      </c>
      <c r="J1265" t="s">
        <v>25</v>
      </c>
      <c r="K1265" s="2">
        <v>12947.8939625891</v>
      </c>
      <c r="L1265" s="2">
        <v>127815028.810481</v>
      </c>
      <c r="M1265" s="3">
        <v>8591.8284609046696</v>
      </c>
      <c r="N1265" s="3">
        <v>110442596.411138</v>
      </c>
      <c r="O1265" s="4">
        <v>0.185686086208527</v>
      </c>
      <c r="P1265" s="4">
        <v>4.0292581906196001E-2</v>
      </c>
      <c r="Q1265" s="5">
        <v>8591.8284609046696</v>
      </c>
      <c r="R1265" s="5">
        <v>110442596.411138</v>
      </c>
      <c r="S1265" s="6">
        <v>0.43154968629998602</v>
      </c>
      <c r="T1265" s="6">
        <v>9.7787387794187303E-2</v>
      </c>
      <c r="U1265" s="7">
        <v>0.44924173563603298</v>
      </c>
      <c r="V1265" s="7">
        <v>0.24742359859851401</v>
      </c>
      <c r="W1265" s="8">
        <v>0.57299689069600601</v>
      </c>
      <c r="X1265" s="8">
        <v>0.244671453948762</v>
      </c>
      <c r="Y1265" s="2">
        <v>40</v>
      </c>
      <c r="Z1265" s="2">
        <f>VLOOKUP(E1265,YieldData!T:U,2,FALSE)</f>
        <v>2488.1899871630299</v>
      </c>
      <c r="AA1265">
        <f t="shared" si="38"/>
        <v>0.44924173563603298</v>
      </c>
    </row>
    <row r="1266" spans="1:27" hidden="1" x14ac:dyDescent="0.25">
      <c r="A1266">
        <v>97</v>
      </c>
      <c r="B1266">
        <v>105</v>
      </c>
      <c r="C1266" t="s">
        <v>23</v>
      </c>
      <c r="D1266">
        <v>25107</v>
      </c>
      <c r="E1266">
        <f t="shared" si="39"/>
        <v>25107105</v>
      </c>
      <c r="F1266">
        <f>VLOOKUP(E1266,YieldData!D:F,2,FALSE)</f>
        <v>5</v>
      </c>
      <c r="G1266">
        <f>VLOOKUP($E1266,YieldData!$D:$F,3,FALSE)</f>
        <v>1</v>
      </c>
      <c r="H1266">
        <v>42</v>
      </c>
      <c r="I1266" t="s">
        <v>24</v>
      </c>
      <c r="J1266" t="s">
        <v>25</v>
      </c>
      <c r="K1266" s="2">
        <v>12638.5712577142</v>
      </c>
      <c r="L1266" s="2">
        <v>101177498.42642701</v>
      </c>
      <c r="M1266" s="3">
        <v>7593.3496602338901</v>
      </c>
      <c r="N1266" s="3">
        <v>100234571.93599799</v>
      </c>
      <c r="O1266" s="4">
        <v>0.21014557540552201</v>
      </c>
      <c r="P1266" s="4">
        <v>4.32999129519148E-2</v>
      </c>
      <c r="Q1266" s="5">
        <v>7593.3496602338901</v>
      </c>
      <c r="R1266" s="5">
        <v>100234571.93599799</v>
      </c>
      <c r="S1266" s="6">
        <v>0.463747141216443</v>
      </c>
      <c r="T1266" s="6">
        <v>9.7902047833006794E-2</v>
      </c>
      <c r="U1266" s="7">
        <v>0.49696215854183601</v>
      </c>
      <c r="V1266" s="7">
        <v>0.249990771519285</v>
      </c>
      <c r="W1266" s="8">
        <v>0.52624088027747895</v>
      </c>
      <c r="X1266" s="8">
        <v>0.249311416202043</v>
      </c>
      <c r="Y1266" s="2">
        <v>34</v>
      </c>
      <c r="Z1266" s="2">
        <f>VLOOKUP(E1266,YieldData!T:U,2,FALSE)</f>
        <v>2505.2118100128368</v>
      </c>
      <c r="AA1266">
        <f t="shared" si="38"/>
        <v>0.49696215854183601</v>
      </c>
    </row>
    <row r="1267" spans="1:27" hidden="1" x14ac:dyDescent="0.25">
      <c r="A1267">
        <v>98</v>
      </c>
      <c r="B1267">
        <v>106</v>
      </c>
      <c r="C1267" t="s">
        <v>23</v>
      </c>
      <c r="D1267">
        <v>25107</v>
      </c>
      <c r="E1267">
        <f t="shared" si="39"/>
        <v>25107106</v>
      </c>
      <c r="F1267">
        <f>VLOOKUP(E1267,YieldData!D:F,2,FALSE)</f>
        <v>6</v>
      </c>
      <c r="G1267">
        <f>VLOOKUP($E1267,YieldData!$D:$F,3,FALSE)</f>
        <v>1</v>
      </c>
      <c r="H1267">
        <v>42</v>
      </c>
      <c r="I1267" t="s">
        <v>24</v>
      </c>
      <c r="J1267" t="s">
        <v>25</v>
      </c>
      <c r="K1267" s="2">
        <v>12602.466795787401</v>
      </c>
      <c r="L1267" s="2">
        <v>154089295.71804199</v>
      </c>
      <c r="M1267" s="3">
        <v>9162.1014000192699</v>
      </c>
      <c r="N1267" s="3">
        <v>102384402.012205</v>
      </c>
      <c r="O1267" s="4">
        <v>0.120361106734343</v>
      </c>
      <c r="P1267" s="4">
        <v>3.31084279083406E-2</v>
      </c>
      <c r="Q1267" s="5">
        <v>9162.1014000192699</v>
      </c>
      <c r="R1267" s="5">
        <v>102384402.012205</v>
      </c>
      <c r="S1267" s="6">
        <v>0.37033318036589202</v>
      </c>
      <c r="T1267" s="6">
        <v>9.6273117313641896E-2</v>
      </c>
      <c r="U1267" s="7">
        <v>0.39903159423798601</v>
      </c>
      <c r="V1267" s="7">
        <v>0.239805381037721</v>
      </c>
      <c r="W1267" s="8">
        <v>0.62563388804841102</v>
      </c>
      <c r="X1267" s="8">
        <v>0.23421612617418</v>
      </c>
      <c r="Y1267" s="2">
        <v>32</v>
      </c>
      <c r="Z1267" s="2">
        <f>VLOOKUP(E1267,YieldData!T:U,2,FALSE)</f>
        <v>2315.9114249037225</v>
      </c>
      <c r="AA1267">
        <f t="shared" si="38"/>
        <v>0.39903159423798601</v>
      </c>
    </row>
    <row r="1268" spans="1:27" hidden="1" x14ac:dyDescent="0.25">
      <c r="A1268">
        <v>99</v>
      </c>
      <c r="B1268">
        <v>107</v>
      </c>
      <c r="C1268" t="s">
        <v>23</v>
      </c>
      <c r="D1268">
        <v>25107</v>
      </c>
      <c r="E1268">
        <f t="shared" si="39"/>
        <v>25107107</v>
      </c>
      <c r="F1268">
        <f>VLOOKUP(E1268,YieldData!D:F,2,FALSE)</f>
        <v>7</v>
      </c>
      <c r="G1268">
        <f>VLOOKUP($E1268,YieldData!$D:$F,3,FALSE)</f>
        <v>1</v>
      </c>
      <c r="H1268">
        <v>42</v>
      </c>
      <c r="I1268" t="s">
        <v>24</v>
      </c>
      <c r="J1268" t="s">
        <v>25</v>
      </c>
      <c r="K1268" s="2">
        <v>11293.4726079501</v>
      </c>
      <c r="L1268" s="2">
        <v>98936991.109084398</v>
      </c>
      <c r="M1268" s="3">
        <v>7983.1365698992604</v>
      </c>
      <c r="N1268" s="3">
        <v>85304963.006291404</v>
      </c>
      <c r="O1268" s="4">
        <v>0.178137229640557</v>
      </c>
      <c r="P1268" s="4">
        <v>3.9256347198804303E-2</v>
      </c>
      <c r="Q1268" s="5">
        <v>7983.1365698992604</v>
      </c>
      <c r="R1268" s="5">
        <v>85304963.006291404</v>
      </c>
      <c r="S1268" s="6">
        <v>0.431559342628003</v>
      </c>
      <c r="T1268" s="6">
        <v>9.6562435653885795E-2</v>
      </c>
      <c r="U1268" s="7">
        <v>0.46002398174293102</v>
      </c>
      <c r="V1268" s="7">
        <v>0.248401917964403</v>
      </c>
      <c r="W1268" s="8">
        <v>0.84095978545365502</v>
      </c>
      <c r="X1268" s="8">
        <v>0.133746424703202</v>
      </c>
      <c r="Y1268" s="2">
        <v>80</v>
      </c>
      <c r="Z1268" s="2">
        <f>VLOOKUP(E1268,YieldData!T:U,2,FALSE)</f>
        <v>2008.0359435173295</v>
      </c>
      <c r="AA1268">
        <f t="shared" si="38"/>
        <v>0.46002398174293102</v>
      </c>
    </row>
    <row r="1269" spans="1:27" hidden="1" x14ac:dyDescent="0.25">
      <c r="A1269">
        <v>100</v>
      </c>
      <c r="B1269">
        <v>108</v>
      </c>
      <c r="C1269" t="s">
        <v>23</v>
      </c>
      <c r="D1269">
        <v>25107</v>
      </c>
      <c r="E1269">
        <f t="shared" si="39"/>
        <v>25107108</v>
      </c>
      <c r="F1269">
        <f>VLOOKUP(E1269,YieldData!D:F,2,FALSE)</f>
        <v>4</v>
      </c>
      <c r="G1269">
        <f>VLOOKUP($E1269,YieldData!$D:$F,3,FALSE)</f>
        <v>2</v>
      </c>
      <c r="H1269">
        <v>42</v>
      </c>
      <c r="I1269" t="s">
        <v>24</v>
      </c>
      <c r="J1269" t="s">
        <v>25</v>
      </c>
      <c r="K1269" s="2">
        <v>14095.732727381401</v>
      </c>
      <c r="L1269" s="2">
        <v>136586580.321747</v>
      </c>
      <c r="M1269" s="3">
        <v>6799.0216354164104</v>
      </c>
      <c r="N1269" s="3">
        <v>98510986.663927197</v>
      </c>
      <c r="O1269" s="4">
        <v>0.198149149201441</v>
      </c>
      <c r="P1269" s="4">
        <v>3.78504926490306E-2</v>
      </c>
      <c r="Q1269" s="5">
        <v>6799.0216354164104</v>
      </c>
      <c r="R1269" s="5">
        <v>98510986.663927197</v>
      </c>
      <c r="S1269" s="6">
        <v>0.473044739987319</v>
      </c>
      <c r="T1269" s="6">
        <v>9.4589379037899393E-2</v>
      </c>
      <c r="U1269" s="7">
        <v>0.50343837828140903</v>
      </c>
      <c r="V1269" s="7">
        <v>0.24998817755478001</v>
      </c>
      <c r="W1269" s="8">
        <v>0.71553456110978197</v>
      </c>
      <c r="X1269" s="8">
        <v>0.20354485296685401</v>
      </c>
      <c r="Y1269" s="2">
        <v>60</v>
      </c>
      <c r="Z1269" s="2">
        <f>VLOOKUP(E1269,YieldData!T:U,2,FALSE)</f>
        <v>2547.5978818998715</v>
      </c>
      <c r="AA1269">
        <f t="shared" si="38"/>
        <v>0.50343837828140903</v>
      </c>
    </row>
    <row r="1270" spans="1:27" hidden="1" x14ac:dyDescent="0.25">
      <c r="A1270">
        <v>101</v>
      </c>
      <c r="B1270">
        <v>109</v>
      </c>
      <c r="C1270" t="s">
        <v>23</v>
      </c>
      <c r="D1270">
        <v>25107</v>
      </c>
      <c r="E1270">
        <f t="shared" si="39"/>
        <v>25107109</v>
      </c>
      <c r="F1270">
        <f>VLOOKUP(E1270,YieldData!D:F,2,FALSE)</f>
        <v>2</v>
      </c>
      <c r="G1270">
        <f>VLOOKUP($E1270,YieldData!$D:$F,3,FALSE)</f>
        <v>2</v>
      </c>
      <c r="H1270">
        <v>42</v>
      </c>
      <c r="I1270" t="s">
        <v>24</v>
      </c>
      <c r="J1270" t="s">
        <v>25</v>
      </c>
      <c r="K1270" s="2">
        <v>12393.4481546153</v>
      </c>
      <c r="L1270" s="2">
        <v>154141167.04122001</v>
      </c>
      <c r="M1270" s="3">
        <v>9213.2846382605603</v>
      </c>
      <c r="N1270" s="3">
        <v>112583483.471799</v>
      </c>
      <c r="O1270" s="4">
        <v>0.130080567951007</v>
      </c>
      <c r="P1270" s="4">
        <v>3.8087948953285003E-2</v>
      </c>
      <c r="Q1270" s="5">
        <v>9213.2846382605603</v>
      </c>
      <c r="R1270" s="5">
        <v>112583483.471799</v>
      </c>
      <c r="S1270" s="6">
        <v>0.38247875934402797</v>
      </c>
      <c r="T1270" s="6">
        <v>9.6924160545735799E-2</v>
      </c>
      <c r="U1270" s="7">
        <v>0.39993302556988097</v>
      </c>
      <c r="V1270" s="7">
        <v>0.23998660062806801</v>
      </c>
      <c r="W1270" s="8">
        <v>0.69452518510544103</v>
      </c>
      <c r="X1270" s="8">
        <v>0.21215995235964899</v>
      </c>
      <c r="Y1270" s="2">
        <v>46</v>
      </c>
      <c r="Z1270" s="2">
        <f>VLOOKUP(E1270,YieldData!T:U,2,FALSE)</f>
        <v>1584.2105263157894</v>
      </c>
      <c r="AA1270">
        <f t="shared" si="38"/>
        <v>0.39993302556988097</v>
      </c>
    </row>
    <row r="1271" spans="1:27" hidden="1" x14ac:dyDescent="0.25">
      <c r="A1271">
        <v>102</v>
      </c>
      <c r="B1271">
        <v>110</v>
      </c>
      <c r="C1271" t="s">
        <v>23</v>
      </c>
      <c r="D1271">
        <v>25107</v>
      </c>
      <c r="E1271">
        <f t="shared" si="39"/>
        <v>25107110</v>
      </c>
      <c r="F1271">
        <f>VLOOKUP(E1271,YieldData!D:F,2,FALSE)</f>
        <v>1</v>
      </c>
      <c r="G1271">
        <f>VLOOKUP($E1271,YieldData!$D:$F,3,FALSE)</f>
        <v>2</v>
      </c>
      <c r="H1271">
        <v>42</v>
      </c>
      <c r="I1271" t="s">
        <v>24</v>
      </c>
      <c r="J1271" t="s">
        <v>25</v>
      </c>
      <c r="K1271" s="2">
        <v>16456.990563216899</v>
      </c>
      <c r="L1271" s="2">
        <v>188881883.42022601</v>
      </c>
      <c r="M1271" s="3">
        <v>6131.1418321403798</v>
      </c>
      <c r="N1271" s="3">
        <v>110708201.998144</v>
      </c>
      <c r="O1271" s="4">
        <v>0.198028139931402</v>
      </c>
      <c r="P1271" s="4">
        <v>3.5198069624117798E-2</v>
      </c>
      <c r="Q1271" s="5">
        <v>6131.1418321403798</v>
      </c>
      <c r="R1271" s="5">
        <v>110708201.998144</v>
      </c>
      <c r="S1271" s="6">
        <v>0.48979866387147297</v>
      </c>
      <c r="T1271" s="6">
        <v>9.0870300134684404E-2</v>
      </c>
      <c r="U1271" s="7">
        <v>0.54967766627994596</v>
      </c>
      <c r="V1271" s="7">
        <v>0.24753212947282299</v>
      </c>
      <c r="W1271" s="8">
        <v>0.65830293607606305</v>
      </c>
      <c r="X1271" s="8">
        <v>0.22494018042948899</v>
      </c>
      <c r="Y1271" s="2">
        <v>50</v>
      </c>
      <c r="Z1271" s="2">
        <f>VLOOKUP(E1271,YieldData!T:U,2,FALSE)</f>
        <v>1585.0449293966622</v>
      </c>
      <c r="AA1271">
        <f t="shared" si="38"/>
        <v>0.54967766627994596</v>
      </c>
    </row>
    <row r="1272" spans="1:27" hidden="1" x14ac:dyDescent="0.25">
      <c r="A1272">
        <v>103</v>
      </c>
      <c r="B1272">
        <v>111</v>
      </c>
      <c r="C1272" t="s">
        <v>23</v>
      </c>
      <c r="D1272">
        <v>25107</v>
      </c>
      <c r="E1272">
        <f t="shared" si="39"/>
        <v>25107111</v>
      </c>
      <c r="F1272">
        <f>VLOOKUP(E1272,YieldData!D:F,2,FALSE)</f>
        <v>5</v>
      </c>
      <c r="G1272">
        <f>VLOOKUP($E1272,YieldData!$D:$F,3,FALSE)</f>
        <v>2</v>
      </c>
      <c r="H1272">
        <v>42</v>
      </c>
      <c r="I1272" t="s">
        <v>24</v>
      </c>
      <c r="J1272" t="s">
        <v>25</v>
      </c>
      <c r="K1272" s="2">
        <v>13851.7686703537</v>
      </c>
      <c r="L1272" s="2">
        <v>137497246.11149701</v>
      </c>
      <c r="M1272" s="3">
        <v>6326.4645539246903</v>
      </c>
      <c r="N1272" s="3">
        <v>105293870.608887</v>
      </c>
      <c r="O1272" s="4">
        <v>0.22462089014018399</v>
      </c>
      <c r="P1272" s="4">
        <v>4.2756779481138797E-2</v>
      </c>
      <c r="Q1272" s="5">
        <v>6326.4645539246903</v>
      </c>
      <c r="R1272" s="5">
        <v>105293870.608887</v>
      </c>
      <c r="S1272" s="6">
        <v>0.49796150349965501</v>
      </c>
      <c r="T1272" s="6">
        <v>9.2120983138477899E-2</v>
      </c>
      <c r="U1272" s="7">
        <v>0.53001900013312198</v>
      </c>
      <c r="V1272" s="7">
        <v>0.249098859631077</v>
      </c>
      <c r="W1272" s="8">
        <v>0.49790663343094299</v>
      </c>
      <c r="X1272" s="8">
        <v>0.24999561781618301</v>
      </c>
      <c r="Y1272" s="2">
        <v>32</v>
      </c>
      <c r="Z1272" s="2">
        <f>VLOOKUP(E1272,YieldData!T:U,2,FALSE)</f>
        <v>2037.9974326059053</v>
      </c>
      <c r="AA1272">
        <f t="shared" si="38"/>
        <v>0.53001900013312198</v>
      </c>
    </row>
    <row r="1273" spans="1:27" hidden="1" x14ac:dyDescent="0.25">
      <c r="A1273">
        <v>104</v>
      </c>
      <c r="B1273">
        <v>112</v>
      </c>
      <c r="C1273" t="s">
        <v>23</v>
      </c>
      <c r="D1273">
        <v>25107</v>
      </c>
      <c r="E1273">
        <f t="shared" si="39"/>
        <v>25107112</v>
      </c>
      <c r="F1273">
        <f>VLOOKUP(E1273,YieldData!D:F,2,FALSE)</f>
        <v>3</v>
      </c>
      <c r="G1273">
        <f>VLOOKUP($E1273,YieldData!$D:$F,3,FALSE)</f>
        <v>2</v>
      </c>
      <c r="H1273">
        <v>42</v>
      </c>
      <c r="I1273" t="s">
        <v>24</v>
      </c>
      <c r="J1273" t="s">
        <v>25</v>
      </c>
      <c r="K1273" s="2">
        <v>12886.6702827565</v>
      </c>
      <c r="L1273" s="2">
        <v>147228865.32162499</v>
      </c>
      <c r="M1273" s="3">
        <v>7796.0636993285398</v>
      </c>
      <c r="N1273" s="3">
        <v>113980316.84569199</v>
      </c>
      <c r="O1273" s="4">
        <v>0.18897403274086899</v>
      </c>
      <c r="P1273" s="4">
        <v>3.9589569133492597E-2</v>
      </c>
      <c r="Q1273" s="5">
        <v>7796.0636993285398</v>
      </c>
      <c r="R1273" s="5">
        <v>113980316.84569199</v>
      </c>
      <c r="S1273" s="6">
        <v>0.45566862048996798</v>
      </c>
      <c r="T1273" s="6">
        <v>9.3514240519045194E-2</v>
      </c>
      <c r="U1273" s="7">
        <v>0.47124059695716303</v>
      </c>
      <c r="V1273" s="7">
        <v>0.24917289673618401</v>
      </c>
      <c r="W1273" s="8">
        <v>0.44663716172096102</v>
      </c>
      <c r="X1273" s="8">
        <v>0.247152407490557</v>
      </c>
      <c r="Y1273" s="2">
        <v>22</v>
      </c>
      <c r="Z1273" s="2">
        <f>VLOOKUP(E1273,YieldData!T:U,2,FALSE)</f>
        <v>3938.173940949936</v>
      </c>
      <c r="AA1273">
        <f t="shared" si="38"/>
        <v>0.47124059695716303</v>
      </c>
    </row>
    <row r="1274" spans="1:27" hidden="1" x14ac:dyDescent="0.25">
      <c r="A1274">
        <v>105</v>
      </c>
      <c r="B1274">
        <v>201</v>
      </c>
      <c r="C1274" t="s">
        <v>23</v>
      </c>
      <c r="D1274" t="s">
        <v>100</v>
      </c>
      <c r="E1274" t="e">
        <f t="shared" si="39"/>
        <v>#VALUE!</v>
      </c>
      <c r="H1274">
        <v>42</v>
      </c>
      <c r="I1274" t="s">
        <v>24</v>
      </c>
      <c r="J1274" t="s">
        <v>25</v>
      </c>
      <c r="K1274" s="2">
        <v>9316.3923778080807</v>
      </c>
      <c r="L1274" s="2">
        <v>81191546.152962297</v>
      </c>
      <c r="M1274" s="3">
        <v>11805.8886854418</v>
      </c>
      <c r="N1274" s="3">
        <v>90974467.538289696</v>
      </c>
      <c r="O1274" s="4">
        <v>8.2752132576102394E-2</v>
      </c>
      <c r="P1274" s="4">
        <v>3.7996416499586599E-2</v>
      </c>
      <c r="Q1274" s="5">
        <v>11805.8886854418</v>
      </c>
      <c r="R1274" s="5">
        <v>90974467.538289696</v>
      </c>
      <c r="S1274" s="6">
        <v>0.27234475190144403</v>
      </c>
      <c r="T1274" s="6">
        <v>0.105325973832352</v>
      </c>
      <c r="U1274" s="7">
        <v>0.32467283906313499</v>
      </c>
      <c r="V1274" s="7">
        <v>0.21926038663795799</v>
      </c>
      <c r="W1274" s="8">
        <v>0.89112546346130805</v>
      </c>
      <c r="X1274" s="8">
        <v>9.7020871832518701E-2</v>
      </c>
      <c r="Y1274" s="2">
        <v>110</v>
      </c>
      <c r="Z1274" s="2" t="e">
        <f>VLOOKUP(E1274,YieldData!T:U,2,FALSE)</f>
        <v>#VALUE!</v>
      </c>
      <c r="AA1274">
        <f t="shared" si="38"/>
        <v>0.913534329143595</v>
      </c>
    </row>
    <row r="1275" spans="1:27" hidden="1" x14ac:dyDescent="0.25">
      <c r="A1275">
        <v>106</v>
      </c>
      <c r="B1275">
        <v>202</v>
      </c>
      <c r="C1275" t="s">
        <v>23</v>
      </c>
      <c r="D1275" t="s">
        <v>100</v>
      </c>
      <c r="E1275" t="e">
        <f t="shared" si="39"/>
        <v>#VALUE!</v>
      </c>
      <c r="H1275">
        <v>42</v>
      </c>
      <c r="I1275" t="s">
        <v>24</v>
      </c>
      <c r="J1275" t="s">
        <v>25</v>
      </c>
      <c r="K1275" s="2">
        <v>15033.616540094499</v>
      </c>
      <c r="L1275" s="2">
        <v>132373276.591069</v>
      </c>
      <c r="M1275" s="3">
        <v>7068.8753025549404</v>
      </c>
      <c r="N1275" s="3">
        <v>112479796.73473001</v>
      </c>
      <c r="O1275" s="4">
        <v>0.172247557416455</v>
      </c>
      <c r="P1275" s="4">
        <v>3.90867862779938E-2</v>
      </c>
      <c r="Q1275" s="5">
        <v>7068.8753025549404</v>
      </c>
      <c r="R1275" s="5">
        <v>112479796.73473001</v>
      </c>
      <c r="S1275" s="6">
        <v>0.42488402668717301</v>
      </c>
      <c r="T1275" s="6">
        <v>0.107873228593229</v>
      </c>
      <c r="U1275" s="7">
        <v>0.52106679423548397</v>
      </c>
      <c r="V1275" s="7">
        <v>0.249556190181005</v>
      </c>
      <c r="W1275" s="8">
        <v>0.82675771673224296</v>
      </c>
      <c r="X1275" s="8">
        <v>0.143229394556112</v>
      </c>
      <c r="Y1275" s="2">
        <v>106</v>
      </c>
      <c r="Z1275" s="2" t="e">
        <f>VLOOKUP(E1275,YieldData!T:U,2,FALSE)</f>
        <v>#VALUE!</v>
      </c>
      <c r="AA1275">
        <f t="shared" si="38"/>
        <v>0.913534329143595</v>
      </c>
    </row>
    <row r="1276" spans="1:27" hidden="1" x14ac:dyDescent="0.25">
      <c r="A1276">
        <v>107</v>
      </c>
      <c r="B1276">
        <v>203</v>
      </c>
      <c r="C1276" t="s">
        <v>23</v>
      </c>
      <c r="D1276" t="s">
        <v>100</v>
      </c>
      <c r="E1276" t="e">
        <f t="shared" si="39"/>
        <v>#VALUE!</v>
      </c>
      <c r="H1276">
        <v>42</v>
      </c>
      <c r="I1276" t="s">
        <v>24</v>
      </c>
      <c r="J1276" t="s">
        <v>25</v>
      </c>
      <c r="K1276" s="2">
        <v>14018.0160448529</v>
      </c>
      <c r="L1276" s="2">
        <v>147761715.575468</v>
      </c>
      <c r="M1276" s="3">
        <v>9629.0956442134393</v>
      </c>
      <c r="N1276" s="3">
        <v>133513503.49646001</v>
      </c>
      <c r="O1276" s="4">
        <v>0.105998201489324</v>
      </c>
      <c r="P1276" s="4">
        <v>4.3776599662072702E-2</v>
      </c>
      <c r="Q1276" s="5">
        <v>9629.0956442134393</v>
      </c>
      <c r="R1276" s="5">
        <v>133513503.49646001</v>
      </c>
      <c r="S1276" s="6">
        <v>0.339917262366494</v>
      </c>
      <c r="T1276" s="6">
        <v>0.123598385668632</v>
      </c>
      <c r="U1276" s="7">
        <v>0.43064385270219502</v>
      </c>
      <c r="V1276" s="7">
        <v>0.24518972483201601</v>
      </c>
      <c r="W1276" s="8">
        <v>0.70167110680552203</v>
      </c>
      <c r="X1276" s="8">
        <v>0.209328764680108</v>
      </c>
      <c r="Y1276" s="2">
        <v>68</v>
      </c>
      <c r="Z1276" s="2" t="e">
        <f>VLOOKUP(E1276,YieldData!T:U,2,FALSE)</f>
        <v>#VALUE!</v>
      </c>
      <c r="AA1276">
        <f t="shared" si="38"/>
        <v>0.913534329143595</v>
      </c>
    </row>
    <row r="1277" spans="1:27" hidden="1" x14ac:dyDescent="0.25">
      <c r="A1277">
        <v>108</v>
      </c>
      <c r="B1277">
        <v>204</v>
      </c>
      <c r="C1277" t="s">
        <v>23</v>
      </c>
      <c r="D1277">
        <v>25107</v>
      </c>
      <c r="E1277">
        <f t="shared" si="39"/>
        <v>25107204</v>
      </c>
      <c r="F1277">
        <f>VLOOKUP(E1277,YieldData!D:F,2,FALSE)</f>
        <v>5</v>
      </c>
      <c r="G1277">
        <f>VLOOKUP($E1277,YieldData!$D:$F,3,FALSE)</f>
        <v>3</v>
      </c>
      <c r="H1277">
        <v>42</v>
      </c>
      <c r="I1277" t="s">
        <v>24</v>
      </c>
      <c r="J1277" t="s">
        <v>25</v>
      </c>
      <c r="K1277" s="2">
        <v>11954.806948929599</v>
      </c>
      <c r="L1277" s="2">
        <v>102389106.261272</v>
      </c>
      <c r="M1277" s="3">
        <v>8734.8074145904702</v>
      </c>
      <c r="N1277" s="3">
        <v>121789575.874589</v>
      </c>
      <c r="O1277" s="4">
        <v>0.14197556263223499</v>
      </c>
      <c r="P1277" s="4">
        <v>5.3256041715890802E-2</v>
      </c>
      <c r="Q1277" s="5">
        <v>8734.8074145904702</v>
      </c>
      <c r="R1277" s="5">
        <v>121789575.874589</v>
      </c>
      <c r="S1277" s="6">
        <v>0.36439524882305202</v>
      </c>
      <c r="T1277" s="6">
        <v>0.12977485597407701</v>
      </c>
      <c r="U1277" s="7">
        <v>0.44989833751943498</v>
      </c>
      <c r="V1277" s="7">
        <v>0.247489823416433</v>
      </c>
      <c r="W1277" s="8">
        <v>0.66478896822264499</v>
      </c>
      <c r="X1277" s="8">
        <v>0.22284459595207501</v>
      </c>
      <c r="Y1277" s="2">
        <v>68</v>
      </c>
      <c r="Z1277" s="2">
        <f>VLOOKUP(E1277,YieldData!T:U,2,FALSE)</f>
        <v>2665.7028241335051</v>
      </c>
      <c r="AA1277">
        <f t="shared" si="38"/>
        <v>0.44989833751943498</v>
      </c>
    </row>
    <row r="1278" spans="1:27" hidden="1" x14ac:dyDescent="0.25">
      <c r="A1278">
        <v>109</v>
      </c>
      <c r="B1278">
        <v>205</v>
      </c>
      <c r="C1278" t="s">
        <v>23</v>
      </c>
      <c r="D1278">
        <v>25107</v>
      </c>
      <c r="E1278">
        <f t="shared" si="39"/>
        <v>25107205</v>
      </c>
      <c r="F1278">
        <f>VLOOKUP(E1278,YieldData!D:F,2,FALSE)</f>
        <v>2</v>
      </c>
      <c r="G1278">
        <f>VLOOKUP($E1278,YieldData!$D:$F,3,FALSE)</f>
        <v>3</v>
      </c>
      <c r="H1278">
        <v>42</v>
      </c>
      <c r="I1278" t="s">
        <v>24</v>
      </c>
      <c r="J1278" t="s">
        <v>25</v>
      </c>
      <c r="K1278" s="2">
        <v>14420.0273744406</v>
      </c>
      <c r="L1278" s="2">
        <v>162688938.59793299</v>
      </c>
      <c r="M1278" s="3">
        <v>7065.3925929468896</v>
      </c>
      <c r="N1278" s="3">
        <v>120404192.11280601</v>
      </c>
      <c r="O1278" s="4">
        <v>0.13793269822958801</v>
      </c>
      <c r="P1278" s="4">
        <v>4.27805022350689E-2</v>
      </c>
      <c r="Q1278" s="5">
        <v>7065.3925929468896</v>
      </c>
      <c r="R1278" s="5">
        <v>120404192.11280601</v>
      </c>
      <c r="S1278" s="6">
        <v>0.38922478281252398</v>
      </c>
      <c r="T1278" s="6">
        <v>0.121579246176466</v>
      </c>
      <c r="U1278" s="7">
        <v>0.47171805072103401</v>
      </c>
      <c r="V1278" s="7">
        <v>0.24920013134518301</v>
      </c>
      <c r="W1278" s="8">
        <v>0.495754441364049</v>
      </c>
      <c r="X1278" s="8">
        <v>0.249981975231826</v>
      </c>
      <c r="Y1278" s="2">
        <v>28</v>
      </c>
      <c r="Z1278" s="2">
        <f>VLOOKUP(E1278,YieldData!T:U,2,FALSE)</f>
        <v>2740.9948652118101</v>
      </c>
      <c r="AA1278">
        <f t="shared" si="38"/>
        <v>0.47171805072103401</v>
      </c>
    </row>
    <row r="1279" spans="1:27" hidden="1" x14ac:dyDescent="0.25">
      <c r="A1279">
        <v>110</v>
      </c>
      <c r="B1279">
        <v>206</v>
      </c>
      <c r="C1279" t="s">
        <v>23</v>
      </c>
      <c r="D1279">
        <v>25107</v>
      </c>
      <c r="E1279">
        <f t="shared" si="39"/>
        <v>25107206</v>
      </c>
      <c r="F1279">
        <f>VLOOKUP(E1279,YieldData!D:F,2,FALSE)</f>
        <v>1</v>
      </c>
      <c r="G1279">
        <f>VLOOKUP($E1279,YieldData!$D:$F,3,FALSE)</f>
        <v>3</v>
      </c>
      <c r="H1279">
        <v>42</v>
      </c>
      <c r="I1279" t="s">
        <v>24</v>
      </c>
      <c r="J1279" t="s">
        <v>25</v>
      </c>
      <c r="K1279" s="2">
        <v>13617.378051260001</v>
      </c>
      <c r="L1279" s="2">
        <v>144526038.82752201</v>
      </c>
      <c r="M1279" s="3">
        <v>7430.9042415911099</v>
      </c>
      <c r="N1279" s="3">
        <v>110160153.129621</v>
      </c>
      <c r="O1279" s="4">
        <v>0.12393117026301</v>
      </c>
      <c r="P1279" s="4">
        <v>3.81999097438665E-2</v>
      </c>
      <c r="Q1279" s="5">
        <v>7430.9042415911099</v>
      </c>
      <c r="R1279" s="5">
        <v>110160153.129621</v>
      </c>
      <c r="S1279" s="6">
        <v>0.37579667971158598</v>
      </c>
      <c r="T1279" s="6">
        <v>0.112917947601315</v>
      </c>
      <c r="U1279" s="7">
        <v>0.46218889407149599</v>
      </c>
      <c r="V1279" s="7">
        <v>0.24857032026834899</v>
      </c>
      <c r="W1279" s="8">
        <v>0.65087964790164199</v>
      </c>
      <c r="X1279" s="8">
        <v>0.22723533184924399</v>
      </c>
      <c r="Y1279" s="2">
        <v>64</v>
      </c>
      <c r="Z1279" s="2">
        <f>VLOOKUP(E1279,YieldData!T:U,2,FALSE)</f>
        <v>1823.433889602054</v>
      </c>
      <c r="AA1279">
        <f t="shared" si="38"/>
        <v>0.46218889407149599</v>
      </c>
    </row>
    <row r="1280" spans="1:27" hidden="1" x14ac:dyDescent="0.25">
      <c r="A1280">
        <v>111</v>
      </c>
      <c r="B1280">
        <v>207</v>
      </c>
      <c r="C1280" t="s">
        <v>23</v>
      </c>
      <c r="D1280">
        <v>25107</v>
      </c>
      <c r="E1280">
        <f t="shared" si="39"/>
        <v>25107207</v>
      </c>
      <c r="F1280">
        <f>VLOOKUP(E1280,YieldData!D:F,2,FALSE)</f>
        <v>3</v>
      </c>
      <c r="G1280">
        <f>VLOOKUP($E1280,YieldData!$D:$F,3,FALSE)</f>
        <v>3</v>
      </c>
      <c r="H1280">
        <v>42</v>
      </c>
      <c r="I1280" t="s">
        <v>24</v>
      </c>
      <c r="J1280" t="s">
        <v>25</v>
      </c>
      <c r="K1280" s="2">
        <v>11747.952813485301</v>
      </c>
      <c r="L1280" s="2">
        <v>133090224.01454601</v>
      </c>
      <c r="M1280" s="3">
        <v>8619.2390411921897</v>
      </c>
      <c r="N1280" s="3">
        <v>96201807.380096406</v>
      </c>
      <c r="O1280" s="4">
        <v>9.6588966207640306E-2</v>
      </c>
      <c r="P1280" s="4">
        <v>3.8507993801097901E-2</v>
      </c>
      <c r="Q1280" s="5">
        <v>8619.2390411921897</v>
      </c>
      <c r="R1280" s="5">
        <v>96201807.380096406</v>
      </c>
      <c r="S1280" s="6">
        <v>0.33089606138753203</v>
      </c>
      <c r="T1280" s="6">
        <v>0.11768288587631701</v>
      </c>
      <c r="U1280" s="7">
        <v>0.402401164200825</v>
      </c>
      <c r="V1280" s="7">
        <v>0.24047446725063201</v>
      </c>
      <c r="W1280" s="8">
        <v>0.69017296169614095</v>
      </c>
      <c r="X1280" s="8">
        <v>0.213834244639525</v>
      </c>
      <c r="Y1280" s="2">
        <v>54</v>
      </c>
      <c r="Z1280" s="2">
        <f>VLOOKUP(E1280,YieldData!T:U,2,FALSE)</f>
        <v>2319.6341463414633</v>
      </c>
      <c r="AA1280">
        <f t="shared" si="38"/>
        <v>0.402401164200825</v>
      </c>
    </row>
    <row r="1281" spans="1:27" hidden="1" x14ac:dyDescent="0.25">
      <c r="A1281">
        <v>112</v>
      </c>
      <c r="B1281">
        <v>208</v>
      </c>
      <c r="C1281" t="s">
        <v>23</v>
      </c>
      <c r="D1281">
        <v>25107</v>
      </c>
      <c r="E1281">
        <f t="shared" si="39"/>
        <v>25107208</v>
      </c>
      <c r="F1281">
        <f>VLOOKUP(E1281,YieldData!D:F,2,FALSE)</f>
        <v>4</v>
      </c>
      <c r="G1281">
        <f>VLOOKUP($E1281,YieldData!$D:$F,3,FALSE)</f>
        <v>3</v>
      </c>
      <c r="H1281">
        <v>42</v>
      </c>
      <c r="I1281" t="s">
        <v>24</v>
      </c>
      <c r="J1281" t="s">
        <v>25</v>
      </c>
      <c r="K1281" s="2">
        <v>13111.1678340451</v>
      </c>
      <c r="L1281" s="2">
        <v>148065793.544204</v>
      </c>
      <c r="M1281" s="3">
        <v>9451.6835444337594</v>
      </c>
      <c r="N1281" s="3">
        <v>116129005.41230001</v>
      </c>
      <c r="O1281" s="4">
        <v>8.9832784203364893E-2</v>
      </c>
      <c r="P1281" s="4">
        <v>3.83591082232509E-2</v>
      </c>
      <c r="Q1281" s="5">
        <v>9451.6835444337594</v>
      </c>
      <c r="R1281" s="5">
        <v>116129005.41230001</v>
      </c>
      <c r="S1281" s="6">
        <v>0.32779791720728502</v>
      </c>
      <c r="T1281" s="6">
        <v>0.11995335022666601</v>
      </c>
      <c r="U1281" s="7">
        <v>0.41079926784624798</v>
      </c>
      <c r="V1281" s="7">
        <v>0.24204322938328701</v>
      </c>
      <c r="W1281" s="8">
        <v>0.83929660996265798</v>
      </c>
      <c r="X1281" s="8">
        <v>0.13487781046772199</v>
      </c>
      <c r="Y1281" s="2">
        <v>80</v>
      </c>
      <c r="Z1281" s="2">
        <f>VLOOKUP(E1281,YieldData!T:U,2,FALSE)</f>
        <v>1785.5487804878051</v>
      </c>
      <c r="AA1281">
        <f t="shared" si="38"/>
        <v>0.41079926784624798</v>
      </c>
    </row>
    <row r="1282" spans="1:27" hidden="1" x14ac:dyDescent="0.25">
      <c r="A1282">
        <v>113</v>
      </c>
      <c r="B1282">
        <v>209</v>
      </c>
      <c r="C1282" t="s">
        <v>23</v>
      </c>
      <c r="D1282">
        <v>25107</v>
      </c>
      <c r="E1282">
        <f t="shared" si="39"/>
        <v>25107209</v>
      </c>
      <c r="F1282">
        <f>VLOOKUP(E1282,YieldData!D:F,2,FALSE)</f>
        <v>6</v>
      </c>
      <c r="G1282">
        <f>VLOOKUP($E1282,YieldData!$D:$F,3,FALSE)</f>
        <v>3</v>
      </c>
      <c r="H1282">
        <v>42</v>
      </c>
      <c r="I1282" t="s">
        <v>24</v>
      </c>
      <c r="J1282" t="s">
        <v>25</v>
      </c>
      <c r="K1282" s="2">
        <v>14462.832266784701</v>
      </c>
      <c r="L1282" s="2">
        <v>163271903.683851</v>
      </c>
      <c r="M1282" s="3">
        <v>8151.0947305732798</v>
      </c>
      <c r="N1282" s="3">
        <v>141600622.453747</v>
      </c>
      <c r="O1282" s="4">
        <v>0.13124405687455901</v>
      </c>
      <c r="P1282" s="4">
        <v>4.3521786710641601E-2</v>
      </c>
      <c r="Q1282" s="5">
        <v>8151.0947305732798</v>
      </c>
      <c r="R1282" s="5">
        <v>141600622.453747</v>
      </c>
      <c r="S1282" s="6">
        <v>0.38333319543925598</v>
      </c>
      <c r="T1282" s="6">
        <v>0.120007240101204</v>
      </c>
      <c r="U1282" s="7">
        <v>0.45786634450916802</v>
      </c>
      <c r="V1282" s="7">
        <v>0.24822475507501501</v>
      </c>
      <c r="W1282" s="8">
        <v>0.61014374895357504</v>
      </c>
      <c r="X1282" s="8">
        <v>0.23786835456637101</v>
      </c>
      <c r="Y1282" s="2">
        <v>38</v>
      </c>
      <c r="Z1282" s="2">
        <f>VLOOKUP(E1282,YieldData!T:U,2,FALSE)</f>
        <v>1467.1453786906291</v>
      </c>
      <c r="AA1282">
        <f t="shared" ref="AA1282:AA1345" si="40">_xlfn.MAXIFS(U:U,E:E,E1282)</f>
        <v>0.45786634450916802</v>
      </c>
    </row>
    <row r="1283" spans="1:27" hidden="1" x14ac:dyDescent="0.25">
      <c r="A1283">
        <v>114</v>
      </c>
      <c r="B1283">
        <v>210</v>
      </c>
      <c r="C1283" t="s">
        <v>23</v>
      </c>
      <c r="D1283">
        <v>25107</v>
      </c>
      <c r="E1283">
        <f t="shared" ref="E1283:E1346" si="41">D1283*1000+B1283</f>
        <v>25107210</v>
      </c>
      <c r="F1283">
        <f>VLOOKUP(E1283,YieldData!D:F,2,FALSE)</f>
        <v>7</v>
      </c>
      <c r="G1283">
        <f>VLOOKUP($E1283,YieldData!$D:$F,3,FALSE)</f>
        <v>3</v>
      </c>
      <c r="H1283">
        <v>42</v>
      </c>
      <c r="I1283" t="s">
        <v>24</v>
      </c>
      <c r="J1283" t="s">
        <v>25</v>
      </c>
      <c r="K1283" s="2">
        <v>15246.245834278699</v>
      </c>
      <c r="L1283" s="2">
        <v>136926400.69247001</v>
      </c>
      <c r="M1283" s="3">
        <v>5914.0602069577599</v>
      </c>
      <c r="N1283" s="3">
        <v>126947850.859506</v>
      </c>
      <c r="O1283" s="4">
        <v>0.21114445667093801</v>
      </c>
      <c r="P1283" s="4">
        <v>4.2414553399043299E-2</v>
      </c>
      <c r="Q1283" s="5">
        <v>5914.0602069577599</v>
      </c>
      <c r="R1283" s="5">
        <v>126947850.859506</v>
      </c>
      <c r="S1283" s="6">
        <v>0.48316761744773601</v>
      </c>
      <c r="T1283" s="6">
        <v>0.111876181147231</v>
      </c>
      <c r="U1283" s="7">
        <v>0.55738738057425197</v>
      </c>
      <c r="V1283" s="7">
        <v>0.24670668855101699</v>
      </c>
      <c r="W1283" s="8">
        <v>0.72758785861947295</v>
      </c>
      <c r="X1283" s="8">
        <v>0.19820376660925401</v>
      </c>
      <c r="Y1283" s="2">
        <v>44</v>
      </c>
      <c r="Z1283" s="2">
        <f>VLOOKUP(E1283,YieldData!T:U,2,FALSE)</f>
        <v>1599.6951219512193</v>
      </c>
      <c r="AA1283">
        <f t="shared" si="40"/>
        <v>0.55738738057425197</v>
      </c>
    </row>
    <row r="1284" spans="1:27" hidden="1" x14ac:dyDescent="0.25">
      <c r="A1284">
        <v>115</v>
      </c>
      <c r="B1284">
        <v>211</v>
      </c>
      <c r="C1284" t="s">
        <v>23</v>
      </c>
      <c r="D1284">
        <v>25107</v>
      </c>
      <c r="E1284">
        <f t="shared" si="41"/>
        <v>25107211</v>
      </c>
      <c r="F1284">
        <f>VLOOKUP(E1284,YieldData!D:F,2,FALSE)</f>
        <v>7</v>
      </c>
      <c r="G1284">
        <f>VLOOKUP($E1284,YieldData!$D:$F,3,FALSE)</f>
        <v>2</v>
      </c>
      <c r="H1284">
        <v>42</v>
      </c>
      <c r="I1284" t="s">
        <v>24</v>
      </c>
      <c r="J1284" t="s">
        <v>25</v>
      </c>
      <c r="K1284" s="2">
        <v>12130.3433910699</v>
      </c>
      <c r="L1284" s="2">
        <v>125937436.505638</v>
      </c>
      <c r="M1284" s="3">
        <v>7935.4866719286201</v>
      </c>
      <c r="N1284" s="3">
        <v>116100668.541756</v>
      </c>
      <c r="O1284" s="4">
        <v>0.17177138002723899</v>
      </c>
      <c r="P1284" s="4">
        <v>4.7800031428873901E-2</v>
      </c>
      <c r="Q1284" s="5">
        <v>7935.4866719286201</v>
      </c>
      <c r="R1284" s="5">
        <v>116100668.541756</v>
      </c>
      <c r="S1284" s="6">
        <v>0.410556757727851</v>
      </c>
      <c r="T1284" s="6">
        <v>0.106685672658882</v>
      </c>
      <c r="U1284" s="7">
        <v>0.44863414213785402</v>
      </c>
      <c r="V1284" s="7">
        <v>0.24736154864597601</v>
      </c>
      <c r="W1284" s="8">
        <v>0.72931081180902702</v>
      </c>
      <c r="X1284" s="8">
        <v>0.19741655158750199</v>
      </c>
      <c r="Y1284" s="2">
        <v>54</v>
      </c>
      <c r="Z1284" s="2">
        <f>VLOOKUP(E1284,YieldData!T:U,2,FALSE)</f>
        <v>1675.2695763799745</v>
      </c>
      <c r="AA1284">
        <f t="shared" si="40"/>
        <v>0.44863414213785402</v>
      </c>
    </row>
    <row r="1285" spans="1:27" hidden="1" x14ac:dyDescent="0.25">
      <c r="A1285">
        <v>116</v>
      </c>
      <c r="B1285">
        <v>212</v>
      </c>
      <c r="C1285" t="s">
        <v>23</v>
      </c>
      <c r="D1285">
        <v>25107</v>
      </c>
      <c r="E1285">
        <f t="shared" si="41"/>
        <v>25107212</v>
      </c>
      <c r="F1285">
        <f>VLOOKUP(E1285,YieldData!D:F,2,FALSE)</f>
        <v>6</v>
      </c>
      <c r="G1285">
        <f>VLOOKUP($E1285,YieldData!$D:$F,3,FALSE)</f>
        <v>2</v>
      </c>
      <c r="H1285">
        <v>42</v>
      </c>
      <c r="I1285" t="s">
        <v>24</v>
      </c>
      <c r="J1285" t="s">
        <v>25</v>
      </c>
      <c r="K1285" s="2">
        <v>10490.3961776736</v>
      </c>
      <c r="L1285" s="2">
        <v>121039263.279908</v>
      </c>
      <c r="M1285" s="3">
        <v>10249.3836940976</v>
      </c>
      <c r="N1285" s="3">
        <v>110072881.91483399</v>
      </c>
      <c r="O1285" s="4">
        <v>0.104703666947846</v>
      </c>
      <c r="P1285" s="4">
        <v>3.8647352484795498E-2</v>
      </c>
      <c r="Q1285" s="5">
        <v>10249.3836940976</v>
      </c>
      <c r="R1285" s="5">
        <v>110072881.91483399</v>
      </c>
      <c r="S1285" s="6">
        <v>0.33685471982078402</v>
      </c>
      <c r="T1285" s="6">
        <v>9.9332758782712693E-2</v>
      </c>
      <c r="U1285" s="7">
        <v>0.35970052861960899</v>
      </c>
      <c r="V1285" s="7">
        <v>0.230316058330295</v>
      </c>
      <c r="W1285" s="8">
        <v>0.485858815369345</v>
      </c>
      <c r="X1285" s="8">
        <v>0.24980002689744699</v>
      </c>
      <c r="Y1285" s="2">
        <v>22</v>
      </c>
      <c r="Z1285" s="2">
        <f>VLOOKUP(E1285,YieldData!T:U,2,FALSE)</f>
        <v>2312.836970474968</v>
      </c>
      <c r="AA1285">
        <f t="shared" si="40"/>
        <v>0.36414733317388198</v>
      </c>
    </row>
    <row r="1286" spans="1:27" hidden="1" x14ac:dyDescent="0.25">
      <c r="A1286">
        <v>117</v>
      </c>
      <c r="B1286">
        <v>301</v>
      </c>
      <c r="C1286" t="s">
        <v>23</v>
      </c>
      <c r="D1286">
        <v>25110</v>
      </c>
      <c r="E1286">
        <f t="shared" si="41"/>
        <v>25110301</v>
      </c>
      <c r="F1286">
        <f>VLOOKUP(E1286,YieldData!D:F,2,FALSE)</f>
        <v>1</v>
      </c>
      <c r="G1286">
        <f>VLOOKUP($E1286,YieldData!$D:$F,3,FALSE)</f>
        <v>1</v>
      </c>
      <c r="H1286">
        <v>42</v>
      </c>
      <c r="I1286" t="s">
        <v>24</v>
      </c>
      <c r="J1286" t="s">
        <v>25</v>
      </c>
      <c r="K1286" s="2">
        <v>14780.727609240899</v>
      </c>
      <c r="L1286" s="2">
        <v>143866820.25570899</v>
      </c>
      <c r="M1286" s="3">
        <v>8191.5088580394604</v>
      </c>
      <c r="N1286" s="3">
        <v>113852735.422718</v>
      </c>
      <c r="O1286" s="4">
        <v>0.14407855484657001</v>
      </c>
      <c r="P1286" s="4">
        <v>3.7148684412750099E-2</v>
      </c>
      <c r="Q1286" s="5">
        <v>8191.5088580394604</v>
      </c>
      <c r="R1286" s="5">
        <v>113852735.422718</v>
      </c>
      <c r="S1286" s="6">
        <v>0.39472872001298998</v>
      </c>
      <c r="T1286" s="6">
        <v>0.114471756728299</v>
      </c>
      <c r="U1286" s="7">
        <v>0.52055802064242296</v>
      </c>
      <c r="V1286" s="7">
        <v>0.24957736778728101</v>
      </c>
      <c r="W1286" s="8">
        <v>0.67842025927042504</v>
      </c>
      <c r="X1286" s="8">
        <v>0.21816621108206</v>
      </c>
      <c r="Y1286" s="2">
        <v>58</v>
      </c>
      <c r="Z1286" s="2">
        <f>VLOOKUP(E1286,YieldData!T:U,2,FALSE)</f>
        <v>1782.9894094993581</v>
      </c>
      <c r="AA1286">
        <f t="shared" si="40"/>
        <v>0.52055802064242296</v>
      </c>
    </row>
    <row r="1287" spans="1:27" hidden="1" x14ac:dyDescent="0.25">
      <c r="A1287">
        <v>118</v>
      </c>
      <c r="B1287">
        <v>302</v>
      </c>
      <c r="C1287" t="s">
        <v>23</v>
      </c>
      <c r="D1287">
        <v>25110</v>
      </c>
      <c r="E1287">
        <f t="shared" si="41"/>
        <v>25110302</v>
      </c>
      <c r="F1287">
        <f>VLOOKUP(E1287,YieldData!D:F,2,FALSE)</f>
        <v>2</v>
      </c>
      <c r="G1287">
        <f>VLOOKUP($E1287,YieldData!$D:$F,3,FALSE)</f>
        <v>1</v>
      </c>
      <c r="H1287">
        <v>42</v>
      </c>
      <c r="I1287" t="s">
        <v>24</v>
      </c>
      <c r="J1287" t="s">
        <v>25</v>
      </c>
      <c r="K1287" s="2">
        <v>17668.544281391602</v>
      </c>
      <c r="L1287" s="2">
        <v>204073247.938375</v>
      </c>
      <c r="M1287" s="3">
        <v>8494.2458995616998</v>
      </c>
      <c r="N1287" s="3">
        <v>133428368.44750699</v>
      </c>
      <c r="O1287" s="4">
        <v>0.115217195560014</v>
      </c>
      <c r="P1287" s="4">
        <v>3.3235943449718801E-2</v>
      </c>
      <c r="Q1287" s="5">
        <v>8494.2458995616998</v>
      </c>
      <c r="R1287" s="5">
        <v>133428368.44750699</v>
      </c>
      <c r="S1287" s="6">
        <v>0.38120059258747002</v>
      </c>
      <c r="T1287" s="6">
        <v>0.114533603622869</v>
      </c>
      <c r="U1287" s="7">
        <v>0.51252795617906299</v>
      </c>
      <c r="V1287" s="7">
        <v>0.249843050313936</v>
      </c>
      <c r="W1287" s="8">
        <v>0.72769239968905097</v>
      </c>
      <c r="X1287" s="8">
        <v>0.19815617112400599</v>
      </c>
      <c r="Y1287" s="2">
        <v>76</v>
      </c>
      <c r="Z1287" s="2">
        <f>VLOOKUP(E1287,YieldData!T:U,2,FALSE)</f>
        <v>1480.0224646983313</v>
      </c>
      <c r="AA1287">
        <f t="shared" si="40"/>
        <v>0.51252795617906299</v>
      </c>
    </row>
    <row r="1288" spans="1:27" hidden="1" x14ac:dyDescent="0.25">
      <c r="A1288">
        <v>119</v>
      </c>
      <c r="B1288">
        <v>303</v>
      </c>
      <c r="C1288" t="s">
        <v>23</v>
      </c>
      <c r="D1288">
        <v>25110</v>
      </c>
      <c r="E1288">
        <f t="shared" si="41"/>
        <v>25110303</v>
      </c>
      <c r="F1288">
        <f>VLOOKUP(E1288,YieldData!D:F,2,FALSE)</f>
        <v>3</v>
      </c>
      <c r="G1288">
        <f>VLOOKUP($E1288,YieldData!$D:$F,3,FALSE)</f>
        <v>1</v>
      </c>
      <c r="H1288">
        <v>42</v>
      </c>
      <c r="I1288" t="s">
        <v>24</v>
      </c>
      <c r="J1288" t="s">
        <v>25</v>
      </c>
      <c r="K1288" s="2">
        <v>21665.434589164</v>
      </c>
      <c r="L1288" s="2">
        <v>209937308.68157899</v>
      </c>
      <c r="M1288" s="3">
        <v>4651.3325708862503</v>
      </c>
      <c r="N1288" s="3">
        <v>126636459.548944</v>
      </c>
      <c r="O1288" s="4">
        <v>0.16911431014294001</v>
      </c>
      <c r="P1288" s="4">
        <v>2.9540949942091499E-2</v>
      </c>
      <c r="Q1288" s="5">
        <v>4651.3325708862503</v>
      </c>
      <c r="R1288" s="5">
        <v>126636459.548944</v>
      </c>
      <c r="S1288" s="6">
        <v>0.482725626687323</v>
      </c>
      <c r="T1288" s="6">
        <v>0.100448134378153</v>
      </c>
      <c r="U1288" s="7">
        <v>0.61807200095682302</v>
      </c>
      <c r="V1288" s="7">
        <v>0.23605900258986401</v>
      </c>
      <c r="W1288" s="8">
        <v>0.59018922992272904</v>
      </c>
      <c r="X1288" s="8">
        <v>0.241865902806146</v>
      </c>
      <c r="Y1288" s="2">
        <v>46</v>
      </c>
      <c r="Z1288" s="2">
        <f>VLOOKUP(E1288,YieldData!T:U,2,FALSE)</f>
        <v>1611.0173299101414</v>
      </c>
      <c r="AA1288">
        <f t="shared" si="40"/>
        <v>0.61807200095682302</v>
      </c>
    </row>
    <row r="1289" spans="1:27" hidden="1" x14ac:dyDescent="0.25">
      <c r="A1289">
        <v>120</v>
      </c>
      <c r="B1289">
        <v>304</v>
      </c>
      <c r="C1289" t="s">
        <v>23</v>
      </c>
      <c r="D1289">
        <v>25110</v>
      </c>
      <c r="E1289">
        <f t="shared" si="41"/>
        <v>25110304</v>
      </c>
      <c r="F1289">
        <f>VLOOKUP(E1289,YieldData!D:F,2,FALSE)</f>
        <v>4</v>
      </c>
      <c r="G1289">
        <f>VLOOKUP($E1289,YieldData!$D:$F,3,FALSE)</f>
        <v>1</v>
      </c>
      <c r="H1289">
        <v>42</v>
      </c>
      <c r="I1289" t="s">
        <v>24</v>
      </c>
      <c r="J1289" t="s">
        <v>25</v>
      </c>
      <c r="K1289" s="2">
        <v>20522.802416123399</v>
      </c>
      <c r="L1289" s="2">
        <v>224374049.05411401</v>
      </c>
      <c r="M1289" s="3">
        <v>6135.6229445939998</v>
      </c>
      <c r="N1289" s="3">
        <v>140084298.20809299</v>
      </c>
      <c r="O1289" s="4">
        <v>0.13049826089990901</v>
      </c>
      <c r="P1289" s="4">
        <v>3.1071665125262101E-2</v>
      </c>
      <c r="Q1289" s="5">
        <v>6135.6229445939998</v>
      </c>
      <c r="R1289" s="5">
        <v>140084298.20809299</v>
      </c>
      <c r="S1289" s="6">
        <v>0.43012148291942698</v>
      </c>
      <c r="T1289" s="6">
        <v>0.111641129173911</v>
      </c>
      <c r="U1289" s="7">
        <v>0.569009030560373</v>
      </c>
      <c r="V1289" s="7">
        <v>0.24523775370116699</v>
      </c>
      <c r="W1289" s="8">
        <v>0.60122471923550702</v>
      </c>
      <c r="X1289" s="8">
        <v>0.239753556215862</v>
      </c>
      <c r="Y1289" s="2">
        <v>42</v>
      </c>
      <c r="Z1289" s="2">
        <f>VLOOKUP(E1289,YieldData!T:U,2,FALSE)</f>
        <v>1064.6341463414635</v>
      </c>
      <c r="AA1289">
        <f t="shared" si="40"/>
        <v>0.569009030560373</v>
      </c>
    </row>
    <row r="1290" spans="1:27" hidden="1" x14ac:dyDescent="0.25">
      <c r="A1290">
        <v>121</v>
      </c>
      <c r="B1290">
        <v>305</v>
      </c>
      <c r="C1290" t="s">
        <v>23</v>
      </c>
      <c r="D1290">
        <v>25110</v>
      </c>
      <c r="E1290">
        <f t="shared" si="41"/>
        <v>25110305</v>
      </c>
      <c r="F1290">
        <f>VLOOKUP(E1290,YieldData!D:F,2,FALSE)</f>
        <v>5</v>
      </c>
      <c r="G1290">
        <f>VLOOKUP($E1290,YieldData!$D:$F,3,FALSE)</f>
        <v>1</v>
      </c>
      <c r="H1290">
        <v>42</v>
      </c>
      <c r="I1290" t="s">
        <v>24</v>
      </c>
      <c r="J1290" t="s">
        <v>25</v>
      </c>
      <c r="K1290" s="2">
        <v>19855.5278392441</v>
      </c>
      <c r="L1290" s="2">
        <v>247819208.92559499</v>
      </c>
      <c r="M1290" s="3">
        <v>6704.5388592373301</v>
      </c>
      <c r="N1290" s="3">
        <v>139084444.31884199</v>
      </c>
      <c r="O1290" s="4">
        <v>0.107286449212669</v>
      </c>
      <c r="P1290" s="4">
        <v>2.9583706126083999E-2</v>
      </c>
      <c r="Q1290" s="5">
        <v>6704.5388592373301</v>
      </c>
      <c r="R1290" s="5">
        <v>139084444.31884199</v>
      </c>
      <c r="S1290" s="6">
        <v>0.40235230902993702</v>
      </c>
      <c r="T1290" s="6">
        <v>0.114364276912388</v>
      </c>
      <c r="U1290" s="7">
        <v>0.53438191495723897</v>
      </c>
      <c r="V1290" s="7">
        <v>0.24881788392402901</v>
      </c>
      <c r="W1290" s="8">
        <v>0.58305027986413405</v>
      </c>
      <c r="X1290" s="8">
        <v>0.24310265101457601</v>
      </c>
      <c r="Y1290" s="2">
        <v>28</v>
      </c>
      <c r="Z1290" s="2">
        <f>VLOOKUP(E1290,YieldData!T:U,2,FALSE)</f>
        <v>1594.5442875481385</v>
      </c>
      <c r="AA1290">
        <f t="shared" si="40"/>
        <v>0.53438191495723897</v>
      </c>
    </row>
    <row r="1291" spans="1:27" hidden="1" x14ac:dyDescent="0.25">
      <c r="A1291">
        <v>122</v>
      </c>
      <c r="B1291">
        <v>306</v>
      </c>
      <c r="C1291" t="s">
        <v>23</v>
      </c>
      <c r="D1291">
        <v>25110</v>
      </c>
      <c r="E1291">
        <f t="shared" si="41"/>
        <v>25110306</v>
      </c>
      <c r="F1291">
        <f>VLOOKUP(E1291,YieldData!D:F,2,FALSE)</f>
        <v>6</v>
      </c>
      <c r="G1291">
        <f>VLOOKUP($E1291,YieldData!$D:$F,3,FALSE)</f>
        <v>1</v>
      </c>
      <c r="H1291">
        <v>42</v>
      </c>
      <c r="I1291" t="s">
        <v>24</v>
      </c>
      <c r="J1291" t="s">
        <v>25</v>
      </c>
      <c r="K1291" s="2">
        <v>15366.7010536135</v>
      </c>
      <c r="L1291" s="2">
        <v>223054010.62869999</v>
      </c>
      <c r="M1291" s="3">
        <v>8010.6460946957604</v>
      </c>
      <c r="N1291" s="3">
        <v>115824329.981912</v>
      </c>
      <c r="O1291" s="4">
        <v>7.4874435483584606E-2</v>
      </c>
      <c r="P1291" s="4">
        <v>2.96643483444596E-2</v>
      </c>
      <c r="Q1291" s="5">
        <v>8010.6460946957604</v>
      </c>
      <c r="R1291" s="5">
        <v>115824329.981912</v>
      </c>
      <c r="S1291" s="6">
        <v>0.332261174291824</v>
      </c>
      <c r="T1291" s="6">
        <v>0.112613349591818</v>
      </c>
      <c r="U1291" s="7">
        <v>0.44526830668404699</v>
      </c>
      <c r="V1291" s="7">
        <v>0.24700444174681399</v>
      </c>
      <c r="W1291" s="8">
        <v>0.78348123519984703</v>
      </c>
      <c r="X1291" s="8">
        <v>0.16963838928941399</v>
      </c>
      <c r="Y1291" s="2">
        <v>54</v>
      </c>
      <c r="Z1291" s="2">
        <f>VLOOKUP(E1291,YieldData!T:U,2,FALSE)</f>
        <v>875.55519897304237</v>
      </c>
      <c r="AA1291">
        <f t="shared" si="40"/>
        <v>0.44526830668404699</v>
      </c>
    </row>
    <row r="1292" spans="1:27" hidden="1" x14ac:dyDescent="0.25">
      <c r="A1292">
        <v>123</v>
      </c>
      <c r="B1292">
        <v>307</v>
      </c>
      <c r="C1292" t="s">
        <v>23</v>
      </c>
      <c r="D1292">
        <v>25110</v>
      </c>
      <c r="E1292">
        <f t="shared" si="41"/>
        <v>25110307</v>
      </c>
      <c r="F1292">
        <f>VLOOKUP(E1292,YieldData!D:F,2,FALSE)</f>
        <v>7</v>
      </c>
      <c r="G1292">
        <f>VLOOKUP($E1292,YieldData!$D:$F,3,FALSE)</f>
        <v>1</v>
      </c>
      <c r="H1292">
        <v>42</v>
      </c>
      <c r="I1292" t="s">
        <v>24</v>
      </c>
      <c r="J1292" t="s">
        <v>25</v>
      </c>
      <c r="K1292" s="2">
        <v>16098.557046498299</v>
      </c>
      <c r="L1292" s="2">
        <v>206795129.053983</v>
      </c>
      <c r="M1292" s="3">
        <v>7453.7007980602102</v>
      </c>
      <c r="N1292" s="3">
        <v>114075056.22083101</v>
      </c>
      <c r="O1292" s="4">
        <v>9.2284981845226502E-2</v>
      </c>
      <c r="P1292" s="4">
        <v>2.9206633224068499E-2</v>
      </c>
      <c r="Q1292" s="5">
        <v>7453.7007980602102</v>
      </c>
      <c r="R1292" s="5">
        <v>114075056.22083101</v>
      </c>
      <c r="S1292" s="6">
        <v>0.36287535466071802</v>
      </c>
      <c r="T1292" s="6">
        <v>0.113525317287769</v>
      </c>
      <c r="U1292" s="7">
        <v>0.48000382701875199</v>
      </c>
      <c r="V1292" s="7">
        <v>0.249600153066143</v>
      </c>
      <c r="W1292" s="8">
        <v>0.59078733377977599</v>
      </c>
      <c r="X1292" s="8">
        <v>0.24175766002490401</v>
      </c>
      <c r="Y1292" s="2">
        <v>68</v>
      </c>
      <c r="Z1292" s="2">
        <f>VLOOKUP(E1292,YieldData!T:U,2,FALSE)</f>
        <v>1489.1415275994866</v>
      </c>
      <c r="AA1292">
        <f t="shared" si="40"/>
        <v>0.48000382701875199</v>
      </c>
    </row>
    <row r="1293" spans="1:27" hidden="1" x14ac:dyDescent="0.25">
      <c r="A1293">
        <v>124</v>
      </c>
      <c r="B1293">
        <v>308</v>
      </c>
      <c r="C1293" t="s">
        <v>23</v>
      </c>
      <c r="D1293">
        <v>25110</v>
      </c>
      <c r="E1293">
        <f t="shared" si="41"/>
        <v>25110308</v>
      </c>
      <c r="F1293">
        <f>VLOOKUP(E1293,YieldData!D:F,2,FALSE)</f>
        <v>8</v>
      </c>
      <c r="G1293">
        <f>VLOOKUP($E1293,YieldData!$D:$F,3,FALSE)</f>
        <v>1</v>
      </c>
      <c r="H1293">
        <v>42</v>
      </c>
      <c r="I1293" t="s">
        <v>24</v>
      </c>
      <c r="J1293" t="s">
        <v>25</v>
      </c>
      <c r="K1293" s="2">
        <v>17577.734632127798</v>
      </c>
      <c r="L1293" s="2">
        <v>210132487.758497</v>
      </c>
      <c r="M1293" s="3">
        <v>8303.6632418369009</v>
      </c>
      <c r="N1293" s="3">
        <v>130047303.111573</v>
      </c>
      <c r="O1293" s="4">
        <v>8.7501788579489204E-2</v>
      </c>
      <c r="P1293" s="4">
        <v>3.11347750043049E-2</v>
      </c>
      <c r="Q1293" s="5">
        <v>8303.6632418369009</v>
      </c>
      <c r="R1293" s="5">
        <v>130047303.111573</v>
      </c>
      <c r="S1293" s="6">
        <v>0.36969159034246002</v>
      </c>
      <c r="T1293" s="6">
        <v>0.11602542110019801</v>
      </c>
      <c r="U1293" s="7">
        <v>0.50702018752391897</v>
      </c>
      <c r="V1293" s="7">
        <v>0.24995071696725599</v>
      </c>
      <c r="W1293" s="8">
        <v>0.80916386599849299</v>
      </c>
      <c r="X1293" s="8">
        <v>0.15441770396110099</v>
      </c>
      <c r="Y1293" s="2">
        <v>80</v>
      </c>
      <c r="Z1293" s="2">
        <f>VLOOKUP(E1293,YieldData!T:U,2,FALSE)</f>
        <v>1340.4685494223365</v>
      </c>
      <c r="AA1293">
        <f t="shared" si="40"/>
        <v>0.50702018752391897</v>
      </c>
    </row>
    <row r="1294" spans="1:27" hidden="1" x14ac:dyDescent="0.25">
      <c r="A1294">
        <v>125</v>
      </c>
      <c r="B1294">
        <v>309</v>
      </c>
      <c r="C1294" t="s">
        <v>23</v>
      </c>
      <c r="D1294">
        <v>25110</v>
      </c>
      <c r="E1294">
        <f t="shared" si="41"/>
        <v>25110309</v>
      </c>
      <c r="F1294">
        <f>VLOOKUP(E1294,YieldData!D:F,2,FALSE)</f>
        <v>9</v>
      </c>
      <c r="G1294">
        <f>VLOOKUP($E1294,YieldData!$D:$F,3,FALSE)</f>
        <v>1</v>
      </c>
      <c r="H1294">
        <v>42</v>
      </c>
      <c r="I1294" t="s">
        <v>24</v>
      </c>
      <c r="J1294" t="s">
        <v>25</v>
      </c>
      <c r="K1294" s="2">
        <v>10034.6433303834</v>
      </c>
      <c r="L1294" s="2">
        <v>122380378.318385</v>
      </c>
      <c r="M1294" s="3">
        <v>12776.974433974599</v>
      </c>
      <c r="N1294" s="3">
        <v>123918396.61923499</v>
      </c>
      <c r="O1294" s="4">
        <v>4.5121907664969901E-2</v>
      </c>
      <c r="P1294" s="4">
        <v>3.8963238344489698E-2</v>
      </c>
      <c r="Q1294" s="5">
        <v>12776.974433974599</v>
      </c>
      <c r="R1294" s="5">
        <v>123918396.61923499</v>
      </c>
      <c r="S1294" s="6">
        <v>0.23147745959194099</v>
      </c>
      <c r="T1294" s="6">
        <v>0.113762110485975</v>
      </c>
      <c r="U1294" s="7">
        <v>0.30382214355760701</v>
      </c>
      <c r="V1294" s="7">
        <v>0.211514248641748</v>
      </c>
      <c r="W1294" s="8">
        <v>0.70411299678279704</v>
      </c>
      <c r="X1294" s="8">
        <v>0.20833788454424401</v>
      </c>
      <c r="Y1294" s="2">
        <v>62</v>
      </c>
      <c r="Z1294" s="2">
        <f>VLOOKUP(E1294,YieldData!T:U,2,FALSE)</f>
        <v>1535.1412066752248</v>
      </c>
      <c r="AA1294">
        <f t="shared" si="40"/>
        <v>0.30382214355760701</v>
      </c>
    </row>
    <row r="1295" spans="1:27" hidden="1" x14ac:dyDescent="0.25">
      <c r="A1295">
        <v>126</v>
      </c>
      <c r="B1295">
        <v>310</v>
      </c>
      <c r="C1295" t="s">
        <v>23</v>
      </c>
      <c r="D1295">
        <v>25110</v>
      </c>
      <c r="E1295">
        <f t="shared" si="41"/>
        <v>25110310</v>
      </c>
      <c r="F1295">
        <f>VLOOKUP(E1295,YieldData!D:F,2,FALSE)</f>
        <v>10</v>
      </c>
      <c r="G1295">
        <f>VLOOKUP($E1295,YieldData!$D:$F,3,FALSE)</f>
        <v>1</v>
      </c>
      <c r="H1295">
        <v>42</v>
      </c>
      <c r="I1295" t="s">
        <v>24</v>
      </c>
      <c r="J1295" t="s">
        <v>25</v>
      </c>
      <c r="K1295" s="2">
        <v>16863.353204315499</v>
      </c>
      <c r="L1295" s="2">
        <v>191955065.059874</v>
      </c>
      <c r="M1295" s="3">
        <v>6344.1957082705003</v>
      </c>
      <c r="N1295" s="3">
        <v>120991631.770174</v>
      </c>
      <c r="O1295" s="4">
        <v>0.16133536354643099</v>
      </c>
      <c r="P1295" s="4">
        <v>3.1639544723466598E-2</v>
      </c>
      <c r="Q1295" s="5">
        <v>6344.1957082705003</v>
      </c>
      <c r="R1295" s="5">
        <v>120991631.770174</v>
      </c>
      <c r="S1295" s="6">
        <v>0.44599320974786699</v>
      </c>
      <c r="T1295" s="6">
        <v>0.10950231123408601</v>
      </c>
      <c r="U1295" s="7">
        <v>0.53953065569456704</v>
      </c>
      <c r="V1295" s="7">
        <v>0.24843732726013901</v>
      </c>
      <c r="W1295" s="8">
        <v>0.67664928479165698</v>
      </c>
      <c r="X1295" s="8">
        <v>0.21879503018268601</v>
      </c>
      <c r="Y1295" s="2">
        <v>76</v>
      </c>
      <c r="Z1295" s="2">
        <f>VLOOKUP(E1295,YieldData!T:U,2,FALSE)</f>
        <v>1065.8279845956356</v>
      </c>
      <c r="AA1295">
        <f t="shared" si="40"/>
        <v>0.59022628330861604</v>
      </c>
    </row>
    <row r="1296" spans="1:27" hidden="1" x14ac:dyDescent="0.25">
      <c r="A1296">
        <v>127</v>
      </c>
      <c r="B1296">
        <v>311</v>
      </c>
      <c r="C1296" t="s">
        <v>23</v>
      </c>
      <c r="D1296">
        <v>25110</v>
      </c>
      <c r="E1296">
        <f t="shared" si="41"/>
        <v>25110311</v>
      </c>
      <c r="F1296">
        <f>VLOOKUP(E1296,YieldData!D:F,2,FALSE)</f>
        <v>11</v>
      </c>
      <c r="G1296">
        <f>VLOOKUP($E1296,YieldData!$D:$F,3,FALSE)</f>
        <v>1</v>
      </c>
      <c r="H1296">
        <v>42</v>
      </c>
      <c r="I1296" t="s">
        <v>24</v>
      </c>
      <c r="J1296" t="s">
        <v>25</v>
      </c>
      <c r="K1296" s="2">
        <v>13106.5526589567</v>
      </c>
      <c r="L1296" s="2">
        <v>137585476.012227</v>
      </c>
      <c r="M1296" s="3">
        <v>9588.5067204788393</v>
      </c>
      <c r="N1296" s="3">
        <v>134034851.339122</v>
      </c>
      <c r="O1296" s="4">
        <v>0.12845204032435401</v>
      </c>
      <c r="P1296" s="4">
        <v>3.9826246419565801E-2</v>
      </c>
      <c r="Q1296" s="5">
        <v>9588.5067204788393</v>
      </c>
      <c r="R1296" s="5">
        <v>134034851.339122</v>
      </c>
      <c r="S1296" s="6">
        <v>0.36732270391942601</v>
      </c>
      <c r="T1296" s="6">
        <v>0.106366651171138</v>
      </c>
      <c r="U1296" s="7">
        <v>0.44120778089615798</v>
      </c>
      <c r="V1296" s="7">
        <v>0.246543474973001</v>
      </c>
      <c r="W1296" s="8">
        <v>0.81342236415541702</v>
      </c>
      <c r="X1296" s="8">
        <v>0.15176642164703399</v>
      </c>
      <c r="Y1296" s="2">
        <v>78</v>
      </c>
      <c r="Z1296" s="2">
        <f>VLOOKUP(E1296,YieldData!T:U,2,FALSE)</f>
        <v>854.77695763799738</v>
      </c>
      <c r="AA1296">
        <f t="shared" si="40"/>
        <v>0.44120778089615798</v>
      </c>
    </row>
    <row r="1297" spans="1:27" hidden="1" x14ac:dyDescent="0.25">
      <c r="A1297">
        <v>128</v>
      </c>
      <c r="B1297">
        <v>312</v>
      </c>
      <c r="C1297" t="s">
        <v>23</v>
      </c>
      <c r="D1297">
        <v>25110</v>
      </c>
      <c r="E1297">
        <f t="shared" si="41"/>
        <v>25110312</v>
      </c>
      <c r="F1297">
        <f>VLOOKUP(E1297,YieldData!D:F,2,FALSE)</f>
        <v>12</v>
      </c>
      <c r="G1297">
        <f>VLOOKUP($E1297,YieldData!$D:$F,3,FALSE)</f>
        <v>1</v>
      </c>
      <c r="H1297">
        <v>42</v>
      </c>
      <c r="I1297" t="s">
        <v>24</v>
      </c>
      <c r="J1297" t="s">
        <v>25</v>
      </c>
      <c r="K1297" s="2">
        <v>7993.2481433201401</v>
      </c>
      <c r="L1297" s="2">
        <v>76301726.951412305</v>
      </c>
      <c r="M1297" s="3">
        <v>12896.1705012038</v>
      </c>
      <c r="N1297" s="3">
        <v>97100921.424288005</v>
      </c>
      <c r="O1297" s="4">
        <v>7.2699403720164299E-2</v>
      </c>
      <c r="P1297" s="4">
        <v>3.4876756459170898E-2</v>
      </c>
      <c r="Q1297" s="5">
        <v>12896.1705012038</v>
      </c>
      <c r="R1297" s="5">
        <v>97100921.424288005</v>
      </c>
      <c r="S1297" s="6">
        <v>0.26454783162193501</v>
      </c>
      <c r="T1297" s="6">
        <v>8.5631491776416394E-2</v>
      </c>
      <c r="U1297" s="7">
        <v>0.27732398914096401</v>
      </c>
      <c r="V1297" s="7">
        <v>0.200415394187794</v>
      </c>
      <c r="W1297" s="8">
        <v>0.78953097525089999</v>
      </c>
      <c r="X1297" s="8">
        <v>0.16617181437045001</v>
      </c>
      <c r="Y1297" s="2">
        <v>116</v>
      </c>
      <c r="Z1297" s="2">
        <f>VLOOKUP(E1297,YieldData!T:U,2,FALSE)</f>
        <v>1500.4236200256737</v>
      </c>
      <c r="AA1297">
        <f t="shared" si="40"/>
        <v>0.35516668062150902</v>
      </c>
    </row>
    <row r="1298" spans="1:27" hidden="1" x14ac:dyDescent="0.25">
      <c r="A1298">
        <v>129</v>
      </c>
      <c r="B1298">
        <v>401</v>
      </c>
      <c r="C1298" t="s">
        <v>23</v>
      </c>
      <c r="D1298">
        <v>25110</v>
      </c>
      <c r="E1298">
        <f t="shared" si="41"/>
        <v>25110401</v>
      </c>
      <c r="F1298">
        <f>VLOOKUP(E1298,YieldData!D:F,2,FALSE)</f>
        <v>3</v>
      </c>
      <c r="G1298">
        <f>VLOOKUP($E1298,YieldData!$D:$F,3,FALSE)</f>
        <v>2</v>
      </c>
      <c r="H1298">
        <v>42</v>
      </c>
      <c r="I1298" t="s">
        <v>24</v>
      </c>
      <c r="J1298" t="s">
        <v>25</v>
      </c>
      <c r="K1298" s="2">
        <v>11663.442387274201</v>
      </c>
      <c r="L1298" s="2">
        <v>107766527.399197</v>
      </c>
      <c r="M1298" s="3">
        <v>10570.525927721799</v>
      </c>
      <c r="N1298" s="3">
        <v>125747597.741419</v>
      </c>
      <c r="O1298" s="4">
        <v>0.119731419934497</v>
      </c>
      <c r="P1298" s="4">
        <v>4.3521486299312802E-2</v>
      </c>
      <c r="Q1298" s="5">
        <v>10570.525927721799</v>
      </c>
      <c r="R1298" s="5">
        <v>125747597.741419</v>
      </c>
      <c r="S1298" s="6">
        <v>0.35212471855907101</v>
      </c>
      <c r="T1298" s="6">
        <v>0.117711233737847</v>
      </c>
      <c r="U1298" s="7">
        <v>0.456787465614161</v>
      </c>
      <c r="V1298" s="7">
        <v>0.24813267687218399</v>
      </c>
      <c r="W1298" s="8">
        <v>0.83931155736822605</v>
      </c>
      <c r="X1298" s="8">
        <v>0.134867667036561</v>
      </c>
      <c r="Y1298" s="2">
        <v>80</v>
      </c>
      <c r="Z1298" s="2">
        <f>VLOOKUP(E1298,YieldData!T:U,2,FALSE)</f>
        <v>1017.8177150192552</v>
      </c>
      <c r="AA1298">
        <f t="shared" si="40"/>
        <v>0.456787465614161</v>
      </c>
    </row>
    <row r="1299" spans="1:27" hidden="1" x14ac:dyDescent="0.25">
      <c r="A1299">
        <v>130</v>
      </c>
      <c r="B1299">
        <v>402</v>
      </c>
      <c r="C1299" t="s">
        <v>23</v>
      </c>
      <c r="D1299">
        <v>25110</v>
      </c>
      <c r="E1299">
        <f t="shared" si="41"/>
        <v>25110402</v>
      </c>
      <c r="F1299">
        <f>VLOOKUP(E1299,YieldData!D:F,2,FALSE)</f>
        <v>15</v>
      </c>
      <c r="G1299">
        <f>VLOOKUP($E1299,YieldData!$D:$F,3,FALSE)</f>
        <v>2</v>
      </c>
      <c r="H1299">
        <v>42</v>
      </c>
      <c r="I1299" t="s">
        <v>24</v>
      </c>
      <c r="J1299" t="s">
        <v>25</v>
      </c>
      <c r="K1299" s="2">
        <v>13459.8351270644</v>
      </c>
      <c r="L1299" s="2">
        <v>137072902.15909299</v>
      </c>
      <c r="M1299" s="3">
        <v>9647.9094181768796</v>
      </c>
      <c r="N1299" s="3">
        <v>115526274.56243899</v>
      </c>
      <c r="O1299" s="4">
        <v>0.13304519463510101</v>
      </c>
      <c r="P1299" s="4">
        <v>3.5438865672736998E-2</v>
      </c>
      <c r="Q1299" s="5">
        <v>9647.9094181768796</v>
      </c>
      <c r="R1299" s="5">
        <v>115526274.56243899</v>
      </c>
      <c r="S1299" s="6">
        <v>0.36832934243361298</v>
      </c>
      <c r="T1299" s="6">
        <v>0.102557255073908</v>
      </c>
      <c r="U1299" s="7">
        <v>0.448570906210007</v>
      </c>
      <c r="V1299" s="7">
        <v>0.247355048312002</v>
      </c>
      <c r="W1299" s="8">
        <v>0.93628430751230896</v>
      </c>
      <c r="X1299" s="8">
        <v>5.9656003018641303E-2</v>
      </c>
      <c r="Y1299" s="2">
        <v>158</v>
      </c>
      <c r="Z1299" s="2">
        <f>VLOOKUP(E1299,YieldData!T:U,2,FALSE)</f>
        <v>894.42394094993597</v>
      </c>
      <c r="AA1299">
        <f t="shared" si="40"/>
        <v>0.448570906210007</v>
      </c>
    </row>
    <row r="1300" spans="1:27" hidden="1" x14ac:dyDescent="0.25">
      <c r="A1300">
        <v>131</v>
      </c>
      <c r="B1300">
        <v>403</v>
      </c>
      <c r="C1300" t="s">
        <v>23</v>
      </c>
      <c r="D1300">
        <v>25110</v>
      </c>
      <c r="E1300">
        <f t="shared" si="41"/>
        <v>25110403</v>
      </c>
      <c r="F1300">
        <f>VLOOKUP(E1300,YieldData!D:F,2,FALSE)</f>
        <v>7</v>
      </c>
      <c r="G1300">
        <f>VLOOKUP($E1300,YieldData!$D:$F,3,FALSE)</f>
        <v>2</v>
      </c>
      <c r="H1300">
        <v>42</v>
      </c>
      <c r="I1300" t="s">
        <v>24</v>
      </c>
      <c r="J1300" t="s">
        <v>25</v>
      </c>
      <c r="K1300" s="2">
        <v>17840.3131218905</v>
      </c>
      <c r="L1300" s="2">
        <v>183532383.91219199</v>
      </c>
      <c r="M1300" s="3">
        <v>7125.5078945007799</v>
      </c>
      <c r="N1300" s="3">
        <v>143842778.42301399</v>
      </c>
      <c r="O1300" s="4">
        <v>0.148632477879726</v>
      </c>
      <c r="P1300" s="4">
        <v>3.4761934493331197E-2</v>
      </c>
      <c r="Q1300" s="5">
        <v>7125.5078945007799</v>
      </c>
      <c r="R1300" s="5">
        <v>143842778.42301399</v>
      </c>
      <c r="S1300" s="6">
        <v>0.429807171446003</v>
      </c>
      <c r="T1300" s="6">
        <v>0.10820490448848701</v>
      </c>
      <c r="U1300" s="7">
        <v>0.53847349789513999</v>
      </c>
      <c r="V1300" s="7">
        <v>0.24851978995964999</v>
      </c>
      <c r="W1300" s="8">
        <v>0.77121056282440703</v>
      </c>
      <c r="X1300" s="8">
        <v>0.17644483061276001</v>
      </c>
      <c r="Y1300" s="2">
        <v>56</v>
      </c>
      <c r="Z1300" s="2">
        <f>VLOOKUP(E1300,YieldData!T:U,2,FALSE)</f>
        <v>1357.461489088575</v>
      </c>
      <c r="AA1300">
        <f t="shared" si="40"/>
        <v>0.53847349789513999</v>
      </c>
    </row>
    <row r="1301" spans="1:27" hidden="1" x14ac:dyDescent="0.25">
      <c r="A1301">
        <v>132</v>
      </c>
      <c r="B1301">
        <v>404</v>
      </c>
      <c r="C1301" t="s">
        <v>23</v>
      </c>
      <c r="D1301">
        <v>25110</v>
      </c>
      <c r="E1301">
        <f t="shared" si="41"/>
        <v>25110404</v>
      </c>
      <c r="F1301">
        <f>VLOOKUP(E1301,YieldData!D:F,2,FALSE)</f>
        <v>14</v>
      </c>
      <c r="G1301">
        <f>VLOOKUP($E1301,YieldData!$D:$F,3,FALSE)</f>
        <v>2</v>
      </c>
      <c r="H1301">
        <v>42</v>
      </c>
      <c r="I1301" t="s">
        <v>24</v>
      </c>
      <c r="J1301" t="s">
        <v>25</v>
      </c>
      <c r="K1301" s="2">
        <v>17386.6838322351</v>
      </c>
      <c r="L1301" s="2">
        <v>222214612.71275601</v>
      </c>
      <c r="M1301" s="3">
        <v>7548.5453650491199</v>
      </c>
      <c r="N1301" s="3">
        <v>143905740.05057901</v>
      </c>
      <c r="O1301" s="4">
        <v>0.12634588371937</v>
      </c>
      <c r="P1301" s="4">
        <v>3.3208178040150999E-2</v>
      </c>
      <c r="Q1301" s="5">
        <v>7548.5453650491199</v>
      </c>
      <c r="R1301" s="5">
        <v>143905740.05057901</v>
      </c>
      <c r="S1301" s="6">
        <v>0.40093104437613603</v>
      </c>
      <c r="T1301" s="6">
        <v>0.11197170412393299</v>
      </c>
      <c r="U1301" s="7">
        <v>0.50183575110324496</v>
      </c>
      <c r="V1301" s="7">
        <v>0.24999663001796099</v>
      </c>
      <c r="W1301" s="8">
        <v>0.63016024874431997</v>
      </c>
      <c r="X1301" s="8">
        <v>0.233058309646474</v>
      </c>
      <c r="Y1301" s="2">
        <v>46</v>
      </c>
      <c r="Z1301" s="2">
        <f>VLOOKUP(E1301,YieldData!T:U,2,FALSE)</f>
        <v>1325.8616816431324</v>
      </c>
      <c r="AA1301">
        <f t="shared" si="40"/>
        <v>0.53480834778448805</v>
      </c>
    </row>
    <row r="1302" spans="1:27" hidden="1" x14ac:dyDescent="0.25">
      <c r="A1302">
        <v>133</v>
      </c>
      <c r="B1302">
        <v>405</v>
      </c>
      <c r="C1302" t="s">
        <v>23</v>
      </c>
      <c r="D1302">
        <v>25110</v>
      </c>
      <c r="E1302">
        <f t="shared" si="41"/>
        <v>25110405</v>
      </c>
      <c r="F1302">
        <f>VLOOKUP(E1302,YieldData!D:F,2,FALSE)</f>
        <v>9</v>
      </c>
      <c r="G1302">
        <f>VLOOKUP($E1302,YieldData!$D:$F,3,FALSE)</f>
        <v>2</v>
      </c>
      <c r="H1302">
        <v>42</v>
      </c>
      <c r="I1302" t="s">
        <v>24</v>
      </c>
      <c r="J1302" t="s">
        <v>25</v>
      </c>
      <c r="K1302" s="2">
        <v>12616.5459449761</v>
      </c>
      <c r="L1302" s="2">
        <v>149462593.028391</v>
      </c>
      <c r="M1302" s="3">
        <v>12103.069903040099</v>
      </c>
      <c r="N1302" s="3">
        <v>154088134.92436701</v>
      </c>
      <c r="O1302" s="4">
        <v>6.9706473219181303E-2</v>
      </c>
      <c r="P1302" s="4">
        <v>4.0843899995436098E-2</v>
      </c>
      <c r="Q1302" s="5">
        <v>12103.069903040099</v>
      </c>
      <c r="R1302" s="5">
        <v>154088134.92436701</v>
      </c>
      <c r="S1302" s="6">
        <v>0.29062154803571999</v>
      </c>
      <c r="T1302" s="6">
        <v>0.118688960764296</v>
      </c>
      <c r="U1302" s="7">
        <v>0.36840909090909102</v>
      </c>
      <c r="V1302" s="7">
        <v>0.23268383264439099</v>
      </c>
      <c r="W1302" s="8">
        <v>0.70022483735170304</v>
      </c>
      <c r="X1302" s="8">
        <v>0.209910014507252</v>
      </c>
      <c r="Y1302" s="2">
        <v>62</v>
      </c>
      <c r="Z1302" s="2">
        <f>VLOOKUP(E1302,YieldData!T:U,2,FALSE)</f>
        <v>2104.1399229781773</v>
      </c>
      <c r="AA1302">
        <f t="shared" si="40"/>
        <v>0.36840909090909102</v>
      </c>
    </row>
    <row r="1303" spans="1:27" hidden="1" x14ac:dyDescent="0.25">
      <c r="A1303">
        <v>134</v>
      </c>
      <c r="B1303">
        <v>406</v>
      </c>
      <c r="C1303" t="s">
        <v>23</v>
      </c>
      <c r="D1303">
        <v>25110</v>
      </c>
      <c r="E1303">
        <f t="shared" si="41"/>
        <v>25110406</v>
      </c>
      <c r="F1303">
        <f>VLOOKUP(E1303,YieldData!D:F,2,FALSE)</f>
        <v>8</v>
      </c>
      <c r="G1303">
        <f>VLOOKUP($E1303,YieldData!$D:$F,3,FALSE)</f>
        <v>2</v>
      </c>
      <c r="H1303">
        <v>42</v>
      </c>
      <c r="I1303" t="s">
        <v>24</v>
      </c>
      <c r="J1303" t="s">
        <v>25</v>
      </c>
      <c r="K1303" s="2">
        <v>16317.2951921398</v>
      </c>
      <c r="L1303" s="2">
        <v>250899025.36066699</v>
      </c>
      <c r="M1303" s="3">
        <v>9487.4537765522291</v>
      </c>
      <c r="N1303" s="3">
        <v>130899086.550125</v>
      </c>
      <c r="O1303" s="4">
        <v>7.30857640595034E-2</v>
      </c>
      <c r="P1303" s="4">
        <v>2.6243996582661602E-2</v>
      </c>
      <c r="Q1303" s="5">
        <v>9487.4537765522291</v>
      </c>
      <c r="R1303" s="5">
        <v>130899086.550125</v>
      </c>
      <c r="S1303" s="6">
        <v>0.33474485132355503</v>
      </c>
      <c r="T1303" s="6">
        <v>0.107123623521032</v>
      </c>
      <c r="U1303" s="7">
        <v>0.43879205007356398</v>
      </c>
      <c r="V1303" s="7">
        <v>0.24625358686604901</v>
      </c>
      <c r="W1303" s="8">
        <v>0.54995885594593896</v>
      </c>
      <c r="X1303" s="8">
        <v>0.24750411271286399</v>
      </c>
      <c r="Y1303" s="2">
        <v>22</v>
      </c>
      <c r="Z1303" s="2">
        <f>VLOOKUP(E1303,YieldData!T:U,2,FALSE)</f>
        <v>1424.2105263157896</v>
      </c>
      <c r="AA1303">
        <f t="shared" si="40"/>
        <v>0.442391372108971</v>
      </c>
    </row>
    <row r="1304" spans="1:27" hidden="1" x14ac:dyDescent="0.25">
      <c r="A1304">
        <v>135</v>
      </c>
      <c r="B1304">
        <v>407</v>
      </c>
      <c r="C1304" t="s">
        <v>23</v>
      </c>
      <c r="D1304">
        <v>25110</v>
      </c>
      <c r="E1304">
        <f t="shared" si="41"/>
        <v>25110407</v>
      </c>
      <c r="F1304">
        <f>VLOOKUP(E1304,YieldData!D:F,2,FALSE)</f>
        <v>11</v>
      </c>
      <c r="G1304">
        <f>VLOOKUP($E1304,YieldData!$D:$F,3,FALSE)</f>
        <v>2</v>
      </c>
      <c r="H1304">
        <v>42</v>
      </c>
      <c r="I1304" t="s">
        <v>24</v>
      </c>
      <c r="J1304" t="s">
        <v>25</v>
      </c>
      <c r="K1304" s="2">
        <v>17720.943970053599</v>
      </c>
      <c r="L1304" s="2">
        <v>203810338.81913301</v>
      </c>
      <c r="M1304" s="3">
        <v>7516.1094246712701</v>
      </c>
      <c r="N1304" s="3">
        <v>153623831.43911299</v>
      </c>
      <c r="O1304" s="4">
        <v>0.117111558942083</v>
      </c>
      <c r="P1304" s="4">
        <v>3.91786480239395E-2</v>
      </c>
      <c r="Q1304" s="5">
        <v>7516.1094246712701</v>
      </c>
      <c r="R1304" s="5">
        <v>153623831.43911299</v>
      </c>
      <c r="S1304" s="6">
        <v>0.407431688474513</v>
      </c>
      <c r="T1304" s="6">
        <v>0.12479849709331101</v>
      </c>
      <c r="U1304" s="7">
        <v>0.54326923076923095</v>
      </c>
      <c r="V1304" s="7">
        <v>0.24812777366837499</v>
      </c>
      <c r="W1304" s="8">
        <v>0.65460656149457597</v>
      </c>
      <c r="X1304" s="8">
        <v>0.226096811143112</v>
      </c>
      <c r="Y1304" s="2">
        <v>52</v>
      </c>
      <c r="Z1304" s="2">
        <f>VLOOKUP(E1304,YieldData!T:U,2,FALSE)</f>
        <v>1069.6983311938379</v>
      </c>
      <c r="AA1304">
        <f t="shared" si="40"/>
        <v>0.54326923076923095</v>
      </c>
    </row>
    <row r="1305" spans="1:27" hidden="1" x14ac:dyDescent="0.25">
      <c r="A1305">
        <v>136</v>
      </c>
      <c r="B1305">
        <v>408</v>
      </c>
      <c r="C1305" t="s">
        <v>23</v>
      </c>
      <c r="D1305">
        <v>25110</v>
      </c>
      <c r="E1305">
        <f t="shared" si="41"/>
        <v>25110408</v>
      </c>
      <c r="H1305">
        <v>42</v>
      </c>
      <c r="I1305" t="s">
        <v>24</v>
      </c>
      <c r="J1305" t="s">
        <v>25</v>
      </c>
      <c r="K1305" s="2">
        <v>14754.4575877267</v>
      </c>
      <c r="L1305" s="2">
        <v>147007410.86783999</v>
      </c>
      <c r="M1305" s="3">
        <v>9254.1091320410196</v>
      </c>
      <c r="N1305" s="3">
        <v>129919678.648553</v>
      </c>
      <c r="O1305" s="4">
        <v>0.127519292735639</v>
      </c>
      <c r="P1305" s="4">
        <v>3.6717782741807301E-2</v>
      </c>
      <c r="Q1305" s="5">
        <v>9254.1091320410196</v>
      </c>
      <c r="R1305" s="5">
        <v>129919678.648553</v>
      </c>
      <c r="S1305" s="6">
        <v>0.38586755502289799</v>
      </c>
      <c r="T1305" s="6">
        <v>0.105683961965427</v>
      </c>
      <c r="U1305" s="7">
        <v>0.49238939331904302</v>
      </c>
      <c r="V1305" s="7">
        <v>0.24994207866573001</v>
      </c>
      <c r="W1305" s="8">
        <v>0.93671053740652899</v>
      </c>
      <c r="X1305" s="8">
        <v>5.9283906518209202E-2</v>
      </c>
      <c r="Y1305" s="2">
        <v>178</v>
      </c>
      <c r="Z1305" s="2">
        <f>VLOOKUP(E1305,YieldData!T:U,2,FALSE)</f>
        <v>0</v>
      </c>
      <c r="AA1305">
        <f t="shared" si="40"/>
        <v>0.51172284238286203</v>
      </c>
    </row>
    <row r="1306" spans="1:27" hidden="1" x14ac:dyDescent="0.25">
      <c r="A1306">
        <v>137</v>
      </c>
      <c r="B1306">
        <v>409</v>
      </c>
      <c r="C1306" t="s">
        <v>23</v>
      </c>
      <c r="D1306">
        <v>25110</v>
      </c>
      <c r="E1306">
        <f t="shared" si="41"/>
        <v>25110409</v>
      </c>
      <c r="F1306">
        <f>VLOOKUP(E1306,YieldData!D:F,2,FALSE)</f>
        <v>10</v>
      </c>
      <c r="G1306">
        <f>VLOOKUP($E1306,YieldData!$D:$F,3,FALSE)</f>
        <v>2</v>
      </c>
      <c r="H1306">
        <v>42</v>
      </c>
      <c r="I1306" t="s">
        <v>24</v>
      </c>
      <c r="J1306" t="s">
        <v>25</v>
      </c>
      <c r="K1306" s="2">
        <v>14124.3824405296</v>
      </c>
      <c r="L1306" s="2">
        <v>164115527.59128001</v>
      </c>
      <c r="M1306" s="3">
        <v>8411.8708240161704</v>
      </c>
      <c r="N1306" s="3">
        <v>134986604.74002299</v>
      </c>
      <c r="O1306" s="4">
        <v>0.125580747375618</v>
      </c>
      <c r="P1306" s="4">
        <v>3.7622288274753703E-2</v>
      </c>
      <c r="Q1306" s="5">
        <v>8411.8708240161704</v>
      </c>
      <c r="R1306" s="5">
        <v>134986604.74002299</v>
      </c>
      <c r="S1306" s="6">
        <v>0.37603100509403597</v>
      </c>
      <c r="T1306" s="6">
        <v>0.111853911780045</v>
      </c>
      <c r="U1306" s="7">
        <v>0.47419659622307497</v>
      </c>
      <c r="V1306" s="7">
        <v>0.249334184353565</v>
      </c>
      <c r="W1306" s="8">
        <v>0.64663174010812896</v>
      </c>
      <c r="X1306" s="8">
        <v>0.22849913279314399</v>
      </c>
      <c r="Y1306" s="2">
        <v>54</v>
      </c>
      <c r="Z1306" s="2">
        <f>VLOOKUP(E1306,YieldData!T:U,2,FALSE)</f>
        <v>402.03947368421052</v>
      </c>
      <c r="AA1306">
        <f t="shared" si="40"/>
        <v>0.47419659622307497</v>
      </c>
    </row>
    <row r="1307" spans="1:27" hidden="1" x14ac:dyDescent="0.25">
      <c r="A1307">
        <v>138</v>
      </c>
      <c r="B1307">
        <v>410</v>
      </c>
      <c r="C1307" t="s">
        <v>23</v>
      </c>
      <c r="D1307">
        <v>25110</v>
      </c>
      <c r="E1307">
        <f t="shared" si="41"/>
        <v>25110410</v>
      </c>
      <c r="F1307">
        <f>VLOOKUP(E1307,YieldData!D:F,2,FALSE)</f>
        <v>15</v>
      </c>
      <c r="G1307">
        <f>VLOOKUP($E1307,YieldData!$D:$F,3,FALSE)</f>
        <v>1</v>
      </c>
      <c r="H1307">
        <v>42</v>
      </c>
      <c r="I1307" t="s">
        <v>24</v>
      </c>
      <c r="J1307" t="s">
        <v>25</v>
      </c>
      <c r="K1307" s="2">
        <v>11009.405600009601</v>
      </c>
      <c r="L1307" s="2">
        <v>91644528.505587399</v>
      </c>
      <c r="M1307" s="3">
        <v>10648.1739269585</v>
      </c>
      <c r="N1307" s="3">
        <v>109730773.83283199</v>
      </c>
      <c r="O1307" s="4">
        <v>0.13246219038291801</v>
      </c>
      <c r="P1307" s="4">
        <v>3.65058081632968E-2</v>
      </c>
      <c r="Q1307" s="5">
        <v>10648.1739269585</v>
      </c>
      <c r="R1307" s="5">
        <v>109730773.83283199</v>
      </c>
      <c r="S1307" s="6">
        <v>0.36210167430694601</v>
      </c>
      <c r="T1307" s="6">
        <v>9.4251889662997898E-2</v>
      </c>
      <c r="U1307" s="7">
        <v>0.42416304854856701</v>
      </c>
      <c r="V1307" s="7">
        <v>0.244248756794577</v>
      </c>
      <c r="W1307" s="8">
        <v>0.80077737248101399</v>
      </c>
      <c r="X1307" s="8">
        <v>0.15953297220349699</v>
      </c>
      <c r="Y1307" s="2">
        <v>106</v>
      </c>
      <c r="Z1307" s="2">
        <f>VLOOKUP(E1307,YieldData!T:U,2,FALSE)</f>
        <v>837.17747111681626</v>
      </c>
      <c r="AA1307">
        <f t="shared" si="40"/>
        <v>0.45241141791133999</v>
      </c>
    </row>
    <row r="1308" spans="1:27" hidden="1" x14ac:dyDescent="0.25">
      <c r="A1308">
        <v>139</v>
      </c>
      <c r="B1308">
        <v>411</v>
      </c>
      <c r="C1308" t="s">
        <v>23</v>
      </c>
      <c r="D1308">
        <v>25110</v>
      </c>
      <c r="E1308">
        <f t="shared" si="41"/>
        <v>25110411</v>
      </c>
      <c r="F1308">
        <f>VLOOKUP(E1308,YieldData!D:F,2,FALSE)</f>
        <v>14</v>
      </c>
      <c r="G1308">
        <f>VLOOKUP($E1308,YieldData!$D:$F,3,FALSE)</f>
        <v>1</v>
      </c>
      <c r="H1308">
        <v>42</v>
      </c>
      <c r="I1308" t="s">
        <v>24</v>
      </c>
      <c r="J1308" t="s">
        <v>25</v>
      </c>
      <c r="K1308" s="2">
        <v>9163.4652201265599</v>
      </c>
      <c r="L1308" s="2">
        <v>76371932.337087795</v>
      </c>
      <c r="M1308" s="3">
        <v>12386.6550210106</v>
      </c>
      <c r="N1308" s="3">
        <v>110360809.465857</v>
      </c>
      <c r="O1308" s="4">
        <v>0.115820592678665</v>
      </c>
      <c r="P1308" s="4">
        <v>3.8568875615632998E-2</v>
      </c>
      <c r="Q1308" s="5">
        <v>12386.6550210106</v>
      </c>
      <c r="R1308" s="5">
        <v>110360809.465857</v>
      </c>
      <c r="S1308" s="6">
        <v>0.32272175305185002</v>
      </c>
      <c r="T1308" s="6">
        <v>8.5012768578734299E-2</v>
      </c>
      <c r="U1308" s="7">
        <v>0.34538098116372901</v>
      </c>
      <c r="V1308" s="7">
        <v>0.226092959014279</v>
      </c>
      <c r="W1308" s="8">
        <v>0.914792563624924</v>
      </c>
      <c r="X1308" s="8">
        <v>7.7947129161520995E-2</v>
      </c>
      <c r="Y1308" s="2">
        <v>134</v>
      </c>
      <c r="Z1308" s="2">
        <f>VLOOKUP(E1308,YieldData!T:U,2,FALSE)</f>
        <v>231.2130937098845</v>
      </c>
      <c r="AA1308">
        <f t="shared" si="40"/>
        <v>0.35523588630082897</v>
      </c>
    </row>
    <row r="1309" spans="1:27" hidden="1" x14ac:dyDescent="0.25">
      <c r="A1309">
        <v>140</v>
      </c>
      <c r="B1309">
        <v>412</v>
      </c>
      <c r="C1309" t="s">
        <v>23</v>
      </c>
      <c r="D1309">
        <v>25110</v>
      </c>
      <c r="E1309">
        <f t="shared" si="41"/>
        <v>25110412</v>
      </c>
      <c r="F1309">
        <f>VLOOKUP(E1309,YieldData!D:F,2,FALSE)</f>
        <v>13</v>
      </c>
      <c r="G1309">
        <f>VLOOKUP($E1309,YieldData!$D:$F,3,FALSE)</f>
        <v>1</v>
      </c>
      <c r="H1309">
        <v>42</v>
      </c>
      <c r="I1309" t="s">
        <v>24</v>
      </c>
      <c r="J1309" t="s">
        <v>25</v>
      </c>
      <c r="K1309" s="2">
        <v>8272.5738598988191</v>
      </c>
      <c r="L1309" s="2">
        <v>78850007.472517401</v>
      </c>
      <c r="M1309" s="3">
        <v>12392.093371504599</v>
      </c>
      <c r="N1309" s="3">
        <v>111610096.011695</v>
      </c>
      <c r="O1309" s="4">
        <v>0.10654568235598</v>
      </c>
      <c r="P1309" s="4">
        <v>4.0232581163045601E-2</v>
      </c>
      <c r="Q1309" s="5">
        <v>12392.093371504599</v>
      </c>
      <c r="R1309" s="5">
        <v>111610096.011695</v>
      </c>
      <c r="S1309" s="6">
        <v>0.30936915254721198</v>
      </c>
      <c r="T1309" s="6">
        <v>9.1024643678884895E-2</v>
      </c>
      <c r="U1309" s="7">
        <v>0.32691870686871299</v>
      </c>
      <c r="V1309" s="7">
        <v>0.22004286596800801</v>
      </c>
      <c r="W1309" s="8">
        <v>0.76795837818442803</v>
      </c>
      <c r="X1309" s="8">
        <v>0.17819830756073801</v>
      </c>
      <c r="Y1309" s="2">
        <v>110</v>
      </c>
      <c r="Z1309" s="2">
        <f>VLOOKUP(E1309,YieldData!T:U,2,FALSE)</f>
        <v>646.25641848523742</v>
      </c>
      <c r="AA1309">
        <f t="shared" si="40"/>
        <v>0.32691870686871299</v>
      </c>
    </row>
    <row r="1310" spans="1:27" hidden="1" x14ac:dyDescent="0.25">
      <c r="A1310">
        <v>141</v>
      </c>
      <c r="B1310">
        <v>501</v>
      </c>
      <c r="C1310" t="s">
        <v>23</v>
      </c>
      <c r="D1310">
        <v>25110</v>
      </c>
      <c r="E1310">
        <f t="shared" si="41"/>
        <v>25110501</v>
      </c>
      <c r="F1310">
        <f>VLOOKUP(E1310,YieldData!D:F,2,FALSE)</f>
        <v>2</v>
      </c>
      <c r="G1310">
        <f>VLOOKUP($E1310,YieldData!$D:$F,3,FALSE)</f>
        <v>2</v>
      </c>
      <c r="H1310">
        <v>42</v>
      </c>
      <c r="I1310" t="s">
        <v>24</v>
      </c>
      <c r="J1310" t="s">
        <v>25</v>
      </c>
      <c r="K1310" s="2">
        <v>10149.541471815901</v>
      </c>
      <c r="L1310" s="2">
        <v>98064506.703842893</v>
      </c>
      <c r="M1310" s="3">
        <v>12304.0098096374</v>
      </c>
      <c r="N1310" s="3">
        <v>103060465.19906101</v>
      </c>
      <c r="O1310" s="4">
        <v>9.9459821324687503E-2</v>
      </c>
      <c r="P1310" s="4">
        <v>3.31456956646538E-2</v>
      </c>
      <c r="Q1310" s="5">
        <v>12304.0098096374</v>
      </c>
      <c r="R1310" s="5">
        <v>103060465.19906101</v>
      </c>
      <c r="S1310" s="6">
        <v>0.32168774361834301</v>
      </c>
      <c r="T1310" s="6">
        <v>9.4532642739414793E-2</v>
      </c>
      <c r="U1310" s="7">
        <v>0.38311944600590803</v>
      </c>
      <c r="V1310" s="7">
        <v>0.23633893609804901</v>
      </c>
      <c r="W1310" s="8">
        <v>0.82872690306763097</v>
      </c>
      <c r="X1310" s="8">
        <v>0.14193862319964801</v>
      </c>
      <c r="Y1310" s="2">
        <v>78</v>
      </c>
      <c r="Z1310" s="2">
        <f>VLOOKUP(E1310,YieldData!T:U,2,FALSE)</f>
        <v>1158.1290115532736</v>
      </c>
      <c r="AA1310">
        <f t="shared" si="40"/>
        <v>0.38311944600590803</v>
      </c>
    </row>
    <row r="1311" spans="1:27" hidden="1" x14ac:dyDescent="0.25">
      <c r="A1311">
        <v>142</v>
      </c>
      <c r="B1311">
        <v>502</v>
      </c>
      <c r="C1311" t="s">
        <v>23</v>
      </c>
      <c r="D1311">
        <v>25110</v>
      </c>
      <c r="E1311">
        <f t="shared" si="41"/>
        <v>25110502</v>
      </c>
      <c r="F1311">
        <f>VLOOKUP(E1311,YieldData!D:F,2,FALSE)</f>
        <v>5</v>
      </c>
      <c r="G1311">
        <f>VLOOKUP($E1311,YieldData!$D:$F,3,FALSE)</f>
        <v>2</v>
      </c>
      <c r="H1311">
        <v>42</v>
      </c>
      <c r="I1311" t="s">
        <v>24</v>
      </c>
      <c r="J1311" t="s">
        <v>25</v>
      </c>
      <c r="K1311" s="2">
        <v>11867.2602107328</v>
      </c>
      <c r="L1311" s="2">
        <v>101915282.277032</v>
      </c>
      <c r="M1311" s="3">
        <v>9958.0325447078394</v>
      </c>
      <c r="N1311" s="3">
        <v>119236111.88377599</v>
      </c>
      <c r="O1311" s="4">
        <v>0.13394181386585699</v>
      </c>
      <c r="P1311" s="4">
        <v>3.8690175403626903E-2</v>
      </c>
      <c r="Q1311" s="5">
        <v>9958.0325447078394</v>
      </c>
      <c r="R1311" s="5">
        <v>119236111.88377599</v>
      </c>
      <c r="S1311" s="6">
        <v>0.36938444971446599</v>
      </c>
      <c r="T1311" s="6">
        <v>0.102546476853646</v>
      </c>
      <c r="U1311" s="7">
        <v>0.42938299068326702</v>
      </c>
      <c r="V1311" s="7">
        <v>0.24501323799529401</v>
      </c>
      <c r="W1311" s="8">
        <v>0.81930707870409103</v>
      </c>
      <c r="X1311" s="8">
        <v>0.148042989489725</v>
      </c>
      <c r="Y1311" s="2">
        <v>116</v>
      </c>
      <c r="Z1311" s="2">
        <f>VLOOKUP(E1311,YieldData!T:U,2,FALSE)</f>
        <v>769.25866495507046</v>
      </c>
      <c r="AA1311">
        <f t="shared" si="40"/>
        <v>0.42938299068326702</v>
      </c>
    </row>
    <row r="1312" spans="1:27" hidden="1" x14ac:dyDescent="0.25">
      <c r="A1312">
        <v>143</v>
      </c>
      <c r="B1312">
        <v>503</v>
      </c>
      <c r="C1312" t="s">
        <v>23</v>
      </c>
      <c r="D1312">
        <v>25110</v>
      </c>
      <c r="E1312">
        <f t="shared" si="41"/>
        <v>25110503</v>
      </c>
      <c r="F1312">
        <f>VLOOKUP(E1312,YieldData!D:F,2,FALSE)</f>
        <v>6</v>
      </c>
      <c r="G1312">
        <f>VLOOKUP($E1312,YieldData!$D:$F,3,FALSE)</f>
        <v>2</v>
      </c>
      <c r="H1312">
        <v>42</v>
      </c>
      <c r="I1312" t="s">
        <v>24</v>
      </c>
      <c r="J1312" t="s">
        <v>25</v>
      </c>
      <c r="K1312" s="2">
        <v>9081.3640125331895</v>
      </c>
      <c r="L1312" s="2">
        <v>64460421.847833</v>
      </c>
      <c r="M1312" s="3">
        <v>13152.6471279046</v>
      </c>
      <c r="N1312" s="3">
        <v>124504870.763142</v>
      </c>
      <c r="O1312" s="4">
        <v>8.0338341790199899E-2</v>
      </c>
      <c r="P1312" s="4">
        <v>4.90196224071998E-2</v>
      </c>
      <c r="Q1312" s="5">
        <v>13152.6471279046</v>
      </c>
      <c r="R1312" s="5">
        <v>124504870.763142</v>
      </c>
      <c r="S1312" s="6">
        <v>0.28239333189083399</v>
      </c>
      <c r="T1312" s="6">
        <v>0.10723585265645399</v>
      </c>
      <c r="U1312" s="7">
        <v>0.33415054174938402</v>
      </c>
      <c r="V1312" s="7">
        <v>0.222493957197931</v>
      </c>
      <c r="W1312" s="8">
        <v>0.92388184644821802</v>
      </c>
      <c r="X1312" s="8">
        <v>7.0324180251714996E-2</v>
      </c>
      <c r="Y1312" s="2">
        <v>120</v>
      </c>
      <c r="Z1312" s="2">
        <f>VLOOKUP(E1312,YieldData!T:U,2,FALSE)</f>
        <v>712.86906290115519</v>
      </c>
      <c r="AA1312">
        <f t="shared" si="40"/>
        <v>0.33415054174938402</v>
      </c>
    </row>
    <row r="1313" spans="1:27" hidden="1" x14ac:dyDescent="0.25">
      <c r="A1313">
        <v>144</v>
      </c>
      <c r="B1313">
        <v>504</v>
      </c>
      <c r="C1313" t="s">
        <v>23</v>
      </c>
      <c r="D1313">
        <v>25110</v>
      </c>
      <c r="E1313">
        <f t="shared" si="41"/>
        <v>25110504</v>
      </c>
      <c r="F1313">
        <f>VLOOKUP(E1313,YieldData!D:F,2,FALSE)</f>
        <v>13</v>
      </c>
      <c r="G1313">
        <f>VLOOKUP($E1313,YieldData!$D:$F,3,FALSE)</f>
        <v>2</v>
      </c>
      <c r="H1313">
        <v>42</v>
      </c>
      <c r="I1313" t="s">
        <v>24</v>
      </c>
      <c r="J1313" t="s">
        <v>25</v>
      </c>
      <c r="K1313" s="2">
        <v>16917.076112566199</v>
      </c>
      <c r="L1313" s="2">
        <v>200619503.254298</v>
      </c>
      <c r="M1313" s="3">
        <v>7588.0043438340299</v>
      </c>
      <c r="N1313" s="3">
        <v>132491065.136645</v>
      </c>
      <c r="O1313" s="4">
        <v>0.14349561673887001</v>
      </c>
      <c r="P1313" s="4">
        <v>2.8748555952724301E-2</v>
      </c>
      <c r="Q1313" s="5">
        <v>7588.0043438340299</v>
      </c>
      <c r="R1313" s="5">
        <v>132491065.136645</v>
      </c>
      <c r="S1313" s="6">
        <v>0.42292050496463302</v>
      </c>
      <c r="T1313" s="6">
        <v>9.6681786320707799E-2</v>
      </c>
      <c r="U1313" s="7">
        <v>0.50452680803224403</v>
      </c>
      <c r="V1313" s="7">
        <v>0.24997950800917601</v>
      </c>
      <c r="W1313" s="8">
        <v>0.49097736268729902</v>
      </c>
      <c r="X1313" s="8">
        <v>0.24991859201605901</v>
      </c>
      <c r="Y1313" s="2">
        <v>30</v>
      </c>
      <c r="Z1313" s="2">
        <f>VLOOKUP(E1313,YieldData!T:U,2,FALSE)</f>
        <v>1186.1986521181002</v>
      </c>
      <c r="AA1313">
        <f t="shared" si="40"/>
        <v>0.50452680803224403</v>
      </c>
    </row>
    <row r="1314" spans="1:27" hidden="1" x14ac:dyDescent="0.25">
      <c r="A1314">
        <v>145</v>
      </c>
      <c r="B1314">
        <v>505</v>
      </c>
      <c r="C1314" t="s">
        <v>23</v>
      </c>
      <c r="D1314">
        <v>25110</v>
      </c>
      <c r="E1314">
        <f t="shared" si="41"/>
        <v>25110505</v>
      </c>
      <c r="F1314">
        <f>VLOOKUP(E1314,YieldData!D:F,2,FALSE)</f>
        <v>12</v>
      </c>
      <c r="G1314">
        <f>VLOOKUP($E1314,YieldData!$D:$F,3,FALSE)</f>
        <v>2</v>
      </c>
      <c r="H1314">
        <v>42</v>
      </c>
      <c r="I1314" t="s">
        <v>24</v>
      </c>
      <c r="J1314" t="s">
        <v>25</v>
      </c>
      <c r="K1314" s="2">
        <v>19333.543047466399</v>
      </c>
      <c r="L1314" s="2">
        <v>233975668.599749</v>
      </c>
      <c r="M1314" s="3">
        <v>6479.7579171383004</v>
      </c>
      <c r="N1314" s="3">
        <v>137967111.49682701</v>
      </c>
      <c r="O1314" s="4">
        <v>0.14942422733334801</v>
      </c>
      <c r="P1314" s="4">
        <v>2.9323873204981501E-2</v>
      </c>
      <c r="Q1314" s="5">
        <v>6479.7579171383004</v>
      </c>
      <c r="R1314" s="5">
        <v>137967111.49682701</v>
      </c>
      <c r="S1314" s="6">
        <v>0.45384432064776498</v>
      </c>
      <c r="T1314" s="6">
        <v>9.8941741171450395E-2</v>
      </c>
      <c r="U1314" s="7">
        <v>0.55529377997297202</v>
      </c>
      <c r="V1314" s="7">
        <v>0.24694259789645501</v>
      </c>
      <c r="W1314" s="8">
        <v>0.60549668715765304</v>
      </c>
      <c r="X1314" s="8">
        <v>0.23887044899882501</v>
      </c>
      <c r="Y1314" s="2">
        <v>28</v>
      </c>
      <c r="Z1314" s="2">
        <f>VLOOKUP(E1314,YieldData!T:U,2,FALSE)</f>
        <v>1316.9335686777922</v>
      </c>
      <c r="AA1314">
        <f t="shared" si="40"/>
        <v>0.55529377997297202</v>
      </c>
    </row>
    <row r="1315" spans="1:27" hidden="1" x14ac:dyDescent="0.25">
      <c r="A1315">
        <v>146</v>
      </c>
      <c r="B1315">
        <v>506</v>
      </c>
      <c r="C1315" t="s">
        <v>23</v>
      </c>
      <c r="D1315">
        <v>25110</v>
      </c>
      <c r="E1315">
        <f t="shared" si="41"/>
        <v>25110506</v>
      </c>
      <c r="F1315">
        <f>VLOOKUP(E1315,YieldData!D:F,2,FALSE)</f>
        <v>4</v>
      </c>
      <c r="G1315">
        <f>VLOOKUP($E1315,YieldData!$D:$F,3,FALSE)</f>
        <v>2</v>
      </c>
      <c r="H1315">
        <v>42</v>
      </c>
      <c r="I1315" t="s">
        <v>24</v>
      </c>
      <c r="J1315" t="s">
        <v>25</v>
      </c>
      <c r="K1315" s="2">
        <v>15121.531876094399</v>
      </c>
      <c r="L1315" s="2">
        <v>204620348.95961899</v>
      </c>
      <c r="M1315" s="3">
        <v>8778.6934618207597</v>
      </c>
      <c r="N1315" s="3">
        <v>124585417.304737</v>
      </c>
      <c r="O1315" s="4">
        <v>0.10817619424427</v>
      </c>
      <c r="P1315" s="4">
        <v>2.9385598450761202E-2</v>
      </c>
      <c r="Q1315" s="5">
        <v>8778.6934618207597</v>
      </c>
      <c r="R1315" s="5">
        <v>124585417.304737</v>
      </c>
      <c r="S1315" s="6">
        <v>0.37699732524306101</v>
      </c>
      <c r="T1315" s="6">
        <v>0.102685462694403</v>
      </c>
      <c r="U1315" s="7">
        <v>0.45165147032184</v>
      </c>
      <c r="V1315" s="7">
        <v>0.24766241967776101</v>
      </c>
      <c r="W1315" s="8">
        <v>0.428552450423903</v>
      </c>
      <c r="X1315" s="8">
        <v>0.24489524765949899</v>
      </c>
      <c r="Y1315" s="2">
        <v>24</v>
      </c>
      <c r="Z1315" s="2">
        <f>VLOOKUP(E1315,YieldData!T:U,2,FALSE)</f>
        <v>695.94030808729133</v>
      </c>
      <c r="AA1315">
        <f t="shared" si="40"/>
        <v>0.45165147032184</v>
      </c>
    </row>
    <row r="1316" spans="1:27" hidden="1" x14ac:dyDescent="0.25">
      <c r="A1316">
        <v>147</v>
      </c>
      <c r="B1316">
        <v>507</v>
      </c>
      <c r="C1316" t="s">
        <v>23</v>
      </c>
      <c r="D1316">
        <v>25110</v>
      </c>
      <c r="E1316">
        <f t="shared" si="41"/>
        <v>25110507</v>
      </c>
      <c r="F1316">
        <f>VLOOKUP(E1316,YieldData!D:F,2,FALSE)</f>
        <v>4</v>
      </c>
      <c r="G1316">
        <f>VLOOKUP($E1316,YieldData!$D:$F,3,FALSE)</f>
        <v>3</v>
      </c>
      <c r="H1316">
        <v>42</v>
      </c>
      <c r="I1316" t="s">
        <v>24</v>
      </c>
      <c r="J1316" t="s">
        <v>25</v>
      </c>
      <c r="K1316" s="2">
        <v>15350.371412169899</v>
      </c>
      <c r="L1316" s="2">
        <v>159964017.643433</v>
      </c>
      <c r="M1316" s="3">
        <v>8571.3959434654898</v>
      </c>
      <c r="N1316" s="3">
        <v>143507176.77318999</v>
      </c>
      <c r="O1316" s="4">
        <v>0.136564531904807</v>
      </c>
      <c r="P1316" s="4">
        <v>3.7996715298165902E-2</v>
      </c>
      <c r="Q1316" s="5">
        <v>8571.3959434654898</v>
      </c>
      <c r="R1316" s="5">
        <v>143507176.77318999</v>
      </c>
      <c r="S1316" s="6">
        <v>0.41279104539468198</v>
      </c>
      <c r="T1316" s="6">
        <v>0.116203575292131</v>
      </c>
      <c r="U1316" s="7">
        <v>0.51023727516264805</v>
      </c>
      <c r="V1316" s="7">
        <v>0.24989519819727499</v>
      </c>
      <c r="W1316" s="8">
        <v>0.69468396818752598</v>
      </c>
      <c r="X1316" s="8">
        <v>0.21209815253047501</v>
      </c>
      <c r="Y1316" s="2">
        <v>42</v>
      </c>
      <c r="Z1316" s="2">
        <f>VLOOKUP(E1316,YieldData!T:U,2,FALSE)</f>
        <v>641.50994865211806</v>
      </c>
      <c r="AA1316">
        <f t="shared" si="40"/>
        <v>0.51023727516264805</v>
      </c>
    </row>
    <row r="1317" spans="1:27" hidden="1" x14ac:dyDescent="0.25">
      <c r="A1317">
        <v>148</v>
      </c>
      <c r="B1317">
        <v>508</v>
      </c>
      <c r="C1317" t="s">
        <v>23</v>
      </c>
      <c r="D1317">
        <v>25110</v>
      </c>
      <c r="E1317">
        <f t="shared" si="41"/>
        <v>25110508</v>
      </c>
      <c r="F1317">
        <f>VLOOKUP(E1317,YieldData!D:F,2,FALSE)</f>
        <v>13</v>
      </c>
      <c r="G1317">
        <f>VLOOKUP($E1317,YieldData!$D:$F,3,FALSE)</f>
        <v>3</v>
      </c>
      <c r="H1317">
        <v>42</v>
      </c>
      <c r="I1317" t="s">
        <v>24</v>
      </c>
      <c r="J1317" t="s">
        <v>25</v>
      </c>
      <c r="K1317" s="2">
        <v>11553.566837308301</v>
      </c>
      <c r="L1317" s="2">
        <v>118103742.855753</v>
      </c>
      <c r="M1317" s="3">
        <v>10489.316584095001</v>
      </c>
      <c r="N1317" s="3">
        <v>121407200.60304999</v>
      </c>
      <c r="O1317" s="4">
        <v>0.13170295528569401</v>
      </c>
      <c r="P1317" s="4">
        <v>3.5770178727879999E-2</v>
      </c>
      <c r="Q1317" s="5">
        <v>10489.316584095001</v>
      </c>
      <c r="R1317" s="5">
        <v>121407200.60304999</v>
      </c>
      <c r="S1317" s="6">
        <v>0.36360606441215998</v>
      </c>
      <c r="T1317" s="6">
        <v>0.100653656607106</v>
      </c>
      <c r="U1317" s="7">
        <v>0.41675238619237898</v>
      </c>
      <c r="V1317" s="7">
        <v>0.24306983479549801</v>
      </c>
      <c r="W1317" s="8">
        <v>0.69259378849304598</v>
      </c>
      <c r="X1317" s="8">
        <v>0.21290763263418999</v>
      </c>
      <c r="Y1317" s="2">
        <v>52</v>
      </c>
      <c r="Z1317" s="2">
        <f>VLOOKUP(E1317,YieldData!T:U,2,FALSE)</f>
        <v>394.67265725288831</v>
      </c>
      <c r="AA1317">
        <f t="shared" si="40"/>
        <v>0.41675238619237898</v>
      </c>
    </row>
    <row r="1318" spans="1:27" hidden="1" x14ac:dyDescent="0.25">
      <c r="A1318">
        <v>149</v>
      </c>
      <c r="B1318">
        <v>509</v>
      </c>
      <c r="C1318" t="s">
        <v>23</v>
      </c>
      <c r="D1318">
        <v>25110</v>
      </c>
      <c r="E1318">
        <f t="shared" si="41"/>
        <v>25110509</v>
      </c>
      <c r="F1318">
        <f>VLOOKUP(E1318,YieldData!D:F,2,FALSE)</f>
        <v>8</v>
      </c>
      <c r="G1318">
        <f>VLOOKUP($E1318,YieldData!$D:$F,3,FALSE)</f>
        <v>3</v>
      </c>
      <c r="H1318">
        <v>42</v>
      </c>
      <c r="I1318" t="s">
        <v>24</v>
      </c>
      <c r="J1318" t="s">
        <v>25</v>
      </c>
      <c r="K1318" s="2">
        <v>15103.1663059206</v>
      </c>
      <c r="L1318" s="2">
        <v>187223019.18972301</v>
      </c>
      <c r="M1318" s="3">
        <v>9001.1658492619208</v>
      </c>
      <c r="N1318" s="3">
        <v>128497942.150244</v>
      </c>
      <c r="O1318" s="4">
        <v>0.125507762962732</v>
      </c>
      <c r="P1318" s="4">
        <v>2.73205636360885E-2</v>
      </c>
      <c r="Q1318" s="5">
        <v>9001.1658492619208</v>
      </c>
      <c r="R1318" s="5">
        <v>128497942.150244</v>
      </c>
      <c r="S1318" s="6">
        <v>0.39278370066651203</v>
      </c>
      <c r="T1318" s="6">
        <v>9.4737238899655199E-2</v>
      </c>
      <c r="U1318" s="7">
        <v>0.46421439077765703</v>
      </c>
      <c r="V1318" s="7">
        <v>0.248719390172285</v>
      </c>
      <c r="W1318" s="8">
        <v>0.46675994690202</v>
      </c>
      <c r="X1318" s="8">
        <v>0.248895098869923</v>
      </c>
      <c r="Y1318" s="2">
        <v>26</v>
      </c>
      <c r="Z1318" s="2">
        <f>VLOOKUP(E1318,YieldData!T:U,2,FALSE)</f>
        <v>690.69801026957646</v>
      </c>
      <c r="AA1318">
        <f t="shared" si="40"/>
        <v>0.46421439077765703</v>
      </c>
    </row>
    <row r="1319" spans="1:27" hidden="1" x14ac:dyDescent="0.25">
      <c r="A1319">
        <v>150</v>
      </c>
      <c r="B1319">
        <v>510</v>
      </c>
      <c r="C1319" t="s">
        <v>23</v>
      </c>
      <c r="D1319">
        <v>25110</v>
      </c>
      <c r="E1319">
        <f t="shared" si="41"/>
        <v>25110510</v>
      </c>
      <c r="F1319">
        <f>VLOOKUP(E1319,YieldData!D:F,2,FALSE)</f>
        <v>5</v>
      </c>
      <c r="G1319">
        <f>VLOOKUP($E1319,YieldData!$D:$F,3,FALSE)</f>
        <v>3</v>
      </c>
      <c r="H1319">
        <v>42</v>
      </c>
      <c r="I1319" t="s">
        <v>24</v>
      </c>
      <c r="J1319" t="s">
        <v>25</v>
      </c>
      <c r="K1319" s="2">
        <v>10535.425627840201</v>
      </c>
      <c r="L1319" s="2">
        <v>101544282.550807</v>
      </c>
      <c r="M1319" s="3">
        <v>11094.8224683183</v>
      </c>
      <c r="N1319" s="3">
        <v>109902270.772567</v>
      </c>
      <c r="O1319" s="4">
        <v>0.12437947534949199</v>
      </c>
      <c r="P1319" s="4">
        <v>3.2233100330532602E-2</v>
      </c>
      <c r="Q1319" s="5">
        <v>11094.8224683183</v>
      </c>
      <c r="R1319" s="5">
        <v>109902270.772567</v>
      </c>
      <c r="S1319" s="6">
        <v>0.36144610039965902</v>
      </c>
      <c r="T1319" s="6">
        <v>9.0245106193526603E-2</v>
      </c>
      <c r="U1319" s="7">
        <v>0.377397751734035</v>
      </c>
      <c r="V1319" s="7">
        <v>0.23496868872005899</v>
      </c>
      <c r="W1319" s="8">
        <v>0.48805779143892603</v>
      </c>
      <c r="X1319" s="8">
        <v>0.24985738365468399</v>
      </c>
      <c r="Y1319" s="2">
        <v>28</v>
      </c>
      <c r="Z1319" s="2">
        <f>VLOOKUP(E1319,YieldData!T:U,2,FALSE)</f>
        <v>1385.9820282413348</v>
      </c>
      <c r="AA1319">
        <f t="shared" si="40"/>
        <v>0.377397751734035</v>
      </c>
    </row>
    <row r="1320" spans="1:27" hidden="1" x14ac:dyDescent="0.25">
      <c r="A1320">
        <v>151</v>
      </c>
      <c r="B1320">
        <v>511</v>
      </c>
      <c r="C1320" t="s">
        <v>23</v>
      </c>
      <c r="D1320">
        <v>25110</v>
      </c>
      <c r="E1320">
        <f t="shared" si="41"/>
        <v>25110511</v>
      </c>
      <c r="F1320">
        <f>VLOOKUP(E1320,YieldData!D:F,2,FALSE)</f>
        <v>1</v>
      </c>
      <c r="G1320">
        <f>VLOOKUP($E1320,YieldData!$D:$F,3,FALSE)</f>
        <v>3</v>
      </c>
      <c r="H1320">
        <v>42</v>
      </c>
      <c r="I1320" t="s">
        <v>24</v>
      </c>
      <c r="J1320" t="s">
        <v>25</v>
      </c>
      <c r="K1320" s="2">
        <v>10260.850682849201</v>
      </c>
      <c r="L1320" s="2">
        <v>117226814.11064801</v>
      </c>
      <c r="M1320" s="3">
        <v>11226.980013834</v>
      </c>
      <c r="N1320" s="3">
        <v>97543068.461822197</v>
      </c>
      <c r="O1320" s="4">
        <v>0.111499510821926</v>
      </c>
      <c r="P1320" s="4">
        <v>2.8120903935089699E-2</v>
      </c>
      <c r="Q1320" s="5">
        <v>11226.980013834</v>
      </c>
      <c r="R1320" s="5">
        <v>97543068.461822197</v>
      </c>
      <c r="S1320" s="6">
        <v>0.346154067089328</v>
      </c>
      <c r="T1320" s="6">
        <v>7.7774945511273896E-2</v>
      </c>
      <c r="U1320" s="7">
        <v>0.36131758172046902</v>
      </c>
      <c r="V1320" s="7">
        <v>0.23076718686018399</v>
      </c>
      <c r="W1320" s="8">
        <v>0.76550081394235403</v>
      </c>
      <c r="X1320" s="8">
        <v>0.17950931779613799</v>
      </c>
      <c r="Y1320" s="2">
        <v>90</v>
      </c>
      <c r="Z1320" s="2">
        <f>VLOOKUP(E1320,YieldData!T:U,2,FALSE)</f>
        <v>557.27214377406938</v>
      </c>
      <c r="AA1320">
        <f t="shared" si="40"/>
        <v>0.36131758172046902</v>
      </c>
    </row>
    <row r="1321" spans="1:27" hidden="1" x14ac:dyDescent="0.25">
      <c r="A1321">
        <v>152</v>
      </c>
      <c r="B1321">
        <v>512</v>
      </c>
      <c r="C1321" t="s">
        <v>23</v>
      </c>
      <c r="D1321">
        <v>25110</v>
      </c>
      <c r="E1321">
        <f t="shared" si="41"/>
        <v>25110512</v>
      </c>
      <c r="F1321">
        <f>VLOOKUP(E1321,YieldData!D:F,2,FALSE)</f>
        <v>10</v>
      </c>
      <c r="G1321">
        <f>VLOOKUP($E1321,YieldData!$D:$F,3,FALSE)</f>
        <v>3</v>
      </c>
      <c r="H1321">
        <v>42</v>
      </c>
      <c r="I1321" t="s">
        <v>24</v>
      </c>
      <c r="J1321" t="s">
        <v>25</v>
      </c>
      <c r="K1321" s="2">
        <v>5854.4907266791797</v>
      </c>
      <c r="L1321" s="2">
        <v>39800554.466064699</v>
      </c>
      <c r="M1321" s="3">
        <v>17573.693326543598</v>
      </c>
      <c r="N1321" s="3">
        <v>78995268.210895896</v>
      </c>
      <c r="O1321" s="4">
        <v>1.0982366519137801E-2</v>
      </c>
      <c r="P1321" s="4">
        <v>2.56306162570035E-2</v>
      </c>
      <c r="Q1321" s="5">
        <v>17573.693326543598</v>
      </c>
      <c r="R1321" s="5">
        <v>78995268.210895896</v>
      </c>
      <c r="S1321" s="6">
        <v>0.19662343215627701</v>
      </c>
      <c r="T1321" s="6">
        <v>5.9798283847398298E-2</v>
      </c>
      <c r="U1321" s="7">
        <v>0.17485979408564201</v>
      </c>
      <c r="V1321" s="7">
        <v>0.14428384649786899</v>
      </c>
      <c r="W1321" s="8">
        <v>0.69530324957242495</v>
      </c>
      <c r="X1321" s="8">
        <v>0.21185664070638199</v>
      </c>
      <c r="Y1321" s="2">
        <v>98</v>
      </c>
      <c r="Z1321" s="2">
        <f>VLOOKUP(E1321,YieldData!T:U,2,FALSE)</f>
        <v>1164.9743260590499</v>
      </c>
      <c r="AA1321">
        <f t="shared" si="40"/>
        <v>0.17485979408564201</v>
      </c>
    </row>
    <row r="1322" spans="1:27" hidden="1" x14ac:dyDescent="0.25">
      <c r="A1322">
        <v>153</v>
      </c>
      <c r="B1322">
        <v>601</v>
      </c>
      <c r="C1322" t="s">
        <v>23</v>
      </c>
      <c r="D1322" t="s">
        <v>100</v>
      </c>
      <c r="E1322" t="e">
        <f t="shared" si="41"/>
        <v>#VALUE!</v>
      </c>
      <c r="H1322">
        <v>42</v>
      </c>
      <c r="I1322" t="s">
        <v>24</v>
      </c>
      <c r="J1322" t="s">
        <v>25</v>
      </c>
      <c r="K1322" s="2">
        <v>6078.4760384150804</v>
      </c>
      <c r="L1322" s="2">
        <v>36270672.778769203</v>
      </c>
      <c r="M1322" s="3">
        <v>15504.2134350542</v>
      </c>
      <c r="N1322" s="3">
        <v>76889502.930705398</v>
      </c>
      <c r="O1322" s="4">
        <v>9.3566092755663105E-2</v>
      </c>
      <c r="P1322" s="4">
        <v>3.5045855168955399E-2</v>
      </c>
      <c r="Q1322" s="5">
        <v>15504.2134350542</v>
      </c>
      <c r="R1322" s="5">
        <v>76889502.930705398</v>
      </c>
      <c r="S1322" s="6">
        <v>0.29178487253192398</v>
      </c>
      <c r="T1322" s="6">
        <v>6.9349796713167197E-2</v>
      </c>
      <c r="U1322" s="7">
        <v>0.26107184289524399</v>
      </c>
      <c r="V1322" s="7">
        <v>0.19291333574243999</v>
      </c>
      <c r="W1322" s="8">
        <v>0.86864168590257296</v>
      </c>
      <c r="X1322" s="8">
        <v>0.114103307414994</v>
      </c>
      <c r="Y1322" s="2">
        <v>112</v>
      </c>
      <c r="Z1322" s="2" t="e">
        <f>VLOOKUP(E1322,YieldData!T:U,2,FALSE)</f>
        <v>#VALUE!</v>
      </c>
      <c r="AA1322">
        <f t="shared" si="40"/>
        <v>0.913534329143595</v>
      </c>
    </row>
    <row r="1323" spans="1:27" hidden="1" x14ac:dyDescent="0.25">
      <c r="A1323">
        <v>154</v>
      </c>
      <c r="B1323">
        <v>602</v>
      </c>
      <c r="C1323" t="s">
        <v>23</v>
      </c>
      <c r="D1323" t="s">
        <v>100</v>
      </c>
      <c r="E1323" t="e">
        <f t="shared" si="41"/>
        <v>#VALUE!</v>
      </c>
      <c r="H1323">
        <v>42</v>
      </c>
      <c r="I1323" t="s">
        <v>24</v>
      </c>
      <c r="J1323" t="s">
        <v>25</v>
      </c>
      <c r="K1323" s="2">
        <v>6835.6822156039598</v>
      </c>
      <c r="L1323" s="2">
        <v>47773940.017627902</v>
      </c>
      <c r="M1323" s="3">
        <v>14399.4821376621</v>
      </c>
      <c r="N1323" s="3">
        <v>89667798.885297507</v>
      </c>
      <c r="O1323" s="4">
        <v>9.2732310819775801E-2</v>
      </c>
      <c r="P1323" s="4">
        <v>3.9476475087211298E-2</v>
      </c>
      <c r="Q1323" s="5">
        <v>14399.4821376621</v>
      </c>
      <c r="R1323" s="5">
        <v>89667798.885297507</v>
      </c>
      <c r="S1323" s="6">
        <v>0.30137332147003099</v>
      </c>
      <c r="T1323" s="6">
        <v>7.9186434366738695E-2</v>
      </c>
      <c r="U1323" s="7">
        <v>0.28622005334481598</v>
      </c>
      <c r="V1323" s="7">
        <v>0.20429813440792199</v>
      </c>
      <c r="W1323" s="8">
        <v>0.74130239789511498</v>
      </c>
      <c r="X1323" s="8">
        <v>0.19177315276998699</v>
      </c>
      <c r="Y1323" s="2">
        <v>74</v>
      </c>
      <c r="Z1323" s="2" t="e">
        <f>VLOOKUP(E1323,YieldData!T:U,2,FALSE)</f>
        <v>#VALUE!</v>
      </c>
      <c r="AA1323">
        <f t="shared" si="40"/>
        <v>0.913534329143595</v>
      </c>
    </row>
    <row r="1324" spans="1:27" hidden="1" x14ac:dyDescent="0.25">
      <c r="A1324">
        <v>155</v>
      </c>
      <c r="B1324">
        <v>603</v>
      </c>
      <c r="C1324" t="s">
        <v>23</v>
      </c>
      <c r="D1324" t="s">
        <v>100</v>
      </c>
      <c r="E1324" t="e">
        <f t="shared" si="41"/>
        <v>#VALUE!</v>
      </c>
      <c r="H1324">
        <v>42</v>
      </c>
      <c r="I1324" t="s">
        <v>24</v>
      </c>
      <c r="J1324" t="s">
        <v>25</v>
      </c>
      <c r="K1324" s="2">
        <v>7741.98069701246</v>
      </c>
      <c r="L1324" s="2">
        <v>47665463.511790201</v>
      </c>
      <c r="M1324" s="3">
        <v>15553.5775841493</v>
      </c>
      <c r="N1324" s="3">
        <v>97215856.642735302</v>
      </c>
      <c r="O1324" s="4">
        <v>7.8648351842268996E-2</v>
      </c>
      <c r="P1324" s="4">
        <v>4.0994755077160203E-2</v>
      </c>
      <c r="Q1324" s="5">
        <v>15553.5775841493</v>
      </c>
      <c r="R1324" s="5">
        <v>97215856.642735302</v>
      </c>
      <c r="S1324" s="6">
        <v>0.29533931416477599</v>
      </c>
      <c r="T1324" s="6">
        <v>8.0630539095394305E-2</v>
      </c>
      <c r="U1324" s="7">
        <v>0.29258258186428099</v>
      </c>
      <c r="V1324" s="7">
        <v>0.206978014653975</v>
      </c>
      <c r="W1324" s="8">
        <v>0.85439238477912505</v>
      </c>
      <c r="X1324" s="8">
        <v>0.12440603761074299</v>
      </c>
      <c r="Y1324" s="2">
        <v>102</v>
      </c>
      <c r="Z1324" s="2" t="e">
        <f>VLOOKUP(E1324,YieldData!T:U,2,FALSE)</f>
        <v>#VALUE!</v>
      </c>
      <c r="AA1324">
        <f t="shared" si="40"/>
        <v>0.913534329143595</v>
      </c>
    </row>
    <row r="1325" spans="1:27" hidden="1" x14ac:dyDescent="0.25">
      <c r="A1325">
        <v>156</v>
      </c>
      <c r="B1325">
        <v>604</v>
      </c>
      <c r="C1325" t="s">
        <v>23</v>
      </c>
      <c r="D1325">
        <v>25110</v>
      </c>
      <c r="E1325">
        <f t="shared" si="41"/>
        <v>25110604</v>
      </c>
      <c r="F1325">
        <f>VLOOKUP(E1325,YieldData!D:F,2,FALSE)</f>
        <v>7</v>
      </c>
      <c r="G1325">
        <f>VLOOKUP($E1325,YieldData!$D:$F,3,FALSE)</f>
        <v>3</v>
      </c>
      <c r="H1325">
        <v>42</v>
      </c>
      <c r="I1325" t="s">
        <v>24</v>
      </c>
      <c r="J1325" t="s">
        <v>25</v>
      </c>
      <c r="K1325" s="2">
        <v>8781.5741894590792</v>
      </c>
      <c r="L1325" s="2">
        <v>84260302.534938693</v>
      </c>
      <c r="M1325" s="3">
        <v>12551.024791781399</v>
      </c>
      <c r="N1325" s="3">
        <v>106731629.89697599</v>
      </c>
      <c r="O1325" s="4">
        <v>0.13639239076617701</v>
      </c>
      <c r="P1325" s="4">
        <v>3.8441780652096899E-2</v>
      </c>
      <c r="Q1325" s="5">
        <v>12551.024791781399</v>
      </c>
      <c r="R1325" s="5">
        <v>106731629.89697599</v>
      </c>
      <c r="S1325" s="6">
        <v>0.35718633031006097</v>
      </c>
      <c r="T1325" s="6">
        <v>8.3910624653495899E-2</v>
      </c>
      <c r="U1325" s="7">
        <v>0.337861918031022</v>
      </c>
      <c r="V1325" s="7">
        <v>0.22371124237526799</v>
      </c>
      <c r="W1325" s="8">
        <v>0.59499348171891298</v>
      </c>
      <c r="X1325" s="8">
        <v>0.24097623843069299</v>
      </c>
      <c r="Y1325" s="2">
        <v>52</v>
      </c>
      <c r="Z1325" s="2">
        <f>VLOOKUP(E1325,YieldData!T:U,2,FALSE)</f>
        <v>223.72432605905007</v>
      </c>
      <c r="AA1325">
        <f t="shared" si="40"/>
        <v>0.34746522836265398</v>
      </c>
    </row>
    <row r="1326" spans="1:27" hidden="1" x14ac:dyDescent="0.25">
      <c r="A1326">
        <v>157</v>
      </c>
      <c r="B1326">
        <v>605</v>
      </c>
      <c r="C1326" t="s">
        <v>23</v>
      </c>
      <c r="D1326">
        <v>25110</v>
      </c>
      <c r="E1326">
        <f t="shared" si="41"/>
        <v>25110605</v>
      </c>
      <c r="F1326">
        <f>VLOOKUP(E1326,YieldData!D:F,2,FALSE)</f>
        <v>11</v>
      </c>
      <c r="G1326">
        <f>VLOOKUP($E1326,YieldData!$D:$F,3,FALSE)</f>
        <v>3</v>
      </c>
      <c r="H1326">
        <v>42</v>
      </c>
      <c r="I1326" t="s">
        <v>24</v>
      </c>
      <c r="J1326" t="s">
        <v>25</v>
      </c>
      <c r="K1326" s="2">
        <v>13774.4972430538</v>
      </c>
      <c r="L1326" s="2">
        <v>178583617.54134601</v>
      </c>
      <c r="M1326" s="3">
        <v>9085.2709956698109</v>
      </c>
      <c r="N1326" s="3">
        <v>120783367.909656</v>
      </c>
      <c r="O1326" s="4">
        <v>0.17462762511428301</v>
      </c>
      <c r="P1326" s="4">
        <v>3.2673878585850899E-2</v>
      </c>
      <c r="Q1326" s="5">
        <v>9085.2709956698109</v>
      </c>
      <c r="R1326" s="5">
        <v>120783367.909656</v>
      </c>
      <c r="S1326" s="6">
        <v>0.44629402410835201</v>
      </c>
      <c r="T1326" s="6">
        <v>8.6288545091567997E-2</v>
      </c>
      <c r="U1326" s="7">
        <v>0.45270132883610198</v>
      </c>
      <c r="V1326" s="7">
        <v>0.24776283570633201</v>
      </c>
      <c r="W1326" s="8">
        <v>0.48732822236308598</v>
      </c>
      <c r="X1326" s="8">
        <v>0.24983942605172199</v>
      </c>
      <c r="Y1326" s="2">
        <v>30</v>
      </c>
      <c r="Z1326" s="2">
        <f>VLOOKUP(E1326,YieldData!T:U,2,FALSE)</f>
        <v>429.84595635430037</v>
      </c>
      <c r="AA1326">
        <f t="shared" si="40"/>
        <v>0.46992620588200101</v>
      </c>
    </row>
    <row r="1327" spans="1:27" hidden="1" x14ac:dyDescent="0.25">
      <c r="A1327">
        <v>158</v>
      </c>
      <c r="B1327">
        <v>606</v>
      </c>
      <c r="C1327" t="s">
        <v>23</v>
      </c>
      <c r="D1327">
        <v>25110</v>
      </c>
      <c r="E1327">
        <f t="shared" si="41"/>
        <v>25110606</v>
      </c>
      <c r="F1327">
        <f>VLOOKUP(E1327,YieldData!D:F,2,FALSE)</f>
        <v>9</v>
      </c>
      <c r="G1327">
        <f>VLOOKUP($E1327,YieldData!$D:$F,3,FALSE)</f>
        <v>3</v>
      </c>
      <c r="H1327">
        <v>42</v>
      </c>
      <c r="I1327" t="s">
        <v>24</v>
      </c>
      <c r="J1327" t="s">
        <v>25</v>
      </c>
      <c r="K1327" s="2">
        <v>11047.7607036931</v>
      </c>
      <c r="L1327" s="2">
        <v>131019909.94779401</v>
      </c>
      <c r="M1327" s="3">
        <v>10518.458156659901</v>
      </c>
      <c r="N1327" s="3">
        <v>106281708.095845</v>
      </c>
      <c r="O1327" s="4">
        <v>0.13701893813084501</v>
      </c>
      <c r="P1327" s="4">
        <v>3.5085042085612299E-2</v>
      </c>
      <c r="Q1327" s="5">
        <v>10518.458156659901</v>
      </c>
      <c r="R1327" s="5">
        <v>106281708.095845</v>
      </c>
      <c r="S1327" s="6">
        <v>0.39252643472991799</v>
      </c>
      <c r="T1327" s="6">
        <v>8.8618276203075594E-2</v>
      </c>
      <c r="U1327" s="7">
        <v>0.39368063528511299</v>
      </c>
      <c r="V1327" s="7">
        <v>0.23869619268630801</v>
      </c>
      <c r="W1327" s="8">
        <v>0.41528839139430002</v>
      </c>
      <c r="X1327" s="8">
        <v>0.242823943367727</v>
      </c>
      <c r="Y1327" s="2">
        <v>22</v>
      </c>
      <c r="Z1327" s="2">
        <f>VLOOKUP(E1327,YieldData!T:U,2,FALSE)</f>
        <v>1469.6084724005136</v>
      </c>
      <c r="AA1327">
        <f t="shared" si="40"/>
        <v>0.39368063528511299</v>
      </c>
    </row>
    <row r="1328" spans="1:27" hidden="1" x14ac:dyDescent="0.25">
      <c r="A1328">
        <v>159</v>
      </c>
      <c r="B1328">
        <v>607</v>
      </c>
      <c r="C1328" t="s">
        <v>23</v>
      </c>
      <c r="D1328">
        <v>25110</v>
      </c>
      <c r="E1328">
        <f t="shared" si="41"/>
        <v>25110607</v>
      </c>
      <c r="F1328">
        <f>VLOOKUP(E1328,YieldData!D:F,2,FALSE)</f>
        <v>6</v>
      </c>
      <c r="G1328">
        <f>VLOOKUP($E1328,YieldData!$D:$F,3,FALSE)</f>
        <v>3</v>
      </c>
      <c r="H1328">
        <v>42</v>
      </c>
      <c r="I1328" t="s">
        <v>24</v>
      </c>
      <c r="J1328" t="s">
        <v>25</v>
      </c>
      <c r="K1328" s="2">
        <v>11553.4418265321</v>
      </c>
      <c r="L1328" s="2">
        <v>137530530.810269</v>
      </c>
      <c r="M1328" s="3">
        <v>10689.4944927002</v>
      </c>
      <c r="N1328" s="3">
        <v>104291512.071009</v>
      </c>
      <c r="O1328" s="4">
        <v>0.13237073784226899</v>
      </c>
      <c r="P1328" s="4">
        <v>3.1772138312749998E-2</v>
      </c>
      <c r="Q1328" s="5">
        <v>10689.4944927002</v>
      </c>
      <c r="R1328" s="5">
        <v>104291512.071009</v>
      </c>
      <c r="S1328" s="6">
        <v>0.38967196936423498</v>
      </c>
      <c r="T1328" s="6">
        <v>8.4950437477735299E-2</v>
      </c>
      <c r="U1328" s="7">
        <v>0.39178586805721699</v>
      </c>
      <c r="V1328" s="7">
        <v>0.23828970164819499</v>
      </c>
      <c r="W1328" s="8">
        <v>0.46484314264869497</v>
      </c>
      <c r="X1328" s="8">
        <v>0.24876399538101299</v>
      </c>
      <c r="Y1328" s="2">
        <v>38</v>
      </c>
      <c r="Z1328" s="2">
        <f>VLOOKUP(E1328,YieldData!T:U,2,FALSE)</f>
        <v>429.81386392811288</v>
      </c>
      <c r="AA1328">
        <f t="shared" si="40"/>
        <v>0.39178586805721699</v>
      </c>
    </row>
    <row r="1329" spans="1:27" hidden="1" x14ac:dyDescent="0.25">
      <c r="A1329">
        <v>160</v>
      </c>
      <c r="B1329">
        <v>608</v>
      </c>
      <c r="C1329" t="s">
        <v>23</v>
      </c>
      <c r="D1329">
        <v>25110</v>
      </c>
      <c r="E1329">
        <f t="shared" si="41"/>
        <v>25110608</v>
      </c>
      <c r="F1329">
        <f>VLOOKUP(E1329,YieldData!D:F,2,FALSE)</f>
        <v>14</v>
      </c>
      <c r="G1329">
        <f>VLOOKUP($E1329,YieldData!$D:$F,3,FALSE)</f>
        <v>3</v>
      </c>
      <c r="H1329">
        <v>42</v>
      </c>
      <c r="I1329" t="s">
        <v>24</v>
      </c>
      <c r="J1329" t="s">
        <v>25</v>
      </c>
      <c r="K1329" s="2">
        <v>11383.984692108101</v>
      </c>
      <c r="L1329" s="2">
        <v>102496021.565092</v>
      </c>
      <c r="M1329" s="3">
        <v>10210.803900249501</v>
      </c>
      <c r="N1329" s="3">
        <v>119476137.76579</v>
      </c>
      <c r="O1329" s="4">
        <v>0.17312598708275401</v>
      </c>
      <c r="P1329" s="4">
        <v>4.16613170359676E-2</v>
      </c>
      <c r="Q1329" s="5">
        <v>10210.803900249501</v>
      </c>
      <c r="R1329" s="5">
        <v>119476137.76579</v>
      </c>
      <c r="S1329" s="6">
        <v>0.42685990998159401</v>
      </c>
      <c r="T1329" s="6">
        <v>9.2051426181136001E-2</v>
      </c>
      <c r="U1329" s="7">
        <v>0.446201131348888</v>
      </c>
      <c r="V1329" s="7">
        <v>0.247105681732081</v>
      </c>
      <c r="W1329" s="8">
        <v>0.77138722447466301</v>
      </c>
      <c r="X1329" s="8">
        <v>0.17634897439203301</v>
      </c>
      <c r="Y1329" s="2">
        <v>84</v>
      </c>
      <c r="Z1329" s="2">
        <f>VLOOKUP(E1329,YieldData!T:U,2,FALSE)</f>
        <v>260.46373555840825</v>
      </c>
      <c r="AA1329">
        <f t="shared" si="40"/>
        <v>0.446201131348888</v>
      </c>
    </row>
    <row r="1330" spans="1:27" hidden="1" x14ac:dyDescent="0.25">
      <c r="A1330">
        <v>161</v>
      </c>
      <c r="B1330">
        <v>609</v>
      </c>
      <c r="C1330" t="s">
        <v>23</v>
      </c>
      <c r="D1330">
        <v>25110</v>
      </c>
      <c r="E1330">
        <f t="shared" si="41"/>
        <v>25110609</v>
      </c>
      <c r="F1330">
        <f>VLOOKUP(E1330,YieldData!D:F,2,FALSE)</f>
        <v>2</v>
      </c>
      <c r="G1330">
        <f>VLOOKUP($E1330,YieldData!$D:$F,3,FALSE)</f>
        <v>3</v>
      </c>
      <c r="H1330">
        <v>42</v>
      </c>
      <c r="I1330" t="s">
        <v>24</v>
      </c>
      <c r="J1330" t="s">
        <v>25</v>
      </c>
      <c r="K1330" s="2">
        <v>8997.4472815557201</v>
      </c>
      <c r="L1330" s="2">
        <v>121581917.33117799</v>
      </c>
      <c r="M1330" s="3">
        <v>13102.161017483</v>
      </c>
      <c r="N1330" s="3">
        <v>89727363.210407197</v>
      </c>
      <c r="O1330" s="4">
        <v>8.8405767736559199E-2</v>
      </c>
      <c r="P1330" s="4">
        <v>2.7196637989992299E-2</v>
      </c>
      <c r="Q1330" s="5">
        <v>13102.161017483</v>
      </c>
      <c r="R1330" s="5">
        <v>89727363.210407197</v>
      </c>
      <c r="S1330" s="6">
        <v>0.31986634655706903</v>
      </c>
      <c r="T1330" s="6">
        <v>7.3507070926527501E-2</v>
      </c>
      <c r="U1330" s="7">
        <v>0.30308321572942298</v>
      </c>
      <c r="V1330" s="7">
        <v>0.21122378007255399</v>
      </c>
      <c r="W1330" s="8">
        <v>0.72799358943692305</v>
      </c>
      <c r="X1330" s="8">
        <v>0.198018923175384</v>
      </c>
      <c r="Y1330" s="2">
        <v>70</v>
      </c>
      <c r="Z1330" s="2">
        <f>VLOOKUP(E1330,YieldData!T:U,2,FALSE)</f>
        <v>459.55551989730429</v>
      </c>
      <c r="AA1330">
        <f t="shared" si="40"/>
        <v>0.30308321572942298</v>
      </c>
    </row>
    <row r="1331" spans="1:27" hidden="1" x14ac:dyDescent="0.25">
      <c r="A1331">
        <v>162</v>
      </c>
      <c r="B1331">
        <v>610</v>
      </c>
      <c r="C1331" t="s">
        <v>23</v>
      </c>
      <c r="D1331">
        <v>25110</v>
      </c>
      <c r="E1331">
        <f t="shared" si="41"/>
        <v>25110610</v>
      </c>
      <c r="F1331">
        <f>VLOOKUP(E1331,YieldData!D:F,2,FALSE)</f>
        <v>3</v>
      </c>
      <c r="G1331">
        <f>VLOOKUP($E1331,YieldData!$D:$F,3,FALSE)</f>
        <v>3</v>
      </c>
      <c r="H1331">
        <v>42</v>
      </c>
      <c r="I1331" t="s">
        <v>24</v>
      </c>
      <c r="J1331" t="s">
        <v>25</v>
      </c>
      <c r="K1331" s="2">
        <v>10168.6346891419</v>
      </c>
      <c r="L1331" s="2">
        <v>107187022.241357</v>
      </c>
      <c r="M1331" s="3">
        <v>11015.910929150299</v>
      </c>
      <c r="N1331" s="3">
        <v>109011894.70376</v>
      </c>
      <c r="O1331" s="4">
        <v>0.16476148571871399</v>
      </c>
      <c r="P1331" s="4">
        <v>3.4729741086079902E-2</v>
      </c>
      <c r="Q1331" s="5">
        <v>11015.910929150299</v>
      </c>
      <c r="R1331" s="5">
        <v>109011894.70376</v>
      </c>
      <c r="S1331" s="6">
        <v>0.41228584971832799</v>
      </c>
      <c r="T1331" s="6">
        <v>8.1898855941061305E-2</v>
      </c>
      <c r="U1331" s="7">
        <v>0.388695850816972</v>
      </c>
      <c r="V1331" s="7">
        <v>0.237611386374838</v>
      </c>
      <c r="W1331" s="8">
        <v>0.496332988674345</v>
      </c>
      <c r="X1331" s="8">
        <v>0.24998655302800701</v>
      </c>
      <c r="Y1331" s="2">
        <v>24</v>
      </c>
      <c r="Z1331" s="2">
        <f>VLOOKUP(E1331,YieldData!T:U,2,FALSE)</f>
        <v>431.31578947368428</v>
      </c>
      <c r="AA1331">
        <f t="shared" si="40"/>
        <v>0.388695850816972</v>
      </c>
    </row>
    <row r="1332" spans="1:27" hidden="1" x14ac:dyDescent="0.25">
      <c r="A1332">
        <v>163</v>
      </c>
      <c r="B1332">
        <v>611</v>
      </c>
      <c r="C1332" t="s">
        <v>23</v>
      </c>
      <c r="D1332">
        <v>25110</v>
      </c>
      <c r="E1332">
        <f t="shared" si="41"/>
        <v>25110611</v>
      </c>
      <c r="H1332">
        <v>42</v>
      </c>
      <c r="I1332" t="s">
        <v>24</v>
      </c>
      <c r="J1332" t="s">
        <v>25</v>
      </c>
      <c r="K1332" s="2">
        <v>12984.730226883999</v>
      </c>
      <c r="L1332" s="2">
        <v>146967091.40056801</v>
      </c>
      <c r="M1332" s="3">
        <v>9790.5856181274503</v>
      </c>
      <c r="N1332" s="3">
        <v>122278470.77494501</v>
      </c>
      <c r="O1332" s="4">
        <v>0.17841616210539099</v>
      </c>
      <c r="P1332" s="4">
        <v>3.3210670886302703E-2</v>
      </c>
      <c r="Q1332" s="5">
        <v>9790.5856181274503</v>
      </c>
      <c r="R1332" s="5">
        <v>122278470.77494501</v>
      </c>
      <c r="S1332" s="6">
        <v>0.44689394223956702</v>
      </c>
      <c r="T1332" s="6">
        <v>8.3712863397667994E-2</v>
      </c>
      <c r="U1332" s="7">
        <v>0.44827833658250699</v>
      </c>
      <c r="V1332" s="7">
        <v>0.24732486953333799</v>
      </c>
      <c r="W1332" s="8">
        <v>0.39559414466130899</v>
      </c>
      <c r="X1332" s="8">
        <v>0.23909941737072299</v>
      </c>
      <c r="Y1332" s="2">
        <v>20</v>
      </c>
      <c r="Z1332" s="2">
        <f>VLOOKUP(E1332,YieldData!T:U,2,FALSE)</f>
        <v>0</v>
      </c>
      <c r="AA1332">
        <f t="shared" si="40"/>
        <v>0.44827833658250699</v>
      </c>
    </row>
    <row r="1333" spans="1:27" hidden="1" x14ac:dyDescent="0.25">
      <c r="A1333">
        <v>164</v>
      </c>
      <c r="B1333">
        <v>612</v>
      </c>
      <c r="C1333" t="s">
        <v>23</v>
      </c>
      <c r="D1333">
        <v>25110</v>
      </c>
      <c r="E1333">
        <f t="shared" si="41"/>
        <v>25110612</v>
      </c>
      <c r="F1333">
        <f>VLOOKUP(E1333,YieldData!D:F,2,FALSE)</f>
        <v>15</v>
      </c>
      <c r="G1333">
        <f>VLOOKUP($E1333,YieldData!$D:$F,3,FALSE)</f>
        <v>3</v>
      </c>
      <c r="H1333">
        <v>42</v>
      </c>
      <c r="I1333" t="s">
        <v>24</v>
      </c>
      <c r="J1333" t="s">
        <v>25</v>
      </c>
      <c r="K1333" s="2">
        <v>10120.391567422201</v>
      </c>
      <c r="L1333" s="2">
        <v>129313220.798583</v>
      </c>
      <c r="M1333" s="3">
        <v>12425.2401777457</v>
      </c>
      <c r="N1333" s="3">
        <v>119783675.529208</v>
      </c>
      <c r="O1333" s="4">
        <v>0.13721543887934001</v>
      </c>
      <c r="P1333" s="4">
        <v>3.5397393194184099E-2</v>
      </c>
      <c r="Q1333" s="5">
        <v>12425.2401777457</v>
      </c>
      <c r="R1333" s="5">
        <v>119783675.529208</v>
      </c>
      <c r="S1333" s="6">
        <v>0.38252002714937</v>
      </c>
      <c r="T1333" s="6">
        <v>8.4408684076027293E-2</v>
      </c>
      <c r="U1333" s="7">
        <v>0.347999903956973</v>
      </c>
      <c r="V1333" s="7">
        <v>0.22689597080287</v>
      </c>
      <c r="W1333" s="8">
        <v>0.49794115175452303</v>
      </c>
      <c r="X1333" s="8">
        <v>0.24999576114371799</v>
      </c>
      <c r="Y1333" s="2">
        <v>28</v>
      </c>
      <c r="Z1333" s="2">
        <f>VLOOKUP(E1333,YieldData!T:U,2,FALSE)</f>
        <v>1202.8161103979462</v>
      </c>
      <c r="AA1333">
        <f t="shared" si="40"/>
        <v>0.347999903956973</v>
      </c>
    </row>
    <row r="1334" spans="1:27" hidden="1" x14ac:dyDescent="0.25">
      <c r="A1334">
        <v>230</v>
      </c>
      <c r="B1334">
        <v>101</v>
      </c>
      <c r="C1334" t="s">
        <v>26</v>
      </c>
      <c r="D1334">
        <v>25104</v>
      </c>
      <c r="E1334">
        <f t="shared" si="41"/>
        <v>25104101</v>
      </c>
      <c r="F1334">
        <f>VLOOKUP(E1334,YieldData!D:F,2,FALSE)</f>
        <v>1</v>
      </c>
      <c r="G1334">
        <f>VLOOKUP($E1334,YieldData!$D:$F,3,FALSE)</f>
        <v>1</v>
      </c>
      <c r="H1334">
        <v>42</v>
      </c>
      <c r="I1334" t="s">
        <v>27</v>
      </c>
      <c r="J1334" t="s">
        <v>28</v>
      </c>
      <c r="K1334" s="2">
        <v>5434.0692142088301</v>
      </c>
      <c r="L1334" s="2">
        <v>30840477.8315088</v>
      </c>
      <c r="M1334" s="3">
        <v>14371.533738784799</v>
      </c>
      <c r="N1334" s="3">
        <v>61845410.545005597</v>
      </c>
      <c r="O1334" s="4">
        <v>7.7276019676413302E-2</v>
      </c>
      <c r="P1334" s="4">
        <v>4.8066310454196501E-2</v>
      </c>
      <c r="Q1334" s="5">
        <v>14371.533738784799</v>
      </c>
      <c r="R1334" s="5">
        <v>61845410.545005597</v>
      </c>
      <c r="S1334" s="6">
        <v>0.29419482227208199</v>
      </c>
      <c r="T1334" s="6">
        <v>7.0332610445694305E-2</v>
      </c>
      <c r="U1334" s="7">
        <v>0.27361559622054799</v>
      </c>
      <c r="V1334" s="7">
        <v>0.198750101725227</v>
      </c>
      <c r="W1334" s="8">
        <v>0.99215423623403298</v>
      </c>
      <c r="X1334" s="8">
        <v>7.7842077569087002E-3</v>
      </c>
      <c r="Y1334" s="2">
        <v>190</v>
      </c>
      <c r="Z1334" s="2">
        <f>VLOOKUP(E1334,YieldData!T:U,2,FALSE)</f>
        <v>534</v>
      </c>
      <c r="AA1334">
        <f t="shared" si="40"/>
        <v>0.27361559622054799</v>
      </c>
    </row>
    <row r="1335" spans="1:27" hidden="1" x14ac:dyDescent="0.25">
      <c r="A1335">
        <v>231</v>
      </c>
      <c r="B1335">
        <v>102</v>
      </c>
      <c r="C1335" t="s">
        <v>26</v>
      </c>
      <c r="D1335">
        <v>25104</v>
      </c>
      <c r="E1335">
        <f t="shared" si="41"/>
        <v>25104102</v>
      </c>
      <c r="F1335">
        <f>VLOOKUP(E1335,YieldData!D:F,2,FALSE)</f>
        <v>2</v>
      </c>
      <c r="G1335">
        <f>VLOOKUP($E1335,YieldData!$D:$F,3,FALSE)</f>
        <v>1</v>
      </c>
      <c r="H1335">
        <v>42</v>
      </c>
      <c r="I1335" t="s">
        <v>27</v>
      </c>
      <c r="J1335" t="s">
        <v>28</v>
      </c>
      <c r="K1335" s="2">
        <v>6553.0542232019598</v>
      </c>
      <c r="L1335" s="2">
        <v>30319718.0331668</v>
      </c>
      <c r="M1335" s="3">
        <v>10215.175440048501</v>
      </c>
      <c r="N1335" s="3">
        <v>75846798.099734098</v>
      </c>
      <c r="O1335" s="4">
        <v>0.17650983201020301</v>
      </c>
      <c r="P1335" s="4">
        <v>6.9684634739259094E-2</v>
      </c>
      <c r="Q1335" s="5">
        <v>10215.175440048501</v>
      </c>
      <c r="R1335" s="5">
        <v>75846798.099734098</v>
      </c>
      <c r="S1335" s="6">
        <v>0.39810814506230402</v>
      </c>
      <c r="T1335" s="6">
        <v>0.10191864939397501</v>
      </c>
      <c r="U1335" s="7">
        <v>0.40237923302041001</v>
      </c>
      <c r="V1335" s="7">
        <v>0.240470185854358</v>
      </c>
      <c r="W1335" s="8">
        <v>0.65994780317235102</v>
      </c>
      <c r="X1335" s="8">
        <v>0.22441670026052199</v>
      </c>
      <c r="Y1335" s="2">
        <v>42</v>
      </c>
      <c r="Z1335" s="2">
        <f>VLOOKUP(E1335,YieldData!T:U,2,FALSE)</f>
        <v>1547</v>
      </c>
      <c r="AA1335">
        <f t="shared" si="40"/>
        <v>0.40237923302041001</v>
      </c>
    </row>
    <row r="1336" spans="1:27" hidden="1" x14ac:dyDescent="0.25">
      <c r="A1336">
        <v>232</v>
      </c>
      <c r="B1336">
        <v>103</v>
      </c>
      <c r="C1336" t="s">
        <v>26</v>
      </c>
      <c r="D1336">
        <v>25104</v>
      </c>
      <c r="E1336">
        <f t="shared" si="41"/>
        <v>25104103</v>
      </c>
      <c r="F1336">
        <f>VLOOKUP(E1336,YieldData!D:F,2,FALSE)</f>
        <v>3</v>
      </c>
      <c r="G1336">
        <f>VLOOKUP($E1336,YieldData!$D:$F,3,FALSE)</f>
        <v>1</v>
      </c>
      <c r="H1336">
        <v>42</v>
      </c>
      <c r="I1336" t="s">
        <v>27</v>
      </c>
      <c r="J1336" t="s">
        <v>28</v>
      </c>
      <c r="K1336" s="2">
        <v>6829.7685390033603</v>
      </c>
      <c r="L1336" s="2">
        <v>43939336.044450998</v>
      </c>
      <c r="M1336" s="3">
        <v>12090.117997290299</v>
      </c>
      <c r="N1336" s="3">
        <v>88441132.533821598</v>
      </c>
      <c r="O1336" s="4">
        <v>0.103500895607953</v>
      </c>
      <c r="P1336" s="4">
        <v>7.1531582008536099E-2</v>
      </c>
      <c r="Q1336" s="5">
        <v>12090.117997290299</v>
      </c>
      <c r="R1336" s="5">
        <v>88441132.533821598</v>
      </c>
      <c r="S1336" s="6">
        <v>0.319377050077435</v>
      </c>
      <c r="T1336" s="6">
        <v>0.10815103035278099</v>
      </c>
      <c r="U1336" s="7">
        <v>0.32019468793724098</v>
      </c>
      <c r="V1336" s="7">
        <v>0.217670049754045</v>
      </c>
      <c r="W1336" s="8">
        <v>0.72975074155583197</v>
      </c>
      <c r="X1336" s="8">
        <v>0.197214596754378</v>
      </c>
      <c r="Y1336" s="2">
        <v>60</v>
      </c>
      <c r="Z1336" s="2">
        <f>VLOOKUP(E1336,YieldData!T:U,2,FALSE)</f>
        <v>1172</v>
      </c>
      <c r="AA1336">
        <f t="shared" si="40"/>
        <v>0.32019468793724098</v>
      </c>
    </row>
    <row r="1337" spans="1:27" hidden="1" x14ac:dyDescent="0.25">
      <c r="A1337">
        <v>233</v>
      </c>
      <c r="B1337">
        <v>104</v>
      </c>
      <c r="C1337" t="s">
        <v>26</v>
      </c>
      <c r="D1337">
        <v>25104</v>
      </c>
      <c r="E1337">
        <f t="shared" si="41"/>
        <v>25104104</v>
      </c>
      <c r="F1337">
        <f>VLOOKUP(E1337,YieldData!D:F,2,FALSE)</f>
        <v>4</v>
      </c>
      <c r="G1337">
        <f>VLOOKUP($E1337,YieldData!$D:$F,3,FALSE)</f>
        <v>1</v>
      </c>
      <c r="H1337">
        <v>42</v>
      </c>
      <c r="I1337" t="s">
        <v>27</v>
      </c>
      <c r="J1337" t="s">
        <v>28</v>
      </c>
      <c r="K1337" s="2">
        <v>8484.1693455575205</v>
      </c>
      <c r="L1337" s="2">
        <v>54134608.140176497</v>
      </c>
      <c r="M1337" s="3">
        <v>10192.3473429802</v>
      </c>
      <c r="N1337" s="3">
        <v>100460733.37714501</v>
      </c>
      <c r="O1337" s="4">
        <v>0.175119534329019</v>
      </c>
      <c r="P1337" s="4">
        <v>7.2777838879482804E-2</v>
      </c>
      <c r="Q1337" s="5">
        <v>10192.3473429802</v>
      </c>
      <c r="R1337" s="5">
        <v>100460733.37714501</v>
      </c>
      <c r="S1337" s="6">
        <v>0.39918017804978201</v>
      </c>
      <c r="T1337" s="6">
        <v>0.10696760510101699</v>
      </c>
      <c r="U1337" s="7">
        <v>0.41335522997944002</v>
      </c>
      <c r="V1337" s="7">
        <v>0.242492683827852</v>
      </c>
      <c r="W1337" s="8">
        <v>0.84904635675955298</v>
      </c>
      <c r="X1337" s="8">
        <v>0.12816664083298299</v>
      </c>
      <c r="Y1337" s="2">
        <v>94</v>
      </c>
      <c r="Z1337" s="2">
        <f>VLOOKUP(E1337,YieldData!T:U,2,FALSE)</f>
        <v>1125</v>
      </c>
      <c r="AA1337">
        <f t="shared" si="40"/>
        <v>0.41335522997944002</v>
      </c>
    </row>
    <row r="1338" spans="1:27" hidden="1" x14ac:dyDescent="0.25">
      <c r="A1338">
        <v>234</v>
      </c>
      <c r="B1338">
        <v>105</v>
      </c>
      <c r="C1338" t="s">
        <v>26</v>
      </c>
      <c r="D1338">
        <v>25104</v>
      </c>
      <c r="E1338">
        <f t="shared" si="41"/>
        <v>25104105</v>
      </c>
      <c r="F1338">
        <f>VLOOKUP(E1338,YieldData!D:F,2,FALSE)</f>
        <v>5</v>
      </c>
      <c r="G1338">
        <f>VLOOKUP($E1338,YieldData!$D:$F,3,FALSE)</f>
        <v>1</v>
      </c>
      <c r="H1338">
        <v>42</v>
      </c>
      <c r="I1338" t="s">
        <v>27</v>
      </c>
      <c r="J1338" t="s">
        <v>28</v>
      </c>
      <c r="K1338" s="2">
        <v>10288.6464554677</v>
      </c>
      <c r="L1338" s="2">
        <v>61141793.3181886</v>
      </c>
      <c r="M1338" s="3">
        <v>7654.0530072032097</v>
      </c>
      <c r="N1338" s="3">
        <v>103032200.455346</v>
      </c>
      <c r="O1338" s="4">
        <v>0.23666070233261099</v>
      </c>
      <c r="P1338" s="4">
        <v>7.2600809759644794E-2</v>
      </c>
      <c r="Q1338" s="5">
        <v>7654.0530072032097</v>
      </c>
      <c r="R1338" s="5">
        <v>103032200.455346</v>
      </c>
      <c r="S1338" s="6">
        <v>0.47522664739586301</v>
      </c>
      <c r="T1338" s="6">
        <v>0.109469710923657</v>
      </c>
      <c r="U1338" s="7">
        <v>0.52409286114396003</v>
      </c>
      <c r="V1338" s="7">
        <v>0.249419534041668</v>
      </c>
      <c r="W1338" s="8">
        <v>0.60014688126268101</v>
      </c>
      <c r="X1338" s="8">
        <v>0.239970602173354</v>
      </c>
      <c r="Y1338" s="2">
        <v>42</v>
      </c>
      <c r="Z1338" s="2">
        <f>VLOOKUP(E1338,YieldData!T:U,2,FALSE)</f>
        <v>2382</v>
      </c>
      <c r="AA1338">
        <f t="shared" si="40"/>
        <v>0.52409286114396003</v>
      </c>
    </row>
    <row r="1339" spans="1:27" hidden="1" x14ac:dyDescent="0.25">
      <c r="A1339">
        <v>235</v>
      </c>
      <c r="B1339">
        <v>106</v>
      </c>
      <c r="C1339" t="s">
        <v>26</v>
      </c>
      <c r="D1339">
        <v>25104</v>
      </c>
      <c r="E1339">
        <f t="shared" si="41"/>
        <v>25104106</v>
      </c>
      <c r="F1339">
        <f>VLOOKUP(E1339,YieldData!D:F,2,FALSE)</f>
        <v>4</v>
      </c>
      <c r="G1339">
        <f>VLOOKUP($E1339,YieldData!$D:$F,3,FALSE)</f>
        <v>2</v>
      </c>
      <c r="H1339">
        <v>42</v>
      </c>
      <c r="I1339" t="s">
        <v>27</v>
      </c>
      <c r="J1339" t="s">
        <v>28</v>
      </c>
      <c r="K1339" s="2">
        <v>6982.0410921224202</v>
      </c>
      <c r="L1339" s="2">
        <v>48198160.968353003</v>
      </c>
      <c r="M1339" s="3">
        <v>10611.0319587329</v>
      </c>
      <c r="N1339" s="3">
        <v>89203427.155329004</v>
      </c>
      <c r="O1339" s="4">
        <v>0.13964946795904501</v>
      </c>
      <c r="P1339" s="4">
        <v>7.1891042640279498E-2</v>
      </c>
      <c r="Q1339" s="5">
        <v>10611.0319587329</v>
      </c>
      <c r="R1339" s="5">
        <v>89203427.155329004</v>
      </c>
      <c r="S1339" s="6">
        <v>0.35212169398968202</v>
      </c>
      <c r="T1339" s="6">
        <v>0.112083076292531</v>
      </c>
      <c r="U1339" s="7">
        <v>0.36991281677170901</v>
      </c>
      <c r="V1339" s="7">
        <v>0.23307732475989601</v>
      </c>
      <c r="W1339" s="8">
        <v>0.70628475751958397</v>
      </c>
      <c r="X1339" s="8">
        <v>0.207446598814885</v>
      </c>
      <c r="Y1339" s="2">
        <v>56</v>
      </c>
      <c r="Z1339" s="2">
        <f>VLOOKUP(E1339,YieldData!T:U,2,FALSE)</f>
        <v>1226</v>
      </c>
      <c r="AA1339">
        <f t="shared" si="40"/>
        <v>0.36991281677170901</v>
      </c>
    </row>
    <row r="1340" spans="1:27" hidden="1" x14ac:dyDescent="0.25">
      <c r="A1340">
        <v>236</v>
      </c>
      <c r="B1340">
        <v>107</v>
      </c>
      <c r="C1340" t="s">
        <v>26</v>
      </c>
      <c r="D1340">
        <v>25104</v>
      </c>
      <c r="E1340">
        <f t="shared" si="41"/>
        <v>25104107</v>
      </c>
      <c r="F1340">
        <f>VLOOKUP(E1340,YieldData!D:F,2,FALSE)</f>
        <v>1</v>
      </c>
      <c r="G1340">
        <f>VLOOKUP($E1340,YieldData!$D:$F,3,FALSE)</f>
        <v>2</v>
      </c>
      <c r="H1340">
        <v>42</v>
      </c>
      <c r="I1340" t="s">
        <v>27</v>
      </c>
      <c r="J1340" t="s">
        <v>28</v>
      </c>
      <c r="K1340" s="2">
        <v>7741.5298275408404</v>
      </c>
      <c r="L1340" s="2">
        <v>40388442.563723303</v>
      </c>
      <c r="M1340" s="3">
        <v>8939.1635598078192</v>
      </c>
      <c r="N1340" s="3">
        <v>92445088.733367294</v>
      </c>
      <c r="O1340" s="4">
        <v>0.20908145820391399</v>
      </c>
      <c r="P1340" s="4">
        <v>7.9448890886509499E-2</v>
      </c>
      <c r="Q1340" s="5">
        <v>8939.1635598078192</v>
      </c>
      <c r="R1340" s="5">
        <v>92445088.733367294</v>
      </c>
      <c r="S1340" s="6">
        <v>0.41964401738241802</v>
      </c>
      <c r="T1340" s="6">
        <v>0.12128833816427401</v>
      </c>
      <c r="U1340" s="7">
        <v>0.46171693735498798</v>
      </c>
      <c r="V1340" s="7">
        <v>0.24853440711465599</v>
      </c>
      <c r="W1340" s="8">
        <v>0.67937662213398098</v>
      </c>
      <c r="X1340" s="8">
        <v>0.21782402743186899</v>
      </c>
      <c r="Y1340" s="2">
        <v>62</v>
      </c>
      <c r="Z1340" s="2">
        <f>VLOOKUP(E1340,YieldData!T:U,2,FALSE)</f>
        <v>2154</v>
      </c>
      <c r="AA1340">
        <f t="shared" si="40"/>
        <v>0.46171693735498798</v>
      </c>
    </row>
    <row r="1341" spans="1:27" hidden="1" x14ac:dyDescent="0.25">
      <c r="A1341">
        <v>237</v>
      </c>
      <c r="B1341">
        <v>108</v>
      </c>
      <c r="C1341" t="s">
        <v>26</v>
      </c>
      <c r="D1341">
        <v>25104</v>
      </c>
      <c r="E1341">
        <f t="shared" si="41"/>
        <v>25104108</v>
      </c>
      <c r="F1341">
        <f>VLOOKUP(E1341,YieldData!D:F,2,FALSE)</f>
        <v>5</v>
      </c>
      <c r="G1341">
        <f>VLOOKUP($E1341,YieldData!$D:$F,3,FALSE)</f>
        <v>2</v>
      </c>
      <c r="H1341">
        <v>42</v>
      </c>
      <c r="I1341" t="s">
        <v>27</v>
      </c>
      <c r="J1341" t="s">
        <v>28</v>
      </c>
      <c r="K1341" s="2">
        <v>10092.015918577301</v>
      </c>
      <c r="L1341" s="2">
        <v>64393580.595287196</v>
      </c>
      <c r="M1341" s="3">
        <v>7585.6702679803202</v>
      </c>
      <c r="N1341" s="3">
        <v>84004216.901875302</v>
      </c>
      <c r="O1341" s="4">
        <v>0.214297576200529</v>
      </c>
      <c r="P1341" s="4">
        <v>6.5742115547375204E-2</v>
      </c>
      <c r="Q1341" s="5">
        <v>7585.6702679803202</v>
      </c>
      <c r="R1341" s="5">
        <v>84004216.901875302</v>
      </c>
      <c r="S1341" s="6">
        <v>0.45148890804651398</v>
      </c>
      <c r="T1341" s="6">
        <v>0.113003617035889</v>
      </c>
      <c r="U1341" s="7">
        <v>0.52551636707210603</v>
      </c>
      <c r="V1341" s="7">
        <v>0.24934891501130599</v>
      </c>
      <c r="W1341" s="8">
        <v>0.75338746905533605</v>
      </c>
      <c r="X1341" s="8">
        <v>0.18579479052588399</v>
      </c>
      <c r="Y1341" s="2">
        <v>104</v>
      </c>
      <c r="Z1341" s="2">
        <f>VLOOKUP(E1341,YieldData!T:U,2,FALSE)</f>
        <v>2192</v>
      </c>
      <c r="AA1341">
        <f t="shared" si="40"/>
        <v>0.52551636707210603</v>
      </c>
    </row>
    <row r="1342" spans="1:27" hidden="1" x14ac:dyDescent="0.25">
      <c r="A1342">
        <v>238</v>
      </c>
      <c r="B1342">
        <v>109</v>
      </c>
      <c r="C1342" t="s">
        <v>26</v>
      </c>
      <c r="D1342">
        <v>25104</v>
      </c>
      <c r="E1342">
        <f t="shared" si="41"/>
        <v>25104109</v>
      </c>
      <c r="F1342">
        <f>VLOOKUP(E1342,YieldData!D:F,2,FALSE)</f>
        <v>2</v>
      </c>
      <c r="G1342">
        <f>VLOOKUP($E1342,YieldData!$D:$F,3,FALSE)</f>
        <v>2</v>
      </c>
      <c r="H1342">
        <v>42</v>
      </c>
      <c r="I1342" t="s">
        <v>27</v>
      </c>
      <c r="J1342" t="s">
        <v>28</v>
      </c>
      <c r="K1342" s="2">
        <v>7877.3196236761996</v>
      </c>
      <c r="L1342" s="2">
        <v>50375744.799433097</v>
      </c>
      <c r="M1342" s="3">
        <v>8856.0492766121206</v>
      </c>
      <c r="N1342" s="3">
        <v>84956910.034751207</v>
      </c>
      <c r="O1342" s="4">
        <v>0.175931234160522</v>
      </c>
      <c r="P1342" s="4">
        <v>6.2908755923139006E-2</v>
      </c>
      <c r="Q1342" s="5">
        <v>8856.0492766121206</v>
      </c>
      <c r="R1342" s="5">
        <v>84956910.034751207</v>
      </c>
      <c r="S1342" s="6">
        <v>0.38567614699675201</v>
      </c>
      <c r="T1342" s="6">
        <v>0.107176767195551</v>
      </c>
      <c r="U1342" s="7">
        <v>0.42171660000503097</v>
      </c>
      <c r="V1342" s="7">
        <v>0.24387170928524199</v>
      </c>
      <c r="W1342" s="8">
        <v>0.91644340465139695</v>
      </c>
      <c r="X1342" s="8">
        <v>7.6574890722219596E-2</v>
      </c>
      <c r="Y1342" s="2">
        <v>112</v>
      </c>
      <c r="Z1342" s="2">
        <f>VLOOKUP(E1342,YieldData!T:U,2,FALSE)</f>
        <v>1678</v>
      </c>
      <c r="AA1342">
        <f t="shared" si="40"/>
        <v>0.42171660000503097</v>
      </c>
    </row>
    <row r="1343" spans="1:27" hidden="1" x14ac:dyDescent="0.25">
      <c r="A1343">
        <v>221</v>
      </c>
      <c r="B1343">
        <v>201</v>
      </c>
      <c r="C1343" t="s">
        <v>26</v>
      </c>
      <c r="D1343">
        <v>25104</v>
      </c>
      <c r="E1343">
        <f t="shared" si="41"/>
        <v>25104201</v>
      </c>
      <c r="F1343">
        <f>VLOOKUP(E1343,YieldData!D:F,2,FALSE)</f>
        <v>5</v>
      </c>
      <c r="G1343">
        <f>VLOOKUP($E1343,YieldData!$D:$F,3,FALSE)</f>
        <v>4</v>
      </c>
      <c r="H1343">
        <v>42</v>
      </c>
      <c r="I1343" t="s">
        <v>27</v>
      </c>
      <c r="J1343" t="s">
        <v>28</v>
      </c>
      <c r="K1343" s="2">
        <v>8644.0894489026105</v>
      </c>
      <c r="L1343" s="2">
        <v>80111904.806634396</v>
      </c>
      <c r="M1343" s="3">
        <v>12148.4132068329</v>
      </c>
      <c r="N1343" s="3">
        <v>113586218.110475</v>
      </c>
      <c r="O1343" s="4">
        <v>0.12283546006822001</v>
      </c>
      <c r="P1343" s="4">
        <v>6.8170896023783997E-2</v>
      </c>
      <c r="Q1343" s="5">
        <v>12148.4132068329</v>
      </c>
      <c r="R1343" s="5">
        <v>113586218.110475</v>
      </c>
      <c r="S1343" s="6">
        <v>0.34667191100622702</v>
      </c>
      <c r="T1343" s="6">
        <v>0.11110995258978699</v>
      </c>
      <c r="U1343" s="7">
        <v>0.37392096802774499</v>
      </c>
      <c r="V1343" s="7">
        <v>0.23410407769695299</v>
      </c>
      <c r="W1343" s="8">
        <v>0.79886337746500302</v>
      </c>
      <c r="X1343" s="8">
        <v>0.16068068161021701</v>
      </c>
      <c r="Y1343" s="2">
        <v>66</v>
      </c>
      <c r="Z1343" s="2">
        <f>VLOOKUP(E1343,YieldData!T:U,2,FALSE)</f>
        <v>1492</v>
      </c>
      <c r="AA1343">
        <f t="shared" si="40"/>
        <v>0.37392096802774499</v>
      </c>
    </row>
    <row r="1344" spans="1:27" hidden="1" x14ac:dyDescent="0.25">
      <c r="A1344">
        <v>222</v>
      </c>
      <c r="B1344">
        <v>202</v>
      </c>
      <c r="C1344" t="s">
        <v>26</v>
      </c>
      <c r="D1344">
        <v>25104</v>
      </c>
      <c r="E1344">
        <f t="shared" si="41"/>
        <v>25104202</v>
      </c>
      <c r="F1344">
        <f>VLOOKUP(E1344,YieldData!D:F,2,FALSE)</f>
        <v>1</v>
      </c>
      <c r="G1344">
        <f>VLOOKUP($E1344,YieldData!$D:$F,3,FALSE)</f>
        <v>4</v>
      </c>
      <c r="H1344">
        <v>42</v>
      </c>
      <c r="I1344" t="s">
        <v>27</v>
      </c>
      <c r="J1344" t="s">
        <v>28</v>
      </c>
      <c r="K1344" s="2">
        <v>10179.2169844947</v>
      </c>
      <c r="L1344" s="2">
        <v>51032170.528228998</v>
      </c>
      <c r="M1344" s="3">
        <v>6469.3197999883996</v>
      </c>
      <c r="N1344" s="3">
        <v>98541837.932593197</v>
      </c>
      <c r="O1344" s="4">
        <v>0.28693417426224599</v>
      </c>
      <c r="P1344" s="4">
        <v>8.5056302337178105E-2</v>
      </c>
      <c r="Q1344" s="5">
        <v>6469.3197999883996</v>
      </c>
      <c r="R1344" s="5">
        <v>98541837.932593197</v>
      </c>
      <c r="S1344" s="6">
        <v>0.51562198684052496</v>
      </c>
      <c r="T1344" s="6">
        <v>0.119989176242793</v>
      </c>
      <c r="U1344" s="7">
        <v>0.58287292817679603</v>
      </c>
      <c r="V1344" s="7">
        <v>0.24313207777535101</v>
      </c>
      <c r="W1344" s="8">
        <v>0.72963099677965504</v>
      </c>
      <c r="X1344" s="8">
        <v>0.197269605318492</v>
      </c>
      <c r="Y1344" s="2">
        <v>56</v>
      </c>
      <c r="Z1344" s="2">
        <f>VLOOKUP(E1344,YieldData!T:U,2,FALSE)</f>
        <v>3107</v>
      </c>
      <c r="AA1344">
        <f t="shared" si="40"/>
        <v>0.58287292817679603</v>
      </c>
    </row>
    <row r="1345" spans="1:27" hidden="1" x14ac:dyDescent="0.25">
      <c r="A1345">
        <v>223</v>
      </c>
      <c r="B1345">
        <v>203</v>
      </c>
      <c r="C1345" t="s">
        <v>26</v>
      </c>
      <c r="D1345">
        <v>25104</v>
      </c>
      <c r="E1345">
        <f t="shared" si="41"/>
        <v>25104203</v>
      </c>
      <c r="F1345">
        <f>VLOOKUP(E1345,YieldData!D:F,2,FALSE)</f>
        <v>3</v>
      </c>
      <c r="G1345">
        <f>VLOOKUP($E1345,YieldData!$D:$F,3,FALSE)</f>
        <v>4</v>
      </c>
      <c r="H1345">
        <v>42</v>
      </c>
      <c r="I1345" t="s">
        <v>27</v>
      </c>
      <c r="J1345" t="s">
        <v>28</v>
      </c>
      <c r="K1345" s="2">
        <v>12417.2132682717</v>
      </c>
      <c r="L1345" s="2">
        <v>95278571.660184607</v>
      </c>
      <c r="M1345" s="3">
        <v>7295.6867416939103</v>
      </c>
      <c r="N1345" s="3">
        <v>122838339.674035</v>
      </c>
      <c r="O1345" s="4">
        <v>0.20751149235236799</v>
      </c>
      <c r="P1345" s="4">
        <v>7.6553163989522999E-2</v>
      </c>
      <c r="Q1345" s="5">
        <v>7295.6867416939103</v>
      </c>
      <c r="R1345" s="5">
        <v>122838339.674035</v>
      </c>
      <c r="S1345" s="6">
        <v>0.45154656646610902</v>
      </c>
      <c r="T1345" s="6">
        <v>0.12499095114787701</v>
      </c>
      <c r="U1345" s="7">
        <v>0.52339947137406895</v>
      </c>
      <c r="V1345" s="7">
        <v>0.24945246473962401</v>
      </c>
      <c r="W1345" s="8">
        <v>0.65673248262912998</v>
      </c>
      <c r="X1345" s="8">
        <v>0.225434928888743</v>
      </c>
      <c r="Y1345" s="2">
        <v>48</v>
      </c>
      <c r="Z1345" s="2">
        <f>VLOOKUP(E1345,YieldData!T:U,2,FALSE)</f>
        <v>1849</v>
      </c>
      <c r="AA1345">
        <f t="shared" si="40"/>
        <v>0.52339947137406895</v>
      </c>
    </row>
    <row r="1346" spans="1:27" hidden="1" x14ac:dyDescent="0.25">
      <c r="A1346">
        <v>224</v>
      </c>
      <c r="B1346">
        <v>204</v>
      </c>
      <c r="C1346" t="s">
        <v>26</v>
      </c>
      <c r="D1346">
        <v>25104</v>
      </c>
      <c r="E1346">
        <f t="shared" si="41"/>
        <v>25104204</v>
      </c>
      <c r="F1346">
        <f>VLOOKUP(E1346,YieldData!D:F,2,FALSE)</f>
        <v>4</v>
      </c>
      <c r="G1346">
        <f>VLOOKUP($E1346,YieldData!$D:$F,3,FALSE)</f>
        <v>3</v>
      </c>
      <c r="H1346">
        <v>42</v>
      </c>
      <c r="I1346" t="s">
        <v>27</v>
      </c>
      <c r="J1346" t="s">
        <v>28</v>
      </c>
      <c r="K1346" s="2">
        <v>12428.710996030601</v>
      </c>
      <c r="L1346" s="2">
        <v>89794502.552710593</v>
      </c>
      <c r="M1346" s="3">
        <v>6304.0151610817302</v>
      </c>
      <c r="N1346" s="3">
        <v>118092414.671949</v>
      </c>
      <c r="O1346" s="4">
        <v>0.24478924179373501</v>
      </c>
      <c r="P1346" s="4">
        <v>8.1518313003340004E-2</v>
      </c>
      <c r="Q1346" s="5">
        <v>6304.0151610817302</v>
      </c>
      <c r="R1346" s="5">
        <v>118092414.671949</v>
      </c>
      <c r="S1346" s="6">
        <v>0.49060604400701202</v>
      </c>
      <c r="T1346" s="6">
        <v>0.13208600553508401</v>
      </c>
      <c r="U1346" s="7">
        <v>0.56408874635261996</v>
      </c>
      <c r="V1346" s="7">
        <v>0.245892632591074</v>
      </c>
      <c r="W1346" s="8">
        <v>0.69772240402686303</v>
      </c>
      <c r="X1346" s="8">
        <v>0.210905850945832</v>
      </c>
      <c r="Y1346" s="2">
        <v>40</v>
      </c>
      <c r="Z1346" s="2">
        <f>VLOOKUP(E1346,YieldData!T:U,2,FALSE)</f>
        <v>2033</v>
      </c>
      <c r="AA1346">
        <f t="shared" ref="AA1346:AA1405" si="42">_xlfn.MAXIFS(U:U,E:E,E1346)</f>
        <v>0.56408874635261996</v>
      </c>
    </row>
    <row r="1347" spans="1:27" hidden="1" x14ac:dyDescent="0.25">
      <c r="A1347">
        <v>225</v>
      </c>
      <c r="B1347">
        <v>205</v>
      </c>
      <c r="C1347" t="s">
        <v>26</v>
      </c>
      <c r="D1347">
        <v>25104</v>
      </c>
      <c r="E1347">
        <f t="shared" ref="E1347:E1405" si="43">D1347*1000+B1347</f>
        <v>25104205</v>
      </c>
      <c r="F1347">
        <f>VLOOKUP(E1347,YieldData!D:F,2,FALSE)</f>
        <v>2</v>
      </c>
      <c r="G1347">
        <f>VLOOKUP($E1347,YieldData!$D:$F,3,FALSE)</f>
        <v>3</v>
      </c>
      <c r="H1347">
        <v>42</v>
      </c>
      <c r="I1347" t="s">
        <v>27</v>
      </c>
      <c r="J1347" t="s">
        <v>28</v>
      </c>
      <c r="K1347" s="2">
        <v>10177.139442031599</v>
      </c>
      <c r="L1347" s="2">
        <v>74848698.587899297</v>
      </c>
      <c r="M1347" s="3">
        <v>7972.3118970134701</v>
      </c>
      <c r="N1347" s="3">
        <v>122422956.277683</v>
      </c>
      <c r="O1347" s="4">
        <v>0.19984897772381799</v>
      </c>
      <c r="P1347" s="4">
        <v>8.76239118409535E-2</v>
      </c>
      <c r="Q1347" s="5">
        <v>7972.3118970134701</v>
      </c>
      <c r="R1347" s="5">
        <v>122422956.277683</v>
      </c>
      <c r="S1347" s="6">
        <v>0.42337164186432402</v>
      </c>
      <c r="T1347" s="6">
        <v>0.141348990876215</v>
      </c>
      <c r="U1347" s="7">
        <v>0.49701490669236598</v>
      </c>
      <c r="V1347" s="7">
        <v>0.249991089218012</v>
      </c>
      <c r="W1347" s="8">
        <v>0.65652026984742895</v>
      </c>
      <c r="X1347" s="8">
        <v>0.22550140512727601</v>
      </c>
      <c r="Y1347" s="2">
        <v>44</v>
      </c>
      <c r="Z1347" s="2">
        <f>VLOOKUP(E1347,YieldData!T:U,2,FALSE)</f>
        <v>2592</v>
      </c>
      <c r="AA1347">
        <f t="shared" si="42"/>
        <v>0.49701490669236598</v>
      </c>
    </row>
    <row r="1348" spans="1:27" hidden="1" x14ac:dyDescent="0.25">
      <c r="A1348">
        <v>226</v>
      </c>
      <c r="B1348">
        <v>206</v>
      </c>
      <c r="C1348" t="s">
        <v>26</v>
      </c>
      <c r="D1348">
        <v>25104</v>
      </c>
      <c r="E1348">
        <f t="shared" si="43"/>
        <v>25104206</v>
      </c>
      <c r="F1348">
        <f>VLOOKUP(E1348,YieldData!D:F,2,FALSE)</f>
        <v>3</v>
      </c>
      <c r="G1348">
        <f>VLOOKUP($E1348,YieldData!$D:$F,3,FALSE)</f>
        <v>3</v>
      </c>
      <c r="H1348">
        <v>42</v>
      </c>
      <c r="I1348" t="s">
        <v>27</v>
      </c>
      <c r="J1348" t="s">
        <v>28</v>
      </c>
      <c r="K1348" s="2">
        <v>11415.248277594401</v>
      </c>
      <c r="L1348" s="2">
        <v>86039199.657020196</v>
      </c>
      <c r="M1348" s="3">
        <v>7786.9803499645104</v>
      </c>
      <c r="N1348" s="3">
        <v>106360022.134903</v>
      </c>
      <c r="O1348" s="4">
        <v>0.171745054237747</v>
      </c>
      <c r="P1348" s="4">
        <v>7.1643974955285794E-2</v>
      </c>
      <c r="Q1348" s="5">
        <v>7786.9803499645104</v>
      </c>
      <c r="R1348" s="5">
        <v>106360022.134903</v>
      </c>
      <c r="S1348" s="6">
        <v>0.41328083126938298</v>
      </c>
      <c r="T1348" s="6">
        <v>0.135343779000104</v>
      </c>
      <c r="U1348" s="7">
        <v>0.49840916702550098</v>
      </c>
      <c r="V1348" s="7">
        <v>0.249997469250412</v>
      </c>
      <c r="W1348" s="8">
        <v>0.79864615973401598</v>
      </c>
      <c r="X1348" s="8">
        <v>0.1608104712764</v>
      </c>
      <c r="Y1348" s="2">
        <v>70</v>
      </c>
      <c r="Z1348" s="2">
        <f>VLOOKUP(E1348,YieldData!T:U,2,FALSE)</f>
        <v>1865</v>
      </c>
      <c r="AA1348">
        <f t="shared" si="42"/>
        <v>0.49840916702550098</v>
      </c>
    </row>
    <row r="1349" spans="1:27" hidden="1" x14ac:dyDescent="0.25">
      <c r="A1349">
        <v>227</v>
      </c>
      <c r="B1349">
        <v>207</v>
      </c>
      <c r="C1349" t="s">
        <v>26</v>
      </c>
      <c r="D1349">
        <v>25104</v>
      </c>
      <c r="E1349">
        <f t="shared" si="43"/>
        <v>25104207</v>
      </c>
      <c r="F1349">
        <f>VLOOKUP(E1349,YieldData!D:F,2,FALSE)</f>
        <v>1</v>
      </c>
      <c r="G1349">
        <f>VLOOKUP($E1349,YieldData!$D:$F,3,FALSE)</f>
        <v>3</v>
      </c>
      <c r="H1349">
        <v>42</v>
      </c>
      <c r="I1349" t="s">
        <v>27</v>
      </c>
      <c r="J1349" t="s">
        <v>28</v>
      </c>
      <c r="K1349" s="2">
        <v>10378.877860418999</v>
      </c>
      <c r="L1349" s="2">
        <v>48946684.149516501</v>
      </c>
      <c r="M1349" s="3">
        <v>6029.3192744001299</v>
      </c>
      <c r="N1349" s="3">
        <v>87579172.844036296</v>
      </c>
      <c r="O1349" s="4">
        <v>0.27725934682889802</v>
      </c>
      <c r="P1349" s="4">
        <v>7.2982114021096903E-2</v>
      </c>
      <c r="Q1349" s="5">
        <v>6029.3192744001299</v>
      </c>
      <c r="R1349" s="5">
        <v>87579172.844036296</v>
      </c>
      <c r="S1349" s="6">
        <v>0.50204353750522002</v>
      </c>
      <c r="T1349" s="6">
        <v>0.122271556109581</v>
      </c>
      <c r="U1349" s="7">
        <v>0.59957852981281801</v>
      </c>
      <c r="V1349" s="7">
        <v>0.240084116400544</v>
      </c>
      <c r="W1349" s="8">
        <v>0.64504971361979602</v>
      </c>
      <c r="X1349" s="8">
        <v>0.22896058057858101</v>
      </c>
      <c r="Y1349" s="2">
        <v>54</v>
      </c>
      <c r="Z1349" s="2">
        <f>VLOOKUP(E1349,YieldData!T:U,2,FALSE)</f>
        <v>2723</v>
      </c>
      <c r="AA1349">
        <f t="shared" si="42"/>
        <v>0.59957852981281801</v>
      </c>
    </row>
    <row r="1350" spans="1:27" hidden="1" x14ac:dyDescent="0.25">
      <c r="A1350">
        <v>228</v>
      </c>
      <c r="B1350">
        <v>208</v>
      </c>
      <c r="C1350" t="s">
        <v>26</v>
      </c>
      <c r="D1350">
        <v>25104</v>
      </c>
      <c r="E1350">
        <f t="shared" si="43"/>
        <v>25104208</v>
      </c>
      <c r="F1350">
        <f>VLOOKUP(E1350,YieldData!D:F,2,FALSE)</f>
        <v>5</v>
      </c>
      <c r="G1350">
        <f>VLOOKUP($E1350,YieldData!$D:$F,3,FALSE)</f>
        <v>3</v>
      </c>
      <c r="H1350">
        <v>42</v>
      </c>
      <c r="I1350" t="s">
        <v>27</v>
      </c>
      <c r="J1350" t="s">
        <v>28</v>
      </c>
      <c r="K1350" s="2">
        <v>10947.1352301676</v>
      </c>
      <c r="L1350" s="2">
        <v>67708380.877590299</v>
      </c>
      <c r="M1350" s="3">
        <v>6869.0609224433401</v>
      </c>
      <c r="N1350" s="3">
        <v>88476926.843500406</v>
      </c>
      <c r="O1350" s="4">
        <v>0.22768289719772</v>
      </c>
      <c r="P1350" s="4">
        <v>7.0374693009935596E-2</v>
      </c>
      <c r="Q1350" s="5">
        <v>6869.0609224433401</v>
      </c>
      <c r="R1350" s="5">
        <v>88476926.843500406</v>
      </c>
      <c r="S1350" s="6">
        <v>0.458157637147111</v>
      </c>
      <c r="T1350" s="6">
        <v>0.124130179937469</v>
      </c>
      <c r="U1350" s="7">
        <v>0.56189826940786702</v>
      </c>
      <c r="V1350" s="7">
        <v>0.246168604244214</v>
      </c>
      <c r="W1350" s="8">
        <v>0.684425788397374</v>
      </c>
      <c r="X1350" s="8">
        <v>0.21598712857404301</v>
      </c>
      <c r="Y1350" s="2">
        <v>72</v>
      </c>
      <c r="Z1350" s="2">
        <f>VLOOKUP(E1350,YieldData!T:U,2,FALSE)</f>
        <v>2342</v>
      </c>
      <c r="AA1350">
        <f t="shared" si="42"/>
        <v>0.597065084794412</v>
      </c>
    </row>
    <row r="1351" spans="1:27" hidden="1" x14ac:dyDescent="0.25">
      <c r="A1351">
        <v>229</v>
      </c>
      <c r="B1351">
        <v>209</v>
      </c>
      <c r="C1351" t="s">
        <v>26</v>
      </c>
      <c r="D1351">
        <v>25104</v>
      </c>
      <c r="E1351">
        <f t="shared" si="43"/>
        <v>25104209</v>
      </c>
      <c r="F1351">
        <f>VLOOKUP(E1351,YieldData!D:F,2,FALSE)</f>
        <v>3</v>
      </c>
      <c r="G1351">
        <f>VLOOKUP($E1351,YieldData!$D:$F,3,FALSE)</f>
        <v>2</v>
      </c>
      <c r="H1351">
        <v>42</v>
      </c>
      <c r="I1351" t="s">
        <v>27</v>
      </c>
      <c r="J1351" t="s">
        <v>28</v>
      </c>
      <c r="K1351" s="2">
        <v>12896.5614207785</v>
      </c>
      <c r="L1351" s="2">
        <v>69367424.213579401</v>
      </c>
      <c r="M1351" s="3">
        <v>3741.4051338897102</v>
      </c>
      <c r="N1351" s="3">
        <v>75419555.325049505</v>
      </c>
      <c r="O1351" s="4">
        <v>0.29191661455061702</v>
      </c>
      <c r="P1351" s="4">
        <v>5.4042048518769703E-2</v>
      </c>
      <c r="Q1351" s="5">
        <v>3741.4051338897102</v>
      </c>
      <c r="R1351" s="5">
        <v>75419555.325049505</v>
      </c>
      <c r="S1351" s="6">
        <v>0.54210621247663304</v>
      </c>
      <c r="T1351" s="6">
        <v>0.102166048147854</v>
      </c>
      <c r="U1351" s="7">
        <v>0.65496356452428794</v>
      </c>
      <c r="V1351" s="7">
        <v>0.225986293670006</v>
      </c>
      <c r="W1351" s="8">
        <v>0.89848395784063095</v>
      </c>
      <c r="X1351" s="8">
        <v>9.12105353436794E-2</v>
      </c>
      <c r="Y1351" s="2">
        <v>94</v>
      </c>
      <c r="Z1351" s="2">
        <f>VLOOKUP(E1351,YieldData!T:U,2,FALSE)</f>
        <v>2259</v>
      </c>
      <c r="AA1351">
        <f t="shared" si="42"/>
        <v>0.65496356452428794</v>
      </c>
    </row>
    <row r="1352" spans="1:27" hidden="1" x14ac:dyDescent="0.25">
      <c r="A1352">
        <v>212</v>
      </c>
      <c r="B1352">
        <v>301</v>
      </c>
      <c r="C1352" t="s">
        <v>26</v>
      </c>
      <c r="D1352">
        <v>25104</v>
      </c>
      <c r="E1352">
        <f t="shared" si="43"/>
        <v>25104301</v>
      </c>
      <c r="F1352">
        <f>VLOOKUP(E1352,YieldData!D:F,2,FALSE)</f>
        <v>2</v>
      </c>
      <c r="G1352">
        <f>VLOOKUP($E1352,YieldData!$D:$F,3,FALSE)</f>
        <v>4</v>
      </c>
      <c r="H1352">
        <v>42</v>
      </c>
      <c r="I1352" t="s">
        <v>27</v>
      </c>
      <c r="J1352" t="s">
        <v>28</v>
      </c>
      <c r="K1352" s="2">
        <v>11913.779647015601</v>
      </c>
      <c r="L1352" s="2">
        <v>71415455.990086496</v>
      </c>
      <c r="M1352" s="3">
        <v>6394.1428391844802</v>
      </c>
      <c r="N1352" s="3">
        <v>125531593.938979</v>
      </c>
      <c r="O1352" s="4">
        <v>0.29275974102736102</v>
      </c>
      <c r="P1352" s="4">
        <v>7.5496594960039701E-2</v>
      </c>
      <c r="Q1352" s="5">
        <v>6394.1428391844802</v>
      </c>
      <c r="R1352" s="5">
        <v>125531593.938979</v>
      </c>
      <c r="S1352" s="6">
        <v>0.52631056296560197</v>
      </c>
      <c r="T1352" s="6">
        <v>0.117053809666532</v>
      </c>
      <c r="U1352" s="7">
        <v>0.59911622784013396</v>
      </c>
      <c r="V1352" s="7">
        <v>0.240175973378736</v>
      </c>
      <c r="W1352" s="8">
        <v>0.53862393621903704</v>
      </c>
      <c r="X1352" s="8">
        <v>0.24850819155064999</v>
      </c>
      <c r="Y1352" s="2">
        <v>32</v>
      </c>
      <c r="Z1352" s="2">
        <f>VLOOKUP(E1352,YieldData!T:U,2,FALSE)</f>
        <v>2760</v>
      </c>
      <c r="AA1352">
        <f t="shared" si="42"/>
        <v>0.61340273771437603</v>
      </c>
    </row>
    <row r="1353" spans="1:27" hidden="1" x14ac:dyDescent="0.25">
      <c r="A1353">
        <v>213</v>
      </c>
      <c r="B1353">
        <v>302</v>
      </c>
      <c r="C1353" t="s">
        <v>26</v>
      </c>
      <c r="D1353">
        <v>25104</v>
      </c>
      <c r="E1353">
        <f t="shared" si="43"/>
        <v>25104302</v>
      </c>
      <c r="F1353">
        <f>VLOOKUP(E1353,YieldData!D:F,2,FALSE)</f>
        <v>4</v>
      </c>
      <c r="G1353">
        <f>VLOOKUP($E1353,YieldData!$D:$F,3,FALSE)</f>
        <v>4</v>
      </c>
      <c r="H1353">
        <v>42</v>
      </c>
      <c r="I1353" t="s">
        <v>27</v>
      </c>
      <c r="J1353" t="s">
        <v>28</v>
      </c>
      <c r="K1353" s="2">
        <v>13236.4776142788</v>
      </c>
      <c r="L1353" s="2">
        <v>72299786.895336106</v>
      </c>
      <c r="M1353" s="3">
        <v>5374.6711011872403</v>
      </c>
      <c r="N1353" s="3">
        <v>102551124.40455399</v>
      </c>
      <c r="O1353" s="4">
        <v>0.29307053305974501</v>
      </c>
      <c r="P1353" s="4">
        <v>6.6531869141869204E-2</v>
      </c>
      <c r="Q1353" s="5">
        <v>5374.6711011872403</v>
      </c>
      <c r="R1353" s="5">
        <v>102551124.40455399</v>
      </c>
      <c r="S1353" s="6">
        <v>0.54667264595967202</v>
      </c>
      <c r="T1353" s="6">
        <v>0.113075619162308</v>
      </c>
      <c r="U1353" s="7">
        <v>0.63668411912937894</v>
      </c>
      <c r="V1353" s="7">
        <v>0.231317451578018</v>
      </c>
      <c r="W1353" s="8">
        <v>0.71410107445461302</v>
      </c>
      <c r="X1353" s="8">
        <v>0.20416072991718201</v>
      </c>
      <c r="Y1353" s="2">
        <v>80</v>
      </c>
      <c r="Z1353" s="2">
        <f>VLOOKUP(E1353,YieldData!T:U,2,FALSE)</f>
        <v>2118</v>
      </c>
      <c r="AA1353">
        <f t="shared" si="42"/>
        <v>0.63668411912937894</v>
      </c>
    </row>
    <row r="1354" spans="1:27" hidden="1" x14ac:dyDescent="0.25">
      <c r="A1354">
        <v>214</v>
      </c>
      <c r="B1354">
        <v>303</v>
      </c>
      <c r="C1354" t="s">
        <v>26</v>
      </c>
      <c r="D1354" t="s">
        <v>100</v>
      </c>
      <c r="E1354" t="e">
        <f t="shared" si="43"/>
        <v>#VALUE!</v>
      </c>
      <c r="H1354">
        <v>42</v>
      </c>
      <c r="I1354" t="s">
        <v>27</v>
      </c>
      <c r="J1354" t="s">
        <v>28</v>
      </c>
      <c r="K1354" s="2">
        <v>10644.8681252557</v>
      </c>
      <c r="L1354" s="2">
        <v>61497996.548762202</v>
      </c>
      <c r="M1354" s="3">
        <v>8613.5502654129596</v>
      </c>
      <c r="N1354" s="3">
        <v>103973761.711633</v>
      </c>
      <c r="O1354" s="4">
        <v>0.18728213087233</v>
      </c>
      <c r="P1354" s="4">
        <v>7.1635011842743096E-2</v>
      </c>
      <c r="Q1354" s="5">
        <v>8613.5502654129596</v>
      </c>
      <c r="R1354" s="5">
        <v>103973761.711633</v>
      </c>
      <c r="S1354" s="6">
        <v>0.41411625606999403</v>
      </c>
      <c r="T1354" s="6">
        <v>0.12206404180658099</v>
      </c>
      <c r="U1354" s="7">
        <v>0.49886875105302397</v>
      </c>
      <c r="V1354" s="7">
        <v>0.249998720275761</v>
      </c>
      <c r="W1354" s="8">
        <v>0.94555301480322496</v>
      </c>
      <c r="X1354" s="8">
        <v>5.1482510999732403E-2</v>
      </c>
      <c r="Y1354" s="2">
        <v>172</v>
      </c>
      <c r="Z1354" s="2" t="e">
        <f>VLOOKUP(E1354,YieldData!T:U,2,FALSE)</f>
        <v>#VALUE!</v>
      </c>
      <c r="AA1354">
        <f t="shared" si="42"/>
        <v>0.913534329143595</v>
      </c>
    </row>
    <row r="1355" spans="1:27" hidden="1" x14ac:dyDescent="0.25">
      <c r="A1355">
        <v>215</v>
      </c>
      <c r="B1355">
        <v>304</v>
      </c>
      <c r="C1355" t="s">
        <v>26</v>
      </c>
      <c r="D1355" t="s">
        <v>100</v>
      </c>
      <c r="E1355" t="e">
        <f t="shared" si="43"/>
        <v>#VALUE!</v>
      </c>
      <c r="H1355">
        <v>42</v>
      </c>
      <c r="I1355" t="s">
        <v>27</v>
      </c>
      <c r="J1355" t="s">
        <v>28</v>
      </c>
      <c r="K1355" s="2">
        <v>11114.336429945701</v>
      </c>
      <c r="L1355" s="2">
        <v>67835648.073574707</v>
      </c>
      <c r="M1355" s="3">
        <v>8455.6699788399692</v>
      </c>
      <c r="N1355" s="3">
        <v>100840991.60562401</v>
      </c>
      <c r="O1355" s="4">
        <v>0.17237223393767501</v>
      </c>
      <c r="P1355" s="4">
        <v>6.8864634623853505E-2</v>
      </c>
      <c r="Q1355" s="5">
        <v>8455.6699788399692</v>
      </c>
      <c r="R1355" s="5">
        <v>100840991.60562401</v>
      </c>
      <c r="S1355" s="6">
        <v>0.399531308669201</v>
      </c>
      <c r="T1355" s="6">
        <v>0.124968150347376</v>
      </c>
      <c r="U1355" s="7">
        <v>0.51134307785084598</v>
      </c>
      <c r="V1355" s="7">
        <v>0.249871334584851</v>
      </c>
      <c r="W1355" s="8">
        <v>0.95593619434593502</v>
      </c>
      <c r="X1355" s="8">
        <v>4.2122186685394997E-2</v>
      </c>
      <c r="Y1355" s="2">
        <v>176</v>
      </c>
      <c r="Z1355" s="2" t="e">
        <f>VLOOKUP(E1355,YieldData!T:U,2,FALSE)</f>
        <v>#VALUE!</v>
      </c>
      <c r="AA1355">
        <f t="shared" si="42"/>
        <v>0.913534329143595</v>
      </c>
    </row>
    <row r="1356" spans="1:27" hidden="1" x14ac:dyDescent="0.25">
      <c r="A1356">
        <v>216</v>
      </c>
      <c r="B1356">
        <v>305</v>
      </c>
      <c r="C1356" t="s">
        <v>26</v>
      </c>
      <c r="D1356" t="s">
        <v>100</v>
      </c>
      <c r="E1356" t="e">
        <f t="shared" si="43"/>
        <v>#VALUE!</v>
      </c>
      <c r="H1356">
        <v>42</v>
      </c>
      <c r="I1356" t="s">
        <v>27</v>
      </c>
      <c r="J1356" t="s">
        <v>28</v>
      </c>
      <c r="K1356" s="2">
        <v>10510.946131372901</v>
      </c>
      <c r="L1356" s="2">
        <v>69395766.450113505</v>
      </c>
      <c r="M1356" s="3">
        <v>8219.7699135897001</v>
      </c>
      <c r="N1356" s="3">
        <v>118209471.135324</v>
      </c>
      <c r="O1356" s="4">
        <v>0.17272333342820001</v>
      </c>
      <c r="P1356" s="4">
        <v>8.3022209515619005E-2</v>
      </c>
      <c r="Q1356" s="5">
        <v>8219.7699135897001</v>
      </c>
      <c r="R1356" s="5">
        <v>118209471.135324</v>
      </c>
      <c r="S1356" s="6">
        <v>0.38935698129822299</v>
      </c>
      <c r="T1356" s="6">
        <v>0.14011716087079601</v>
      </c>
      <c r="U1356" s="7">
        <v>0.50666922100625</v>
      </c>
      <c r="V1356" s="7">
        <v>0.249955521491347</v>
      </c>
      <c r="W1356" s="8">
        <v>0.78346763089522398</v>
      </c>
      <c r="X1356" s="8">
        <v>0.16964610223448801</v>
      </c>
      <c r="Y1356" s="2">
        <v>76</v>
      </c>
      <c r="Z1356" s="2" t="e">
        <f>VLOOKUP(E1356,YieldData!T:U,2,FALSE)</f>
        <v>#VALUE!</v>
      </c>
      <c r="AA1356">
        <f t="shared" si="42"/>
        <v>0.913534329143595</v>
      </c>
    </row>
    <row r="1357" spans="1:27" hidden="1" x14ac:dyDescent="0.25">
      <c r="A1357">
        <v>217</v>
      </c>
      <c r="B1357">
        <v>306</v>
      </c>
      <c r="C1357" t="s">
        <v>26</v>
      </c>
      <c r="D1357" t="s">
        <v>100</v>
      </c>
      <c r="E1357" t="e">
        <f t="shared" si="43"/>
        <v>#VALUE!</v>
      </c>
      <c r="H1357">
        <v>42</v>
      </c>
      <c r="I1357" t="s">
        <v>27</v>
      </c>
      <c r="J1357" t="s">
        <v>28</v>
      </c>
      <c r="K1357" s="2">
        <v>10501.708346290899</v>
      </c>
      <c r="L1357" s="2">
        <v>78964637.102459893</v>
      </c>
      <c r="M1357" s="3">
        <v>9015.6281028007106</v>
      </c>
      <c r="N1357" s="3">
        <v>113617724.85205799</v>
      </c>
      <c r="O1357" s="4">
        <v>0.14270540492012099</v>
      </c>
      <c r="P1357" s="4">
        <v>7.5376789406727498E-2</v>
      </c>
      <c r="Q1357" s="5">
        <v>9015.6281028007106</v>
      </c>
      <c r="R1357" s="5">
        <v>113617724.85205799</v>
      </c>
      <c r="S1357" s="6">
        <v>0.361938370051474</v>
      </c>
      <c r="T1357" s="6">
        <v>0.1460682686931</v>
      </c>
      <c r="U1357" s="7">
        <v>0.47862593593761199</v>
      </c>
      <c r="V1357" s="7">
        <v>0.24954314938529901</v>
      </c>
      <c r="W1357" s="8">
        <v>0.88396679981821202</v>
      </c>
      <c r="X1357" s="8">
        <v>0.10256949663732901</v>
      </c>
      <c r="Y1357" s="2">
        <v>100</v>
      </c>
      <c r="Z1357" s="2" t="e">
        <f>VLOOKUP(E1357,YieldData!T:U,2,FALSE)</f>
        <v>#VALUE!</v>
      </c>
      <c r="AA1357">
        <f t="shared" si="42"/>
        <v>0.913534329143595</v>
      </c>
    </row>
    <row r="1358" spans="1:27" hidden="1" x14ac:dyDescent="0.25">
      <c r="A1358">
        <v>218</v>
      </c>
      <c r="B1358">
        <v>307</v>
      </c>
      <c r="C1358" t="s">
        <v>26</v>
      </c>
      <c r="D1358" t="s">
        <v>100</v>
      </c>
      <c r="E1358" t="e">
        <f t="shared" si="43"/>
        <v>#VALUE!</v>
      </c>
      <c r="H1358">
        <v>42</v>
      </c>
      <c r="I1358" t="s">
        <v>27</v>
      </c>
      <c r="J1358" t="s">
        <v>28</v>
      </c>
      <c r="K1358" s="2">
        <v>12132.649785993901</v>
      </c>
      <c r="L1358" s="2">
        <v>81215119.732677698</v>
      </c>
      <c r="M1358" s="3">
        <v>6515.04410246722</v>
      </c>
      <c r="N1358" s="3">
        <v>105540686.677177</v>
      </c>
      <c r="O1358" s="4">
        <v>0.19605651315240999</v>
      </c>
      <c r="P1358" s="4">
        <v>6.5671035383740806E-2</v>
      </c>
      <c r="Q1358" s="5">
        <v>6515.04410246722</v>
      </c>
      <c r="R1358" s="5">
        <v>105540686.677177</v>
      </c>
      <c r="S1358" s="6">
        <v>0.437111660191976</v>
      </c>
      <c r="T1358" s="6">
        <v>0.12963550357836601</v>
      </c>
      <c r="U1358" s="7">
        <v>0.56370797614837798</v>
      </c>
      <c r="V1358" s="7">
        <v>0.245941293775014</v>
      </c>
      <c r="W1358" s="8">
        <v>0.84234272684039202</v>
      </c>
      <c r="X1358" s="8">
        <v>0.13280145737941601</v>
      </c>
      <c r="Y1358" s="2">
        <v>88</v>
      </c>
      <c r="Z1358" s="2" t="e">
        <f>VLOOKUP(E1358,YieldData!T:U,2,FALSE)</f>
        <v>#VALUE!</v>
      </c>
      <c r="AA1358">
        <f t="shared" si="42"/>
        <v>0.913534329143595</v>
      </c>
    </row>
    <row r="1359" spans="1:27" hidden="1" x14ac:dyDescent="0.25">
      <c r="A1359">
        <v>219</v>
      </c>
      <c r="B1359">
        <v>308</v>
      </c>
      <c r="C1359" t="s">
        <v>26</v>
      </c>
      <c r="D1359" t="s">
        <v>100</v>
      </c>
      <c r="E1359" t="e">
        <f t="shared" si="43"/>
        <v>#VALUE!</v>
      </c>
      <c r="H1359">
        <v>42</v>
      </c>
      <c r="I1359" t="s">
        <v>27</v>
      </c>
      <c r="J1359" t="s">
        <v>28</v>
      </c>
      <c r="K1359" s="2">
        <v>12562.860730730101</v>
      </c>
      <c r="L1359" s="2">
        <v>109404290.082799</v>
      </c>
      <c r="M1359" s="3">
        <v>6658.3335867825999</v>
      </c>
      <c r="N1359" s="3">
        <v>108354658.43579499</v>
      </c>
      <c r="O1359" s="4">
        <v>0.1828464022297</v>
      </c>
      <c r="P1359" s="4">
        <v>6.1202337356685003E-2</v>
      </c>
      <c r="Q1359" s="5">
        <v>6658.3335867825999</v>
      </c>
      <c r="R1359" s="5">
        <v>108354658.43579499</v>
      </c>
      <c r="S1359" s="6">
        <v>0.41873672573845799</v>
      </c>
      <c r="T1359" s="6">
        <v>0.12989806893886</v>
      </c>
      <c r="U1359" s="7">
        <v>0.53836034204389205</v>
      </c>
      <c r="V1359" s="7">
        <v>0.24852848415836301</v>
      </c>
      <c r="W1359" s="8">
        <v>0.85631242150589104</v>
      </c>
      <c r="X1359" s="8">
        <v>0.123041458280801</v>
      </c>
      <c r="Y1359" s="2">
        <v>106</v>
      </c>
      <c r="Z1359" s="2" t="e">
        <f>VLOOKUP(E1359,YieldData!T:U,2,FALSE)</f>
        <v>#VALUE!</v>
      </c>
      <c r="AA1359">
        <f t="shared" si="42"/>
        <v>0.913534329143595</v>
      </c>
    </row>
    <row r="1360" spans="1:27" hidden="1" x14ac:dyDescent="0.25">
      <c r="A1360">
        <v>220</v>
      </c>
      <c r="B1360">
        <v>309</v>
      </c>
      <c r="C1360" t="s">
        <v>26</v>
      </c>
      <c r="D1360" t="s">
        <v>100</v>
      </c>
      <c r="E1360" t="e">
        <f t="shared" si="43"/>
        <v>#VALUE!</v>
      </c>
      <c r="H1360">
        <v>42</v>
      </c>
      <c r="I1360" t="s">
        <v>27</v>
      </c>
      <c r="J1360" t="s">
        <v>28</v>
      </c>
      <c r="K1360" s="2">
        <v>12514.7876131337</v>
      </c>
      <c r="L1360" s="2">
        <v>83640990.018463403</v>
      </c>
      <c r="M1360" s="3">
        <v>4987.2076337353801</v>
      </c>
      <c r="N1360" s="3">
        <v>93191616.140671805</v>
      </c>
      <c r="O1360" s="4">
        <v>0.23512010740948999</v>
      </c>
      <c r="P1360" s="4">
        <v>5.7528897340461502E-2</v>
      </c>
      <c r="Q1360" s="5">
        <v>4987.2076337353801</v>
      </c>
      <c r="R1360" s="5">
        <v>93191616.140671805</v>
      </c>
      <c r="S1360" s="6">
        <v>0.47774832399213801</v>
      </c>
      <c r="T1360" s="6">
        <v>0.119579400797053</v>
      </c>
      <c r="U1360" s="7">
        <v>0.61528471123016404</v>
      </c>
      <c r="V1360" s="7">
        <v>0.236709435356561</v>
      </c>
      <c r="W1360" s="8">
        <v>0.69737144712455501</v>
      </c>
      <c r="X1360" s="8">
        <v>0.21104451186003201</v>
      </c>
      <c r="Y1360" s="2">
        <v>78</v>
      </c>
      <c r="Z1360" s="2" t="e">
        <f>VLOOKUP(E1360,YieldData!T:U,2,FALSE)</f>
        <v>#VALUE!</v>
      </c>
      <c r="AA1360">
        <f t="shared" si="42"/>
        <v>0.913534329143595</v>
      </c>
    </row>
    <row r="1361" spans="1:27" hidden="1" x14ac:dyDescent="0.25">
      <c r="A1361">
        <v>203</v>
      </c>
      <c r="B1361">
        <v>401</v>
      </c>
      <c r="C1361" t="s">
        <v>26</v>
      </c>
      <c r="D1361">
        <v>25105</v>
      </c>
      <c r="E1361">
        <f t="shared" si="43"/>
        <v>25105401</v>
      </c>
      <c r="F1361">
        <f>VLOOKUP(E1361,YieldData!D:F,2,FALSE)</f>
        <v>1</v>
      </c>
      <c r="G1361">
        <f>VLOOKUP($E1361,YieldData!$D:$F,3,FALSE)</f>
        <v>1</v>
      </c>
      <c r="H1361">
        <v>42</v>
      </c>
      <c r="I1361" t="s">
        <v>27</v>
      </c>
      <c r="J1361" t="s">
        <v>28</v>
      </c>
      <c r="K1361" s="2">
        <v>11868.4147798701</v>
      </c>
      <c r="L1361" s="2">
        <v>94698340.989972398</v>
      </c>
      <c r="M1361" s="3">
        <v>9387.5704050888908</v>
      </c>
      <c r="N1361" s="3">
        <v>114039188.942801</v>
      </c>
      <c r="O1361" s="4">
        <v>0.151304798280398</v>
      </c>
      <c r="P1361" s="4">
        <v>5.7622690644433198E-2</v>
      </c>
      <c r="Q1361" s="5">
        <v>9387.5704050888908</v>
      </c>
      <c r="R1361" s="5">
        <v>114039188.942801</v>
      </c>
      <c r="S1361" s="6">
        <v>0.39848554777595802</v>
      </c>
      <c r="T1361" s="6">
        <v>0.109797239104032</v>
      </c>
      <c r="U1361" s="7">
        <v>0.49484830026309301</v>
      </c>
      <c r="V1361" s="7">
        <v>0.24997345999006099</v>
      </c>
      <c r="W1361" s="8">
        <v>0.73601264920488896</v>
      </c>
      <c r="X1361" s="8">
        <v>0.194298029414982</v>
      </c>
      <c r="Y1361" s="2">
        <v>80</v>
      </c>
      <c r="Z1361" s="2">
        <f>VLOOKUP(E1361,YieldData!T:U,2,FALSE)</f>
        <v>622</v>
      </c>
      <c r="AA1361">
        <f t="shared" si="42"/>
        <v>0.49484830026309301</v>
      </c>
    </row>
    <row r="1362" spans="1:27" hidden="1" x14ac:dyDescent="0.25">
      <c r="A1362">
        <v>204</v>
      </c>
      <c r="B1362">
        <v>402</v>
      </c>
      <c r="C1362" t="s">
        <v>26</v>
      </c>
      <c r="D1362">
        <v>25105</v>
      </c>
      <c r="E1362">
        <f t="shared" si="43"/>
        <v>25105402</v>
      </c>
      <c r="H1362">
        <v>42</v>
      </c>
      <c r="I1362" t="s">
        <v>27</v>
      </c>
      <c r="J1362" t="s">
        <v>28</v>
      </c>
      <c r="K1362" s="2">
        <v>14253.896607662</v>
      </c>
      <c r="L1362" s="2">
        <v>93779917.488207802</v>
      </c>
      <c r="M1362" s="3">
        <v>6167.50300910641</v>
      </c>
      <c r="N1362" s="3">
        <v>114742129.789552</v>
      </c>
      <c r="O1362" s="4">
        <v>0.217873321097412</v>
      </c>
      <c r="P1362" s="4">
        <v>6.9111761235741906E-2</v>
      </c>
      <c r="Q1362" s="5">
        <v>6167.50300910641</v>
      </c>
      <c r="R1362" s="5">
        <v>114742129.789552</v>
      </c>
      <c r="S1362" s="6">
        <v>0.48841906274920099</v>
      </c>
      <c r="T1362" s="6">
        <v>0.12593940428317699</v>
      </c>
      <c r="U1362" s="7">
        <v>0.63278654485049801</v>
      </c>
      <c r="V1362" s="7">
        <v>0.232367733506498</v>
      </c>
      <c r="W1362" s="8">
        <v>0.75320866371646999</v>
      </c>
      <c r="X1362" s="8">
        <v>0.185885372618842</v>
      </c>
      <c r="Y1362" s="2">
        <v>72</v>
      </c>
      <c r="Z1362" s="2">
        <f>VLOOKUP(E1362,YieldData!T:U,2,FALSE)</f>
        <v>0</v>
      </c>
      <c r="AA1362">
        <f t="shared" si="42"/>
        <v>0.71958832461616296</v>
      </c>
    </row>
    <row r="1363" spans="1:27" hidden="1" x14ac:dyDescent="0.25">
      <c r="A1363">
        <v>205</v>
      </c>
      <c r="B1363">
        <v>403</v>
      </c>
      <c r="C1363" t="s">
        <v>26</v>
      </c>
      <c r="D1363">
        <v>25105</v>
      </c>
      <c r="E1363">
        <f t="shared" si="43"/>
        <v>25105403</v>
      </c>
      <c r="F1363">
        <f>VLOOKUP(E1363,YieldData!D:F,2,FALSE)</f>
        <v>3</v>
      </c>
      <c r="G1363">
        <f>VLOOKUP($E1363,YieldData!$D:$F,3,FALSE)</f>
        <v>1</v>
      </c>
      <c r="H1363">
        <v>42</v>
      </c>
      <c r="I1363" t="s">
        <v>27</v>
      </c>
      <c r="J1363" t="s">
        <v>28</v>
      </c>
      <c r="K1363" s="2">
        <v>13576.425714627399</v>
      </c>
      <c r="L1363" s="2">
        <v>84472808.952052802</v>
      </c>
      <c r="M1363" s="3">
        <v>7473.7233875840102</v>
      </c>
      <c r="N1363" s="3">
        <v>108421584.533236</v>
      </c>
      <c r="O1363" s="4">
        <v>0.16914656850430401</v>
      </c>
      <c r="P1363" s="4">
        <v>6.4262116141615602E-2</v>
      </c>
      <c r="Q1363" s="5">
        <v>7473.7233875840102</v>
      </c>
      <c r="R1363" s="5">
        <v>108421584.533236</v>
      </c>
      <c r="S1363" s="6">
        <v>0.42555910675665698</v>
      </c>
      <c r="T1363" s="6">
        <v>0.11915690193836199</v>
      </c>
      <c r="U1363" s="7">
        <v>0.57381892118167699</v>
      </c>
      <c r="V1363" s="7">
        <v>0.24455076687550301</v>
      </c>
      <c r="W1363" s="8">
        <v>0.89420236115928897</v>
      </c>
      <c r="X1363" s="8">
        <v>9.4604498456570693E-2</v>
      </c>
      <c r="Y1363" s="2">
        <v>160</v>
      </c>
      <c r="Z1363" s="2">
        <f>VLOOKUP(E1363,YieldData!T:U,2,FALSE)</f>
        <v>361</v>
      </c>
      <c r="AA1363">
        <f t="shared" si="42"/>
        <v>0.58725109131136799</v>
      </c>
    </row>
    <row r="1364" spans="1:27" hidden="1" x14ac:dyDescent="0.25">
      <c r="A1364">
        <v>206</v>
      </c>
      <c r="B1364">
        <v>404</v>
      </c>
      <c r="C1364" t="s">
        <v>26</v>
      </c>
      <c r="D1364">
        <v>25105</v>
      </c>
      <c r="E1364">
        <f t="shared" si="43"/>
        <v>25105404</v>
      </c>
      <c r="H1364">
        <v>42</v>
      </c>
      <c r="I1364" t="s">
        <v>27</v>
      </c>
      <c r="J1364" t="s">
        <v>28</v>
      </c>
      <c r="K1364" s="2">
        <v>14265.1634649301</v>
      </c>
      <c r="L1364" s="2">
        <v>121845618.820696</v>
      </c>
      <c r="M1364" s="3">
        <v>9155.0137063274396</v>
      </c>
      <c r="N1364" s="3">
        <v>111624541.888685</v>
      </c>
      <c r="O1364" s="4">
        <v>8.7548617219059099E-2</v>
      </c>
      <c r="P1364" s="4">
        <v>5.63058884779001E-2</v>
      </c>
      <c r="Q1364" s="5">
        <v>9155.0137063274396</v>
      </c>
      <c r="R1364" s="5">
        <v>111624541.888685</v>
      </c>
      <c r="S1364" s="6">
        <v>0.343008228563429</v>
      </c>
      <c r="T1364" s="6">
        <v>0.133772658868238</v>
      </c>
      <c r="U1364" s="7">
        <v>0.47894451227784601</v>
      </c>
      <c r="V1364" s="7">
        <v>0.249556666436515</v>
      </c>
      <c r="W1364" s="8">
        <v>0.95402127313181695</v>
      </c>
      <c r="X1364" s="8">
        <v>4.3864683543912299E-2</v>
      </c>
      <c r="Y1364" s="2">
        <v>232</v>
      </c>
      <c r="Z1364" s="2">
        <f>VLOOKUP(E1364,YieldData!T:U,2,FALSE)</f>
        <v>0</v>
      </c>
      <c r="AA1364">
        <f t="shared" si="42"/>
        <v>0.65126375340867504</v>
      </c>
    </row>
    <row r="1365" spans="1:27" hidden="1" x14ac:dyDescent="0.25">
      <c r="A1365">
        <v>207</v>
      </c>
      <c r="B1365">
        <v>405</v>
      </c>
      <c r="C1365" t="s">
        <v>26</v>
      </c>
      <c r="D1365">
        <v>25105</v>
      </c>
      <c r="E1365">
        <f t="shared" si="43"/>
        <v>25105405</v>
      </c>
      <c r="H1365">
        <v>42</v>
      </c>
      <c r="I1365" t="s">
        <v>27</v>
      </c>
      <c r="J1365" t="s">
        <v>28</v>
      </c>
      <c r="K1365" s="2">
        <v>14823.869262599001</v>
      </c>
      <c r="L1365" s="2">
        <v>92772015.279710501</v>
      </c>
      <c r="M1365" s="3">
        <v>5600.7423587925596</v>
      </c>
      <c r="N1365" s="3">
        <v>114590050.60980301</v>
      </c>
      <c r="O1365" s="4">
        <v>0.19730745685808199</v>
      </c>
      <c r="P1365" s="4">
        <v>7.0626758625790403E-2</v>
      </c>
      <c r="Q1365" s="5">
        <v>5600.7423587925596</v>
      </c>
      <c r="R1365" s="5">
        <v>114590050.60980301</v>
      </c>
      <c r="S1365" s="6">
        <v>0.46309451575451699</v>
      </c>
      <c r="T1365" s="6">
        <v>0.13662623118044501</v>
      </c>
      <c r="U1365" s="7">
        <v>0.63869023416010895</v>
      </c>
      <c r="V1365" s="7">
        <v>0.23076501894857501</v>
      </c>
      <c r="W1365" s="8">
        <v>0.78569805408379301</v>
      </c>
      <c r="X1365" s="8">
        <v>0.16837662189312599</v>
      </c>
      <c r="Y1365" s="2">
        <v>96</v>
      </c>
      <c r="Z1365" s="2">
        <f>VLOOKUP(E1365,YieldData!T:U,2,FALSE)</f>
        <v>0</v>
      </c>
      <c r="AA1365">
        <f t="shared" si="42"/>
        <v>0.65411339799323098</v>
      </c>
    </row>
    <row r="1366" spans="1:27" hidden="1" x14ac:dyDescent="0.25">
      <c r="A1366">
        <v>208</v>
      </c>
      <c r="B1366">
        <v>406</v>
      </c>
      <c r="C1366" t="s">
        <v>26</v>
      </c>
      <c r="D1366">
        <v>25105</v>
      </c>
      <c r="E1366">
        <f t="shared" si="43"/>
        <v>25105406</v>
      </c>
      <c r="F1366">
        <f>VLOOKUP(E1366,YieldData!D:F,2,FALSE)</f>
        <v>3</v>
      </c>
      <c r="G1366">
        <f>VLOOKUP($E1366,YieldData!$D:$F,3,FALSE)</f>
        <v>2</v>
      </c>
      <c r="H1366">
        <v>42</v>
      </c>
      <c r="I1366" t="s">
        <v>27</v>
      </c>
      <c r="J1366" t="s">
        <v>28</v>
      </c>
      <c r="K1366" s="2">
        <v>13480.9976798976</v>
      </c>
      <c r="L1366" s="2">
        <v>96566790.921242401</v>
      </c>
      <c r="M1366" s="3">
        <v>7874.9835336223796</v>
      </c>
      <c r="N1366" s="3">
        <v>118897153.531748</v>
      </c>
      <c r="O1366" s="4">
        <v>0.12369524828905699</v>
      </c>
      <c r="P1366" s="4">
        <v>6.5217482946306596E-2</v>
      </c>
      <c r="Q1366" s="5">
        <v>7874.9835336223796</v>
      </c>
      <c r="R1366" s="5">
        <v>118897153.531748</v>
      </c>
      <c r="S1366" s="6">
        <v>0.36877461915624199</v>
      </c>
      <c r="T1366" s="6">
        <v>0.13798806998108401</v>
      </c>
      <c r="U1366" s="7">
        <v>0.54230599040864902</v>
      </c>
      <c r="V1366" s="7">
        <v>0.24821020317526399</v>
      </c>
      <c r="W1366" s="8">
        <v>0.94797148598220304</v>
      </c>
      <c r="X1366" s="8">
        <v>4.9321547746944298E-2</v>
      </c>
      <c r="Y1366" s="2">
        <v>126</v>
      </c>
      <c r="Z1366" s="2">
        <f>VLOOKUP(E1366,YieldData!T:U,2,FALSE)</f>
        <v>604</v>
      </c>
      <c r="AA1366">
        <f t="shared" si="42"/>
        <v>0.63115597120237299</v>
      </c>
    </row>
    <row r="1367" spans="1:27" hidden="1" x14ac:dyDescent="0.25">
      <c r="A1367">
        <v>209</v>
      </c>
      <c r="B1367">
        <v>407</v>
      </c>
      <c r="C1367" t="s">
        <v>26</v>
      </c>
      <c r="D1367">
        <v>25105</v>
      </c>
      <c r="E1367">
        <f t="shared" si="43"/>
        <v>25105407</v>
      </c>
      <c r="F1367">
        <f>VLOOKUP(E1367,YieldData!D:F,2,FALSE)</f>
        <v>2</v>
      </c>
      <c r="G1367">
        <f>VLOOKUP($E1367,YieldData!$D:$F,3,FALSE)</f>
        <v>2</v>
      </c>
      <c r="H1367">
        <v>42</v>
      </c>
      <c r="I1367" t="s">
        <v>27</v>
      </c>
      <c r="J1367" t="s">
        <v>28</v>
      </c>
      <c r="K1367" s="2">
        <v>15174.4780674179</v>
      </c>
      <c r="L1367" s="2">
        <v>95719427.116011202</v>
      </c>
      <c r="M1367" s="3">
        <v>4566.7532958677302</v>
      </c>
      <c r="N1367" s="3">
        <v>102671161.59202</v>
      </c>
      <c r="O1367" s="4">
        <v>0.192950499983149</v>
      </c>
      <c r="P1367" s="4">
        <v>4.9753806859448198E-2</v>
      </c>
      <c r="Q1367" s="5">
        <v>4566.7532958677302</v>
      </c>
      <c r="R1367" s="5">
        <v>102671161.59202</v>
      </c>
      <c r="S1367" s="6">
        <v>0.46275910953226901</v>
      </c>
      <c r="T1367" s="6">
        <v>0.108681451636908</v>
      </c>
      <c r="U1367" s="7">
        <v>0.63048314552401197</v>
      </c>
      <c r="V1367" s="7">
        <v>0.23297414873443001</v>
      </c>
      <c r="W1367" s="8">
        <v>0.93666279800764096</v>
      </c>
      <c r="X1367" s="8">
        <v>5.9325600836247598E-2</v>
      </c>
      <c r="Y1367" s="2">
        <v>138</v>
      </c>
      <c r="Z1367" s="2">
        <f>VLOOKUP(E1367,YieldData!T:U,2,FALSE)</f>
        <v>1430</v>
      </c>
      <c r="AA1367">
        <f t="shared" si="42"/>
        <v>0.63048314552401197</v>
      </c>
    </row>
    <row r="1368" spans="1:27" hidden="1" x14ac:dyDescent="0.25">
      <c r="A1368">
        <v>210</v>
      </c>
      <c r="B1368">
        <v>408</v>
      </c>
      <c r="C1368" t="s">
        <v>26</v>
      </c>
      <c r="D1368">
        <v>25105</v>
      </c>
      <c r="E1368">
        <f t="shared" si="43"/>
        <v>25105408</v>
      </c>
      <c r="F1368">
        <f>VLOOKUP(E1368,YieldData!D:F,2,FALSE)</f>
        <v>4</v>
      </c>
      <c r="G1368">
        <f>VLOOKUP($E1368,YieldData!$D:$F,3,FALSE)</f>
        <v>2</v>
      </c>
      <c r="H1368">
        <v>42</v>
      </c>
      <c r="I1368" t="s">
        <v>27</v>
      </c>
      <c r="J1368" t="s">
        <v>28</v>
      </c>
      <c r="K1368" s="2">
        <v>15137.876487543501</v>
      </c>
      <c r="L1368" s="2">
        <v>120913008.42976999</v>
      </c>
      <c r="M1368" s="3">
        <v>5878.6159903042599</v>
      </c>
      <c r="N1368" s="3">
        <v>98437054.161306903</v>
      </c>
      <c r="O1368" s="4">
        <v>0.15150719300656099</v>
      </c>
      <c r="P1368" s="4">
        <v>4.4761975968800702E-2</v>
      </c>
      <c r="Q1368" s="5">
        <v>5878.6159903042599</v>
      </c>
      <c r="R1368" s="5">
        <v>98437054.161306903</v>
      </c>
      <c r="S1368" s="6">
        <v>0.417633438626338</v>
      </c>
      <c r="T1368" s="6">
        <v>0.108720594094394</v>
      </c>
      <c r="U1368" s="7">
        <v>0.56772434249082104</v>
      </c>
      <c r="V1368" s="7">
        <v>0.24541341343401199</v>
      </c>
      <c r="W1368" s="8">
        <v>0.979810302965063</v>
      </c>
      <c r="X1368" s="8">
        <v>1.9782073168516101E-2</v>
      </c>
      <c r="Y1368" s="2">
        <v>242</v>
      </c>
      <c r="Z1368" s="2">
        <f>VLOOKUP(E1368,YieldData!T:U,2,FALSE)</f>
        <v>1144</v>
      </c>
      <c r="AA1368">
        <f t="shared" si="42"/>
        <v>0.56772434249082104</v>
      </c>
    </row>
    <row r="1369" spans="1:27" hidden="1" x14ac:dyDescent="0.25">
      <c r="A1369">
        <v>211</v>
      </c>
      <c r="B1369">
        <v>409</v>
      </c>
      <c r="C1369" t="s">
        <v>26</v>
      </c>
      <c r="D1369">
        <v>25105</v>
      </c>
      <c r="E1369">
        <f t="shared" si="43"/>
        <v>25105409</v>
      </c>
      <c r="F1369">
        <f>VLOOKUP(E1369,YieldData!D:F,2,FALSE)</f>
        <v>1</v>
      </c>
      <c r="G1369">
        <f>VLOOKUP($E1369,YieldData!$D:$F,3,FALSE)</f>
        <v>2</v>
      </c>
      <c r="H1369">
        <v>42</v>
      </c>
      <c r="I1369" t="s">
        <v>27</v>
      </c>
      <c r="J1369" t="s">
        <v>28</v>
      </c>
      <c r="K1369" s="2">
        <v>15500.958783280301</v>
      </c>
      <c r="L1369" s="2">
        <v>103058981.83478799</v>
      </c>
      <c r="M1369" s="3">
        <v>4188.1349280465201</v>
      </c>
      <c r="N1369" s="3">
        <v>67451318.232247204</v>
      </c>
      <c r="O1369" s="4">
        <v>0.20534695505539399</v>
      </c>
      <c r="P1369" s="4">
        <v>3.5004872665867298E-2</v>
      </c>
      <c r="Q1369" s="5">
        <v>4188.1349280465201</v>
      </c>
      <c r="R1369" s="5">
        <v>67451318.232247204</v>
      </c>
      <c r="S1369" s="6">
        <v>0.486290875889277</v>
      </c>
      <c r="T1369" s="6">
        <v>8.3865036154977493E-2</v>
      </c>
      <c r="U1369" s="7">
        <v>0.66013142741006703</v>
      </c>
      <c r="V1369" s="7">
        <v>0.22435792595548201</v>
      </c>
      <c r="W1369" s="8">
        <v>0.99250789177764798</v>
      </c>
      <c r="X1369" s="8">
        <v>7.4359765367443204E-3</v>
      </c>
      <c r="Y1369" s="2">
        <v>242</v>
      </c>
      <c r="Z1369" s="2">
        <f>VLOOKUP(E1369,YieldData!T:U,2,FALSE)</f>
        <v>840</v>
      </c>
      <c r="AA1369">
        <f t="shared" si="42"/>
        <v>0.690714247005907</v>
      </c>
    </row>
    <row r="1370" spans="1:27" hidden="1" x14ac:dyDescent="0.25">
      <c r="A1370">
        <v>194</v>
      </c>
      <c r="B1370">
        <v>501</v>
      </c>
      <c r="C1370" t="s">
        <v>26</v>
      </c>
      <c r="D1370">
        <v>25105</v>
      </c>
      <c r="E1370">
        <f t="shared" si="43"/>
        <v>25105501</v>
      </c>
      <c r="H1370">
        <v>42</v>
      </c>
      <c r="I1370" t="s">
        <v>27</v>
      </c>
      <c r="J1370" t="s">
        <v>28</v>
      </c>
      <c r="K1370" s="2">
        <v>15281.346793121</v>
      </c>
      <c r="L1370" s="2">
        <v>98624526.766968504</v>
      </c>
      <c r="M1370" s="3">
        <v>6332.6859771851796</v>
      </c>
      <c r="N1370" s="3">
        <v>103705959.661746</v>
      </c>
      <c r="O1370" s="4">
        <v>0.21779415711724101</v>
      </c>
      <c r="P1370" s="4">
        <v>4.80808531679656E-2</v>
      </c>
      <c r="Q1370" s="5">
        <v>6332.6859771851796</v>
      </c>
      <c r="R1370" s="5">
        <v>103705959.661746</v>
      </c>
      <c r="S1370" s="6">
        <v>0.48747665122952299</v>
      </c>
      <c r="T1370" s="6">
        <v>9.3331470316870599E-2</v>
      </c>
      <c r="U1370" s="7">
        <v>0.61337652177493496</v>
      </c>
      <c r="V1370" s="7">
        <v>0.23714576431013601</v>
      </c>
      <c r="W1370" s="8">
        <v>0.88653893661991201</v>
      </c>
      <c r="X1370" s="8">
        <v>0.100587650476558</v>
      </c>
      <c r="Y1370" s="2">
        <v>96</v>
      </c>
      <c r="Z1370" s="2">
        <f>VLOOKUP(E1370,YieldData!T:U,2,FALSE)</f>
        <v>0</v>
      </c>
      <c r="AA1370">
        <f t="shared" si="42"/>
        <v>0.64228367528992003</v>
      </c>
    </row>
    <row r="1371" spans="1:27" hidden="1" x14ac:dyDescent="0.25">
      <c r="A1371">
        <v>195</v>
      </c>
      <c r="B1371">
        <v>502</v>
      </c>
      <c r="C1371" t="s">
        <v>26</v>
      </c>
      <c r="D1371">
        <v>25105</v>
      </c>
      <c r="E1371">
        <f t="shared" si="43"/>
        <v>25105502</v>
      </c>
      <c r="F1371">
        <f>VLOOKUP(E1371,YieldData!D:F,2,FALSE)</f>
        <v>2</v>
      </c>
      <c r="G1371">
        <f>VLOOKUP($E1371,YieldData!$D:$F,3,FALSE)</f>
        <v>4</v>
      </c>
      <c r="H1371">
        <v>42</v>
      </c>
      <c r="I1371" t="s">
        <v>27</v>
      </c>
      <c r="J1371" t="s">
        <v>28</v>
      </c>
      <c r="K1371" s="2">
        <v>15793.5603827381</v>
      </c>
      <c r="L1371" s="2">
        <v>95988277.9721535</v>
      </c>
      <c r="M1371" s="3">
        <v>4871.5219200847096</v>
      </c>
      <c r="N1371" s="3">
        <v>104916332.08761901</v>
      </c>
      <c r="O1371" s="4">
        <v>0.24675429092811499</v>
      </c>
      <c r="P1371" s="4">
        <v>5.4553062458167399E-2</v>
      </c>
      <c r="Q1371" s="5">
        <v>4871.5219200847096</v>
      </c>
      <c r="R1371" s="5">
        <v>104916332.08761901</v>
      </c>
      <c r="S1371" s="6">
        <v>0.52740170262668296</v>
      </c>
      <c r="T1371" s="6">
        <v>0.105074892063365</v>
      </c>
      <c r="U1371" s="7">
        <v>0.67336780553810505</v>
      </c>
      <c r="V1371" s="7">
        <v>0.219943604002792</v>
      </c>
      <c r="W1371" s="8">
        <v>0.800596784130858</v>
      </c>
      <c r="X1371" s="8">
        <v>0.159641573370705</v>
      </c>
      <c r="Y1371" s="2">
        <v>118</v>
      </c>
      <c r="Z1371" s="2">
        <f>VLOOKUP(E1371,YieldData!T:U,2,FALSE)</f>
        <v>1109</v>
      </c>
      <c r="AA1371">
        <f t="shared" si="42"/>
        <v>0.68266872833138004</v>
      </c>
    </row>
    <row r="1372" spans="1:27" hidden="1" x14ac:dyDescent="0.25">
      <c r="A1372">
        <v>196</v>
      </c>
      <c r="B1372">
        <v>503</v>
      </c>
      <c r="C1372" t="s">
        <v>26</v>
      </c>
      <c r="D1372">
        <v>25105</v>
      </c>
      <c r="E1372">
        <f t="shared" si="43"/>
        <v>25105503</v>
      </c>
      <c r="H1372">
        <v>42</v>
      </c>
      <c r="I1372" t="s">
        <v>27</v>
      </c>
      <c r="J1372" t="s">
        <v>28</v>
      </c>
      <c r="K1372" s="2">
        <v>14600.2481995504</v>
      </c>
      <c r="L1372" s="2">
        <v>100151214.929419</v>
      </c>
      <c r="M1372" s="3">
        <v>6406.1763047689801</v>
      </c>
      <c r="N1372" s="3">
        <v>128123748.749035</v>
      </c>
      <c r="O1372" s="4">
        <v>0.190511739743424</v>
      </c>
      <c r="P1372" s="4">
        <v>6.8886386939725597E-2</v>
      </c>
      <c r="Q1372" s="5">
        <v>6406.1763047689801</v>
      </c>
      <c r="R1372" s="5">
        <v>128123748.749035</v>
      </c>
      <c r="S1372" s="6">
        <v>0.44205354473885</v>
      </c>
      <c r="T1372" s="6">
        <v>0.12993131870600699</v>
      </c>
      <c r="U1372" s="7">
        <v>0.58772059714351099</v>
      </c>
      <c r="V1372" s="7">
        <v>0.24230509683694099</v>
      </c>
      <c r="W1372" s="8">
        <v>0.93422894680163704</v>
      </c>
      <c r="X1372" s="8">
        <v>6.1445221759714098E-2</v>
      </c>
      <c r="Y1372" s="2">
        <v>146</v>
      </c>
      <c r="Z1372" s="2">
        <f>VLOOKUP(E1372,YieldData!T:U,2,FALSE)</f>
        <v>0</v>
      </c>
      <c r="AA1372">
        <f t="shared" si="42"/>
        <v>0.66826877768353599</v>
      </c>
    </row>
    <row r="1373" spans="1:27" hidden="1" x14ac:dyDescent="0.25">
      <c r="A1373">
        <v>197</v>
      </c>
      <c r="B1373">
        <v>504</v>
      </c>
      <c r="C1373" t="s">
        <v>26</v>
      </c>
      <c r="D1373">
        <v>25105</v>
      </c>
      <c r="E1373">
        <f t="shared" si="43"/>
        <v>25105504</v>
      </c>
      <c r="F1373">
        <f>VLOOKUP(E1373,YieldData!D:F,2,FALSE)</f>
        <v>5</v>
      </c>
      <c r="G1373">
        <f>VLOOKUP($E1373,YieldData!$D:$F,3,FALSE)</f>
        <v>3</v>
      </c>
      <c r="H1373">
        <v>42</v>
      </c>
      <c r="I1373" t="s">
        <v>27</v>
      </c>
      <c r="J1373" t="s">
        <v>28</v>
      </c>
      <c r="K1373" s="2">
        <v>19773.207633506299</v>
      </c>
      <c r="L1373" s="2">
        <v>98086490.662182003</v>
      </c>
      <c r="M1373" s="3">
        <v>954.05301360755698</v>
      </c>
      <c r="N1373" s="3">
        <v>71568915.993685097</v>
      </c>
      <c r="O1373" s="4">
        <v>0.27798321121894298</v>
      </c>
      <c r="P1373" s="4">
        <v>3.7162370397012999E-2</v>
      </c>
      <c r="Q1373" s="5">
        <v>954.05301360755698</v>
      </c>
      <c r="R1373" s="5">
        <v>71568915.993685097</v>
      </c>
      <c r="S1373" s="6">
        <v>0.58755718876395402</v>
      </c>
      <c r="T1373" s="6">
        <v>7.6263725294646603E-2</v>
      </c>
      <c r="U1373" s="7">
        <v>0.77873237369762105</v>
      </c>
      <c r="V1373" s="7">
        <v>0.172308263853063</v>
      </c>
      <c r="W1373" s="8">
        <v>0.93364726598455205</v>
      </c>
      <c r="X1373" s="8">
        <v>6.1950048704022903E-2</v>
      </c>
      <c r="Y1373" s="2">
        <v>182</v>
      </c>
      <c r="Z1373" s="2">
        <f>VLOOKUP(E1373,YieldData!T:U,2,FALSE)</f>
        <v>1282</v>
      </c>
      <c r="AA1373">
        <f t="shared" si="42"/>
        <v>0.77873237369762105</v>
      </c>
    </row>
    <row r="1374" spans="1:27" hidden="1" x14ac:dyDescent="0.25">
      <c r="A1374">
        <v>198</v>
      </c>
      <c r="B1374">
        <v>505</v>
      </c>
      <c r="C1374" t="s">
        <v>26</v>
      </c>
      <c r="D1374">
        <v>25105</v>
      </c>
      <c r="E1374">
        <f t="shared" si="43"/>
        <v>25105505</v>
      </c>
      <c r="F1374">
        <f>VLOOKUP(E1374,YieldData!D:F,2,FALSE)</f>
        <v>3</v>
      </c>
      <c r="G1374">
        <f>VLOOKUP($E1374,YieldData!$D:$F,3,FALSE)</f>
        <v>3</v>
      </c>
      <c r="H1374">
        <v>42</v>
      </c>
      <c r="I1374" t="s">
        <v>27</v>
      </c>
      <c r="J1374" t="s">
        <v>28</v>
      </c>
      <c r="K1374" s="2">
        <v>21063.348812456599</v>
      </c>
      <c r="L1374" s="2">
        <v>93962999.059068307</v>
      </c>
      <c r="M1374" s="3">
        <v>498.76948524666398</v>
      </c>
      <c r="N1374" s="3">
        <v>68088360.830334201</v>
      </c>
      <c r="O1374" s="4">
        <v>0.27720483685674102</v>
      </c>
      <c r="P1374" s="4">
        <v>3.6386500166717503E-2</v>
      </c>
      <c r="Q1374" s="5">
        <v>498.76948524666398</v>
      </c>
      <c r="R1374" s="5">
        <v>68088360.830334201</v>
      </c>
      <c r="S1374" s="6">
        <v>0.59498522428171996</v>
      </c>
      <c r="T1374" s="6">
        <v>6.9675418535939004E-2</v>
      </c>
      <c r="U1374" s="7">
        <v>0.80886890382453502</v>
      </c>
      <c r="V1374" s="7">
        <v>0.15460000025047599</v>
      </c>
      <c r="W1374" s="8">
        <v>0.89729238423268298</v>
      </c>
      <c r="X1374" s="8">
        <v>9.2158761430748304E-2</v>
      </c>
      <c r="Y1374" s="2">
        <v>180</v>
      </c>
      <c r="Z1374" s="2">
        <f>VLOOKUP(E1374,YieldData!T:U,2,FALSE)</f>
        <v>1252</v>
      </c>
      <c r="AA1374">
        <f t="shared" si="42"/>
        <v>0.81420300949738</v>
      </c>
    </row>
    <row r="1375" spans="1:27" hidden="1" x14ac:dyDescent="0.25">
      <c r="A1375">
        <v>199</v>
      </c>
      <c r="B1375">
        <v>506</v>
      </c>
      <c r="C1375" t="s">
        <v>26</v>
      </c>
      <c r="D1375">
        <v>25105</v>
      </c>
      <c r="E1375">
        <f t="shared" si="43"/>
        <v>25105506</v>
      </c>
      <c r="F1375">
        <f>VLOOKUP(E1375,YieldData!D:F,2,FALSE)</f>
        <v>1</v>
      </c>
      <c r="G1375">
        <f>VLOOKUP($E1375,YieldData!$D:$F,3,FALSE)</f>
        <v>3</v>
      </c>
      <c r="H1375">
        <v>42</v>
      </c>
      <c r="I1375" t="s">
        <v>27</v>
      </c>
      <c r="J1375" t="s">
        <v>28</v>
      </c>
      <c r="K1375" s="2">
        <v>19406.718934628199</v>
      </c>
      <c r="L1375" s="2">
        <v>114797261.75563601</v>
      </c>
      <c r="M1375" s="3">
        <v>4636.4445767859397</v>
      </c>
      <c r="N1375" s="3">
        <v>87271898.464428201</v>
      </c>
      <c r="O1375" s="4">
        <v>0.17032170775090599</v>
      </c>
      <c r="P1375" s="4">
        <v>3.5386608483800902E-2</v>
      </c>
      <c r="Q1375" s="5">
        <v>4636.4445767859397</v>
      </c>
      <c r="R1375" s="5">
        <v>87271898.464428201</v>
      </c>
      <c r="S1375" s="6">
        <v>0.47357296215433597</v>
      </c>
      <c r="T1375" s="6">
        <v>9.3883327511130904E-2</v>
      </c>
      <c r="U1375" s="7">
        <v>0.65915994929078903</v>
      </c>
      <c r="V1375" s="7">
        <v>0.224668110541938</v>
      </c>
      <c r="W1375" s="8">
        <v>0.99531162167657405</v>
      </c>
      <c r="X1375" s="8">
        <v>4.6663974321222599E-3</v>
      </c>
      <c r="Y1375" s="2">
        <v>366</v>
      </c>
      <c r="Z1375" s="2">
        <f>VLOOKUP(E1375,YieldData!T:U,2,FALSE)</f>
        <v>1552</v>
      </c>
      <c r="AA1375">
        <f t="shared" si="42"/>
        <v>0.75781857322250801</v>
      </c>
    </row>
    <row r="1376" spans="1:27" hidden="1" x14ac:dyDescent="0.25">
      <c r="A1376">
        <v>200</v>
      </c>
      <c r="B1376">
        <v>507</v>
      </c>
      <c r="C1376" t="s">
        <v>26</v>
      </c>
      <c r="D1376">
        <v>25105</v>
      </c>
      <c r="E1376">
        <f t="shared" si="43"/>
        <v>25105507</v>
      </c>
      <c r="F1376">
        <f>VLOOKUP(E1376,YieldData!D:F,2,FALSE)</f>
        <v>2</v>
      </c>
      <c r="G1376">
        <f>VLOOKUP($E1376,YieldData!$D:$F,3,FALSE)</f>
        <v>3</v>
      </c>
      <c r="H1376">
        <v>42</v>
      </c>
      <c r="I1376" t="s">
        <v>27</v>
      </c>
      <c r="J1376" t="s">
        <v>28</v>
      </c>
      <c r="K1376" s="2">
        <v>19575.693665085098</v>
      </c>
      <c r="L1376" s="2">
        <v>100218126.90907399</v>
      </c>
      <c r="M1376" s="3">
        <v>2272.65155153561</v>
      </c>
      <c r="N1376" s="3">
        <v>81304821.245620802</v>
      </c>
      <c r="O1376" s="4">
        <v>0.22781036655492101</v>
      </c>
      <c r="P1376" s="4">
        <v>3.8923804341184899E-2</v>
      </c>
      <c r="Q1376" s="5">
        <v>2272.65155153561</v>
      </c>
      <c r="R1376" s="5">
        <v>81304821.245620802</v>
      </c>
      <c r="S1376" s="6">
        <v>0.54197313762061905</v>
      </c>
      <c r="T1376" s="6">
        <v>8.8463741962726702E-2</v>
      </c>
      <c r="U1376" s="7">
        <v>0.74433693229224995</v>
      </c>
      <c r="V1376" s="7">
        <v>0.19029946351795901</v>
      </c>
      <c r="W1376" s="8">
        <v>0.99338680349714803</v>
      </c>
      <c r="X1376" s="8">
        <v>6.5694621348661997E-3</v>
      </c>
      <c r="Y1376" s="2">
        <v>208</v>
      </c>
      <c r="Z1376" s="2">
        <f>VLOOKUP(E1376,YieldData!T:U,2,FALSE)</f>
        <v>1595</v>
      </c>
      <c r="AA1376">
        <f t="shared" si="42"/>
        <v>0.77628760709304601</v>
      </c>
    </row>
    <row r="1377" spans="1:27" hidden="1" x14ac:dyDescent="0.25">
      <c r="A1377">
        <v>201</v>
      </c>
      <c r="B1377">
        <v>508</v>
      </c>
      <c r="C1377" t="s">
        <v>26</v>
      </c>
      <c r="D1377">
        <v>25105</v>
      </c>
      <c r="E1377">
        <f t="shared" si="43"/>
        <v>25105508</v>
      </c>
      <c r="H1377">
        <v>42</v>
      </c>
      <c r="I1377" t="s">
        <v>27</v>
      </c>
      <c r="J1377" t="s">
        <v>28</v>
      </c>
      <c r="K1377" s="2">
        <v>19197.546433056301</v>
      </c>
      <c r="L1377" s="2">
        <v>117152858.265999</v>
      </c>
      <c r="M1377" s="3">
        <v>4384.2668566279899</v>
      </c>
      <c r="N1377" s="3">
        <v>73210607.079435706</v>
      </c>
      <c r="O1377" s="4">
        <v>0.18052460018092301</v>
      </c>
      <c r="P1377" s="4">
        <v>3.7295469984091202E-2</v>
      </c>
      <c r="Q1377" s="5">
        <v>4384.2668566279899</v>
      </c>
      <c r="R1377" s="5">
        <v>73210607.079435706</v>
      </c>
      <c r="S1377" s="6">
        <v>0.482999366127078</v>
      </c>
      <c r="T1377" s="6">
        <v>8.6933579740727199E-2</v>
      </c>
      <c r="U1377" s="7">
        <v>0.67852658015906198</v>
      </c>
      <c r="V1377" s="7">
        <v>0.21812826017692599</v>
      </c>
      <c r="W1377" s="8">
        <v>0.97934531711576001</v>
      </c>
      <c r="X1377" s="8">
        <v>2.0228066959246001E-2</v>
      </c>
      <c r="Y1377" s="2">
        <v>504</v>
      </c>
      <c r="Z1377" s="2">
        <f>VLOOKUP(E1377,YieldData!T:U,2,FALSE)</f>
        <v>0</v>
      </c>
      <c r="AA1377">
        <f t="shared" si="42"/>
        <v>0.68555196746800595</v>
      </c>
    </row>
    <row r="1378" spans="1:27" hidden="1" x14ac:dyDescent="0.25">
      <c r="A1378">
        <v>202</v>
      </c>
      <c r="B1378">
        <v>509</v>
      </c>
      <c r="C1378" t="s">
        <v>26</v>
      </c>
      <c r="D1378">
        <v>25105</v>
      </c>
      <c r="E1378">
        <f t="shared" si="43"/>
        <v>25105509</v>
      </c>
      <c r="H1378">
        <v>42</v>
      </c>
      <c r="I1378" t="s">
        <v>27</v>
      </c>
      <c r="J1378" t="s">
        <v>28</v>
      </c>
      <c r="K1378" s="2">
        <v>18848.648496444701</v>
      </c>
      <c r="L1378" s="2">
        <v>80878776.662595794</v>
      </c>
      <c r="M1378" s="3">
        <v>249.388818227531</v>
      </c>
      <c r="N1378" s="3">
        <v>46988938.428337499</v>
      </c>
      <c r="O1378" s="4">
        <v>0.30998060722475401</v>
      </c>
      <c r="P1378" s="4">
        <v>3.1058849516778699E-2</v>
      </c>
      <c r="Q1378" s="5">
        <v>249.388818227531</v>
      </c>
      <c r="R1378" s="5">
        <v>46988938.428337499</v>
      </c>
      <c r="S1378" s="6">
        <v>0.62874815787618699</v>
      </c>
      <c r="T1378" s="6">
        <v>5.7847351371475203E-2</v>
      </c>
      <c r="U1378" s="7">
        <v>0.85520816370840802</v>
      </c>
      <c r="V1378" s="7">
        <v>0.12382716043462701</v>
      </c>
      <c r="W1378" s="8">
        <v>0.97155613456553902</v>
      </c>
      <c r="X1378" s="8">
        <v>2.76348119536577E-2</v>
      </c>
      <c r="Y1378" s="2">
        <v>178</v>
      </c>
      <c r="Z1378" s="2">
        <f>VLOOKUP(E1378,YieldData!T:U,2,FALSE)</f>
        <v>0</v>
      </c>
      <c r="AA1378">
        <f t="shared" si="42"/>
        <v>0.85520816370840802</v>
      </c>
    </row>
    <row r="1379" spans="1:27" hidden="1" x14ac:dyDescent="0.25">
      <c r="A1379">
        <v>185</v>
      </c>
      <c r="B1379">
        <v>601</v>
      </c>
      <c r="C1379" t="s">
        <v>26</v>
      </c>
      <c r="D1379">
        <v>25105</v>
      </c>
      <c r="E1379">
        <f t="shared" si="43"/>
        <v>25105601</v>
      </c>
      <c r="F1379">
        <f>VLOOKUP(E1379,YieldData!D:F,2,FALSE)</f>
        <v>1</v>
      </c>
      <c r="G1379">
        <f>VLOOKUP($E1379,YieldData!$D:$F,3,FALSE)</f>
        <v>4</v>
      </c>
      <c r="H1379">
        <v>42</v>
      </c>
      <c r="I1379" t="s">
        <v>27</v>
      </c>
      <c r="J1379" t="s">
        <v>28</v>
      </c>
      <c r="K1379" s="2">
        <v>17545.373809647001</v>
      </c>
      <c r="L1379" s="2">
        <v>92507697.693551898</v>
      </c>
      <c r="M1379" s="3">
        <v>3355.7586084047002</v>
      </c>
      <c r="N1379" s="3">
        <v>70374110.202337593</v>
      </c>
      <c r="O1379" s="4">
        <v>0.276508721382145</v>
      </c>
      <c r="P1379" s="4">
        <v>3.3311913397513701E-2</v>
      </c>
      <c r="Q1379" s="5">
        <v>3355.7586084047002</v>
      </c>
      <c r="R1379" s="5">
        <v>70374110.202337593</v>
      </c>
      <c r="S1379" s="6">
        <v>0.56589508551564804</v>
      </c>
      <c r="T1379" s="6">
        <v>6.6397868911532099E-2</v>
      </c>
      <c r="U1379" s="7">
        <v>0.70735431114791403</v>
      </c>
      <c r="V1379" s="7">
        <v>0.20700418964820499</v>
      </c>
      <c r="W1379" s="8">
        <v>0.914092014697511</v>
      </c>
      <c r="X1379" s="8">
        <v>7.8527803363969598E-2</v>
      </c>
      <c r="Y1379" s="2">
        <v>120</v>
      </c>
      <c r="Z1379" s="2">
        <f>VLOOKUP(E1379,YieldData!T:U,2,FALSE)</f>
        <v>1237</v>
      </c>
      <c r="AA1379">
        <f t="shared" si="42"/>
        <v>0.72786906456203904</v>
      </c>
    </row>
    <row r="1380" spans="1:27" hidden="1" x14ac:dyDescent="0.25">
      <c r="A1380">
        <v>186</v>
      </c>
      <c r="B1380">
        <v>602</v>
      </c>
      <c r="C1380" t="s">
        <v>26</v>
      </c>
      <c r="D1380">
        <v>25105</v>
      </c>
      <c r="E1380">
        <f t="shared" si="43"/>
        <v>25105602</v>
      </c>
      <c r="F1380">
        <f>VLOOKUP(E1380,YieldData!D:F,2,FALSE)</f>
        <v>3</v>
      </c>
      <c r="G1380">
        <f>VLOOKUP($E1380,YieldData!$D:$F,3,FALSE)</f>
        <v>4</v>
      </c>
      <c r="H1380">
        <v>42</v>
      </c>
      <c r="I1380" t="s">
        <v>27</v>
      </c>
      <c r="J1380" t="s">
        <v>28</v>
      </c>
      <c r="K1380" s="2">
        <v>17762.845986205601</v>
      </c>
      <c r="L1380" s="2">
        <v>90871285.158768699</v>
      </c>
      <c r="M1380" s="3">
        <v>3086.8127214812798</v>
      </c>
      <c r="N1380" s="3">
        <v>79970481.296881303</v>
      </c>
      <c r="O1380" s="4">
        <v>0.27817962378190703</v>
      </c>
      <c r="P1380" s="4">
        <v>3.5169070176626099E-2</v>
      </c>
      <c r="Q1380" s="5">
        <v>3086.8127214812798</v>
      </c>
      <c r="R1380" s="5">
        <v>79970481.296881303</v>
      </c>
      <c r="S1380" s="6">
        <v>0.572088222127077</v>
      </c>
      <c r="T1380" s="6">
        <v>7.6948164714031597E-2</v>
      </c>
      <c r="U1380" s="7">
        <v>0.71891464699683905</v>
      </c>
      <c r="V1380" s="7">
        <v>0.20207637733054301</v>
      </c>
      <c r="W1380" s="8">
        <v>0.97989510489510501</v>
      </c>
      <c r="X1380" s="8">
        <v>1.9700688297704699E-2</v>
      </c>
      <c r="Y1380" s="2">
        <v>214</v>
      </c>
      <c r="Z1380" s="2">
        <f>VLOOKUP(E1380,YieldData!T:U,2,FALSE)</f>
        <v>691</v>
      </c>
      <c r="AA1380">
        <f t="shared" si="42"/>
        <v>0.72686449202471604</v>
      </c>
    </row>
    <row r="1381" spans="1:27" hidden="1" x14ac:dyDescent="0.25">
      <c r="A1381">
        <v>187</v>
      </c>
      <c r="B1381">
        <v>603</v>
      </c>
      <c r="C1381" t="s">
        <v>26</v>
      </c>
      <c r="D1381" t="s">
        <v>100</v>
      </c>
      <c r="E1381" t="e">
        <f t="shared" si="43"/>
        <v>#VALUE!</v>
      </c>
      <c r="H1381">
        <v>42</v>
      </c>
      <c r="I1381" t="s">
        <v>27</v>
      </c>
      <c r="J1381" t="s">
        <v>28</v>
      </c>
      <c r="K1381" s="2">
        <v>16371.783778262899</v>
      </c>
      <c r="L1381" s="2">
        <v>68445355.963103995</v>
      </c>
      <c r="M1381" s="3">
        <v>2362.4439761500698</v>
      </c>
      <c r="N1381" s="3">
        <v>81380114.090096995</v>
      </c>
      <c r="O1381" s="4">
        <v>0.30471252147440803</v>
      </c>
      <c r="P1381" s="4">
        <v>4.8306999428508197E-2</v>
      </c>
      <c r="Q1381" s="5">
        <v>2362.4439761500698</v>
      </c>
      <c r="R1381" s="5">
        <v>81380114.090096995</v>
      </c>
      <c r="S1381" s="6">
        <v>0.56674585884319695</v>
      </c>
      <c r="T1381" s="6">
        <v>9.0547028665379503E-2</v>
      </c>
      <c r="U1381" s="7">
        <v>0.72387554738468196</v>
      </c>
      <c r="V1381" s="7">
        <v>0.19987973928355099</v>
      </c>
      <c r="W1381" s="8">
        <v>0.93802744972869501</v>
      </c>
      <c r="X1381" s="8">
        <v>5.8131953284216498E-2</v>
      </c>
      <c r="Y1381" s="2">
        <v>146</v>
      </c>
      <c r="Z1381" s="2" t="e">
        <f>VLOOKUP(E1381,YieldData!T:U,2,FALSE)</f>
        <v>#VALUE!</v>
      </c>
      <c r="AA1381">
        <f t="shared" si="42"/>
        <v>0.913534329143595</v>
      </c>
    </row>
    <row r="1382" spans="1:27" hidden="1" x14ac:dyDescent="0.25">
      <c r="A1382">
        <v>188</v>
      </c>
      <c r="B1382">
        <v>604</v>
      </c>
      <c r="C1382" t="s">
        <v>26</v>
      </c>
      <c r="D1382" t="s">
        <v>100</v>
      </c>
      <c r="E1382" t="e">
        <f t="shared" si="43"/>
        <v>#VALUE!</v>
      </c>
      <c r="H1382">
        <v>42</v>
      </c>
      <c r="I1382" t="s">
        <v>27</v>
      </c>
      <c r="J1382" t="s">
        <v>28</v>
      </c>
      <c r="K1382" s="2">
        <v>20648.671314630701</v>
      </c>
      <c r="L1382" s="2">
        <v>83888076.571006</v>
      </c>
      <c r="M1382" s="3">
        <v>-480.81397048713598</v>
      </c>
      <c r="N1382" s="3">
        <v>50557187.008414097</v>
      </c>
      <c r="O1382" s="4">
        <v>0.32281600900447999</v>
      </c>
      <c r="P1382" s="4">
        <v>3.0435864812405199E-2</v>
      </c>
      <c r="Q1382" s="5">
        <v>-480.81397048713598</v>
      </c>
      <c r="R1382" s="5">
        <v>50557187.008414097</v>
      </c>
      <c r="S1382" s="6">
        <v>0.63197610522824599</v>
      </c>
      <c r="T1382" s="6">
        <v>6.3210950597055005E-2</v>
      </c>
      <c r="U1382" s="7">
        <v>0.82840843003129405</v>
      </c>
      <c r="V1382" s="7">
        <v>0.14214790308455799</v>
      </c>
      <c r="W1382" s="8">
        <v>0.89459908599916904</v>
      </c>
      <c r="X1382" s="8">
        <v>9.4291561328501403E-2</v>
      </c>
      <c r="Y1382" s="2">
        <v>126</v>
      </c>
      <c r="Z1382" s="2" t="e">
        <f>VLOOKUP(E1382,YieldData!T:U,2,FALSE)</f>
        <v>#VALUE!</v>
      </c>
      <c r="AA1382">
        <f t="shared" si="42"/>
        <v>0.913534329143595</v>
      </c>
    </row>
    <row r="1383" spans="1:27" hidden="1" x14ac:dyDescent="0.25">
      <c r="A1383">
        <v>189</v>
      </c>
      <c r="B1383">
        <v>605</v>
      </c>
      <c r="C1383" t="s">
        <v>26</v>
      </c>
      <c r="D1383" t="s">
        <v>100</v>
      </c>
      <c r="E1383" t="e">
        <f t="shared" si="43"/>
        <v>#VALUE!</v>
      </c>
      <c r="H1383">
        <v>42</v>
      </c>
      <c r="I1383" t="s">
        <v>27</v>
      </c>
      <c r="J1383" t="s">
        <v>28</v>
      </c>
      <c r="K1383" s="2">
        <v>19422.9340954943</v>
      </c>
      <c r="L1383" s="2">
        <v>86320167.586974695</v>
      </c>
      <c r="M1383" s="3">
        <v>805.59520560065096</v>
      </c>
      <c r="N1383" s="3">
        <v>63631073.949016698</v>
      </c>
      <c r="O1383" s="4">
        <v>0.27275653768248698</v>
      </c>
      <c r="P1383" s="4">
        <v>3.4042803618224003E-2</v>
      </c>
      <c r="Q1383" s="5">
        <v>805.59520560065096</v>
      </c>
      <c r="R1383" s="5">
        <v>63631073.949016698</v>
      </c>
      <c r="S1383" s="6">
        <v>0.55806117709949798</v>
      </c>
      <c r="T1383" s="6">
        <v>7.4523580072889006E-2</v>
      </c>
      <c r="U1383" s="7">
        <v>0.74366937702512703</v>
      </c>
      <c r="V1383" s="7">
        <v>0.19062523470047901</v>
      </c>
      <c r="W1383" s="8">
        <v>0.95625168121683402</v>
      </c>
      <c r="X1383" s="8">
        <v>4.18344033868326E-2</v>
      </c>
      <c r="Y1383" s="2">
        <v>194</v>
      </c>
      <c r="Z1383" s="2" t="e">
        <f>VLOOKUP(E1383,YieldData!T:U,2,FALSE)</f>
        <v>#VALUE!</v>
      </c>
      <c r="AA1383">
        <f t="shared" si="42"/>
        <v>0.913534329143595</v>
      </c>
    </row>
    <row r="1384" spans="1:27" hidden="1" x14ac:dyDescent="0.25">
      <c r="A1384">
        <v>190</v>
      </c>
      <c r="B1384">
        <v>606</v>
      </c>
      <c r="C1384" t="s">
        <v>26</v>
      </c>
      <c r="D1384" t="s">
        <v>100</v>
      </c>
      <c r="E1384" t="e">
        <f t="shared" si="43"/>
        <v>#VALUE!</v>
      </c>
      <c r="H1384">
        <v>42</v>
      </c>
      <c r="I1384" t="s">
        <v>27</v>
      </c>
      <c r="J1384" t="s">
        <v>28</v>
      </c>
      <c r="K1384" s="2">
        <v>22781.6914342317</v>
      </c>
      <c r="L1384" s="2">
        <v>98948883.915248096</v>
      </c>
      <c r="M1384" s="3">
        <v>-382.67077582424503</v>
      </c>
      <c r="N1384" s="3">
        <v>64054881.606417097</v>
      </c>
      <c r="O1384" s="4">
        <v>0.27544688553720198</v>
      </c>
      <c r="P1384" s="4">
        <v>3.04651607829164E-2</v>
      </c>
      <c r="Q1384" s="5">
        <v>-382.67077582424503</v>
      </c>
      <c r="R1384" s="5">
        <v>64054881.606417097</v>
      </c>
      <c r="S1384" s="6">
        <v>0.60586451862721002</v>
      </c>
      <c r="T1384" s="6">
        <v>6.6898585918549705E-2</v>
      </c>
      <c r="U1384" s="7">
        <v>0.81588007199545798</v>
      </c>
      <c r="V1384" s="7">
        <v>0.15021978011597001</v>
      </c>
      <c r="W1384" s="8">
        <v>0.94820693070502804</v>
      </c>
      <c r="X1384" s="8">
        <v>4.91105472680292E-2</v>
      </c>
      <c r="Y1384" s="2">
        <v>194</v>
      </c>
      <c r="Z1384" s="2" t="e">
        <f>VLOOKUP(E1384,YieldData!T:U,2,FALSE)</f>
        <v>#VALUE!</v>
      </c>
      <c r="AA1384">
        <f t="shared" si="42"/>
        <v>0.913534329143595</v>
      </c>
    </row>
    <row r="1385" spans="1:27" hidden="1" x14ac:dyDescent="0.25">
      <c r="A1385">
        <v>191</v>
      </c>
      <c r="B1385">
        <v>607</v>
      </c>
      <c r="C1385" t="s">
        <v>26</v>
      </c>
      <c r="D1385" t="s">
        <v>100</v>
      </c>
      <c r="E1385" t="e">
        <f t="shared" si="43"/>
        <v>#VALUE!</v>
      </c>
      <c r="H1385">
        <v>42</v>
      </c>
      <c r="I1385" t="s">
        <v>27</v>
      </c>
      <c r="J1385" t="s">
        <v>28</v>
      </c>
      <c r="K1385" s="2">
        <v>22305.487569668501</v>
      </c>
      <c r="L1385" s="2">
        <v>104181474.898839</v>
      </c>
      <c r="M1385" s="3">
        <v>-229.30978080196201</v>
      </c>
      <c r="N1385" s="3">
        <v>74590888.373947993</v>
      </c>
      <c r="O1385" s="4">
        <v>0.286968352641848</v>
      </c>
      <c r="P1385" s="4">
        <v>3.4776209466419301E-2</v>
      </c>
      <c r="Q1385" s="5">
        <v>-229.30978080196201</v>
      </c>
      <c r="R1385" s="5">
        <v>74590888.373947993</v>
      </c>
      <c r="S1385" s="6">
        <v>0.60659980584424</v>
      </c>
      <c r="T1385" s="6">
        <v>8.0900515748929105E-2</v>
      </c>
      <c r="U1385" s="7">
        <v>0.80843600273785099</v>
      </c>
      <c r="V1385" s="7">
        <v>0.154867232214699</v>
      </c>
      <c r="W1385" s="8">
        <v>0.87749639443643201</v>
      </c>
      <c r="X1385" s="8">
        <v>0.107496472187531</v>
      </c>
      <c r="Y1385" s="2">
        <v>96</v>
      </c>
      <c r="Z1385" s="2" t="e">
        <f>VLOOKUP(E1385,YieldData!T:U,2,FALSE)</f>
        <v>#VALUE!</v>
      </c>
      <c r="AA1385">
        <f t="shared" si="42"/>
        <v>0.913534329143595</v>
      </c>
    </row>
    <row r="1386" spans="1:27" hidden="1" x14ac:dyDescent="0.25">
      <c r="A1386">
        <v>192</v>
      </c>
      <c r="B1386">
        <v>608</v>
      </c>
      <c r="C1386" t="s">
        <v>26</v>
      </c>
      <c r="D1386" t="s">
        <v>100</v>
      </c>
      <c r="E1386" t="e">
        <f t="shared" si="43"/>
        <v>#VALUE!</v>
      </c>
      <c r="H1386">
        <v>42</v>
      </c>
      <c r="I1386" t="s">
        <v>27</v>
      </c>
      <c r="J1386" t="s">
        <v>28</v>
      </c>
      <c r="K1386" s="2">
        <v>16055.666052295301</v>
      </c>
      <c r="L1386" s="2">
        <v>98516437.930134505</v>
      </c>
      <c r="M1386" s="3">
        <v>4560.7639278895003</v>
      </c>
      <c r="N1386" s="3">
        <v>97824734.494613096</v>
      </c>
      <c r="O1386" s="4">
        <v>0.20437865012680101</v>
      </c>
      <c r="P1386" s="4">
        <v>5.5620923562214597E-2</v>
      </c>
      <c r="Q1386" s="5">
        <v>4560.7639278895003</v>
      </c>
      <c r="R1386" s="5">
        <v>97824734.494613096</v>
      </c>
      <c r="S1386" s="6">
        <v>0.456503112071237</v>
      </c>
      <c r="T1386" s="6">
        <v>0.117971331365663</v>
      </c>
      <c r="U1386" s="7">
        <v>0.64379976408139195</v>
      </c>
      <c r="V1386" s="7">
        <v>0.229321627850439</v>
      </c>
      <c r="W1386" s="8">
        <v>0.93157552003342003</v>
      </c>
      <c r="X1386" s="8">
        <v>6.3742570507853896E-2</v>
      </c>
      <c r="Y1386" s="2">
        <v>318</v>
      </c>
      <c r="Z1386" s="2" t="e">
        <f>VLOOKUP(E1386,YieldData!T:U,2,FALSE)</f>
        <v>#VALUE!</v>
      </c>
      <c r="AA1386">
        <f t="shared" si="42"/>
        <v>0.913534329143595</v>
      </c>
    </row>
    <row r="1387" spans="1:27" hidden="1" x14ac:dyDescent="0.25">
      <c r="A1387">
        <v>193</v>
      </c>
      <c r="B1387">
        <v>609</v>
      </c>
      <c r="C1387" t="s">
        <v>26</v>
      </c>
      <c r="D1387" t="s">
        <v>100</v>
      </c>
      <c r="E1387" t="e">
        <f t="shared" si="43"/>
        <v>#VALUE!</v>
      </c>
      <c r="H1387">
        <v>42</v>
      </c>
      <c r="I1387" t="s">
        <v>27</v>
      </c>
      <c r="J1387" t="s">
        <v>28</v>
      </c>
      <c r="K1387" s="2">
        <v>19488.3692855472</v>
      </c>
      <c r="L1387" s="2">
        <v>85428488.117416397</v>
      </c>
      <c r="M1387" s="3">
        <v>-722.29506226897297</v>
      </c>
      <c r="N1387" s="3">
        <v>60653388.663119398</v>
      </c>
      <c r="O1387" s="4">
        <v>0.31901736285871901</v>
      </c>
      <c r="P1387" s="4">
        <v>3.9155296430843999E-2</v>
      </c>
      <c r="Q1387" s="5">
        <v>-722.29506226897297</v>
      </c>
      <c r="R1387" s="5">
        <v>60653388.663119398</v>
      </c>
      <c r="S1387" s="6">
        <v>0.62683187680323404</v>
      </c>
      <c r="T1387" s="6">
        <v>7.9229607093867102E-2</v>
      </c>
      <c r="U1387" s="7">
        <v>0.839878368895704</v>
      </c>
      <c r="V1387" s="7">
        <v>0.13448269435699101</v>
      </c>
      <c r="W1387" s="8">
        <v>0.75131903833658198</v>
      </c>
      <c r="X1387" s="8">
        <v>0.18683874096936101</v>
      </c>
      <c r="Y1387" s="2">
        <v>72</v>
      </c>
      <c r="Z1387" s="2" t="e">
        <f>VLOOKUP(E1387,YieldData!T:U,2,FALSE)</f>
        <v>#VALUE!</v>
      </c>
      <c r="AA1387">
        <f t="shared" si="42"/>
        <v>0.913534329143595</v>
      </c>
    </row>
    <row r="1388" spans="1:27" hidden="1" x14ac:dyDescent="0.25">
      <c r="A1388">
        <v>176</v>
      </c>
      <c r="B1388">
        <v>701</v>
      </c>
      <c r="C1388" t="s">
        <v>26</v>
      </c>
      <c r="D1388">
        <v>25106</v>
      </c>
      <c r="E1388">
        <f t="shared" si="43"/>
        <v>25106701</v>
      </c>
      <c r="F1388">
        <f>VLOOKUP(E1388,YieldData!D:F,2,FALSE)</f>
        <v>1</v>
      </c>
      <c r="G1388">
        <f>VLOOKUP($E1388,YieldData!$D:$F,3,FALSE)</f>
        <v>1</v>
      </c>
      <c r="H1388">
        <v>42</v>
      </c>
      <c r="I1388" t="s">
        <v>27</v>
      </c>
      <c r="J1388" t="s">
        <v>28</v>
      </c>
      <c r="K1388" s="2">
        <v>23175.0872457267</v>
      </c>
      <c r="L1388" s="2">
        <v>140647549.84814101</v>
      </c>
      <c r="M1388" s="3">
        <v>1954.63057699397</v>
      </c>
      <c r="N1388" s="3">
        <v>69132384.843702599</v>
      </c>
      <c r="O1388" s="4">
        <v>0.26908849597962697</v>
      </c>
      <c r="P1388" s="4">
        <v>2.2281991489081401E-2</v>
      </c>
      <c r="Q1388" s="5">
        <v>1954.63057699397</v>
      </c>
      <c r="R1388" s="5">
        <v>69132384.843702599</v>
      </c>
      <c r="S1388" s="6">
        <v>0.60989796403882202</v>
      </c>
      <c r="T1388" s="6">
        <v>5.4610825248048299E-2</v>
      </c>
      <c r="U1388" s="7">
        <v>0.76417356330729402</v>
      </c>
      <c r="V1388" s="7">
        <v>0.18021232844964</v>
      </c>
      <c r="W1388" s="8">
        <v>0.85733622089875505</v>
      </c>
      <c r="X1388" s="8">
        <v>0.122310825233737</v>
      </c>
      <c r="Y1388" s="2">
        <v>108</v>
      </c>
      <c r="Z1388" s="2">
        <f>VLOOKUP(E1388,YieldData!T:U,2,FALSE)</f>
        <v>1542</v>
      </c>
      <c r="AA1388">
        <f t="shared" si="42"/>
        <v>0.76417356330729402</v>
      </c>
    </row>
    <row r="1389" spans="1:27" hidden="1" x14ac:dyDescent="0.25">
      <c r="A1389">
        <v>177</v>
      </c>
      <c r="B1389">
        <v>702</v>
      </c>
      <c r="C1389" t="s">
        <v>26</v>
      </c>
      <c r="D1389">
        <v>25106</v>
      </c>
      <c r="E1389">
        <f t="shared" si="43"/>
        <v>25106702</v>
      </c>
      <c r="F1389">
        <f>VLOOKUP(E1389,YieldData!D:F,2,FALSE)</f>
        <v>2</v>
      </c>
      <c r="G1389">
        <f>VLOOKUP($E1389,YieldData!$D:$F,3,FALSE)</f>
        <v>1</v>
      </c>
      <c r="H1389">
        <v>42</v>
      </c>
      <c r="I1389" t="s">
        <v>27</v>
      </c>
      <c r="J1389" t="s">
        <v>28</v>
      </c>
      <c r="K1389" s="2">
        <v>18397.680109011901</v>
      </c>
      <c r="L1389" s="2">
        <v>125129637.550476</v>
      </c>
      <c r="M1389" s="3">
        <v>5071.79444575048</v>
      </c>
      <c r="N1389" s="3">
        <v>98318177.385353699</v>
      </c>
      <c r="O1389" s="4">
        <v>0.226919951859713</v>
      </c>
      <c r="P1389" s="4">
        <v>3.6997351929750198E-2</v>
      </c>
      <c r="Q1389" s="5">
        <v>5071.79444575048</v>
      </c>
      <c r="R1389" s="5">
        <v>98318177.385353699</v>
      </c>
      <c r="S1389" s="6">
        <v>0.52007754396905603</v>
      </c>
      <c r="T1389" s="6">
        <v>9.1193223406031296E-2</v>
      </c>
      <c r="U1389" s="7">
        <v>0.65016756896107197</v>
      </c>
      <c r="V1389" s="7">
        <v>0.22744970123226699</v>
      </c>
      <c r="W1389" s="8">
        <v>0.83940387188647003</v>
      </c>
      <c r="X1389" s="8">
        <v>0.13480501174852499</v>
      </c>
      <c r="Y1389" s="2">
        <v>146</v>
      </c>
      <c r="Z1389" s="2">
        <f>VLOOKUP(E1389,YieldData!T:U,2,FALSE)</f>
        <v>1239</v>
      </c>
      <c r="AA1389">
        <f t="shared" si="42"/>
        <v>0.65016756896107197</v>
      </c>
    </row>
    <row r="1390" spans="1:27" hidden="1" x14ac:dyDescent="0.25">
      <c r="A1390">
        <v>178</v>
      </c>
      <c r="B1390">
        <v>703</v>
      </c>
      <c r="C1390" t="s">
        <v>26</v>
      </c>
      <c r="D1390">
        <v>25106</v>
      </c>
      <c r="E1390">
        <f t="shared" si="43"/>
        <v>25106703</v>
      </c>
      <c r="F1390">
        <f>VLOOKUP(E1390,YieldData!D:F,2,FALSE)</f>
        <v>3</v>
      </c>
      <c r="G1390">
        <f>VLOOKUP($E1390,YieldData!$D:$F,3,FALSE)</f>
        <v>1</v>
      </c>
      <c r="H1390">
        <v>42</v>
      </c>
      <c r="I1390" t="s">
        <v>27</v>
      </c>
      <c r="J1390" t="s">
        <v>28</v>
      </c>
      <c r="K1390" s="2">
        <v>26864.772402893399</v>
      </c>
      <c r="L1390" s="2">
        <v>113605684.3805</v>
      </c>
      <c r="M1390" s="3">
        <v>-1344.1420257550701</v>
      </c>
      <c r="N1390" s="3">
        <v>46416189.088282101</v>
      </c>
      <c r="O1390" s="4">
        <v>0.28894019705438201</v>
      </c>
      <c r="P1390" s="4">
        <v>1.8488414425737499E-2</v>
      </c>
      <c r="Q1390" s="5">
        <v>-1344.1420257550701</v>
      </c>
      <c r="R1390" s="5">
        <v>46416189.088282101</v>
      </c>
      <c r="S1390" s="6">
        <v>0.66031078372296803</v>
      </c>
      <c r="T1390" s="6">
        <v>3.2811852141553702E-2</v>
      </c>
      <c r="U1390" s="7">
        <v>0.87971551881344601</v>
      </c>
      <c r="V1390" s="7">
        <v>0.10581612477210101</v>
      </c>
      <c r="W1390" s="8">
        <v>0.97309422492401199</v>
      </c>
      <c r="X1390" s="8">
        <v>2.6181854343558499E-2</v>
      </c>
      <c r="Y1390" s="2">
        <v>220</v>
      </c>
      <c r="Z1390" s="2">
        <f>VLOOKUP(E1390,YieldData!T:U,2,FALSE)</f>
        <v>975</v>
      </c>
      <c r="AA1390">
        <f t="shared" si="42"/>
        <v>0.87971551881344601</v>
      </c>
    </row>
    <row r="1391" spans="1:27" hidden="1" x14ac:dyDescent="0.25">
      <c r="A1391">
        <v>179</v>
      </c>
      <c r="B1391">
        <v>704</v>
      </c>
      <c r="C1391" t="s">
        <v>26</v>
      </c>
      <c r="D1391">
        <v>25106</v>
      </c>
      <c r="E1391">
        <f t="shared" si="43"/>
        <v>25106704</v>
      </c>
      <c r="F1391">
        <f>VLOOKUP(E1391,YieldData!D:F,2,FALSE)</f>
        <v>4</v>
      </c>
      <c r="G1391">
        <f>VLOOKUP($E1391,YieldData!$D:$F,3,FALSE)</f>
        <v>1</v>
      </c>
      <c r="H1391">
        <v>42</v>
      </c>
      <c r="I1391" t="s">
        <v>27</v>
      </c>
      <c r="J1391" t="s">
        <v>28</v>
      </c>
      <c r="K1391" s="2">
        <v>23475.669462850699</v>
      </c>
      <c r="L1391" s="2">
        <v>211106644.14216101</v>
      </c>
      <c r="M1391" s="3">
        <v>3654.0959065966899</v>
      </c>
      <c r="N1391" s="3">
        <v>83872972.0395751</v>
      </c>
      <c r="O1391" s="4">
        <v>0.141520540771403</v>
      </c>
      <c r="P1391" s="4">
        <v>3.2261360661833202E-2</v>
      </c>
      <c r="Q1391" s="5">
        <v>3654.0959065966899</v>
      </c>
      <c r="R1391" s="5">
        <v>83872972.0395751</v>
      </c>
      <c r="S1391" s="6">
        <v>0.45438647449416197</v>
      </c>
      <c r="T1391" s="6">
        <v>9.7707167732340602E-2</v>
      </c>
      <c r="U1391" s="7">
        <v>0.63442830960101504</v>
      </c>
      <c r="V1391" s="7">
        <v>0.23192902957778999</v>
      </c>
      <c r="W1391" s="8">
        <v>0.91729991118128895</v>
      </c>
      <c r="X1391" s="8">
        <v>7.5860784127891795E-2</v>
      </c>
      <c r="Y1391" s="2">
        <v>182</v>
      </c>
      <c r="Z1391" s="2">
        <f>VLOOKUP(E1391,YieldData!T:U,2,FALSE)</f>
        <v>819</v>
      </c>
      <c r="AA1391">
        <f t="shared" si="42"/>
        <v>0.63442830960101504</v>
      </c>
    </row>
    <row r="1392" spans="1:27" hidden="1" x14ac:dyDescent="0.25">
      <c r="A1392">
        <v>180</v>
      </c>
      <c r="B1392">
        <v>705</v>
      </c>
      <c r="C1392" t="s">
        <v>26</v>
      </c>
      <c r="D1392">
        <v>25106</v>
      </c>
      <c r="E1392">
        <f t="shared" si="43"/>
        <v>25106705</v>
      </c>
      <c r="F1392">
        <f>VLOOKUP(E1392,YieldData!D:F,2,FALSE)</f>
        <v>3</v>
      </c>
      <c r="G1392">
        <f>VLOOKUP($E1392,YieldData!$D:$F,3,FALSE)</f>
        <v>2</v>
      </c>
      <c r="H1392">
        <v>42</v>
      </c>
      <c r="I1392" t="s">
        <v>27</v>
      </c>
      <c r="J1392" t="s">
        <v>28</v>
      </c>
      <c r="K1392" s="2">
        <v>30877.926724449298</v>
      </c>
      <c r="L1392" s="2">
        <v>133684889.640292</v>
      </c>
      <c r="M1392" s="3">
        <v>-1717.34062535878</v>
      </c>
      <c r="N1392" s="3">
        <v>41943791.893826701</v>
      </c>
      <c r="O1392" s="4">
        <v>0.209123625994072</v>
      </c>
      <c r="P1392" s="4">
        <v>2.0194922310402801E-2</v>
      </c>
      <c r="Q1392" s="5">
        <v>-1717.34062535878</v>
      </c>
      <c r="R1392" s="5">
        <v>41943791.893826701</v>
      </c>
      <c r="S1392" s="6">
        <v>0.60820843372233502</v>
      </c>
      <c r="T1392" s="6">
        <v>4.2792455426473398E-2</v>
      </c>
      <c r="U1392" s="7">
        <v>0.883592151197785</v>
      </c>
      <c r="V1392" s="7">
        <v>0.102857061539503</v>
      </c>
      <c r="W1392" s="8">
        <v>0.96240701061704004</v>
      </c>
      <c r="X1392" s="8">
        <v>3.6179756532147597E-2</v>
      </c>
      <c r="Y1392" s="2">
        <v>178</v>
      </c>
      <c r="Z1392" s="2">
        <f>VLOOKUP(E1392,YieldData!T:U,2,FALSE)</f>
        <v>1642</v>
      </c>
      <c r="AA1392">
        <f t="shared" si="42"/>
        <v>0.883592151197785</v>
      </c>
    </row>
    <row r="1393" spans="1:27" hidden="1" x14ac:dyDescent="0.25">
      <c r="A1393">
        <v>181</v>
      </c>
      <c r="B1393">
        <v>706</v>
      </c>
      <c r="C1393" t="s">
        <v>26</v>
      </c>
      <c r="D1393">
        <v>25106</v>
      </c>
      <c r="E1393">
        <f t="shared" si="43"/>
        <v>25106706</v>
      </c>
      <c r="F1393">
        <f>VLOOKUP(E1393,YieldData!D:F,2,FALSE)</f>
        <v>2</v>
      </c>
      <c r="G1393">
        <f>VLOOKUP($E1393,YieldData!$D:$F,3,FALSE)</f>
        <v>2</v>
      </c>
      <c r="H1393">
        <v>42</v>
      </c>
      <c r="I1393" t="s">
        <v>27</v>
      </c>
      <c r="J1393" t="s">
        <v>28</v>
      </c>
      <c r="K1393" s="2">
        <v>25039.0436726892</v>
      </c>
      <c r="L1393" s="2">
        <v>171715484.14456701</v>
      </c>
      <c r="M1393" s="3">
        <v>1315.38691367355</v>
      </c>
      <c r="N1393" s="3">
        <v>80800330.719881207</v>
      </c>
      <c r="O1393" s="4">
        <v>0.18948940452926799</v>
      </c>
      <c r="P1393" s="4">
        <v>2.8099960756367202E-2</v>
      </c>
      <c r="Q1393" s="5">
        <v>1315.38691367355</v>
      </c>
      <c r="R1393" s="5">
        <v>80800330.719881207</v>
      </c>
      <c r="S1393" s="6">
        <v>0.53001089568118898</v>
      </c>
      <c r="T1393" s="6">
        <v>7.6716388305656094E-2</v>
      </c>
      <c r="U1393" s="7">
        <v>0.73635303593109502</v>
      </c>
      <c r="V1393" s="7">
        <v>0.19413724240623201</v>
      </c>
      <c r="W1393" s="8">
        <v>0.99043131220849201</v>
      </c>
      <c r="X1393" s="8">
        <v>9.4771280054567197E-3</v>
      </c>
      <c r="Y1393" s="2">
        <v>314</v>
      </c>
      <c r="Z1393" s="2">
        <f>VLOOKUP(E1393,YieldData!T:U,2,FALSE)</f>
        <v>1263</v>
      </c>
      <c r="AA1393">
        <f t="shared" si="42"/>
        <v>0.73635303593109502</v>
      </c>
    </row>
    <row r="1394" spans="1:27" hidden="1" x14ac:dyDescent="0.25">
      <c r="A1394">
        <v>182</v>
      </c>
      <c r="B1394">
        <v>707</v>
      </c>
      <c r="C1394" t="s">
        <v>26</v>
      </c>
      <c r="D1394">
        <v>25106</v>
      </c>
      <c r="E1394">
        <f t="shared" si="43"/>
        <v>25106707</v>
      </c>
      <c r="F1394">
        <f>VLOOKUP(E1394,YieldData!D:F,2,FALSE)</f>
        <v>1</v>
      </c>
      <c r="G1394">
        <f>VLOOKUP($E1394,YieldData!$D:$F,3,FALSE)</f>
        <v>2</v>
      </c>
      <c r="H1394">
        <v>42</v>
      </c>
      <c r="I1394" t="s">
        <v>27</v>
      </c>
      <c r="J1394" t="s">
        <v>28</v>
      </c>
      <c r="K1394" s="2">
        <v>27210.169038847998</v>
      </c>
      <c r="L1394" s="2">
        <v>177323343.36185601</v>
      </c>
      <c r="M1394" s="3">
        <v>700.25725971058205</v>
      </c>
      <c r="N1394" s="3">
        <v>74698602.6185482</v>
      </c>
      <c r="O1394" s="4">
        <v>0.193289260898238</v>
      </c>
      <c r="P1394" s="4">
        <v>2.70055186737608E-2</v>
      </c>
      <c r="Q1394" s="5">
        <v>700.25725971058205</v>
      </c>
      <c r="R1394" s="5">
        <v>74698602.6185482</v>
      </c>
      <c r="S1394" s="6">
        <v>0.55436803962112002</v>
      </c>
      <c r="T1394" s="6">
        <v>7.0528241028871494E-2</v>
      </c>
      <c r="U1394" s="7">
        <v>0.77565543967084505</v>
      </c>
      <c r="V1394" s="7">
        <v>0.17401407857957399</v>
      </c>
      <c r="W1394" s="8">
        <v>0.98401004604437003</v>
      </c>
      <c r="X1394" s="8">
        <v>1.57342753281829E-2</v>
      </c>
      <c r="Y1394" s="2">
        <v>230</v>
      </c>
      <c r="Z1394" s="2">
        <f>VLOOKUP(E1394,YieldData!T:U,2,FALSE)</f>
        <v>2142</v>
      </c>
      <c r="AA1394">
        <f t="shared" si="42"/>
        <v>0.77565543967084505</v>
      </c>
    </row>
    <row r="1395" spans="1:27" hidden="1" x14ac:dyDescent="0.25">
      <c r="A1395">
        <v>183</v>
      </c>
      <c r="B1395">
        <v>708</v>
      </c>
      <c r="C1395" t="s">
        <v>26</v>
      </c>
      <c r="D1395">
        <v>25106</v>
      </c>
      <c r="E1395">
        <f t="shared" si="43"/>
        <v>25106708</v>
      </c>
      <c r="F1395">
        <f>VLOOKUP(E1395,YieldData!D:F,2,FALSE)</f>
        <v>4</v>
      </c>
      <c r="G1395">
        <f>VLOOKUP($E1395,YieldData!$D:$F,3,FALSE)</f>
        <v>2</v>
      </c>
      <c r="H1395">
        <v>42</v>
      </c>
      <c r="I1395" t="s">
        <v>27</v>
      </c>
      <c r="J1395" t="s">
        <v>28</v>
      </c>
      <c r="K1395" s="2">
        <v>22216.5775768395</v>
      </c>
      <c r="L1395" s="2">
        <v>203001612.15759501</v>
      </c>
      <c r="M1395" s="3">
        <v>5039.2737630689699</v>
      </c>
      <c r="N1395" s="3">
        <v>100826980.475124</v>
      </c>
      <c r="O1395" s="4">
        <v>0.11025124634844501</v>
      </c>
      <c r="P1395" s="4">
        <v>3.5976192392331199E-2</v>
      </c>
      <c r="Q1395" s="5">
        <v>5039.2737630689699</v>
      </c>
      <c r="R1395" s="5">
        <v>100826980.475124</v>
      </c>
      <c r="S1395" s="6">
        <v>0.41461404369520499</v>
      </c>
      <c r="T1395" s="6">
        <v>0.11402390512770499</v>
      </c>
      <c r="U1395" s="7">
        <v>0.61726430715098801</v>
      </c>
      <c r="V1395" s="7">
        <v>0.236249082268254</v>
      </c>
      <c r="W1395" s="8">
        <v>0.96907016454517203</v>
      </c>
      <c r="X1395" s="8">
        <v>2.9973180733736601E-2</v>
      </c>
      <c r="Y1395" s="2">
        <v>280</v>
      </c>
      <c r="Z1395" s="2">
        <f>VLOOKUP(E1395,YieldData!T:U,2,FALSE)</f>
        <v>1574</v>
      </c>
      <c r="AA1395">
        <f t="shared" si="42"/>
        <v>0.61726430715098801</v>
      </c>
    </row>
    <row r="1396" spans="1:27" hidden="1" x14ac:dyDescent="0.25">
      <c r="A1396">
        <v>184</v>
      </c>
      <c r="B1396">
        <v>709</v>
      </c>
      <c r="C1396" t="s">
        <v>26</v>
      </c>
      <c r="D1396">
        <v>25106</v>
      </c>
      <c r="E1396">
        <f t="shared" si="43"/>
        <v>25106709</v>
      </c>
      <c r="F1396">
        <f>VLOOKUP(E1396,YieldData!D:F,2,FALSE)</f>
        <v>4</v>
      </c>
      <c r="G1396">
        <f>VLOOKUP($E1396,YieldData!$D:$F,3,FALSE)</f>
        <v>3</v>
      </c>
      <c r="H1396">
        <v>42</v>
      </c>
      <c r="I1396" t="s">
        <v>27</v>
      </c>
      <c r="J1396" t="s">
        <v>28</v>
      </c>
      <c r="K1396" s="2">
        <v>16914.692599325499</v>
      </c>
      <c r="L1396" s="2">
        <v>225732693.114907</v>
      </c>
      <c r="M1396" s="3">
        <v>7510.3789715675102</v>
      </c>
      <c r="N1396" s="3">
        <v>105053945.692975</v>
      </c>
      <c r="O1396" s="4">
        <v>5.6088997233321801E-2</v>
      </c>
      <c r="P1396" s="4">
        <v>2.99033384355381E-2</v>
      </c>
      <c r="Q1396" s="5">
        <v>7510.3789715675102</v>
      </c>
      <c r="R1396" s="5">
        <v>105053945.692975</v>
      </c>
      <c r="S1396" s="6">
        <v>0.29509049430864498</v>
      </c>
      <c r="T1396" s="6">
        <v>0.12400813107300999</v>
      </c>
      <c r="U1396" s="7">
        <v>0.44834597077044502</v>
      </c>
      <c r="V1396" s="7">
        <v>0.24733186126419801</v>
      </c>
      <c r="W1396" s="8">
        <v>0.95085751189992096</v>
      </c>
      <c r="X1396" s="8">
        <v>4.6727503963398503E-2</v>
      </c>
      <c r="Y1396" s="2">
        <v>136</v>
      </c>
      <c r="Z1396" s="2">
        <f>VLOOKUP(E1396,YieldData!T:U,2,FALSE)</f>
        <v>1301</v>
      </c>
      <c r="AA1396">
        <f t="shared" si="42"/>
        <v>0.44834597077044502</v>
      </c>
    </row>
    <row r="1397" spans="1:27" hidden="1" x14ac:dyDescent="0.25">
      <c r="A1397">
        <v>167</v>
      </c>
      <c r="B1397">
        <v>801</v>
      </c>
      <c r="C1397" t="s">
        <v>26</v>
      </c>
      <c r="D1397" t="s">
        <v>100</v>
      </c>
      <c r="E1397" t="e">
        <f t="shared" si="43"/>
        <v>#VALUE!</v>
      </c>
      <c r="H1397">
        <v>42</v>
      </c>
      <c r="I1397" t="s">
        <v>27</v>
      </c>
      <c r="J1397" t="s">
        <v>28</v>
      </c>
      <c r="K1397" s="2">
        <v>19497.672503498499</v>
      </c>
      <c r="L1397" s="2">
        <v>84236530.892770097</v>
      </c>
      <c r="M1397" s="3">
        <v>951.37520596756997</v>
      </c>
      <c r="N1397" s="3">
        <v>77903701.9072721</v>
      </c>
      <c r="O1397" s="4">
        <v>0.38900520893525198</v>
      </c>
      <c r="P1397" s="4">
        <v>3.3393579520145801E-2</v>
      </c>
      <c r="Q1397" s="5">
        <v>951.37520596756997</v>
      </c>
      <c r="R1397" s="5">
        <v>77903701.9072721</v>
      </c>
      <c r="S1397" s="6">
        <v>0.68149196847919602</v>
      </c>
      <c r="T1397" s="6">
        <v>5.9525029345423502E-2</v>
      </c>
      <c r="U1397" s="7">
        <v>0.78906072458047805</v>
      </c>
      <c r="V1397" s="7">
        <v>0.16644389750493099</v>
      </c>
      <c r="W1397" s="8">
        <v>0.83867148256231205</v>
      </c>
      <c r="X1397" s="8">
        <v>0.135301626898953</v>
      </c>
      <c r="Y1397" s="2">
        <v>74</v>
      </c>
      <c r="Z1397" s="2" t="e">
        <f>VLOOKUP(E1397,YieldData!T:U,2,FALSE)</f>
        <v>#VALUE!</v>
      </c>
      <c r="AA1397">
        <f t="shared" si="42"/>
        <v>0.913534329143595</v>
      </c>
    </row>
    <row r="1398" spans="1:27" hidden="1" x14ac:dyDescent="0.25">
      <c r="A1398">
        <v>168</v>
      </c>
      <c r="B1398">
        <v>802</v>
      </c>
      <c r="C1398" t="s">
        <v>26</v>
      </c>
      <c r="D1398" t="s">
        <v>100</v>
      </c>
      <c r="E1398" t="e">
        <f t="shared" si="43"/>
        <v>#VALUE!</v>
      </c>
      <c r="H1398">
        <v>42</v>
      </c>
      <c r="I1398" t="s">
        <v>27</v>
      </c>
      <c r="J1398" t="s">
        <v>28</v>
      </c>
      <c r="K1398" s="2">
        <v>17175.819153546199</v>
      </c>
      <c r="L1398" s="2">
        <v>103129261.993944</v>
      </c>
      <c r="M1398" s="3">
        <v>4771.3566807352699</v>
      </c>
      <c r="N1398" s="3">
        <v>121087040.854781</v>
      </c>
      <c r="O1398" s="4">
        <v>0.29879662199912999</v>
      </c>
      <c r="P1398" s="4">
        <v>4.2897875665627E-2</v>
      </c>
      <c r="Q1398" s="5">
        <v>4771.3566807352699</v>
      </c>
      <c r="R1398" s="5">
        <v>121087040.854781</v>
      </c>
      <c r="S1398" s="6">
        <v>0.57195974179775</v>
      </c>
      <c r="T1398" s="6">
        <v>8.5656229430004699E-2</v>
      </c>
      <c r="U1398" s="7">
        <v>0.64391641388608001</v>
      </c>
      <c r="V1398" s="7">
        <v>0.22928806581428501</v>
      </c>
      <c r="W1398" s="8">
        <v>0.77941601271002803</v>
      </c>
      <c r="X1398" s="8">
        <v>0.17192669184113801</v>
      </c>
      <c r="Y1398" s="2">
        <v>92</v>
      </c>
      <c r="Z1398" s="2" t="e">
        <f>VLOOKUP(E1398,YieldData!T:U,2,FALSE)</f>
        <v>#VALUE!</v>
      </c>
      <c r="AA1398">
        <f t="shared" si="42"/>
        <v>0.913534329143595</v>
      </c>
    </row>
    <row r="1399" spans="1:27" hidden="1" x14ac:dyDescent="0.25">
      <c r="A1399">
        <v>169</v>
      </c>
      <c r="B1399">
        <v>803</v>
      </c>
      <c r="C1399" t="s">
        <v>26</v>
      </c>
      <c r="D1399">
        <v>25106</v>
      </c>
      <c r="E1399">
        <f t="shared" si="43"/>
        <v>25106803</v>
      </c>
      <c r="F1399">
        <f>VLOOKUP(E1399,YieldData!D:F,2,FALSE)</f>
        <v>1</v>
      </c>
      <c r="G1399">
        <f>VLOOKUP($E1399,YieldData!$D:$F,3,FALSE)</f>
        <v>4</v>
      </c>
      <c r="H1399">
        <v>42</v>
      </c>
      <c r="I1399" t="s">
        <v>27</v>
      </c>
      <c r="J1399" t="s">
        <v>28</v>
      </c>
      <c r="K1399" s="2">
        <v>27152.620537885399</v>
      </c>
      <c r="L1399" s="2">
        <v>130211830.531454</v>
      </c>
      <c r="M1399" s="3">
        <v>-224.13368643274001</v>
      </c>
      <c r="N1399" s="3">
        <v>52839796.703532502</v>
      </c>
      <c r="O1399" s="4">
        <v>0.30984691142418802</v>
      </c>
      <c r="P1399" s="4">
        <v>1.97889871590155E-2</v>
      </c>
      <c r="Q1399" s="5">
        <v>-224.13368643274001</v>
      </c>
      <c r="R1399" s="5">
        <v>52839796.703532502</v>
      </c>
      <c r="S1399" s="6">
        <v>0.67373959755965096</v>
      </c>
      <c r="T1399" s="6">
        <v>3.5901028981006902E-2</v>
      </c>
      <c r="U1399" s="7">
        <v>0.87296955549071098</v>
      </c>
      <c r="V1399" s="7">
        <v>0.11089371067710101</v>
      </c>
      <c r="W1399" s="8">
        <v>0.90815358801643897</v>
      </c>
      <c r="X1399" s="8">
        <v>8.3410648589181305E-2</v>
      </c>
      <c r="Y1399" s="2">
        <v>176</v>
      </c>
      <c r="Z1399" s="2">
        <f>VLOOKUP(E1399,YieldData!T:U,2,FALSE)</f>
        <v>1371</v>
      </c>
      <c r="AA1399">
        <f t="shared" si="42"/>
        <v>0.87296955549071098</v>
      </c>
    </row>
    <row r="1400" spans="1:27" hidden="1" x14ac:dyDescent="0.25">
      <c r="A1400">
        <v>170</v>
      </c>
      <c r="B1400">
        <v>804</v>
      </c>
      <c r="C1400" t="s">
        <v>26</v>
      </c>
      <c r="D1400">
        <v>25106</v>
      </c>
      <c r="E1400">
        <f t="shared" si="43"/>
        <v>25106804</v>
      </c>
      <c r="F1400">
        <f>VLOOKUP(E1400,YieldData!D:F,2,FALSE)</f>
        <v>3</v>
      </c>
      <c r="G1400">
        <f>VLOOKUP($E1400,YieldData!$D:$F,3,FALSE)</f>
        <v>4</v>
      </c>
      <c r="H1400">
        <v>42</v>
      </c>
      <c r="I1400" t="s">
        <v>27</v>
      </c>
      <c r="J1400" t="s">
        <v>28</v>
      </c>
      <c r="K1400" s="2">
        <v>30625.541016850199</v>
      </c>
      <c r="L1400" s="2">
        <v>150124844.89172</v>
      </c>
      <c r="M1400" s="3">
        <v>-876.36056903735198</v>
      </c>
      <c r="N1400" s="3">
        <v>47608734.092970997</v>
      </c>
      <c r="O1400" s="4">
        <v>0.25421030594574501</v>
      </c>
      <c r="P1400" s="4">
        <v>2.23204073075444E-2</v>
      </c>
      <c r="Q1400" s="5">
        <v>-876.36056903735198</v>
      </c>
      <c r="R1400" s="5">
        <v>47608734.092970997</v>
      </c>
      <c r="S1400" s="6">
        <v>0.65371840082257104</v>
      </c>
      <c r="T1400" s="6">
        <v>4.6837192742734797E-2</v>
      </c>
      <c r="U1400" s="7">
        <v>0.89469691443577204</v>
      </c>
      <c r="V1400" s="7">
        <v>9.4214345735074201E-2</v>
      </c>
      <c r="W1400" s="8">
        <v>0.87448028360103303</v>
      </c>
      <c r="X1400" s="8">
        <v>0.109764517194076</v>
      </c>
      <c r="Y1400" s="2">
        <v>104</v>
      </c>
      <c r="Z1400" s="2">
        <f>VLOOKUP(E1400,YieldData!T:U,2,FALSE)</f>
        <v>646</v>
      </c>
      <c r="AA1400">
        <f t="shared" si="42"/>
        <v>0.89469691443577204</v>
      </c>
    </row>
    <row r="1401" spans="1:27" hidden="1" x14ac:dyDescent="0.25">
      <c r="A1401">
        <v>171</v>
      </c>
      <c r="B1401">
        <v>805</v>
      </c>
      <c r="C1401" t="s">
        <v>26</v>
      </c>
      <c r="D1401">
        <v>25106</v>
      </c>
      <c r="E1401">
        <f t="shared" si="43"/>
        <v>25106805</v>
      </c>
      <c r="F1401">
        <f>VLOOKUP(E1401,YieldData!D:F,2,FALSE)</f>
        <v>2</v>
      </c>
      <c r="G1401">
        <f>VLOOKUP($E1401,YieldData!$D:$F,3,FALSE)</f>
        <v>4</v>
      </c>
      <c r="H1401">
        <v>42</v>
      </c>
      <c r="I1401" t="s">
        <v>27</v>
      </c>
      <c r="J1401" t="s">
        <v>28</v>
      </c>
      <c r="K1401" s="2">
        <v>25406.355101540001</v>
      </c>
      <c r="L1401" s="2">
        <v>147370105.73017901</v>
      </c>
      <c r="M1401" s="3">
        <v>-301.754178968519</v>
      </c>
      <c r="N1401" s="3">
        <v>58217612.599027798</v>
      </c>
      <c r="O1401" s="4">
        <v>0.277063133282001</v>
      </c>
      <c r="P1401" s="4">
        <v>2.2380393995308299E-2</v>
      </c>
      <c r="Q1401" s="5">
        <v>-301.754178968519</v>
      </c>
      <c r="R1401" s="5">
        <v>58217612.599027798</v>
      </c>
      <c r="S1401" s="6">
        <v>0.61811269011448799</v>
      </c>
      <c r="T1401" s="6">
        <v>5.0311922292566903E-2</v>
      </c>
      <c r="U1401" s="7">
        <v>0.80746058040370605</v>
      </c>
      <c r="V1401" s="7">
        <v>0.15546799149789001</v>
      </c>
      <c r="W1401" s="8">
        <v>0.853880606172158</v>
      </c>
      <c r="X1401" s="8">
        <v>0.12476851657516801</v>
      </c>
      <c r="Y1401" s="2">
        <v>92</v>
      </c>
      <c r="Z1401" s="2">
        <f>VLOOKUP(E1401,YieldData!T:U,2,FALSE)</f>
        <v>1918</v>
      </c>
      <c r="AA1401">
        <f t="shared" si="42"/>
        <v>0.80746058040370605</v>
      </c>
    </row>
    <row r="1402" spans="1:27" hidden="1" x14ac:dyDescent="0.25">
      <c r="A1402">
        <v>172</v>
      </c>
      <c r="B1402">
        <v>806</v>
      </c>
      <c r="C1402" t="s">
        <v>26</v>
      </c>
      <c r="D1402">
        <v>25106</v>
      </c>
      <c r="E1402">
        <f t="shared" si="43"/>
        <v>25106806</v>
      </c>
      <c r="F1402">
        <f>VLOOKUP(E1402,YieldData!D:F,2,FALSE)</f>
        <v>4</v>
      </c>
      <c r="G1402">
        <f>VLOOKUP($E1402,YieldData!$D:$F,3,FALSE)</f>
        <v>4</v>
      </c>
      <c r="H1402">
        <v>42</v>
      </c>
      <c r="I1402" t="s">
        <v>27</v>
      </c>
      <c r="J1402" t="s">
        <v>28</v>
      </c>
      <c r="K1402" s="2">
        <v>23030.3265683639</v>
      </c>
      <c r="L1402" s="2">
        <v>206082288.50593799</v>
      </c>
      <c r="M1402" s="3">
        <v>3545.69238286167</v>
      </c>
      <c r="N1402" s="3">
        <v>95108710.929777399</v>
      </c>
      <c r="O1402" s="4">
        <v>0.17796349319303501</v>
      </c>
      <c r="P1402" s="4">
        <v>2.8148767615226802E-2</v>
      </c>
      <c r="Q1402" s="5">
        <v>3545.69238286167</v>
      </c>
      <c r="R1402" s="5">
        <v>95108710.929777399</v>
      </c>
      <c r="S1402" s="6">
        <v>0.49570837278505298</v>
      </c>
      <c r="T1402" s="6">
        <v>8.9324127396320396E-2</v>
      </c>
      <c r="U1402" s="7">
        <v>0.65630406430491595</v>
      </c>
      <c r="V1402" s="7">
        <v>0.225569039481993</v>
      </c>
      <c r="W1402" s="8">
        <v>0.78963897427708396</v>
      </c>
      <c r="X1402" s="8">
        <v>0.166109264579651</v>
      </c>
      <c r="Y1402" s="2">
        <v>52</v>
      </c>
      <c r="Z1402" s="2">
        <f>VLOOKUP(E1402,YieldData!T:U,2,FALSE)</f>
        <v>1642</v>
      </c>
      <c r="AA1402">
        <f t="shared" si="42"/>
        <v>0.65630406430491595</v>
      </c>
    </row>
    <row r="1403" spans="1:27" hidden="1" x14ac:dyDescent="0.25">
      <c r="A1403">
        <v>173</v>
      </c>
      <c r="B1403">
        <v>807</v>
      </c>
      <c r="C1403" t="s">
        <v>26</v>
      </c>
      <c r="D1403">
        <v>25106</v>
      </c>
      <c r="E1403">
        <f t="shared" si="43"/>
        <v>25106807</v>
      </c>
      <c r="F1403">
        <f>VLOOKUP(E1403,YieldData!D:F,2,FALSE)</f>
        <v>2</v>
      </c>
      <c r="G1403">
        <f>VLOOKUP($E1403,YieldData!$D:$F,3,FALSE)</f>
        <v>3</v>
      </c>
      <c r="H1403">
        <v>42</v>
      </c>
      <c r="I1403" t="s">
        <v>27</v>
      </c>
      <c r="J1403" t="s">
        <v>28</v>
      </c>
      <c r="K1403" s="2">
        <v>26665.692517039901</v>
      </c>
      <c r="L1403" s="2">
        <v>116362881.287306</v>
      </c>
      <c r="M1403" s="3">
        <v>-1474.2524113266199</v>
      </c>
      <c r="N1403" s="3">
        <v>46631426.794989198</v>
      </c>
      <c r="O1403" s="4">
        <v>0.30508865227404602</v>
      </c>
      <c r="P1403" s="4">
        <v>1.89681774550799E-2</v>
      </c>
      <c r="Q1403" s="5">
        <v>-1474.2524113266199</v>
      </c>
      <c r="R1403" s="5">
        <v>46631426.794989198</v>
      </c>
      <c r="S1403" s="6">
        <v>0.66619289205741905</v>
      </c>
      <c r="T1403" s="6">
        <v>3.4862138205290903E-2</v>
      </c>
      <c r="U1403" s="7">
        <v>0.88711774211185002</v>
      </c>
      <c r="V1403" s="7">
        <v>0.100139853742113</v>
      </c>
      <c r="W1403" s="8">
        <v>0.95289815456014404</v>
      </c>
      <c r="X1403" s="8">
        <v>4.48832615960197E-2</v>
      </c>
      <c r="Y1403" s="2">
        <v>140</v>
      </c>
      <c r="Z1403" s="2">
        <f>VLOOKUP(E1403,YieldData!T:U,2,FALSE)</f>
        <v>1837</v>
      </c>
      <c r="AA1403">
        <f t="shared" si="42"/>
        <v>0.88711774211185002</v>
      </c>
    </row>
    <row r="1404" spans="1:27" hidden="1" x14ac:dyDescent="0.25">
      <c r="A1404">
        <v>174</v>
      </c>
      <c r="B1404">
        <v>808</v>
      </c>
      <c r="C1404" t="s">
        <v>26</v>
      </c>
      <c r="D1404">
        <v>25106</v>
      </c>
      <c r="E1404">
        <f t="shared" si="43"/>
        <v>25106808</v>
      </c>
      <c r="F1404">
        <f>VLOOKUP(E1404,YieldData!D:F,2,FALSE)</f>
        <v>3</v>
      </c>
      <c r="G1404">
        <f>VLOOKUP($E1404,YieldData!$D:$F,3,FALSE)</f>
        <v>3</v>
      </c>
      <c r="H1404">
        <v>42</v>
      </c>
      <c r="I1404" t="s">
        <v>27</v>
      </c>
      <c r="J1404" t="s">
        <v>28</v>
      </c>
      <c r="K1404" s="2">
        <v>28932.035188038699</v>
      </c>
      <c r="L1404" s="2">
        <v>131047404.687391</v>
      </c>
      <c r="M1404" s="3">
        <v>-286.958814635468</v>
      </c>
      <c r="N1404" s="3">
        <v>44389429.4754913</v>
      </c>
      <c r="O1404" s="4">
        <v>0.23553723078673799</v>
      </c>
      <c r="P1404" s="4">
        <v>1.7697977199417101E-2</v>
      </c>
      <c r="Q1404" s="5">
        <v>-286.958814635468</v>
      </c>
      <c r="R1404" s="5">
        <v>44389429.4754913</v>
      </c>
      <c r="S1404" s="6">
        <v>0.62644045678372395</v>
      </c>
      <c r="T1404" s="6">
        <v>3.5152143492132998E-2</v>
      </c>
      <c r="U1404" s="7">
        <v>0.87328453796889305</v>
      </c>
      <c r="V1404" s="7">
        <v>0.110658653713162</v>
      </c>
      <c r="W1404" s="8">
        <v>0.999229472670359</v>
      </c>
      <c r="X1404" s="8">
        <v>7.6993361727541003E-4</v>
      </c>
      <c r="Y1404" s="2">
        <v>314</v>
      </c>
      <c r="Z1404" s="2">
        <f>VLOOKUP(E1404,YieldData!T:U,2,FALSE)</f>
        <v>963</v>
      </c>
      <c r="AA1404">
        <f t="shared" si="42"/>
        <v>0.87328453796889305</v>
      </c>
    </row>
    <row r="1405" spans="1:27" hidden="1" x14ac:dyDescent="0.25">
      <c r="A1405">
        <v>175</v>
      </c>
      <c r="B1405">
        <v>809</v>
      </c>
      <c r="C1405" t="s">
        <v>26</v>
      </c>
      <c r="D1405">
        <v>25106</v>
      </c>
      <c r="E1405">
        <f t="shared" si="43"/>
        <v>25106809</v>
      </c>
      <c r="F1405">
        <f>VLOOKUP(E1405,YieldData!D:F,2,FALSE)</f>
        <v>1</v>
      </c>
      <c r="G1405">
        <f>VLOOKUP($E1405,YieldData!$D:$F,3,FALSE)</f>
        <v>3</v>
      </c>
      <c r="H1405">
        <v>42</v>
      </c>
      <c r="I1405" t="s">
        <v>27</v>
      </c>
      <c r="J1405" t="s">
        <v>28</v>
      </c>
      <c r="K1405" s="2">
        <v>24096.666594904898</v>
      </c>
      <c r="L1405" s="2">
        <v>225935880.38863599</v>
      </c>
      <c r="M1405" s="3">
        <v>2821.2930431171098</v>
      </c>
      <c r="N1405" s="3">
        <v>81287357.700234398</v>
      </c>
      <c r="O1405" s="4">
        <v>0.160525729468253</v>
      </c>
      <c r="P1405" s="4">
        <v>2.5811130894498401E-2</v>
      </c>
      <c r="Q1405" s="5">
        <v>2821.2930431171098</v>
      </c>
      <c r="R1405" s="5">
        <v>81287357.700234398</v>
      </c>
      <c r="S1405" s="6">
        <v>0.48877548840136398</v>
      </c>
      <c r="T1405" s="6">
        <v>8.7326402940822501E-2</v>
      </c>
      <c r="U1405" s="7">
        <v>0.67314914483913402</v>
      </c>
      <c r="V1405" s="7">
        <v>0.22001937364190099</v>
      </c>
      <c r="W1405" s="8">
        <v>0.94846741691282899</v>
      </c>
      <c r="X1405" s="8">
        <v>4.8876975967516799E-2</v>
      </c>
      <c r="Y1405" s="2">
        <v>156</v>
      </c>
      <c r="Z1405" s="2">
        <f>VLOOKUP(E1405,YieldData!T:U,2,FALSE)</f>
        <v>1538</v>
      </c>
      <c r="AA1405">
        <f t="shared" si="42"/>
        <v>0.67314914483913402</v>
      </c>
    </row>
  </sheetData>
  <autoFilter ref="A1:AA1405" xr:uid="{2587821D-9FBC-470E-A484-324D5E04C814}">
    <filterColumn colId="7">
      <filters>
        <filter val="10"/>
      </filters>
    </filterColumn>
    <filterColumn colId="25">
      <filters>
        <filter val="1015.134788"/>
        <filter val="1017.817715"/>
        <filter val="1035.245507"/>
        <filter val="1064.634146"/>
        <filter val="1065.827985"/>
        <filter val="1069.698331"/>
        <filter val="1100.044929"/>
        <filter val="1109"/>
        <filter val="1125"/>
        <filter val="1144"/>
        <filter val="1158.129012"/>
        <filter val="1164.974326"/>
        <filter val="1172"/>
        <filter val="1186.198652"/>
        <filter val="1202.81611"/>
        <filter val="1226"/>
        <filter val="1237"/>
        <filter val="1239"/>
        <filter val="1252"/>
        <filter val="1263"/>
        <filter val="1282"/>
        <filter val="1287.366816"/>
        <filter val="1301"/>
        <filter val="1315.781451"/>
        <filter val="1316.933569"/>
        <filter val="1323.071245"/>
        <filter val="1325.861682"/>
        <filter val="1326.286906"/>
        <filter val="1340.468549"/>
        <filter val="1357.461489"/>
        <filter val="1371"/>
        <filter val="1385.982028"/>
        <filter val="1414.473684"/>
        <filter val="1424.210526"/>
        <filter val="1430"/>
        <filter val="1461.787548"/>
        <filter val="1467.145379"/>
        <filter val="1469.608472"/>
        <filter val="1480.022465"/>
        <filter val="1489.141528"/>
        <filter val="1492"/>
        <filter val="1494.531451"/>
        <filter val="1500.42362"/>
        <filter val="1535.141207"/>
        <filter val="1538"/>
        <filter val="1542"/>
        <filter val="1547"/>
        <filter val="1550.275995"/>
        <filter val="1551.322208"/>
        <filter val="1552"/>
        <filter val="1574"/>
        <filter val="1584.210526"/>
        <filter val="1585.044929"/>
        <filter val="1594.544288"/>
        <filter val="1595"/>
        <filter val="1598.741977"/>
        <filter val="1599.695122"/>
        <filter val="1611.01733"/>
        <filter val="1622.796855"/>
        <filter val="1636.448973"/>
        <filter val="1640.641849"/>
        <filter val="1642"/>
        <filter val="1653.120988"/>
        <filter val="1660.990051"/>
        <filter val="1675.269576"/>
        <filter val="1677.467908"/>
        <filter val="1678"/>
        <filter val="1684.587612"/>
        <filter val="1751.404044"/>
        <filter val="1772.581836"/>
        <filter val="1782.989409"/>
        <filter val="1785.54878"/>
        <filter val="1804.313222"/>
        <filter val="1822.087612"/>
        <filter val="1823.43389"/>
        <filter val="1837"/>
        <filter val="1847.676508"/>
        <filter val="1849"/>
        <filter val="1853.831836"/>
        <filter val="1864.188062"/>
        <filter val="1865"/>
        <filter val="1890.827985"/>
        <filter val="1918"/>
        <filter val="1929.165597"/>
        <filter val="1960.516688"/>
        <filter val="2008.035944"/>
        <filter val="2012.426187"/>
        <filter val="2033"/>
        <filter val="2035.834403"/>
        <filter val="2037.997433"/>
        <filter val="2054.942234"/>
        <filter val="2056.237163"/>
        <filter val="2060.911425"/>
        <filter val="2104.139923"/>
        <filter val="2118"/>
        <filter val="2134.146341"/>
        <filter val="2142"/>
        <filter val="2154"/>
        <filter val="2181.591784"/>
        <filter val="2191.56611"/>
        <filter val="2192"/>
        <filter val="223.7243261"/>
        <filter val="2254.927792"/>
        <filter val="2259"/>
        <filter val="2259.040436"/>
        <filter val="2262.755135"/>
        <filter val="2271.840501"/>
        <filter val="231.2130937"/>
        <filter val="2312.83697"/>
        <filter val="2315.911425"/>
        <filter val="2318.13543"/>
        <filter val="2319.634146"/>
        <filter val="2342"/>
        <filter val="2382"/>
        <filter val="2390.827985"/>
        <filter val="2428.584724"/>
        <filter val="2488.189987"/>
        <filter val="2505.21181"/>
        <filter val="2507.214377"/>
        <filter val="2508.231707"/>
        <filter val="2547.597882"/>
        <filter val="2572.666881"/>
        <filter val="258.9955071"/>
        <filter val="2592"/>
        <filter val="2596.150513"/>
        <filter val="260.4637356"/>
        <filter val="2630.877728"/>
        <filter val="2638.87837"/>
        <filter val="2654.484917"/>
        <filter val="2665.702824"/>
        <filter val="2712.503209"/>
        <filter val="2716.463415"/>
        <filter val="2723"/>
        <filter val="2740.994865"/>
        <filter val="2760"/>
        <filter val="2785.418806"/>
        <filter val="2797.62516"/>
        <filter val="2836.107189"/>
        <filter val="2873.01027"/>
        <filter val="2916.816431"/>
        <filter val="2987.830552"/>
        <filter val="3008.472401"/>
        <filter val="3019.951861"/>
        <filter val="3107"/>
        <filter val="3189.656611"/>
        <filter val="3292.925225"/>
        <filter val="3449.229782"/>
        <filter val="361"/>
        <filter val="3938.173941"/>
        <filter val="394.6726573"/>
        <filter val="402.0394737"/>
        <filter val="428.1643132"/>
        <filter val="429.8138639"/>
        <filter val="429.8459564"/>
        <filter val="431.3157895"/>
        <filter val="459.5555199"/>
        <filter val="534"/>
        <filter val="557.2721438"/>
        <filter val="604"/>
        <filter val="622"/>
        <filter val="634.4592426"/>
        <filter val="641.5099487"/>
        <filter val="646"/>
        <filter val="646.2564185"/>
        <filter val="662.8369705"/>
        <filter val="684.6052632"/>
        <filter val="690.6980103"/>
        <filter val="691"/>
        <filter val="695.9403081"/>
        <filter val="712.8690629"/>
        <filter val="766.5853659"/>
        <filter val="769.258665"/>
        <filter val="799.5073813"/>
        <filter val="819"/>
        <filter val="830.7894737"/>
        <filter val="837.1774711"/>
        <filter val="840"/>
        <filter val="854.7769576"/>
        <filter val="861.6752246"/>
        <filter val="875.555199"/>
        <filter val="894.4239409"/>
        <filter val="963"/>
        <filter val="975"/>
      </filters>
    </filterColumn>
  </autoFilter>
  <sortState xmlns:xlrd2="http://schemas.microsoft.com/office/spreadsheetml/2017/richdata2" ref="A1334:AA1405">
    <sortCondition ref="B1334:B140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AA9C-7CC1-412E-B0B9-CABCD56E00B5}">
  <dimension ref="A1:Y195"/>
  <sheetViews>
    <sheetView workbookViewId="0">
      <selection activeCell="F13" sqref="F13"/>
    </sheetView>
  </sheetViews>
  <sheetFormatPr defaultRowHeight="15" x14ac:dyDescent="0.25"/>
  <cols>
    <col min="1" max="1" width="13.5703125" bestFit="1" customWidth="1"/>
    <col min="22" max="22" width="14.5703125" bestFit="1" customWidth="1"/>
    <col min="23" max="23" width="13.28515625" bestFit="1" customWidth="1"/>
  </cols>
  <sheetData>
    <row r="1" spans="1:25" x14ac:dyDescent="0.25">
      <c r="A1" t="s">
        <v>102</v>
      </c>
      <c r="B1" t="s">
        <v>103</v>
      </c>
      <c r="C1" t="s">
        <v>104</v>
      </c>
      <c r="D1" t="s">
        <v>101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101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</row>
    <row r="2" spans="1:25" x14ac:dyDescent="0.25">
      <c r="A2" t="s">
        <v>125</v>
      </c>
      <c r="B2" t="s">
        <v>126</v>
      </c>
      <c r="C2">
        <f t="shared" ref="C2:C33" si="0">O2*100+P2</f>
        <v>101</v>
      </c>
      <c r="D2">
        <v>25104101</v>
      </c>
      <c r="E2">
        <v>1</v>
      </c>
      <c r="F2">
        <v>1</v>
      </c>
      <c r="G2" t="s">
        <v>127</v>
      </c>
      <c r="H2">
        <v>0</v>
      </c>
      <c r="I2">
        <v>25104</v>
      </c>
      <c r="J2">
        <v>2025</v>
      </c>
      <c r="K2">
        <v>21</v>
      </c>
      <c r="M2" t="s">
        <v>128</v>
      </c>
      <c r="N2" t="s">
        <v>129</v>
      </c>
      <c r="O2">
        <v>1</v>
      </c>
      <c r="P2">
        <v>1</v>
      </c>
      <c r="Q2">
        <v>29</v>
      </c>
      <c r="R2">
        <v>16.399999999999999</v>
      </c>
      <c r="S2">
        <v>398</v>
      </c>
      <c r="T2">
        <f t="shared" ref="T2:T33" si="1">I2*1000+C2</f>
        <v>25104101</v>
      </c>
      <c r="U2">
        <v>534</v>
      </c>
      <c r="V2" s="10">
        <v>45873</v>
      </c>
      <c r="X2">
        <v>29.57</v>
      </c>
      <c r="Y2">
        <v>1</v>
      </c>
    </row>
    <row r="3" spans="1:25" x14ac:dyDescent="0.25">
      <c r="A3" t="s">
        <v>130</v>
      </c>
      <c r="B3" t="s">
        <v>126</v>
      </c>
      <c r="C3">
        <f t="shared" si="0"/>
        <v>102</v>
      </c>
      <c r="D3">
        <v>25104102</v>
      </c>
      <c r="E3">
        <v>2</v>
      </c>
      <c r="F3">
        <v>1</v>
      </c>
      <c r="G3" t="s">
        <v>127</v>
      </c>
      <c r="H3">
        <v>0</v>
      </c>
      <c r="I3">
        <v>25104</v>
      </c>
      <c r="J3">
        <v>2025</v>
      </c>
      <c r="K3">
        <v>22</v>
      </c>
      <c r="M3" t="s">
        <v>128</v>
      </c>
      <c r="N3" t="s">
        <v>131</v>
      </c>
      <c r="O3">
        <v>1</v>
      </c>
      <c r="P3">
        <v>2</v>
      </c>
      <c r="Q3">
        <v>33</v>
      </c>
      <c r="R3">
        <v>17.2</v>
      </c>
      <c r="S3">
        <v>1164</v>
      </c>
      <c r="T3">
        <f t="shared" si="1"/>
        <v>25104102</v>
      </c>
      <c r="U3">
        <v>1547</v>
      </c>
      <c r="V3" s="10">
        <v>45871</v>
      </c>
      <c r="W3" s="10">
        <v>45922</v>
      </c>
      <c r="X3">
        <v>33.32</v>
      </c>
      <c r="Y3">
        <v>16</v>
      </c>
    </row>
    <row r="4" spans="1:25" x14ac:dyDescent="0.25">
      <c r="A4" t="s">
        <v>132</v>
      </c>
      <c r="B4" t="s">
        <v>126</v>
      </c>
      <c r="C4">
        <f t="shared" si="0"/>
        <v>103</v>
      </c>
      <c r="D4">
        <v>25104103</v>
      </c>
      <c r="E4">
        <v>3</v>
      </c>
      <c r="F4">
        <v>1</v>
      </c>
      <c r="G4" t="s">
        <v>127</v>
      </c>
      <c r="H4">
        <v>1</v>
      </c>
      <c r="I4">
        <v>25104</v>
      </c>
      <c r="J4">
        <v>2025</v>
      </c>
      <c r="K4">
        <v>23</v>
      </c>
      <c r="L4" t="s">
        <v>133</v>
      </c>
      <c r="M4" t="s">
        <v>134</v>
      </c>
      <c r="N4" t="s">
        <v>135</v>
      </c>
      <c r="O4">
        <v>1</v>
      </c>
      <c r="P4">
        <v>3</v>
      </c>
      <c r="Q4">
        <v>30</v>
      </c>
      <c r="R4">
        <v>18.2</v>
      </c>
      <c r="S4">
        <v>893</v>
      </c>
      <c r="T4">
        <f t="shared" si="1"/>
        <v>25104103</v>
      </c>
      <c r="U4">
        <v>1172</v>
      </c>
      <c r="V4" s="10">
        <v>45872</v>
      </c>
      <c r="W4" s="10">
        <v>45922</v>
      </c>
      <c r="X4">
        <v>29.93</v>
      </c>
      <c r="Y4">
        <v>17</v>
      </c>
    </row>
    <row r="5" spans="1:25" x14ac:dyDescent="0.25">
      <c r="A5" t="s">
        <v>136</v>
      </c>
      <c r="B5" t="s">
        <v>126</v>
      </c>
      <c r="C5">
        <f t="shared" si="0"/>
        <v>104</v>
      </c>
      <c r="D5">
        <v>25104104</v>
      </c>
      <c r="E5">
        <v>4</v>
      </c>
      <c r="F5">
        <v>1</v>
      </c>
      <c r="G5" t="s">
        <v>127</v>
      </c>
      <c r="H5">
        <v>2</v>
      </c>
      <c r="I5">
        <v>25104</v>
      </c>
      <c r="J5">
        <v>2025</v>
      </c>
      <c r="K5">
        <v>24</v>
      </c>
      <c r="L5" t="s">
        <v>128</v>
      </c>
      <c r="M5" t="s">
        <v>137</v>
      </c>
      <c r="N5" t="s">
        <v>138</v>
      </c>
      <c r="O5">
        <v>1</v>
      </c>
      <c r="P5">
        <v>4</v>
      </c>
      <c r="Q5">
        <v>34</v>
      </c>
      <c r="R5">
        <v>14.6</v>
      </c>
      <c r="S5">
        <v>821</v>
      </c>
      <c r="T5">
        <f t="shared" si="1"/>
        <v>25104104</v>
      </c>
      <c r="U5">
        <v>1125</v>
      </c>
      <c r="V5" s="10">
        <v>45870</v>
      </c>
      <c r="W5" s="10">
        <v>45922</v>
      </c>
      <c r="X5">
        <v>35.409999999999997</v>
      </c>
      <c r="Y5">
        <v>32</v>
      </c>
    </row>
    <row r="6" spans="1:25" x14ac:dyDescent="0.25">
      <c r="A6" t="s">
        <v>139</v>
      </c>
      <c r="B6" t="s">
        <v>126</v>
      </c>
      <c r="C6">
        <f t="shared" si="0"/>
        <v>105</v>
      </c>
      <c r="D6">
        <v>25104105</v>
      </c>
      <c r="E6">
        <v>5</v>
      </c>
      <c r="F6">
        <v>1</v>
      </c>
      <c r="G6" t="s">
        <v>127</v>
      </c>
      <c r="H6">
        <v>3</v>
      </c>
      <c r="I6">
        <v>25104</v>
      </c>
      <c r="J6">
        <v>2025</v>
      </c>
      <c r="K6">
        <v>25</v>
      </c>
      <c r="L6" t="s">
        <v>140</v>
      </c>
      <c r="M6" t="s">
        <v>137</v>
      </c>
      <c r="N6" t="s">
        <v>141</v>
      </c>
      <c r="O6">
        <v>1</v>
      </c>
      <c r="P6">
        <v>5</v>
      </c>
      <c r="Q6">
        <v>30</v>
      </c>
      <c r="R6">
        <v>15.8</v>
      </c>
      <c r="S6">
        <v>1763</v>
      </c>
      <c r="T6">
        <f t="shared" si="1"/>
        <v>25104105</v>
      </c>
      <c r="U6">
        <v>2382</v>
      </c>
      <c r="V6" s="10">
        <v>45869</v>
      </c>
      <c r="W6" s="10">
        <v>45919</v>
      </c>
      <c r="X6">
        <v>30.8</v>
      </c>
      <c r="Y6">
        <v>33</v>
      </c>
    </row>
    <row r="7" spans="1:25" x14ac:dyDescent="0.25">
      <c r="A7" t="s">
        <v>142</v>
      </c>
      <c r="B7" t="s">
        <v>126</v>
      </c>
      <c r="C7">
        <f t="shared" si="0"/>
        <v>106</v>
      </c>
      <c r="D7">
        <v>25104106</v>
      </c>
      <c r="E7">
        <v>4</v>
      </c>
      <c r="F7">
        <v>2</v>
      </c>
      <c r="G7" t="s">
        <v>127</v>
      </c>
      <c r="H7">
        <v>2</v>
      </c>
      <c r="I7">
        <v>25104</v>
      </c>
      <c r="J7">
        <v>2025</v>
      </c>
      <c r="K7">
        <v>26</v>
      </c>
      <c r="L7" t="s">
        <v>128</v>
      </c>
      <c r="M7" t="s">
        <v>137</v>
      </c>
      <c r="N7" t="s">
        <v>138</v>
      </c>
      <c r="O7">
        <v>1</v>
      </c>
      <c r="P7">
        <v>6</v>
      </c>
      <c r="Q7">
        <v>36</v>
      </c>
      <c r="R7">
        <v>14.9</v>
      </c>
      <c r="S7">
        <v>898</v>
      </c>
      <c r="T7">
        <f t="shared" si="1"/>
        <v>25104106</v>
      </c>
      <c r="U7">
        <v>1226</v>
      </c>
      <c r="V7" s="10">
        <v>45872</v>
      </c>
      <c r="W7" s="10">
        <v>45922</v>
      </c>
      <c r="X7">
        <v>37.36</v>
      </c>
      <c r="Y7">
        <v>48</v>
      </c>
    </row>
    <row r="8" spans="1:25" x14ac:dyDescent="0.25">
      <c r="A8" t="s">
        <v>143</v>
      </c>
      <c r="B8" t="s">
        <v>126</v>
      </c>
      <c r="C8">
        <f t="shared" si="0"/>
        <v>107</v>
      </c>
      <c r="D8">
        <v>25104107</v>
      </c>
      <c r="E8">
        <v>1</v>
      </c>
      <c r="F8">
        <v>2</v>
      </c>
      <c r="G8" t="s">
        <v>127</v>
      </c>
      <c r="H8">
        <v>0</v>
      </c>
      <c r="I8">
        <v>25104</v>
      </c>
      <c r="J8">
        <v>2025</v>
      </c>
      <c r="K8">
        <v>27</v>
      </c>
      <c r="M8" t="s">
        <v>128</v>
      </c>
      <c r="N8" t="s">
        <v>129</v>
      </c>
      <c r="O8">
        <v>1</v>
      </c>
      <c r="P8">
        <v>7</v>
      </c>
      <c r="Q8">
        <v>26</v>
      </c>
      <c r="R8">
        <v>15.1</v>
      </c>
      <c r="S8">
        <v>1581</v>
      </c>
      <c r="T8">
        <f t="shared" si="1"/>
        <v>25104107</v>
      </c>
      <c r="U8">
        <v>2154</v>
      </c>
      <c r="V8" s="10">
        <v>45872</v>
      </c>
      <c r="W8" s="10">
        <v>45922</v>
      </c>
      <c r="X8">
        <v>26.92</v>
      </c>
      <c r="Y8">
        <v>49</v>
      </c>
    </row>
    <row r="9" spans="1:25" x14ac:dyDescent="0.25">
      <c r="A9" t="s">
        <v>144</v>
      </c>
      <c r="B9" t="s">
        <v>126</v>
      </c>
      <c r="C9">
        <f t="shared" si="0"/>
        <v>108</v>
      </c>
      <c r="D9">
        <v>25104108</v>
      </c>
      <c r="E9">
        <v>5</v>
      </c>
      <c r="F9">
        <v>2</v>
      </c>
      <c r="G9" t="s">
        <v>127</v>
      </c>
      <c r="H9">
        <v>3</v>
      </c>
      <c r="I9">
        <v>25104</v>
      </c>
      <c r="J9">
        <v>2025</v>
      </c>
      <c r="K9">
        <v>28</v>
      </c>
      <c r="L9" t="s">
        <v>140</v>
      </c>
      <c r="M9" t="s">
        <v>137</v>
      </c>
      <c r="N9" t="s">
        <v>141</v>
      </c>
      <c r="O9">
        <v>1</v>
      </c>
      <c r="P9">
        <v>8</v>
      </c>
      <c r="Q9">
        <v>32</v>
      </c>
      <c r="R9">
        <v>12.5</v>
      </c>
      <c r="S9">
        <v>1561</v>
      </c>
      <c r="T9">
        <f t="shared" si="1"/>
        <v>25104108</v>
      </c>
      <c r="U9">
        <v>2192</v>
      </c>
      <c r="V9" s="10">
        <v>45869</v>
      </c>
      <c r="W9" s="10">
        <v>45922</v>
      </c>
      <c r="X9">
        <v>34.15</v>
      </c>
      <c r="Y9">
        <v>64</v>
      </c>
    </row>
    <row r="10" spans="1:25" x14ac:dyDescent="0.25">
      <c r="A10" t="s">
        <v>145</v>
      </c>
      <c r="B10" t="s">
        <v>126</v>
      </c>
      <c r="C10">
        <f t="shared" si="0"/>
        <v>109</v>
      </c>
      <c r="D10">
        <v>25104109</v>
      </c>
      <c r="E10">
        <v>2</v>
      </c>
      <c r="F10">
        <v>2</v>
      </c>
      <c r="G10" t="s">
        <v>127</v>
      </c>
      <c r="H10">
        <v>0</v>
      </c>
      <c r="I10">
        <v>25104</v>
      </c>
      <c r="J10">
        <v>2025</v>
      </c>
      <c r="K10">
        <v>29</v>
      </c>
      <c r="M10" t="s">
        <v>128</v>
      </c>
      <c r="N10" t="s">
        <v>131</v>
      </c>
      <c r="O10">
        <v>1</v>
      </c>
      <c r="P10">
        <v>9</v>
      </c>
      <c r="Q10">
        <v>31</v>
      </c>
      <c r="R10">
        <v>13.2</v>
      </c>
      <c r="S10">
        <v>1205</v>
      </c>
      <c r="T10">
        <f t="shared" si="1"/>
        <v>25104109</v>
      </c>
      <c r="U10">
        <v>1678</v>
      </c>
      <c r="V10" s="10">
        <v>45873</v>
      </c>
      <c r="W10" s="10">
        <v>45922</v>
      </c>
      <c r="X10">
        <v>32.81</v>
      </c>
      <c r="Y10">
        <v>65</v>
      </c>
    </row>
    <row r="11" spans="1:25" x14ac:dyDescent="0.25">
      <c r="A11" t="s">
        <v>146</v>
      </c>
      <c r="B11" t="s">
        <v>126</v>
      </c>
      <c r="C11">
        <f t="shared" si="0"/>
        <v>201</v>
      </c>
      <c r="D11">
        <v>25104201</v>
      </c>
      <c r="E11">
        <v>5</v>
      </c>
      <c r="F11">
        <v>4</v>
      </c>
      <c r="G11" t="s">
        <v>127</v>
      </c>
      <c r="H11">
        <v>3</v>
      </c>
      <c r="I11">
        <v>25104</v>
      </c>
      <c r="J11">
        <v>2025</v>
      </c>
      <c r="K11">
        <v>38</v>
      </c>
      <c r="L11" t="s">
        <v>140</v>
      </c>
      <c r="M11" t="s">
        <v>137</v>
      </c>
      <c r="N11" t="s">
        <v>141</v>
      </c>
      <c r="O11">
        <v>2</v>
      </c>
      <c r="P11">
        <v>1</v>
      </c>
      <c r="Q11">
        <v>28</v>
      </c>
      <c r="R11">
        <v>12.7</v>
      </c>
      <c r="S11">
        <v>1065</v>
      </c>
      <c r="T11">
        <f t="shared" si="1"/>
        <v>25104201</v>
      </c>
      <c r="U11">
        <v>1492</v>
      </c>
      <c r="V11" s="10">
        <v>45870</v>
      </c>
      <c r="W11" s="10">
        <v>45922</v>
      </c>
      <c r="X11">
        <v>29.81</v>
      </c>
      <c r="Y11">
        <v>2</v>
      </c>
    </row>
    <row r="12" spans="1:25" x14ac:dyDescent="0.25">
      <c r="A12" t="s">
        <v>147</v>
      </c>
      <c r="B12" t="s">
        <v>126</v>
      </c>
      <c r="C12">
        <f t="shared" si="0"/>
        <v>202</v>
      </c>
      <c r="D12">
        <v>25104202</v>
      </c>
      <c r="E12">
        <v>1</v>
      </c>
      <c r="F12">
        <v>4</v>
      </c>
      <c r="G12" t="s">
        <v>127</v>
      </c>
      <c r="H12">
        <v>0</v>
      </c>
      <c r="I12">
        <v>25104</v>
      </c>
      <c r="J12">
        <v>2025</v>
      </c>
      <c r="K12">
        <v>37</v>
      </c>
      <c r="M12" t="s">
        <v>128</v>
      </c>
      <c r="N12" t="s">
        <v>129</v>
      </c>
      <c r="O12">
        <v>2</v>
      </c>
      <c r="P12">
        <v>2</v>
      </c>
      <c r="Q12">
        <v>30</v>
      </c>
      <c r="R12">
        <v>17</v>
      </c>
      <c r="S12">
        <v>2333</v>
      </c>
      <c r="T12">
        <f t="shared" si="1"/>
        <v>25104202</v>
      </c>
      <c r="U12">
        <v>3107</v>
      </c>
      <c r="V12" s="10">
        <v>45872</v>
      </c>
      <c r="W12" s="10">
        <v>45922</v>
      </c>
      <c r="X12">
        <v>30.37</v>
      </c>
      <c r="Y12">
        <v>15</v>
      </c>
    </row>
    <row r="13" spans="1:25" x14ac:dyDescent="0.25">
      <c r="A13" t="s">
        <v>148</v>
      </c>
      <c r="B13" t="s">
        <v>126</v>
      </c>
      <c r="C13">
        <f t="shared" si="0"/>
        <v>203</v>
      </c>
      <c r="D13">
        <v>25104203</v>
      </c>
      <c r="E13">
        <v>3</v>
      </c>
      <c r="F13">
        <v>4</v>
      </c>
      <c r="G13" t="s">
        <v>127</v>
      </c>
      <c r="H13">
        <v>1</v>
      </c>
      <c r="I13">
        <v>25104</v>
      </c>
      <c r="J13">
        <v>2025</v>
      </c>
      <c r="K13">
        <v>36</v>
      </c>
      <c r="L13" t="s">
        <v>133</v>
      </c>
      <c r="M13" t="s">
        <v>134</v>
      </c>
      <c r="N13" t="s">
        <v>135</v>
      </c>
      <c r="O13">
        <v>2</v>
      </c>
      <c r="P13">
        <v>3</v>
      </c>
      <c r="Q13">
        <v>31</v>
      </c>
      <c r="R13">
        <v>18.100000000000001</v>
      </c>
      <c r="S13">
        <v>1407</v>
      </c>
      <c r="T13">
        <f t="shared" si="1"/>
        <v>25104203</v>
      </c>
      <c r="U13">
        <v>1849</v>
      </c>
      <c r="V13" s="10">
        <v>45873</v>
      </c>
      <c r="W13" s="10">
        <v>45919</v>
      </c>
      <c r="X13">
        <v>30.96</v>
      </c>
      <c r="Y13">
        <v>18</v>
      </c>
    </row>
    <row r="14" spans="1:25" x14ac:dyDescent="0.25">
      <c r="A14" t="s">
        <v>149</v>
      </c>
      <c r="B14" t="s">
        <v>126</v>
      </c>
      <c r="C14">
        <f t="shared" si="0"/>
        <v>204</v>
      </c>
      <c r="D14">
        <v>25104204</v>
      </c>
      <c r="E14">
        <v>4</v>
      </c>
      <c r="F14">
        <v>3</v>
      </c>
      <c r="G14" t="s">
        <v>127</v>
      </c>
      <c r="H14">
        <v>2</v>
      </c>
      <c r="I14">
        <v>25104</v>
      </c>
      <c r="J14">
        <v>2025</v>
      </c>
      <c r="K14">
        <v>35</v>
      </c>
      <c r="L14" t="s">
        <v>128</v>
      </c>
      <c r="M14" t="s">
        <v>137</v>
      </c>
      <c r="N14" t="s">
        <v>138</v>
      </c>
      <c r="O14">
        <v>2</v>
      </c>
      <c r="P14">
        <v>4</v>
      </c>
      <c r="Q14">
        <v>29</v>
      </c>
      <c r="R14">
        <v>17.2</v>
      </c>
      <c r="S14">
        <v>1530</v>
      </c>
      <c r="T14">
        <f t="shared" si="1"/>
        <v>25104204</v>
      </c>
      <c r="U14">
        <v>2033</v>
      </c>
      <c r="V14" s="10">
        <v>45872</v>
      </c>
      <c r="W14" s="10">
        <v>45922</v>
      </c>
      <c r="X14">
        <v>29.28</v>
      </c>
      <c r="Y14">
        <v>31</v>
      </c>
    </row>
    <row r="15" spans="1:25" x14ac:dyDescent="0.25">
      <c r="A15" t="s">
        <v>150</v>
      </c>
      <c r="B15" t="s">
        <v>126</v>
      </c>
      <c r="C15">
        <f t="shared" si="0"/>
        <v>205</v>
      </c>
      <c r="D15">
        <v>25104205</v>
      </c>
      <c r="E15">
        <v>2</v>
      </c>
      <c r="F15">
        <v>3</v>
      </c>
      <c r="G15" t="s">
        <v>127</v>
      </c>
      <c r="H15">
        <v>0</v>
      </c>
      <c r="I15">
        <v>25104</v>
      </c>
      <c r="J15">
        <v>2025</v>
      </c>
      <c r="K15">
        <v>34</v>
      </c>
      <c r="M15" t="s">
        <v>128</v>
      </c>
      <c r="N15" t="s">
        <v>131</v>
      </c>
      <c r="O15">
        <v>2</v>
      </c>
      <c r="P15">
        <v>5</v>
      </c>
      <c r="Q15">
        <v>26</v>
      </c>
      <c r="R15">
        <v>14.2</v>
      </c>
      <c r="S15">
        <v>1883</v>
      </c>
      <c r="T15">
        <f t="shared" si="1"/>
        <v>25104205</v>
      </c>
      <c r="U15">
        <v>2592</v>
      </c>
      <c r="V15" s="10">
        <v>45872</v>
      </c>
      <c r="W15" s="10">
        <v>45919</v>
      </c>
      <c r="X15">
        <v>27.2</v>
      </c>
      <c r="Y15">
        <v>34</v>
      </c>
    </row>
    <row r="16" spans="1:25" x14ac:dyDescent="0.25">
      <c r="A16" t="s">
        <v>151</v>
      </c>
      <c r="B16" t="s">
        <v>126</v>
      </c>
      <c r="C16">
        <f t="shared" si="0"/>
        <v>206</v>
      </c>
      <c r="D16">
        <v>25104206</v>
      </c>
      <c r="E16">
        <v>3</v>
      </c>
      <c r="F16">
        <v>3</v>
      </c>
      <c r="G16" t="s">
        <v>127</v>
      </c>
      <c r="H16">
        <v>1</v>
      </c>
      <c r="I16">
        <v>25104</v>
      </c>
      <c r="J16">
        <v>2025</v>
      </c>
      <c r="K16">
        <v>33</v>
      </c>
      <c r="L16" t="s">
        <v>133</v>
      </c>
      <c r="M16" t="s">
        <v>134</v>
      </c>
      <c r="N16" t="s">
        <v>135</v>
      </c>
      <c r="O16">
        <v>2</v>
      </c>
      <c r="P16">
        <v>6</v>
      </c>
      <c r="Q16">
        <v>31</v>
      </c>
      <c r="R16">
        <v>13.6</v>
      </c>
      <c r="S16">
        <v>1345</v>
      </c>
      <c r="T16">
        <f t="shared" si="1"/>
        <v>25104206</v>
      </c>
      <c r="U16">
        <v>1865</v>
      </c>
      <c r="V16" s="10">
        <v>45869</v>
      </c>
      <c r="W16" s="10">
        <v>45922</v>
      </c>
      <c r="X16">
        <v>32.659999999999997</v>
      </c>
      <c r="Y16">
        <v>47</v>
      </c>
    </row>
    <row r="17" spans="1:25" x14ac:dyDescent="0.25">
      <c r="A17" t="s">
        <v>152</v>
      </c>
      <c r="B17" t="s">
        <v>126</v>
      </c>
      <c r="C17">
        <f t="shared" si="0"/>
        <v>207</v>
      </c>
      <c r="D17">
        <v>25104207</v>
      </c>
      <c r="E17">
        <v>1</v>
      </c>
      <c r="F17">
        <v>3</v>
      </c>
      <c r="G17" t="s">
        <v>127</v>
      </c>
      <c r="H17">
        <v>0</v>
      </c>
      <c r="I17">
        <v>25104</v>
      </c>
      <c r="J17">
        <v>2025</v>
      </c>
      <c r="K17">
        <v>32</v>
      </c>
      <c r="M17" t="s">
        <v>128</v>
      </c>
      <c r="N17" t="s">
        <v>129</v>
      </c>
      <c r="O17">
        <v>2</v>
      </c>
      <c r="P17">
        <v>7</v>
      </c>
      <c r="Q17">
        <v>29</v>
      </c>
      <c r="R17">
        <v>13.6</v>
      </c>
      <c r="S17">
        <v>1964</v>
      </c>
      <c r="T17">
        <f t="shared" si="1"/>
        <v>25104207</v>
      </c>
      <c r="U17">
        <v>2723</v>
      </c>
      <c r="V17" s="10">
        <v>45873</v>
      </c>
      <c r="W17" s="10">
        <v>45919</v>
      </c>
      <c r="X17">
        <v>30.56</v>
      </c>
      <c r="Y17">
        <v>50</v>
      </c>
    </row>
    <row r="18" spans="1:25" x14ac:dyDescent="0.25">
      <c r="A18" t="s">
        <v>153</v>
      </c>
      <c r="B18" t="s">
        <v>126</v>
      </c>
      <c r="C18">
        <f t="shared" si="0"/>
        <v>208</v>
      </c>
      <c r="D18">
        <v>25104208</v>
      </c>
      <c r="E18">
        <v>5</v>
      </c>
      <c r="F18">
        <v>3</v>
      </c>
      <c r="G18" t="s">
        <v>127</v>
      </c>
      <c r="H18">
        <v>3</v>
      </c>
      <c r="I18">
        <v>25104</v>
      </c>
      <c r="J18">
        <v>2025</v>
      </c>
      <c r="K18">
        <v>31</v>
      </c>
      <c r="L18" t="s">
        <v>140</v>
      </c>
      <c r="M18" t="s">
        <v>137</v>
      </c>
      <c r="N18" t="s">
        <v>141</v>
      </c>
      <c r="O18">
        <v>2</v>
      </c>
      <c r="P18">
        <v>8</v>
      </c>
      <c r="Q18">
        <v>33</v>
      </c>
      <c r="R18">
        <v>16.899999999999999</v>
      </c>
      <c r="S18">
        <v>1756</v>
      </c>
      <c r="T18">
        <f t="shared" si="1"/>
        <v>25104208</v>
      </c>
      <c r="U18">
        <v>2342</v>
      </c>
      <c r="V18" s="10">
        <v>45869</v>
      </c>
      <c r="W18" s="10">
        <v>45919</v>
      </c>
      <c r="X18">
        <v>33.44</v>
      </c>
      <c r="Y18">
        <v>63</v>
      </c>
    </row>
    <row r="19" spans="1:25" x14ac:dyDescent="0.25">
      <c r="A19" t="s">
        <v>154</v>
      </c>
      <c r="B19" t="s">
        <v>126</v>
      </c>
      <c r="C19">
        <f t="shared" si="0"/>
        <v>209</v>
      </c>
      <c r="D19">
        <v>25104209</v>
      </c>
      <c r="E19">
        <v>3</v>
      </c>
      <c r="F19">
        <v>2</v>
      </c>
      <c r="G19" t="s">
        <v>127</v>
      </c>
      <c r="H19">
        <v>1</v>
      </c>
      <c r="I19">
        <v>25104</v>
      </c>
      <c r="J19">
        <v>2025</v>
      </c>
      <c r="K19">
        <v>30</v>
      </c>
      <c r="L19" t="s">
        <v>133</v>
      </c>
      <c r="M19" t="s">
        <v>134</v>
      </c>
      <c r="N19" t="s">
        <v>135</v>
      </c>
      <c r="O19">
        <v>2</v>
      </c>
      <c r="P19">
        <v>9</v>
      </c>
      <c r="Q19">
        <v>27</v>
      </c>
      <c r="R19">
        <v>15.3</v>
      </c>
      <c r="S19">
        <v>1662</v>
      </c>
      <c r="T19">
        <f t="shared" si="1"/>
        <v>25104209</v>
      </c>
      <c r="U19">
        <v>2259</v>
      </c>
      <c r="V19" s="10">
        <v>45873</v>
      </c>
      <c r="W19" s="10">
        <v>45922</v>
      </c>
      <c r="X19">
        <v>27.89</v>
      </c>
      <c r="Y19">
        <v>66</v>
      </c>
    </row>
    <row r="20" spans="1:25" x14ac:dyDescent="0.25">
      <c r="A20" t="s">
        <v>155</v>
      </c>
      <c r="B20" t="s">
        <v>126</v>
      </c>
      <c r="C20">
        <f t="shared" si="0"/>
        <v>301</v>
      </c>
      <c r="D20">
        <v>25104301</v>
      </c>
      <c r="E20">
        <v>2</v>
      </c>
      <c r="F20">
        <v>4</v>
      </c>
      <c r="G20" t="s">
        <v>127</v>
      </c>
      <c r="H20">
        <v>0</v>
      </c>
      <c r="I20">
        <v>25104</v>
      </c>
      <c r="J20">
        <v>2025</v>
      </c>
      <c r="K20">
        <v>39</v>
      </c>
      <c r="M20" t="s">
        <v>128</v>
      </c>
      <c r="N20" t="s">
        <v>131</v>
      </c>
      <c r="O20">
        <v>3</v>
      </c>
      <c r="P20">
        <v>1</v>
      </c>
      <c r="Q20">
        <v>29</v>
      </c>
      <c r="R20">
        <v>16.5</v>
      </c>
      <c r="S20">
        <v>2060</v>
      </c>
      <c r="T20">
        <f t="shared" si="1"/>
        <v>25104301</v>
      </c>
      <c r="U20">
        <v>2760</v>
      </c>
      <c r="V20" s="10">
        <v>45872</v>
      </c>
      <c r="W20" s="10">
        <v>45919</v>
      </c>
      <c r="X20">
        <v>29.53</v>
      </c>
      <c r="Y20">
        <v>3</v>
      </c>
    </row>
    <row r="21" spans="1:25" x14ac:dyDescent="0.25">
      <c r="A21" t="s">
        <v>156</v>
      </c>
      <c r="B21" t="s">
        <v>126</v>
      </c>
      <c r="C21">
        <f t="shared" si="0"/>
        <v>302</v>
      </c>
      <c r="D21">
        <v>25104302</v>
      </c>
      <c r="E21">
        <v>4</v>
      </c>
      <c r="F21">
        <v>4</v>
      </c>
      <c r="G21" t="s">
        <v>127</v>
      </c>
      <c r="H21">
        <v>2</v>
      </c>
      <c r="I21">
        <v>25104</v>
      </c>
      <c r="J21">
        <v>2025</v>
      </c>
      <c r="K21">
        <v>40</v>
      </c>
      <c r="L21" t="s">
        <v>128</v>
      </c>
      <c r="M21" t="s">
        <v>137</v>
      </c>
      <c r="N21" t="s">
        <v>138</v>
      </c>
      <c r="O21">
        <v>3</v>
      </c>
      <c r="P21">
        <v>2</v>
      </c>
      <c r="Q21">
        <v>32</v>
      </c>
      <c r="R21">
        <v>17.2</v>
      </c>
      <c r="S21">
        <v>1594</v>
      </c>
      <c r="T21">
        <f t="shared" si="1"/>
        <v>25104302</v>
      </c>
      <c r="U21">
        <v>2118</v>
      </c>
      <c r="V21" s="10">
        <v>45870</v>
      </c>
      <c r="W21" s="10">
        <v>45922</v>
      </c>
      <c r="X21">
        <v>32.31</v>
      </c>
      <c r="Y21">
        <v>14</v>
      </c>
    </row>
    <row r="22" spans="1:25" x14ac:dyDescent="0.25">
      <c r="A22" t="s">
        <v>157</v>
      </c>
      <c r="B22" t="s">
        <v>126</v>
      </c>
      <c r="C22">
        <f t="shared" si="0"/>
        <v>401</v>
      </c>
      <c r="D22">
        <v>25105401</v>
      </c>
      <c r="E22">
        <v>1</v>
      </c>
      <c r="F22">
        <v>1</v>
      </c>
      <c r="G22" t="s">
        <v>127</v>
      </c>
      <c r="H22">
        <v>0</v>
      </c>
      <c r="I22">
        <v>25105</v>
      </c>
      <c r="J22">
        <v>2025</v>
      </c>
      <c r="K22">
        <v>21</v>
      </c>
      <c r="M22" t="s">
        <v>158</v>
      </c>
      <c r="N22" t="s">
        <v>159</v>
      </c>
      <c r="O22">
        <v>4</v>
      </c>
      <c r="P22">
        <v>1</v>
      </c>
      <c r="Q22">
        <v>61</v>
      </c>
      <c r="R22">
        <v>14.4</v>
      </c>
      <c r="S22">
        <v>453</v>
      </c>
      <c r="T22">
        <f t="shared" si="1"/>
        <v>25105401</v>
      </c>
      <c r="U22">
        <v>622</v>
      </c>
      <c r="V22" s="10">
        <v>45866</v>
      </c>
      <c r="W22" s="10">
        <v>45919</v>
      </c>
      <c r="X22">
        <v>63.68</v>
      </c>
      <c r="Y22">
        <v>4</v>
      </c>
    </row>
    <row r="23" spans="1:25" x14ac:dyDescent="0.25">
      <c r="A23" t="s">
        <v>160</v>
      </c>
      <c r="B23" t="s">
        <v>126</v>
      </c>
      <c r="C23">
        <f t="shared" si="0"/>
        <v>402</v>
      </c>
      <c r="D23">
        <v>25105402</v>
      </c>
      <c r="E23">
        <v>2</v>
      </c>
      <c r="F23">
        <v>1</v>
      </c>
      <c r="G23" t="s">
        <v>127</v>
      </c>
      <c r="H23">
        <v>0</v>
      </c>
      <c r="I23">
        <v>25105</v>
      </c>
      <c r="J23">
        <v>2025</v>
      </c>
      <c r="K23">
        <v>22</v>
      </c>
      <c r="M23" t="s">
        <v>161</v>
      </c>
      <c r="N23" t="s">
        <v>162</v>
      </c>
      <c r="O23">
        <v>4</v>
      </c>
      <c r="P23">
        <v>2</v>
      </c>
      <c r="R23">
        <v>13</v>
      </c>
      <c r="T23">
        <f t="shared" si="1"/>
        <v>25105402</v>
      </c>
      <c r="V23" s="10">
        <v>45870</v>
      </c>
      <c r="W23" s="10">
        <v>45937</v>
      </c>
      <c r="X23">
        <v>-9.5500000000000007</v>
      </c>
      <c r="Y23">
        <v>13</v>
      </c>
    </row>
    <row r="24" spans="1:25" x14ac:dyDescent="0.25">
      <c r="A24" t="s">
        <v>163</v>
      </c>
      <c r="B24" t="s">
        <v>126</v>
      </c>
      <c r="C24">
        <f t="shared" si="0"/>
        <v>403</v>
      </c>
      <c r="D24">
        <v>25105403</v>
      </c>
      <c r="E24">
        <v>3</v>
      </c>
      <c r="F24">
        <v>1</v>
      </c>
      <c r="G24" t="s">
        <v>127</v>
      </c>
      <c r="H24">
        <v>1</v>
      </c>
      <c r="I24">
        <v>25105</v>
      </c>
      <c r="J24">
        <v>2025</v>
      </c>
      <c r="K24">
        <v>23</v>
      </c>
      <c r="M24" t="s">
        <v>164</v>
      </c>
      <c r="N24" t="s">
        <v>165</v>
      </c>
      <c r="O24">
        <v>4</v>
      </c>
      <c r="P24">
        <v>3</v>
      </c>
      <c r="Q24">
        <v>68</v>
      </c>
      <c r="R24">
        <v>16.399999999999999</v>
      </c>
      <c r="S24">
        <v>269</v>
      </c>
      <c r="T24">
        <f t="shared" si="1"/>
        <v>25105403</v>
      </c>
      <c r="U24">
        <v>361</v>
      </c>
      <c r="V24" s="10">
        <v>45868</v>
      </c>
      <c r="W24" s="10">
        <v>45922</v>
      </c>
      <c r="X24">
        <v>69.33</v>
      </c>
      <c r="Y24">
        <v>20</v>
      </c>
    </row>
    <row r="25" spans="1:25" x14ac:dyDescent="0.25">
      <c r="A25" t="s">
        <v>166</v>
      </c>
      <c r="B25" t="s">
        <v>126</v>
      </c>
      <c r="C25">
        <f t="shared" si="0"/>
        <v>404</v>
      </c>
      <c r="D25">
        <v>25105404</v>
      </c>
      <c r="E25">
        <v>4</v>
      </c>
      <c r="F25">
        <v>1</v>
      </c>
      <c r="G25" t="s">
        <v>127</v>
      </c>
      <c r="H25">
        <v>2</v>
      </c>
      <c r="I25">
        <v>25105</v>
      </c>
      <c r="J25">
        <v>2025</v>
      </c>
      <c r="K25">
        <v>24</v>
      </c>
      <c r="L25" t="s">
        <v>167</v>
      </c>
      <c r="M25" t="s">
        <v>168</v>
      </c>
      <c r="N25" t="s">
        <v>167</v>
      </c>
      <c r="O25">
        <v>4</v>
      </c>
      <c r="P25">
        <v>4</v>
      </c>
      <c r="R25">
        <v>12</v>
      </c>
      <c r="T25">
        <f t="shared" si="1"/>
        <v>25105404</v>
      </c>
      <c r="V25" s="10">
        <v>45863</v>
      </c>
      <c r="W25" s="10">
        <v>45922</v>
      </c>
      <c r="X25">
        <v>-9.66</v>
      </c>
      <c r="Y25">
        <v>29</v>
      </c>
    </row>
    <row r="26" spans="1:25" x14ac:dyDescent="0.25">
      <c r="A26" t="s">
        <v>169</v>
      </c>
      <c r="B26" t="s">
        <v>126</v>
      </c>
      <c r="C26">
        <f t="shared" si="0"/>
        <v>405</v>
      </c>
      <c r="D26">
        <v>25105405</v>
      </c>
      <c r="E26">
        <v>5</v>
      </c>
      <c r="F26">
        <v>1</v>
      </c>
      <c r="G26" t="s">
        <v>127</v>
      </c>
      <c r="H26">
        <v>3</v>
      </c>
      <c r="I26">
        <v>25105</v>
      </c>
      <c r="J26">
        <v>2025</v>
      </c>
      <c r="K26">
        <v>25</v>
      </c>
      <c r="M26" t="s">
        <v>161</v>
      </c>
      <c r="N26" t="s">
        <v>170</v>
      </c>
      <c r="O26">
        <v>4</v>
      </c>
      <c r="P26">
        <v>5</v>
      </c>
      <c r="R26">
        <v>15.1</v>
      </c>
      <c r="T26">
        <f t="shared" si="1"/>
        <v>25105405</v>
      </c>
      <c r="V26" s="10">
        <v>45868</v>
      </c>
      <c r="W26" s="10">
        <v>45929</v>
      </c>
      <c r="X26">
        <v>-9.32</v>
      </c>
      <c r="Y26">
        <v>36</v>
      </c>
    </row>
    <row r="27" spans="1:25" x14ac:dyDescent="0.25">
      <c r="A27" t="s">
        <v>171</v>
      </c>
      <c r="B27" t="s">
        <v>126</v>
      </c>
      <c r="C27">
        <f t="shared" si="0"/>
        <v>406</v>
      </c>
      <c r="D27">
        <v>25105406</v>
      </c>
      <c r="E27">
        <v>3</v>
      </c>
      <c r="F27">
        <v>2</v>
      </c>
      <c r="G27" t="s">
        <v>127</v>
      </c>
      <c r="H27">
        <v>1</v>
      </c>
      <c r="I27">
        <v>25105</v>
      </c>
      <c r="J27">
        <v>2025</v>
      </c>
      <c r="K27">
        <v>26</v>
      </c>
      <c r="M27" t="s">
        <v>164</v>
      </c>
      <c r="N27" t="s">
        <v>165</v>
      </c>
      <c r="O27">
        <v>4</v>
      </c>
      <c r="P27">
        <v>6</v>
      </c>
      <c r="Q27">
        <v>60</v>
      </c>
      <c r="R27">
        <v>15.6</v>
      </c>
      <c r="S27">
        <v>446</v>
      </c>
      <c r="T27">
        <f t="shared" si="1"/>
        <v>25105406</v>
      </c>
      <c r="U27">
        <v>604</v>
      </c>
      <c r="V27" s="10">
        <v>45866</v>
      </c>
      <c r="W27" s="10">
        <v>45916</v>
      </c>
      <c r="X27">
        <v>61.76</v>
      </c>
      <c r="Y27">
        <v>45</v>
      </c>
    </row>
    <row r="28" spans="1:25" x14ac:dyDescent="0.25">
      <c r="A28" t="s">
        <v>172</v>
      </c>
      <c r="B28" t="s">
        <v>126</v>
      </c>
      <c r="C28">
        <f t="shared" si="0"/>
        <v>407</v>
      </c>
      <c r="D28">
        <v>25105407</v>
      </c>
      <c r="E28">
        <v>2</v>
      </c>
      <c r="F28">
        <v>2</v>
      </c>
      <c r="G28" t="s">
        <v>127</v>
      </c>
      <c r="H28">
        <v>0</v>
      </c>
      <c r="I28">
        <v>25105</v>
      </c>
      <c r="J28">
        <v>2025</v>
      </c>
      <c r="K28">
        <v>27</v>
      </c>
      <c r="M28" t="s">
        <v>161</v>
      </c>
      <c r="N28" t="s">
        <v>162</v>
      </c>
      <c r="O28">
        <v>4</v>
      </c>
      <c r="P28">
        <v>7</v>
      </c>
      <c r="Q28">
        <v>73</v>
      </c>
      <c r="R28">
        <v>17</v>
      </c>
      <c r="S28">
        <v>1074</v>
      </c>
      <c r="T28">
        <f t="shared" si="1"/>
        <v>25105407</v>
      </c>
      <c r="U28">
        <v>1430</v>
      </c>
      <c r="V28" s="10">
        <v>45870</v>
      </c>
      <c r="W28" s="10">
        <v>45922</v>
      </c>
      <c r="X28">
        <v>73.89</v>
      </c>
      <c r="Y28">
        <v>52</v>
      </c>
    </row>
    <row r="29" spans="1:25" x14ac:dyDescent="0.25">
      <c r="A29" t="s">
        <v>173</v>
      </c>
      <c r="B29" t="s">
        <v>126</v>
      </c>
      <c r="C29">
        <f t="shared" si="0"/>
        <v>408</v>
      </c>
      <c r="D29">
        <v>25105408</v>
      </c>
      <c r="E29">
        <v>4</v>
      </c>
      <c r="F29">
        <v>2</v>
      </c>
      <c r="G29" t="s">
        <v>127</v>
      </c>
      <c r="H29">
        <v>2</v>
      </c>
      <c r="I29">
        <v>25105</v>
      </c>
      <c r="J29">
        <v>2025</v>
      </c>
      <c r="K29">
        <v>28</v>
      </c>
      <c r="L29" t="s">
        <v>167</v>
      </c>
      <c r="M29" t="s">
        <v>168</v>
      </c>
      <c r="N29" t="s">
        <v>167</v>
      </c>
      <c r="O29">
        <v>4</v>
      </c>
      <c r="P29">
        <v>8</v>
      </c>
      <c r="Q29">
        <v>74</v>
      </c>
      <c r="R29">
        <v>14.9</v>
      </c>
      <c r="S29">
        <v>838</v>
      </c>
      <c r="T29">
        <f t="shared" si="1"/>
        <v>25105408</v>
      </c>
      <c r="U29">
        <v>1144</v>
      </c>
      <c r="V29" s="10">
        <v>45863</v>
      </c>
      <c r="W29" s="10">
        <v>45916</v>
      </c>
      <c r="X29">
        <v>76.8</v>
      </c>
      <c r="Y29">
        <v>61</v>
      </c>
    </row>
    <row r="30" spans="1:25" x14ac:dyDescent="0.25">
      <c r="A30" t="s">
        <v>174</v>
      </c>
      <c r="B30" t="s">
        <v>126</v>
      </c>
      <c r="C30">
        <f t="shared" si="0"/>
        <v>409</v>
      </c>
      <c r="D30">
        <v>25105409</v>
      </c>
      <c r="E30">
        <v>1</v>
      </c>
      <c r="F30">
        <v>2</v>
      </c>
      <c r="G30" t="s">
        <v>127</v>
      </c>
      <c r="H30">
        <v>0</v>
      </c>
      <c r="I30">
        <v>25105</v>
      </c>
      <c r="J30">
        <v>2025</v>
      </c>
      <c r="K30">
        <v>29</v>
      </c>
      <c r="M30" t="s">
        <v>158</v>
      </c>
      <c r="N30" t="s">
        <v>159</v>
      </c>
      <c r="O30">
        <v>4</v>
      </c>
      <c r="P30">
        <v>9</v>
      </c>
      <c r="Q30">
        <v>67</v>
      </c>
      <c r="R30">
        <v>14.9</v>
      </c>
      <c r="S30">
        <v>615</v>
      </c>
      <c r="T30">
        <f t="shared" si="1"/>
        <v>25105409</v>
      </c>
      <c r="U30">
        <v>840</v>
      </c>
      <c r="V30" s="10">
        <v>45866</v>
      </c>
      <c r="W30" s="10">
        <v>45916</v>
      </c>
      <c r="X30">
        <v>69.53</v>
      </c>
      <c r="Y30">
        <v>68</v>
      </c>
    </row>
    <row r="31" spans="1:25" x14ac:dyDescent="0.25">
      <c r="A31" t="s">
        <v>175</v>
      </c>
      <c r="B31" t="s">
        <v>126</v>
      </c>
      <c r="C31">
        <f t="shared" si="0"/>
        <v>501</v>
      </c>
      <c r="D31">
        <v>25105501</v>
      </c>
      <c r="E31">
        <v>4</v>
      </c>
      <c r="F31">
        <v>4</v>
      </c>
      <c r="G31" t="s">
        <v>127</v>
      </c>
      <c r="H31">
        <v>2</v>
      </c>
      <c r="I31">
        <v>25105</v>
      </c>
      <c r="J31">
        <v>2025</v>
      </c>
      <c r="K31">
        <v>38</v>
      </c>
      <c r="L31" t="s">
        <v>167</v>
      </c>
      <c r="M31" t="s">
        <v>168</v>
      </c>
      <c r="N31" t="s">
        <v>167</v>
      </c>
      <c r="O31">
        <v>5</v>
      </c>
      <c r="P31">
        <v>1</v>
      </c>
      <c r="R31">
        <v>11.5</v>
      </c>
      <c r="T31">
        <f t="shared" si="1"/>
        <v>25105501</v>
      </c>
      <c r="V31" s="10">
        <v>45863</v>
      </c>
      <c r="W31" s="10">
        <v>45916</v>
      </c>
      <c r="X31">
        <v>-9.7100000000000009</v>
      </c>
      <c r="Y31">
        <v>5</v>
      </c>
    </row>
    <row r="32" spans="1:25" x14ac:dyDescent="0.25">
      <c r="A32" t="s">
        <v>176</v>
      </c>
      <c r="B32" t="s">
        <v>126</v>
      </c>
      <c r="C32">
        <f t="shared" si="0"/>
        <v>502</v>
      </c>
      <c r="D32">
        <v>25105502</v>
      </c>
      <c r="E32">
        <v>2</v>
      </c>
      <c r="F32">
        <v>4</v>
      </c>
      <c r="G32" t="s">
        <v>127</v>
      </c>
      <c r="H32">
        <v>0</v>
      </c>
      <c r="I32">
        <v>25105</v>
      </c>
      <c r="J32">
        <v>2025</v>
      </c>
      <c r="K32">
        <v>37</v>
      </c>
      <c r="M32" t="s">
        <v>161</v>
      </c>
      <c r="N32" t="s">
        <v>162</v>
      </c>
      <c r="O32">
        <v>5</v>
      </c>
      <c r="P32">
        <v>2</v>
      </c>
      <c r="Q32">
        <v>73</v>
      </c>
      <c r="R32">
        <v>15.5</v>
      </c>
      <c r="S32">
        <v>818</v>
      </c>
      <c r="T32">
        <f t="shared" si="1"/>
        <v>25105502</v>
      </c>
      <c r="U32">
        <v>1109</v>
      </c>
      <c r="V32" s="10">
        <v>45868</v>
      </c>
      <c r="W32" s="10">
        <v>45929</v>
      </c>
      <c r="X32">
        <v>75.23</v>
      </c>
      <c r="Y32">
        <v>12</v>
      </c>
    </row>
    <row r="33" spans="1:25" x14ac:dyDescent="0.25">
      <c r="A33" t="s">
        <v>177</v>
      </c>
      <c r="B33" t="s">
        <v>126</v>
      </c>
      <c r="C33">
        <f t="shared" si="0"/>
        <v>503</v>
      </c>
      <c r="D33">
        <v>25105503</v>
      </c>
      <c r="E33">
        <v>5</v>
      </c>
      <c r="F33">
        <v>4</v>
      </c>
      <c r="G33" t="s">
        <v>127</v>
      </c>
      <c r="H33">
        <v>3</v>
      </c>
      <c r="I33">
        <v>25105</v>
      </c>
      <c r="J33">
        <v>2025</v>
      </c>
      <c r="K33">
        <v>36</v>
      </c>
      <c r="M33" t="s">
        <v>161</v>
      </c>
      <c r="N33" t="s">
        <v>170</v>
      </c>
      <c r="O33">
        <v>5</v>
      </c>
      <c r="P33">
        <v>3</v>
      </c>
      <c r="R33">
        <v>12.4</v>
      </c>
      <c r="T33">
        <f t="shared" si="1"/>
        <v>25105503</v>
      </c>
      <c r="V33" s="10">
        <v>45868</v>
      </c>
      <c r="W33" s="10">
        <v>45926</v>
      </c>
      <c r="X33">
        <v>-9.61</v>
      </c>
      <c r="Y33">
        <v>21</v>
      </c>
    </row>
    <row r="34" spans="1:25" x14ac:dyDescent="0.25">
      <c r="A34" t="s">
        <v>178</v>
      </c>
      <c r="B34" t="s">
        <v>126</v>
      </c>
      <c r="C34">
        <f t="shared" ref="C34:C65" si="2">O34*100+P34</f>
        <v>504</v>
      </c>
      <c r="D34">
        <v>25105504</v>
      </c>
      <c r="E34">
        <v>5</v>
      </c>
      <c r="F34">
        <v>3</v>
      </c>
      <c r="G34" t="s">
        <v>127</v>
      </c>
      <c r="H34">
        <v>3</v>
      </c>
      <c r="I34">
        <v>25105</v>
      </c>
      <c r="J34">
        <v>2025</v>
      </c>
      <c r="K34">
        <v>35</v>
      </c>
      <c r="M34" t="s">
        <v>161</v>
      </c>
      <c r="N34" t="s">
        <v>170</v>
      </c>
      <c r="O34">
        <v>5</v>
      </c>
      <c r="P34">
        <v>4</v>
      </c>
      <c r="Q34">
        <v>71</v>
      </c>
      <c r="R34">
        <v>17.100000000000001</v>
      </c>
      <c r="S34">
        <v>964</v>
      </c>
      <c r="T34">
        <f t="shared" ref="T34:T65" si="3">I34*1000+C34</f>
        <v>25105504</v>
      </c>
      <c r="U34">
        <v>1282</v>
      </c>
      <c r="V34" s="10">
        <v>45869</v>
      </c>
      <c r="W34" s="10">
        <v>45926</v>
      </c>
      <c r="X34">
        <v>71.78</v>
      </c>
      <c r="Y34">
        <v>28</v>
      </c>
    </row>
    <row r="35" spans="1:25" x14ac:dyDescent="0.25">
      <c r="A35" t="s">
        <v>179</v>
      </c>
      <c r="B35" t="s">
        <v>126</v>
      </c>
      <c r="C35">
        <f t="shared" si="2"/>
        <v>505</v>
      </c>
      <c r="D35">
        <v>25105505</v>
      </c>
      <c r="E35">
        <v>3</v>
      </c>
      <c r="F35">
        <v>3</v>
      </c>
      <c r="G35" t="s">
        <v>127</v>
      </c>
      <c r="H35">
        <v>1</v>
      </c>
      <c r="I35">
        <v>25105</v>
      </c>
      <c r="J35">
        <v>2025</v>
      </c>
      <c r="K35">
        <v>34</v>
      </c>
      <c r="M35" t="s">
        <v>164</v>
      </c>
      <c r="N35" t="s">
        <v>165</v>
      </c>
      <c r="O35">
        <v>5</v>
      </c>
      <c r="P35">
        <v>5</v>
      </c>
      <c r="Q35">
        <v>64</v>
      </c>
      <c r="R35">
        <v>16.3</v>
      </c>
      <c r="S35">
        <v>932</v>
      </c>
      <c r="T35">
        <f t="shared" si="3"/>
        <v>25105505</v>
      </c>
      <c r="U35">
        <v>1252</v>
      </c>
      <c r="V35" s="10">
        <v>45868</v>
      </c>
      <c r="W35" s="10">
        <v>45917</v>
      </c>
      <c r="X35">
        <v>65.33</v>
      </c>
      <c r="Y35">
        <v>37</v>
      </c>
    </row>
    <row r="36" spans="1:25" x14ac:dyDescent="0.25">
      <c r="A36" s="1" t="s">
        <v>180</v>
      </c>
      <c r="B36" t="s">
        <v>126</v>
      </c>
      <c r="C36">
        <f t="shared" si="2"/>
        <v>506</v>
      </c>
      <c r="D36">
        <v>25105506</v>
      </c>
      <c r="E36">
        <v>1</v>
      </c>
      <c r="F36">
        <v>3</v>
      </c>
      <c r="G36" t="s">
        <v>127</v>
      </c>
      <c r="H36">
        <v>0</v>
      </c>
      <c r="I36">
        <v>25105</v>
      </c>
      <c r="J36">
        <v>2025</v>
      </c>
      <c r="K36">
        <v>33</v>
      </c>
      <c r="M36" t="s">
        <v>158</v>
      </c>
      <c r="N36" t="s">
        <v>159</v>
      </c>
      <c r="O36">
        <v>5</v>
      </c>
      <c r="P36">
        <v>6</v>
      </c>
      <c r="Q36">
        <v>69</v>
      </c>
      <c r="R36">
        <v>15.3</v>
      </c>
      <c r="S36">
        <v>1142</v>
      </c>
      <c r="T36">
        <f t="shared" si="3"/>
        <v>25105506</v>
      </c>
      <c r="U36">
        <v>1552</v>
      </c>
      <c r="V36" s="10">
        <v>45866</v>
      </c>
      <c r="W36" s="10">
        <v>45916</v>
      </c>
      <c r="X36">
        <v>71.27</v>
      </c>
      <c r="Y36">
        <v>44</v>
      </c>
    </row>
    <row r="37" spans="1:25" x14ac:dyDescent="0.25">
      <c r="A37" t="s">
        <v>181</v>
      </c>
      <c r="B37" t="s">
        <v>126</v>
      </c>
      <c r="C37">
        <f t="shared" si="2"/>
        <v>507</v>
      </c>
      <c r="D37">
        <v>25105507</v>
      </c>
      <c r="E37">
        <v>2</v>
      </c>
      <c r="F37">
        <v>3</v>
      </c>
      <c r="G37" t="s">
        <v>127</v>
      </c>
      <c r="H37">
        <v>0</v>
      </c>
      <c r="I37">
        <v>25105</v>
      </c>
      <c r="J37">
        <v>2025</v>
      </c>
      <c r="K37">
        <v>32</v>
      </c>
      <c r="M37" t="s">
        <v>161</v>
      </c>
      <c r="N37" t="s">
        <v>162</v>
      </c>
      <c r="O37">
        <v>5</v>
      </c>
      <c r="P37">
        <v>7</v>
      </c>
      <c r="Q37">
        <v>73</v>
      </c>
      <c r="R37">
        <v>16.899999999999999</v>
      </c>
      <c r="S37">
        <v>1196</v>
      </c>
      <c r="T37">
        <f t="shared" si="3"/>
        <v>25105507</v>
      </c>
      <c r="U37">
        <v>1595</v>
      </c>
      <c r="V37" s="10">
        <v>45869</v>
      </c>
      <c r="W37" s="10">
        <v>45926</v>
      </c>
      <c r="X37">
        <v>73.98</v>
      </c>
      <c r="Y37">
        <v>53</v>
      </c>
    </row>
    <row r="38" spans="1:25" x14ac:dyDescent="0.25">
      <c r="A38" t="s">
        <v>182</v>
      </c>
      <c r="B38" t="s">
        <v>126</v>
      </c>
      <c r="C38">
        <f t="shared" si="2"/>
        <v>508</v>
      </c>
      <c r="D38">
        <v>25105508</v>
      </c>
      <c r="E38">
        <v>4</v>
      </c>
      <c r="F38">
        <v>3</v>
      </c>
      <c r="G38" t="s">
        <v>127</v>
      </c>
      <c r="H38">
        <v>2</v>
      </c>
      <c r="I38">
        <v>25105</v>
      </c>
      <c r="J38">
        <v>2025</v>
      </c>
      <c r="K38">
        <v>31</v>
      </c>
      <c r="L38" t="s">
        <v>167</v>
      </c>
      <c r="M38" t="s">
        <v>168</v>
      </c>
      <c r="N38" t="s">
        <v>167</v>
      </c>
      <c r="O38">
        <v>5</v>
      </c>
      <c r="P38">
        <v>8</v>
      </c>
      <c r="R38">
        <v>12.5</v>
      </c>
      <c r="T38">
        <f t="shared" si="3"/>
        <v>25105508</v>
      </c>
      <c r="V38" s="10">
        <v>45863</v>
      </c>
      <c r="W38" s="10">
        <v>45916</v>
      </c>
      <c r="X38">
        <v>-9.6</v>
      </c>
      <c r="Y38">
        <v>60</v>
      </c>
    </row>
    <row r="39" spans="1:25" x14ac:dyDescent="0.25">
      <c r="A39" t="s">
        <v>183</v>
      </c>
      <c r="B39" t="s">
        <v>126</v>
      </c>
      <c r="C39">
        <f t="shared" si="2"/>
        <v>509</v>
      </c>
      <c r="D39">
        <v>25105509</v>
      </c>
      <c r="E39">
        <v>5</v>
      </c>
      <c r="F39">
        <v>2</v>
      </c>
      <c r="G39" t="s">
        <v>127</v>
      </c>
      <c r="H39">
        <v>3</v>
      </c>
      <c r="I39">
        <v>25105</v>
      </c>
      <c r="J39">
        <v>2025</v>
      </c>
      <c r="K39">
        <v>30</v>
      </c>
      <c r="M39" t="s">
        <v>161</v>
      </c>
      <c r="N39" t="s">
        <v>170</v>
      </c>
      <c r="O39">
        <v>5</v>
      </c>
      <c r="P39">
        <v>9</v>
      </c>
      <c r="R39">
        <v>14.2</v>
      </c>
      <c r="T39">
        <f t="shared" si="3"/>
        <v>25105509</v>
      </c>
      <c r="V39" s="10">
        <v>45868</v>
      </c>
      <c r="W39" s="10">
        <v>45929</v>
      </c>
      <c r="X39">
        <v>-9.42</v>
      </c>
      <c r="Y39">
        <v>69</v>
      </c>
    </row>
    <row r="40" spans="1:25" x14ac:dyDescent="0.25">
      <c r="A40" t="s">
        <v>184</v>
      </c>
      <c r="B40" t="s">
        <v>126</v>
      </c>
      <c r="C40">
        <f t="shared" si="2"/>
        <v>601</v>
      </c>
      <c r="D40">
        <v>25105601</v>
      </c>
      <c r="E40">
        <v>1</v>
      </c>
      <c r="F40">
        <v>4</v>
      </c>
      <c r="G40" t="s">
        <v>127</v>
      </c>
      <c r="H40">
        <v>0</v>
      </c>
      <c r="I40">
        <v>25105</v>
      </c>
      <c r="J40">
        <v>2025</v>
      </c>
      <c r="K40">
        <v>39</v>
      </c>
      <c r="M40" t="s">
        <v>158</v>
      </c>
      <c r="N40" t="s">
        <v>159</v>
      </c>
      <c r="O40">
        <v>6</v>
      </c>
      <c r="P40">
        <v>1</v>
      </c>
      <c r="Q40">
        <v>64</v>
      </c>
      <c r="R40">
        <v>14.7</v>
      </c>
      <c r="S40">
        <v>904</v>
      </c>
      <c r="T40">
        <f t="shared" si="3"/>
        <v>25105601</v>
      </c>
      <c r="U40">
        <v>1237</v>
      </c>
      <c r="V40" s="10">
        <v>45863</v>
      </c>
      <c r="W40" s="10">
        <v>45916</v>
      </c>
      <c r="X40">
        <v>66.58</v>
      </c>
      <c r="Y40">
        <v>6</v>
      </c>
    </row>
    <row r="41" spans="1:25" x14ac:dyDescent="0.25">
      <c r="A41" t="s">
        <v>185</v>
      </c>
      <c r="B41" t="s">
        <v>126</v>
      </c>
      <c r="C41">
        <f t="shared" si="2"/>
        <v>602</v>
      </c>
      <c r="D41">
        <v>25105602</v>
      </c>
      <c r="E41">
        <v>3</v>
      </c>
      <c r="F41">
        <v>4</v>
      </c>
      <c r="G41" t="s">
        <v>127</v>
      </c>
      <c r="H41">
        <v>1</v>
      </c>
      <c r="I41">
        <v>25105</v>
      </c>
      <c r="J41">
        <v>2025</v>
      </c>
      <c r="K41">
        <v>40</v>
      </c>
      <c r="M41" t="s">
        <v>164</v>
      </c>
      <c r="N41" t="s">
        <v>165</v>
      </c>
      <c r="O41">
        <v>6</v>
      </c>
      <c r="P41">
        <v>2</v>
      </c>
      <c r="Q41">
        <v>67</v>
      </c>
      <c r="R41">
        <v>16.7</v>
      </c>
      <c r="S41">
        <v>517</v>
      </c>
      <c r="T41">
        <f t="shared" si="3"/>
        <v>25105602</v>
      </c>
      <c r="U41">
        <v>691</v>
      </c>
      <c r="V41" s="10">
        <v>45868</v>
      </c>
      <c r="W41" s="10">
        <v>45916</v>
      </c>
      <c r="X41">
        <v>68.06</v>
      </c>
      <c r="Y41">
        <v>11</v>
      </c>
    </row>
    <row r="42" spans="1:25" x14ac:dyDescent="0.25">
      <c r="A42" t="s">
        <v>186</v>
      </c>
      <c r="B42" t="s">
        <v>126</v>
      </c>
      <c r="C42">
        <f t="shared" si="2"/>
        <v>701</v>
      </c>
      <c r="D42">
        <v>25106701</v>
      </c>
      <c r="E42">
        <v>1</v>
      </c>
      <c r="F42">
        <v>1</v>
      </c>
      <c r="G42" t="s">
        <v>127</v>
      </c>
      <c r="H42">
        <v>0</v>
      </c>
      <c r="I42">
        <v>25106</v>
      </c>
      <c r="J42">
        <v>2025</v>
      </c>
      <c r="K42">
        <v>17</v>
      </c>
      <c r="M42" t="s">
        <v>187</v>
      </c>
      <c r="N42" t="s">
        <v>188</v>
      </c>
      <c r="O42">
        <v>7</v>
      </c>
      <c r="P42">
        <v>1</v>
      </c>
      <c r="Q42">
        <v>51</v>
      </c>
      <c r="R42">
        <v>14.3</v>
      </c>
      <c r="S42">
        <v>1121</v>
      </c>
      <c r="T42">
        <f t="shared" si="3"/>
        <v>25106701</v>
      </c>
      <c r="U42">
        <v>1542</v>
      </c>
      <c r="V42" s="10">
        <v>45863</v>
      </c>
      <c r="W42" s="10">
        <v>45916</v>
      </c>
      <c r="X42">
        <v>53.3</v>
      </c>
      <c r="Y42">
        <v>7</v>
      </c>
    </row>
    <row r="43" spans="1:25" x14ac:dyDescent="0.25">
      <c r="A43" t="s">
        <v>189</v>
      </c>
      <c r="B43" t="s">
        <v>126</v>
      </c>
      <c r="C43">
        <f t="shared" si="2"/>
        <v>702</v>
      </c>
      <c r="D43">
        <v>25106702</v>
      </c>
      <c r="E43">
        <v>2</v>
      </c>
      <c r="F43">
        <v>1</v>
      </c>
      <c r="G43" t="s">
        <v>127</v>
      </c>
      <c r="H43">
        <v>1</v>
      </c>
      <c r="I43">
        <v>25106</v>
      </c>
      <c r="J43">
        <v>2025</v>
      </c>
      <c r="K43">
        <v>18</v>
      </c>
      <c r="M43" t="s">
        <v>187</v>
      </c>
      <c r="N43" t="s">
        <v>190</v>
      </c>
      <c r="O43">
        <v>7</v>
      </c>
      <c r="P43">
        <v>2</v>
      </c>
      <c r="Q43">
        <v>54</v>
      </c>
      <c r="R43">
        <v>16.100000000000001</v>
      </c>
      <c r="S43">
        <v>920</v>
      </c>
      <c r="T43">
        <f t="shared" si="3"/>
        <v>25106702</v>
      </c>
      <c r="U43">
        <v>1239</v>
      </c>
      <c r="V43" s="10">
        <v>45866</v>
      </c>
      <c r="W43" s="10">
        <v>45916</v>
      </c>
      <c r="X43">
        <v>55.25</v>
      </c>
      <c r="Y43">
        <v>10</v>
      </c>
    </row>
    <row r="44" spans="1:25" x14ac:dyDescent="0.25">
      <c r="A44" t="s">
        <v>191</v>
      </c>
      <c r="B44" t="s">
        <v>126</v>
      </c>
      <c r="C44">
        <f t="shared" si="2"/>
        <v>703</v>
      </c>
      <c r="D44">
        <v>25106703</v>
      </c>
      <c r="E44">
        <v>3</v>
      </c>
      <c r="F44">
        <v>1</v>
      </c>
      <c r="G44" t="s">
        <v>127</v>
      </c>
      <c r="H44">
        <v>2</v>
      </c>
      <c r="I44">
        <v>25106</v>
      </c>
      <c r="J44">
        <v>2025</v>
      </c>
      <c r="K44">
        <v>19</v>
      </c>
      <c r="L44" t="s">
        <v>187</v>
      </c>
      <c r="M44" t="s">
        <v>137</v>
      </c>
      <c r="N44" t="s">
        <v>192</v>
      </c>
      <c r="O44">
        <v>7</v>
      </c>
      <c r="P44">
        <v>3</v>
      </c>
      <c r="Q44">
        <v>57</v>
      </c>
      <c r="R44">
        <v>14.5</v>
      </c>
      <c r="S44">
        <v>711</v>
      </c>
      <c r="T44">
        <f t="shared" si="3"/>
        <v>25106703</v>
      </c>
      <c r="U44">
        <v>975</v>
      </c>
      <c r="V44" s="10">
        <v>45863</v>
      </c>
      <c r="W44" s="10">
        <v>45916</v>
      </c>
      <c r="X44">
        <v>59.43</v>
      </c>
      <c r="Y44">
        <v>23</v>
      </c>
    </row>
    <row r="45" spans="1:25" x14ac:dyDescent="0.25">
      <c r="A45" t="s">
        <v>193</v>
      </c>
      <c r="B45" t="s">
        <v>126</v>
      </c>
      <c r="C45">
        <f t="shared" si="2"/>
        <v>704</v>
      </c>
      <c r="D45">
        <v>25106704</v>
      </c>
      <c r="E45">
        <v>4</v>
      </c>
      <c r="F45">
        <v>1</v>
      </c>
      <c r="G45" t="s">
        <v>127</v>
      </c>
      <c r="H45">
        <v>3</v>
      </c>
      <c r="I45">
        <v>25106</v>
      </c>
      <c r="J45">
        <v>2025</v>
      </c>
      <c r="K45">
        <v>20</v>
      </c>
      <c r="M45" t="s">
        <v>194</v>
      </c>
      <c r="N45" t="s">
        <v>195</v>
      </c>
      <c r="O45">
        <v>7</v>
      </c>
      <c r="P45">
        <v>4</v>
      </c>
      <c r="Q45">
        <v>56</v>
      </c>
      <c r="R45">
        <v>15.6</v>
      </c>
      <c r="S45">
        <v>605</v>
      </c>
      <c r="T45">
        <f t="shared" si="3"/>
        <v>25106704</v>
      </c>
      <c r="U45">
        <v>819</v>
      </c>
      <c r="V45" s="10">
        <v>45866</v>
      </c>
      <c r="W45" s="10">
        <v>45917</v>
      </c>
      <c r="X45">
        <v>57.64</v>
      </c>
      <c r="Y45">
        <v>26</v>
      </c>
    </row>
    <row r="46" spans="1:25" x14ac:dyDescent="0.25">
      <c r="A46" t="s">
        <v>196</v>
      </c>
      <c r="B46" t="s">
        <v>126</v>
      </c>
      <c r="C46">
        <f t="shared" si="2"/>
        <v>705</v>
      </c>
      <c r="D46">
        <v>25106705</v>
      </c>
      <c r="E46">
        <v>3</v>
      </c>
      <c r="F46">
        <v>2</v>
      </c>
      <c r="G46" t="s">
        <v>127</v>
      </c>
      <c r="H46">
        <v>2</v>
      </c>
      <c r="I46">
        <v>25106</v>
      </c>
      <c r="J46">
        <v>2025</v>
      </c>
      <c r="K46">
        <v>21</v>
      </c>
      <c r="L46" t="s">
        <v>187</v>
      </c>
      <c r="M46" t="s">
        <v>137</v>
      </c>
      <c r="N46" t="s">
        <v>192</v>
      </c>
      <c r="O46">
        <v>7</v>
      </c>
      <c r="P46">
        <v>5</v>
      </c>
      <c r="Q46">
        <v>57</v>
      </c>
      <c r="R46">
        <v>16.399999999999999</v>
      </c>
      <c r="S46">
        <v>1224</v>
      </c>
      <c r="T46">
        <f t="shared" si="3"/>
        <v>25106705</v>
      </c>
      <c r="U46">
        <v>1642</v>
      </c>
      <c r="V46" s="10">
        <v>45866</v>
      </c>
      <c r="W46" s="10">
        <v>45916</v>
      </c>
      <c r="X46">
        <v>58.11</v>
      </c>
      <c r="Y46">
        <v>39</v>
      </c>
    </row>
    <row r="47" spans="1:25" x14ac:dyDescent="0.25">
      <c r="A47" t="s">
        <v>197</v>
      </c>
      <c r="B47" t="s">
        <v>126</v>
      </c>
      <c r="C47">
        <f t="shared" si="2"/>
        <v>706</v>
      </c>
      <c r="D47">
        <v>25106706</v>
      </c>
      <c r="E47">
        <v>2</v>
      </c>
      <c r="F47">
        <v>2</v>
      </c>
      <c r="G47" t="s">
        <v>127</v>
      </c>
      <c r="H47">
        <v>1</v>
      </c>
      <c r="I47">
        <v>25106</v>
      </c>
      <c r="J47">
        <v>2025</v>
      </c>
      <c r="K47">
        <v>22</v>
      </c>
      <c r="M47" t="s">
        <v>187</v>
      </c>
      <c r="N47" t="s">
        <v>190</v>
      </c>
      <c r="O47">
        <v>7</v>
      </c>
      <c r="P47">
        <v>6</v>
      </c>
      <c r="Q47">
        <v>61</v>
      </c>
      <c r="R47">
        <v>15.7</v>
      </c>
      <c r="S47">
        <v>934</v>
      </c>
      <c r="T47">
        <f t="shared" si="3"/>
        <v>25106706</v>
      </c>
      <c r="U47">
        <v>1263</v>
      </c>
      <c r="V47" s="10">
        <v>45863</v>
      </c>
      <c r="W47" s="10">
        <v>45916</v>
      </c>
      <c r="X47">
        <v>62.71</v>
      </c>
      <c r="Y47">
        <v>42</v>
      </c>
    </row>
    <row r="48" spans="1:25" x14ac:dyDescent="0.25">
      <c r="A48" t="s">
        <v>198</v>
      </c>
      <c r="B48" t="s">
        <v>126</v>
      </c>
      <c r="C48">
        <f t="shared" si="2"/>
        <v>707</v>
      </c>
      <c r="D48">
        <v>25106707</v>
      </c>
      <c r="E48">
        <v>1</v>
      </c>
      <c r="F48">
        <v>2</v>
      </c>
      <c r="G48" t="s">
        <v>127</v>
      </c>
      <c r="H48">
        <v>0</v>
      </c>
      <c r="I48">
        <v>25106</v>
      </c>
      <c r="J48">
        <v>2025</v>
      </c>
      <c r="K48">
        <v>23</v>
      </c>
      <c r="M48" t="s">
        <v>187</v>
      </c>
      <c r="N48" t="s">
        <v>188</v>
      </c>
      <c r="O48">
        <v>7</v>
      </c>
      <c r="P48">
        <v>7</v>
      </c>
      <c r="Q48">
        <v>59</v>
      </c>
      <c r="R48">
        <v>17.399999999999999</v>
      </c>
      <c r="S48">
        <v>1616</v>
      </c>
      <c r="T48">
        <f t="shared" si="3"/>
        <v>25106707</v>
      </c>
      <c r="U48">
        <v>2142</v>
      </c>
      <c r="V48" s="10">
        <v>45863</v>
      </c>
      <c r="W48" s="10">
        <v>45922</v>
      </c>
      <c r="X48">
        <v>59.43</v>
      </c>
      <c r="Y48">
        <v>55</v>
      </c>
    </row>
    <row r="49" spans="1:25" x14ac:dyDescent="0.25">
      <c r="A49" t="s">
        <v>199</v>
      </c>
      <c r="B49" t="s">
        <v>126</v>
      </c>
      <c r="C49">
        <f t="shared" si="2"/>
        <v>708</v>
      </c>
      <c r="D49">
        <v>25106708</v>
      </c>
      <c r="E49">
        <v>4</v>
      </c>
      <c r="F49">
        <v>2</v>
      </c>
      <c r="G49" t="s">
        <v>127</v>
      </c>
      <c r="H49">
        <v>3</v>
      </c>
      <c r="I49">
        <v>25106</v>
      </c>
      <c r="J49">
        <v>2025</v>
      </c>
      <c r="K49">
        <v>24</v>
      </c>
      <c r="M49" t="s">
        <v>194</v>
      </c>
      <c r="N49" t="s">
        <v>195</v>
      </c>
      <c r="O49">
        <v>7</v>
      </c>
      <c r="P49">
        <v>8</v>
      </c>
      <c r="Q49">
        <v>57</v>
      </c>
      <c r="R49">
        <v>15.8</v>
      </c>
      <c r="S49">
        <v>1165</v>
      </c>
      <c r="T49">
        <f t="shared" si="3"/>
        <v>25106708</v>
      </c>
      <c r="U49">
        <v>1574</v>
      </c>
      <c r="V49" s="10">
        <v>45863</v>
      </c>
      <c r="W49" s="10">
        <v>45917</v>
      </c>
      <c r="X49">
        <v>58.53</v>
      </c>
      <c r="Y49">
        <v>58</v>
      </c>
    </row>
    <row r="50" spans="1:25" x14ac:dyDescent="0.25">
      <c r="A50" t="s">
        <v>200</v>
      </c>
      <c r="B50" t="s">
        <v>126</v>
      </c>
      <c r="C50">
        <f t="shared" si="2"/>
        <v>709</v>
      </c>
      <c r="D50">
        <v>25106709</v>
      </c>
      <c r="E50">
        <v>4</v>
      </c>
      <c r="F50">
        <v>3</v>
      </c>
      <c r="G50" t="s">
        <v>127</v>
      </c>
      <c r="H50">
        <v>3</v>
      </c>
      <c r="I50">
        <v>25106</v>
      </c>
      <c r="J50">
        <v>2025</v>
      </c>
      <c r="K50">
        <v>25</v>
      </c>
      <c r="M50" t="s">
        <v>194</v>
      </c>
      <c r="N50" t="s">
        <v>195</v>
      </c>
      <c r="O50">
        <v>7</v>
      </c>
      <c r="P50">
        <v>9</v>
      </c>
      <c r="Q50">
        <v>65</v>
      </c>
      <c r="R50">
        <v>15.6</v>
      </c>
      <c r="S50">
        <v>961</v>
      </c>
      <c r="T50">
        <f t="shared" si="3"/>
        <v>25106709</v>
      </c>
      <c r="U50">
        <v>1301</v>
      </c>
      <c r="V50" s="10">
        <v>45866</v>
      </c>
      <c r="W50" s="10">
        <v>45922</v>
      </c>
      <c r="X50">
        <v>66.900000000000006</v>
      </c>
      <c r="Y50">
        <v>71</v>
      </c>
    </row>
    <row r="51" spans="1:25" x14ac:dyDescent="0.25">
      <c r="A51" t="s">
        <v>201</v>
      </c>
      <c r="B51" t="s">
        <v>126</v>
      </c>
      <c r="C51">
        <f t="shared" si="2"/>
        <v>803</v>
      </c>
      <c r="D51">
        <v>25106803</v>
      </c>
      <c r="E51">
        <v>1</v>
      </c>
      <c r="F51">
        <v>4</v>
      </c>
      <c r="G51" t="s">
        <v>127</v>
      </c>
      <c r="H51">
        <v>0</v>
      </c>
      <c r="I51">
        <v>25106</v>
      </c>
      <c r="J51">
        <v>2025</v>
      </c>
      <c r="K51">
        <v>32</v>
      </c>
      <c r="M51" t="s">
        <v>187</v>
      </c>
      <c r="N51" t="s">
        <v>188</v>
      </c>
      <c r="O51">
        <v>8</v>
      </c>
      <c r="P51">
        <v>3</v>
      </c>
      <c r="Q51">
        <v>52</v>
      </c>
      <c r="R51">
        <v>12.3</v>
      </c>
      <c r="S51">
        <v>974</v>
      </c>
      <c r="T51">
        <f t="shared" si="3"/>
        <v>25106803</v>
      </c>
      <c r="U51">
        <v>1371</v>
      </c>
      <c r="V51" s="10">
        <v>45863</v>
      </c>
      <c r="W51" s="10">
        <v>45917</v>
      </c>
      <c r="X51">
        <v>55.61</v>
      </c>
      <c r="Y51">
        <v>24</v>
      </c>
    </row>
    <row r="52" spans="1:25" x14ac:dyDescent="0.25">
      <c r="A52" t="s">
        <v>202</v>
      </c>
      <c r="B52" t="s">
        <v>126</v>
      </c>
      <c r="C52">
        <f t="shared" si="2"/>
        <v>804</v>
      </c>
      <c r="D52">
        <v>25106804</v>
      </c>
      <c r="E52">
        <v>3</v>
      </c>
      <c r="F52">
        <v>4</v>
      </c>
      <c r="G52" t="s">
        <v>127</v>
      </c>
      <c r="H52">
        <v>2</v>
      </c>
      <c r="I52">
        <v>25106</v>
      </c>
      <c r="J52">
        <v>2025</v>
      </c>
      <c r="K52">
        <v>31</v>
      </c>
      <c r="L52" t="s">
        <v>187</v>
      </c>
      <c r="M52" t="s">
        <v>137</v>
      </c>
      <c r="N52" t="s">
        <v>192</v>
      </c>
      <c r="O52">
        <v>8</v>
      </c>
      <c r="P52">
        <v>4</v>
      </c>
      <c r="Q52">
        <v>53</v>
      </c>
      <c r="R52">
        <v>11.3</v>
      </c>
      <c r="S52">
        <v>454</v>
      </c>
      <c r="T52">
        <f t="shared" si="3"/>
        <v>25106804</v>
      </c>
      <c r="U52">
        <v>646</v>
      </c>
      <c r="V52" s="10">
        <v>45866</v>
      </c>
      <c r="W52" s="10">
        <v>45917</v>
      </c>
      <c r="X52">
        <v>57.33</v>
      </c>
      <c r="Y52">
        <v>25</v>
      </c>
    </row>
    <row r="53" spans="1:25" x14ac:dyDescent="0.25">
      <c r="A53" t="s">
        <v>203</v>
      </c>
      <c r="B53" t="s">
        <v>126</v>
      </c>
      <c r="C53">
        <f t="shared" si="2"/>
        <v>805</v>
      </c>
      <c r="D53">
        <v>25106805</v>
      </c>
      <c r="E53">
        <v>2</v>
      </c>
      <c r="F53">
        <v>4</v>
      </c>
      <c r="G53" t="s">
        <v>127</v>
      </c>
      <c r="H53">
        <v>1</v>
      </c>
      <c r="I53">
        <v>25106</v>
      </c>
      <c r="J53">
        <v>2025</v>
      </c>
      <c r="K53">
        <v>30</v>
      </c>
      <c r="M53" t="s">
        <v>187</v>
      </c>
      <c r="N53" t="s">
        <v>190</v>
      </c>
      <c r="O53">
        <v>8</v>
      </c>
      <c r="P53">
        <v>5</v>
      </c>
      <c r="Q53">
        <v>57</v>
      </c>
      <c r="R53">
        <v>12</v>
      </c>
      <c r="S53">
        <v>1358</v>
      </c>
      <c r="T53">
        <f t="shared" si="3"/>
        <v>25106805</v>
      </c>
      <c r="U53">
        <v>1918</v>
      </c>
      <c r="V53" s="10">
        <v>45863</v>
      </c>
      <c r="W53" s="10">
        <v>45917</v>
      </c>
      <c r="X53">
        <v>61.17</v>
      </c>
      <c r="Y53">
        <v>40</v>
      </c>
    </row>
    <row r="54" spans="1:25" x14ac:dyDescent="0.25">
      <c r="A54" t="s">
        <v>204</v>
      </c>
      <c r="B54" t="s">
        <v>126</v>
      </c>
      <c r="C54">
        <f t="shared" si="2"/>
        <v>806</v>
      </c>
      <c r="D54">
        <v>25106806</v>
      </c>
      <c r="E54">
        <v>4</v>
      </c>
      <c r="F54">
        <v>4</v>
      </c>
      <c r="G54" t="s">
        <v>127</v>
      </c>
      <c r="H54">
        <v>3</v>
      </c>
      <c r="I54">
        <v>25106</v>
      </c>
      <c r="J54">
        <v>2025</v>
      </c>
      <c r="K54">
        <v>29</v>
      </c>
      <c r="M54" t="s">
        <v>194</v>
      </c>
      <c r="N54" t="s">
        <v>195</v>
      </c>
      <c r="O54">
        <v>8</v>
      </c>
      <c r="P54">
        <v>6</v>
      </c>
      <c r="Q54">
        <v>59</v>
      </c>
      <c r="R54">
        <v>14.1</v>
      </c>
      <c r="S54">
        <v>1191</v>
      </c>
      <c r="T54">
        <f t="shared" si="3"/>
        <v>25106806</v>
      </c>
      <c r="U54">
        <v>1642</v>
      </c>
      <c r="V54" s="10">
        <v>45866</v>
      </c>
      <c r="W54" s="10">
        <v>45918</v>
      </c>
      <c r="X54">
        <v>61.81</v>
      </c>
      <c r="Y54">
        <v>41</v>
      </c>
    </row>
    <row r="55" spans="1:25" x14ac:dyDescent="0.25">
      <c r="A55" t="s">
        <v>205</v>
      </c>
      <c r="B55" t="s">
        <v>126</v>
      </c>
      <c r="C55">
        <f t="shared" si="2"/>
        <v>807</v>
      </c>
      <c r="D55">
        <v>25106807</v>
      </c>
      <c r="E55">
        <v>2</v>
      </c>
      <c r="F55">
        <v>3</v>
      </c>
      <c r="G55" t="s">
        <v>127</v>
      </c>
      <c r="H55">
        <v>1</v>
      </c>
      <c r="I55">
        <v>25106</v>
      </c>
      <c r="J55">
        <v>2025</v>
      </c>
      <c r="K55">
        <v>28</v>
      </c>
      <c r="M55" t="s">
        <v>187</v>
      </c>
      <c r="N55" t="s">
        <v>190</v>
      </c>
      <c r="O55">
        <v>8</v>
      </c>
      <c r="P55">
        <v>7</v>
      </c>
      <c r="Q55">
        <v>61</v>
      </c>
      <c r="R55">
        <v>15.4</v>
      </c>
      <c r="S55">
        <v>1353</v>
      </c>
      <c r="T55">
        <f t="shared" si="3"/>
        <v>25106807</v>
      </c>
      <c r="U55">
        <v>1837</v>
      </c>
      <c r="V55" s="10">
        <v>45866</v>
      </c>
      <c r="W55" s="10">
        <v>45916</v>
      </c>
      <c r="X55">
        <v>62.93</v>
      </c>
      <c r="Y55">
        <v>56</v>
      </c>
    </row>
    <row r="56" spans="1:25" x14ac:dyDescent="0.25">
      <c r="A56" t="s">
        <v>206</v>
      </c>
      <c r="B56" t="s">
        <v>126</v>
      </c>
      <c r="C56">
        <f t="shared" si="2"/>
        <v>808</v>
      </c>
      <c r="D56">
        <v>25106808</v>
      </c>
      <c r="E56">
        <v>3</v>
      </c>
      <c r="F56">
        <v>3</v>
      </c>
      <c r="G56" t="s">
        <v>127</v>
      </c>
      <c r="H56">
        <v>2</v>
      </c>
      <c r="I56">
        <v>25106</v>
      </c>
      <c r="J56">
        <v>2025</v>
      </c>
      <c r="K56">
        <v>27</v>
      </c>
      <c r="L56" t="s">
        <v>187</v>
      </c>
      <c r="M56" t="s">
        <v>137</v>
      </c>
      <c r="N56" t="s">
        <v>192</v>
      </c>
      <c r="O56">
        <v>8</v>
      </c>
      <c r="P56">
        <v>8</v>
      </c>
      <c r="Q56">
        <v>57</v>
      </c>
      <c r="R56">
        <v>14</v>
      </c>
      <c r="S56">
        <v>698</v>
      </c>
      <c r="T56">
        <f t="shared" si="3"/>
        <v>25106808</v>
      </c>
      <c r="U56">
        <v>963</v>
      </c>
      <c r="V56" s="10">
        <v>45866</v>
      </c>
      <c r="W56" s="10">
        <v>45916</v>
      </c>
      <c r="X56">
        <v>59.78</v>
      </c>
      <c r="Y56">
        <v>57</v>
      </c>
    </row>
    <row r="57" spans="1:25" x14ac:dyDescent="0.25">
      <c r="A57" t="s">
        <v>207</v>
      </c>
      <c r="B57" t="s">
        <v>126</v>
      </c>
      <c r="C57">
        <f t="shared" si="2"/>
        <v>809</v>
      </c>
      <c r="D57">
        <v>25106809</v>
      </c>
      <c r="E57">
        <v>1</v>
      </c>
      <c r="F57">
        <v>3</v>
      </c>
      <c r="G57" t="s">
        <v>127</v>
      </c>
      <c r="H57">
        <v>0</v>
      </c>
      <c r="I57">
        <v>25106</v>
      </c>
      <c r="J57">
        <v>2025</v>
      </c>
      <c r="K57">
        <v>26</v>
      </c>
      <c r="M57" t="s">
        <v>187</v>
      </c>
      <c r="N57" t="s">
        <v>188</v>
      </c>
      <c r="O57">
        <v>8</v>
      </c>
      <c r="P57">
        <v>9</v>
      </c>
      <c r="Q57">
        <v>57</v>
      </c>
      <c r="R57">
        <v>15.1</v>
      </c>
      <c r="S57">
        <v>1129</v>
      </c>
      <c r="T57">
        <f t="shared" si="3"/>
        <v>25106809</v>
      </c>
      <c r="U57">
        <v>1538</v>
      </c>
      <c r="V57" s="10">
        <v>45866</v>
      </c>
      <c r="W57" s="10">
        <v>45922</v>
      </c>
      <c r="X57">
        <v>59.02</v>
      </c>
      <c r="Y57">
        <v>72</v>
      </c>
    </row>
    <row r="58" spans="1:25" x14ac:dyDescent="0.25">
      <c r="A58" t="s">
        <v>208</v>
      </c>
      <c r="B58" t="s">
        <v>209</v>
      </c>
      <c r="C58">
        <f t="shared" si="2"/>
        <v>101</v>
      </c>
      <c r="D58">
        <v>25107101</v>
      </c>
      <c r="E58">
        <v>1</v>
      </c>
      <c r="F58">
        <v>1</v>
      </c>
      <c r="G58" t="s">
        <v>127</v>
      </c>
      <c r="H58">
        <v>0</v>
      </c>
      <c r="I58">
        <v>25107</v>
      </c>
      <c r="J58">
        <v>2025</v>
      </c>
      <c r="K58">
        <v>1</v>
      </c>
      <c r="L58" t="s">
        <v>210</v>
      </c>
      <c r="N58" t="s">
        <v>211</v>
      </c>
      <c r="O58">
        <v>1</v>
      </c>
      <c r="P58">
        <v>1</v>
      </c>
      <c r="Q58">
        <v>32</v>
      </c>
      <c r="R58">
        <v>11.5</v>
      </c>
      <c r="S58">
        <v>729</v>
      </c>
      <c r="T58">
        <f t="shared" si="3"/>
        <v>25107101</v>
      </c>
      <c r="U58">
        <v>1035.2455070603337</v>
      </c>
      <c r="V58" s="10">
        <v>45879</v>
      </c>
      <c r="W58" s="10">
        <v>45937</v>
      </c>
      <c r="Y58">
        <v>1</v>
      </c>
    </row>
    <row r="59" spans="1:25" x14ac:dyDescent="0.25">
      <c r="A59" t="s">
        <v>212</v>
      </c>
      <c r="B59" t="s">
        <v>209</v>
      </c>
      <c r="C59">
        <f t="shared" si="2"/>
        <v>102</v>
      </c>
      <c r="D59">
        <v>25107102</v>
      </c>
      <c r="E59">
        <v>2</v>
      </c>
      <c r="F59">
        <v>1</v>
      </c>
      <c r="G59" t="s">
        <v>127</v>
      </c>
      <c r="H59">
        <v>0</v>
      </c>
      <c r="I59">
        <v>25107</v>
      </c>
      <c r="J59">
        <v>2025</v>
      </c>
      <c r="K59">
        <v>2</v>
      </c>
      <c r="L59" t="s">
        <v>210</v>
      </c>
      <c r="N59" t="s">
        <v>213</v>
      </c>
      <c r="O59">
        <v>1</v>
      </c>
      <c r="P59">
        <v>2</v>
      </c>
      <c r="Q59">
        <v>30</v>
      </c>
      <c r="R59">
        <v>15.4</v>
      </c>
      <c r="S59">
        <v>977</v>
      </c>
      <c r="T59">
        <f t="shared" si="3"/>
        <v>25107102</v>
      </c>
      <c r="U59">
        <v>1326.2869062901154</v>
      </c>
      <c r="V59" s="10">
        <v>45876</v>
      </c>
      <c r="W59" s="10">
        <v>45933</v>
      </c>
      <c r="Y59">
        <v>12</v>
      </c>
    </row>
    <row r="60" spans="1:25" x14ac:dyDescent="0.25">
      <c r="A60" t="s">
        <v>214</v>
      </c>
      <c r="B60" t="s">
        <v>209</v>
      </c>
      <c r="C60">
        <f t="shared" si="2"/>
        <v>103</v>
      </c>
      <c r="D60">
        <v>25107103</v>
      </c>
      <c r="E60">
        <v>3</v>
      </c>
      <c r="F60">
        <v>1</v>
      </c>
      <c r="G60" t="s">
        <v>127</v>
      </c>
      <c r="H60">
        <v>0</v>
      </c>
      <c r="I60">
        <v>25107</v>
      </c>
      <c r="J60">
        <v>2025</v>
      </c>
      <c r="K60">
        <v>3</v>
      </c>
      <c r="L60" t="s">
        <v>215</v>
      </c>
      <c r="N60" t="s">
        <v>216</v>
      </c>
      <c r="O60">
        <v>1</v>
      </c>
      <c r="P60">
        <v>3</v>
      </c>
      <c r="Q60">
        <v>29</v>
      </c>
      <c r="R60">
        <v>16.2</v>
      </c>
      <c r="S60">
        <v>1778</v>
      </c>
      <c r="T60">
        <f t="shared" si="3"/>
        <v>25107103</v>
      </c>
      <c r="U60">
        <v>2390.8279845956354</v>
      </c>
      <c r="V60" s="10">
        <v>45877</v>
      </c>
      <c r="W60" s="10">
        <v>45933</v>
      </c>
      <c r="Y60">
        <v>13</v>
      </c>
    </row>
    <row r="61" spans="1:25" x14ac:dyDescent="0.25">
      <c r="A61" t="s">
        <v>217</v>
      </c>
      <c r="B61" t="s">
        <v>209</v>
      </c>
      <c r="C61">
        <f t="shared" si="2"/>
        <v>104</v>
      </c>
      <c r="D61">
        <v>25107104</v>
      </c>
      <c r="E61">
        <v>4</v>
      </c>
      <c r="F61">
        <v>1</v>
      </c>
      <c r="G61" t="s">
        <v>127</v>
      </c>
      <c r="H61">
        <v>0</v>
      </c>
      <c r="I61">
        <v>25107</v>
      </c>
      <c r="J61">
        <v>2025</v>
      </c>
      <c r="K61">
        <v>4</v>
      </c>
      <c r="L61" t="s">
        <v>215</v>
      </c>
      <c r="N61" t="s">
        <v>218</v>
      </c>
      <c r="O61">
        <v>1</v>
      </c>
      <c r="P61">
        <v>4</v>
      </c>
      <c r="Q61">
        <v>29</v>
      </c>
      <c r="R61">
        <v>16</v>
      </c>
      <c r="S61">
        <v>1846</v>
      </c>
      <c r="T61">
        <f t="shared" si="3"/>
        <v>25107104</v>
      </c>
      <c r="U61">
        <v>2488.1899871630299</v>
      </c>
      <c r="V61" s="10">
        <v>45882</v>
      </c>
      <c r="W61" s="10">
        <v>45933</v>
      </c>
      <c r="Y61">
        <v>24</v>
      </c>
    </row>
    <row r="62" spans="1:25" x14ac:dyDescent="0.25">
      <c r="A62" t="s">
        <v>219</v>
      </c>
      <c r="B62" t="s">
        <v>209</v>
      </c>
      <c r="C62">
        <f t="shared" si="2"/>
        <v>105</v>
      </c>
      <c r="D62">
        <v>25107105</v>
      </c>
      <c r="E62">
        <v>5</v>
      </c>
      <c r="F62">
        <v>1</v>
      </c>
      <c r="G62" t="s">
        <v>127</v>
      </c>
      <c r="H62">
        <v>1</v>
      </c>
      <c r="I62">
        <v>25107</v>
      </c>
      <c r="J62">
        <v>2025</v>
      </c>
      <c r="K62">
        <v>5</v>
      </c>
      <c r="N62" t="s">
        <v>220</v>
      </c>
      <c r="O62">
        <v>1</v>
      </c>
      <c r="P62">
        <v>5</v>
      </c>
      <c r="Q62">
        <v>28</v>
      </c>
      <c r="R62">
        <v>13.6</v>
      </c>
      <c r="S62">
        <v>1807</v>
      </c>
      <c r="T62">
        <f t="shared" si="3"/>
        <v>25107105</v>
      </c>
      <c r="U62">
        <v>2505.2118100128368</v>
      </c>
      <c r="V62" s="10">
        <v>45876</v>
      </c>
      <c r="W62" s="10">
        <v>45933</v>
      </c>
      <c r="Y62">
        <v>25</v>
      </c>
    </row>
    <row r="63" spans="1:25" x14ac:dyDescent="0.25">
      <c r="A63" t="s">
        <v>221</v>
      </c>
      <c r="B63" t="s">
        <v>209</v>
      </c>
      <c r="C63">
        <f t="shared" si="2"/>
        <v>106</v>
      </c>
      <c r="D63">
        <v>25107106</v>
      </c>
      <c r="E63">
        <v>6</v>
      </c>
      <c r="F63">
        <v>1</v>
      </c>
      <c r="G63" t="s">
        <v>127</v>
      </c>
      <c r="H63">
        <v>2</v>
      </c>
      <c r="I63">
        <v>25107</v>
      </c>
      <c r="J63">
        <v>2025</v>
      </c>
      <c r="K63">
        <v>6</v>
      </c>
      <c r="L63" t="s">
        <v>133</v>
      </c>
      <c r="M63" t="s">
        <v>134</v>
      </c>
      <c r="N63" t="s">
        <v>135</v>
      </c>
      <c r="O63">
        <v>1</v>
      </c>
      <c r="P63">
        <v>6</v>
      </c>
      <c r="Q63">
        <v>30</v>
      </c>
      <c r="R63">
        <v>15.4</v>
      </c>
      <c r="S63">
        <v>1706</v>
      </c>
      <c r="T63">
        <f t="shared" si="3"/>
        <v>25107106</v>
      </c>
      <c r="U63">
        <v>2315.9114249037225</v>
      </c>
      <c r="V63" s="10">
        <v>45882</v>
      </c>
      <c r="W63" s="10">
        <v>45933</v>
      </c>
      <c r="Y63">
        <v>36</v>
      </c>
    </row>
    <row r="64" spans="1:25" x14ac:dyDescent="0.25">
      <c r="A64" t="s">
        <v>222</v>
      </c>
      <c r="B64" t="s">
        <v>209</v>
      </c>
      <c r="C64">
        <f t="shared" si="2"/>
        <v>107</v>
      </c>
      <c r="D64">
        <v>25107107</v>
      </c>
      <c r="E64">
        <v>7</v>
      </c>
      <c r="F64">
        <v>1</v>
      </c>
      <c r="G64" t="s">
        <v>127</v>
      </c>
      <c r="H64">
        <v>3</v>
      </c>
      <c r="I64">
        <v>25107</v>
      </c>
      <c r="J64">
        <v>2025</v>
      </c>
      <c r="K64">
        <v>7</v>
      </c>
      <c r="L64" t="s">
        <v>223</v>
      </c>
      <c r="M64" t="s">
        <v>134</v>
      </c>
      <c r="N64" t="s">
        <v>224</v>
      </c>
      <c r="O64">
        <v>1</v>
      </c>
      <c r="P64">
        <v>7</v>
      </c>
      <c r="Q64">
        <v>30</v>
      </c>
      <c r="R64">
        <v>15.9</v>
      </c>
      <c r="S64">
        <v>1488</v>
      </c>
      <c r="T64">
        <f t="shared" si="3"/>
        <v>25107107</v>
      </c>
      <c r="U64">
        <v>2008.0359435173295</v>
      </c>
      <c r="V64" s="10">
        <v>45877</v>
      </c>
      <c r="W64" s="10">
        <v>45931</v>
      </c>
      <c r="Y64">
        <v>37</v>
      </c>
    </row>
    <row r="65" spans="1:25" x14ac:dyDescent="0.25">
      <c r="A65" t="s">
        <v>225</v>
      </c>
      <c r="B65" t="s">
        <v>209</v>
      </c>
      <c r="C65">
        <f t="shared" si="2"/>
        <v>108</v>
      </c>
      <c r="D65">
        <v>25107108</v>
      </c>
      <c r="E65">
        <v>4</v>
      </c>
      <c r="F65">
        <v>2</v>
      </c>
      <c r="G65" t="s">
        <v>127</v>
      </c>
      <c r="H65">
        <v>0</v>
      </c>
      <c r="I65">
        <v>25107</v>
      </c>
      <c r="J65">
        <v>2025</v>
      </c>
      <c r="K65">
        <v>8</v>
      </c>
      <c r="L65" t="s">
        <v>215</v>
      </c>
      <c r="N65" t="s">
        <v>218</v>
      </c>
      <c r="O65">
        <v>1</v>
      </c>
      <c r="P65">
        <v>8</v>
      </c>
      <c r="Q65">
        <v>29</v>
      </c>
      <c r="R65">
        <v>13.1</v>
      </c>
      <c r="S65">
        <v>1827</v>
      </c>
      <c r="T65">
        <f t="shared" si="3"/>
        <v>25107108</v>
      </c>
      <c r="U65">
        <v>2547.5978818998715</v>
      </c>
      <c r="V65" s="10">
        <v>45881</v>
      </c>
      <c r="W65" s="10">
        <v>45931</v>
      </c>
      <c r="Y65">
        <v>48</v>
      </c>
    </row>
    <row r="66" spans="1:25" x14ac:dyDescent="0.25">
      <c r="A66" t="s">
        <v>226</v>
      </c>
      <c r="B66" t="s">
        <v>209</v>
      </c>
      <c r="C66">
        <f t="shared" ref="C66:C97" si="4">O66*100+P66</f>
        <v>109</v>
      </c>
      <c r="D66">
        <v>25107109</v>
      </c>
      <c r="E66">
        <v>2</v>
      </c>
      <c r="F66">
        <v>2</v>
      </c>
      <c r="G66" t="s">
        <v>127</v>
      </c>
      <c r="H66">
        <v>0</v>
      </c>
      <c r="I66">
        <v>25107</v>
      </c>
      <c r="J66">
        <v>2025</v>
      </c>
      <c r="K66">
        <v>9</v>
      </c>
      <c r="L66" t="s">
        <v>210</v>
      </c>
      <c r="N66" t="s">
        <v>213</v>
      </c>
      <c r="O66">
        <v>1</v>
      </c>
      <c r="P66">
        <v>9</v>
      </c>
      <c r="Q66">
        <v>27</v>
      </c>
      <c r="R66">
        <v>14</v>
      </c>
      <c r="S66">
        <v>1148</v>
      </c>
      <c r="T66">
        <f t="shared" ref="T66:T97" si="5">I66*1000+C66</f>
        <v>25107109</v>
      </c>
      <c r="U66">
        <v>1584.2105263157894</v>
      </c>
      <c r="V66" s="10">
        <v>45882</v>
      </c>
      <c r="W66" s="10">
        <v>45931</v>
      </c>
      <c r="Y66">
        <v>49</v>
      </c>
    </row>
    <row r="67" spans="1:25" x14ac:dyDescent="0.25">
      <c r="A67" s="1" t="s">
        <v>227</v>
      </c>
      <c r="B67" t="s">
        <v>209</v>
      </c>
      <c r="C67">
        <f t="shared" si="4"/>
        <v>110</v>
      </c>
      <c r="D67">
        <v>25107110</v>
      </c>
      <c r="E67">
        <v>1</v>
      </c>
      <c r="F67">
        <v>2</v>
      </c>
      <c r="G67" t="s">
        <v>127</v>
      </c>
      <c r="H67">
        <v>0</v>
      </c>
      <c r="I67">
        <v>25107</v>
      </c>
      <c r="J67">
        <v>2025</v>
      </c>
      <c r="K67">
        <v>10</v>
      </c>
      <c r="L67" t="s">
        <v>210</v>
      </c>
      <c r="N67" t="s">
        <v>211</v>
      </c>
      <c r="O67">
        <v>1</v>
      </c>
      <c r="P67">
        <v>10</v>
      </c>
      <c r="Q67">
        <v>36</v>
      </c>
      <c r="R67">
        <v>10.199999999999999</v>
      </c>
      <c r="S67">
        <v>1100</v>
      </c>
      <c r="T67">
        <f t="shared" si="5"/>
        <v>25107110</v>
      </c>
      <c r="U67">
        <v>1585.0449293966622</v>
      </c>
      <c r="V67" s="10">
        <v>45879</v>
      </c>
      <c r="W67" s="10">
        <v>45931</v>
      </c>
      <c r="Y67">
        <v>60</v>
      </c>
    </row>
    <row r="68" spans="1:25" x14ac:dyDescent="0.25">
      <c r="A68" t="s">
        <v>228</v>
      </c>
      <c r="B68" t="s">
        <v>209</v>
      </c>
      <c r="C68">
        <f t="shared" si="4"/>
        <v>111</v>
      </c>
      <c r="D68">
        <v>25107111</v>
      </c>
      <c r="E68">
        <v>5</v>
      </c>
      <c r="F68">
        <v>2</v>
      </c>
      <c r="G68" t="s">
        <v>127</v>
      </c>
      <c r="H68">
        <v>1</v>
      </c>
      <c r="I68">
        <v>25107</v>
      </c>
      <c r="J68">
        <v>2025</v>
      </c>
      <c r="K68">
        <v>11</v>
      </c>
      <c r="N68" t="s">
        <v>220</v>
      </c>
      <c r="O68">
        <v>1</v>
      </c>
      <c r="P68">
        <v>11</v>
      </c>
      <c r="Q68">
        <v>29</v>
      </c>
      <c r="R68">
        <v>13.6</v>
      </c>
      <c r="S68">
        <v>1470</v>
      </c>
      <c r="T68">
        <f t="shared" si="5"/>
        <v>25107111</v>
      </c>
      <c r="U68">
        <v>2037.9974326059053</v>
      </c>
      <c r="V68" s="10">
        <v>45880</v>
      </c>
      <c r="W68" s="10">
        <v>45931</v>
      </c>
      <c r="Y68">
        <v>61</v>
      </c>
    </row>
    <row r="69" spans="1:25" x14ac:dyDescent="0.25">
      <c r="A69" t="s">
        <v>229</v>
      </c>
      <c r="B69" t="s">
        <v>209</v>
      </c>
      <c r="C69">
        <f t="shared" si="4"/>
        <v>112</v>
      </c>
      <c r="D69">
        <v>25107112</v>
      </c>
      <c r="E69">
        <v>3</v>
      </c>
      <c r="F69">
        <v>2</v>
      </c>
      <c r="G69" t="s">
        <v>127</v>
      </c>
      <c r="H69">
        <v>0</v>
      </c>
      <c r="I69">
        <v>25107</v>
      </c>
      <c r="J69">
        <v>2025</v>
      </c>
      <c r="K69">
        <v>12</v>
      </c>
      <c r="L69" t="s">
        <v>215</v>
      </c>
      <c r="N69" t="s">
        <v>216</v>
      </c>
      <c r="O69">
        <v>1</v>
      </c>
      <c r="P69">
        <v>12</v>
      </c>
      <c r="Q69">
        <v>28</v>
      </c>
      <c r="R69">
        <v>13</v>
      </c>
      <c r="S69">
        <v>2821</v>
      </c>
      <c r="T69">
        <f t="shared" si="5"/>
        <v>25107112</v>
      </c>
      <c r="U69">
        <v>3938.173940949936</v>
      </c>
      <c r="V69" s="10">
        <v>45881</v>
      </c>
      <c r="W69" s="10">
        <v>45936</v>
      </c>
      <c r="Y69">
        <v>72</v>
      </c>
    </row>
    <row r="70" spans="1:25" x14ac:dyDescent="0.25">
      <c r="A70" t="s">
        <v>230</v>
      </c>
      <c r="B70" t="s">
        <v>209</v>
      </c>
      <c r="C70">
        <f t="shared" si="4"/>
        <v>204</v>
      </c>
      <c r="D70">
        <v>25107204</v>
      </c>
      <c r="E70">
        <v>5</v>
      </c>
      <c r="F70">
        <v>3</v>
      </c>
      <c r="G70" t="s">
        <v>127</v>
      </c>
      <c r="H70">
        <v>1</v>
      </c>
      <c r="I70">
        <v>25107</v>
      </c>
      <c r="J70">
        <v>2025</v>
      </c>
      <c r="K70">
        <v>21</v>
      </c>
      <c r="N70" t="s">
        <v>220</v>
      </c>
      <c r="O70">
        <v>2</v>
      </c>
      <c r="P70">
        <v>4</v>
      </c>
      <c r="Q70">
        <v>28</v>
      </c>
      <c r="R70">
        <v>15.8</v>
      </c>
      <c r="S70">
        <v>1973</v>
      </c>
      <c r="T70">
        <f t="shared" si="5"/>
        <v>25107204</v>
      </c>
      <c r="U70">
        <v>2665.7028241335051</v>
      </c>
      <c r="V70" s="10">
        <v>45880</v>
      </c>
      <c r="W70" s="10">
        <v>45933</v>
      </c>
      <c r="Y70">
        <v>23</v>
      </c>
    </row>
    <row r="71" spans="1:25" x14ac:dyDescent="0.25">
      <c r="A71" t="s">
        <v>231</v>
      </c>
      <c r="B71" t="s">
        <v>209</v>
      </c>
      <c r="C71">
        <f t="shared" si="4"/>
        <v>205</v>
      </c>
      <c r="D71">
        <v>25107205</v>
      </c>
      <c r="E71">
        <v>2</v>
      </c>
      <c r="F71">
        <v>3</v>
      </c>
      <c r="G71" t="s">
        <v>127</v>
      </c>
      <c r="H71">
        <v>0</v>
      </c>
      <c r="I71">
        <v>25107</v>
      </c>
      <c r="J71">
        <v>2025</v>
      </c>
      <c r="K71">
        <v>20</v>
      </c>
      <c r="L71" t="s">
        <v>210</v>
      </c>
      <c r="N71" t="s">
        <v>213</v>
      </c>
      <c r="O71">
        <v>2</v>
      </c>
      <c r="P71">
        <v>5</v>
      </c>
      <c r="Q71">
        <v>28</v>
      </c>
      <c r="R71">
        <v>15.1</v>
      </c>
      <c r="S71">
        <v>2012</v>
      </c>
      <c r="T71">
        <f t="shared" si="5"/>
        <v>25107205</v>
      </c>
      <c r="U71">
        <v>2740.9948652118101</v>
      </c>
      <c r="V71" s="10">
        <v>45880</v>
      </c>
      <c r="W71" s="10">
        <v>45933</v>
      </c>
      <c r="Y71">
        <v>26</v>
      </c>
    </row>
    <row r="72" spans="1:25" x14ac:dyDescent="0.25">
      <c r="A72" t="s">
        <v>232</v>
      </c>
      <c r="B72" t="s">
        <v>209</v>
      </c>
      <c r="C72">
        <f t="shared" si="4"/>
        <v>206</v>
      </c>
      <c r="D72">
        <v>25107206</v>
      </c>
      <c r="E72">
        <v>1</v>
      </c>
      <c r="F72">
        <v>3</v>
      </c>
      <c r="G72" t="s">
        <v>127</v>
      </c>
      <c r="H72">
        <v>0</v>
      </c>
      <c r="I72">
        <v>25107</v>
      </c>
      <c r="J72">
        <v>2025</v>
      </c>
      <c r="K72">
        <v>19</v>
      </c>
      <c r="L72" t="s">
        <v>210</v>
      </c>
      <c r="N72" t="s">
        <v>211</v>
      </c>
      <c r="O72">
        <v>2</v>
      </c>
      <c r="P72">
        <v>6</v>
      </c>
      <c r="Q72">
        <v>29</v>
      </c>
      <c r="R72">
        <v>15.7</v>
      </c>
      <c r="S72">
        <v>1348</v>
      </c>
      <c r="T72">
        <f t="shared" si="5"/>
        <v>25107206</v>
      </c>
      <c r="U72">
        <v>1823.433889602054</v>
      </c>
      <c r="V72" s="10">
        <v>45880</v>
      </c>
      <c r="Y72">
        <v>35</v>
      </c>
    </row>
    <row r="73" spans="1:25" x14ac:dyDescent="0.25">
      <c r="A73" t="s">
        <v>233</v>
      </c>
      <c r="B73" t="s">
        <v>209</v>
      </c>
      <c r="C73">
        <f t="shared" si="4"/>
        <v>207</v>
      </c>
      <c r="D73">
        <v>25107207</v>
      </c>
      <c r="E73">
        <v>3</v>
      </c>
      <c r="F73">
        <v>3</v>
      </c>
      <c r="G73" t="s">
        <v>127</v>
      </c>
      <c r="H73">
        <v>0</v>
      </c>
      <c r="I73">
        <v>25107</v>
      </c>
      <c r="J73">
        <v>2025</v>
      </c>
      <c r="K73">
        <v>18</v>
      </c>
      <c r="L73" t="s">
        <v>215</v>
      </c>
      <c r="N73" t="s">
        <v>216</v>
      </c>
      <c r="O73">
        <v>2</v>
      </c>
      <c r="P73">
        <v>7</v>
      </c>
      <c r="Q73">
        <v>30</v>
      </c>
      <c r="R73">
        <v>17.3</v>
      </c>
      <c r="S73">
        <v>1748</v>
      </c>
      <c r="T73">
        <f t="shared" si="5"/>
        <v>25107207</v>
      </c>
      <c r="U73">
        <v>2319.6341463414633</v>
      </c>
      <c r="V73" s="10">
        <v>45880</v>
      </c>
      <c r="W73" s="10">
        <v>45933</v>
      </c>
      <c r="Y73">
        <v>38</v>
      </c>
    </row>
    <row r="74" spans="1:25" x14ac:dyDescent="0.25">
      <c r="A74" t="s">
        <v>234</v>
      </c>
      <c r="B74" t="s">
        <v>209</v>
      </c>
      <c r="C74">
        <f t="shared" si="4"/>
        <v>208</v>
      </c>
      <c r="D74">
        <v>25107208</v>
      </c>
      <c r="E74">
        <v>4</v>
      </c>
      <c r="F74">
        <v>3</v>
      </c>
      <c r="G74" t="s">
        <v>127</v>
      </c>
      <c r="H74">
        <v>0</v>
      </c>
      <c r="I74">
        <v>25107</v>
      </c>
      <c r="J74">
        <v>2025</v>
      </c>
      <c r="K74">
        <v>17</v>
      </c>
      <c r="L74" t="s">
        <v>215</v>
      </c>
      <c r="N74" t="s">
        <v>218</v>
      </c>
      <c r="O74">
        <v>2</v>
      </c>
      <c r="P74">
        <v>8</v>
      </c>
      <c r="Q74">
        <v>26</v>
      </c>
      <c r="R74">
        <v>18.3</v>
      </c>
      <c r="S74">
        <v>1362</v>
      </c>
      <c r="T74">
        <f t="shared" si="5"/>
        <v>25107208</v>
      </c>
      <c r="U74">
        <v>1785.5487804878051</v>
      </c>
      <c r="V74" s="10">
        <v>45880</v>
      </c>
      <c r="W74" s="10">
        <v>45933</v>
      </c>
      <c r="Y74">
        <v>47</v>
      </c>
    </row>
    <row r="75" spans="1:25" x14ac:dyDescent="0.25">
      <c r="A75" t="s">
        <v>235</v>
      </c>
      <c r="B75" t="s">
        <v>209</v>
      </c>
      <c r="C75">
        <f t="shared" si="4"/>
        <v>209</v>
      </c>
      <c r="D75">
        <v>25107209</v>
      </c>
      <c r="E75">
        <v>6</v>
      </c>
      <c r="F75">
        <v>3</v>
      </c>
      <c r="G75" t="s">
        <v>127</v>
      </c>
      <c r="H75">
        <v>2</v>
      </c>
      <c r="I75">
        <v>25107</v>
      </c>
      <c r="J75">
        <v>2025</v>
      </c>
      <c r="K75">
        <v>16</v>
      </c>
      <c r="L75" t="s">
        <v>133</v>
      </c>
      <c r="M75" t="s">
        <v>134</v>
      </c>
      <c r="N75" t="s">
        <v>135</v>
      </c>
      <c r="O75">
        <v>2</v>
      </c>
      <c r="P75">
        <v>9</v>
      </c>
      <c r="Q75">
        <v>30</v>
      </c>
      <c r="R75">
        <v>16.5</v>
      </c>
      <c r="S75">
        <v>1095</v>
      </c>
      <c r="T75">
        <f t="shared" si="5"/>
        <v>25107209</v>
      </c>
      <c r="U75">
        <v>1467.1453786906291</v>
      </c>
      <c r="V75" s="10">
        <v>45880</v>
      </c>
      <c r="W75" s="10">
        <v>45931</v>
      </c>
      <c r="Y75">
        <v>50</v>
      </c>
    </row>
    <row r="76" spans="1:25" x14ac:dyDescent="0.25">
      <c r="A76" t="s">
        <v>236</v>
      </c>
      <c r="B76" t="s">
        <v>209</v>
      </c>
      <c r="C76">
        <f t="shared" si="4"/>
        <v>210</v>
      </c>
      <c r="D76">
        <v>25107210</v>
      </c>
      <c r="E76">
        <v>7</v>
      </c>
      <c r="F76">
        <v>3</v>
      </c>
      <c r="G76" t="s">
        <v>127</v>
      </c>
      <c r="H76">
        <v>3</v>
      </c>
      <c r="I76">
        <v>25107</v>
      </c>
      <c r="J76">
        <v>2025</v>
      </c>
      <c r="K76">
        <v>15</v>
      </c>
      <c r="L76" t="s">
        <v>223</v>
      </c>
      <c r="M76" t="s">
        <v>134</v>
      </c>
      <c r="N76" t="s">
        <v>224</v>
      </c>
      <c r="O76">
        <v>2</v>
      </c>
      <c r="P76">
        <v>10</v>
      </c>
      <c r="Q76">
        <v>25</v>
      </c>
      <c r="R76">
        <v>14.5</v>
      </c>
      <c r="S76">
        <v>1166</v>
      </c>
      <c r="T76">
        <f t="shared" si="5"/>
        <v>25107210</v>
      </c>
      <c r="U76">
        <v>1599.6951219512193</v>
      </c>
      <c r="V76" s="10">
        <v>45876</v>
      </c>
      <c r="W76" s="10">
        <v>45931</v>
      </c>
      <c r="Y76">
        <v>59</v>
      </c>
    </row>
    <row r="77" spans="1:25" x14ac:dyDescent="0.25">
      <c r="A77" t="s">
        <v>237</v>
      </c>
      <c r="B77" t="s">
        <v>209</v>
      </c>
      <c r="C77">
        <f t="shared" si="4"/>
        <v>211</v>
      </c>
      <c r="D77">
        <v>25107211</v>
      </c>
      <c r="E77">
        <v>7</v>
      </c>
      <c r="F77">
        <v>2</v>
      </c>
      <c r="G77" t="s">
        <v>127</v>
      </c>
      <c r="H77">
        <v>3</v>
      </c>
      <c r="I77">
        <v>25107</v>
      </c>
      <c r="J77">
        <v>2025</v>
      </c>
      <c r="K77">
        <v>14</v>
      </c>
      <c r="L77" t="s">
        <v>223</v>
      </c>
      <c r="M77" t="s">
        <v>134</v>
      </c>
      <c r="N77" t="s">
        <v>224</v>
      </c>
      <c r="O77">
        <v>2</v>
      </c>
      <c r="P77">
        <v>11</v>
      </c>
      <c r="Q77">
        <v>30</v>
      </c>
      <c r="R77">
        <v>15.6</v>
      </c>
      <c r="S77">
        <v>1237</v>
      </c>
      <c r="T77">
        <f t="shared" si="5"/>
        <v>25107211</v>
      </c>
      <c r="U77">
        <v>1675.2695763799745</v>
      </c>
      <c r="V77" s="10">
        <v>45880</v>
      </c>
      <c r="W77" s="10">
        <v>45936</v>
      </c>
      <c r="Y77">
        <v>62</v>
      </c>
    </row>
    <row r="78" spans="1:25" x14ac:dyDescent="0.25">
      <c r="A78" t="s">
        <v>238</v>
      </c>
      <c r="B78" t="s">
        <v>209</v>
      </c>
      <c r="C78">
        <f t="shared" si="4"/>
        <v>212</v>
      </c>
      <c r="D78">
        <v>25107212</v>
      </c>
      <c r="E78">
        <v>6</v>
      </c>
      <c r="F78">
        <v>2</v>
      </c>
      <c r="G78" t="s">
        <v>127</v>
      </c>
      <c r="H78">
        <v>2</v>
      </c>
      <c r="I78">
        <v>25107</v>
      </c>
      <c r="J78">
        <v>2025</v>
      </c>
      <c r="K78">
        <v>13</v>
      </c>
      <c r="L78" t="s">
        <v>133</v>
      </c>
      <c r="M78" t="s">
        <v>134</v>
      </c>
      <c r="N78" t="s">
        <v>135</v>
      </c>
      <c r="O78">
        <v>2</v>
      </c>
      <c r="P78">
        <v>12</v>
      </c>
      <c r="Q78">
        <v>33</v>
      </c>
      <c r="R78">
        <v>16.2</v>
      </c>
      <c r="S78">
        <v>1720</v>
      </c>
      <c r="T78">
        <f t="shared" si="5"/>
        <v>25107212</v>
      </c>
      <c r="U78">
        <v>2312.836970474968</v>
      </c>
      <c r="V78" s="10">
        <v>45879</v>
      </c>
      <c r="W78" s="10">
        <v>45933</v>
      </c>
      <c r="Y78">
        <v>71</v>
      </c>
    </row>
    <row r="79" spans="1:25" x14ac:dyDescent="0.25">
      <c r="A79" t="s">
        <v>239</v>
      </c>
      <c r="B79" t="s">
        <v>209</v>
      </c>
      <c r="C79">
        <f t="shared" si="4"/>
        <v>301</v>
      </c>
      <c r="D79">
        <v>25110301</v>
      </c>
      <c r="E79">
        <v>1</v>
      </c>
      <c r="F79">
        <v>1</v>
      </c>
      <c r="G79" t="s">
        <v>127</v>
      </c>
      <c r="H79">
        <v>0</v>
      </c>
      <c r="I79">
        <v>25110</v>
      </c>
      <c r="J79">
        <v>2025</v>
      </c>
      <c r="K79">
        <v>1</v>
      </c>
      <c r="L79" t="s">
        <v>240</v>
      </c>
      <c r="N79" t="s">
        <v>241</v>
      </c>
      <c r="O79">
        <v>3</v>
      </c>
      <c r="P79">
        <v>1</v>
      </c>
      <c r="Q79">
        <v>56</v>
      </c>
      <c r="R79">
        <v>12.3</v>
      </c>
      <c r="S79">
        <v>1267</v>
      </c>
      <c r="T79">
        <f t="shared" si="5"/>
        <v>25110301</v>
      </c>
      <c r="U79">
        <v>1782.9894094993581</v>
      </c>
      <c r="V79" s="10">
        <v>45870</v>
      </c>
      <c r="W79" s="10">
        <v>45931</v>
      </c>
      <c r="Y79">
        <v>3</v>
      </c>
    </row>
    <row r="80" spans="1:25" x14ac:dyDescent="0.25">
      <c r="A80" t="s">
        <v>242</v>
      </c>
      <c r="B80" t="s">
        <v>209</v>
      </c>
      <c r="C80">
        <f t="shared" si="4"/>
        <v>302</v>
      </c>
      <c r="D80">
        <v>25110302</v>
      </c>
      <c r="E80">
        <v>2</v>
      </c>
      <c r="F80">
        <v>1</v>
      </c>
      <c r="G80" t="s">
        <v>127</v>
      </c>
      <c r="H80">
        <v>0</v>
      </c>
      <c r="I80">
        <v>25110</v>
      </c>
      <c r="J80">
        <v>2025</v>
      </c>
      <c r="K80">
        <v>2</v>
      </c>
      <c r="L80" t="s">
        <v>240</v>
      </c>
      <c r="N80" t="s">
        <v>243</v>
      </c>
      <c r="O80">
        <v>3</v>
      </c>
      <c r="P80">
        <v>2</v>
      </c>
      <c r="Q80">
        <v>57</v>
      </c>
      <c r="R80">
        <v>14.2</v>
      </c>
      <c r="S80">
        <v>1075</v>
      </c>
      <c r="T80">
        <f t="shared" si="5"/>
        <v>25110302</v>
      </c>
      <c r="U80">
        <v>1480.0224646983313</v>
      </c>
      <c r="V80" s="10">
        <v>45873</v>
      </c>
      <c r="W80" s="10">
        <v>45927</v>
      </c>
      <c r="Y80">
        <v>10</v>
      </c>
    </row>
    <row r="81" spans="1:25" x14ac:dyDescent="0.25">
      <c r="A81" t="s">
        <v>244</v>
      </c>
      <c r="B81" t="s">
        <v>209</v>
      </c>
      <c r="C81">
        <f t="shared" si="4"/>
        <v>303</v>
      </c>
      <c r="D81">
        <v>25110303</v>
      </c>
      <c r="E81">
        <v>3</v>
      </c>
      <c r="F81">
        <v>1</v>
      </c>
      <c r="G81" t="s">
        <v>127</v>
      </c>
      <c r="H81">
        <v>0</v>
      </c>
      <c r="I81">
        <v>25110</v>
      </c>
      <c r="J81">
        <v>2025</v>
      </c>
      <c r="K81">
        <v>3</v>
      </c>
      <c r="L81" t="s">
        <v>240</v>
      </c>
      <c r="N81" t="s">
        <v>245</v>
      </c>
      <c r="O81">
        <v>3</v>
      </c>
      <c r="P81">
        <v>3</v>
      </c>
      <c r="Q81">
        <v>55</v>
      </c>
      <c r="R81">
        <v>13.3</v>
      </c>
      <c r="S81">
        <v>1158</v>
      </c>
      <c r="T81">
        <f t="shared" si="5"/>
        <v>25110303</v>
      </c>
      <c r="U81">
        <v>1611.0173299101414</v>
      </c>
      <c r="V81" s="10">
        <v>45873</v>
      </c>
      <c r="W81" s="10">
        <v>45927</v>
      </c>
      <c r="Y81">
        <v>15</v>
      </c>
    </row>
    <row r="82" spans="1:25" x14ac:dyDescent="0.25">
      <c r="A82" t="s">
        <v>246</v>
      </c>
      <c r="B82" t="s">
        <v>209</v>
      </c>
      <c r="C82">
        <f t="shared" si="4"/>
        <v>304</v>
      </c>
      <c r="D82">
        <v>25110304</v>
      </c>
      <c r="E82">
        <v>4</v>
      </c>
      <c r="F82">
        <v>1</v>
      </c>
      <c r="G82" t="s">
        <v>127</v>
      </c>
      <c r="H82">
        <v>0</v>
      </c>
      <c r="I82">
        <v>25110</v>
      </c>
      <c r="J82">
        <v>2025</v>
      </c>
      <c r="K82">
        <v>4</v>
      </c>
      <c r="L82" t="s">
        <v>240</v>
      </c>
      <c r="N82" t="s">
        <v>247</v>
      </c>
      <c r="O82">
        <v>3</v>
      </c>
      <c r="P82">
        <v>4</v>
      </c>
      <c r="Q82">
        <v>61</v>
      </c>
      <c r="R82">
        <v>14.5</v>
      </c>
      <c r="S82">
        <v>776</v>
      </c>
      <c r="T82">
        <f t="shared" si="5"/>
        <v>25110304</v>
      </c>
      <c r="U82">
        <v>1064.6341463414635</v>
      </c>
      <c r="V82" s="10">
        <v>45873</v>
      </c>
      <c r="W82" s="10">
        <v>45927</v>
      </c>
      <c r="Y82">
        <v>22</v>
      </c>
    </row>
    <row r="83" spans="1:25" x14ac:dyDescent="0.25">
      <c r="A83" t="s">
        <v>248</v>
      </c>
      <c r="B83" t="s">
        <v>209</v>
      </c>
      <c r="C83">
        <f t="shared" si="4"/>
        <v>305</v>
      </c>
      <c r="D83">
        <v>25110305</v>
      </c>
      <c r="E83">
        <v>5</v>
      </c>
      <c r="F83">
        <v>1</v>
      </c>
      <c r="G83" t="s">
        <v>127</v>
      </c>
      <c r="H83">
        <v>0</v>
      </c>
      <c r="I83">
        <v>25110</v>
      </c>
      <c r="J83">
        <v>2025</v>
      </c>
      <c r="K83">
        <v>5</v>
      </c>
      <c r="L83" t="s">
        <v>240</v>
      </c>
      <c r="N83" t="s">
        <v>249</v>
      </c>
      <c r="O83">
        <v>3</v>
      </c>
      <c r="P83">
        <v>5</v>
      </c>
      <c r="Q83">
        <v>57</v>
      </c>
      <c r="R83">
        <v>15.5</v>
      </c>
      <c r="S83">
        <v>1176</v>
      </c>
      <c r="T83">
        <f t="shared" si="5"/>
        <v>25110305</v>
      </c>
      <c r="U83">
        <v>1594.5442875481385</v>
      </c>
      <c r="V83" s="10">
        <v>45873</v>
      </c>
      <c r="W83" s="10">
        <v>45931</v>
      </c>
      <c r="Y83">
        <v>27</v>
      </c>
    </row>
    <row r="84" spans="1:25" x14ac:dyDescent="0.25">
      <c r="A84" t="s">
        <v>250</v>
      </c>
      <c r="B84" t="s">
        <v>209</v>
      </c>
      <c r="C84">
        <f t="shared" si="4"/>
        <v>306</v>
      </c>
      <c r="D84">
        <v>25110306</v>
      </c>
      <c r="E84">
        <v>6</v>
      </c>
      <c r="F84">
        <v>1</v>
      </c>
      <c r="G84" t="s">
        <v>127</v>
      </c>
      <c r="H84">
        <v>0</v>
      </c>
      <c r="I84">
        <v>25110</v>
      </c>
      <c r="J84">
        <v>2025</v>
      </c>
      <c r="K84">
        <v>6</v>
      </c>
      <c r="L84" t="s">
        <v>240</v>
      </c>
      <c r="N84" t="s">
        <v>251</v>
      </c>
      <c r="O84">
        <v>3</v>
      </c>
      <c r="P84">
        <v>6</v>
      </c>
      <c r="Q84">
        <v>57</v>
      </c>
      <c r="R84">
        <v>13.8</v>
      </c>
      <c r="S84">
        <v>633</v>
      </c>
      <c r="T84">
        <f t="shared" si="5"/>
        <v>25110306</v>
      </c>
      <c r="U84">
        <v>875.55519897304237</v>
      </c>
      <c r="V84" s="10">
        <v>45872</v>
      </c>
      <c r="W84" s="10">
        <v>45927</v>
      </c>
      <c r="Y84">
        <v>34</v>
      </c>
    </row>
    <row r="85" spans="1:25" x14ac:dyDescent="0.25">
      <c r="A85" t="s">
        <v>252</v>
      </c>
      <c r="B85" t="s">
        <v>209</v>
      </c>
      <c r="C85">
        <f t="shared" si="4"/>
        <v>307</v>
      </c>
      <c r="D85">
        <v>25110307</v>
      </c>
      <c r="E85">
        <v>7</v>
      </c>
      <c r="F85">
        <v>1</v>
      </c>
      <c r="G85" t="s">
        <v>127</v>
      </c>
      <c r="H85">
        <v>0</v>
      </c>
      <c r="I85">
        <v>25110</v>
      </c>
      <c r="J85">
        <v>2025</v>
      </c>
      <c r="K85">
        <v>7</v>
      </c>
      <c r="L85" t="s">
        <v>240</v>
      </c>
      <c r="N85" t="s">
        <v>253</v>
      </c>
      <c r="O85">
        <v>3</v>
      </c>
      <c r="P85">
        <v>7</v>
      </c>
      <c r="Q85">
        <v>54</v>
      </c>
      <c r="R85">
        <v>11.7</v>
      </c>
      <c r="S85">
        <v>1051</v>
      </c>
      <c r="T85">
        <f t="shared" si="5"/>
        <v>25110307</v>
      </c>
      <c r="U85">
        <v>1489.1415275994866</v>
      </c>
      <c r="V85" s="10">
        <v>45874</v>
      </c>
      <c r="W85" s="10">
        <v>45931</v>
      </c>
      <c r="Y85">
        <v>39</v>
      </c>
    </row>
    <row r="86" spans="1:25" x14ac:dyDescent="0.25">
      <c r="A86" t="s">
        <v>254</v>
      </c>
      <c r="B86" t="s">
        <v>209</v>
      </c>
      <c r="C86">
        <f t="shared" si="4"/>
        <v>308</v>
      </c>
      <c r="D86">
        <v>25110308</v>
      </c>
      <c r="E86">
        <v>8</v>
      </c>
      <c r="F86">
        <v>1</v>
      </c>
      <c r="G86" t="s">
        <v>127</v>
      </c>
      <c r="H86">
        <v>0</v>
      </c>
      <c r="I86">
        <v>25110</v>
      </c>
      <c r="J86">
        <v>2025</v>
      </c>
      <c r="K86">
        <v>8</v>
      </c>
      <c r="L86" t="s">
        <v>240</v>
      </c>
      <c r="N86" t="s">
        <v>255</v>
      </c>
      <c r="O86">
        <v>3</v>
      </c>
      <c r="P86">
        <v>8</v>
      </c>
      <c r="Q86">
        <v>56</v>
      </c>
      <c r="R86">
        <v>9</v>
      </c>
      <c r="S86">
        <v>918</v>
      </c>
      <c r="T86">
        <f t="shared" si="5"/>
        <v>25110308</v>
      </c>
      <c r="U86">
        <v>1340.4685494223365</v>
      </c>
      <c r="V86" s="10">
        <v>45871</v>
      </c>
      <c r="W86" s="10">
        <v>45927</v>
      </c>
      <c r="Y86">
        <v>46</v>
      </c>
    </row>
    <row r="87" spans="1:25" x14ac:dyDescent="0.25">
      <c r="A87" t="s">
        <v>256</v>
      </c>
      <c r="B87" t="s">
        <v>209</v>
      </c>
      <c r="C87">
        <f t="shared" si="4"/>
        <v>309</v>
      </c>
      <c r="D87">
        <v>25110309</v>
      </c>
      <c r="E87">
        <v>9</v>
      </c>
      <c r="F87">
        <v>1</v>
      </c>
      <c r="G87" t="s">
        <v>127</v>
      </c>
      <c r="H87">
        <v>0</v>
      </c>
      <c r="I87">
        <v>25110</v>
      </c>
      <c r="J87">
        <v>2025</v>
      </c>
      <c r="K87">
        <v>9</v>
      </c>
      <c r="L87" t="s">
        <v>240</v>
      </c>
      <c r="N87" t="s">
        <v>257</v>
      </c>
      <c r="O87">
        <v>3</v>
      </c>
      <c r="P87">
        <v>9</v>
      </c>
      <c r="Q87">
        <v>31</v>
      </c>
      <c r="R87">
        <v>10</v>
      </c>
      <c r="S87">
        <v>1063</v>
      </c>
      <c r="T87">
        <f t="shared" si="5"/>
        <v>25110309</v>
      </c>
      <c r="U87">
        <v>1535.1412066752248</v>
      </c>
      <c r="V87" s="10">
        <v>45880</v>
      </c>
      <c r="W87" s="10">
        <v>45922</v>
      </c>
      <c r="Y87">
        <v>51</v>
      </c>
    </row>
    <row r="88" spans="1:25" x14ac:dyDescent="0.25">
      <c r="A88" t="s">
        <v>258</v>
      </c>
      <c r="B88" t="s">
        <v>209</v>
      </c>
      <c r="C88">
        <f t="shared" si="4"/>
        <v>310</v>
      </c>
      <c r="D88">
        <v>25110310</v>
      </c>
      <c r="E88">
        <v>10</v>
      </c>
      <c r="F88">
        <v>1</v>
      </c>
      <c r="G88" t="s">
        <v>127</v>
      </c>
      <c r="H88">
        <v>0</v>
      </c>
      <c r="I88">
        <v>25110</v>
      </c>
      <c r="J88">
        <v>2025</v>
      </c>
      <c r="K88">
        <v>10</v>
      </c>
      <c r="L88" t="s">
        <v>240</v>
      </c>
      <c r="N88" t="s">
        <v>259</v>
      </c>
      <c r="O88">
        <v>3</v>
      </c>
      <c r="P88">
        <v>10</v>
      </c>
      <c r="Q88">
        <v>68</v>
      </c>
      <c r="R88">
        <v>11.2</v>
      </c>
      <c r="S88">
        <v>748</v>
      </c>
      <c r="T88">
        <f t="shared" si="5"/>
        <v>25110310</v>
      </c>
      <c r="U88">
        <v>1065.8279845956356</v>
      </c>
      <c r="V88" s="10">
        <v>45875</v>
      </c>
      <c r="W88" s="10">
        <v>45933</v>
      </c>
      <c r="Y88">
        <v>58</v>
      </c>
    </row>
    <row r="89" spans="1:25" x14ac:dyDescent="0.25">
      <c r="A89" t="s">
        <v>260</v>
      </c>
      <c r="B89" t="s">
        <v>209</v>
      </c>
      <c r="C89">
        <f t="shared" si="4"/>
        <v>311</v>
      </c>
      <c r="D89">
        <v>25110311</v>
      </c>
      <c r="E89">
        <v>11</v>
      </c>
      <c r="F89">
        <v>1</v>
      </c>
      <c r="G89" t="s">
        <v>127</v>
      </c>
      <c r="H89">
        <v>0</v>
      </c>
      <c r="I89">
        <v>25110</v>
      </c>
      <c r="J89">
        <v>2025</v>
      </c>
      <c r="K89">
        <v>11</v>
      </c>
      <c r="L89" t="s">
        <v>240</v>
      </c>
      <c r="N89" t="s">
        <v>261</v>
      </c>
      <c r="O89">
        <v>3</v>
      </c>
      <c r="P89">
        <v>11</v>
      </c>
      <c r="Q89">
        <v>64</v>
      </c>
      <c r="R89">
        <v>13.1</v>
      </c>
      <c r="S89">
        <v>613</v>
      </c>
      <c r="T89">
        <f t="shared" si="5"/>
        <v>25110311</v>
      </c>
      <c r="U89">
        <v>854.77695763799738</v>
      </c>
      <c r="V89" s="10">
        <v>45874</v>
      </c>
      <c r="W89" s="10">
        <v>45937</v>
      </c>
      <c r="Y89">
        <v>63</v>
      </c>
    </row>
    <row r="90" spans="1:25" x14ac:dyDescent="0.25">
      <c r="A90" t="s">
        <v>262</v>
      </c>
      <c r="B90" t="s">
        <v>209</v>
      </c>
      <c r="C90">
        <f t="shared" si="4"/>
        <v>312</v>
      </c>
      <c r="D90">
        <v>25110312</v>
      </c>
      <c r="E90">
        <v>12</v>
      </c>
      <c r="F90">
        <v>1</v>
      </c>
      <c r="G90" t="s">
        <v>127</v>
      </c>
      <c r="H90">
        <v>0</v>
      </c>
      <c r="I90">
        <v>25110</v>
      </c>
      <c r="J90">
        <v>2025</v>
      </c>
      <c r="K90">
        <v>12</v>
      </c>
      <c r="L90" t="s">
        <v>240</v>
      </c>
      <c r="N90" t="s">
        <v>263</v>
      </c>
      <c r="O90">
        <v>3</v>
      </c>
      <c r="P90">
        <v>12</v>
      </c>
      <c r="Q90">
        <v>53</v>
      </c>
      <c r="R90">
        <v>11.2</v>
      </c>
      <c r="S90">
        <v>1053</v>
      </c>
      <c r="T90">
        <f t="shared" si="5"/>
        <v>25110312</v>
      </c>
      <c r="U90">
        <v>1500.4236200256737</v>
      </c>
      <c r="V90" s="10">
        <v>45874</v>
      </c>
      <c r="W90" s="10">
        <v>45933</v>
      </c>
      <c r="Y90">
        <v>70</v>
      </c>
    </row>
    <row r="91" spans="1:25" x14ac:dyDescent="0.25">
      <c r="A91" t="s">
        <v>264</v>
      </c>
      <c r="B91" t="s">
        <v>209</v>
      </c>
      <c r="C91">
        <f t="shared" si="4"/>
        <v>401</v>
      </c>
      <c r="D91">
        <v>25110401</v>
      </c>
      <c r="E91">
        <v>3</v>
      </c>
      <c r="F91">
        <v>2</v>
      </c>
      <c r="G91" t="s">
        <v>127</v>
      </c>
      <c r="H91">
        <v>0</v>
      </c>
      <c r="I91">
        <v>25110</v>
      </c>
      <c r="J91">
        <v>2025</v>
      </c>
      <c r="K91">
        <v>24</v>
      </c>
      <c r="L91" t="s">
        <v>240</v>
      </c>
      <c r="N91" t="s">
        <v>245</v>
      </c>
      <c r="O91">
        <v>4</v>
      </c>
      <c r="P91">
        <v>1</v>
      </c>
      <c r="Q91">
        <v>58</v>
      </c>
      <c r="R91">
        <v>9.9</v>
      </c>
      <c r="S91">
        <v>704</v>
      </c>
      <c r="T91">
        <f t="shared" si="5"/>
        <v>25110401</v>
      </c>
      <c r="U91">
        <v>1017.8177150192552</v>
      </c>
      <c r="V91" s="10">
        <v>45870</v>
      </c>
      <c r="W91" s="10">
        <v>45924</v>
      </c>
      <c r="Y91">
        <v>4</v>
      </c>
    </row>
    <row r="92" spans="1:25" x14ac:dyDescent="0.25">
      <c r="A92" t="s">
        <v>265</v>
      </c>
      <c r="B92" t="s">
        <v>209</v>
      </c>
      <c r="C92">
        <f t="shared" si="4"/>
        <v>402</v>
      </c>
      <c r="D92">
        <v>25110402</v>
      </c>
      <c r="E92">
        <v>15</v>
      </c>
      <c r="F92">
        <v>2</v>
      </c>
      <c r="G92" t="s">
        <v>127</v>
      </c>
      <c r="H92">
        <v>1</v>
      </c>
      <c r="I92">
        <v>25110</v>
      </c>
      <c r="J92">
        <v>2025</v>
      </c>
      <c r="K92">
        <v>23</v>
      </c>
      <c r="M92" t="s">
        <v>187</v>
      </c>
      <c r="N92" t="s">
        <v>190</v>
      </c>
      <c r="O92">
        <v>4</v>
      </c>
      <c r="P92">
        <v>2</v>
      </c>
      <c r="Q92">
        <v>55</v>
      </c>
      <c r="R92">
        <v>14.9</v>
      </c>
      <c r="S92">
        <v>655</v>
      </c>
      <c r="T92">
        <f t="shared" si="5"/>
        <v>25110402</v>
      </c>
      <c r="U92">
        <v>894.42394094993597</v>
      </c>
      <c r="V92" s="10">
        <v>45870</v>
      </c>
      <c r="W92" s="10">
        <v>45919</v>
      </c>
      <c r="Y92">
        <v>9</v>
      </c>
    </row>
    <row r="93" spans="1:25" x14ac:dyDescent="0.25">
      <c r="A93" t="s">
        <v>266</v>
      </c>
      <c r="B93" t="s">
        <v>209</v>
      </c>
      <c r="C93">
        <f t="shared" si="4"/>
        <v>403</v>
      </c>
      <c r="D93">
        <v>25110403</v>
      </c>
      <c r="E93">
        <v>7</v>
      </c>
      <c r="F93">
        <v>2</v>
      </c>
      <c r="G93" t="s">
        <v>127</v>
      </c>
      <c r="H93">
        <v>0</v>
      </c>
      <c r="I93">
        <v>25110</v>
      </c>
      <c r="J93">
        <v>2025</v>
      </c>
      <c r="K93">
        <v>22</v>
      </c>
      <c r="L93" t="s">
        <v>240</v>
      </c>
      <c r="N93" t="s">
        <v>253</v>
      </c>
      <c r="O93">
        <v>4</v>
      </c>
      <c r="P93">
        <v>3</v>
      </c>
      <c r="Q93">
        <v>53</v>
      </c>
      <c r="R93">
        <v>13.5</v>
      </c>
      <c r="S93">
        <v>978</v>
      </c>
      <c r="T93">
        <f t="shared" si="5"/>
        <v>25110403</v>
      </c>
      <c r="U93">
        <v>1357.461489088575</v>
      </c>
      <c r="V93" s="10">
        <v>45870</v>
      </c>
      <c r="W93" s="10">
        <v>45924</v>
      </c>
      <c r="Y93">
        <v>16</v>
      </c>
    </row>
    <row r="94" spans="1:25" x14ac:dyDescent="0.25">
      <c r="A94" t="s">
        <v>267</v>
      </c>
      <c r="B94" t="s">
        <v>209</v>
      </c>
      <c r="C94">
        <f t="shared" si="4"/>
        <v>404</v>
      </c>
      <c r="D94">
        <v>25110404</v>
      </c>
      <c r="E94">
        <v>14</v>
      </c>
      <c r="F94">
        <v>2</v>
      </c>
      <c r="G94" t="s">
        <v>127</v>
      </c>
      <c r="H94">
        <v>0</v>
      </c>
      <c r="I94">
        <v>25110</v>
      </c>
      <c r="J94">
        <v>2025</v>
      </c>
      <c r="K94">
        <v>21</v>
      </c>
      <c r="L94" t="s">
        <v>240</v>
      </c>
      <c r="N94" t="s">
        <v>268</v>
      </c>
      <c r="O94">
        <v>4</v>
      </c>
      <c r="P94">
        <v>4</v>
      </c>
      <c r="Q94">
        <v>61</v>
      </c>
      <c r="R94">
        <v>9.3000000000000007</v>
      </c>
      <c r="S94">
        <v>911</v>
      </c>
      <c r="T94">
        <f t="shared" si="5"/>
        <v>25110404</v>
      </c>
      <c r="U94">
        <v>1325.8616816431324</v>
      </c>
      <c r="V94" s="10">
        <v>45875</v>
      </c>
      <c r="W94" s="10">
        <v>45937</v>
      </c>
      <c r="Y94">
        <v>21</v>
      </c>
    </row>
    <row r="95" spans="1:25" x14ac:dyDescent="0.25">
      <c r="A95" t="s">
        <v>269</v>
      </c>
      <c r="B95" t="s">
        <v>209</v>
      </c>
      <c r="C95">
        <f t="shared" si="4"/>
        <v>405</v>
      </c>
      <c r="D95">
        <v>25110405</v>
      </c>
      <c r="E95">
        <v>9</v>
      </c>
      <c r="F95">
        <v>2</v>
      </c>
      <c r="G95" t="s">
        <v>127</v>
      </c>
      <c r="H95">
        <v>0</v>
      </c>
      <c r="I95">
        <v>25110</v>
      </c>
      <c r="J95">
        <v>2025</v>
      </c>
      <c r="K95">
        <v>20</v>
      </c>
      <c r="L95" t="s">
        <v>240</v>
      </c>
      <c r="N95" t="s">
        <v>257</v>
      </c>
      <c r="O95">
        <v>4</v>
      </c>
      <c r="P95">
        <v>5</v>
      </c>
      <c r="Q95">
        <v>28</v>
      </c>
      <c r="R95">
        <v>10</v>
      </c>
      <c r="S95">
        <v>1457</v>
      </c>
      <c r="T95">
        <f t="shared" si="5"/>
        <v>25110405</v>
      </c>
      <c r="U95">
        <v>2104.1399229781773</v>
      </c>
      <c r="V95" s="10">
        <v>45876</v>
      </c>
      <c r="W95" s="10">
        <v>45933</v>
      </c>
      <c r="Y95">
        <v>28</v>
      </c>
    </row>
    <row r="96" spans="1:25" x14ac:dyDescent="0.25">
      <c r="A96" t="s">
        <v>270</v>
      </c>
      <c r="B96" t="s">
        <v>209</v>
      </c>
      <c r="C96">
        <f t="shared" si="4"/>
        <v>406</v>
      </c>
      <c r="D96">
        <v>25110406</v>
      </c>
      <c r="E96">
        <v>8</v>
      </c>
      <c r="F96">
        <v>2</v>
      </c>
      <c r="G96" t="s">
        <v>127</v>
      </c>
      <c r="H96">
        <v>0</v>
      </c>
      <c r="I96">
        <v>25110</v>
      </c>
      <c r="J96">
        <v>2025</v>
      </c>
      <c r="K96">
        <v>19</v>
      </c>
      <c r="L96" t="s">
        <v>240</v>
      </c>
      <c r="N96" t="s">
        <v>255</v>
      </c>
      <c r="O96">
        <v>4</v>
      </c>
      <c r="P96">
        <v>6</v>
      </c>
      <c r="Q96">
        <v>56</v>
      </c>
      <c r="R96">
        <v>9.8000000000000007</v>
      </c>
      <c r="S96">
        <v>984</v>
      </c>
      <c r="T96">
        <f t="shared" si="5"/>
        <v>25110406</v>
      </c>
      <c r="U96">
        <v>1424.2105263157896</v>
      </c>
      <c r="V96" s="10">
        <v>45871</v>
      </c>
      <c r="W96" s="10">
        <v>45922</v>
      </c>
      <c r="Y96">
        <v>33</v>
      </c>
    </row>
    <row r="97" spans="1:25" x14ac:dyDescent="0.25">
      <c r="A97" t="s">
        <v>271</v>
      </c>
      <c r="B97" t="s">
        <v>209</v>
      </c>
      <c r="C97">
        <f t="shared" si="4"/>
        <v>407</v>
      </c>
      <c r="D97">
        <v>25110407</v>
      </c>
      <c r="E97">
        <v>11</v>
      </c>
      <c r="F97">
        <v>2</v>
      </c>
      <c r="G97" t="s">
        <v>127</v>
      </c>
      <c r="H97">
        <v>0</v>
      </c>
      <c r="I97">
        <v>25110</v>
      </c>
      <c r="J97">
        <v>2025</v>
      </c>
      <c r="K97">
        <v>18</v>
      </c>
      <c r="L97" t="s">
        <v>240</v>
      </c>
      <c r="N97" t="s">
        <v>261</v>
      </c>
      <c r="O97">
        <v>4</v>
      </c>
      <c r="P97">
        <v>7</v>
      </c>
      <c r="Q97">
        <v>66</v>
      </c>
      <c r="R97">
        <v>12.4</v>
      </c>
      <c r="S97">
        <v>761</v>
      </c>
      <c r="T97">
        <f t="shared" si="5"/>
        <v>25110407</v>
      </c>
      <c r="U97">
        <v>1069.6983311938379</v>
      </c>
      <c r="V97" s="10">
        <v>45875</v>
      </c>
      <c r="W97" s="10">
        <v>45937</v>
      </c>
      <c r="Y97">
        <v>40</v>
      </c>
    </row>
    <row r="98" spans="1:25" x14ac:dyDescent="0.25">
      <c r="A98" s="1">
        <v>1.115807E+78</v>
      </c>
      <c r="B98" t="s">
        <v>209</v>
      </c>
      <c r="C98">
        <f t="shared" ref="C98:C129" si="6">O98*100+P98</f>
        <v>408</v>
      </c>
      <c r="D98">
        <v>25110408</v>
      </c>
      <c r="E98">
        <v>1</v>
      </c>
      <c r="F98">
        <v>2</v>
      </c>
      <c r="G98" t="s">
        <v>127</v>
      </c>
      <c r="H98">
        <v>0</v>
      </c>
      <c r="I98">
        <v>25110</v>
      </c>
      <c r="J98">
        <v>2025</v>
      </c>
      <c r="K98">
        <v>17</v>
      </c>
      <c r="L98" t="s">
        <v>240</v>
      </c>
      <c r="N98" t="s">
        <v>241</v>
      </c>
      <c r="O98">
        <v>4</v>
      </c>
      <c r="P98">
        <v>8</v>
      </c>
      <c r="T98">
        <f t="shared" ref="T98:T129" si="7">I98*1000+C98</f>
        <v>25110408</v>
      </c>
      <c r="V98" s="10">
        <v>45868</v>
      </c>
      <c r="W98" s="10">
        <v>45927</v>
      </c>
      <c r="Y98">
        <v>45</v>
      </c>
    </row>
    <row r="99" spans="1:25" x14ac:dyDescent="0.25">
      <c r="A99" t="s">
        <v>272</v>
      </c>
      <c r="B99" t="s">
        <v>209</v>
      </c>
      <c r="C99">
        <f t="shared" si="6"/>
        <v>409</v>
      </c>
      <c r="D99">
        <v>25110409</v>
      </c>
      <c r="E99">
        <v>10</v>
      </c>
      <c r="F99">
        <v>2</v>
      </c>
      <c r="G99" t="s">
        <v>127</v>
      </c>
      <c r="H99">
        <v>0</v>
      </c>
      <c r="I99">
        <v>25110</v>
      </c>
      <c r="J99">
        <v>2025</v>
      </c>
      <c r="K99">
        <v>16</v>
      </c>
      <c r="L99" t="s">
        <v>240</v>
      </c>
      <c r="N99" t="s">
        <v>259</v>
      </c>
      <c r="O99">
        <v>4</v>
      </c>
      <c r="P99">
        <v>9</v>
      </c>
      <c r="Q99">
        <v>64</v>
      </c>
      <c r="R99">
        <v>12.7</v>
      </c>
      <c r="S99">
        <v>287</v>
      </c>
      <c r="T99">
        <f t="shared" si="7"/>
        <v>25110409</v>
      </c>
      <c r="U99">
        <v>402.03947368421052</v>
      </c>
      <c r="V99" s="10">
        <v>45875</v>
      </c>
      <c r="W99" s="10">
        <v>45924</v>
      </c>
      <c r="Y99">
        <v>52</v>
      </c>
    </row>
    <row r="100" spans="1:25" x14ac:dyDescent="0.25">
      <c r="A100" t="s">
        <v>273</v>
      </c>
      <c r="B100" t="s">
        <v>209</v>
      </c>
      <c r="C100">
        <f t="shared" si="6"/>
        <v>410</v>
      </c>
      <c r="D100">
        <v>25110410</v>
      </c>
      <c r="E100">
        <v>15</v>
      </c>
      <c r="F100">
        <v>1</v>
      </c>
      <c r="G100" t="s">
        <v>127</v>
      </c>
      <c r="H100">
        <v>1</v>
      </c>
      <c r="I100">
        <v>25110</v>
      </c>
      <c r="J100">
        <v>2025</v>
      </c>
      <c r="K100">
        <v>15</v>
      </c>
      <c r="M100" t="s">
        <v>187</v>
      </c>
      <c r="N100" t="s">
        <v>190</v>
      </c>
      <c r="O100">
        <v>4</v>
      </c>
      <c r="P100">
        <v>10</v>
      </c>
      <c r="Q100">
        <v>55</v>
      </c>
      <c r="R100">
        <v>12.9</v>
      </c>
      <c r="S100">
        <v>599</v>
      </c>
      <c r="T100">
        <f t="shared" si="7"/>
        <v>25110410</v>
      </c>
      <c r="U100">
        <v>837.17747111681626</v>
      </c>
      <c r="V100" s="10">
        <v>45870</v>
      </c>
      <c r="W100" s="10">
        <v>45922</v>
      </c>
      <c r="Y100">
        <v>57</v>
      </c>
    </row>
    <row r="101" spans="1:25" x14ac:dyDescent="0.25">
      <c r="A101" t="s">
        <v>274</v>
      </c>
      <c r="B101" t="s">
        <v>209</v>
      </c>
      <c r="C101">
        <f t="shared" si="6"/>
        <v>411</v>
      </c>
      <c r="D101">
        <v>25110411</v>
      </c>
      <c r="E101">
        <v>14</v>
      </c>
      <c r="F101">
        <v>1</v>
      </c>
      <c r="G101" t="s">
        <v>127</v>
      </c>
      <c r="H101">
        <v>0</v>
      </c>
      <c r="I101">
        <v>25110</v>
      </c>
      <c r="J101">
        <v>2025</v>
      </c>
      <c r="K101">
        <v>14</v>
      </c>
      <c r="L101" t="s">
        <v>240</v>
      </c>
      <c r="N101" t="s">
        <v>268</v>
      </c>
      <c r="O101">
        <v>4</v>
      </c>
      <c r="P101">
        <v>11</v>
      </c>
      <c r="Q101">
        <v>61</v>
      </c>
      <c r="R101">
        <v>11.6</v>
      </c>
      <c r="S101">
        <v>163</v>
      </c>
      <c r="T101">
        <f t="shared" si="7"/>
        <v>25110411</v>
      </c>
      <c r="U101">
        <v>231.2130937098845</v>
      </c>
      <c r="V101" s="10">
        <v>45874</v>
      </c>
      <c r="W101" s="10">
        <v>45937</v>
      </c>
      <c r="Y101">
        <v>64</v>
      </c>
    </row>
    <row r="102" spans="1:25" x14ac:dyDescent="0.25">
      <c r="A102" t="s">
        <v>275</v>
      </c>
      <c r="B102" t="s">
        <v>209</v>
      </c>
      <c r="C102">
        <f t="shared" si="6"/>
        <v>412</v>
      </c>
      <c r="D102">
        <v>25110412</v>
      </c>
      <c r="E102">
        <v>13</v>
      </c>
      <c r="F102">
        <v>1</v>
      </c>
      <c r="G102" t="s">
        <v>127</v>
      </c>
      <c r="H102">
        <v>0</v>
      </c>
      <c r="I102">
        <v>25110</v>
      </c>
      <c r="J102">
        <v>2025</v>
      </c>
      <c r="K102">
        <v>13</v>
      </c>
      <c r="L102" t="s">
        <v>240</v>
      </c>
      <c r="N102" t="s">
        <v>276</v>
      </c>
      <c r="O102">
        <v>4</v>
      </c>
      <c r="P102">
        <v>12</v>
      </c>
      <c r="Q102">
        <v>52</v>
      </c>
      <c r="R102">
        <v>9.9</v>
      </c>
      <c r="S102">
        <v>447</v>
      </c>
      <c r="T102">
        <f t="shared" si="7"/>
        <v>25110412</v>
      </c>
      <c r="U102">
        <v>646.25641848523742</v>
      </c>
      <c r="V102" s="10">
        <v>45874</v>
      </c>
      <c r="W102" s="10">
        <v>45937</v>
      </c>
      <c r="Y102">
        <v>69</v>
      </c>
    </row>
    <row r="103" spans="1:25" x14ac:dyDescent="0.25">
      <c r="A103" t="s">
        <v>277</v>
      </c>
      <c r="B103" t="s">
        <v>209</v>
      </c>
      <c r="C103">
        <f t="shared" si="6"/>
        <v>501</v>
      </c>
      <c r="D103">
        <v>25110501</v>
      </c>
      <c r="E103">
        <v>2</v>
      </c>
      <c r="F103">
        <v>2</v>
      </c>
      <c r="G103" t="s">
        <v>127</v>
      </c>
      <c r="H103">
        <v>0</v>
      </c>
      <c r="I103">
        <v>25110</v>
      </c>
      <c r="J103">
        <v>2025</v>
      </c>
      <c r="K103">
        <v>25</v>
      </c>
      <c r="L103" t="s">
        <v>240</v>
      </c>
      <c r="N103" t="s">
        <v>243</v>
      </c>
      <c r="O103">
        <v>5</v>
      </c>
      <c r="P103">
        <v>1</v>
      </c>
      <c r="Q103">
        <v>58</v>
      </c>
      <c r="R103">
        <v>9.1</v>
      </c>
      <c r="S103">
        <v>794</v>
      </c>
      <c r="T103">
        <f t="shared" si="7"/>
        <v>25110501</v>
      </c>
      <c r="U103">
        <v>1158.1290115532736</v>
      </c>
      <c r="V103" s="10">
        <v>45873</v>
      </c>
      <c r="W103" s="10">
        <v>45924</v>
      </c>
      <c r="Y103">
        <v>5</v>
      </c>
    </row>
    <row r="104" spans="1:25" x14ac:dyDescent="0.25">
      <c r="A104" t="s">
        <v>278</v>
      </c>
      <c r="B104" t="s">
        <v>209</v>
      </c>
      <c r="C104">
        <f t="shared" si="6"/>
        <v>502</v>
      </c>
      <c r="D104">
        <v>25110502</v>
      </c>
      <c r="E104">
        <v>5</v>
      </c>
      <c r="F104">
        <v>2</v>
      </c>
      <c r="G104" t="s">
        <v>127</v>
      </c>
      <c r="H104">
        <v>0</v>
      </c>
      <c r="I104">
        <v>25110</v>
      </c>
      <c r="J104">
        <v>2025</v>
      </c>
      <c r="K104">
        <v>26</v>
      </c>
      <c r="L104" t="s">
        <v>240</v>
      </c>
      <c r="N104" t="s">
        <v>249</v>
      </c>
      <c r="O104">
        <v>5</v>
      </c>
      <c r="P104">
        <v>2</v>
      </c>
      <c r="Q104">
        <v>64</v>
      </c>
      <c r="R104">
        <v>15.3</v>
      </c>
      <c r="S104">
        <v>566</v>
      </c>
      <c r="T104">
        <f t="shared" si="7"/>
        <v>25110502</v>
      </c>
      <c r="U104">
        <v>769.25866495507046</v>
      </c>
      <c r="V104" s="10">
        <v>45873</v>
      </c>
      <c r="W104" s="10">
        <v>45933</v>
      </c>
      <c r="Y104">
        <v>8</v>
      </c>
    </row>
    <row r="105" spans="1:25" x14ac:dyDescent="0.25">
      <c r="A105" t="s">
        <v>279</v>
      </c>
      <c r="B105" t="s">
        <v>209</v>
      </c>
      <c r="C105">
        <f t="shared" si="6"/>
        <v>503</v>
      </c>
      <c r="D105">
        <v>25110503</v>
      </c>
      <c r="E105">
        <v>6</v>
      </c>
      <c r="F105">
        <v>2</v>
      </c>
      <c r="G105" t="s">
        <v>127</v>
      </c>
      <c r="H105">
        <v>0</v>
      </c>
      <c r="I105">
        <v>25110</v>
      </c>
      <c r="J105">
        <v>2025</v>
      </c>
      <c r="K105">
        <v>27</v>
      </c>
      <c r="L105" t="s">
        <v>240</v>
      </c>
      <c r="N105" t="s">
        <v>251</v>
      </c>
      <c r="O105">
        <v>5</v>
      </c>
      <c r="P105">
        <v>3</v>
      </c>
      <c r="Q105">
        <v>52</v>
      </c>
      <c r="R105">
        <v>8.4</v>
      </c>
      <c r="S105">
        <v>485</v>
      </c>
      <c r="T105">
        <f t="shared" si="7"/>
        <v>25110503</v>
      </c>
      <c r="U105">
        <v>712.86906290115519</v>
      </c>
      <c r="V105" s="10">
        <v>45871</v>
      </c>
      <c r="W105" s="10">
        <v>45933</v>
      </c>
      <c r="Y105">
        <v>17</v>
      </c>
    </row>
    <row r="106" spans="1:25" x14ac:dyDescent="0.25">
      <c r="A106" t="s">
        <v>280</v>
      </c>
      <c r="B106" t="s">
        <v>209</v>
      </c>
      <c r="C106">
        <f t="shared" si="6"/>
        <v>504</v>
      </c>
      <c r="D106">
        <v>25110504</v>
      </c>
      <c r="E106">
        <v>13</v>
      </c>
      <c r="F106">
        <v>2</v>
      </c>
      <c r="G106" t="s">
        <v>127</v>
      </c>
      <c r="H106">
        <v>0</v>
      </c>
      <c r="I106">
        <v>25110</v>
      </c>
      <c r="J106">
        <v>2025</v>
      </c>
      <c r="K106">
        <v>28</v>
      </c>
      <c r="L106" t="s">
        <v>240</v>
      </c>
      <c r="N106" t="s">
        <v>276</v>
      </c>
      <c r="O106">
        <v>5</v>
      </c>
      <c r="P106">
        <v>4</v>
      </c>
      <c r="Q106">
        <v>56</v>
      </c>
      <c r="R106">
        <v>15.9</v>
      </c>
      <c r="S106">
        <v>879</v>
      </c>
      <c r="T106">
        <f t="shared" si="7"/>
        <v>25110504</v>
      </c>
      <c r="U106">
        <v>1186.1986521181002</v>
      </c>
      <c r="V106" s="10">
        <v>45880</v>
      </c>
      <c r="W106" s="10">
        <v>45933</v>
      </c>
      <c r="Y106">
        <v>20</v>
      </c>
    </row>
    <row r="107" spans="1:25" x14ac:dyDescent="0.25">
      <c r="A107" t="s">
        <v>281</v>
      </c>
      <c r="B107" t="s">
        <v>209</v>
      </c>
      <c r="C107">
        <f t="shared" si="6"/>
        <v>505</v>
      </c>
      <c r="D107">
        <v>25110505</v>
      </c>
      <c r="E107">
        <v>12</v>
      </c>
      <c r="F107">
        <v>2</v>
      </c>
      <c r="G107" t="s">
        <v>127</v>
      </c>
      <c r="H107">
        <v>0</v>
      </c>
      <c r="I107">
        <v>25110</v>
      </c>
      <c r="J107">
        <v>2025</v>
      </c>
      <c r="K107">
        <v>29</v>
      </c>
      <c r="L107" t="s">
        <v>240</v>
      </c>
      <c r="N107" t="s">
        <v>263</v>
      </c>
      <c r="O107">
        <v>5</v>
      </c>
      <c r="P107">
        <v>5</v>
      </c>
      <c r="Q107">
        <v>52</v>
      </c>
      <c r="R107">
        <v>13.7</v>
      </c>
      <c r="S107">
        <v>951</v>
      </c>
      <c r="T107">
        <f t="shared" si="7"/>
        <v>25110505</v>
      </c>
      <c r="U107">
        <v>1316.9335686777922</v>
      </c>
      <c r="V107" s="10">
        <v>45880</v>
      </c>
      <c r="W107" s="10">
        <v>45927</v>
      </c>
      <c r="Y107">
        <v>29</v>
      </c>
    </row>
    <row r="108" spans="1:25" x14ac:dyDescent="0.25">
      <c r="A108" t="s">
        <v>282</v>
      </c>
      <c r="B108" t="s">
        <v>209</v>
      </c>
      <c r="C108">
        <f t="shared" si="6"/>
        <v>506</v>
      </c>
      <c r="D108">
        <v>25110506</v>
      </c>
      <c r="E108">
        <v>4</v>
      </c>
      <c r="F108">
        <v>2</v>
      </c>
      <c r="G108" t="s">
        <v>127</v>
      </c>
      <c r="H108">
        <v>0</v>
      </c>
      <c r="I108">
        <v>25110</v>
      </c>
      <c r="J108">
        <v>2025</v>
      </c>
      <c r="K108">
        <v>30</v>
      </c>
      <c r="L108" t="s">
        <v>240</v>
      </c>
      <c r="N108" t="s">
        <v>247</v>
      </c>
      <c r="O108">
        <v>5</v>
      </c>
      <c r="P108">
        <v>6</v>
      </c>
      <c r="Q108">
        <v>53</v>
      </c>
      <c r="R108">
        <v>8.5</v>
      </c>
      <c r="S108">
        <v>474</v>
      </c>
      <c r="T108">
        <f t="shared" si="7"/>
        <v>25110506</v>
      </c>
      <c r="U108">
        <v>695.94030808729133</v>
      </c>
      <c r="V108" s="10">
        <v>45873</v>
      </c>
      <c r="W108" s="10">
        <v>45922</v>
      </c>
      <c r="Y108">
        <v>32</v>
      </c>
    </row>
    <row r="109" spans="1:25" x14ac:dyDescent="0.25">
      <c r="A109" t="s">
        <v>283</v>
      </c>
      <c r="B109" t="s">
        <v>209</v>
      </c>
      <c r="C109">
        <f t="shared" si="6"/>
        <v>507</v>
      </c>
      <c r="D109">
        <v>25110507</v>
      </c>
      <c r="E109">
        <v>4</v>
      </c>
      <c r="F109">
        <v>3</v>
      </c>
      <c r="G109" t="s">
        <v>127</v>
      </c>
      <c r="H109">
        <v>0</v>
      </c>
      <c r="I109">
        <v>25110</v>
      </c>
      <c r="J109">
        <v>2025</v>
      </c>
      <c r="K109">
        <v>31</v>
      </c>
      <c r="L109" t="s">
        <v>240</v>
      </c>
      <c r="N109" t="s">
        <v>247</v>
      </c>
      <c r="O109">
        <v>5</v>
      </c>
      <c r="P109">
        <v>7</v>
      </c>
      <c r="Q109">
        <v>54</v>
      </c>
      <c r="R109">
        <v>12.9</v>
      </c>
      <c r="S109">
        <v>459</v>
      </c>
      <c r="T109">
        <f t="shared" si="7"/>
        <v>25110507</v>
      </c>
      <c r="U109">
        <v>641.50994865211806</v>
      </c>
      <c r="V109" s="10">
        <v>45873</v>
      </c>
      <c r="W109" s="10">
        <v>45924</v>
      </c>
      <c r="Y109">
        <v>41</v>
      </c>
    </row>
    <row r="110" spans="1:25" x14ac:dyDescent="0.25">
      <c r="A110" t="s">
        <v>284</v>
      </c>
      <c r="B110" t="s">
        <v>209</v>
      </c>
      <c r="C110">
        <f t="shared" si="6"/>
        <v>508</v>
      </c>
      <c r="D110">
        <v>25110508</v>
      </c>
      <c r="E110">
        <v>13</v>
      </c>
      <c r="F110">
        <v>3</v>
      </c>
      <c r="G110" t="s">
        <v>127</v>
      </c>
      <c r="H110">
        <v>0</v>
      </c>
      <c r="I110">
        <v>25110</v>
      </c>
      <c r="J110">
        <v>2025</v>
      </c>
      <c r="K110">
        <v>32</v>
      </c>
      <c r="L110" t="s">
        <v>240</v>
      </c>
      <c r="N110" t="s">
        <v>276</v>
      </c>
      <c r="O110">
        <v>5</v>
      </c>
      <c r="P110">
        <v>8</v>
      </c>
      <c r="Q110">
        <v>51</v>
      </c>
      <c r="R110">
        <v>14</v>
      </c>
      <c r="S110">
        <v>286</v>
      </c>
      <c r="T110">
        <f t="shared" si="7"/>
        <v>25110508</v>
      </c>
      <c r="U110">
        <v>394.67265725288831</v>
      </c>
      <c r="V110" s="10">
        <v>45876</v>
      </c>
      <c r="Y110">
        <v>44</v>
      </c>
    </row>
    <row r="111" spans="1:25" x14ac:dyDescent="0.25">
      <c r="A111" t="s">
        <v>285</v>
      </c>
      <c r="B111" t="s">
        <v>209</v>
      </c>
      <c r="C111">
        <f t="shared" si="6"/>
        <v>509</v>
      </c>
      <c r="D111">
        <v>25110509</v>
      </c>
      <c r="E111">
        <v>8</v>
      </c>
      <c r="F111">
        <v>3</v>
      </c>
      <c r="G111" t="s">
        <v>127</v>
      </c>
      <c r="H111">
        <v>0</v>
      </c>
      <c r="I111">
        <v>25110</v>
      </c>
      <c r="J111">
        <v>2025</v>
      </c>
      <c r="K111">
        <v>33</v>
      </c>
      <c r="L111" t="s">
        <v>240</v>
      </c>
      <c r="N111" t="s">
        <v>255</v>
      </c>
      <c r="O111">
        <v>5</v>
      </c>
      <c r="P111">
        <v>9</v>
      </c>
      <c r="Q111">
        <v>63</v>
      </c>
      <c r="R111">
        <v>15.1</v>
      </c>
      <c r="S111">
        <v>507</v>
      </c>
      <c r="T111">
        <f t="shared" si="7"/>
        <v>25110509</v>
      </c>
      <c r="U111">
        <v>690.69801026957646</v>
      </c>
      <c r="V111" s="10">
        <v>45873</v>
      </c>
      <c r="W111" s="10">
        <v>45924</v>
      </c>
      <c r="Y111">
        <v>53</v>
      </c>
    </row>
    <row r="112" spans="1:25" x14ac:dyDescent="0.25">
      <c r="A112" t="s">
        <v>286</v>
      </c>
      <c r="B112" t="s">
        <v>209</v>
      </c>
      <c r="C112">
        <f t="shared" si="6"/>
        <v>510</v>
      </c>
      <c r="D112">
        <v>25110510</v>
      </c>
      <c r="E112">
        <v>5</v>
      </c>
      <c r="F112">
        <v>3</v>
      </c>
      <c r="G112" t="s">
        <v>127</v>
      </c>
      <c r="H112">
        <v>0</v>
      </c>
      <c r="I112">
        <v>25110</v>
      </c>
      <c r="J112">
        <v>2025</v>
      </c>
      <c r="K112">
        <v>34</v>
      </c>
      <c r="L112" t="s">
        <v>240</v>
      </c>
      <c r="N112" t="s">
        <v>249</v>
      </c>
      <c r="O112">
        <v>5</v>
      </c>
      <c r="P112">
        <v>10</v>
      </c>
      <c r="Q112">
        <v>26</v>
      </c>
      <c r="R112">
        <v>10.4</v>
      </c>
      <c r="S112">
        <v>964</v>
      </c>
      <c r="T112">
        <f t="shared" si="7"/>
        <v>25110510</v>
      </c>
      <c r="U112">
        <v>1385.9820282413348</v>
      </c>
      <c r="V112" s="10">
        <v>45879</v>
      </c>
      <c r="W112" s="10">
        <v>45933</v>
      </c>
      <c r="Y112">
        <v>56</v>
      </c>
    </row>
    <row r="113" spans="1:25" x14ac:dyDescent="0.25">
      <c r="A113" t="s">
        <v>287</v>
      </c>
      <c r="B113" t="s">
        <v>209</v>
      </c>
      <c r="C113">
        <f t="shared" si="6"/>
        <v>511</v>
      </c>
      <c r="D113">
        <v>25110511</v>
      </c>
      <c r="E113">
        <v>1</v>
      </c>
      <c r="F113">
        <v>3</v>
      </c>
      <c r="G113" t="s">
        <v>127</v>
      </c>
      <c r="H113">
        <v>0</v>
      </c>
      <c r="I113">
        <v>25110</v>
      </c>
      <c r="J113">
        <v>2025</v>
      </c>
      <c r="K113">
        <v>35</v>
      </c>
      <c r="L113" t="s">
        <v>240</v>
      </c>
      <c r="N113" t="s">
        <v>241</v>
      </c>
      <c r="O113">
        <v>5</v>
      </c>
      <c r="P113">
        <v>11</v>
      </c>
      <c r="Q113">
        <v>56</v>
      </c>
      <c r="R113">
        <v>12.3</v>
      </c>
      <c r="S113">
        <v>396</v>
      </c>
      <c r="T113">
        <f t="shared" si="7"/>
        <v>25110511</v>
      </c>
      <c r="U113">
        <v>557.27214377406938</v>
      </c>
      <c r="V113" s="10">
        <v>45871</v>
      </c>
      <c r="W113" s="10">
        <v>45924</v>
      </c>
      <c r="Y113">
        <v>65</v>
      </c>
    </row>
    <row r="114" spans="1:25" x14ac:dyDescent="0.25">
      <c r="A114" t="s">
        <v>288</v>
      </c>
      <c r="B114" t="s">
        <v>209</v>
      </c>
      <c r="C114">
        <f t="shared" si="6"/>
        <v>512</v>
      </c>
      <c r="D114">
        <v>25110512</v>
      </c>
      <c r="E114">
        <v>10</v>
      </c>
      <c r="F114">
        <v>3</v>
      </c>
      <c r="G114" t="s">
        <v>127</v>
      </c>
      <c r="H114">
        <v>0</v>
      </c>
      <c r="I114">
        <v>25110</v>
      </c>
      <c r="J114">
        <v>2025</v>
      </c>
      <c r="K114">
        <v>36</v>
      </c>
      <c r="L114" t="s">
        <v>240</v>
      </c>
      <c r="N114" t="s">
        <v>259</v>
      </c>
      <c r="O114">
        <v>5</v>
      </c>
      <c r="P114">
        <v>12</v>
      </c>
      <c r="Q114">
        <v>30</v>
      </c>
      <c r="R114">
        <v>9.6999999999999993</v>
      </c>
      <c r="S114">
        <v>804</v>
      </c>
      <c r="T114">
        <f t="shared" si="7"/>
        <v>25110512</v>
      </c>
      <c r="U114">
        <v>1164.9743260590499</v>
      </c>
      <c r="V114" s="10">
        <v>45877</v>
      </c>
      <c r="W114" s="10">
        <v>45939</v>
      </c>
      <c r="Y114">
        <v>68</v>
      </c>
    </row>
    <row r="115" spans="1:25" x14ac:dyDescent="0.25">
      <c r="A115" t="s">
        <v>289</v>
      </c>
      <c r="B115" t="s">
        <v>209</v>
      </c>
      <c r="C115">
        <f t="shared" si="6"/>
        <v>604</v>
      </c>
      <c r="D115">
        <v>25110604</v>
      </c>
      <c r="E115">
        <v>7</v>
      </c>
      <c r="F115">
        <v>3</v>
      </c>
      <c r="G115" t="s">
        <v>127</v>
      </c>
      <c r="H115">
        <v>0</v>
      </c>
      <c r="I115">
        <v>25110</v>
      </c>
      <c r="J115">
        <v>2025</v>
      </c>
      <c r="K115">
        <v>45</v>
      </c>
      <c r="L115" t="s">
        <v>240</v>
      </c>
      <c r="N115" t="s">
        <v>253</v>
      </c>
      <c r="O115">
        <v>6</v>
      </c>
      <c r="P115">
        <v>4</v>
      </c>
      <c r="Q115">
        <v>53</v>
      </c>
      <c r="R115">
        <v>15.5</v>
      </c>
      <c r="S115">
        <v>165</v>
      </c>
      <c r="T115">
        <f t="shared" si="7"/>
        <v>25110604</v>
      </c>
      <c r="U115">
        <v>223.72432605905007</v>
      </c>
      <c r="V115" s="10">
        <v>45871</v>
      </c>
      <c r="W115" s="10">
        <v>45933</v>
      </c>
      <c r="Y115">
        <v>19</v>
      </c>
    </row>
    <row r="116" spans="1:25" x14ac:dyDescent="0.25">
      <c r="A116" s="1" t="s">
        <v>290</v>
      </c>
      <c r="B116" t="s">
        <v>209</v>
      </c>
      <c r="C116">
        <f t="shared" si="6"/>
        <v>605</v>
      </c>
      <c r="D116">
        <v>25110605</v>
      </c>
      <c r="E116">
        <v>11</v>
      </c>
      <c r="F116">
        <v>3</v>
      </c>
      <c r="G116" t="s">
        <v>127</v>
      </c>
      <c r="H116">
        <v>0</v>
      </c>
      <c r="I116">
        <v>25110</v>
      </c>
      <c r="J116">
        <v>2025</v>
      </c>
      <c r="K116">
        <v>44</v>
      </c>
      <c r="L116" t="s">
        <v>240</v>
      </c>
      <c r="N116" t="s">
        <v>261</v>
      </c>
      <c r="O116">
        <v>6</v>
      </c>
      <c r="P116">
        <v>5</v>
      </c>
      <c r="Q116">
        <v>65</v>
      </c>
      <c r="R116">
        <v>9.5</v>
      </c>
      <c r="S116">
        <v>296</v>
      </c>
      <c r="T116">
        <f t="shared" si="7"/>
        <v>25110605</v>
      </c>
      <c r="U116">
        <v>429.84595635430037</v>
      </c>
      <c r="V116" s="10">
        <v>45880</v>
      </c>
      <c r="Y116">
        <v>30</v>
      </c>
    </row>
    <row r="117" spans="1:25" x14ac:dyDescent="0.25">
      <c r="A117" t="s">
        <v>291</v>
      </c>
      <c r="B117" t="s">
        <v>209</v>
      </c>
      <c r="C117">
        <f t="shared" si="6"/>
        <v>606</v>
      </c>
      <c r="D117">
        <v>25110606</v>
      </c>
      <c r="E117">
        <v>9</v>
      </c>
      <c r="F117">
        <v>3</v>
      </c>
      <c r="G117" t="s">
        <v>127</v>
      </c>
      <c r="H117">
        <v>0</v>
      </c>
      <c r="I117">
        <v>25110</v>
      </c>
      <c r="J117">
        <v>2025</v>
      </c>
      <c r="K117">
        <v>43</v>
      </c>
      <c r="L117" t="s">
        <v>240</v>
      </c>
      <c r="N117" t="s">
        <v>257</v>
      </c>
      <c r="O117">
        <v>6</v>
      </c>
      <c r="P117">
        <v>6</v>
      </c>
      <c r="Q117">
        <v>31</v>
      </c>
      <c r="R117">
        <v>9.5</v>
      </c>
      <c r="S117">
        <v>1012</v>
      </c>
      <c r="T117">
        <f t="shared" si="7"/>
        <v>25110606</v>
      </c>
      <c r="U117">
        <v>1469.6084724005136</v>
      </c>
      <c r="V117" s="10">
        <v>45879</v>
      </c>
      <c r="W117" s="10">
        <v>45936</v>
      </c>
      <c r="Y117">
        <v>31</v>
      </c>
    </row>
    <row r="118" spans="1:25" x14ac:dyDescent="0.25">
      <c r="A118" t="s">
        <v>292</v>
      </c>
      <c r="B118" t="s">
        <v>209</v>
      </c>
      <c r="C118">
        <f t="shared" si="6"/>
        <v>607</v>
      </c>
      <c r="D118">
        <v>25110607</v>
      </c>
      <c r="E118">
        <v>6</v>
      </c>
      <c r="F118">
        <v>3</v>
      </c>
      <c r="G118" t="s">
        <v>127</v>
      </c>
      <c r="H118">
        <v>0</v>
      </c>
      <c r="I118">
        <v>25110</v>
      </c>
      <c r="J118">
        <v>2025</v>
      </c>
      <c r="K118">
        <v>42</v>
      </c>
      <c r="L118" t="s">
        <v>240</v>
      </c>
      <c r="N118" t="s">
        <v>251</v>
      </c>
      <c r="O118">
        <v>6</v>
      </c>
      <c r="P118">
        <v>7</v>
      </c>
      <c r="Q118">
        <v>53</v>
      </c>
      <c r="R118">
        <v>9.1999999999999993</v>
      </c>
      <c r="S118">
        <v>295</v>
      </c>
      <c r="T118">
        <f t="shared" si="7"/>
        <v>25110607</v>
      </c>
      <c r="U118">
        <v>429.81386392811288</v>
      </c>
      <c r="V118" s="10">
        <v>45871</v>
      </c>
      <c r="W118" s="10">
        <v>45927</v>
      </c>
      <c r="Y118">
        <v>42</v>
      </c>
    </row>
    <row r="119" spans="1:25" x14ac:dyDescent="0.25">
      <c r="A119" t="s">
        <v>293</v>
      </c>
      <c r="B119" t="s">
        <v>209</v>
      </c>
      <c r="C119">
        <f t="shared" si="6"/>
        <v>608</v>
      </c>
      <c r="D119">
        <v>25110608</v>
      </c>
      <c r="E119">
        <v>14</v>
      </c>
      <c r="F119">
        <v>3</v>
      </c>
      <c r="G119" t="s">
        <v>127</v>
      </c>
      <c r="H119">
        <v>0</v>
      </c>
      <c r="I119">
        <v>25110</v>
      </c>
      <c r="J119">
        <v>2025</v>
      </c>
      <c r="K119">
        <v>41</v>
      </c>
      <c r="L119" t="s">
        <v>240</v>
      </c>
      <c r="N119" t="s">
        <v>268</v>
      </c>
      <c r="O119">
        <v>6</v>
      </c>
      <c r="P119">
        <v>8</v>
      </c>
      <c r="Q119">
        <v>69</v>
      </c>
      <c r="R119">
        <v>11.3</v>
      </c>
      <c r="S119">
        <v>183</v>
      </c>
      <c r="T119">
        <f t="shared" si="7"/>
        <v>25110608</v>
      </c>
      <c r="U119">
        <v>260.46373555840825</v>
      </c>
      <c r="V119" s="10">
        <v>45879</v>
      </c>
      <c r="Y119">
        <v>43</v>
      </c>
    </row>
    <row r="120" spans="1:25" x14ac:dyDescent="0.25">
      <c r="A120" t="s">
        <v>294</v>
      </c>
      <c r="B120" t="s">
        <v>209</v>
      </c>
      <c r="C120">
        <f t="shared" si="6"/>
        <v>609</v>
      </c>
      <c r="D120">
        <v>25110609</v>
      </c>
      <c r="E120">
        <v>2</v>
      </c>
      <c r="F120">
        <v>3</v>
      </c>
      <c r="G120" t="s">
        <v>127</v>
      </c>
      <c r="H120">
        <v>0</v>
      </c>
      <c r="I120">
        <v>25110</v>
      </c>
      <c r="J120">
        <v>2025</v>
      </c>
      <c r="K120">
        <v>40</v>
      </c>
      <c r="L120" t="s">
        <v>240</v>
      </c>
      <c r="N120" t="s">
        <v>243</v>
      </c>
      <c r="O120">
        <v>6</v>
      </c>
      <c r="P120">
        <v>9</v>
      </c>
      <c r="Q120">
        <v>57</v>
      </c>
      <c r="R120">
        <v>8.5</v>
      </c>
      <c r="S120">
        <v>313</v>
      </c>
      <c r="T120">
        <f t="shared" si="7"/>
        <v>25110609</v>
      </c>
      <c r="U120">
        <v>459.55551989730429</v>
      </c>
      <c r="V120" s="10">
        <v>45871</v>
      </c>
      <c r="W120" s="10">
        <v>45933</v>
      </c>
      <c r="Y120">
        <v>54</v>
      </c>
    </row>
    <row r="121" spans="1:25" x14ac:dyDescent="0.25">
      <c r="A121" t="s">
        <v>295</v>
      </c>
      <c r="B121" t="s">
        <v>209</v>
      </c>
      <c r="C121">
        <f t="shared" si="6"/>
        <v>610</v>
      </c>
      <c r="D121">
        <v>25110610</v>
      </c>
      <c r="E121">
        <v>3</v>
      </c>
      <c r="F121">
        <v>3</v>
      </c>
      <c r="G121" t="s">
        <v>127</v>
      </c>
      <c r="H121">
        <v>0</v>
      </c>
      <c r="I121">
        <v>25110</v>
      </c>
      <c r="J121">
        <v>2025</v>
      </c>
      <c r="K121">
        <v>39</v>
      </c>
      <c r="L121" t="s">
        <v>240</v>
      </c>
      <c r="N121" t="s">
        <v>245</v>
      </c>
      <c r="O121">
        <v>6</v>
      </c>
      <c r="P121">
        <v>10</v>
      </c>
      <c r="Q121">
        <v>51</v>
      </c>
      <c r="R121">
        <v>9.8000000000000007</v>
      </c>
      <c r="S121">
        <v>298</v>
      </c>
      <c r="T121">
        <f t="shared" si="7"/>
        <v>25110610</v>
      </c>
      <c r="U121">
        <v>431.31578947368428</v>
      </c>
      <c r="V121" s="10">
        <v>45871</v>
      </c>
      <c r="W121" s="10">
        <v>45933</v>
      </c>
      <c r="Y121">
        <v>55</v>
      </c>
    </row>
    <row r="122" spans="1:25" x14ac:dyDescent="0.25">
      <c r="A122" t="s">
        <v>296</v>
      </c>
      <c r="B122" t="s">
        <v>209</v>
      </c>
      <c r="C122">
        <f t="shared" si="6"/>
        <v>611</v>
      </c>
      <c r="D122">
        <v>25110611</v>
      </c>
      <c r="E122">
        <v>12</v>
      </c>
      <c r="F122">
        <v>3</v>
      </c>
      <c r="G122" t="s">
        <v>127</v>
      </c>
      <c r="H122">
        <v>0</v>
      </c>
      <c r="I122">
        <v>25110</v>
      </c>
      <c r="J122">
        <v>2025</v>
      </c>
      <c r="K122">
        <v>38</v>
      </c>
      <c r="L122" t="s">
        <v>240</v>
      </c>
      <c r="N122" t="s">
        <v>263</v>
      </c>
      <c r="O122">
        <v>6</v>
      </c>
      <c r="P122">
        <v>11</v>
      </c>
      <c r="T122">
        <f t="shared" si="7"/>
        <v>25110611</v>
      </c>
      <c r="V122" s="10">
        <v>45880</v>
      </c>
      <c r="W122" s="10">
        <v>45937</v>
      </c>
      <c r="Y122">
        <v>66</v>
      </c>
    </row>
    <row r="123" spans="1:25" x14ac:dyDescent="0.25">
      <c r="A123" t="s">
        <v>297</v>
      </c>
      <c r="B123" t="s">
        <v>209</v>
      </c>
      <c r="C123">
        <f t="shared" si="6"/>
        <v>612</v>
      </c>
      <c r="D123">
        <v>25110612</v>
      </c>
      <c r="E123">
        <v>15</v>
      </c>
      <c r="F123">
        <v>3</v>
      </c>
      <c r="G123" t="s">
        <v>127</v>
      </c>
      <c r="H123">
        <v>1</v>
      </c>
      <c r="I123">
        <v>25110</v>
      </c>
      <c r="J123">
        <v>2025</v>
      </c>
      <c r="K123">
        <v>37</v>
      </c>
      <c r="M123" t="s">
        <v>187</v>
      </c>
      <c r="N123" t="s">
        <v>190</v>
      </c>
      <c r="O123">
        <v>6</v>
      </c>
      <c r="P123">
        <v>12</v>
      </c>
      <c r="Q123">
        <v>58</v>
      </c>
      <c r="R123">
        <v>15.3</v>
      </c>
      <c r="S123">
        <v>885</v>
      </c>
      <c r="T123">
        <f t="shared" si="7"/>
        <v>25110612</v>
      </c>
      <c r="U123">
        <v>1202.8161103979462</v>
      </c>
      <c r="V123" s="10">
        <v>45870</v>
      </c>
      <c r="W123" s="10">
        <v>45924</v>
      </c>
      <c r="Y123">
        <v>67</v>
      </c>
    </row>
    <row r="124" spans="1:25" x14ac:dyDescent="0.25">
      <c r="A124" t="s">
        <v>298</v>
      </c>
      <c r="B124" t="s">
        <v>299</v>
      </c>
      <c r="C124">
        <f t="shared" si="6"/>
        <v>101</v>
      </c>
      <c r="D124">
        <v>25111101</v>
      </c>
      <c r="E124">
        <v>1</v>
      </c>
      <c r="F124">
        <v>1</v>
      </c>
      <c r="G124" t="s">
        <v>127</v>
      </c>
      <c r="H124">
        <v>1</v>
      </c>
      <c r="I124">
        <v>25111</v>
      </c>
      <c r="J124">
        <v>2025</v>
      </c>
      <c r="K124">
        <v>1</v>
      </c>
      <c r="L124" t="s">
        <v>223</v>
      </c>
      <c r="M124" t="s">
        <v>134</v>
      </c>
      <c r="N124" t="s">
        <v>224</v>
      </c>
      <c r="O124">
        <v>1</v>
      </c>
      <c r="P124">
        <v>1</v>
      </c>
      <c r="Q124">
        <v>33</v>
      </c>
      <c r="R124">
        <v>13.4</v>
      </c>
      <c r="S124">
        <v>1952</v>
      </c>
      <c r="T124">
        <f t="shared" si="7"/>
        <v>25111101</v>
      </c>
      <c r="U124">
        <v>2712.5032092426181</v>
      </c>
      <c r="V124" s="10">
        <v>45869</v>
      </c>
      <c r="W124" s="10">
        <v>45916</v>
      </c>
      <c r="Y124">
        <v>1</v>
      </c>
    </row>
    <row r="125" spans="1:25" x14ac:dyDescent="0.25">
      <c r="A125" t="s">
        <v>300</v>
      </c>
      <c r="B125" t="s">
        <v>299</v>
      </c>
      <c r="C125">
        <f t="shared" si="6"/>
        <v>102</v>
      </c>
      <c r="D125">
        <v>25111102</v>
      </c>
      <c r="E125">
        <v>2</v>
      </c>
      <c r="F125">
        <v>1</v>
      </c>
      <c r="G125" t="s">
        <v>127</v>
      </c>
      <c r="H125">
        <v>2</v>
      </c>
      <c r="I125">
        <v>25111</v>
      </c>
      <c r="J125">
        <v>2025</v>
      </c>
      <c r="K125">
        <v>2</v>
      </c>
      <c r="N125" t="s">
        <v>220</v>
      </c>
      <c r="O125">
        <v>1</v>
      </c>
      <c r="P125">
        <v>2</v>
      </c>
      <c r="Q125">
        <v>29</v>
      </c>
      <c r="R125">
        <v>16.899999999999999</v>
      </c>
      <c r="S125">
        <v>1973</v>
      </c>
      <c r="T125">
        <f t="shared" si="7"/>
        <v>25111102</v>
      </c>
      <c r="U125">
        <v>2630.8777278562261</v>
      </c>
      <c r="V125" s="10">
        <v>45866</v>
      </c>
      <c r="W125" s="10">
        <v>45916</v>
      </c>
      <c r="Y125">
        <v>18</v>
      </c>
    </row>
    <row r="126" spans="1:25" x14ac:dyDescent="0.25">
      <c r="A126" t="s">
        <v>301</v>
      </c>
      <c r="B126" t="s">
        <v>299</v>
      </c>
      <c r="C126">
        <f t="shared" si="6"/>
        <v>103</v>
      </c>
      <c r="D126">
        <v>25111103</v>
      </c>
      <c r="E126">
        <v>3</v>
      </c>
      <c r="F126">
        <v>1</v>
      </c>
      <c r="G126" t="s">
        <v>127</v>
      </c>
      <c r="H126">
        <v>3</v>
      </c>
      <c r="I126">
        <v>25111</v>
      </c>
      <c r="J126">
        <v>2025</v>
      </c>
      <c r="K126">
        <v>3</v>
      </c>
      <c r="N126" t="s">
        <v>302</v>
      </c>
      <c r="O126">
        <v>1</v>
      </c>
      <c r="P126">
        <v>3</v>
      </c>
      <c r="Q126">
        <v>14.7</v>
      </c>
      <c r="R126">
        <v>16.8</v>
      </c>
      <c r="S126">
        <v>1878</v>
      </c>
      <c r="T126">
        <f t="shared" si="7"/>
        <v>25111103</v>
      </c>
      <c r="U126">
        <v>2507.2143774069318</v>
      </c>
      <c r="V126" s="10">
        <v>45869</v>
      </c>
      <c r="W126" s="10">
        <v>45924</v>
      </c>
      <c r="Y126">
        <v>19</v>
      </c>
    </row>
    <row r="127" spans="1:25" x14ac:dyDescent="0.25">
      <c r="A127" t="s">
        <v>303</v>
      </c>
      <c r="B127" t="s">
        <v>299</v>
      </c>
      <c r="C127">
        <f t="shared" si="6"/>
        <v>104</v>
      </c>
      <c r="D127">
        <v>25111104</v>
      </c>
      <c r="E127">
        <v>4</v>
      </c>
      <c r="F127">
        <v>1</v>
      </c>
      <c r="G127" t="s">
        <v>127</v>
      </c>
      <c r="H127">
        <v>4</v>
      </c>
      <c r="I127">
        <v>25111</v>
      </c>
      <c r="J127">
        <v>2025</v>
      </c>
      <c r="K127">
        <v>4</v>
      </c>
      <c r="L127" t="s">
        <v>133</v>
      </c>
      <c r="M127" t="s">
        <v>134</v>
      </c>
      <c r="N127" t="s">
        <v>135</v>
      </c>
      <c r="O127">
        <v>1</v>
      </c>
      <c r="P127">
        <v>4</v>
      </c>
      <c r="Q127">
        <v>28</v>
      </c>
      <c r="R127">
        <v>17.2</v>
      </c>
      <c r="S127">
        <v>1452</v>
      </c>
      <c r="T127">
        <f t="shared" si="7"/>
        <v>25111104</v>
      </c>
      <c r="U127">
        <v>1929.165596919127</v>
      </c>
      <c r="V127" s="10">
        <v>45873</v>
      </c>
      <c r="W127" s="10">
        <v>45924</v>
      </c>
      <c r="Y127">
        <v>36</v>
      </c>
    </row>
    <row r="128" spans="1:25" x14ac:dyDescent="0.25">
      <c r="A128" t="s">
        <v>304</v>
      </c>
      <c r="B128" t="s">
        <v>299</v>
      </c>
      <c r="C128">
        <f t="shared" si="6"/>
        <v>105</v>
      </c>
      <c r="D128">
        <v>25111105</v>
      </c>
      <c r="E128">
        <v>5</v>
      </c>
      <c r="F128">
        <v>1</v>
      </c>
      <c r="G128" t="s">
        <v>127</v>
      </c>
      <c r="H128">
        <v>0</v>
      </c>
      <c r="I128">
        <v>25111</v>
      </c>
      <c r="J128">
        <v>2025</v>
      </c>
      <c r="K128">
        <v>5</v>
      </c>
      <c r="L128" t="s">
        <v>305</v>
      </c>
      <c r="M128">
        <v>1</v>
      </c>
      <c r="N128" t="s">
        <v>306</v>
      </c>
      <c r="O128">
        <v>1</v>
      </c>
      <c r="P128">
        <v>5</v>
      </c>
      <c r="Q128">
        <v>28</v>
      </c>
      <c r="R128">
        <v>17.100000000000001</v>
      </c>
      <c r="S128">
        <v>1934</v>
      </c>
      <c r="T128">
        <f t="shared" si="7"/>
        <v>25111105</v>
      </c>
      <c r="U128">
        <v>2572.6668806161747</v>
      </c>
      <c r="V128" s="10">
        <v>45872</v>
      </c>
      <c r="W128" s="10">
        <v>45924</v>
      </c>
      <c r="Y128">
        <v>37</v>
      </c>
    </row>
    <row r="129" spans="1:25" x14ac:dyDescent="0.25">
      <c r="A129" t="s">
        <v>307</v>
      </c>
      <c r="B129" t="s">
        <v>299</v>
      </c>
      <c r="C129">
        <f t="shared" si="6"/>
        <v>106</v>
      </c>
      <c r="D129">
        <v>25111106</v>
      </c>
      <c r="E129">
        <v>6</v>
      </c>
      <c r="F129">
        <v>1</v>
      </c>
      <c r="G129" t="s">
        <v>127</v>
      </c>
      <c r="H129">
        <v>0</v>
      </c>
      <c r="I129">
        <v>25111</v>
      </c>
      <c r="J129">
        <v>2025</v>
      </c>
      <c r="K129">
        <v>6</v>
      </c>
      <c r="L129" t="s">
        <v>305</v>
      </c>
      <c r="M129">
        <v>1</v>
      </c>
      <c r="N129" t="s">
        <v>308</v>
      </c>
      <c r="O129">
        <v>1</v>
      </c>
      <c r="P129">
        <v>6</v>
      </c>
      <c r="Q129">
        <v>28</v>
      </c>
      <c r="R129">
        <v>18.399999999999999</v>
      </c>
      <c r="S129">
        <v>1221</v>
      </c>
      <c r="T129">
        <f t="shared" si="7"/>
        <v>25111106</v>
      </c>
      <c r="U129">
        <v>1598.7419768934531</v>
      </c>
      <c r="V129" s="10">
        <v>45870</v>
      </c>
      <c r="W129" s="10">
        <v>45922</v>
      </c>
      <c r="Y129">
        <v>54</v>
      </c>
    </row>
    <row r="130" spans="1:25" x14ac:dyDescent="0.25">
      <c r="A130" t="s">
        <v>309</v>
      </c>
      <c r="B130" t="s">
        <v>299</v>
      </c>
      <c r="C130">
        <f t="shared" ref="C130:C161" si="8">O130*100+P130</f>
        <v>107</v>
      </c>
      <c r="D130">
        <v>25111107</v>
      </c>
      <c r="E130">
        <v>7</v>
      </c>
      <c r="F130">
        <v>1</v>
      </c>
      <c r="G130" t="s">
        <v>127</v>
      </c>
      <c r="H130">
        <v>0</v>
      </c>
      <c r="I130">
        <v>25111</v>
      </c>
      <c r="J130">
        <v>2025</v>
      </c>
      <c r="K130">
        <v>7</v>
      </c>
      <c r="L130" t="s">
        <v>305</v>
      </c>
      <c r="M130">
        <v>1</v>
      </c>
      <c r="N130" t="s">
        <v>310</v>
      </c>
      <c r="O130">
        <v>1</v>
      </c>
      <c r="P130">
        <v>7</v>
      </c>
      <c r="Q130">
        <v>27</v>
      </c>
      <c r="R130">
        <v>17.8</v>
      </c>
      <c r="S130">
        <v>834</v>
      </c>
      <c r="T130">
        <f t="shared" ref="T130:T161" si="9">I130*1000+C130</f>
        <v>25111107</v>
      </c>
      <c r="U130">
        <v>1100.0449293966624</v>
      </c>
      <c r="V130" s="10">
        <v>45866</v>
      </c>
      <c r="W130" s="10">
        <v>45916</v>
      </c>
      <c r="Y130">
        <v>55</v>
      </c>
    </row>
    <row r="131" spans="1:25" x14ac:dyDescent="0.25">
      <c r="A131" t="s">
        <v>311</v>
      </c>
      <c r="B131" t="s">
        <v>299</v>
      </c>
      <c r="C131">
        <f t="shared" si="8"/>
        <v>108</v>
      </c>
      <c r="D131">
        <v>25111108</v>
      </c>
      <c r="E131">
        <v>8</v>
      </c>
      <c r="F131">
        <v>1</v>
      </c>
      <c r="G131" t="s">
        <v>127</v>
      </c>
      <c r="H131">
        <v>0</v>
      </c>
      <c r="I131">
        <v>25111</v>
      </c>
      <c r="J131">
        <v>2025</v>
      </c>
      <c r="K131">
        <v>8</v>
      </c>
      <c r="L131" t="s">
        <v>305</v>
      </c>
      <c r="M131">
        <v>1</v>
      </c>
      <c r="N131" t="s">
        <v>312</v>
      </c>
      <c r="O131">
        <v>1</v>
      </c>
      <c r="P131">
        <v>8</v>
      </c>
      <c r="Q131">
        <v>28</v>
      </c>
      <c r="R131">
        <v>17.5</v>
      </c>
      <c r="S131">
        <v>1323</v>
      </c>
      <c r="T131">
        <f t="shared" si="9"/>
        <v>25111108</v>
      </c>
      <c r="U131">
        <v>1751.4040436456994</v>
      </c>
      <c r="V131" s="10">
        <v>45866</v>
      </c>
      <c r="W131" s="10">
        <v>45916</v>
      </c>
      <c r="Y131">
        <v>72</v>
      </c>
    </row>
    <row r="132" spans="1:25" x14ac:dyDescent="0.25">
      <c r="A132" t="s">
        <v>313</v>
      </c>
      <c r="B132" t="s">
        <v>299</v>
      </c>
      <c r="C132">
        <f t="shared" si="8"/>
        <v>109</v>
      </c>
      <c r="D132">
        <v>25111109</v>
      </c>
      <c r="E132">
        <v>9</v>
      </c>
      <c r="F132">
        <v>1</v>
      </c>
      <c r="G132" t="s">
        <v>127</v>
      </c>
      <c r="H132">
        <v>0</v>
      </c>
      <c r="I132">
        <v>25111</v>
      </c>
      <c r="J132">
        <v>2025</v>
      </c>
      <c r="K132">
        <v>9</v>
      </c>
      <c r="L132" t="s">
        <v>305</v>
      </c>
      <c r="M132">
        <v>1</v>
      </c>
      <c r="N132" t="s">
        <v>314</v>
      </c>
      <c r="O132">
        <v>1</v>
      </c>
      <c r="P132">
        <v>9</v>
      </c>
      <c r="Q132">
        <v>32</v>
      </c>
      <c r="R132">
        <v>18.7</v>
      </c>
      <c r="S132">
        <v>2174</v>
      </c>
      <c r="T132">
        <f t="shared" si="9"/>
        <v>25111109</v>
      </c>
      <c r="U132">
        <v>2836.1071887034655</v>
      </c>
      <c r="V132" s="10">
        <v>45871</v>
      </c>
      <c r="W132" s="10">
        <v>45924</v>
      </c>
      <c r="Y132">
        <v>73</v>
      </c>
    </row>
    <row r="133" spans="1:25" x14ac:dyDescent="0.25">
      <c r="A133" t="s">
        <v>315</v>
      </c>
      <c r="B133" t="s">
        <v>299</v>
      </c>
      <c r="C133">
        <f t="shared" si="8"/>
        <v>110</v>
      </c>
      <c r="D133">
        <v>25111110</v>
      </c>
      <c r="E133">
        <v>10</v>
      </c>
      <c r="F133">
        <v>1</v>
      </c>
      <c r="G133" t="s">
        <v>127</v>
      </c>
      <c r="H133">
        <v>0</v>
      </c>
      <c r="I133">
        <v>25111</v>
      </c>
      <c r="J133">
        <v>2025</v>
      </c>
      <c r="K133">
        <v>10</v>
      </c>
      <c r="L133" t="s">
        <v>316</v>
      </c>
      <c r="M133">
        <v>1</v>
      </c>
      <c r="N133" t="s">
        <v>317</v>
      </c>
      <c r="O133">
        <v>1</v>
      </c>
      <c r="P133">
        <v>10</v>
      </c>
      <c r="Q133">
        <v>31</v>
      </c>
      <c r="R133">
        <v>13.1</v>
      </c>
      <c r="S133">
        <v>1356</v>
      </c>
      <c r="T133">
        <f t="shared" si="9"/>
        <v>25111110</v>
      </c>
      <c r="U133">
        <v>1890.8279845956356</v>
      </c>
      <c r="V133" s="10">
        <v>45873</v>
      </c>
      <c r="W133" s="10">
        <v>45924</v>
      </c>
      <c r="Y133">
        <v>90</v>
      </c>
    </row>
    <row r="134" spans="1:25" x14ac:dyDescent="0.25">
      <c r="A134">
        <v>1098437351</v>
      </c>
      <c r="B134" t="s">
        <v>299</v>
      </c>
      <c r="C134">
        <f t="shared" si="8"/>
        <v>201</v>
      </c>
      <c r="D134">
        <v>25111201</v>
      </c>
      <c r="E134">
        <v>14</v>
      </c>
      <c r="F134">
        <v>2</v>
      </c>
      <c r="G134" t="s">
        <v>127</v>
      </c>
      <c r="H134">
        <v>0</v>
      </c>
      <c r="I134">
        <v>25111</v>
      </c>
      <c r="J134">
        <v>2025</v>
      </c>
      <c r="K134">
        <v>20</v>
      </c>
      <c r="L134" t="s">
        <v>316</v>
      </c>
      <c r="M134">
        <v>1</v>
      </c>
      <c r="N134" t="s">
        <v>318</v>
      </c>
      <c r="O134">
        <v>2</v>
      </c>
      <c r="P134">
        <v>1</v>
      </c>
      <c r="Q134">
        <v>31</v>
      </c>
      <c r="R134">
        <v>13</v>
      </c>
      <c r="S134">
        <v>2058</v>
      </c>
      <c r="T134">
        <f t="shared" si="9"/>
        <v>25111201</v>
      </c>
      <c r="U134">
        <v>2873.0102695763803</v>
      </c>
      <c r="V134" s="10">
        <v>45873</v>
      </c>
      <c r="W134" s="10">
        <v>45917</v>
      </c>
      <c r="Y134">
        <v>2</v>
      </c>
    </row>
    <row r="135" spans="1:25" x14ac:dyDescent="0.25">
      <c r="A135" t="s">
        <v>319</v>
      </c>
      <c r="B135" t="s">
        <v>299</v>
      </c>
      <c r="C135">
        <f t="shared" si="8"/>
        <v>202</v>
      </c>
      <c r="D135">
        <v>25111202</v>
      </c>
      <c r="E135">
        <v>5</v>
      </c>
      <c r="F135">
        <v>2</v>
      </c>
      <c r="G135" t="s">
        <v>127</v>
      </c>
      <c r="H135">
        <v>0</v>
      </c>
      <c r="I135">
        <v>25111</v>
      </c>
      <c r="J135">
        <v>2025</v>
      </c>
      <c r="K135">
        <v>19</v>
      </c>
      <c r="L135" t="s">
        <v>305</v>
      </c>
      <c r="M135">
        <v>1</v>
      </c>
      <c r="N135" t="s">
        <v>306</v>
      </c>
      <c r="O135">
        <v>2</v>
      </c>
      <c r="P135">
        <v>2</v>
      </c>
      <c r="Q135">
        <v>27</v>
      </c>
      <c r="R135">
        <v>16.7</v>
      </c>
      <c r="S135">
        <v>1687</v>
      </c>
      <c r="T135">
        <f t="shared" si="9"/>
        <v>25111202</v>
      </c>
      <c r="U135">
        <v>2254.9277920410782</v>
      </c>
      <c r="V135" s="10">
        <v>45875</v>
      </c>
      <c r="W135" s="10">
        <v>45919</v>
      </c>
      <c r="Y135">
        <v>17</v>
      </c>
    </row>
    <row r="136" spans="1:25" x14ac:dyDescent="0.25">
      <c r="A136" s="1" t="s">
        <v>320</v>
      </c>
      <c r="B136" t="s">
        <v>299</v>
      </c>
      <c r="C136">
        <f t="shared" si="8"/>
        <v>203</v>
      </c>
      <c r="D136">
        <v>25111203</v>
      </c>
      <c r="E136">
        <v>7</v>
      </c>
      <c r="F136">
        <v>2</v>
      </c>
      <c r="G136" t="s">
        <v>127</v>
      </c>
      <c r="H136">
        <v>0</v>
      </c>
      <c r="I136">
        <v>25111</v>
      </c>
      <c r="J136">
        <v>2025</v>
      </c>
      <c r="K136">
        <v>18</v>
      </c>
      <c r="L136" t="s">
        <v>305</v>
      </c>
      <c r="M136">
        <v>1</v>
      </c>
      <c r="N136" t="s">
        <v>310</v>
      </c>
      <c r="O136">
        <v>2</v>
      </c>
      <c r="P136">
        <v>3</v>
      </c>
      <c r="Q136">
        <v>29</v>
      </c>
      <c r="R136">
        <v>16.899999999999999</v>
      </c>
      <c r="S136">
        <v>1217</v>
      </c>
      <c r="T136">
        <f t="shared" si="9"/>
        <v>25111203</v>
      </c>
      <c r="U136">
        <v>1622.7968549422335</v>
      </c>
      <c r="V136" s="10">
        <v>45871</v>
      </c>
      <c r="W136" s="10">
        <v>45916</v>
      </c>
      <c r="Y136">
        <v>20</v>
      </c>
    </row>
    <row r="137" spans="1:25" x14ac:dyDescent="0.25">
      <c r="A137" t="s">
        <v>321</v>
      </c>
      <c r="B137" t="s">
        <v>299</v>
      </c>
      <c r="C137">
        <f t="shared" si="8"/>
        <v>204</v>
      </c>
      <c r="D137">
        <v>25111204</v>
      </c>
      <c r="E137">
        <v>9</v>
      </c>
      <c r="F137">
        <v>2</v>
      </c>
      <c r="G137" t="s">
        <v>127</v>
      </c>
      <c r="H137">
        <v>0</v>
      </c>
      <c r="I137">
        <v>25111</v>
      </c>
      <c r="J137">
        <v>2025</v>
      </c>
      <c r="K137">
        <v>17</v>
      </c>
      <c r="L137" t="s">
        <v>305</v>
      </c>
      <c r="M137">
        <v>1</v>
      </c>
      <c r="N137" t="s">
        <v>314</v>
      </c>
      <c r="O137">
        <v>2</v>
      </c>
      <c r="P137">
        <v>4</v>
      </c>
      <c r="Q137">
        <v>32</v>
      </c>
      <c r="R137">
        <v>19.5</v>
      </c>
      <c r="S137">
        <v>2055</v>
      </c>
      <c r="T137">
        <f t="shared" si="9"/>
        <v>25111204</v>
      </c>
      <c r="U137">
        <v>2654.4849165596916</v>
      </c>
      <c r="V137" s="10">
        <v>45874</v>
      </c>
      <c r="W137" s="10">
        <v>45919</v>
      </c>
      <c r="Y137">
        <v>35</v>
      </c>
    </row>
    <row r="138" spans="1:25" x14ac:dyDescent="0.25">
      <c r="A138" t="s">
        <v>322</v>
      </c>
      <c r="B138" t="s">
        <v>299</v>
      </c>
      <c r="C138">
        <f t="shared" si="8"/>
        <v>205</v>
      </c>
      <c r="D138">
        <v>25111205</v>
      </c>
      <c r="E138">
        <v>3</v>
      </c>
      <c r="F138">
        <v>2</v>
      </c>
      <c r="G138" t="s">
        <v>127</v>
      </c>
      <c r="H138">
        <v>3</v>
      </c>
      <c r="I138">
        <v>25111</v>
      </c>
      <c r="J138">
        <v>2025</v>
      </c>
      <c r="K138">
        <v>16</v>
      </c>
      <c r="N138" t="s">
        <v>302</v>
      </c>
      <c r="O138">
        <v>2</v>
      </c>
      <c r="P138">
        <v>5</v>
      </c>
      <c r="Q138">
        <v>30</v>
      </c>
      <c r="R138">
        <v>16.5</v>
      </c>
      <c r="S138">
        <v>2088</v>
      </c>
      <c r="T138">
        <f t="shared" si="9"/>
        <v>25111205</v>
      </c>
      <c r="U138">
        <v>2797.6251604621311</v>
      </c>
      <c r="V138" s="10">
        <v>45874</v>
      </c>
      <c r="W138" s="10">
        <v>45922</v>
      </c>
      <c r="Y138">
        <v>38</v>
      </c>
    </row>
    <row r="139" spans="1:25" x14ac:dyDescent="0.25">
      <c r="A139" t="s">
        <v>323</v>
      </c>
      <c r="B139" t="s">
        <v>299</v>
      </c>
      <c r="C139">
        <f t="shared" si="8"/>
        <v>206</v>
      </c>
      <c r="D139">
        <v>25111206</v>
      </c>
      <c r="E139">
        <v>13</v>
      </c>
      <c r="F139">
        <v>2</v>
      </c>
      <c r="G139" t="s">
        <v>127</v>
      </c>
      <c r="H139">
        <v>0</v>
      </c>
      <c r="I139">
        <v>25111</v>
      </c>
      <c r="J139">
        <v>2025</v>
      </c>
      <c r="K139">
        <v>15</v>
      </c>
      <c r="L139" t="s">
        <v>316</v>
      </c>
      <c r="M139">
        <v>1</v>
      </c>
      <c r="N139" t="s">
        <v>324</v>
      </c>
      <c r="O139">
        <v>2</v>
      </c>
      <c r="P139">
        <v>6</v>
      </c>
      <c r="Q139">
        <v>29</v>
      </c>
      <c r="R139">
        <v>14.2</v>
      </c>
      <c r="S139">
        <v>961</v>
      </c>
      <c r="T139">
        <f t="shared" si="9"/>
        <v>25111206</v>
      </c>
      <c r="U139">
        <v>1323.0712451861359</v>
      </c>
      <c r="V139" s="10">
        <v>45871</v>
      </c>
      <c r="W139" s="10">
        <v>45919</v>
      </c>
      <c r="Y139">
        <v>53</v>
      </c>
    </row>
    <row r="140" spans="1:25" x14ac:dyDescent="0.25">
      <c r="A140" t="s">
        <v>325</v>
      </c>
      <c r="B140" t="s">
        <v>299</v>
      </c>
      <c r="C140">
        <f t="shared" si="8"/>
        <v>207</v>
      </c>
      <c r="D140">
        <v>25111207</v>
      </c>
      <c r="E140">
        <v>14</v>
      </c>
      <c r="F140">
        <v>1</v>
      </c>
      <c r="G140" t="s">
        <v>127</v>
      </c>
      <c r="H140">
        <v>0</v>
      </c>
      <c r="I140">
        <v>25111</v>
      </c>
      <c r="J140">
        <v>2025</v>
      </c>
      <c r="K140">
        <v>14</v>
      </c>
      <c r="L140" t="s">
        <v>316</v>
      </c>
      <c r="M140">
        <v>1</v>
      </c>
      <c r="N140" t="s">
        <v>318</v>
      </c>
      <c r="O140">
        <v>2</v>
      </c>
      <c r="P140">
        <v>7</v>
      </c>
      <c r="Q140">
        <v>28</v>
      </c>
      <c r="R140">
        <v>15.9</v>
      </c>
      <c r="S140">
        <v>1624</v>
      </c>
      <c r="T140">
        <f t="shared" si="9"/>
        <v>25111207</v>
      </c>
      <c r="U140">
        <v>2191.5661103979464</v>
      </c>
      <c r="V140" s="10">
        <v>45874</v>
      </c>
      <c r="W140" s="10">
        <v>45924</v>
      </c>
      <c r="Y140">
        <v>56</v>
      </c>
    </row>
    <row r="141" spans="1:25" x14ac:dyDescent="0.25">
      <c r="A141" t="s">
        <v>326</v>
      </c>
      <c r="B141" t="s">
        <v>299</v>
      </c>
      <c r="C141">
        <f t="shared" si="8"/>
        <v>208</v>
      </c>
      <c r="D141">
        <v>25111208</v>
      </c>
      <c r="E141">
        <v>13</v>
      </c>
      <c r="F141">
        <v>1</v>
      </c>
      <c r="G141" t="s">
        <v>127</v>
      </c>
      <c r="H141">
        <v>0</v>
      </c>
      <c r="I141">
        <v>25111</v>
      </c>
      <c r="J141">
        <v>2025</v>
      </c>
      <c r="K141">
        <v>13</v>
      </c>
      <c r="L141" t="s">
        <v>316</v>
      </c>
      <c r="M141">
        <v>1</v>
      </c>
      <c r="N141" t="s">
        <v>324</v>
      </c>
      <c r="O141">
        <v>2</v>
      </c>
      <c r="P141">
        <v>8</v>
      </c>
      <c r="Q141">
        <v>30</v>
      </c>
      <c r="R141">
        <v>17.3</v>
      </c>
      <c r="S141">
        <v>2099</v>
      </c>
      <c r="T141">
        <f t="shared" si="9"/>
        <v>25111208</v>
      </c>
      <c r="U141">
        <v>2785.418806161746</v>
      </c>
      <c r="V141" s="10">
        <v>45873</v>
      </c>
      <c r="W141" s="10">
        <v>45924</v>
      </c>
      <c r="Y141">
        <v>71</v>
      </c>
    </row>
    <row r="142" spans="1:25" x14ac:dyDescent="0.25">
      <c r="A142" t="s">
        <v>327</v>
      </c>
      <c r="B142" t="s">
        <v>299</v>
      </c>
      <c r="C142">
        <f t="shared" si="8"/>
        <v>209</v>
      </c>
      <c r="D142">
        <v>25111209</v>
      </c>
      <c r="E142">
        <v>12</v>
      </c>
      <c r="F142">
        <v>1</v>
      </c>
      <c r="G142" t="s">
        <v>127</v>
      </c>
      <c r="H142">
        <v>0</v>
      </c>
      <c r="I142">
        <v>25111</v>
      </c>
      <c r="J142">
        <v>2025</v>
      </c>
      <c r="K142">
        <v>12</v>
      </c>
      <c r="L142" t="s">
        <v>316</v>
      </c>
      <c r="M142">
        <v>1</v>
      </c>
      <c r="N142" t="s">
        <v>328</v>
      </c>
      <c r="O142">
        <v>2</v>
      </c>
      <c r="P142">
        <v>9</v>
      </c>
      <c r="Q142">
        <v>30</v>
      </c>
      <c r="R142">
        <v>15.4</v>
      </c>
      <c r="S142">
        <v>1789</v>
      </c>
      <c r="T142">
        <f t="shared" si="9"/>
        <v>25111209</v>
      </c>
      <c r="U142">
        <v>2428.5847240051348</v>
      </c>
      <c r="V142" s="10">
        <v>45873</v>
      </c>
      <c r="W142" s="10">
        <v>45918</v>
      </c>
      <c r="Y142">
        <v>74</v>
      </c>
    </row>
    <row r="143" spans="1:25" x14ac:dyDescent="0.25">
      <c r="A143" t="s">
        <v>329</v>
      </c>
      <c r="B143" t="s">
        <v>299</v>
      </c>
      <c r="C143">
        <f t="shared" si="8"/>
        <v>210</v>
      </c>
      <c r="D143">
        <v>25111210</v>
      </c>
      <c r="E143">
        <v>11</v>
      </c>
      <c r="F143">
        <v>1</v>
      </c>
      <c r="G143" t="s">
        <v>127</v>
      </c>
      <c r="H143">
        <v>0</v>
      </c>
      <c r="I143">
        <v>25111</v>
      </c>
      <c r="J143">
        <v>2025</v>
      </c>
      <c r="K143">
        <v>11</v>
      </c>
      <c r="L143" t="s">
        <v>316</v>
      </c>
      <c r="M143">
        <v>1</v>
      </c>
      <c r="N143" t="s">
        <v>330</v>
      </c>
      <c r="O143">
        <v>2</v>
      </c>
      <c r="P143">
        <v>10</v>
      </c>
      <c r="Q143">
        <v>29</v>
      </c>
      <c r="R143">
        <v>12.5</v>
      </c>
      <c r="S143">
        <v>1520</v>
      </c>
      <c r="T143">
        <f t="shared" si="9"/>
        <v>25111210</v>
      </c>
      <c r="U143">
        <v>2134.146341463415</v>
      </c>
      <c r="V143" s="10">
        <v>45873</v>
      </c>
      <c r="W143" s="10">
        <v>45922</v>
      </c>
      <c r="Y143">
        <v>89</v>
      </c>
    </row>
    <row r="144" spans="1:25" x14ac:dyDescent="0.25">
      <c r="A144" t="s">
        <v>331</v>
      </c>
      <c r="B144" t="s">
        <v>299</v>
      </c>
      <c r="C144">
        <f t="shared" si="8"/>
        <v>301</v>
      </c>
      <c r="D144">
        <v>25111301</v>
      </c>
      <c r="E144">
        <v>4</v>
      </c>
      <c r="F144">
        <v>2</v>
      </c>
      <c r="G144" t="s">
        <v>127</v>
      </c>
      <c r="H144">
        <v>4</v>
      </c>
      <c r="I144">
        <v>25111</v>
      </c>
      <c r="J144">
        <v>2025</v>
      </c>
      <c r="K144">
        <v>21</v>
      </c>
      <c r="L144" t="s">
        <v>133</v>
      </c>
      <c r="M144" t="s">
        <v>134</v>
      </c>
      <c r="N144" t="s">
        <v>135</v>
      </c>
      <c r="O144">
        <v>3</v>
      </c>
      <c r="P144">
        <v>1</v>
      </c>
      <c r="Q144">
        <v>33</v>
      </c>
      <c r="R144">
        <v>14.3</v>
      </c>
      <c r="S144">
        <v>1289</v>
      </c>
      <c r="T144">
        <f t="shared" si="9"/>
        <v>25111301</v>
      </c>
      <c r="U144">
        <v>1772.581835686778</v>
      </c>
      <c r="V144" s="10">
        <v>45880</v>
      </c>
      <c r="W144" s="10">
        <v>45937</v>
      </c>
      <c r="Y144">
        <v>3</v>
      </c>
    </row>
    <row r="145" spans="1:25" x14ac:dyDescent="0.25">
      <c r="A145" t="s">
        <v>332</v>
      </c>
      <c r="B145" t="s">
        <v>299</v>
      </c>
      <c r="C145">
        <f t="shared" si="8"/>
        <v>302</v>
      </c>
      <c r="D145">
        <v>25111302</v>
      </c>
      <c r="E145">
        <v>2</v>
      </c>
      <c r="F145">
        <v>2</v>
      </c>
      <c r="G145" t="s">
        <v>127</v>
      </c>
      <c r="H145">
        <v>2</v>
      </c>
      <c r="I145">
        <v>25111</v>
      </c>
      <c r="J145">
        <v>2025</v>
      </c>
      <c r="K145">
        <v>22</v>
      </c>
      <c r="N145" t="s">
        <v>220</v>
      </c>
      <c r="O145">
        <v>3</v>
      </c>
      <c r="P145">
        <v>2</v>
      </c>
      <c r="Q145">
        <v>29</v>
      </c>
      <c r="R145">
        <v>16</v>
      </c>
      <c r="S145">
        <v>1529</v>
      </c>
      <c r="T145">
        <f t="shared" si="9"/>
        <v>25111302</v>
      </c>
      <c r="U145">
        <v>2060.9114249037229</v>
      </c>
      <c r="V145" s="10">
        <v>45869</v>
      </c>
      <c r="W145" s="10">
        <v>45916</v>
      </c>
      <c r="Y145">
        <v>16</v>
      </c>
    </row>
    <row r="146" spans="1:25" x14ac:dyDescent="0.25">
      <c r="A146" t="s">
        <v>333</v>
      </c>
      <c r="B146" t="s">
        <v>299</v>
      </c>
      <c r="C146">
        <f t="shared" si="8"/>
        <v>303</v>
      </c>
      <c r="D146">
        <v>25111303</v>
      </c>
      <c r="E146">
        <v>6</v>
      </c>
      <c r="F146">
        <v>2</v>
      </c>
      <c r="G146" t="s">
        <v>127</v>
      </c>
      <c r="H146">
        <v>0</v>
      </c>
      <c r="I146">
        <v>25111</v>
      </c>
      <c r="J146">
        <v>2025</v>
      </c>
      <c r="K146">
        <v>23</v>
      </c>
      <c r="L146" t="s">
        <v>305</v>
      </c>
      <c r="M146">
        <v>1</v>
      </c>
      <c r="N146" t="s">
        <v>308</v>
      </c>
      <c r="O146">
        <v>3</v>
      </c>
      <c r="P146">
        <v>3</v>
      </c>
      <c r="Q146">
        <v>30</v>
      </c>
      <c r="R146">
        <v>16.899999999999999</v>
      </c>
      <c r="S146">
        <v>1258</v>
      </c>
      <c r="T146">
        <f t="shared" si="9"/>
        <v>25111303</v>
      </c>
      <c r="U146">
        <v>1677.4679075738127</v>
      </c>
      <c r="V146" s="10">
        <v>45873</v>
      </c>
      <c r="W146" s="10">
        <v>45922</v>
      </c>
      <c r="Y146">
        <v>21</v>
      </c>
    </row>
    <row r="147" spans="1:25" x14ac:dyDescent="0.25">
      <c r="A147" t="s">
        <v>334</v>
      </c>
      <c r="B147" t="s">
        <v>299</v>
      </c>
      <c r="C147">
        <f t="shared" si="8"/>
        <v>304</v>
      </c>
      <c r="D147">
        <v>25111304</v>
      </c>
      <c r="E147">
        <v>8</v>
      </c>
      <c r="F147">
        <v>2</v>
      </c>
      <c r="G147" t="s">
        <v>127</v>
      </c>
      <c r="H147">
        <v>0</v>
      </c>
      <c r="I147">
        <v>25111</v>
      </c>
      <c r="J147">
        <v>2025</v>
      </c>
      <c r="K147">
        <v>24</v>
      </c>
      <c r="L147" t="s">
        <v>305</v>
      </c>
      <c r="M147">
        <v>1</v>
      </c>
      <c r="N147" t="s">
        <v>312</v>
      </c>
      <c r="O147">
        <v>3</v>
      </c>
      <c r="P147">
        <v>4</v>
      </c>
      <c r="Q147">
        <v>34</v>
      </c>
      <c r="R147">
        <v>16.899999999999999</v>
      </c>
      <c r="S147">
        <v>1979</v>
      </c>
      <c r="T147">
        <f t="shared" si="9"/>
        <v>25111304</v>
      </c>
      <c r="U147">
        <v>2638.8783697047497</v>
      </c>
      <c r="V147" s="10">
        <v>45871</v>
      </c>
      <c r="W147" s="10">
        <v>45922</v>
      </c>
      <c r="Y147">
        <v>34</v>
      </c>
    </row>
    <row r="148" spans="1:25" x14ac:dyDescent="0.25">
      <c r="A148">
        <v>1755410238</v>
      </c>
      <c r="B148" t="s">
        <v>299</v>
      </c>
      <c r="C148">
        <f t="shared" si="8"/>
        <v>305</v>
      </c>
      <c r="D148">
        <v>25111305</v>
      </c>
      <c r="E148">
        <v>11</v>
      </c>
      <c r="F148">
        <v>2</v>
      </c>
      <c r="G148" t="s">
        <v>127</v>
      </c>
      <c r="H148">
        <v>0</v>
      </c>
      <c r="I148">
        <v>25111</v>
      </c>
      <c r="J148">
        <v>2025</v>
      </c>
      <c r="K148">
        <v>25</v>
      </c>
      <c r="L148" t="s">
        <v>316</v>
      </c>
      <c r="M148">
        <v>1</v>
      </c>
      <c r="N148" t="s">
        <v>330</v>
      </c>
      <c r="O148">
        <v>3</v>
      </c>
      <c r="P148">
        <v>5</v>
      </c>
      <c r="Q148">
        <v>30</v>
      </c>
      <c r="R148">
        <v>16.2</v>
      </c>
      <c r="S148">
        <v>1514</v>
      </c>
      <c r="T148">
        <f t="shared" si="9"/>
        <v>25111305</v>
      </c>
      <c r="U148">
        <v>2035.834403080873</v>
      </c>
      <c r="V148" s="10">
        <v>45870</v>
      </c>
      <c r="W148" s="10">
        <v>45917</v>
      </c>
      <c r="Y148">
        <v>39</v>
      </c>
    </row>
    <row r="149" spans="1:25" x14ac:dyDescent="0.25">
      <c r="A149" t="s">
        <v>335</v>
      </c>
      <c r="B149" t="s">
        <v>299</v>
      </c>
      <c r="C149">
        <f t="shared" si="8"/>
        <v>306</v>
      </c>
      <c r="D149">
        <v>25111306</v>
      </c>
      <c r="E149">
        <v>10</v>
      </c>
      <c r="F149">
        <v>2</v>
      </c>
      <c r="G149" t="s">
        <v>127</v>
      </c>
      <c r="H149">
        <v>0</v>
      </c>
      <c r="I149">
        <v>25111</v>
      </c>
      <c r="J149">
        <v>2025</v>
      </c>
      <c r="K149">
        <v>26</v>
      </c>
      <c r="L149" t="s">
        <v>316</v>
      </c>
      <c r="M149">
        <v>1</v>
      </c>
      <c r="N149" t="s">
        <v>317</v>
      </c>
      <c r="O149">
        <v>3</v>
      </c>
      <c r="P149">
        <v>6</v>
      </c>
      <c r="Q149">
        <v>33</v>
      </c>
      <c r="R149">
        <v>16.600000000000001</v>
      </c>
      <c r="S149">
        <v>1393</v>
      </c>
      <c r="T149">
        <f t="shared" si="9"/>
        <v>25111306</v>
      </c>
      <c r="U149">
        <v>1864.1880616174585</v>
      </c>
      <c r="V149" s="10">
        <v>45868</v>
      </c>
      <c r="W149" s="10">
        <v>45917</v>
      </c>
      <c r="Y149">
        <v>52</v>
      </c>
    </row>
    <row r="150" spans="1:25" x14ac:dyDescent="0.25">
      <c r="A150" t="s">
        <v>336</v>
      </c>
      <c r="B150" t="s">
        <v>299</v>
      </c>
      <c r="C150">
        <f t="shared" si="8"/>
        <v>307</v>
      </c>
      <c r="D150">
        <v>25111307</v>
      </c>
      <c r="E150">
        <v>1</v>
      </c>
      <c r="F150">
        <v>2</v>
      </c>
      <c r="G150" t="s">
        <v>127</v>
      </c>
      <c r="H150">
        <v>1</v>
      </c>
      <c r="I150">
        <v>25111</v>
      </c>
      <c r="J150">
        <v>2025</v>
      </c>
      <c r="K150">
        <v>27</v>
      </c>
      <c r="L150" t="s">
        <v>223</v>
      </c>
      <c r="M150" t="s">
        <v>134</v>
      </c>
      <c r="N150" t="s">
        <v>224</v>
      </c>
      <c r="O150">
        <v>3</v>
      </c>
      <c r="P150">
        <v>7</v>
      </c>
      <c r="Q150">
        <v>30</v>
      </c>
      <c r="R150">
        <v>16</v>
      </c>
      <c r="S150">
        <v>2164</v>
      </c>
      <c r="T150">
        <f t="shared" si="9"/>
        <v>25111307</v>
      </c>
      <c r="U150">
        <v>2916.8164313222082</v>
      </c>
      <c r="V150" s="10">
        <v>45868</v>
      </c>
      <c r="W150" s="10">
        <v>45922</v>
      </c>
      <c r="Y150">
        <v>57</v>
      </c>
    </row>
    <row r="151" spans="1:25" x14ac:dyDescent="0.25">
      <c r="A151" t="s">
        <v>337</v>
      </c>
      <c r="B151" t="s">
        <v>299</v>
      </c>
      <c r="C151">
        <f t="shared" si="8"/>
        <v>308</v>
      </c>
      <c r="D151">
        <v>25111308</v>
      </c>
      <c r="E151">
        <v>12</v>
      </c>
      <c r="F151">
        <v>2</v>
      </c>
      <c r="G151" t="s">
        <v>127</v>
      </c>
      <c r="H151">
        <v>0</v>
      </c>
      <c r="I151">
        <v>25111</v>
      </c>
      <c r="J151">
        <v>2025</v>
      </c>
      <c r="K151">
        <v>28</v>
      </c>
      <c r="L151" t="s">
        <v>316</v>
      </c>
      <c r="M151">
        <v>1</v>
      </c>
      <c r="N151" t="s">
        <v>328</v>
      </c>
      <c r="O151">
        <v>3</v>
      </c>
      <c r="P151">
        <v>8</v>
      </c>
      <c r="Q151">
        <v>26</v>
      </c>
      <c r="R151">
        <v>15.7</v>
      </c>
      <c r="S151">
        <v>2358</v>
      </c>
      <c r="T151">
        <f t="shared" si="9"/>
        <v>25111308</v>
      </c>
      <c r="U151">
        <v>3189.6566110397944</v>
      </c>
      <c r="V151" s="10">
        <v>45874</v>
      </c>
      <c r="W151" s="10">
        <v>45924</v>
      </c>
      <c r="Y151">
        <v>70</v>
      </c>
    </row>
    <row r="152" spans="1:25" x14ac:dyDescent="0.25">
      <c r="A152" t="s">
        <v>338</v>
      </c>
      <c r="B152" t="s">
        <v>299</v>
      </c>
      <c r="C152">
        <f t="shared" si="8"/>
        <v>309</v>
      </c>
      <c r="D152">
        <v>25111309</v>
      </c>
      <c r="E152">
        <v>5</v>
      </c>
      <c r="F152">
        <v>3</v>
      </c>
      <c r="G152" t="s">
        <v>127</v>
      </c>
      <c r="H152">
        <v>0</v>
      </c>
      <c r="I152">
        <v>25111</v>
      </c>
      <c r="J152">
        <v>2025</v>
      </c>
      <c r="K152">
        <v>29</v>
      </c>
      <c r="L152" t="s">
        <v>305</v>
      </c>
      <c r="M152">
        <v>1</v>
      </c>
      <c r="N152" t="s">
        <v>306</v>
      </c>
      <c r="O152">
        <v>3</v>
      </c>
      <c r="P152">
        <v>9</v>
      </c>
      <c r="Q152">
        <v>32</v>
      </c>
      <c r="R152">
        <v>14.7</v>
      </c>
      <c r="S152">
        <v>2520</v>
      </c>
      <c r="T152">
        <f t="shared" si="9"/>
        <v>25111309</v>
      </c>
      <c r="U152">
        <v>3449.2297817715021</v>
      </c>
      <c r="V152" s="10">
        <v>45871</v>
      </c>
      <c r="W152" s="10">
        <v>45922</v>
      </c>
      <c r="Y152">
        <v>75</v>
      </c>
    </row>
    <row r="153" spans="1:25" x14ac:dyDescent="0.25">
      <c r="A153" t="s">
        <v>339</v>
      </c>
      <c r="B153" t="s">
        <v>299</v>
      </c>
      <c r="C153">
        <f t="shared" si="8"/>
        <v>310</v>
      </c>
      <c r="D153">
        <v>25111310</v>
      </c>
      <c r="E153">
        <v>3</v>
      </c>
      <c r="F153">
        <v>3</v>
      </c>
      <c r="G153" t="s">
        <v>127</v>
      </c>
      <c r="H153">
        <v>3</v>
      </c>
      <c r="I153">
        <v>25111</v>
      </c>
      <c r="J153">
        <v>2025</v>
      </c>
      <c r="K153">
        <v>30</v>
      </c>
      <c r="N153" t="s">
        <v>302</v>
      </c>
      <c r="O153">
        <v>3</v>
      </c>
      <c r="P153">
        <v>10</v>
      </c>
      <c r="T153">
        <f t="shared" si="9"/>
        <v>25111310</v>
      </c>
      <c r="V153" s="10">
        <v>45873</v>
      </c>
      <c r="W153" s="10">
        <v>45924</v>
      </c>
      <c r="Y153">
        <v>88</v>
      </c>
    </row>
    <row r="154" spans="1:25" x14ac:dyDescent="0.25">
      <c r="A154" t="s">
        <v>340</v>
      </c>
      <c r="B154" t="s">
        <v>299</v>
      </c>
      <c r="C154">
        <f t="shared" si="8"/>
        <v>401</v>
      </c>
      <c r="D154">
        <v>25111401</v>
      </c>
      <c r="E154">
        <v>1</v>
      </c>
      <c r="F154">
        <v>3</v>
      </c>
      <c r="G154" t="s">
        <v>127</v>
      </c>
      <c r="H154">
        <v>1</v>
      </c>
      <c r="I154">
        <v>25111</v>
      </c>
      <c r="J154">
        <v>2025</v>
      </c>
      <c r="K154">
        <v>40</v>
      </c>
      <c r="L154" t="s">
        <v>223</v>
      </c>
      <c r="M154" t="s">
        <v>134</v>
      </c>
      <c r="N154" t="s">
        <v>224</v>
      </c>
      <c r="O154">
        <v>4</v>
      </c>
      <c r="P154">
        <v>1</v>
      </c>
      <c r="Q154">
        <v>31</v>
      </c>
      <c r="R154">
        <v>11.4</v>
      </c>
      <c r="S154">
        <v>1379</v>
      </c>
      <c r="T154">
        <f t="shared" si="9"/>
        <v>25111401</v>
      </c>
      <c r="U154">
        <v>1960.5166880616171</v>
      </c>
      <c r="V154" s="10">
        <v>45870</v>
      </c>
      <c r="W154" s="10">
        <v>45922</v>
      </c>
      <c r="Y154">
        <v>4</v>
      </c>
    </row>
    <row r="155" spans="1:25" x14ac:dyDescent="0.25">
      <c r="A155" t="s">
        <v>341</v>
      </c>
      <c r="B155" t="s">
        <v>299</v>
      </c>
      <c r="C155">
        <f t="shared" si="8"/>
        <v>402</v>
      </c>
      <c r="D155">
        <v>25111402</v>
      </c>
      <c r="E155">
        <v>14</v>
      </c>
      <c r="F155">
        <v>3</v>
      </c>
      <c r="G155" t="s">
        <v>127</v>
      </c>
      <c r="H155">
        <v>0</v>
      </c>
      <c r="I155">
        <v>25111</v>
      </c>
      <c r="J155">
        <v>2025</v>
      </c>
      <c r="K155">
        <v>39</v>
      </c>
      <c r="L155" t="s">
        <v>316</v>
      </c>
      <c r="M155">
        <v>1</v>
      </c>
      <c r="N155" t="s">
        <v>318</v>
      </c>
      <c r="O155">
        <v>4</v>
      </c>
      <c r="P155">
        <v>2</v>
      </c>
      <c r="Q155">
        <v>29</v>
      </c>
      <c r="R155">
        <v>13.3</v>
      </c>
      <c r="S155">
        <v>1633</v>
      </c>
      <c r="T155">
        <f t="shared" si="9"/>
        <v>25111402</v>
      </c>
      <c r="U155">
        <v>2271.8405006418484</v>
      </c>
      <c r="V155" s="10">
        <v>45868</v>
      </c>
      <c r="W155" s="10">
        <v>45914</v>
      </c>
      <c r="Y155">
        <v>15</v>
      </c>
    </row>
    <row r="156" spans="1:25" x14ac:dyDescent="0.25">
      <c r="A156" t="s">
        <v>342</v>
      </c>
      <c r="B156" t="s">
        <v>299</v>
      </c>
      <c r="C156">
        <f t="shared" si="8"/>
        <v>403</v>
      </c>
      <c r="D156">
        <v>25111403</v>
      </c>
      <c r="E156">
        <v>9</v>
      </c>
      <c r="F156">
        <v>3</v>
      </c>
      <c r="G156" t="s">
        <v>127</v>
      </c>
      <c r="H156">
        <v>0</v>
      </c>
      <c r="I156">
        <v>25111</v>
      </c>
      <c r="J156">
        <v>2025</v>
      </c>
      <c r="K156">
        <v>38</v>
      </c>
      <c r="L156" t="s">
        <v>305</v>
      </c>
      <c r="M156">
        <v>1</v>
      </c>
      <c r="N156" t="s">
        <v>314</v>
      </c>
      <c r="O156">
        <v>4</v>
      </c>
      <c r="P156">
        <v>3</v>
      </c>
      <c r="Q156">
        <v>29</v>
      </c>
      <c r="R156">
        <v>16.8</v>
      </c>
      <c r="S156">
        <v>1162</v>
      </c>
      <c r="T156">
        <f t="shared" si="9"/>
        <v>25111403</v>
      </c>
      <c r="U156">
        <v>1551.3222079589218</v>
      </c>
      <c r="V156" s="10">
        <v>45868</v>
      </c>
      <c r="W156" s="10">
        <v>45922</v>
      </c>
      <c r="Y156">
        <v>22</v>
      </c>
    </row>
    <row r="157" spans="1:25" x14ac:dyDescent="0.25">
      <c r="A157" t="s">
        <v>343</v>
      </c>
      <c r="B157" t="s">
        <v>299</v>
      </c>
      <c r="C157">
        <f t="shared" si="8"/>
        <v>404</v>
      </c>
      <c r="D157">
        <v>25111404</v>
      </c>
      <c r="E157">
        <v>6</v>
      </c>
      <c r="F157">
        <v>3</v>
      </c>
      <c r="G157" t="s">
        <v>127</v>
      </c>
      <c r="H157">
        <v>0</v>
      </c>
      <c r="I157">
        <v>25111</v>
      </c>
      <c r="J157">
        <v>2025</v>
      </c>
      <c r="K157">
        <v>37</v>
      </c>
      <c r="L157" t="s">
        <v>305</v>
      </c>
      <c r="M157">
        <v>1</v>
      </c>
      <c r="N157" t="s">
        <v>308</v>
      </c>
      <c r="O157">
        <v>4</v>
      </c>
      <c r="P157">
        <v>4</v>
      </c>
      <c r="Q157">
        <v>27</v>
      </c>
      <c r="R157">
        <v>16.3</v>
      </c>
      <c r="S157">
        <v>1933</v>
      </c>
      <c r="T157">
        <f t="shared" si="9"/>
        <v>25111404</v>
      </c>
      <c r="U157">
        <v>2596.150513478819</v>
      </c>
      <c r="V157" s="10">
        <v>45874</v>
      </c>
      <c r="W157" s="10">
        <v>45924</v>
      </c>
      <c r="Y157">
        <v>33</v>
      </c>
    </row>
    <row r="158" spans="1:25" x14ac:dyDescent="0.25">
      <c r="A158" t="s">
        <v>344</v>
      </c>
      <c r="B158" t="s">
        <v>299</v>
      </c>
      <c r="C158">
        <f t="shared" si="8"/>
        <v>405</v>
      </c>
      <c r="D158">
        <v>25111405</v>
      </c>
      <c r="E158">
        <v>13</v>
      </c>
      <c r="F158">
        <v>3</v>
      </c>
      <c r="G158" t="s">
        <v>127</v>
      </c>
      <c r="H158">
        <v>0</v>
      </c>
      <c r="I158">
        <v>25111</v>
      </c>
      <c r="J158">
        <v>2025</v>
      </c>
      <c r="K158">
        <v>36</v>
      </c>
      <c r="L158" t="s">
        <v>316</v>
      </c>
      <c r="M158">
        <v>1</v>
      </c>
      <c r="N158" t="s">
        <v>324</v>
      </c>
      <c r="O158">
        <v>4</v>
      </c>
      <c r="P158">
        <v>5</v>
      </c>
      <c r="Q158">
        <v>31</v>
      </c>
      <c r="R158">
        <v>16.3</v>
      </c>
      <c r="S158">
        <v>1531</v>
      </c>
      <c r="T158">
        <f t="shared" si="9"/>
        <v>25111405</v>
      </c>
      <c r="U158">
        <v>2056.2371630295247</v>
      </c>
      <c r="V158" s="10">
        <v>45870</v>
      </c>
      <c r="W158" s="10">
        <v>45914</v>
      </c>
      <c r="Y158">
        <v>40</v>
      </c>
    </row>
    <row r="159" spans="1:25" x14ac:dyDescent="0.25">
      <c r="A159" t="s">
        <v>345</v>
      </c>
      <c r="B159" t="s">
        <v>299</v>
      </c>
      <c r="C159">
        <f t="shared" si="8"/>
        <v>406</v>
      </c>
      <c r="D159">
        <v>25111406</v>
      </c>
      <c r="E159">
        <v>12</v>
      </c>
      <c r="F159">
        <v>3</v>
      </c>
      <c r="G159" t="s">
        <v>127</v>
      </c>
      <c r="H159">
        <v>0</v>
      </c>
      <c r="I159">
        <v>25111</v>
      </c>
      <c r="J159">
        <v>2025</v>
      </c>
      <c r="K159">
        <v>35</v>
      </c>
      <c r="L159" t="s">
        <v>316</v>
      </c>
      <c r="M159">
        <v>1</v>
      </c>
      <c r="N159" t="s">
        <v>328</v>
      </c>
      <c r="O159">
        <v>4</v>
      </c>
      <c r="P159">
        <v>6</v>
      </c>
      <c r="Q159">
        <v>29</v>
      </c>
      <c r="R159">
        <v>15.2</v>
      </c>
      <c r="S159">
        <v>1326</v>
      </c>
      <c r="T159">
        <f t="shared" si="9"/>
        <v>25111406</v>
      </c>
      <c r="U159">
        <v>1804.3132220795892</v>
      </c>
      <c r="V159" s="10">
        <v>45870</v>
      </c>
      <c r="W159" s="10">
        <v>45919</v>
      </c>
      <c r="Y159">
        <v>51</v>
      </c>
    </row>
    <row r="160" spans="1:25" x14ac:dyDescent="0.25">
      <c r="A160" t="s">
        <v>346</v>
      </c>
      <c r="B160" t="s">
        <v>299</v>
      </c>
      <c r="C160">
        <f t="shared" si="8"/>
        <v>407</v>
      </c>
      <c r="D160">
        <v>25111407</v>
      </c>
      <c r="E160">
        <v>11</v>
      </c>
      <c r="F160">
        <v>3</v>
      </c>
      <c r="G160" t="s">
        <v>127</v>
      </c>
      <c r="H160">
        <v>0</v>
      </c>
      <c r="I160">
        <v>25111</v>
      </c>
      <c r="J160">
        <v>2025</v>
      </c>
      <c r="K160">
        <v>34</v>
      </c>
      <c r="L160" t="s">
        <v>316</v>
      </c>
      <c r="M160">
        <v>1</v>
      </c>
      <c r="N160" t="s">
        <v>330</v>
      </c>
      <c r="O160">
        <v>4</v>
      </c>
      <c r="P160">
        <v>7</v>
      </c>
      <c r="Q160">
        <v>27</v>
      </c>
      <c r="R160">
        <v>15.9</v>
      </c>
      <c r="S160">
        <v>1674</v>
      </c>
      <c r="T160">
        <f t="shared" si="9"/>
        <v>25111407</v>
      </c>
      <c r="U160">
        <v>2259.0404364569963</v>
      </c>
      <c r="V160" s="10">
        <v>45868</v>
      </c>
      <c r="W160" s="10">
        <v>45918</v>
      </c>
      <c r="Y160">
        <v>58</v>
      </c>
    </row>
    <row r="161" spans="1:25" x14ac:dyDescent="0.25">
      <c r="A161" t="s">
        <v>347</v>
      </c>
      <c r="B161" t="s">
        <v>299</v>
      </c>
      <c r="C161">
        <f t="shared" si="8"/>
        <v>408</v>
      </c>
      <c r="D161">
        <v>25111408</v>
      </c>
      <c r="E161">
        <v>4</v>
      </c>
      <c r="F161">
        <v>3</v>
      </c>
      <c r="G161" t="s">
        <v>127</v>
      </c>
      <c r="H161">
        <v>4</v>
      </c>
      <c r="I161">
        <v>25111</v>
      </c>
      <c r="J161">
        <v>2025</v>
      </c>
      <c r="K161">
        <v>33</v>
      </c>
      <c r="L161" t="s">
        <v>133</v>
      </c>
      <c r="M161" t="s">
        <v>134</v>
      </c>
      <c r="N161" t="s">
        <v>135</v>
      </c>
      <c r="O161">
        <v>4</v>
      </c>
      <c r="P161">
        <v>8</v>
      </c>
      <c r="Q161">
        <v>27</v>
      </c>
      <c r="R161">
        <v>16.399999999999999</v>
      </c>
      <c r="S161">
        <v>2025</v>
      </c>
      <c r="T161">
        <f t="shared" si="9"/>
        <v>25111408</v>
      </c>
      <c r="U161">
        <v>2716.4634146341464</v>
      </c>
      <c r="V161" s="10">
        <v>45870</v>
      </c>
      <c r="W161" s="10">
        <v>45919</v>
      </c>
      <c r="Y161">
        <v>69</v>
      </c>
    </row>
    <row r="162" spans="1:25" x14ac:dyDescent="0.25">
      <c r="A162" t="s">
        <v>348</v>
      </c>
      <c r="B162" t="s">
        <v>299</v>
      </c>
      <c r="C162">
        <f t="shared" ref="C162:C195" si="10">O162*100+P162</f>
        <v>409</v>
      </c>
      <c r="D162">
        <v>25111409</v>
      </c>
      <c r="E162">
        <v>8</v>
      </c>
      <c r="F162">
        <v>3</v>
      </c>
      <c r="G162" t="s">
        <v>127</v>
      </c>
      <c r="H162">
        <v>0</v>
      </c>
      <c r="I162">
        <v>25111</v>
      </c>
      <c r="J162">
        <v>2025</v>
      </c>
      <c r="K162">
        <v>32</v>
      </c>
      <c r="L162" t="s">
        <v>305</v>
      </c>
      <c r="M162">
        <v>1</v>
      </c>
      <c r="N162" t="s">
        <v>312</v>
      </c>
      <c r="O162">
        <v>4</v>
      </c>
      <c r="P162">
        <v>9</v>
      </c>
      <c r="Q162">
        <v>26</v>
      </c>
      <c r="R162">
        <v>16.8</v>
      </c>
      <c r="S162">
        <v>2238</v>
      </c>
      <c r="T162">
        <f t="shared" ref="T162:T195" si="11">I162*1000+C162</f>
        <v>25111409</v>
      </c>
      <c r="U162">
        <v>2987.8305519897308</v>
      </c>
      <c r="V162" s="10">
        <v>45868</v>
      </c>
      <c r="W162" s="10">
        <v>45917</v>
      </c>
      <c r="Y162">
        <v>76</v>
      </c>
    </row>
    <row r="163" spans="1:25" x14ac:dyDescent="0.25">
      <c r="A163" t="s">
        <v>349</v>
      </c>
      <c r="B163" t="s">
        <v>299</v>
      </c>
      <c r="C163">
        <f t="shared" si="10"/>
        <v>410</v>
      </c>
      <c r="D163">
        <v>25111410</v>
      </c>
      <c r="E163">
        <v>7</v>
      </c>
      <c r="F163">
        <v>3</v>
      </c>
      <c r="G163" t="s">
        <v>127</v>
      </c>
      <c r="H163">
        <v>0</v>
      </c>
      <c r="I163">
        <v>25111</v>
      </c>
      <c r="J163">
        <v>2025</v>
      </c>
      <c r="K163">
        <v>31</v>
      </c>
      <c r="L163" t="s">
        <v>305</v>
      </c>
      <c r="M163">
        <v>1</v>
      </c>
      <c r="N163" t="s">
        <v>310</v>
      </c>
      <c r="O163">
        <v>4</v>
      </c>
      <c r="P163">
        <v>10</v>
      </c>
      <c r="Q163">
        <v>34</v>
      </c>
      <c r="R163">
        <v>13.2</v>
      </c>
      <c r="S163">
        <v>2160</v>
      </c>
      <c r="T163">
        <f t="shared" si="11"/>
        <v>25111410</v>
      </c>
      <c r="U163">
        <v>3008.472400513479</v>
      </c>
      <c r="V163" s="10">
        <v>45875</v>
      </c>
      <c r="W163" s="10">
        <v>45930</v>
      </c>
      <c r="Y163">
        <v>87</v>
      </c>
    </row>
    <row r="164" spans="1:25" x14ac:dyDescent="0.25">
      <c r="A164" t="s">
        <v>350</v>
      </c>
      <c r="B164" t="s">
        <v>299</v>
      </c>
      <c r="C164">
        <f t="shared" si="10"/>
        <v>501</v>
      </c>
      <c r="D164">
        <v>25111501</v>
      </c>
      <c r="E164">
        <v>10</v>
      </c>
      <c r="F164">
        <v>3</v>
      </c>
      <c r="G164" t="s">
        <v>127</v>
      </c>
      <c r="H164">
        <v>0</v>
      </c>
      <c r="I164">
        <v>25111</v>
      </c>
      <c r="J164">
        <v>2025</v>
      </c>
      <c r="K164">
        <v>41</v>
      </c>
      <c r="L164" t="s">
        <v>316</v>
      </c>
      <c r="M164">
        <v>1</v>
      </c>
      <c r="N164" t="s">
        <v>317</v>
      </c>
      <c r="O164">
        <v>5</v>
      </c>
      <c r="P164">
        <v>1</v>
      </c>
      <c r="Q164">
        <v>29</v>
      </c>
      <c r="R164">
        <v>15.3</v>
      </c>
      <c r="S164">
        <v>2222</v>
      </c>
      <c r="T164">
        <f t="shared" si="11"/>
        <v>25111501</v>
      </c>
      <c r="U164">
        <v>3019.9518613607192</v>
      </c>
      <c r="V164" s="10">
        <v>45870</v>
      </c>
      <c r="W164" s="10">
        <v>45922</v>
      </c>
      <c r="Y164">
        <v>5</v>
      </c>
    </row>
    <row r="165" spans="1:25" x14ac:dyDescent="0.25">
      <c r="A165" t="s">
        <v>351</v>
      </c>
      <c r="B165" t="s">
        <v>299</v>
      </c>
      <c r="C165">
        <f t="shared" si="10"/>
        <v>502</v>
      </c>
      <c r="D165">
        <v>25111502</v>
      </c>
      <c r="E165">
        <v>2</v>
      </c>
      <c r="F165">
        <v>3</v>
      </c>
      <c r="G165" t="s">
        <v>127</v>
      </c>
      <c r="H165">
        <v>2</v>
      </c>
      <c r="I165">
        <v>25111</v>
      </c>
      <c r="J165">
        <v>2025</v>
      </c>
      <c r="K165">
        <v>42</v>
      </c>
      <c r="N165" t="s">
        <v>220</v>
      </c>
      <c r="O165">
        <v>5</v>
      </c>
      <c r="P165">
        <v>2</v>
      </c>
      <c r="Q165">
        <v>29</v>
      </c>
      <c r="R165">
        <v>14.1</v>
      </c>
      <c r="S165">
        <v>2389</v>
      </c>
      <c r="T165">
        <f t="shared" si="11"/>
        <v>25111502</v>
      </c>
      <c r="U165">
        <v>3292.9252246469832</v>
      </c>
      <c r="V165" s="10">
        <v>45869</v>
      </c>
      <c r="W165" s="10">
        <v>45916</v>
      </c>
      <c r="Y165">
        <v>14</v>
      </c>
    </row>
    <row r="166" spans="1:25" x14ac:dyDescent="0.25">
      <c r="A166" t="s">
        <v>352</v>
      </c>
      <c r="B166" t="s">
        <v>299</v>
      </c>
      <c r="C166">
        <f t="shared" si="10"/>
        <v>601</v>
      </c>
      <c r="D166">
        <v>25112601</v>
      </c>
      <c r="E166">
        <v>1</v>
      </c>
      <c r="F166">
        <v>1</v>
      </c>
      <c r="G166" t="s">
        <v>127</v>
      </c>
      <c r="H166">
        <v>0</v>
      </c>
      <c r="I166">
        <v>25112</v>
      </c>
      <c r="J166">
        <v>2025</v>
      </c>
      <c r="K166">
        <v>1</v>
      </c>
      <c r="M166">
        <v>2</v>
      </c>
      <c r="N166" t="s">
        <v>353</v>
      </c>
      <c r="O166">
        <v>6</v>
      </c>
      <c r="P166">
        <v>1</v>
      </c>
      <c r="Q166">
        <v>47</v>
      </c>
      <c r="R166">
        <v>14.6</v>
      </c>
      <c r="S166">
        <v>1592</v>
      </c>
      <c r="T166">
        <f t="shared" si="11"/>
        <v>25112601</v>
      </c>
      <c r="U166">
        <f t="shared" ref="U166:U195" si="12">((S166/1000)/0.76)*((100-R166)/(100-18))*1000</f>
        <v>2181.5917843388966</v>
      </c>
      <c r="V166" s="10">
        <v>45873</v>
      </c>
      <c r="W166" s="10">
        <v>45924</v>
      </c>
      <c r="X166">
        <v>6</v>
      </c>
    </row>
    <row r="167" spans="1:25" x14ac:dyDescent="0.25">
      <c r="A167" t="s">
        <v>354</v>
      </c>
      <c r="B167" t="s">
        <v>299</v>
      </c>
      <c r="C167">
        <f t="shared" si="10"/>
        <v>602</v>
      </c>
      <c r="D167">
        <v>25112602</v>
      </c>
      <c r="E167">
        <v>2</v>
      </c>
      <c r="F167">
        <v>1</v>
      </c>
      <c r="G167" t="s">
        <v>127</v>
      </c>
      <c r="H167">
        <v>0</v>
      </c>
      <c r="I167">
        <v>25112</v>
      </c>
      <c r="J167">
        <v>2025</v>
      </c>
      <c r="K167">
        <v>2</v>
      </c>
      <c r="M167">
        <v>2</v>
      </c>
      <c r="N167" t="s">
        <v>355</v>
      </c>
      <c r="O167">
        <v>6</v>
      </c>
      <c r="P167">
        <v>2</v>
      </c>
      <c r="Q167">
        <v>45</v>
      </c>
      <c r="R167">
        <v>13.4</v>
      </c>
      <c r="S167">
        <v>1805</v>
      </c>
      <c r="T167">
        <f t="shared" si="11"/>
        <v>25112602</v>
      </c>
      <c r="U167">
        <f t="shared" si="12"/>
        <v>2508.231707317073</v>
      </c>
      <c r="V167" s="10">
        <v>45877</v>
      </c>
      <c r="W167" s="10">
        <v>45922</v>
      </c>
      <c r="X167">
        <v>13</v>
      </c>
    </row>
    <row r="168" spans="1:25" x14ac:dyDescent="0.25">
      <c r="A168" t="s">
        <v>356</v>
      </c>
      <c r="B168" t="s">
        <v>299</v>
      </c>
      <c r="C168">
        <f t="shared" si="10"/>
        <v>603</v>
      </c>
      <c r="D168">
        <v>25112603</v>
      </c>
      <c r="E168">
        <v>3</v>
      </c>
      <c r="F168">
        <v>1</v>
      </c>
      <c r="G168" t="s">
        <v>127</v>
      </c>
      <c r="H168">
        <v>0</v>
      </c>
      <c r="I168">
        <v>25112</v>
      </c>
      <c r="J168">
        <v>2025</v>
      </c>
      <c r="K168">
        <v>3</v>
      </c>
      <c r="M168">
        <v>2</v>
      </c>
      <c r="N168" t="s">
        <v>357</v>
      </c>
      <c r="O168">
        <v>6</v>
      </c>
      <c r="P168">
        <v>3</v>
      </c>
      <c r="Q168">
        <v>44</v>
      </c>
      <c r="R168">
        <v>13.7</v>
      </c>
      <c r="S168">
        <v>1674</v>
      </c>
      <c r="T168">
        <f t="shared" si="11"/>
        <v>25112603</v>
      </c>
      <c r="U168">
        <f t="shared" si="12"/>
        <v>2318.1354300385115</v>
      </c>
      <c r="V168" s="10">
        <v>45870</v>
      </c>
      <c r="W168" s="10">
        <v>45916</v>
      </c>
      <c r="X168">
        <v>24</v>
      </c>
    </row>
    <row r="169" spans="1:25" x14ac:dyDescent="0.25">
      <c r="A169" t="s">
        <v>358</v>
      </c>
      <c r="B169" t="s">
        <v>299</v>
      </c>
      <c r="C169">
        <f t="shared" si="10"/>
        <v>604</v>
      </c>
      <c r="D169">
        <v>25112604</v>
      </c>
      <c r="E169">
        <v>4</v>
      </c>
      <c r="F169">
        <v>1</v>
      </c>
      <c r="G169" t="s">
        <v>127</v>
      </c>
      <c r="H169">
        <v>1</v>
      </c>
      <c r="I169">
        <v>25112</v>
      </c>
      <c r="J169">
        <v>2025</v>
      </c>
      <c r="K169">
        <v>4</v>
      </c>
      <c r="L169" t="s">
        <v>359</v>
      </c>
      <c r="M169" t="s">
        <v>360</v>
      </c>
      <c r="N169" t="s">
        <v>361</v>
      </c>
      <c r="O169">
        <v>6</v>
      </c>
      <c r="P169">
        <v>4</v>
      </c>
      <c r="Q169">
        <v>42</v>
      </c>
      <c r="R169">
        <v>13.1</v>
      </c>
      <c r="S169">
        <v>455</v>
      </c>
      <c r="T169">
        <f t="shared" si="11"/>
        <v>25112604</v>
      </c>
      <c r="U169">
        <f t="shared" si="12"/>
        <v>634.45924261874211</v>
      </c>
      <c r="V169" s="10">
        <v>45871</v>
      </c>
      <c r="W169" s="10">
        <v>45916</v>
      </c>
      <c r="X169">
        <v>31</v>
      </c>
    </row>
    <row r="170" spans="1:25" x14ac:dyDescent="0.25">
      <c r="A170" t="s">
        <v>362</v>
      </c>
      <c r="B170" t="s">
        <v>299</v>
      </c>
      <c r="C170">
        <f t="shared" si="10"/>
        <v>605</v>
      </c>
      <c r="D170">
        <v>25112605</v>
      </c>
      <c r="E170">
        <v>3</v>
      </c>
      <c r="F170">
        <v>2</v>
      </c>
      <c r="G170" t="s">
        <v>127</v>
      </c>
      <c r="H170">
        <v>0</v>
      </c>
      <c r="I170">
        <v>25112</v>
      </c>
      <c r="J170">
        <v>2025</v>
      </c>
      <c r="K170">
        <v>5</v>
      </c>
      <c r="M170">
        <v>2</v>
      </c>
      <c r="N170" t="s">
        <v>357</v>
      </c>
      <c r="O170">
        <v>6</v>
      </c>
      <c r="P170">
        <v>5</v>
      </c>
      <c r="Q170">
        <v>45</v>
      </c>
      <c r="R170">
        <v>15.9</v>
      </c>
      <c r="S170">
        <v>1225</v>
      </c>
      <c r="T170">
        <f t="shared" si="11"/>
        <v>25112605</v>
      </c>
      <c r="U170">
        <f t="shared" si="12"/>
        <v>1653.1209884467266</v>
      </c>
      <c r="V170" s="10">
        <v>45870</v>
      </c>
      <c r="W170" s="10">
        <v>45919</v>
      </c>
      <c r="X170">
        <v>42</v>
      </c>
    </row>
    <row r="171" spans="1:25" x14ac:dyDescent="0.25">
      <c r="A171" t="s">
        <v>363</v>
      </c>
      <c r="B171" t="s">
        <v>299</v>
      </c>
      <c r="C171">
        <f t="shared" si="10"/>
        <v>606</v>
      </c>
      <c r="D171">
        <v>25112606</v>
      </c>
      <c r="E171">
        <v>4</v>
      </c>
      <c r="F171">
        <v>2</v>
      </c>
      <c r="G171" t="s">
        <v>127</v>
      </c>
      <c r="H171">
        <v>1</v>
      </c>
      <c r="I171">
        <v>25112</v>
      </c>
      <c r="J171">
        <v>2025</v>
      </c>
      <c r="K171">
        <v>6</v>
      </c>
      <c r="L171" t="s">
        <v>359</v>
      </c>
      <c r="M171" t="s">
        <v>360</v>
      </c>
      <c r="N171" t="s">
        <v>361</v>
      </c>
      <c r="O171">
        <v>6</v>
      </c>
      <c r="P171">
        <v>6</v>
      </c>
      <c r="Q171">
        <v>42</v>
      </c>
      <c r="R171">
        <v>14.6</v>
      </c>
      <c r="S171">
        <v>189</v>
      </c>
      <c r="T171">
        <f t="shared" si="11"/>
        <v>25112606</v>
      </c>
      <c r="U171">
        <f t="shared" si="12"/>
        <v>258.99550706033375</v>
      </c>
      <c r="V171" s="10">
        <v>45869</v>
      </c>
      <c r="W171" s="10">
        <v>45916</v>
      </c>
      <c r="X171">
        <v>49</v>
      </c>
    </row>
    <row r="172" spans="1:25" x14ac:dyDescent="0.25">
      <c r="A172" t="s">
        <v>364</v>
      </c>
      <c r="B172" t="s">
        <v>299</v>
      </c>
      <c r="C172">
        <f t="shared" si="10"/>
        <v>607</v>
      </c>
      <c r="D172">
        <v>25112607</v>
      </c>
      <c r="E172">
        <v>1</v>
      </c>
      <c r="F172">
        <v>2</v>
      </c>
      <c r="G172" t="s">
        <v>127</v>
      </c>
      <c r="H172">
        <v>0</v>
      </c>
      <c r="I172">
        <v>25112</v>
      </c>
      <c r="J172">
        <v>2025</v>
      </c>
      <c r="K172">
        <v>7</v>
      </c>
      <c r="M172">
        <v>2</v>
      </c>
      <c r="N172" t="s">
        <v>353</v>
      </c>
      <c r="O172">
        <v>6</v>
      </c>
      <c r="P172">
        <v>7</v>
      </c>
      <c r="Q172">
        <v>47</v>
      </c>
      <c r="R172">
        <v>13.6</v>
      </c>
      <c r="S172">
        <v>1078</v>
      </c>
      <c r="T172">
        <f t="shared" si="11"/>
        <v>25112607</v>
      </c>
      <c r="U172">
        <f t="shared" si="12"/>
        <v>1494.5314505776639</v>
      </c>
      <c r="V172" s="10">
        <v>45874</v>
      </c>
      <c r="W172" s="10">
        <v>45930</v>
      </c>
      <c r="X172">
        <v>60</v>
      </c>
    </row>
    <row r="173" spans="1:25" x14ac:dyDescent="0.25">
      <c r="A173" t="s">
        <v>365</v>
      </c>
      <c r="B173" t="s">
        <v>299</v>
      </c>
      <c r="C173">
        <f t="shared" si="10"/>
        <v>608</v>
      </c>
      <c r="D173">
        <v>25112608</v>
      </c>
      <c r="E173">
        <v>2</v>
      </c>
      <c r="F173">
        <v>2</v>
      </c>
      <c r="G173" t="s">
        <v>127</v>
      </c>
      <c r="H173">
        <v>0</v>
      </c>
      <c r="I173">
        <v>25112</v>
      </c>
      <c r="J173">
        <v>2025</v>
      </c>
      <c r="K173">
        <v>8</v>
      </c>
      <c r="M173">
        <v>2</v>
      </c>
      <c r="N173" t="s">
        <v>355</v>
      </c>
      <c r="O173">
        <v>6</v>
      </c>
      <c r="P173">
        <v>8</v>
      </c>
      <c r="Q173">
        <v>51</v>
      </c>
      <c r="R173">
        <v>13.5</v>
      </c>
      <c r="S173">
        <v>1179</v>
      </c>
      <c r="T173">
        <f t="shared" si="11"/>
        <v>25112608</v>
      </c>
      <c r="U173">
        <f t="shared" si="12"/>
        <v>1636.4489730423622</v>
      </c>
      <c r="V173" s="10">
        <v>45873</v>
      </c>
      <c r="W173" s="10">
        <v>45922</v>
      </c>
      <c r="X173">
        <v>67</v>
      </c>
    </row>
    <row r="174" spans="1:25" x14ac:dyDescent="0.25">
      <c r="A174" t="s">
        <v>366</v>
      </c>
      <c r="B174" t="s">
        <v>299</v>
      </c>
      <c r="C174">
        <f t="shared" si="10"/>
        <v>609</v>
      </c>
      <c r="D174">
        <v>25112609</v>
      </c>
      <c r="E174">
        <v>4</v>
      </c>
      <c r="F174">
        <v>3</v>
      </c>
      <c r="G174" t="s">
        <v>127</v>
      </c>
      <c r="H174">
        <v>1</v>
      </c>
      <c r="I174">
        <v>25112</v>
      </c>
      <c r="J174">
        <v>2025</v>
      </c>
      <c r="K174">
        <v>9</v>
      </c>
      <c r="L174" t="s">
        <v>359</v>
      </c>
      <c r="M174" t="s">
        <v>360</v>
      </c>
      <c r="N174" t="s">
        <v>361</v>
      </c>
      <c r="O174">
        <v>6</v>
      </c>
      <c r="P174">
        <v>9</v>
      </c>
      <c r="Q174">
        <v>45</v>
      </c>
      <c r="R174">
        <v>12.8</v>
      </c>
      <c r="S174">
        <v>306</v>
      </c>
      <c r="T174">
        <f t="shared" si="11"/>
        <v>25112609</v>
      </c>
      <c r="U174">
        <f t="shared" si="12"/>
        <v>428.16431322207961</v>
      </c>
      <c r="V174" s="10">
        <v>45868</v>
      </c>
      <c r="W174" s="10">
        <v>45916</v>
      </c>
      <c r="X174">
        <v>78</v>
      </c>
    </row>
    <row r="175" spans="1:25" x14ac:dyDescent="0.25">
      <c r="A175" t="s">
        <v>367</v>
      </c>
      <c r="B175" t="s">
        <v>299</v>
      </c>
      <c r="C175">
        <f t="shared" si="10"/>
        <v>610</v>
      </c>
      <c r="D175">
        <v>25112610</v>
      </c>
      <c r="E175">
        <v>3</v>
      </c>
      <c r="F175">
        <v>3</v>
      </c>
      <c r="G175" t="s">
        <v>127</v>
      </c>
      <c r="H175">
        <v>0</v>
      </c>
      <c r="I175">
        <v>25112</v>
      </c>
      <c r="J175">
        <v>2025</v>
      </c>
      <c r="K175">
        <v>10</v>
      </c>
      <c r="M175">
        <v>2</v>
      </c>
      <c r="N175" t="s">
        <v>357</v>
      </c>
      <c r="O175">
        <v>6</v>
      </c>
      <c r="P175">
        <v>10</v>
      </c>
      <c r="Q175">
        <v>45</v>
      </c>
      <c r="R175">
        <v>13</v>
      </c>
      <c r="S175">
        <v>1472</v>
      </c>
      <c r="T175">
        <f t="shared" si="11"/>
        <v>25112610</v>
      </c>
      <c r="U175">
        <f t="shared" si="12"/>
        <v>2054.942233632863</v>
      </c>
      <c r="V175" s="10">
        <v>45874</v>
      </c>
      <c r="W175" s="10">
        <v>45922</v>
      </c>
      <c r="X175">
        <v>85</v>
      </c>
    </row>
    <row r="176" spans="1:25" x14ac:dyDescent="0.25">
      <c r="A176" t="s">
        <v>368</v>
      </c>
      <c r="B176" t="s">
        <v>299</v>
      </c>
      <c r="C176">
        <f t="shared" si="10"/>
        <v>709</v>
      </c>
      <c r="D176">
        <v>25112709</v>
      </c>
      <c r="E176">
        <v>2</v>
      </c>
      <c r="F176">
        <v>3</v>
      </c>
      <c r="G176" t="s">
        <v>127</v>
      </c>
      <c r="H176">
        <v>0</v>
      </c>
      <c r="I176">
        <v>25112</v>
      </c>
      <c r="J176">
        <v>2025</v>
      </c>
      <c r="K176">
        <v>12</v>
      </c>
      <c r="M176">
        <v>2</v>
      </c>
      <c r="N176" t="s">
        <v>355</v>
      </c>
      <c r="O176">
        <v>7</v>
      </c>
      <c r="P176">
        <v>9</v>
      </c>
      <c r="Q176">
        <v>51</v>
      </c>
      <c r="R176">
        <v>14.3</v>
      </c>
      <c r="S176">
        <v>1325</v>
      </c>
      <c r="T176">
        <f t="shared" si="11"/>
        <v>25112709</v>
      </c>
      <c r="U176">
        <f t="shared" si="12"/>
        <v>1822.0876123234914</v>
      </c>
      <c r="V176" s="10">
        <v>45871</v>
      </c>
      <c r="W176" s="10">
        <v>45918</v>
      </c>
      <c r="X176">
        <v>79</v>
      </c>
    </row>
    <row r="177" spans="1:24" x14ac:dyDescent="0.25">
      <c r="A177" t="s">
        <v>369</v>
      </c>
      <c r="B177" t="s">
        <v>299</v>
      </c>
      <c r="C177">
        <f t="shared" si="10"/>
        <v>710</v>
      </c>
      <c r="D177">
        <v>25112710</v>
      </c>
      <c r="E177">
        <v>1</v>
      </c>
      <c r="F177">
        <v>3</v>
      </c>
      <c r="G177" t="s">
        <v>127</v>
      </c>
      <c r="H177">
        <v>0</v>
      </c>
      <c r="I177">
        <v>25112</v>
      </c>
      <c r="J177">
        <v>2025</v>
      </c>
      <c r="K177">
        <v>11</v>
      </c>
      <c r="M177">
        <v>2</v>
      </c>
      <c r="N177" t="s">
        <v>353</v>
      </c>
      <c r="O177">
        <v>7</v>
      </c>
      <c r="P177">
        <v>10</v>
      </c>
      <c r="Q177">
        <v>54</v>
      </c>
      <c r="R177">
        <v>18.399999999999999</v>
      </c>
      <c r="S177">
        <v>1253</v>
      </c>
      <c r="T177">
        <f t="shared" si="11"/>
        <v>25112710</v>
      </c>
      <c r="U177">
        <f t="shared" si="12"/>
        <v>1640.641848523748</v>
      </c>
      <c r="V177" s="10">
        <v>45872</v>
      </c>
      <c r="W177" s="10">
        <v>45916</v>
      </c>
      <c r="X177">
        <v>84</v>
      </c>
    </row>
    <row r="178" spans="1:24" x14ac:dyDescent="0.25">
      <c r="A178" t="s">
        <v>370</v>
      </c>
      <c r="B178" t="s">
        <v>299</v>
      </c>
      <c r="C178">
        <f t="shared" si="10"/>
        <v>801</v>
      </c>
      <c r="D178">
        <v>25113801</v>
      </c>
      <c r="E178">
        <v>1</v>
      </c>
      <c r="F178">
        <v>1</v>
      </c>
      <c r="G178" t="s">
        <v>127</v>
      </c>
      <c r="H178">
        <v>0</v>
      </c>
      <c r="I178">
        <v>25113</v>
      </c>
      <c r="J178">
        <v>2025</v>
      </c>
      <c r="K178">
        <v>1</v>
      </c>
      <c r="M178">
        <v>3</v>
      </c>
      <c r="N178" t="s">
        <v>371</v>
      </c>
      <c r="O178">
        <v>8</v>
      </c>
      <c r="P178">
        <v>1</v>
      </c>
      <c r="Q178">
        <v>44</v>
      </c>
      <c r="R178">
        <v>12.9</v>
      </c>
      <c r="S178">
        <v>1619</v>
      </c>
      <c r="T178">
        <f t="shared" si="11"/>
        <v>25113801</v>
      </c>
      <c r="U178">
        <f t="shared" si="12"/>
        <v>2262.7551347881895</v>
      </c>
      <c r="V178" s="10">
        <v>45870</v>
      </c>
      <c r="W178" s="10">
        <v>45916</v>
      </c>
      <c r="X178">
        <v>8</v>
      </c>
    </row>
    <row r="179" spans="1:24" x14ac:dyDescent="0.25">
      <c r="A179" t="s">
        <v>372</v>
      </c>
      <c r="B179" t="s">
        <v>299</v>
      </c>
      <c r="C179">
        <f t="shared" si="10"/>
        <v>802</v>
      </c>
      <c r="D179">
        <v>25113802</v>
      </c>
      <c r="E179">
        <v>2</v>
      </c>
      <c r="F179">
        <v>1</v>
      </c>
      <c r="G179" t="s">
        <v>127</v>
      </c>
      <c r="H179">
        <v>1</v>
      </c>
      <c r="I179">
        <v>25113</v>
      </c>
      <c r="J179">
        <v>2025</v>
      </c>
      <c r="K179">
        <v>2</v>
      </c>
      <c r="L179" t="s">
        <v>373</v>
      </c>
      <c r="M179" t="s">
        <v>134</v>
      </c>
      <c r="N179" t="s">
        <v>374</v>
      </c>
      <c r="O179">
        <v>8</v>
      </c>
      <c r="P179">
        <v>2</v>
      </c>
      <c r="Q179">
        <v>42</v>
      </c>
      <c r="R179">
        <v>14</v>
      </c>
      <c r="S179">
        <v>1025</v>
      </c>
      <c r="T179">
        <f t="shared" si="11"/>
        <v>25113802</v>
      </c>
      <c r="U179">
        <f t="shared" si="12"/>
        <v>1414.4736842105262</v>
      </c>
      <c r="V179" s="10">
        <v>45871</v>
      </c>
      <c r="W179" s="10">
        <v>45922</v>
      </c>
      <c r="X179">
        <v>11</v>
      </c>
    </row>
    <row r="180" spans="1:24" x14ac:dyDescent="0.25">
      <c r="A180" t="s">
        <v>375</v>
      </c>
      <c r="B180" t="s">
        <v>299</v>
      </c>
      <c r="C180">
        <f t="shared" si="10"/>
        <v>803</v>
      </c>
      <c r="D180">
        <v>25113803</v>
      </c>
      <c r="E180">
        <v>3</v>
      </c>
      <c r="F180">
        <v>1</v>
      </c>
      <c r="G180" t="s">
        <v>127</v>
      </c>
      <c r="H180">
        <v>0</v>
      </c>
      <c r="I180">
        <v>25113</v>
      </c>
      <c r="J180">
        <v>2025</v>
      </c>
      <c r="K180">
        <v>3</v>
      </c>
      <c r="M180">
        <v>3</v>
      </c>
      <c r="N180" t="s">
        <v>376</v>
      </c>
      <c r="O180">
        <v>8</v>
      </c>
      <c r="P180">
        <v>3</v>
      </c>
      <c r="Q180">
        <v>47</v>
      </c>
      <c r="R180">
        <v>11.3</v>
      </c>
      <c r="S180">
        <v>1167</v>
      </c>
      <c r="T180">
        <f t="shared" si="11"/>
        <v>25113803</v>
      </c>
      <c r="U180">
        <f t="shared" si="12"/>
        <v>1660.9900513478819</v>
      </c>
      <c r="V180" s="10">
        <v>45873</v>
      </c>
      <c r="W180" s="10">
        <v>45916</v>
      </c>
      <c r="X180">
        <v>26</v>
      </c>
    </row>
    <row r="181" spans="1:24" x14ac:dyDescent="0.25">
      <c r="A181" t="s">
        <v>377</v>
      </c>
      <c r="B181" t="s">
        <v>299</v>
      </c>
      <c r="C181">
        <f t="shared" si="10"/>
        <v>804</v>
      </c>
      <c r="D181">
        <v>25113804</v>
      </c>
      <c r="E181">
        <v>3</v>
      </c>
      <c r="F181">
        <v>2</v>
      </c>
      <c r="G181" t="s">
        <v>127</v>
      </c>
      <c r="H181">
        <v>0</v>
      </c>
      <c r="I181">
        <v>25113</v>
      </c>
      <c r="J181">
        <v>2025</v>
      </c>
      <c r="K181">
        <v>4</v>
      </c>
      <c r="M181">
        <v>3</v>
      </c>
      <c r="N181" t="s">
        <v>376</v>
      </c>
      <c r="O181">
        <v>8</v>
      </c>
      <c r="P181">
        <v>4</v>
      </c>
      <c r="Q181">
        <v>48</v>
      </c>
      <c r="R181">
        <v>15.4</v>
      </c>
      <c r="S181">
        <v>1142</v>
      </c>
      <c r="T181">
        <f t="shared" si="11"/>
        <v>25113804</v>
      </c>
      <c r="U181">
        <f t="shared" si="12"/>
        <v>1550.2759948652119</v>
      </c>
      <c r="V181" s="10">
        <v>45873</v>
      </c>
      <c r="W181" s="10">
        <v>45916</v>
      </c>
      <c r="X181">
        <v>29</v>
      </c>
    </row>
    <row r="182" spans="1:24" x14ac:dyDescent="0.25">
      <c r="A182" t="s">
        <v>378</v>
      </c>
      <c r="B182" t="s">
        <v>299</v>
      </c>
      <c r="C182">
        <f t="shared" si="10"/>
        <v>805</v>
      </c>
      <c r="D182">
        <v>25113805</v>
      </c>
      <c r="E182">
        <v>2</v>
      </c>
      <c r="F182">
        <v>2</v>
      </c>
      <c r="G182" t="s">
        <v>127</v>
      </c>
      <c r="H182">
        <v>1</v>
      </c>
      <c r="I182">
        <v>25113</v>
      </c>
      <c r="J182">
        <v>2025</v>
      </c>
      <c r="K182">
        <v>5</v>
      </c>
      <c r="L182" t="s">
        <v>373</v>
      </c>
      <c r="M182" t="s">
        <v>134</v>
      </c>
      <c r="N182" t="s">
        <v>374</v>
      </c>
      <c r="O182">
        <v>8</v>
      </c>
      <c r="P182">
        <v>5</v>
      </c>
      <c r="Q182">
        <v>40</v>
      </c>
      <c r="R182">
        <v>12.3</v>
      </c>
      <c r="S182">
        <v>935</v>
      </c>
      <c r="T182">
        <f t="shared" si="11"/>
        <v>25113805</v>
      </c>
      <c r="U182">
        <f t="shared" si="12"/>
        <v>1315.7814505776639</v>
      </c>
      <c r="V182" s="10">
        <v>45870</v>
      </c>
      <c r="W182" s="10">
        <v>45916</v>
      </c>
      <c r="X182">
        <v>44</v>
      </c>
    </row>
    <row r="183" spans="1:24" x14ac:dyDescent="0.25">
      <c r="A183" t="s">
        <v>379</v>
      </c>
      <c r="B183" t="s">
        <v>299</v>
      </c>
      <c r="C183">
        <f t="shared" si="10"/>
        <v>806</v>
      </c>
      <c r="D183">
        <v>25113806</v>
      </c>
      <c r="E183">
        <v>1</v>
      </c>
      <c r="F183">
        <v>2</v>
      </c>
      <c r="G183" t="s">
        <v>127</v>
      </c>
      <c r="H183">
        <v>0</v>
      </c>
      <c r="I183">
        <v>25113</v>
      </c>
      <c r="J183">
        <v>2025</v>
      </c>
      <c r="K183">
        <v>6</v>
      </c>
      <c r="M183">
        <v>3</v>
      </c>
      <c r="N183" t="s">
        <v>371</v>
      </c>
      <c r="O183">
        <v>8</v>
      </c>
      <c r="P183">
        <v>6</v>
      </c>
      <c r="Q183">
        <v>38</v>
      </c>
      <c r="R183">
        <v>12.7</v>
      </c>
      <c r="S183">
        <v>919</v>
      </c>
      <c r="T183">
        <f t="shared" si="11"/>
        <v>25113806</v>
      </c>
      <c r="U183">
        <f t="shared" si="12"/>
        <v>1287.3668164313224</v>
      </c>
      <c r="V183" s="10">
        <v>45871</v>
      </c>
      <c r="W183" s="10">
        <v>45916</v>
      </c>
      <c r="X183">
        <v>47</v>
      </c>
    </row>
    <row r="184" spans="1:24" x14ac:dyDescent="0.25">
      <c r="A184" t="s">
        <v>380</v>
      </c>
      <c r="B184" t="s">
        <v>299</v>
      </c>
      <c r="C184">
        <f t="shared" si="10"/>
        <v>807</v>
      </c>
      <c r="D184">
        <v>25113807</v>
      </c>
      <c r="E184">
        <v>1</v>
      </c>
      <c r="F184">
        <v>3</v>
      </c>
      <c r="G184" t="s">
        <v>127</v>
      </c>
      <c r="H184">
        <v>0</v>
      </c>
      <c r="I184">
        <v>25113</v>
      </c>
      <c r="J184">
        <v>2025</v>
      </c>
      <c r="K184">
        <v>7</v>
      </c>
      <c r="M184">
        <v>3</v>
      </c>
      <c r="N184" t="s">
        <v>371</v>
      </c>
      <c r="O184">
        <v>8</v>
      </c>
      <c r="P184">
        <v>7</v>
      </c>
      <c r="Q184">
        <v>44</v>
      </c>
      <c r="R184">
        <v>13.1</v>
      </c>
      <c r="S184">
        <v>728</v>
      </c>
      <c r="T184">
        <f t="shared" si="11"/>
        <v>25113807</v>
      </c>
      <c r="U184">
        <f t="shared" si="12"/>
        <v>1015.1347881899873</v>
      </c>
      <c r="V184" s="10">
        <v>45876</v>
      </c>
      <c r="W184" s="10">
        <v>45924</v>
      </c>
      <c r="X184">
        <v>62</v>
      </c>
    </row>
    <row r="185" spans="1:24" x14ac:dyDescent="0.25">
      <c r="A185" t="s">
        <v>381</v>
      </c>
      <c r="B185" t="s">
        <v>299</v>
      </c>
      <c r="C185">
        <f t="shared" si="10"/>
        <v>808</v>
      </c>
      <c r="D185">
        <v>25113808</v>
      </c>
      <c r="E185">
        <v>2</v>
      </c>
      <c r="F185">
        <v>3</v>
      </c>
      <c r="G185" t="s">
        <v>127</v>
      </c>
      <c r="H185">
        <v>1</v>
      </c>
      <c r="I185">
        <v>25113</v>
      </c>
      <c r="J185">
        <v>2025</v>
      </c>
      <c r="K185">
        <v>8</v>
      </c>
      <c r="L185" t="s">
        <v>373</v>
      </c>
      <c r="M185" t="s">
        <v>134</v>
      </c>
      <c r="N185" t="s">
        <v>374</v>
      </c>
      <c r="O185">
        <v>8</v>
      </c>
      <c r="P185">
        <v>8</v>
      </c>
      <c r="Q185">
        <v>42</v>
      </c>
      <c r="R185">
        <v>13.2</v>
      </c>
      <c r="S185">
        <v>1331</v>
      </c>
      <c r="T185">
        <f t="shared" si="11"/>
        <v>25113808</v>
      </c>
      <c r="U185">
        <f t="shared" si="12"/>
        <v>1853.831835686778</v>
      </c>
      <c r="V185" s="10">
        <v>45875</v>
      </c>
      <c r="W185" s="10">
        <v>45916</v>
      </c>
      <c r="X185">
        <v>65</v>
      </c>
    </row>
    <row r="186" spans="1:24" x14ac:dyDescent="0.25">
      <c r="A186" t="s">
        <v>382</v>
      </c>
      <c r="B186" t="s">
        <v>299</v>
      </c>
      <c r="C186">
        <f t="shared" si="10"/>
        <v>809</v>
      </c>
      <c r="D186">
        <v>25113809</v>
      </c>
      <c r="E186">
        <v>3</v>
      </c>
      <c r="F186">
        <v>3</v>
      </c>
      <c r="G186" t="s">
        <v>127</v>
      </c>
      <c r="H186">
        <v>0</v>
      </c>
      <c r="I186">
        <v>25113</v>
      </c>
      <c r="J186">
        <v>2025</v>
      </c>
      <c r="K186">
        <v>9</v>
      </c>
      <c r="M186">
        <v>3</v>
      </c>
      <c r="N186" t="s">
        <v>376</v>
      </c>
      <c r="O186">
        <v>8</v>
      </c>
      <c r="P186">
        <v>9</v>
      </c>
      <c r="Q186">
        <v>51</v>
      </c>
      <c r="R186">
        <v>14.8</v>
      </c>
      <c r="S186">
        <v>1472</v>
      </c>
      <c r="T186">
        <f t="shared" si="11"/>
        <v>25113809</v>
      </c>
      <c r="U186">
        <f t="shared" si="12"/>
        <v>2012.4261874197691</v>
      </c>
      <c r="V186" s="10">
        <v>45873</v>
      </c>
      <c r="W186" s="10">
        <v>45916</v>
      </c>
      <c r="X186">
        <v>80</v>
      </c>
    </row>
    <row r="187" spans="1:24" x14ac:dyDescent="0.25">
      <c r="A187" t="s">
        <v>383</v>
      </c>
      <c r="B187" t="s">
        <v>299</v>
      </c>
      <c r="C187">
        <f t="shared" si="10"/>
        <v>901</v>
      </c>
      <c r="D187">
        <v>25114901</v>
      </c>
      <c r="E187">
        <v>1</v>
      </c>
      <c r="F187">
        <v>1</v>
      </c>
      <c r="G187" t="s">
        <v>127</v>
      </c>
      <c r="H187">
        <v>0</v>
      </c>
      <c r="I187">
        <v>25114</v>
      </c>
      <c r="J187">
        <v>2025</v>
      </c>
      <c r="K187">
        <v>1</v>
      </c>
      <c r="M187">
        <v>5</v>
      </c>
      <c r="N187" t="s">
        <v>384</v>
      </c>
      <c r="O187">
        <v>9</v>
      </c>
      <c r="P187">
        <v>1</v>
      </c>
      <c r="Q187">
        <v>48</v>
      </c>
      <c r="R187">
        <v>9.9</v>
      </c>
      <c r="S187">
        <v>553</v>
      </c>
      <c r="T187">
        <f t="shared" si="11"/>
        <v>25114901</v>
      </c>
      <c r="U187">
        <f t="shared" si="12"/>
        <v>799.50738125802309</v>
      </c>
      <c r="V187" s="10">
        <v>45871</v>
      </c>
      <c r="W187" s="10">
        <v>45922</v>
      </c>
      <c r="X187">
        <v>9</v>
      </c>
    </row>
    <row r="188" spans="1:24" x14ac:dyDescent="0.25">
      <c r="A188" t="s">
        <v>385</v>
      </c>
      <c r="B188" t="s">
        <v>299</v>
      </c>
      <c r="C188">
        <f t="shared" si="10"/>
        <v>902</v>
      </c>
      <c r="D188">
        <v>25114902</v>
      </c>
      <c r="E188">
        <v>2</v>
      </c>
      <c r="F188">
        <v>1</v>
      </c>
      <c r="G188" t="s">
        <v>127</v>
      </c>
      <c r="H188">
        <v>0</v>
      </c>
      <c r="I188">
        <v>25114</v>
      </c>
      <c r="J188">
        <v>2025</v>
      </c>
      <c r="K188">
        <v>2</v>
      </c>
      <c r="M188">
        <v>5</v>
      </c>
      <c r="N188" t="s">
        <v>386</v>
      </c>
      <c r="O188">
        <v>9</v>
      </c>
      <c r="P188">
        <v>2</v>
      </c>
      <c r="Q188">
        <v>47</v>
      </c>
      <c r="R188">
        <v>10.199999999999999</v>
      </c>
      <c r="S188">
        <v>460</v>
      </c>
      <c r="T188">
        <f t="shared" si="11"/>
        <v>25114902</v>
      </c>
      <c r="U188">
        <f t="shared" si="12"/>
        <v>662.83697047496776</v>
      </c>
      <c r="V188" s="10">
        <v>45879</v>
      </c>
      <c r="W188" s="10">
        <v>45933</v>
      </c>
      <c r="X188">
        <v>10</v>
      </c>
    </row>
    <row r="189" spans="1:24" x14ac:dyDescent="0.25">
      <c r="A189" t="s">
        <v>387</v>
      </c>
      <c r="B189" t="s">
        <v>299</v>
      </c>
      <c r="C189">
        <f t="shared" si="10"/>
        <v>903</v>
      </c>
      <c r="D189">
        <v>25114903</v>
      </c>
      <c r="E189">
        <v>3</v>
      </c>
      <c r="F189">
        <v>1</v>
      </c>
      <c r="G189" t="s">
        <v>127</v>
      </c>
      <c r="H189">
        <v>1</v>
      </c>
      <c r="I189">
        <v>25114</v>
      </c>
      <c r="J189">
        <v>2025</v>
      </c>
      <c r="K189">
        <v>3</v>
      </c>
      <c r="M189" t="s">
        <v>187</v>
      </c>
      <c r="N189" t="s">
        <v>190</v>
      </c>
      <c r="O189">
        <v>9</v>
      </c>
      <c r="P189">
        <v>3</v>
      </c>
      <c r="Q189">
        <v>57</v>
      </c>
      <c r="R189">
        <v>10.5</v>
      </c>
      <c r="S189">
        <v>1173</v>
      </c>
      <c r="T189">
        <f t="shared" si="11"/>
        <v>25114903</v>
      </c>
      <c r="U189">
        <f t="shared" si="12"/>
        <v>1684.5876123234921</v>
      </c>
      <c r="V189" s="10">
        <v>45875</v>
      </c>
      <c r="W189" s="10">
        <v>45930</v>
      </c>
      <c r="X189">
        <v>27</v>
      </c>
    </row>
    <row r="190" spans="1:24" x14ac:dyDescent="0.25">
      <c r="A190" t="s">
        <v>388</v>
      </c>
      <c r="B190" t="s">
        <v>299</v>
      </c>
      <c r="C190">
        <f t="shared" si="10"/>
        <v>904</v>
      </c>
      <c r="D190">
        <v>25114904</v>
      </c>
      <c r="E190">
        <v>3</v>
      </c>
      <c r="F190">
        <v>2</v>
      </c>
      <c r="G190" t="s">
        <v>127</v>
      </c>
      <c r="H190">
        <v>1</v>
      </c>
      <c r="I190">
        <v>25114</v>
      </c>
      <c r="J190">
        <v>2025</v>
      </c>
      <c r="K190">
        <v>4</v>
      </c>
      <c r="M190" t="s">
        <v>187</v>
      </c>
      <c r="N190" t="s">
        <v>190</v>
      </c>
      <c r="O190">
        <v>9</v>
      </c>
      <c r="P190">
        <v>4</v>
      </c>
      <c r="Q190">
        <v>57</v>
      </c>
      <c r="R190">
        <v>10.6</v>
      </c>
      <c r="S190">
        <v>1288</v>
      </c>
      <c r="T190">
        <f t="shared" si="11"/>
        <v>25114904</v>
      </c>
      <c r="U190">
        <f t="shared" si="12"/>
        <v>1847.6765083440309</v>
      </c>
      <c r="V190" s="10">
        <v>45875</v>
      </c>
      <c r="W190" s="10">
        <v>45916</v>
      </c>
      <c r="X190">
        <v>28</v>
      </c>
    </row>
    <row r="191" spans="1:24" x14ac:dyDescent="0.25">
      <c r="A191" t="s">
        <v>389</v>
      </c>
      <c r="B191" t="s">
        <v>299</v>
      </c>
      <c r="C191">
        <f t="shared" si="10"/>
        <v>905</v>
      </c>
      <c r="D191">
        <v>25114905</v>
      </c>
      <c r="E191">
        <v>2</v>
      </c>
      <c r="F191">
        <v>2</v>
      </c>
      <c r="G191" t="s">
        <v>127</v>
      </c>
      <c r="H191">
        <v>0</v>
      </c>
      <c r="I191">
        <v>25114</v>
      </c>
      <c r="J191">
        <v>2025</v>
      </c>
      <c r="K191">
        <v>5</v>
      </c>
      <c r="M191">
        <v>5</v>
      </c>
      <c r="N191" t="s">
        <v>386</v>
      </c>
      <c r="O191">
        <v>9</v>
      </c>
      <c r="P191">
        <v>5</v>
      </c>
      <c r="Q191">
        <v>51</v>
      </c>
      <c r="R191">
        <v>9.8000000000000007</v>
      </c>
      <c r="S191">
        <v>574</v>
      </c>
      <c r="T191">
        <f t="shared" si="11"/>
        <v>25114905</v>
      </c>
      <c r="U191">
        <f t="shared" si="12"/>
        <v>830.78947368421052</v>
      </c>
      <c r="V191" s="10">
        <v>45873</v>
      </c>
      <c r="W191" s="10">
        <v>45924</v>
      </c>
      <c r="X191">
        <v>45</v>
      </c>
    </row>
    <row r="192" spans="1:24" x14ac:dyDescent="0.25">
      <c r="A192" t="s">
        <v>390</v>
      </c>
      <c r="B192" t="s">
        <v>299</v>
      </c>
      <c r="C192">
        <f t="shared" si="10"/>
        <v>906</v>
      </c>
      <c r="D192">
        <v>25114906</v>
      </c>
      <c r="E192">
        <v>1</v>
      </c>
      <c r="F192">
        <v>2</v>
      </c>
      <c r="G192" t="s">
        <v>127</v>
      </c>
      <c r="H192">
        <v>0</v>
      </c>
      <c r="I192">
        <v>25114</v>
      </c>
      <c r="J192">
        <v>2025</v>
      </c>
      <c r="K192">
        <v>6</v>
      </c>
      <c r="M192">
        <v>5</v>
      </c>
      <c r="N192" t="s">
        <v>384</v>
      </c>
      <c r="O192">
        <v>9</v>
      </c>
      <c r="P192">
        <v>6</v>
      </c>
      <c r="Q192">
        <v>54</v>
      </c>
      <c r="R192">
        <v>9.9</v>
      </c>
      <c r="S192">
        <v>596</v>
      </c>
      <c r="T192">
        <f t="shared" si="11"/>
        <v>25114906</v>
      </c>
      <c r="U192">
        <f t="shared" si="12"/>
        <v>861.67522464698322</v>
      </c>
      <c r="V192" s="10">
        <v>45874</v>
      </c>
      <c r="W192" s="10">
        <v>45922</v>
      </c>
      <c r="X192">
        <v>46</v>
      </c>
    </row>
    <row r="193" spans="1:24" x14ac:dyDescent="0.25">
      <c r="A193" t="s">
        <v>391</v>
      </c>
      <c r="B193" t="s">
        <v>299</v>
      </c>
      <c r="C193">
        <f t="shared" si="10"/>
        <v>907</v>
      </c>
      <c r="D193">
        <v>25114907</v>
      </c>
      <c r="E193">
        <v>1</v>
      </c>
      <c r="F193">
        <v>3</v>
      </c>
      <c r="G193" t="s">
        <v>127</v>
      </c>
      <c r="H193">
        <v>0</v>
      </c>
      <c r="I193">
        <v>25114</v>
      </c>
      <c r="J193">
        <v>2025</v>
      </c>
      <c r="K193">
        <v>7</v>
      </c>
      <c r="M193">
        <v>5</v>
      </c>
      <c r="N193" t="s">
        <v>384</v>
      </c>
      <c r="O193">
        <v>9</v>
      </c>
      <c r="P193">
        <v>7</v>
      </c>
      <c r="Q193">
        <v>50</v>
      </c>
      <c r="R193">
        <v>9.8000000000000007</v>
      </c>
      <c r="S193">
        <v>473</v>
      </c>
      <c r="T193">
        <f t="shared" si="11"/>
        <v>25114907</v>
      </c>
      <c r="U193">
        <f t="shared" si="12"/>
        <v>684.6052631578948</v>
      </c>
      <c r="V193" s="10">
        <v>45870</v>
      </c>
      <c r="W193" s="10">
        <v>45916</v>
      </c>
      <c r="X193">
        <v>63</v>
      </c>
    </row>
    <row r="194" spans="1:24" x14ac:dyDescent="0.25">
      <c r="A194" t="s">
        <v>392</v>
      </c>
      <c r="B194" t="s">
        <v>299</v>
      </c>
      <c r="C194">
        <f t="shared" si="10"/>
        <v>908</v>
      </c>
      <c r="D194">
        <v>25114908</v>
      </c>
      <c r="E194">
        <v>2</v>
      </c>
      <c r="F194">
        <v>3</v>
      </c>
      <c r="G194" t="s">
        <v>127</v>
      </c>
      <c r="H194">
        <v>0</v>
      </c>
      <c r="I194">
        <v>25114</v>
      </c>
      <c r="J194">
        <v>2025</v>
      </c>
      <c r="K194">
        <v>8</v>
      </c>
      <c r="M194">
        <v>5</v>
      </c>
      <c r="N194" t="s">
        <v>386</v>
      </c>
      <c r="O194">
        <v>9</v>
      </c>
      <c r="P194">
        <v>8</v>
      </c>
      <c r="Q194">
        <v>46</v>
      </c>
      <c r="R194">
        <v>10.199999999999999</v>
      </c>
      <c r="S194">
        <v>532</v>
      </c>
      <c r="T194">
        <f t="shared" si="11"/>
        <v>25114908</v>
      </c>
      <c r="U194">
        <f t="shared" si="12"/>
        <v>766.58536585365857</v>
      </c>
      <c r="V194" s="10">
        <v>45870</v>
      </c>
      <c r="W194" s="10">
        <v>45915</v>
      </c>
      <c r="X194">
        <v>64</v>
      </c>
    </row>
    <row r="195" spans="1:24" x14ac:dyDescent="0.25">
      <c r="A195" t="s">
        <v>393</v>
      </c>
      <c r="B195" t="s">
        <v>299</v>
      </c>
      <c r="C195">
        <f t="shared" si="10"/>
        <v>909</v>
      </c>
      <c r="D195">
        <v>25114909</v>
      </c>
      <c r="E195">
        <v>3</v>
      </c>
      <c r="F195">
        <v>3</v>
      </c>
      <c r="G195" t="s">
        <v>127</v>
      </c>
      <c r="H195">
        <v>1</v>
      </c>
      <c r="I195">
        <v>25114</v>
      </c>
      <c r="J195">
        <v>2025</v>
      </c>
      <c r="K195">
        <v>9</v>
      </c>
      <c r="M195" t="s">
        <v>187</v>
      </c>
      <c r="N195" t="s">
        <v>190</v>
      </c>
      <c r="O195">
        <v>9</v>
      </c>
      <c r="P195">
        <v>9</v>
      </c>
      <c r="Q195">
        <v>56</v>
      </c>
      <c r="R195">
        <v>10.6</v>
      </c>
      <c r="S195">
        <v>1019</v>
      </c>
      <c r="T195">
        <f t="shared" si="11"/>
        <v>25114909</v>
      </c>
      <c r="U195">
        <f t="shared" si="12"/>
        <v>1461.7875481386391</v>
      </c>
      <c r="V195" s="10">
        <v>45871</v>
      </c>
      <c r="W195" s="10">
        <v>45916</v>
      </c>
      <c r="X19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704 </vt:lpstr>
      <vt:lpstr>710</vt:lpstr>
      <vt:lpstr>717</vt:lpstr>
      <vt:lpstr>724</vt:lpstr>
      <vt:lpstr>731</vt:lpstr>
      <vt:lpstr>805</vt:lpstr>
      <vt:lpstr>ConsolidatedAllTimings</vt:lpstr>
      <vt:lpstr>YieldData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2015-06-05T18:17:20Z</dcterms:created>
  <dcterms:modified xsi:type="dcterms:W3CDTF">2026-01-19T20:30:32Z</dcterms:modified>
</cp:coreProperties>
</file>