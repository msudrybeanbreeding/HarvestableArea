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2024 HA data analysis/"/>
    </mc:Choice>
  </mc:AlternateContent>
  <xr:revisionPtr revIDLastSave="256" documentId="8_{21A733FD-BE3B-42E7-BD94-557F05D30464}" xr6:coauthVersionLast="47" xr6:coauthVersionMax="47" xr10:uidLastSave="{2CB24C7E-03C7-442F-8E46-7B4C1EBA6B9C}"/>
  <bookViews>
    <workbookView xWindow="-120" yWindow="-120" windowWidth="38640" windowHeight="21120" activeTab="6" xr2:uid="{A2A66F1D-E793-4F45-A2E7-868964FE3ED8}"/>
  </bookViews>
  <sheets>
    <sheet name="613" sheetId="1" r:id="rId1"/>
    <sheet name="618" sheetId="2" r:id="rId2"/>
    <sheet name="628" sheetId="4" r:id="rId3"/>
    <sheet name="702" sheetId="5" r:id="rId4"/>
    <sheet name="710" sheetId="6" r:id="rId5"/>
    <sheet name="715" sheetId="7" r:id="rId6"/>
    <sheet name="Consolidated" sheetId="8" r:id="rId7"/>
    <sheet name="YieldData" sheetId="9" r:id="rId8"/>
    <sheet name="AgronomyYieldData" sheetId="10" r:id="rId9"/>
  </sheets>
  <definedNames>
    <definedName name="_xlnm._FilterDatabase" localSheetId="6" hidden="1">Consolidated!$A$1:$V$673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9" i="8" l="1"/>
  <c r="F339" i="8" s="1"/>
  <c r="E340" i="8"/>
  <c r="F340" i="8" s="1"/>
  <c r="E341" i="8"/>
  <c r="F341" i="8" s="1"/>
  <c r="E342" i="8"/>
  <c r="F342" i="8" s="1"/>
  <c r="E343" i="8"/>
  <c r="F343" i="8" s="1"/>
  <c r="E344" i="8"/>
  <c r="F344" i="8" s="1"/>
  <c r="E345" i="8"/>
  <c r="F345" i="8" s="1"/>
  <c r="E346" i="8"/>
  <c r="F346" i="8" s="1"/>
  <c r="E347" i="8"/>
  <c r="F347" i="8" s="1"/>
  <c r="E348" i="8"/>
  <c r="F348" i="8" s="1"/>
  <c r="E349" i="8"/>
  <c r="F349" i="8" s="1"/>
  <c r="E350" i="8"/>
  <c r="F350" i="8" s="1"/>
  <c r="E351" i="8"/>
  <c r="F351" i="8" s="1"/>
  <c r="E352" i="8"/>
  <c r="F352" i="8" s="1"/>
  <c r="E353" i="8"/>
  <c r="E354" i="8"/>
  <c r="F354" i="8" s="1"/>
  <c r="E355" i="8"/>
  <c r="F355" i="8" s="1"/>
  <c r="E356" i="8"/>
  <c r="F356" i="8" s="1"/>
  <c r="E357" i="8"/>
  <c r="F357" i="8" s="1"/>
  <c r="E358" i="8"/>
  <c r="F358" i="8" s="1"/>
  <c r="E359" i="8"/>
  <c r="F359" i="8" s="1"/>
  <c r="E360" i="8"/>
  <c r="F360" i="8" s="1"/>
  <c r="E361" i="8"/>
  <c r="F361" i="8" s="1"/>
  <c r="E362" i="8"/>
  <c r="F362" i="8" s="1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E370" i="8"/>
  <c r="F370" i="8" s="1"/>
  <c r="E371" i="8"/>
  <c r="F371" i="8" s="1"/>
  <c r="E372" i="8"/>
  <c r="F372" i="8" s="1"/>
  <c r="E373" i="8"/>
  <c r="F373" i="8" s="1"/>
  <c r="E374" i="8"/>
  <c r="F374" i="8" s="1"/>
  <c r="E375" i="8"/>
  <c r="F375" i="8" s="1"/>
  <c r="E376" i="8"/>
  <c r="F376" i="8" s="1"/>
  <c r="E377" i="8"/>
  <c r="F377" i="8" s="1"/>
  <c r="E378" i="8"/>
  <c r="F378" i="8" s="1"/>
  <c r="E379" i="8"/>
  <c r="F379" i="8" s="1"/>
  <c r="E380" i="8"/>
  <c r="F380" i="8" s="1"/>
  <c r="E381" i="8"/>
  <c r="F381" i="8" s="1"/>
  <c r="E382" i="8"/>
  <c r="F382" i="8" s="1"/>
  <c r="E383" i="8"/>
  <c r="F383" i="8" s="1"/>
  <c r="E384" i="8"/>
  <c r="F384" i="8" s="1"/>
  <c r="E385" i="8"/>
  <c r="E386" i="8"/>
  <c r="F386" i="8" s="1"/>
  <c r="E387" i="8"/>
  <c r="F387" i="8" s="1"/>
  <c r="E388" i="8"/>
  <c r="F388" i="8" s="1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F399" i="8" s="1"/>
  <c r="E400" i="8"/>
  <c r="F400" i="8" s="1"/>
  <c r="E401" i="8"/>
  <c r="E402" i="8"/>
  <c r="F402" i="8" s="1"/>
  <c r="E403" i="8"/>
  <c r="F403" i="8" s="1"/>
  <c r="E404" i="8"/>
  <c r="F404" i="8" s="1"/>
  <c r="E405" i="8"/>
  <c r="F405" i="8" s="1"/>
  <c r="E406" i="8"/>
  <c r="F406" i="8" s="1"/>
  <c r="E407" i="8"/>
  <c r="F407" i="8" s="1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G417" i="8" s="1"/>
  <c r="E418" i="8"/>
  <c r="F418" i="8" s="1"/>
  <c r="E419" i="8"/>
  <c r="F419" i="8" s="1"/>
  <c r="E420" i="8"/>
  <c r="F420" i="8" s="1"/>
  <c r="E421" i="8"/>
  <c r="F421" i="8" s="1"/>
  <c r="E422" i="8"/>
  <c r="F422" i="8" s="1"/>
  <c r="E423" i="8"/>
  <c r="F423" i="8" s="1"/>
  <c r="E424" i="8"/>
  <c r="F424" i="8" s="1"/>
  <c r="E425" i="8"/>
  <c r="F425" i="8" s="1"/>
  <c r="E426" i="8"/>
  <c r="F426" i="8" s="1"/>
  <c r="E427" i="8"/>
  <c r="F427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E434" i="8"/>
  <c r="F434" i="8" s="1"/>
  <c r="E435" i="8"/>
  <c r="F435" i="8" s="1"/>
  <c r="E436" i="8"/>
  <c r="F436" i="8" s="1"/>
  <c r="E437" i="8"/>
  <c r="F437" i="8" s="1"/>
  <c r="E438" i="8"/>
  <c r="F438" i="8" s="1"/>
  <c r="E439" i="8"/>
  <c r="F439" i="8" s="1"/>
  <c r="E440" i="8"/>
  <c r="F440" i="8" s="1"/>
  <c r="E441" i="8"/>
  <c r="F441" i="8" s="1"/>
  <c r="E442" i="8"/>
  <c r="F442" i="8" s="1"/>
  <c r="E443" i="8"/>
  <c r="F443" i="8" s="1"/>
  <c r="E444" i="8"/>
  <c r="F444" i="8" s="1"/>
  <c r="E445" i="8"/>
  <c r="F445" i="8" s="1"/>
  <c r="E446" i="8"/>
  <c r="F446" i="8" s="1"/>
  <c r="E447" i="8"/>
  <c r="F447" i="8" s="1"/>
  <c r="E448" i="8"/>
  <c r="F448" i="8" s="1"/>
  <c r="E449" i="8"/>
  <c r="E450" i="8"/>
  <c r="F450" i="8" s="1"/>
  <c r="E451" i="8"/>
  <c r="F451" i="8" s="1"/>
  <c r="E452" i="8"/>
  <c r="F452" i="8" s="1"/>
  <c r="E453" i="8"/>
  <c r="F453" i="8" s="1"/>
  <c r="E454" i="8"/>
  <c r="F454" i="8" s="1"/>
  <c r="E455" i="8"/>
  <c r="F455" i="8" s="1"/>
  <c r="E456" i="8"/>
  <c r="F456" i="8" s="1"/>
  <c r="E457" i="8"/>
  <c r="F457" i="8" s="1"/>
  <c r="E458" i="8"/>
  <c r="F458" i="8" s="1"/>
  <c r="E459" i="8"/>
  <c r="F459" i="8" s="1"/>
  <c r="E460" i="8"/>
  <c r="F460" i="8" s="1"/>
  <c r="E461" i="8"/>
  <c r="F461" i="8" s="1"/>
  <c r="E462" i="8"/>
  <c r="F462" i="8" s="1"/>
  <c r="E463" i="8"/>
  <c r="F463" i="8" s="1"/>
  <c r="E464" i="8"/>
  <c r="F464" i="8" s="1"/>
  <c r="E465" i="8"/>
  <c r="E466" i="8"/>
  <c r="F466" i="8" s="1"/>
  <c r="E467" i="8"/>
  <c r="F467" i="8" s="1"/>
  <c r="E468" i="8"/>
  <c r="F468" i="8" s="1"/>
  <c r="E469" i="8"/>
  <c r="F469" i="8" s="1"/>
  <c r="E470" i="8"/>
  <c r="F470" i="8" s="1"/>
  <c r="E471" i="8"/>
  <c r="F471" i="8" s="1"/>
  <c r="E472" i="8"/>
  <c r="F472" i="8" s="1"/>
  <c r="E473" i="8"/>
  <c r="F473" i="8" s="1"/>
  <c r="E474" i="8"/>
  <c r="F474" i="8" s="1"/>
  <c r="E475" i="8"/>
  <c r="F475" i="8" s="1"/>
  <c r="E476" i="8"/>
  <c r="F476" i="8" s="1"/>
  <c r="E477" i="8"/>
  <c r="F477" i="8" s="1"/>
  <c r="E478" i="8"/>
  <c r="F478" i="8" s="1"/>
  <c r="E479" i="8"/>
  <c r="F479" i="8" s="1"/>
  <c r="E480" i="8"/>
  <c r="F480" i="8" s="1"/>
  <c r="E481" i="8"/>
  <c r="E482" i="8"/>
  <c r="F482" i="8" s="1"/>
  <c r="E483" i="8"/>
  <c r="F483" i="8" s="1"/>
  <c r="E484" i="8"/>
  <c r="F484" i="8" s="1"/>
  <c r="E485" i="8"/>
  <c r="F485" i="8" s="1"/>
  <c r="E486" i="8"/>
  <c r="F486" i="8" s="1"/>
  <c r="E487" i="8"/>
  <c r="F487" i="8" s="1"/>
  <c r="E488" i="8"/>
  <c r="F488" i="8" s="1"/>
  <c r="E489" i="8"/>
  <c r="F489" i="8" s="1"/>
  <c r="E490" i="8"/>
  <c r="F490" i="8" s="1"/>
  <c r="E491" i="8"/>
  <c r="F491" i="8" s="1"/>
  <c r="E492" i="8"/>
  <c r="F492" i="8" s="1"/>
  <c r="E493" i="8"/>
  <c r="F493" i="8" s="1"/>
  <c r="E494" i="8"/>
  <c r="F494" i="8" s="1"/>
  <c r="E495" i="8"/>
  <c r="F495" i="8" s="1"/>
  <c r="E496" i="8"/>
  <c r="F496" i="8" s="1"/>
  <c r="E497" i="8"/>
  <c r="E498" i="8"/>
  <c r="F498" i="8" s="1"/>
  <c r="E499" i="8"/>
  <c r="F499" i="8" s="1"/>
  <c r="E500" i="8"/>
  <c r="F500" i="8" s="1"/>
  <c r="E501" i="8"/>
  <c r="F501" i="8" s="1"/>
  <c r="E502" i="8"/>
  <c r="F502" i="8" s="1"/>
  <c r="E503" i="8"/>
  <c r="F503" i="8" s="1"/>
  <c r="E504" i="8"/>
  <c r="F504" i="8" s="1"/>
  <c r="E505" i="8"/>
  <c r="F505" i="8" s="1"/>
  <c r="E506" i="8"/>
  <c r="F506" i="8" s="1"/>
  <c r="E507" i="8"/>
  <c r="F507" i="8" s="1"/>
  <c r="E508" i="8"/>
  <c r="F508" i="8" s="1"/>
  <c r="E509" i="8"/>
  <c r="F509" i="8" s="1"/>
  <c r="E510" i="8"/>
  <c r="F510" i="8" s="1"/>
  <c r="E511" i="8"/>
  <c r="F511" i="8" s="1"/>
  <c r="E512" i="8"/>
  <c r="F512" i="8" s="1"/>
  <c r="E513" i="8"/>
  <c r="E514" i="8"/>
  <c r="G514" i="8" s="1"/>
  <c r="E515" i="8"/>
  <c r="F515" i="8" s="1"/>
  <c r="E516" i="8"/>
  <c r="F516" i="8" s="1"/>
  <c r="E517" i="8"/>
  <c r="F517" i="8" s="1"/>
  <c r="E518" i="8"/>
  <c r="F518" i="8" s="1"/>
  <c r="E519" i="8"/>
  <c r="F519" i="8" s="1"/>
  <c r="E520" i="8"/>
  <c r="F520" i="8" s="1"/>
  <c r="E521" i="8"/>
  <c r="F521" i="8" s="1"/>
  <c r="E522" i="8"/>
  <c r="F522" i="8" s="1"/>
  <c r="E523" i="8"/>
  <c r="F523" i="8" s="1"/>
  <c r="E524" i="8"/>
  <c r="F524" i="8" s="1"/>
  <c r="E525" i="8"/>
  <c r="F525" i="8" s="1"/>
  <c r="E526" i="8"/>
  <c r="F526" i="8" s="1"/>
  <c r="E527" i="8"/>
  <c r="F527" i="8" s="1"/>
  <c r="E528" i="8"/>
  <c r="F528" i="8" s="1"/>
  <c r="E529" i="8"/>
  <c r="E530" i="8"/>
  <c r="G530" i="8" s="1"/>
  <c r="E531" i="8"/>
  <c r="F531" i="8" s="1"/>
  <c r="E532" i="8"/>
  <c r="F532" i="8" s="1"/>
  <c r="E533" i="8"/>
  <c r="F533" i="8" s="1"/>
  <c r="E534" i="8"/>
  <c r="F534" i="8" s="1"/>
  <c r="E535" i="8"/>
  <c r="F535" i="8" s="1"/>
  <c r="E536" i="8"/>
  <c r="F536" i="8" s="1"/>
  <c r="E537" i="8"/>
  <c r="F537" i="8" s="1"/>
  <c r="E538" i="8"/>
  <c r="F538" i="8" s="1"/>
  <c r="E539" i="8"/>
  <c r="F539" i="8" s="1"/>
  <c r="E540" i="8"/>
  <c r="F540" i="8" s="1"/>
  <c r="E541" i="8"/>
  <c r="F541" i="8" s="1"/>
  <c r="E542" i="8"/>
  <c r="F542" i="8" s="1"/>
  <c r="E543" i="8"/>
  <c r="F543" i="8" s="1"/>
  <c r="E544" i="8"/>
  <c r="F544" i="8" s="1"/>
  <c r="E545" i="8"/>
  <c r="F545" i="8" s="1"/>
  <c r="E546" i="8"/>
  <c r="G546" i="8" s="1"/>
  <c r="E547" i="8"/>
  <c r="F547" i="8" s="1"/>
  <c r="E548" i="8"/>
  <c r="F548" i="8" s="1"/>
  <c r="E549" i="8"/>
  <c r="F549" i="8" s="1"/>
  <c r="E550" i="8"/>
  <c r="F550" i="8" s="1"/>
  <c r="E551" i="8"/>
  <c r="F551" i="8" s="1"/>
  <c r="E552" i="8"/>
  <c r="F552" i="8" s="1"/>
  <c r="E553" i="8"/>
  <c r="F553" i="8" s="1"/>
  <c r="E554" i="8"/>
  <c r="F554" i="8" s="1"/>
  <c r="E555" i="8"/>
  <c r="F555" i="8" s="1"/>
  <c r="E556" i="8"/>
  <c r="F556" i="8" s="1"/>
  <c r="E557" i="8"/>
  <c r="F557" i="8" s="1"/>
  <c r="E558" i="8"/>
  <c r="F558" i="8" s="1"/>
  <c r="E559" i="8"/>
  <c r="F559" i="8" s="1"/>
  <c r="E560" i="8"/>
  <c r="F560" i="8" s="1"/>
  <c r="E561" i="8"/>
  <c r="E562" i="8"/>
  <c r="G562" i="8" s="1"/>
  <c r="E563" i="8"/>
  <c r="F563" i="8" s="1"/>
  <c r="E564" i="8"/>
  <c r="F564" i="8" s="1"/>
  <c r="E565" i="8"/>
  <c r="F565" i="8" s="1"/>
  <c r="E566" i="8"/>
  <c r="F566" i="8" s="1"/>
  <c r="E567" i="8"/>
  <c r="F567" i="8" s="1"/>
  <c r="E568" i="8"/>
  <c r="F568" i="8" s="1"/>
  <c r="E569" i="8"/>
  <c r="F569" i="8" s="1"/>
  <c r="E570" i="8"/>
  <c r="F570" i="8" s="1"/>
  <c r="E571" i="8"/>
  <c r="F571" i="8" s="1"/>
  <c r="E572" i="8"/>
  <c r="F572" i="8" s="1"/>
  <c r="E573" i="8"/>
  <c r="F573" i="8" s="1"/>
  <c r="E574" i="8"/>
  <c r="F574" i="8" s="1"/>
  <c r="E575" i="8"/>
  <c r="F575" i="8" s="1"/>
  <c r="E576" i="8"/>
  <c r="F576" i="8" s="1"/>
  <c r="E577" i="8"/>
  <c r="E578" i="8"/>
  <c r="G578" i="8" s="1"/>
  <c r="E579" i="8"/>
  <c r="F579" i="8" s="1"/>
  <c r="E580" i="8"/>
  <c r="F580" i="8" s="1"/>
  <c r="E581" i="8"/>
  <c r="F581" i="8" s="1"/>
  <c r="E582" i="8"/>
  <c r="F582" i="8" s="1"/>
  <c r="E583" i="8"/>
  <c r="F583" i="8" s="1"/>
  <c r="E584" i="8"/>
  <c r="F584" i="8" s="1"/>
  <c r="E585" i="8"/>
  <c r="F585" i="8" s="1"/>
  <c r="E586" i="8"/>
  <c r="F586" i="8" s="1"/>
  <c r="E587" i="8"/>
  <c r="F587" i="8" s="1"/>
  <c r="E588" i="8"/>
  <c r="F588" i="8" s="1"/>
  <c r="E589" i="8"/>
  <c r="F589" i="8" s="1"/>
  <c r="E590" i="8"/>
  <c r="F590" i="8" s="1"/>
  <c r="E591" i="8"/>
  <c r="F591" i="8" s="1"/>
  <c r="E592" i="8"/>
  <c r="F592" i="8" s="1"/>
  <c r="E593" i="8"/>
  <c r="F593" i="8" s="1"/>
  <c r="E594" i="8"/>
  <c r="F594" i="8" s="1"/>
  <c r="E595" i="8"/>
  <c r="F595" i="8" s="1"/>
  <c r="E596" i="8"/>
  <c r="F596" i="8" s="1"/>
  <c r="E597" i="8"/>
  <c r="F597" i="8" s="1"/>
  <c r="E598" i="8"/>
  <c r="F598" i="8" s="1"/>
  <c r="E599" i="8"/>
  <c r="F599" i="8" s="1"/>
  <c r="E600" i="8"/>
  <c r="F600" i="8" s="1"/>
  <c r="E601" i="8"/>
  <c r="F601" i="8" s="1"/>
  <c r="E602" i="8"/>
  <c r="F602" i="8" s="1"/>
  <c r="E603" i="8"/>
  <c r="F603" i="8" s="1"/>
  <c r="E604" i="8"/>
  <c r="F604" i="8" s="1"/>
  <c r="E605" i="8"/>
  <c r="F605" i="8" s="1"/>
  <c r="E606" i="8"/>
  <c r="F606" i="8" s="1"/>
  <c r="E607" i="8"/>
  <c r="F607" i="8" s="1"/>
  <c r="E608" i="8"/>
  <c r="F608" i="8" s="1"/>
  <c r="E609" i="8"/>
  <c r="E610" i="8"/>
  <c r="F610" i="8" s="1"/>
  <c r="E611" i="8"/>
  <c r="F611" i="8" s="1"/>
  <c r="E612" i="8"/>
  <c r="F612" i="8" s="1"/>
  <c r="E613" i="8"/>
  <c r="F613" i="8" s="1"/>
  <c r="E614" i="8"/>
  <c r="F614" i="8" s="1"/>
  <c r="E615" i="8"/>
  <c r="F615" i="8" s="1"/>
  <c r="E616" i="8"/>
  <c r="F616" i="8" s="1"/>
  <c r="E617" i="8"/>
  <c r="F617" i="8" s="1"/>
  <c r="E618" i="8"/>
  <c r="F618" i="8" s="1"/>
  <c r="E619" i="8"/>
  <c r="F619" i="8" s="1"/>
  <c r="E620" i="8"/>
  <c r="F620" i="8" s="1"/>
  <c r="E621" i="8"/>
  <c r="F621" i="8" s="1"/>
  <c r="E622" i="8"/>
  <c r="F622" i="8" s="1"/>
  <c r="E623" i="8"/>
  <c r="F623" i="8" s="1"/>
  <c r="E624" i="8"/>
  <c r="F624" i="8" s="1"/>
  <c r="E625" i="8"/>
  <c r="E626" i="8"/>
  <c r="F626" i="8" s="1"/>
  <c r="E627" i="8"/>
  <c r="F627" i="8" s="1"/>
  <c r="E628" i="8"/>
  <c r="F628" i="8" s="1"/>
  <c r="E629" i="8"/>
  <c r="F629" i="8" s="1"/>
  <c r="E630" i="8"/>
  <c r="F630" i="8" s="1"/>
  <c r="E631" i="8"/>
  <c r="F631" i="8" s="1"/>
  <c r="E632" i="8"/>
  <c r="F632" i="8" s="1"/>
  <c r="E633" i="8"/>
  <c r="F633" i="8" s="1"/>
  <c r="E634" i="8"/>
  <c r="F634" i="8" s="1"/>
  <c r="E635" i="8"/>
  <c r="F635" i="8" s="1"/>
  <c r="E636" i="8"/>
  <c r="F636" i="8" s="1"/>
  <c r="E637" i="8"/>
  <c r="F637" i="8" s="1"/>
  <c r="E638" i="8"/>
  <c r="F638" i="8" s="1"/>
  <c r="E639" i="8"/>
  <c r="F639" i="8" s="1"/>
  <c r="E640" i="8"/>
  <c r="F640" i="8" s="1"/>
  <c r="E641" i="8"/>
  <c r="E642" i="8"/>
  <c r="F642" i="8" s="1"/>
  <c r="E643" i="8"/>
  <c r="F643" i="8" s="1"/>
  <c r="E644" i="8"/>
  <c r="F644" i="8" s="1"/>
  <c r="E645" i="8"/>
  <c r="F645" i="8" s="1"/>
  <c r="E646" i="8"/>
  <c r="F646" i="8" s="1"/>
  <c r="E647" i="8"/>
  <c r="F647" i="8" s="1"/>
  <c r="E648" i="8"/>
  <c r="F648" i="8" s="1"/>
  <c r="E649" i="8"/>
  <c r="F649" i="8" s="1"/>
  <c r="E650" i="8"/>
  <c r="F650" i="8" s="1"/>
  <c r="E651" i="8"/>
  <c r="F651" i="8" s="1"/>
  <c r="E652" i="8"/>
  <c r="F652" i="8" s="1"/>
  <c r="E653" i="8"/>
  <c r="F653" i="8" s="1"/>
  <c r="E654" i="8"/>
  <c r="F654" i="8" s="1"/>
  <c r="E655" i="8"/>
  <c r="F655" i="8" s="1"/>
  <c r="E656" i="8"/>
  <c r="F656" i="8" s="1"/>
  <c r="E657" i="8"/>
  <c r="E658" i="8"/>
  <c r="F658" i="8" s="1"/>
  <c r="E659" i="8"/>
  <c r="F659" i="8" s="1"/>
  <c r="E660" i="8"/>
  <c r="F660" i="8" s="1"/>
  <c r="E661" i="8"/>
  <c r="F661" i="8" s="1"/>
  <c r="E662" i="8"/>
  <c r="F662" i="8" s="1"/>
  <c r="E663" i="8"/>
  <c r="F663" i="8" s="1"/>
  <c r="E664" i="8"/>
  <c r="F664" i="8" s="1"/>
  <c r="E665" i="8"/>
  <c r="F665" i="8" s="1"/>
  <c r="E666" i="8"/>
  <c r="F666" i="8" s="1"/>
  <c r="E667" i="8"/>
  <c r="F667" i="8" s="1"/>
  <c r="E668" i="8"/>
  <c r="F668" i="8" s="1"/>
  <c r="E669" i="8"/>
  <c r="F669" i="8" s="1"/>
  <c r="E670" i="8"/>
  <c r="F670" i="8" s="1"/>
  <c r="E671" i="8"/>
  <c r="F671" i="8" s="1"/>
  <c r="E672" i="8"/>
  <c r="F672" i="8" s="1"/>
  <c r="E673" i="8"/>
  <c r="E338" i="8"/>
  <c r="F338" i="8" s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2" i="10"/>
  <c r="G9" i="8"/>
  <c r="G10" i="8"/>
  <c r="G26" i="8"/>
  <c r="G41" i="8"/>
  <c r="G42" i="8"/>
  <c r="G57" i="8"/>
  <c r="G58" i="8"/>
  <c r="G74" i="8"/>
  <c r="G137" i="8"/>
  <c r="G154" i="8"/>
  <c r="G169" i="8"/>
  <c r="G170" i="8"/>
  <c r="G185" i="8"/>
  <c r="G186" i="8"/>
  <c r="G202" i="8"/>
  <c r="G265" i="8"/>
  <c r="G282" i="8"/>
  <c r="G297" i="8"/>
  <c r="G298" i="8"/>
  <c r="G313" i="8"/>
  <c r="G314" i="8"/>
  <c r="G330" i="8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2" i="9"/>
  <c r="H3" i="9"/>
  <c r="H4" i="9"/>
  <c r="H5" i="9"/>
  <c r="H6" i="9"/>
  <c r="H7" i="9"/>
  <c r="H8" i="9"/>
  <c r="H9" i="9"/>
  <c r="F178" i="8"/>
  <c r="F242" i="8"/>
  <c r="F329" i="8"/>
  <c r="AC49" i="10" a="1"/>
  <c r="AC49" i="10" s="1"/>
  <c r="AA49" i="10"/>
  <c r="AB49" i="10" s="1"/>
  <c r="AA73" i="10"/>
  <c r="AA97" i="10"/>
  <c r="AC121" i="10" a="1"/>
  <c r="AC121" i="10" s="1"/>
  <c r="AA121" i="10"/>
  <c r="AB121" i="10" s="1"/>
  <c r="AA145" i="10"/>
  <c r="AB145" i="10" s="1"/>
  <c r="AC145" i="10" s="1" a="1"/>
  <c r="AC145" i="10" s="1"/>
  <c r="AC169" i="10" a="1"/>
  <c r="AC169" i="10" s="1"/>
  <c r="AA169" i="10"/>
  <c r="AB169" i="10" s="1"/>
  <c r="AA193" i="10"/>
  <c r="AB193" i="10" s="1"/>
  <c r="AC193" i="10" s="1" a="1"/>
  <c r="AC193" i="10" s="1"/>
  <c r="AC217" i="10" a="1"/>
  <c r="AC217" i="10" s="1"/>
  <c r="AA217" i="10"/>
  <c r="AB217" i="10" s="1"/>
  <c r="AA241" i="10"/>
  <c r="AB241" i="10" s="1"/>
  <c r="AC241" i="10" s="1" a="1"/>
  <c r="AC241" i="10" s="1"/>
  <c r="AA265" i="10"/>
  <c r="AB265" i="10" s="1"/>
  <c r="AC265" i="10" s="1" a="1"/>
  <c r="AC265" i="10" s="1"/>
  <c r="AC289" i="10" a="1"/>
  <c r="AC289" i="10" s="1"/>
  <c r="AA289" i="10"/>
  <c r="AB289" i="10" s="1"/>
  <c r="AA313" i="10"/>
  <c r="AB313" i="10" s="1"/>
  <c r="AC313" i="10" s="1" a="1"/>
  <c r="AC313" i="10" s="1"/>
  <c r="AC361" i="10" a="1"/>
  <c r="AC361" i="10" s="1"/>
  <c r="AA361" i="10"/>
  <c r="AB361" i="10" s="1"/>
  <c r="AC360" i="10" a="1"/>
  <c r="AC360" i="10" s="1"/>
  <c r="AA360" i="10"/>
  <c r="AB360" i="10" s="1"/>
  <c r="AC312" i="10" a="1"/>
  <c r="AC312" i="10" s="1"/>
  <c r="AA312" i="10"/>
  <c r="AB312" i="10" s="1"/>
  <c r="AC288" i="10" a="1"/>
  <c r="AC288" i="10" s="1"/>
  <c r="AA288" i="10"/>
  <c r="AB288" i="10" s="1"/>
  <c r="AC264" i="10" a="1"/>
  <c r="AC264" i="10" s="1"/>
  <c r="AA264" i="10"/>
  <c r="AB264" i="10" s="1"/>
  <c r="AC240" i="10" a="1"/>
  <c r="AC240" i="10" s="1"/>
  <c r="AA240" i="10"/>
  <c r="AB240" i="10" s="1"/>
  <c r="AA216" i="10"/>
  <c r="AB216" i="10" s="1"/>
  <c r="AC216" i="10" s="1" a="1"/>
  <c r="AC216" i="10" s="1"/>
  <c r="AA192" i="10"/>
  <c r="AC168" i="10" a="1"/>
  <c r="AC168" i="10" s="1"/>
  <c r="AA168" i="10"/>
  <c r="AB168" i="10" s="1"/>
  <c r="AC144" i="10" a="1"/>
  <c r="AC144" i="10" s="1"/>
  <c r="AA144" i="10"/>
  <c r="AB144" i="10" s="1"/>
  <c r="AC120" i="10"/>
  <c r="AC120" i="10" a="1"/>
  <c r="AA120" i="10"/>
  <c r="AB120" i="10" s="1"/>
  <c r="AA96" i="10"/>
  <c r="AA72" i="10"/>
  <c r="AB72" i="10" s="1"/>
  <c r="AC72" i="10" s="1" a="1"/>
  <c r="AC72" i="10" s="1"/>
  <c r="AA48" i="10"/>
  <c r="AA24" i="10"/>
  <c r="AB24" i="10" s="1"/>
  <c r="AC24" i="10" s="1" a="1"/>
  <c r="AC24" i="10" s="1"/>
  <c r="AC47" i="10" a="1"/>
  <c r="AC47" i="10" s="1"/>
  <c r="AA47" i="10"/>
  <c r="AB47" i="10" s="1"/>
  <c r="AA71" i="10"/>
  <c r="AA95" i="10"/>
  <c r="AB95" i="10" s="1"/>
  <c r="AC95" i="10" s="1" a="1"/>
  <c r="AC95" i="10" s="1"/>
  <c r="AC119" i="10" a="1"/>
  <c r="AC119" i="10" s="1"/>
  <c r="AA119" i="10"/>
  <c r="AB119" i="10" s="1"/>
  <c r="AC143" i="10" a="1"/>
  <c r="AC143" i="10" s="1"/>
  <c r="AA143" i="10"/>
  <c r="AB143" i="10" s="1"/>
  <c r="AC167" i="10" a="1"/>
  <c r="AC167" i="10" s="1"/>
  <c r="AA167" i="10"/>
  <c r="AB167" i="10" s="1"/>
  <c r="AC191" i="10" a="1"/>
  <c r="AC191" i="10" s="1"/>
  <c r="AA191" i="10"/>
  <c r="AB191" i="10" s="1"/>
  <c r="AC215" i="10" a="1"/>
  <c r="AC215" i="10" s="1"/>
  <c r="AA215" i="10"/>
  <c r="AB215" i="10" s="1"/>
  <c r="AC239" i="10" a="1"/>
  <c r="AC239" i="10" s="1"/>
  <c r="AA239" i="10"/>
  <c r="AB239" i="10" s="1"/>
  <c r="AC263" i="10" a="1"/>
  <c r="AC263" i="10" s="1"/>
  <c r="AA263" i="10"/>
  <c r="AB263" i="10" s="1"/>
  <c r="AC287" i="10" a="1"/>
  <c r="AC287" i="10" s="1"/>
  <c r="AA287" i="10"/>
  <c r="AB287" i="10" s="1"/>
  <c r="AC311" i="10" a="1"/>
  <c r="AC311" i="10" s="1"/>
  <c r="AA311" i="10"/>
  <c r="AB311" i="10" s="1"/>
  <c r="AC335" i="10" a="1"/>
  <c r="AC335" i="10" s="1"/>
  <c r="AA335" i="10"/>
  <c r="AB335" i="10" s="1"/>
  <c r="AC359" i="10" a="1"/>
  <c r="AC359" i="10" s="1"/>
  <c r="AA359" i="10"/>
  <c r="AB359" i="10" s="1"/>
  <c r="AA334" i="10"/>
  <c r="AB334" i="10" s="1"/>
  <c r="AC334" i="10" s="1" a="1"/>
  <c r="AC334" i="10" s="1"/>
  <c r="AC310" i="10" a="1"/>
  <c r="AC310" i="10" s="1"/>
  <c r="AA310" i="10"/>
  <c r="AB310" i="10" s="1"/>
  <c r="AC286" i="10" a="1"/>
  <c r="AC286" i="10" s="1"/>
  <c r="AA286" i="10"/>
  <c r="AB286" i="10" s="1"/>
  <c r="AC262" i="10" a="1"/>
  <c r="AC262" i="10" s="1"/>
  <c r="AA262" i="10"/>
  <c r="AB262" i="10" s="1"/>
  <c r="AC238" i="10" a="1"/>
  <c r="AC238" i="10" s="1"/>
  <c r="AA238" i="10"/>
  <c r="AB238" i="10" s="1"/>
  <c r="AA214" i="10"/>
  <c r="AB214" i="10" s="1"/>
  <c r="AC214" i="10" s="1" a="1"/>
  <c r="AC214" i="10" s="1"/>
  <c r="AC190" i="10" a="1"/>
  <c r="AC190" i="10" s="1"/>
  <c r="AA190" i="10"/>
  <c r="AB190" i="10" s="1"/>
  <c r="AC166" i="10" a="1"/>
  <c r="AC166" i="10" s="1"/>
  <c r="AA166" i="10"/>
  <c r="AB166" i="10" s="1"/>
  <c r="AA142" i="10"/>
  <c r="AA118" i="10"/>
  <c r="AB118" i="10" s="1"/>
  <c r="AC118" i="10" s="1" a="1"/>
  <c r="AC118" i="10" s="1"/>
  <c r="AC94" i="10" a="1"/>
  <c r="AC94" i="10" s="1"/>
  <c r="AA94" i="10"/>
  <c r="AB94" i="10" s="1"/>
  <c r="AC70" i="10" a="1"/>
  <c r="AC70" i="10" s="1"/>
  <c r="AA70" i="10"/>
  <c r="AB70" i="10" s="1"/>
  <c r="AC46" i="10" a="1"/>
  <c r="AC46" i="10" s="1"/>
  <c r="AA46" i="10"/>
  <c r="AB46" i="10" s="1"/>
  <c r="AC22" i="10" a="1"/>
  <c r="AC22" i="10" s="1"/>
  <c r="AA22" i="10"/>
  <c r="AB22" i="10" s="1"/>
  <c r="AC21" i="10" a="1"/>
  <c r="AC21" i="10" s="1"/>
  <c r="AA21" i="10"/>
  <c r="AB21" i="10" s="1"/>
  <c r="AA45" i="10"/>
  <c r="AB45" i="10" s="1"/>
  <c r="AC45" i="10" s="1" a="1"/>
  <c r="AC45" i="10" s="1"/>
  <c r="AC69" i="10" a="1"/>
  <c r="AC69" i="10" s="1"/>
  <c r="AA69" i="10"/>
  <c r="AB69" i="10" s="1"/>
  <c r="AC93" i="10" a="1"/>
  <c r="AC93" i="10" s="1"/>
  <c r="AA93" i="10"/>
  <c r="AB93" i="10" s="1"/>
  <c r="AC117" i="10" a="1"/>
  <c r="AC117" i="10" s="1"/>
  <c r="AA117" i="10"/>
  <c r="AB117" i="10" s="1"/>
  <c r="AC141" i="10" a="1"/>
  <c r="AC141" i="10" s="1"/>
  <c r="AA141" i="10"/>
  <c r="AB141" i="10" s="1"/>
  <c r="AC165" i="10" a="1"/>
  <c r="AC165" i="10" s="1"/>
  <c r="AA165" i="10"/>
  <c r="AB165" i="10" s="1"/>
  <c r="AA189" i="10"/>
  <c r="AB189" i="10" s="1"/>
  <c r="AC189" i="10" s="1" a="1"/>
  <c r="AC189" i="10" s="1"/>
  <c r="AA213" i="10"/>
  <c r="AA237" i="10"/>
  <c r="AB237" i="10" s="1"/>
  <c r="AC237" i="10" s="1" a="1"/>
  <c r="AC237" i="10" s="1"/>
  <c r="AC261" i="10" a="1"/>
  <c r="AC261" i="10" s="1"/>
  <c r="AA261" i="10"/>
  <c r="AB261" i="10" s="1"/>
  <c r="AC285" i="10" a="1"/>
  <c r="AC285" i="10" s="1"/>
  <c r="AA285" i="10"/>
  <c r="AB285" i="10" s="1"/>
  <c r="AC309" i="10" a="1"/>
  <c r="AC309" i="10" s="1"/>
  <c r="AA309" i="10"/>
  <c r="AB309" i="10" s="1"/>
  <c r="AA357" i="10"/>
  <c r="AB357" i="10" s="1"/>
  <c r="AC357" i="10" s="1" a="1"/>
  <c r="AC357" i="10" s="1"/>
  <c r="AC356" i="10" a="1"/>
  <c r="AC356" i="10" s="1"/>
  <c r="AA356" i="10"/>
  <c r="AB356" i="10" s="1"/>
  <c r="AA308" i="10"/>
  <c r="AB308" i="10" s="1"/>
  <c r="AC308" i="10" s="1" a="1"/>
  <c r="AC308" i="10" s="1"/>
  <c r="AC284" i="10" a="1"/>
  <c r="AC284" i="10" s="1"/>
  <c r="AA284" i="10"/>
  <c r="AB284" i="10" s="1"/>
  <c r="AA260" i="10"/>
  <c r="AB260" i="10" s="1"/>
  <c r="AC260" i="10" s="1" a="1"/>
  <c r="AC260" i="10" s="1"/>
  <c r="AA236" i="10"/>
  <c r="AB236" i="10" s="1"/>
  <c r="AC236" i="10" s="1" a="1"/>
  <c r="AC236" i="10" s="1"/>
  <c r="AC212" i="10" a="1"/>
  <c r="AC212" i="10" s="1"/>
  <c r="AA212" i="10"/>
  <c r="AB212" i="10" s="1"/>
  <c r="AC188" i="10" a="1"/>
  <c r="AC188" i="10" s="1"/>
  <c r="AA188" i="10"/>
  <c r="AB188" i="10" s="1"/>
  <c r="AA164" i="10"/>
  <c r="AA140" i="10"/>
  <c r="AB140" i="10" s="1"/>
  <c r="AC140" i="10" s="1" a="1"/>
  <c r="AC140" i="10" s="1"/>
  <c r="AC116" i="10" a="1"/>
  <c r="AC116" i="10" s="1"/>
  <c r="AA116" i="10"/>
  <c r="AB116" i="10" s="1"/>
  <c r="AA92" i="10"/>
  <c r="AB92" i="10" s="1"/>
  <c r="AC92" i="10" s="1" a="1"/>
  <c r="AC92" i="10" s="1"/>
  <c r="AA68" i="10"/>
  <c r="AB68" i="10" s="1"/>
  <c r="AC68" i="10" s="1" a="1"/>
  <c r="AC68" i="10" s="1"/>
  <c r="AA44" i="10"/>
  <c r="AB44" i="10" s="1"/>
  <c r="AC44" i="10" s="1" a="1"/>
  <c r="AC44" i="10" s="1"/>
  <c r="AB20" i="10"/>
  <c r="AC20" i="10" s="1" a="1"/>
  <c r="AC20" i="10" s="1"/>
  <c r="AA20" i="10"/>
  <c r="AC19" i="10" a="1"/>
  <c r="AC19" i="10" s="1"/>
  <c r="AA19" i="10"/>
  <c r="AB19" i="10" s="1"/>
  <c r="AC43" i="10" a="1"/>
  <c r="AC43" i="10" s="1"/>
  <c r="AA43" i="10"/>
  <c r="AB43" i="10" s="1"/>
  <c r="AC67" i="10" a="1"/>
  <c r="AC67" i="10" s="1"/>
  <c r="AA67" i="10"/>
  <c r="AB67" i="10" s="1"/>
  <c r="AC91" i="10" a="1"/>
  <c r="AC91" i="10" s="1"/>
  <c r="AB91" i="10"/>
  <c r="AA91" i="10"/>
  <c r="AA115" i="10"/>
  <c r="AB115" i="10" s="1"/>
  <c r="AC115" i="10" s="1" a="1"/>
  <c r="AC115" i="10" s="1"/>
  <c r="AC139" i="10" a="1"/>
  <c r="AC139" i="10" s="1"/>
  <c r="AA139" i="10"/>
  <c r="AB139" i="10" s="1"/>
  <c r="AA163" i="10"/>
  <c r="AB163" i="10" s="1"/>
  <c r="AC163" i="10" s="1" a="1"/>
  <c r="AC163" i="10" s="1"/>
  <c r="AA187" i="10"/>
  <c r="AB187" i="10" s="1"/>
  <c r="AC187" i="10" s="1" a="1"/>
  <c r="AC187" i="10" s="1"/>
  <c r="AC211" i="10" a="1"/>
  <c r="AC211" i="10" s="1"/>
  <c r="AA211" i="10"/>
  <c r="AB211" i="10" s="1"/>
  <c r="AC235" i="10" a="1"/>
  <c r="AC235" i="10" s="1"/>
  <c r="AA235" i="10"/>
  <c r="AB235" i="10" s="1"/>
  <c r="AA259" i="10"/>
  <c r="AB259" i="10" s="1"/>
  <c r="AC259" i="10" s="1" a="1"/>
  <c r="AC259" i="10" s="1"/>
  <c r="AC283" i="10" a="1"/>
  <c r="AC283" i="10" s="1"/>
  <c r="AA283" i="10"/>
  <c r="AB283" i="10" s="1"/>
  <c r="AC307" i="10" a="1"/>
  <c r="AC307" i="10" s="1"/>
  <c r="AA307" i="10"/>
  <c r="AB307" i="10" s="1"/>
  <c r="AC331" i="10" a="1"/>
  <c r="AC331" i="10" s="1"/>
  <c r="AA331" i="10"/>
  <c r="AB331" i="10" s="1"/>
  <c r="AC355" i="10" a="1"/>
  <c r="AC355" i="10" s="1"/>
  <c r="AA355" i="10"/>
  <c r="AB355" i="10" s="1"/>
  <c r="AA354" i="10"/>
  <c r="AB354" i="10" s="1"/>
  <c r="AC354" i="10" s="1" a="1"/>
  <c r="AC354" i="10" s="1"/>
  <c r="AC330" i="10" a="1"/>
  <c r="AC330" i="10" s="1"/>
  <c r="AA330" i="10"/>
  <c r="AB330" i="10" s="1"/>
  <c r="AC306" i="10" a="1"/>
  <c r="AC306" i="10" s="1"/>
  <c r="AA306" i="10"/>
  <c r="AB306" i="10" s="1"/>
  <c r="AC282" i="10" a="1"/>
  <c r="AC282" i="10" s="1"/>
  <c r="AA282" i="10"/>
  <c r="AB282" i="10" s="1"/>
  <c r="AC258" i="10"/>
  <c r="AC258" i="10" a="1"/>
  <c r="AA258" i="10"/>
  <c r="AB258" i="10" s="1"/>
  <c r="AC234" i="10" a="1"/>
  <c r="AC234" i="10" s="1"/>
  <c r="AA234" i="10"/>
  <c r="AB234" i="10" s="1"/>
  <c r="AC210" i="10" a="1"/>
  <c r="AC210" i="10" s="1"/>
  <c r="AA210" i="10"/>
  <c r="AB210" i="10" s="1"/>
  <c r="AA186" i="10"/>
  <c r="AB186" i="10" s="1"/>
  <c r="AC186" i="10" s="1" a="1"/>
  <c r="AC186" i="10" s="1"/>
  <c r="AC162" i="10" a="1"/>
  <c r="AC162" i="10" s="1"/>
  <c r="AA162" i="10"/>
  <c r="AB162" i="10" s="1"/>
  <c r="AC138" i="10" a="1"/>
  <c r="AC138" i="10" s="1"/>
  <c r="AA138" i="10"/>
  <c r="AB138" i="10" s="1"/>
  <c r="AC114" i="10" a="1"/>
  <c r="AC114" i="10" s="1"/>
  <c r="AA114" i="10"/>
  <c r="AB114" i="10" s="1"/>
  <c r="AC90" i="10" a="1"/>
  <c r="AC90" i="10" s="1"/>
  <c r="AA90" i="10"/>
  <c r="AB90" i="10" s="1"/>
  <c r="AC66" i="10" a="1"/>
  <c r="AC66" i="10" s="1"/>
  <c r="AA66" i="10"/>
  <c r="AB66" i="10" s="1"/>
  <c r="AC42" i="10" a="1"/>
  <c r="AC42" i="10" s="1"/>
  <c r="AA42" i="10"/>
  <c r="AB42" i="10" s="1"/>
  <c r="AC18" i="10" a="1"/>
  <c r="AC18" i="10" s="1"/>
  <c r="AA18" i="10"/>
  <c r="AB18" i="10" s="1"/>
  <c r="AC17" i="10" a="1"/>
  <c r="AC17" i="10" s="1"/>
  <c r="AA17" i="10"/>
  <c r="AB17" i="10" s="1"/>
  <c r="AC41" i="10" a="1"/>
  <c r="AC41" i="10" s="1"/>
  <c r="AA41" i="10"/>
  <c r="AB41" i="10" s="1"/>
  <c r="AC65" i="10" a="1"/>
  <c r="AC65" i="10" s="1"/>
  <c r="AA65" i="10"/>
  <c r="AB65" i="10" s="1"/>
  <c r="AC89" i="10" a="1"/>
  <c r="AC89" i="10" s="1"/>
  <c r="AA89" i="10"/>
  <c r="AB89" i="10" s="1"/>
  <c r="AA113" i="10"/>
  <c r="AC137" i="10" a="1"/>
  <c r="AC137" i="10" s="1"/>
  <c r="AA137" i="10"/>
  <c r="AB137" i="10" s="1"/>
  <c r="AC161" i="10" a="1"/>
  <c r="AC161" i="10" s="1"/>
  <c r="AA161" i="10"/>
  <c r="AB161" i="10" s="1"/>
  <c r="AC185" i="10"/>
  <c r="AC185" i="10" a="1"/>
  <c r="AB185" i="10"/>
  <c r="AA185" i="10"/>
  <c r="AC209" i="10" a="1"/>
  <c r="AC209" i="10" s="1"/>
  <c r="AA209" i="10"/>
  <c r="AB209" i="10" s="1"/>
  <c r="AC233" i="10" a="1"/>
  <c r="AC233" i="10" s="1"/>
  <c r="AA233" i="10"/>
  <c r="AB233" i="10" s="1"/>
  <c r="AA257" i="10"/>
  <c r="AB257" i="10" s="1"/>
  <c r="AC257" i="10" s="1" a="1"/>
  <c r="AC257" i="10" s="1"/>
  <c r="AC281" i="10" a="1"/>
  <c r="AC281" i="10" s="1"/>
  <c r="AA281" i="10"/>
  <c r="AB281" i="10" s="1"/>
  <c r="AC305" i="10" a="1"/>
  <c r="AC305" i="10" s="1"/>
  <c r="AA305" i="10"/>
  <c r="AB305" i="10" s="1"/>
  <c r="AC329" i="10" a="1"/>
  <c r="AC329" i="10" s="1"/>
  <c r="AA329" i="10"/>
  <c r="AB329" i="10" s="1"/>
  <c r="AC353" i="10" a="1"/>
  <c r="AC353" i="10" s="1"/>
  <c r="AA353" i="10"/>
  <c r="AB353" i="10" s="1"/>
  <c r="AA352" i="10"/>
  <c r="AB352" i="10" s="1"/>
  <c r="AC352" i="10" s="1" a="1"/>
  <c r="AC352" i="10" s="1"/>
  <c r="AC328" i="10" a="1"/>
  <c r="AC328" i="10" s="1"/>
  <c r="AA328" i="10"/>
  <c r="AB328" i="10" s="1"/>
  <c r="AC304" i="10" a="1"/>
  <c r="AC304" i="10" s="1"/>
  <c r="AA304" i="10"/>
  <c r="AB304" i="10" s="1"/>
  <c r="AC280" i="10" a="1"/>
  <c r="AC280" i="10" s="1"/>
  <c r="AA280" i="10"/>
  <c r="AB280" i="10" s="1"/>
  <c r="AC256" i="10" a="1"/>
  <c r="AC256" i="10" s="1"/>
  <c r="AA256" i="10"/>
  <c r="AB256" i="10" s="1"/>
  <c r="AC232" i="10" a="1"/>
  <c r="AC232" i="10" s="1"/>
  <c r="AA232" i="10"/>
  <c r="AB232" i="10" s="1"/>
  <c r="AC208" i="10" a="1"/>
  <c r="AC208" i="10" s="1"/>
  <c r="AA208" i="10"/>
  <c r="AB208" i="10" s="1"/>
  <c r="AC184" i="10" a="1"/>
  <c r="AC184" i="10" s="1"/>
  <c r="AA184" i="10"/>
  <c r="AB184" i="10" s="1"/>
  <c r="AA160" i="10"/>
  <c r="AB160" i="10" s="1"/>
  <c r="AC160" i="10" s="1" a="1"/>
  <c r="AC160" i="10" s="1"/>
  <c r="AC136" i="10" a="1"/>
  <c r="AC136" i="10" s="1"/>
  <c r="AA136" i="10"/>
  <c r="AB136" i="10" s="1"/>
  <c r="AA112" i="10"/>
  <c r="AB112" i="10" s="1"/>
  <c r="AC112" i="10" s="1" a="1"/>
  <c r="AC112" i="10" s="1"/>
  <c r="AC88" i="10" a="1"/>
  <c r="AC88" i="10" s="1"/>
  <c r="AA88" i="10"/>
  <c r="AB88" i="10" s="1"/>
  <c r="AC64" i="10" a="1"/>
  <c r="AC64" i="10" s="1"/>
  <c r="AA64" i="10"/>
  <c r="AB64" i="10" s="1"/>
  <c r="AA40" i="10"/>
  <c r="AB40" i="10" s="1"/>
  <c r="AC40" i="10" s="1" a="1"/>
  <c r="AC40" i="10" s="1"/>
  <c r="AC16" i="10" a="1"/>
  <c r="AC16" i="10" s="1"/>
  <c r="AA16" i="10"/>
  <c r="AB16" i="10" s="1"/>
  <c r="AC15" i="10" a="1"/>
  <c r="AC15" i="10" s="1"/>
  <c r="AA15" i="10"/>
  <c r="AB15" i="10" s="1"/>
  <c r="AA39" i="10"/>
  <c r="AB39" i="10" s="1"/>
  <c r="AC39" i="10" s="1" a="1"/>
  <c r="AC39" i="10" s="1"/>
  <c r="AA63" i="10"/>
  <c r="AB63" i="10" s="1"/>
  <c r="AC63" i="10" s="1" a="1"/>
  <c r="AC63" i="10" s="1"/>
  <c r="AA87" i="10"/>
  <c r="AB87" i="10" s="1"/>
  <c r="AC87" i="10" s="1" a="1"/>
  <c r="AC87" i="10" s="1"/>
  <c r="AA111" i="10"/>
  <c r="AB111" i="10" s="1"/>
  <c r="AC111" i="10" s="1" a="1"/>
  <c r="AC111" i="10" s="1"/>
  <c r="AC135" i="10" a="1"/>
  <c r="AC135" i="10" s="1"/>
  <c r="AA135" i="10"/>
  <c r="AB135" i="10" s="1"/>
  <c r="AA159" i="10"/>
  <c r="AB159" i="10" s="1"/>
  <c r="AC159" i="10" s="1" a="1"/>
  <c r="AC159" i="10" s="1"/>
  <c r="AA183" i="10"/>
  <c r="AB183" i="10" s="1"/>
  <c r="AC183" i="10" s="1" a="1"/>
  <c r="AC183" i="10" s="1"/>
  <c r="AA207" i="10"/>
  <c r="AB207" i="10" s="1"/>
  <c r="AC207" i="10" s="1" a="1"/>
  <c r="AC207" i="10" s="1"/>
  <c r="AA231" i="10"/>
  <c r="AB231" i="10" s="1"/>
  <c r="AC231" i="10" s="1" a="1"/>
  <c r="AC231" i="10" s="1"/>
  <c r="AA255" i="10"/>
  <c r="AB255" i="10" s="1"/>
  <c r="AC255" i="10" s="1" a="1"/>
  <c r="AC255" i="10" s="1"/>
  <c r="AA279" i="10"/>
  <c r="AB279" i="10" s="1"/>
  <c r="AC279" i="10" s="1" a="1"/>
  <c r="AC279" i="10" s="1"/>
  <c r="AA303" i="10"/>
  <c r="AB303" i="10" s="1"/>
  <c r="AC303" i="10" s="1" a="1"/>
  <c r="AC303" i="10" s="1"/>
  <c r="AA327" i="10"/>
  <c r="AB327" i="10" s="1"/>
  <c r="AC327" i="10" s="1" a="1"/>
  <c r="AC327" i="10" s="1"/>
  <c r="AC351" i="10" a="1"/>
  <c r="AC351" i="10" s="1"/>
  <c r="AA351" i="10"/>
  <c r="AB351" i="10" s="1"/>
  <c r="AA350" i="10"/>
  <c r="AB350" i="10" s="1"/>
  <c r="AC350" i="10" s="1" a="1"/>
  <c r="AC350" i="10" s="1"/>
  <c r="AA326" i="10"/>
  <c r="AB326" i="10" s="1"/>
  <c r="AC326" i="10" s="1" a="1"/>
  <c r="AC326" i="10" s="1"/>
  <c r="AA302" i="10"/>
  <c r="AB302" i="10" s="1"/>
  <c r="AC302" i="10" s="1" a="1"/>
  <c r="AC302" i="10" s="1"/>
  <c r="AA278" i="10"/>
  <c r="AB278" i="10" s="1"/>
  <c r="AC278" i="10" s="1" a="1"/>
  <c r="AC278" i="10" s="1"/>
  <c r="AC254" i="10" a="1"/>
  <c r="AC254" i="10" s="1"/>
  <c r="AA254" i="10"/>
  <c r="AB254" i="10" s="1"/>
  <c r="AC230" i="10" a="1"/>
  <c r="AC230" i="10" s="1"/>
  <c r="AA230" i="10"/>
  <c r="AB230" i="10" s="1"/>
  <c r="AA206" i="10"/>
  <c r="AB206" i="10" s="1"/>
  <c r="AC206" i="10" s="1" a="1"/>
  <c r="AC206" i="10" s="1"/>
  <c r="AC182" i="10" a="1"/>
  <c r="AC182" i="10" s="1"/>
  <c r="AA182" i="10"/>
  <c r="AB182" i="10" s="1"/>
  <c r="AC158" i="10" a="1"/>
  <c r="AC158" i="10" s="1"/>
  <c r="AA158" i="10"/>
  <c r="AB158" i="10" s="1"/>
  <c r="AA134" i="10"/>
  <c r="AB134" i="10" s="1"/>
  <c r="AC134" i="10" s="1" a="1"/>
  <c r="AC134" i="10" s="1"/>
  <c r="AC110" i="10" a="1"/>
  <c r="AC110" i="10" s="1"/>
  <c r="AA110" i="10"/>
  <c r="AB110" i="10" s="1"/>
  <c r="AA86" i="10"/>
  <c r="AB86" i="10" s="1"/>
  <c r="AC86" i="10" s="1" a="1"/>
  <c r="AC86" i="10" s="1"/>
  <c r="AA62" i="10"/>
  <c r="AB62" i="10" s="1"/>
  <c r="AC62" i="10" s="1" a="1"/>
  <c r="AC62" i="10" s="1"/>
  <c r="AA38" i="10"/>
  <c r="AB38" i="10" s="1"/>
  <c r="AC38" i="10" s="1" a="1"/>
  <c r="AC38" i="10" s="1"/>
  <c r="AC14" i="10" a="1"/>
  <c r="AC14" i="10" s="1"/>
  <c r="AA14" i="10"/>
  <c r="AB14" i="10" s="1"/>
  <c r="AC13" i="10" a="1"/>
  <c r="AC13" i="10" s="1"/>
  <c r="AA13" i="10"/>
  <c r="AB13" i="10" s="1"/>
  <c r="AC37" i="10" a="1"/>
  <c r="AC37" i="10" s="1"/>
  <c r="AA37" i="10"/>
  <c r="AB37" i="10" s="1"/>
  <c r="AC61" i="10" a="1"/>
  <c r="AC61" i="10" s="1"/>
  <c r="AA61" i="10"/>
  <c r="AB61" i="10" s="1"/>
  <c r="AC85" i="10" a="1"/>
  <c r="AC85" i="10" s="1"/>
  <c r="AA85" i="10"/>
  <c r="AB85" i="10" s="1"/>
  <c r="AC109" i="10" a="1"/>
  <c r="AC109" i="10" s="1"/>
  <c r="AA109" i="10"/>
  <c r="AB109" i="10" s="1"/>
  <c r="AC133" i="10" a="1"/>
  <c r="AC133" i="10" s="1"/>
  <c r="AA133" i="10"/>
  <c r="AB133" i="10" s="1"/>
  <c r="AC157" i="10" a="1"/>
  <c r="AC157" i="10" s="1"/>
  <c r="AA157" i="10"/>
  <c r="AB157" i="10" s="1"/>
  <c r="AC181" i="10" a="1"/>
  <c r="AC181" i="10" s="1"/>
  <c r="AA181" i="10"/>
  <c r="AB181" i="10" s="1"/>
  <c r="AC205" i="10" a="1"/>
  <c r="AC205" i="10" s="1"/>
  <c r="AA205" i="10"/>
  <c r="AB205" i="10" s="1"/>
  <c r="AC229" i="10" a="1"/>
  <c r="AC229" i="10" s="1"/>
  <c r="AA229" i="10"/>
  <c r="AB229" i="10" s="1"/>
  <c r="AC253" i="10" a="1"/>
  <c r="AC253" i="10" s="1"/>
  <c r="AA253" i="10"/>
  <c r="AB253" i="10" s="1"/>
  <c r="AC277" i="10" a="1"/>
  <c r="AC277" i="10" s="1"/>
  <c r="AA277" i="10"/>
  <c r="AB277" i="10" s="1"/>
  <c r="AC301" i="10" a="1"/>
  <c r="AC301" i="10" s="1"/>
  <c r="AA301" i="10"/>
  <c r="AB301" i="10" s="1"/>
  <c r="AC325" i="10" a="1"/>
  <c r="AC325" i="10" s="1"/>
  <c r="AA325" i="10"/>
  <c r="AB325" i="10" s="1"/>
  <c r="AC349" i="10" a="1"/>
  <c r="AC349" i="10" s="1"/>
  <c r="AA349" i="10"/>
  <c r="AB349" i="10" s="1"/>
  <c r="AC348" i="10" a="1"/>
  <c r="AC348" i="10" s="1"/>
  <c r="AA348" i="10"/>
  <c r="AB348" i="10" s="1"/>
  <c r="AC324" i="10" a="1"/>
  <c r="AC324" i="10" s="1"/>
  <c r="AA324" i="10"/>
  <c r="AB324" i="10" s="1"/>
  <c r="AC300" i="10" a="1"/>
  <c r="AC300" i="10" s="1"/>
  <c r="AA300" i="10"/>
  <c r="AB300" i="10" s="1"/>
  <c r="AC276" i="10" a="1"/>
  <c r="AC276" i="10" s="1"/>
  <c r="AA276" i="10"/>
  <c r="AB276" i="10" s="1"/>
  <c r="AC252" i="10" a="1"/>
  <c r="AC252" i="10" s="1"/>
  <c r="AA252" i="10"/>
  <c r="AB252" i="10" s="1"/>
  <c r="AC228" i="10" a="1"/>
  <c r="AC228" i="10" s="1"/>
  <c r="AA228" i="10"/>
  <c r="AB228" i="10" s="1"/>
  <c r="AA204" i="10"/>
  <c r="AB204" i="10" s="1"/>
  <c r="AC204" i="10" s="1" a="1"/>
  <c r="AC204" i="10" s="1"/>
  <c r="AC180" i="10" a="1"/>
  <c r="AC180" i="10" s="1"/>
  <c r="AA180" i="10"/>
  <c r="AB180" i="10" s="1"/>
  <c r="AC156" i="10" a="1"/>
  <c r="AC156" i="10" s="1"/>
  <c r="AA156" i="10"/>
  <c r="AB156" i="10" s="1"/>
  <c r="AA132" i="10"/>
  <c r="AB132" i="10" s="1"/>
  <c r="AC132" i="10" s="1" a="1"/>
  <c r="AC132" i="10" s="1"/>
  <c r="AC108" i="10" a="1"/>
  <c r="AC108" i="10" s="1"/>
  <c r="AA108" i="10"/>
  <c r="AB108" i="10" s="1"/>
  <c r="AC84" i="10" a="1"/>
  <c r="AC84" i="10" s="1"/>
  <c r="AA84" i="10"/>
  <c r="AB84" i="10" s="1"/>
  <c r="AC60" i="10" a="1"/>
  <c r="AC60" i="10" s="1"/>
  <c r="AA60" i="10"/>
  <c r="AB60" i="10" s="1"/>
  <c r="AC36" i="10" a="1"/>
  <c r="AC36" i="10" s="1"/>
  <c r="AA36" i="10"/>
  <c r="AB36" i="10" s="1"/>
  <c r="AA12" i="10"/>
  <c r="AB12" i="10" s="1"/>
  <c r="AC12" i="10" s="1" a="1"/>
  <c r="AC12" i="10" s="1"/>
  <c r="AC11" i="10" a="1"/>
  <c r="AC11" i="10" s="1"/>
  <c r="AA11" i="10"/>
  <c r="AB11" i="10" s="1"/>
  <c r="AC35" i="10" a="1"/>
  <c r="AC35" i="10" s="1"/>
  <c r="AA35" i="10"/>
  <c r="AB35" i="10" s="1"/>
  <c r="AC59" i="10" a="1"/>
  <c r="AC59" i="10" s="1"/>
  <c r="AA59" i="10"/>
  <c r="AB59" i="10" s="1"/>
  <c r="AC83" i="10" a="1"/>
  <c r="AC83" i="10" s="1"/>
  <c r="AA83" i="10"/>
  <c r="AB83" i="10" s="1"/>
  <c r="AC107" i="10" a="1"/>
  <c r="AC107" i="10" s="1"/>
  <c r="AA107" i="10"/>
  <c r="AB107" i="10" s="1"/>
  <c r="AC131" i="10" a="1"/>
  <c r="AC131" i="10" s="1"/>
  <c r="AA131" i="10"/>
  <c r="AB131" i="10" s="1"/>
  <c r="AC155" i="10" a="1"/>
  <c r="AC155" i="10" s="1"/>
  <c r="AA155" i="10"/>
  <c r="AB155" i="10" s="1"/>
  <c r="AC179" i="10" a="1"/>
  <c r="AC179" i="10" s="1"/>
  <c r="AA179" i="10"/>
  <c r="AB179" i="10" s="1"/>
  <c r="AA203" i="10"/>
  <c r="AB203" i="10" s="1"/>
  <c r="AC203" i="10" s="1" a="1"/>
  <c r="AC203" i="10" s="1"/>
  <c r="AC227" i="10" a="1"/>
  <c r="AC227" i="10" s="1"/>
  <c r="AA227" i="10"/>
  <c r="AB227" i="10" s="1"/>
  <c r="AC251" i="10" a="1"/>
  <c r="AC251" i="10" s="1"/>
  <c r="AA251" i="10"/>
  <c r="AB251" i="10" s="1"/>
  <c r="AC275" i="10" a="1"/>
  <c r="AC275" i="10" s="1"/>
  <c r="AA275" i="10"/>
  <c r="AB275" i="10" s="1"/>
  <c r="AC299" i="10" a="1"/>
  <c r="AC299" i="10" s="1"/>
  <c r="AA299" i="10"/>
  <c r="AB299" i="10" s="1"/>
  <c r="AC323" i="10" a="1"/>
  <c r="AC323" i="10" s="1"/>
  <c r="AA323" i="10"/>
  <c r="AB323" i="10" s="1"/>
  <c r="AC347" i="10" a="1"/>
  <c r="AC347" i="10" s="1"/>
  <c r="AA347" i="10"/>
  <c r="AB347" i="10" s="1"/>
  <c r="AC346" i="10" a="1"/>
  <c r="AC346" i="10" s="1"/>
  <c r="AA346" i="10"/>
  <c r="AB346" i="10" s="1"/>
  <c r="AC322" i="10" a="1"/>
  <c r="AC322" i="10" s="1"/>
  <c r="AA322" i="10"/>
  <c r="AB322" i="10" s="1"/>
  <c r="AA298" i="10"/>
  <c r="AB298" i="10" s="1"/>
  <c r="AC298" i="10" s="1" a="1"/>
  <c r="AC298" i="10" s="1"/>
  <c r="AA274" i="10"/>
  <c r="AB274" i="10" s="1"/>
  <c r="AC274" i="10" s="1" a="1"/>
  <c r="AC274" i="10" s="1"/>
  <c r="AA250" i="10"/>
  <c r="AB250" i="10" s="1"/>
  <c r="AC250" i="10" s="1" a="1"/>
  <c r="AC250" i="10" s="1"/>
  <c r="AA226" i="10"/>
  <c r="AB226" i="10" s="1"/>
  <c r="AC226" i="10" s="1" a="1"/>
  <c r="AC226" i="10" s="1"/>
  <c r="AC202" i="10" a="1"/>
  <c r="AC202" i="10" s="1"/>
  <c r="AA202" i="10"/>
  <c r="AB202" i="10" s="1"/>
  <c r="AC178" i="10" a="1"/>
  <c r="AC178" i="10" s="1"/>
  <c r="AA178" i="10"/>
  <c r="AB178" i="10" s="1"/>
  <c r="AC154" i="10" a="1"/>
  <c r="AC154" i="10" s="1"/>
  <c r="AA154" i="10"/>
  <c r="AB154" i="10" s="1"/>
  <c r="AA130" i="10"/>
  <c r="AB130" i="10" s="1"/>
  <c r="AC130" i="10" s="1" a="1"/>
  <c r="AC130" i="10" s="1"/>
  <c r="AC106" i="10" a="1"/>
  <c r="AC106" i="10" s="1"/>
  <c r="AA106" i="10"/>
  <c r="AB106" i="10" s="1"/>
  <c r="AC82" i="10" a="1"/>
  <c r="AC82" i="10" s="1"/>
  <c r="AA82" i="10"/>
  <c r="AB82" i="10" s="1"/>
  <c r="AC58" i="10" a="1"/>
  <c r="AC58" i="10" s="1"/>
  <c r="AA58" i="10"/>
  <c r="AB58" i="10" s="1"/>
  <c r="AA34" i="10"/>
  <c r="AB34" i="10" s="1"/>
  <c r="AC34" i="10" s="1" a="1"/>
  <c r="AC34" i="10" s="1"/>
  <c r="AA10" i="10"/>
  <c r="AB10" i="10" s="1"/>
  <c r="AC10" i="10" s="1" a="1"/>
  <c r="AC10" i="10" s="1"/>
  <c r="AC9" i="10" a="1"/>
  <c r="AC9" i="10" s="1"/>
  <c r="AA9" i="10"/>
  <c r="AB9" i="10" s="1"/>
  <c r="AA33" i="10"/>
  <c r="AB33" i="10" s="1"/>
  <c r="AC33" i="10" s="1" a="1"/>
  <c r="AC33" i="10" s="1"/>
  <c r="AA57" i="10"/>
  <c r="AB57" i="10" s="1"/>
  <c r="AC57" i="10" s="1" a="1"/>
  <c r="AC57" i="10" s="1"/>
  <c r="AA81" i="10"/>
  <c r="AB81" i="10" s="1"/>
  <c r="AC81" i="10" s="1" a="1"/>
  <c r="AC81" i="10" s="1"/>
  <c r="AA105" i="10"/>
  <c r="AB105" i="10" s="1"/>
  <c r="AC105" i="10" s="1" a="1"/>
  <c r="AC105" i="10" s="1"/>
  <c r="AA129" i="10"/>
  <c r="AB129" i="10" s="1"/>
  <c r="AC129" i="10" s="1" a="1"/>
  <c r="AC129" i="10" s="1"/>
  <c r="AA153" i="10"/>
  <c r="AB153" i="10" s="1"/>
  <c r="AC153" i="10" s="1" a="1"/>
  <c r="AC153" i="10" s="1"/>
  <c r="AA177" i="10"/>
  <c r="AB177" i="10" s="1"/>
  <c r="AC177" i="10" s="1" a="1"/>
  <c r="AC177" i="10" s="1"/>
  <c r="AA201" i="10"/>
  <c r="AB201" i="10" s="1"/>
  <c r="AC201" i="10" s="1" a="1"/>
  <c r="AC201" i="10" s="1"/>
  <c r="AA225" i="10"/>
  <c r="AB225" i="10" s="1"/>
  <c r="AC225" i="10" s="1" a="1"/>
  <c r="AC225" i="10" s="1"/>
  <c r="AA249" i="10"/>
  <c r="AB249" i="10" s="1"/>
  <c r="AC249" i="10" s="1" a="1"/>
  <c r="AC249" i="10" s="1"/>
  <c r="AC273" i="10" a="1"/>
  <c r="AC273" i="10" s="1"/>
  <c r="AA273" i="10"/>
  <c r="AB273" i="10" s="1"/>
  <c r="AA297" i="10"/>
  <c r="AB297" i="10" s="1"/>
  <c r="AC297" i="10" s="1" a="1"/>
  <c r="AC297" i="10" s="1"/>
  <c r="AA345" i="10"/>
  <c r="AB345" i="10" s="1"/>
  <c r="AC345" i="10" s="1" a="1"/>
  <c r="AC345" i="10" s="1"/>
  <c r="AA344" i="10"/>
  <c r="AB344" i="10" s="1"/>
  <c r="AC344" i="10" s="1" a="1"/>
  <c r="AC344" i="10" s="1"/>
  <c r="AA320" i="10"/>
  <c r="AB320" i="10" s="1"/>
  <c r="AC320" i="10" s="1" a="1"/>
  <c r="AC320" i="10" s="1"/>
  <c r="AA296" i="10"/>
  <c r="AB296" i="10" s="1"/>
  <c r="AC296" i="10" s="1" a="1"/>
  <c r="AC296" i="10" s="1"/>
  <c r="AA272" i="10"/>
  <c r="AB272" i="10" s="1"/>
  <c r="AC272" i="10" s="1" a="1"/>
  <c r="AC272" i="10" s="1"/>
  <c r="AA248" i="10"/>
  <c r="AA224" i="10"/>
  <c r="AB224" i="10" s="1"/>
  <c r="AC224" i="10" s="1" a="1"/>
  <c r="AC224" i="10" s="1"/>
  <c r="AA200" i="10"/>
  <c r="AB200" i="10" s="1"/>
  <c r="AC200" i="10" s="1" a="1"/>
  <c r="AC200" i="10" s="1"/>
  <c r="AA176" i="10"/>
  <c r="AB176" i="10" s="1"/>
  <c r="AC176" i="10" s="1" a="1"/>
  <c r="AC176" i="10" s="1"/>
  <c r="AA152" i="10"/>
  <c r="AB152" i="10" s="1"/>
  <c r="AC152" i="10" s="1" a="1"/>
  <c r="AC152" i="10" s="1"/>
  <c r="AC128" i="10" a="1"/>
  <c r="AC128" i="10" s="1"/>
  <c r="AA128" i="10"/>
  <c r="AB128" i="10" s="1"/>
  <c r="AA104" i="10"/>
  <c r="AB104" i="10" s="1"/>
  <c r="AC104" i="10" s="1" a="1"/>
  <c r="AC104" i="10" s="1"/>
  <c r="AA80" i="10"/>
  <c r="AB80" i="10" s="1"/>
  <c r="AC80" i="10" s="1" a="1"/>
  <c r="AC80" i="10" s="1"/>
  <c r="AA56" i="10"/>
  <c r="AB56" i="10" s="1"/>
  <c r="AC56" i="10" s="1" a="1"/>
  <c r="AC56" i="10" s="1"/>
  <c r="AA32" i="10"/>
  <c r="AB32" i="10" s="1"/>
  <c r="AC32" i="10" s="1" a="1"/>
  <c r="AC32" i="10" s="1"/>
  <c r="AA8" i="10"/>
  <c r="AB8" i="10" s="1"/>
  <c r="AC8" i="10" s="1" a="1"/>
  <c r="AC8" i="10" s="1"/>
  <c r="AC7" i="10" a="1"/>
  <c r="AC7" i="10" s="1"/>
  <c r="AA7" i="10"/>
  <c r="AB7" i="10" s="1"/>
  <c r="AC31" i="10" a="1"/>
  <c r="AC31" i="10" s="1"/>
  <c r="AA31" i="10"/>
  <c r="AB31" i="10" s="1"/>
  <c r="AC55" i="10" a="1"/>
  <c r="AC55" i="10" s="1"/>
  <c r="AA55" i="10"/>
  <c r="AB55" i="10" s="1"/>
  <c r="AC79" i="10" a="1"/>
  <c r="AC79" i="10" s="1"/>
  <c r="AB79" i="10"/>
  <c r="AA79" i="10"/>
  <c r="AA103" i="10"/>
  <c r="AB103" i="10" s="1"/>
  <c r="AC103" i="10" s="1" a="1"/>
  <c r="AC103" i="10" s="1"/>
  <c r="AC127" i="10" a="1"/>
  <c r="AC127" i="10" s="1"/>
  <c r="AA127" i="10"/>
  <c r="AB127" i="10" s="1"/>
  <c r="AC151" i="10" a="1"/>
  <c r="AC151" i="10" s="1"/>
  <c r="AA151" i="10"/>
  <c r="AB151" i="10" s="1"/>
  <c r="AA175" i="10"/>
  <c r="AB175" i="10" s="1"/>
  <c r="AC175" i="10" s="1" a="1"/>
  <c r="AC175" i="10" s="1"/>
  <c r="AC199" i="10" a="1"/>
  <c r="AC199" i="10" s="1"/>
  <c r="AA199" i="10"/>
  <c r="AB199" i="10" s="1"/>
  <c r="AC223" i="10" a="1"/>
  <c r="AC223" i="10" s="1"/>
  <c r="AA223" i="10"/>
  <c r="AB223" i="10" s="1"/>
  <c r="AC247" i="10" a="1"/>
  <c r="AC247" i="10" s="1"/>
  <c r="AA247" i="10"/>
  <c r="AB247" i="10" s="1"/>
  <c r="AC271" i="10" a="1"/>
  <c r="AC271" i="10" s="1"/>
  <c r="AA271" i="10"/>
  <c r="AB271" i="10" s="1"/>
  <c r="AA295" i="10"/>
  <c r="AB295" i="10" s="1"/>
  <c r="AC295" i="10" s="1" a="1"/>
  <c r="AC295" i="10" s="1"/>
  <c r="AC319" i="10" a="1"/>
  <c r="AC319" i="10" s="1"/>
  <c r="AA319" i="10"/>
  <c r="AB319" i="10" s="1"/>
  <c r="AA343" i="10"/>
  <c r="AB343" i="10" s="1"/>
  <c r="AC343" i="10" s="1" a="1"/>
  <c r="AC343" i="10" s="1"/>
  <c r="AC342" i="10" a="1"/>
  <c r="AC342" i="10" s="1"/>
  <c r="AA342" i="10"/>
  <c r="AB342" i="10" s="1"/>
  <c r="AC318" i="10" a="1"/>
  <c r="AC318" i="10" s="1"/>
  <c r="AA318" i="10"/>
  <c r="AB318" i="10" s="1"/>
  <c r="AC294" i="10" a="1"/>
  <c r="AC294" i="10" s="1"/>
  <c r="AA294" i="10"/>
  <c r="AB294" i="10" s="1"/>
  <c r="AC270" i="10" a="1"/>
  <c r="AC270" i="10" s="1"/>
  <c r="AA270" i="10"/>
  <c r="AB270" i="10" s="1"/>
  <c r="AC246" i="10" a="1"/>
  <c r="AC246" i="10" s="1"/>
  <c r="AA246" i="10"/>
  <c r="AB246" i="10" s="1"/>
  <c r="AC222" i="10" a="1"/>
  <c r="AC222" i="10" s="1"/>
  <c r="AA222" i="10"/>
  <c r="AB222" i="10" s="1"/>
  <c r="AC198" i="10" a="1"/>
  <c r="AC198" i="10" s="1"/>
  <c r="AA198" i="10"/>
  <c r="AB198" i="10" s="1"/>
  <c r="AC174" i="10" a="1"/>
  <c r="AC174" i="10" s="1"/>
  <c r="AA174" i="10"/>
  <c r="AB174" i="10" s="1"/>
  <c r="AA150" i="10"/>
  <c r="AB150" i="10" s="1"/>
  <c r="AC150" i="10" s="1" a="1"/>
  <c r="AC150" i="10" s="1"/>
  <c r="AA126" i="10"/>
  <c r="AB126" i="10" s="1"/>
  <c r="AC126" i="10" s="1" a="1"/>
  <c r="AC126" i="10" s="1"/>
  <c r="AA102" i="10"/>
  <c r="AB102" i="10" s="1"/>
  <c r="AC102" i="10" s="1" a="1"/>
  <c r="AC102" i="10" s="1"/>
  <c r="AC78" i="10" a="1"/>
  <c r="AC78" i="10" s="1"/>
  <c r="AA78" i="10"/>
  <c r="AB78" i="10" s="1"/>
  <c r="AC54" i="10" a="1"/>
  <c r="AC54" i="10" s="1"/>
  <c r="AB54" i="10"/>
  <c r="AA54" i="10"/>
  <c r="AA30" i="10"/>
  <c r="AB30" i="10" s="1"/>
  <c r="AC30" i="10" s="1" a="1"/>
  <c r="AC30" i="10" s="1"/>
  <c r="AA6" i="10"/>
  <c r="AB6" i="10" s="1"/>
  <c r="AC6" i="10" s="1" a="1"/>
  <c r="AC6" i="10" s="1"/>
  <c r="AC29" i="10" a="1"/>
  <c r="AC29" i="10" s="1"/>
  <c r="AA29" i="10"/>
  <c r="AB29" i="10" s="1"/>
  <c r="AC53" i="10" a="1"/>
  <c r="AC53" i="10" s="1"/>
  <c r="AA53" i="10"/>
  <c r="AB53" i="10" s="1"/>
  <c r="AA77" i="10"/>
  <c r="AB77" i="10" s="1"/>
  <c r="AC77" i="10" s="1" a="1"/>
  <c r="AC77" i="10" s="1"/>
  <c r="AA101" i="10"/>
  <c r="AB101" i="10" s="1"/>
  <c r="AC101" i="10" s="1" a="1"/>
  <c r="AC101" i="10" s="1"/>
  <c r="AA125" i="10"/>
  <c r="AB125" i="10" s="1"/>
  <c r="AC125" i="10" s="1" a="1"/>
  <c r="AC125" i="10" s="1"/>
  <c r="AA149" i="10"/>
  <c r="AB149" i="10" s="1"/>
  <c r="AC149" i="10" s="1" a="1"/>
  <c r="AC149" i="10" s="1"/>
  <c r="AC173" i="10" a="1"/>
  <c r="AC173" i="10" s="1"/>
  <c r="AA173" i="10"/>
  <c r="AB173" i="10" s="1"/>
  <c r="AC197" i="10" a="1"/>
  <c r="AC197" i="10" s="1"/>
  <c r="AA197" i="10"/>
  <c r="AB197" i="10" s="1"/>
  <c r="AA221" i="10"/>
  <c r="AB221" i="10" s="1"/>
  <c r="AC221" i="10" s="1" a="1"/>
  <c r="AC221" i="10" s="1"/>
  <c r="AC245" i="10" a="1"/>
  <c r="AC245" i="10" s="1"/>
  <c r="AA245" i="10"/>
  <c r="AB245" i="10" s="1"/>
  <c r="AA269" i="10"/>
  <c r="AB269" i="10" s="1"/>
  <c r="AC269" i="10" s="1" a="1"/>
  <c r="AC269" i="10" s="1"/>
  <c r="AA293" i="10"/>
  <c r="AB293" i="10" s="1"/>
  <c r="AC293" i="10" s="1" a="1"/>
  <c r="AC293" i="10" s="1"/>
  <c r="AC317" i="10" a="1"/>
  <c r="AC317" i="10" s="1"/>
  <c r="AA317" i="10"/>
  <c r="AB317" i="10" s="1"/>
  <c r="AC340" i="10" a="1"/>
  <c r="AC340" i="10" s="1"/>
  <c r="AA340" i="10"/>
  <c r="AB340" i="10" s="1"/>
  <c r="AA316" i="10"/>
  <c r="AB316" i="10" s="1"/>
  <c r="AC316" i="10" s="1" a="1"/>
  <c r="AC316" i="10" s="1"/>
  <c r="AA292" i="10"/>
  <c r="AB292" i="10" s="1"/>
  <c r="AC292" i="10" s="1" a="1"/>
  <c r="AC292" i="10" s="1"/>
  <c r="AC268" i="10" a="1"/>
  <c r="AC268" i="10" s="1"/>
  <c r="AA268" i="10"/>
  <c r="AB268" i="10" s="1"/>
  <c r="AA244" i="10"/>
  <c r="AB244" i="10" s="1"/>
  <c r="AC244" i="10" s="1" a="1"/>
  <c r="AC244" i="10" s="1"/>
  <c r="AA220" i="10"/>
  <c r="AB220" i="10" s="1"/>
  <c r="AC220" i="10" s="1" a="1"/>
  <c r="AC220" i="10" s="1"/>
  <c r="AC196" i="10" a="1"/>
  <c r="AC196" i="10" s="1"/>
  <c r="AA196" i="10"/>
  <c r="AB196" i="10" s="1"/>
  <c r="AC172" i="10" a="1"/>
  <c r="AC172" i="10" s="1"/>
  <c r="AA172" i="10"/>
  <c r="AB172" i="10" s="1"/>
  <c r="AC148" i="10" a="1"/>
  <c r="AC148" i="10" s="1"/>
  <c r="AA148" i="10"/>
  <c r="AB148" i="10" s="1"/>
  <c r="AC124" i="10" a="1"/>
  <c r="AC124" i="10" s="1"/>
  <c r="AA124" i="10"/>
  <c r="AB124" i="10" s="1"/>
  <c r="AC100" i="10" a="1"/>
  <c r="AC100" i="10" s="1"/>
  <c r="AA100" i="10"/>
  <c r="AB100" i="10" s="1"/>
  <c r="AA76" i="10"/>
  <c r="AB76" i="10" s="1"/>
  <c r="AC76" i="10" s="1" a="1"/>
  <c r="AC76" i="10" s="1"/>
  <c r="AA52" i="10"/>
  <c r="AB52" i="10" s="1"/>
  <c r="AC52" i="10" s="1" a="1"/>
  <c r="AC52" i="10" s="1"/>
  <c r="AC28" i="10" a="1"/>
  <c r="AC28" i="10" s="1"/>
  <c r="AA28" i="10"/>
  <c r="AB28" i="10" s="1"/>
  <c r="AC3" i="10" a="1"/>
  <c r="AC3" i="10" s="1"/>
  <c r="AA3" i="10"/>
  <c r="AB3" i="10" s="1"/>
  <c r="AC51" i="10" a="1"/>
  <c r="AC51" i="10" s="1"/>
  <c r="AA51" i="10"/>
  <c r="AB51" i="10" s="1"/>
  <c r="AC75" i="10" a="1"/>
  <c r="AC75" i="10" s="1"/>
  <c r="AA75" i="10"/>
  <c r="AB75" i="10" s="1"/>
  <c r="AC99" i="10" a="1"/>
  <c r="AC99" i="10" s="1"/>
  <c r="AA99" i="10"/>
  <c r="AB99" i="10" s="1"/>
  <c r="AC123" i="10" a="1"/>
  <c r="AC123" i="10" s="1"/>
  <c r="AA123" i="10"/>
  <c r="AB123" i="10" s="1"/>
  <c r="AA147" i="10"/>
  <c r="AB147" i="10" s="1"/>
  <c r="AC147" i="10" s="1" a="1"/>
  <c r="AC147" i="10" s="1"/>
  <c r="AC171" i="10" a="1"/>
  <c r="AC171" i="10" s="1"/>
  <c r="AB171" i="10"/>
  <c r="AA171" i="10"/>
  <c r="AC195" i="10" a="1"/>
  <c r="AC195" i="10" s="1"/>
  <c r="AA195" i="10"/>
  <c r="AB195" i="10" s="1"/>
  <c r="AC219" i="10" a="1"/>
  <c r="AC219" i="10" s="1"/>
  <c r="AA219" i="10"/>
  <c r="AB219" i="10" s="1"/>
  <c r="AC243" i="10"/>
  <c r="AC243" i="10" a="1"/>
  <c r="AA243" i="10"/>
  <c r="AB243" i="10" s="1"/>
  <c r="AC267" i="10" a="1"/>
  <c r="AC267" i="10" s="1"/>
  <c r="AA267" i="10"/>
  <c r="AB267" i="10" s="1"/>
  <c r="AC291" i="10" a="1"/>
  <c r="AC291" i="10" s="1"/>
  <c r="AA291" i="10"/>
  <c r="AB291" i="10" s="1"/>
  <c r="AC315" i="10" a="1"/>
  <c r="AC315" i="10" s="1"/>
  <c r="AA315" i="10"/>
  <c r="AB315" i="10" s="1"/>
  <c r="AC339" i="10" a="1"/>
  <c r="AC339" i="10" s="1"/>
  <c r="AA339" i="10"/>
  <c r="AB339" i="10" s="1"/>
  <c r="AC338" i="10" a="1"/>
  <c r="AC338" i="10" s="1"/>
  <c r="AB338" i="10"/>
  <c r="AA338" i="10"/>
  <c r="AC314" i="10" a="1"/>
  <c r="AC314" i="10" s="1"/>
  <c r="AA314" i="10"/>
  <c r="AB314" i="10" s="1"/>
  <c r="AA290" i="10"/>
  <c r="AB290" i="10" s="1"/>
  <c r="AC290" i="10" s="1" a="1"/>
  <c r="AC290" i="10" s="1"/>
  <c r="AC266" i="10" a="1"/>
  <c r="AC266" i="10" s="1"/>
  <c r="AA266" i="10"/>
  <c r="AB266" i="10" s="1"/>
  <c r="AC242" i="10" a="1"/>
  <c r="AC242" i="10" s="1"/>
  <c r="AA242" i="10"/>
  <c r="AB242" i="10" s="1"/>
  <c r="AC218" i="10" a="1"/>
  <c r="AC218" i="10" s="1"/>
  <c r="AA218" i="10"/>
  <c r="AB218" i="10" s="1"/>
  <c r="AC194" i="10" a="1"/>
  <c r="AC194" i="10" s="1"/>
  <c r="AB194" i="10"/>
  <c r="AA194" i="10"/>
  <c r="AC170" i="10" a="1"/>
  <c r="AC170" i="10" s="1"/>
  <c r="AA170" i="10"/>
  <c r="AB170" i="10" s="1"/>
  <c r="AA146" i="10"/>
  <c r="AA122" i="10"/>
  <c r="AB122" i="10" s="1"/>
  <c r="AC122" i="10" s="1" a="1"/>
  <c r="AC122" i="10" s="1"/>
  <c r="AC98" i="10" a="1"/>
  <c r="AC98" i="10" s="1"/>
  <c r="AA98" i="10"/>
  <c r="AB98" i="10" s="1"/>
  <c r="AC74" i="10" a="1"/>
  <c r="AC74" i="10" s="1"/>
  <c r="AA74" i="10"/>
  <c r="AB74" i="10" s="1"/>
  <c r="AC50" i="10" a="1"/>
  <c r="AC50" i="10" s="1"/>
  <c r="AA50" i="10"/>
  <c r="AB50" i="10" s="1"/>
  <c r="AC26" i="10" a="1"/>
  <c r="AC26" i="10" s="1"/>
  <c r="AA26" i="10"/>
  <c r="AB26" i="10" s="1"/>
  <c r="AA2" i="10"/>
  <c r="AB2" i="10" s="1"/>
  <c r="AC2" i="10" s="1" a="1"/>
  <c r="AC2" i="10" s="1"/>
  <c r="A3" i="8"/>
  <c r="E3" i="8" s="1"/>
  <c r="F3" i="8" s="1"/>
  <c r="A4" i="8"/>
  <c r="E4" i="8" s="1"/>
  <c r="F4" i="8" s="1"/>
  <c r="A5" i="8"/>
  <c r="E5" i="8" s="1"/>
  <c r="F5" i="8" s="1"/>
  <c r="A6" i="8"/>
  <c r="E6" i="8" s="1"/>
  <c r="F6" i="8" s="1"/>
  <c r="A7" i="8"/>
  <c r="E7" i="8" s="1"/>
  <c r="A8" i="8"/>
  <c r="E8" i="8" s="1"/>
  <c r="A9" i="8"/>
  <c r="E9" i="8" s="1"/>
  <c r="F9" i="8" s="1"/>
  <c r="A10" i="8"/>
  <c r="E10" i="8" s="1"/>
  <c r="A11" i="8"/>
  <c r="E11" i="8" s="1"/>
  <c r="G11" i="8" s="1"/>
  <c r="A12" i="8"/>
  <c r="E12" i="8" s="1"/>
  <c r="G12" i="8" s="1"/>
  <c r="A13" i="8"/>
  <c r="E13" i="8" s="1"/>
  <c r="G13" i="8" s="1"/>
  <c r="A14" i="8"/>
  <c r="E14" i="8" s="1"/>
  <c r="G14" i="8" s="1"/>
  <c r="A15" i="8"/>
  <c r="E15" i="8" s="1"/>
  <c r="G15" i="8" s="1"/>
  <c r="A16" i="8"/>
  <c r="E16" i="8" s="1"/>
  <c r="G16" i="8" s="1"/>
  <c r="A17" i="8"/>
  <c r="E17" i="8" s="1"/>
  <c r="G17" i="8" s="1"/>
  <c r="A18" i="8"/>
  <c r="E18" i="8" s="1"/>
  <c r="G18" i="8" s="1"/>
  <c r="A19" i="8"/>
  <c r="E19" i="8" s="1"/>
  <c r="G19" i="8" s="1"/>
  <c r="A20" i="8"/>
  <c r="E20" i="8" s="1"/>
  <c r="G20" i="8" s="1"/>
  <c r="A21" i="8"/>
  <c r="E21" i="8" s="1"/>
  <c r="G21" i="8" s="1"/>
  <c r="A22" i="8"/>
  <c r="E22" i="8" s="1"/>
  <c r="G22" i="8" s="1"/>
  <c r="A23" i="8"/>
  <c r="E23" i="8" s="1"/>
  <c r="G23" i="8" s="1"/>
  <c r="A24" i="8"/>
  <c r="E24" i="8" s="1"/>
  <c r="G24" i="8" s="1"/>
  <c r="A25" i="8"/>
  <c r="E25" i="8" s="1"/>
  <c r="G25" i="8" s="1"/>
  <c r="A26" i="8"/>
  <c r="E26" i="8" s="1"/>
  <c r="A27" i="8"/>
  <c r="E27" i="8" s="1"/>
  <c r="G27" i="8" s="1"/>
  <c r="A28" i="8"/>
  <c r="E28" i="8" s="1"/>
  <c r="G28" i="8" s="1"/>
  <c r="A29" i="8"/>
  <c r="E29" i="8" s="1"/>
  <c r="G29" i="8" s="1"/>
  <c r="A30" i="8"/>
  <c r="E30" i="8" s="1"/>
  <c r="G30" i="8" s="1"/>
  <c r="A31" i="8"/>
  <c r="E31" i="8" s="1"/>
  <c r="G31" i="8" s="1"/>
  <c r="A32" i="8"/>
  <c r="E32" i="8" s="1"/>
  <c r="G32" i="8" s="1"/>
  <c r="A33" i="8"/>
  <c r="E33" i="8" s="1"/>
  <c r="G33" i="8" s="1"/>
  <c r="A34" i="8"/>
  <c r="E34" i="8" s="1"/>
  <c r="G34" i="8" s="1"/>
  <c r="A35" i="8"/>
  <c r="E35" i="8" s="1"/>
  <c r="G35" i="8" s="1"/>
  <c r="A36" i="8"/>
  <c r="E36" i="8" s="1"/>
  <c r="G36" i="8" s="1"/>
  <c r="A37" i="8"/>
  <c r="E37" i="8" s="1"/>
  <c r="G37" i="8" s="1"/>
  <c r="A38" i="8"/>
  <c r="E38" i="8" s="1"/>
  <c r="G38" i="8" s="1"/>
  <c r="A39" i="8"/>
  <c r="E39" i="8" s="1"/>
  <c r="G39" i="8" s="1"/>
  <c r="A40" i="8"/>
  <c r="E40" i="8" s="1"/>
  <c r="G40" i="8" s="1"/>
  <c r="A41" i="8"/>
  <c r="E41" i="8" s="1"/>
  <c r="A42" i="8"/>
  <c r="E42" i="8" s="1"/>
  <c r="A43" i="8"/>
  <c r="E43" i="8" s="1"/>
  <c r="G43" i="8" s="1"/>
  <c r="A44" i="8"/>
  <c r="E44" i="8" s="1"/>
  <c r="G44" i="8" s="1"/>
  <c r="A45" i="8"/>
  <c r="E45" i="8" s="1"/>
  <c r="G45" i="8" s="1"/>
  <c r="A46" i="8"/>
  <c r="E46" i="8" s="1"/>
  <c r="G46" i="8" s="1"/>
  <c r="A47" i="8"/>
  <c r="E47" i="8" s="1"/>
  <c r="G47" i="8" s="1"/>
  <c r="A48" i="8"/>
  <c r="E48" i="8" s="1"/>
  <c r="G48" i="8" s="1"/>
  <c r="A49" i="8"/>
  <c r="E49" i="8" s="1"/>
  <c r="G49" i="8" s="1"/>
  <c r="A50" i="8"/>
  <c r="E50" i="8" s="1"/>
  <c r="G50" i="8" s="1"/>
  <c r="A51" i="8"/>
  <c r="E51" i="8" s="1"/>
  <c r="G51" i="8" s="1"/>
  <c r="A52" i="8"/>
  <c r="E52" i="8" s="1"/>
  <c r="G52" i="8" s="1"/>
  <c r="A53" i="8"/>
  <c r="E53" i="8" s="1"/>
  <c r="G53" i="8" s="1"/>
  <c r="A54" i="8"/>
  <c r="E54" i="8" s="1"/>
  <c r="G54" i="8" s="1"/>
  <c r="A55" i="8"/>
  <c r="E55" i="8" s="1"/>
  <c r="G55" i="8" s="1"/>
  <c r="A56" i="8"/>
  <c r="E56" i="8" s="1"/>
  <c r="G56" i="8" s="1"/>
  <c r="A57" i="8"/>
  <c r="E57" i="8" s="1"/>
  <c r="A58" i="8"/>
  <c r="E58" i="8" s="1"/>
  <c r="F58" i="8" s="1"/>
  <c r="A59" i="8"/>
  <c r="E59" i="8" s="1"/>
  <c r="G59" i="8" s="1"/>
  <c r="A60" i="8"/>
  <c r="E60" i="8" s="1"/>
  <c r="G60" i="8" s="1"/>
  <c r="A61" i="8"/>
  <c r="E61" i="8" s="1"/>
  <c r="G61" i="8" s="1"/>
  <c r="A62" i="8"/>
  <c r="E62" i="8" s="1"/>
  <c r="G62" i="8" s="1"/>
  <c r="A63" i="8"/>
  <c r="E63" i="8" s="1"/>
  <c r="G63" i="8" s="1"/>
  <c r="A64" i="8"/>
  <c r="E64" i="8" s="1"/>
  <c r="G64" i="8" s="1"/>
  <c r="A65" i="8"/>
  <c r="E65" i="8" s="1"/>
  <c r="G65" i="8" s="1"/>
  <c r="A66" i="8"/>
  <c r="E66" i="8" s="1"/>
  <c r="G66" i="8" s="1"/>
  <c r="A67" i="8"/>
  <c r="E67" i="8" s="1"/>
  <c r="G67" i="8" s="1"/>
  <c r="A68" i="8"/>
  <c r="E68" i="8" s="1"/>
  <c r="G68" i="8" s="1"/>
  <c r="A69" i="8"/>
  <c r="E69" i="8" s="1"/>
  <c r="G69" i="8" s="1"/>
  <c r="A70" i="8"/>
  <c r="E70" i="8" s="1"/>
  <c r="G70" i="8" s="1"/>
  <c r="A71" i="8"/>
  <c r="E71" i="8" s="1"/>
  <c r="G71" i="8" s="1"/>
  <c r="A72" i="8"/>
  <c r="E72" i="8" s="1"/>
  <c r="A73" i="8"/>
  <c r="E73" i="8" s="1"/>
  <c r="F73" i="8" s="1"/>
  <c r="A74" i="8"/>
  <c r="E74" i="8" s="1"/>
  <c r="F74" i="8" s="1"/>
  <c r="A75" i="8"/>
  <c r="E75" i="8" s="1"/>
  <c r="G75" i="8" s="1"/>
  <c r="A76" i="8"/>
  <c r="E76" i="8" s="1"/>
  <c r="G76" i="8" s="1"/>
  <c r="A77" i="8"/>
  <c r="E77" i="8" s="1"/>
  <c r="G77" i="8" s="1"/>
  <c r="A78" i="8"/>
  <c r="E78" i="8" s="1"/>
  <c r="G78" i="8" s="1"/>
  <c r="A79" i="8"/>
  <c r="E79" i="8" s="1"/>
  <c r="G79" i="8" s="1"/>
  <c r="A80" i="8"/>
  <c r="E80" i="8" s="1"/>
  <c r="G80" i="8" s="1"/>
  <c r="A81" i="8"/>
  <c r="E81" i="8" s="1"/>
  <c r="G81" i="8" s="1"/>
  <c r="A82" i="8"/>
  <c r="E82" i="8" s="1"/>
  <c r="G82" i="8" s="1"/>
  <c r="A83" i="8"/>
  <c r="E83" i="8" s="1"/>
  <c r="G83" i="8" s="1"/>
  <c r="A84" i="8"/>
  <c r="E84" i="8" s="1"/>
  <c r="G84" i="8" s="1"/>
  <c r="A85" i="8"/>
  <c r="E85" i="8" s="1"/>
  <c r="G85" i="8" s="1"/>
  <c r="A86" i="8"/>
  <c r="E86" i="8" s="1"/>
  <c r="G86" i="8" s="1"/>
  <c r="A87" i="8"/>
  <c r="E87" i="8" s="1"/>
  <c r="G87" i="8" s="1"/>
  <c r="A88" i="8"/>
  <c r="E88" i="8" s="1"/>
  <c r="G88" i="8" s="1"/>
  <c r="A89" i="8"/>
  <c r="E89" i="8" s="1"/>
  <c r="F89" i="8" s="1"/>
  <c r="A90" i="8"/>
  <c r="E90" i="8" s="1"/>
  <c r="F90" i="8" s="1"/>
  <c r="A91" i="8"/>
  <c r="E91" i="8" s="1"/>
  <c r="G91" i="8" s="1"/>
  <c r="A92" i="8"/>
  <c r="E92" i="8" s="1"/>
  <c r="G92" i="8" s="1"/>
  <c r="A93" i="8"/>
  <c r="E93" i="8" s="1"/>
  <c r="G93" i="8" s="1"/>
  <c r="A94" i="8"/>
  <c r="E94" i="8" s="1"/>
  <c r="G94" i="8" s="1"/>
  <c r="A95" i="8"/>
  <c r="E95" i="8" s="1"/>
  <c r="G95" i="8" s="1"/>
  <c r="A96" i="8"/>
  <c r="E96" i="8" s="1"/>
  <c r="G96" i="8" s="1"/>
  <c r="A97" i="8"/>
  <c r="E97" i="8" s="1"/>
  <c r="G97" i="8" s="1"/>
  <c r="A98" i="8"/>
  <c r="E98" i="8" s="1"/>
  <c r="G98" i="8" s="1"/>
  <c r="A99" i="8"/>
  <c r="E99" i="8" s="1"/>
  <c r="G99" i="8" s="1"/>
  <c r="A100" i="8"/>
  <c r="E100" i="8" s="1"/>
  <c r="G100" i="8" s="1"/>
  <c r="A101" i="8"/>
  <c r="E101" i="8" s="1"/>
  <c r="G101" i="8" s="1"/>
  <c r="A102" i="8"/>
  <c r="E102" i="8" s="1"/>
  <c r="G102" i="8" s="1"/>
  <c r="A103" i="8"/>
  <c r="E103" i="8" s="1"/>
  <c r="G103" i="8" s="1"/>
  <c r="A104" i="8"/>
  <c r="E104" i="8" s="1"/>
  <c r="A105" i="8"/>
  <c r="E105" i="8" s="1"/>
  <c r="F105" i="8" s="1"/>
  <c r="A106" i="8"/>
  <c r="E106" i="8" s="1"/>
  <c r="G106" i="8" s="1"/>
  <c r="A107" i="8"/>
  <c r="E107" i="8" s="1"/>
  <c r="G107" i="8" s="1"/>
  <c r="A108" i="8"/>
  <c r="E108" i="8" s="1"/>
  <c r="G108" i="8" s="1"/>
  <c r="A109" i="8"/>
  <c r="E109" i="8" s="1"/>
  <c r="G109" i="8" s="1"/>
  <c r="A110" i="8"/>
  <c r="E110" i="8" s="1"/>
  <c r="G110" i="8" s="1"/>
  <c r="A111" i="8"/>
  <c r="E111" i="8" s="1"/>
  <c r="G111" i="8" s="1"/>
  <c r="A112" i="8"/>
  <c r="E112" i="8" s="1"/>
  <c r="G112" i="8" s="1"/>
  <c r="A113" i="8"/>
  <c r="E113" i="8" s="1"/>
  <c r="G113" i="8" s="1"/>
  <c r="A114" i="8"/>
  <c r="E114" i="8" s="1"/>
  <c r="F114" i="8" s="1"/>
  <c r="A115" i="8"/>
  <c r="E115" i="8" s="1"/>
  <c r="G115" i="8" s="1"/>
  <c r="A116" i="8"/>
  <c r="E116" i="8" s="1"/>
  <c r="G116" i="8" s="1"/>
  <c r="A117" i="8"/>
  <c r="E117" i="8" s="1"/>
  <c r="G117" i="8" s="1"/>
  <c r="A118" i="8"/>
  <c r="E118" i="8" s="1"/>
  <c r="G118" i="8" s="1"/>
  <c r="A119" i="8"/>
  <c r="E119" i="8" s="1"/>
  <c r="G119" i="8" s="1"/>
  <c r="A120" i="8"/>
  <c r="E120" i="8" s="1"/>
  <c r="G120" i="8" s="1"/>
  <c r="A121" i="8"/>
  <c r="E121" i="8" s="1"/>
  <c r="G121" i="8" s="1"/>
  <c r="A122" i="8"/>
  <c r="E122" i="8" s="1"/>
  <c r="G122" i="8" s="1"/>
  <c r="A123" i="8"/>
  <c r="E123" i="8" s="1"/>
  <c r="G123" i="8" s="1"/>
  <c r="A124" i="8"/>
  <c r="E124" i="8" s="1"/>
  <c r="G124" i="8" s="1"/>
  <c r="A125" i="8"/>
  <c r="E125" i="8" s="1"/>
  <c r="G125" i="8" s="1"/>
  <c r="A126" i="8"/>
  <c r="E126" i="8" s="1"/>
  <c r="G126" i="8" s="1"/>
  <c r="A127" i="8"/>
  <c r="E127" i="8" s="1"/>
  <c r="G127" i="8" s="1"/>
  <c r="A128" i="8"/>
  <c r="E128" i="8" s="1"/>
  <c r="G128" i="8" s="1"/>
  <c r="A129" i="8"/>
  <c r="E129" i="8" s="1"/>
  <c r="G129" i="8" s="1"/>
  <c r="A130" i="8"/>
  <c r="E130" i="8" s="1"/>
  <c r="G130" i="8" s="1"/>
  <c r="A131" i="8"/>
  <c r="E131" i="8" s="1"/>
  <c r="G131" i="8" s="1"/>
  <c r="A132" i="8"/>
  <c r="E132" i="8" s="1"/>
  <c r="G132" i="8" s="1"/>
  <c r="A133" i="8"/>
  <c r="E133" i="8" s="1"/>
  <c r="G133" i="8" s="1"/>
  <c r="A134" i="8"/>
  <c r="E134" i="8" s="1"/>
  <c r="G134" i="8" s="1"/>
  <c r="A135" i="8"/>
  <c r="E135" i="8" s="1"/>
  <c r="G135" i="8" s="1"/>
  <c r="A136" i="8"/>
  <c r="E136" i="8" s="1"/>
  <c r="G136" i="8" s="1"/>
  <c r="A137" i="8"/>
  <c r="E137" i="8" s="1"/>
  <c r="A138" i="8"/>
  <c r="E138" i="8" s="1"/>
  <c r="G138" i="8" s="1"/>
  <c r="A139" i="8"/>
  <c r="E139" i="8" s="1"/>
  <c r="G139" i="8" s="1"/>
  <c r="A140" i="8"/>
  <c r="E140" i="8" s="1"/>
  <c r="G140" i="8" s="1"/>
  <c r="A141" i="8"/>
  <c r="E141" i="8" s="1"/>
  <c r="G141" i="8" s="1"/>
  <c r="A142" i="8"/>
  <c r="E142" i="8" s="1"/>
  <c r="G142" i="8" s="1"/>
  <c r="A143" i="8"/>
  <c r="E143" i="8" s="1"/>
  <c r="G143" i="8" s="1"/>
  <c r="A144" i="8"/>
  <c r="E144" i="8" s="1"/>
  <c r="G144" i="8" s="1"/>
  <c r="A145" i="8"/>
  <c r="E145" i="8" s="1"/>
  <c r="G145" i="8" s="1"/>
  <c r="A146" i="8"/>
  <c r="E146" i="8" s="1"/>
  <c r="G146" i="8" s="1"/>
  <c r="A147" i="8"/>
  <c r="E147" i="8" s="1"/>
  <c r="G147" i="8" s="1"/>
  <c r="A148" i="8"/>
  <c r="E148" i="8" s="1"/>
  <c r="G148" i="8" s="1"/>
  <c r="A149" i="8"/>
  <c r="E149" i="8" s="1"/>
  <c r="G149" i="8" s="1"/>
  <c r="A150" i="8"/>
  <c r="E150" i="8" s="1"/>
  <c r="G150" i="8" s="1"/>
  <c r="A151" i="8"/>
  <c r="E151" i="8" s="1"/>
  <c r="G151" i="8" s="1"/>
  <c r="A152" i="8"/>
  <c r="E152" i="8" s="1"/>
  <c r="G152" i="8" s="1"/>
  <c r="A153" i="8"/>
  <c r="E153" i="8" s="1"/>
  <c r="G153" i="8" s="1"/>
  <c r="A154" i="8"/>
  <c r="E154" i="8" s="1"/>
  <c r="A155" i="8"/>
  <c r="E155" i="8" s="1"/>
  <c r="G155" i="8" s="1"/>
  <c r="A156" i="8"/>
  <c r="E156" i="8" s="1"/>
  <c r="G156" i="8" s="1"/>
  <c r="A157" i="8"/>
  <c r="E157" i="8" s="1"/>
  <c r="G157" i="8" s="1"/>
  <c r="A158" i="8"/>
  <c r="E158" i="8" s="1"/>
  <c r="G158" i="8" s="1"/>
  <c r="A159" i="8"/>
  <c r="E159" i="8" s="1"/>
  <c r="G159" i="8" s="1"/>
  <c r="A160" i="8"/>
  <c r="E160" i="8" s="1"/>
  <c r="G160" i="8" s="1"/>
  <c r="A161" i="8"/>
  <c r="E161" i="8" s="1"/>
  <c r="G161" i="8" s="1"/>
  <c r="A162" i="8"/>
  <c r="E162" i="8" s="1"/>
  <c r="G162" i="8" s="1"/>
  <c r="A163" i="8"/>
  <c r="E163" i="8" s="1"/>
  <c r="G163" i="8" s="1"/>
  <c r="A164" i="8"/>
  <c r="E164" i="8" s="1"/>
  <c r="G164" i="8" s="1"/>
  <c r="A165" i="8"/>
  <c r="E165" i="8" s="1"/>
  <c r="G165" i="8" s="1"/>
  <c r="A166" i="8"/>
  <c r="E166" i="8" s="1"/>
  <c r="G166" i="8" s="1"/>
  <c r="A167" i="8"/>
  <c r="E167" i="8" s="1"/>
  <c r="G167" i="8" s="1"/>
  <c r="A168" i="8"/>
  <c r="E168" i="8" s="1"/>
  <c r="G168" i="8" s="1"/>
  <c r="A169" i="8"/>
  <c r="E169" i="8" s="1"/>
  <c r="A170" i="8"/>
  <c r="E170" i="8" s="1"/>
  <c r="F170" i="8" s="1"/>
  <c r="A171" i="8"/>
  <c r="E171" i="8" s="1"/>
  <c r="G171" i="8" s="1"/>
  <c r="A172" i="8"/>
  <c r="E172" i="8" s="1"/>
  <c r="G172" i="8" s="1"/>
  <c r="A173" i="8"/>
  <c r="E173" i="8" s="1"/>
  <c r="G173" i="8" s="1"/>
  <c r="A174" i="8"/>
  <c r="E174" i="8" s="1"/>
  <c r="G174" i="8" s="1"/>
  <c r="A175" i="8"/>
  <c r="E175" i="8" s="1"/>
  <c r="G175" i="8" s="1"/>
  <c r="A176" i="8"/>
  <c r="E176" i="8" s="1"/>
  <c r="G176" i="8" s="1"/>
  <c r="A177" i="8"/>
  <c r="E177" i="8" s="1"/>
  <c r="G177" i="8" s="1"/>
  <c r="A178" i="8"/>
  <c r="E178" i="8" s="1"/>
  <c r="G178" i="8" s="1"/>
  <c r="A179" i="8"/>
  <c r="E179" i="8" s="1"/>
  <c r="G179" i="8" s="1"/>
  <c r="A180" i="8"/>
  <c r="E180" i="8" s="1"/>
  <c r="G180" i="8" s="1"/>
  <c r="A181" i="8"/>
  <c r="E181" i="8" s="1"/>
  <c r="G181" i="8" s="1"/>
  <c r="A182" i="8"/>
  <c r="E182" i="8" s="1"/>
  <c r="G182" i="8" s="1"/>
  <c r="A183" i="8"/>
  <c r="E183" i="8" s="1"/>
  <c r="G183" i="8" s="1"/>
  <c r="A184" i="8"/>
  <c r="E184" i="8" s="1"/>
  <c r="A185" i="8"/>
  <c r="E185" i="8" s="1"/>
  <c r="F185" i="8" s="1"/>
  <c r="A186" i="8"/>
  <c r="E186" i="8" s="1"/>
  <c r="F186" i="8" s="1"/>
  <c r="A187" i="8"/>
  <c r="E187" i="8" s="1"/>
  <c r="G187" i="8" s="1"/>
  <c r="A188" i="8"/>
  <c r="E188" i="8" s="1"/>
  <c r="G188" i="8" s="1"/>
  <c r="A189" i="8"/>
  <c r="E189" i="8" s="1"/>
  <c r="G189" i="8" s="1"/>
  <c r="A190" i="8"/>
  <c r="E190" i="8" s="1"/>
  <c r="G190" i="8" s="1"/>
  <c r="A191" i="8"/>
  <c r="E191" i="8" s="1"/>
  <c r="G191" i="8" s="1"/>
  <c r="A192" i="8"/>
  <c r="E192" i="8" s="1"/>
  <c r="G192" i="8" s="1"/>
  <c r="A193" i="8"/>
  <c r="E193" i="8" s="1"/>
  <c r="G193" i="8" s="1"/>
  <c r="A194" i="8"/>
  <c r="E194" i="8" s="1"/>
  <c r="G194" i="8" s="1"/>
  <c r="A195" i="8"/>
  <c r="E195" i="8" s="1"/>
  <c r="G195" i="8" s="1"/>
  <c r="A196" i="8"/>
  <c r="E196" i="8" s="1"/>
  <c r="G196" i="8" s="1"/>
  <c r="A197" i="8"/>
  <c r="E197" i="8" s="1"/>
  <c r="G197" i="8" s="1"/>
  <c r="A198" i="8"/>
  <c r="E198" i="8" s="1"/>
  <c r="G198" i="8" s="1"/>
  <c r="A199" i="8"/>
  <c r="E199" i="8" s="1"/>
  <c r="G199" i="8" s="1"/>
  <c r="A200" i="8"/>
  <c r="E200" i="8" s="1"/>
  <c r="A201" i="8"/>
  <c r="E201" i="8" s="1"/>
  <c r="F201" i="8" s="1"/>
  <c r="A202" i="8"/>
  <c r="E202" i="8" s="1"/>
  <c r="F202" i="8" s="1"/>
  <c r="A203" i="8"/>
  <c r="E203" i="8" s="1"/>
  <c r="G203" i="8" s="1"/>
  <c r="A204" i="8"/>
  <c r="E204" i="8" s="1"/>
  <c r="G204" i="8" s="1"/>
  <c r="A205" i="8"/>
  <c r="E205" i="8" s="1"/>
  <c r="G205" i="8" s="1"/>
  <c r="A206" i="8"/>
  <c r="E206" i="8" s="1"/>
  <c r="G206" i="8" s="1"/>
  <c r="A207" i="8"/>
  <c r="E207" i="8" s="1"/>
  <c r="G207" i="8" s="1"/>
  <c r="A208" i="8"/>
  <c r="E208" i="8" s="1"/>
  <c r="G208" i="8" s="1"/>
  <c r="A209" i="8"/>
  <c r="E209" i="8" s="1"/>
  <c r="G209" i="8" s="1"/>
  <c r="A210" i="8"/>
  <c r="E210" i="8" s="1"/>
  <c r="G210" i="8" s="1"/>
  <c r="A211" i="8"/>
  <c r="E211" i="8" s="1"/>
  <c r="G211" i="8" s="1"/>
  <c r="A212" i="8"/>
  <c r="E212" i="8" s="1"/>
  <c r="G212" i="8" s="1"/>
  <c r="A213" i="8"/>
  <c r="E213" i="8" s="1"/>
  <c r="G213" i="8" s="1"/>
  <c r="A214" i="8"/>
  <c r="E214" i="8" s="1"/>
  <c r="G214" i="8" s="1"/>
  <c r="A215" i="8"/>
  <c r="E215" i="8" s="1"/>
  <c r="G215" i="8" s="1"/>
  <c r="A216" i="8"/>
  <c r="E216" i="8" s="1"/>
  <c r="A217" i="8"/>
  <c r="E217" i="8" s="1"/>
  <c r="F217" i="8" s="1"/>
  <c r="A218" i="8"/>
  <c r="E218" i="8" s="1"/>
  <c r="G218" i="8" s="1"/>
  <c r="A219" i="8"/>
  <c r="E219" i="8" s="1"/>
  <c r="G219" i="8" s="1"/>
  <c r="A220" i="8"/>
  <c r="E220" i="8" s="1"/>
  <c r="G220" i="8" s="1"/>
  <c r="A221" i="8"/>
  <c r="E221" i="8" s="1"/>
  <c r="G221" i="8" s="1"/>
  <c r="A222" i="8"/>
  <c r="E222" i="8" s="1"/>
  <c r="G222" i="8" s="1"/>
  <c r="A223" i="8"/>
  <c r="E223" i="8" s="1"/>
  <c r="G223" i="8" s="1"/>
  <c r="A224" i="8"/>
  <c r="E224" i="8" s="1"/>
  <c r="G224" i="8" s="1"/>
  <c r="A225" i="8"/>
  <c r="E225" i="8" s="1"/>
  <c r="G225" i="8" s="1"/>
  <c r="A226" i="8"/>
  <c r="E226" i="8" s="1"/>
  <c r="G226" i="8" s="1"/>
  <c r="A227" i="8"/>
  <c r="E227" i="8" s="1"/>
  <c r="G227" i="8" s="1"/>
  <c r="A228" i="8"/>
  <c r="E228" i="8" s="1"/>
  <c r="G228" i="8" s="1"/>
  <c r="A229" i="8"/>
  <c r="E229" i="8" s="1"/>
  <c r="G229" i="8" s="1"/>
  <c r="A230" i="8"/>
  <c r="E230" i="8" s="1"/>
  <c r="G230" i="8" s="1"/>
  <c r="A231" i="8"/>
  <c r="E231" i="8" s="1"/>
  <c r="G231" i="8" s="1"/>
  <c r="A232" i="8"/>
  <c r="E232" i="8" s="1"/>
  <c r="G232" i="8" s="1"/>
  <c r="A233" i="8"/>
  <c r="E233" i="8" s="1"/>
  <c r="F233" i="8" s="1"/>
  <c r="A234" i="8"/>
  <c r="E234" i="8" s="1"/>
  <c r="G234" i="8" s="1"/>
  <c r="A235" i="8"/>
  <c r="E235" i="8" s="1"/>
  <c r="G235" i="8" s="1"/>
  <c r="A236" i="8"/>
  <c r="E236" i="8" s="1"/>
  <c r="G236" i="8" s="1"/>
  <c r="A237" i="8"/>
  <c r="E237" i="8" s="1"/>
  <c r="G237" i="8" s="1"/>
  <c r="A238" i="8"/>
  <c r="E238" i="8" s="1"/>
  <c r="G238" i="8" s="1"/>
  <c r="A239" i="8"/>
  <c r="E239" i="8" s="1"/>
  <c r="G239" i="8" s="1"/>
  <c r="A240" i="8"/>
  <c r="E240" i="8" s="1"/>
  <c r="G240" i="8" s="1"/>
  <c r="A241" i="8"/>
  <c r="E241" i="8" s="1"/>
  <c r="G241" i="8" s="1"/>
  <c r="A242" i="8"/>
  <c r="E242" i="8" s="1"/>
  <c r="G242" i="8" s="1"/>
  <c r="A243" i="8"/>
  <c r="E243" i="8" s="1"/>
  <c r="G243" i="8" s="1"/>
  <c r="A244" i="8"/>
  <c r="E244" i="8" s="1"/>
  <c r="G244" i="8" s="1"/>
  <c r="A245" i="8"/>
  <c r="E245" i="8" s="1"/>
  <c r="G245" i="8" s="1"/>
  <c r="A246" i="8"/>
  <c r="E246" i="8" s="1"/>
  <c r="G246" i="8" s="1"/>
  <c r="A247" i="8"/>
  <c r="E247" i="8" s="1"/>
  <c r="G247" i="8" s="1"/>
  <c r="A248" i="8"/>
  <c r="E248" i="8" s="1"/>
  <c r="G248" i="8" s="1"/>
  <c r="A249" i="8"/>
  <c r="E249" i="8" s="1"/>
  <c r="G249" i="8" s="1"/>
  <c r="A250" i="8"/>
  <c r="E250" i="8" s="1"/>
  <c r="G250" i="8" s="1"/>
  <c r="A251" i="8"/>
  <c r="E251" i="8" s="1"/>
  <c r="G251" i="8" s="1"/>
  <c r="A252" i="8"/>
  <c r="E252" i="8" s="1"/>
  <c r="G252" i="8" s="1"/>
  <c r="A253" i="8"/>
  <c r="E253" i="8" s="1"/>
  <c r="G253" i="8" s="1"/>
  <c r="A254" i="8"/>
  <c r="E254" i="8" s="1"/>
  <c r="G254" i="8" s="1"/>
  <c r="A255" i="8"/>
  <c r="E255" i="8" s="1"/>
  <c r="G255" i="8" s="1"/>
  <c r="A256" i="8"/>
  <c r="E256" i="8" s="1"/>
  <c r="G256" i="8" s="1"/>
  <c r="A257" i="8"/>
  <c r="E257" i="8" s="1"/>
  <c r="G257" i="8" s="1"/>
  <c r="A258" i="8"/>
  <c r="E258" i="8" s="1"/>
  <c r="F258" i="8" s="1"/>
  <c r="A259" i="8"/>
  <c r="E259" i="8" s="1"/>
  <c r="G259" i="8" s="1"/>
  <c r="A260" i="8"/>
  <c r="E260" i="8" s="1"/>
  <c r="G260" i="8" s="1"/>
  <c r="A261" i="8"/>
  <c r="E261" i="8" s="1"/>
  <c r="G261" i="8" s="1"/>
  <c r="A262" i="8"/>
  <c r="E262" i="8" s="1"/>
  <c r="G262" i="8" s="1"/>
  <c r="A263" i="8"/>
  <c r="E263" i="8" s="1"/>
  <c r="G263" i="8" s="1"/>
  <c r="A264" i="8"/>
  <c r="E264" i="8" s="1"/>
  <c r="G264" i="8" s="1"/>
  <c r="A265" i="8"/>
  <c r="E265" i="8" s="1"/>
  <c r="A266" i="8"/>
  <c r="E266" i="8" s="1"/>
  <c r="G266" i="8" s="1"/>
  <c r="A267" i="8"/>
  <c r="E267" i="8" s="1"/>
  <c r="G267" i="8" s="1"/>
  <c r="A268" i="8"/>
  <c r="E268" i="8" s="1"/>
  <c r="G268" i="8" s="1"/>
  <c r="A269" i="8"/>
  <c r="E269" i="8" s="1"/>
  <c r="G269" i="8" s="1"/>
  <c r="A270" i="8"/>
  <c r="E270" i="8" s="1"/>
  <c r="G270" i="8" s="1"/>
  <c r="A271" i="8"/>
  <c r="E271" i="8" s="1"/>
  <c r="G271" i="8" s="1"/>
  <c r="A272" i="8"/>
  <c r="E272" i="8" s="1"/>
  <c r="G272" i="8" s="1"/>
  <c r="A273" i="8"/>
  <c r="E273" i="8" s="1"/>
  <c r="F273" i="8" s="1"/>
  <c r="A274" i="8"/>
  <c r="E274" i="8" s="1"/>
  <c r="F274" i="8" s="1"/>
  <c r="A275" i="8"/>
  <c r="E275" i="8" s="1"/>
  <c r="G275" i="8" s="1"/>
  <c r="A276" i="8"/>
  <c r="E276" i="8" s="1"/>
  <c r="G276" i="8" s="1"/>
  <c r="A277" i="8"/>
  <c r="E277" i="8" s="1"/>
  <c r="G277" i="8" s="1"/>
  <c r="A278" i="8"/>
  <c r="E278" i="8" s="1"/>
  <c r="G278" i="8" s="1"/>
  <c r="A279" i="8"/>
  <c r="E279" i="8" s="1"/>
  <c r="G279" i="8" s="1"/>
  <c r="A280" i="8"/>
  <c r="E280" i="8" s="1"/>
  <c r="G280" i="8" s="1"/>
  <c r="A281" i="8"/>
  <c r="E281" i="8" s="1"/>
  <c r="G281" i="8" s="1"/>
  <c r="A282" i="8"/>
  <c r="E282" i="8" s="1"/>
  <c r="F282" i="8" s="1"/>
  <c r="A283" i="8"/>
  <c r="E283" i="8" s="1"/>
  <c r="G283" i="8" s="1"/>
  <c r="A284" i="8"/>
  <c r="E284" i="8" s="1"/>
  <c r="G284" i="8" s="1"/>
  <c r="A285" i="8"/>
  <c r="E285" i="8" s="1"/>
  <c r="G285" i="8" s="1"/>
  <c r="A286" i="8"/>
  <c r="E286" i="8" s="1"/>
  <c r="G286" i="8" s="1"/>
  <c r="A287" i="8"/>
  <c r="E287" i="8" s="1"/>
  <c r="G287" i="8" s="1"/>
  <c r="A288" i="8"/>
  <c r="E288" i="8" s="1"/>
  <c r="G288" i="8" s="1"/>
  <c r="A289" i="8"/>
  <c r="E289" i="8" s="1"/>
  <c r="G289" i="8" s="1"/>
  <c r="A290" i="8"/>
  <c r="E290" i="8" s="1"/>
  <c r="G290" i="8" s="1"/>
  <c r="A291" i="8"/>
  <c r="E291" i="8" s="1"/>
  <c r="G291" i="8" s="1"/>
  <c r="A292" i="8"/>
  <c r="E292" i="8" s="1"/>
  <c r="G292" i="8" s="1"/>
  <c r="A293" i="8"/>
  <c r="E293" i="8" s="1"/>
  <c r="G293" i="8" s="1"/>
  <c r="A294" i="8"/>
  <c r="E294" i="8" s="1"/>
  <c r="G294" i="8" s="1"/>
  <c r="A295" i="8"/>
  <c r="E295" i="8" s="1"/>
  <c r="G295" i="8" s="1"/>
  <c r="A296" i="8"/>
  <c r="E296" i="8" s="1"/>
  <c r="A297" i="8"/>
  <c r="E297" i="8" s="1"/>
  <c r="F297" i="8" s="1"/>
  <c r="A298" i="8"/>
  <c r="E298" i="8" s="1"/>
  <c r="F298" i="8" s="1"/>
  <c r="A299" i="8"/>
  <c r="E299" i="8" s="1"/>
  <c r="G299" i="8" s="1"/>
  <c r="A300" i="8"/>
  <c r="E300" i="8" s="1"/>
  <c r="G300" i="8" s="1"/>
  <c r="A301" i="8"/>
  <c r="E301" i="8" s="1"/>
  <c r="G301" i="8" s="1"/>
  <c r="A302" i="8"/>
  <c r="E302" i="8" s="1"/>
  <c r="G302" i="8" s="1"/>
  <c r="A303" i="8"/>
  <c r="E303" i="8" s="1"/>
  <c r="G303" i="8" s="1"/>
  <c r="A304" i="8"/>
  <c r="E304" i="8" s="1"/>
  <c r="G304" i="8" s="1"/>
  <c r="A305" i="8"/>
  <c r="E305" i="8" s="1"/>
  <c r="G305" i="8" s="1"/>
  <c r="A306" i="8"/>
  <c r="E306" i="8" s="1"/>
  <c r="G306" i="8" s="1"/>
  <c r="A307" i="8"/>
  <c r="E307" i="8" s="1"/>
  <c r="G307" i="8" s="1"/>
  <c r="A308" i="8"/>
  <c r="E308" i="8" s="1"/>
  <c r="G308" i="8" s="1"/>
  <c r="A309" i="8"/>
  <c r="E309" i="8" s="1"/>
  <c r="G309" i="8" s="1"/>
  <c r="A310" i="8"/>
  <c r="E310" i="8" s="1"/>
  <c r="G310" i="8" s="1"/>
  <c r="A311" i="8"/>
  <c r="E311" i="8" s="1"/>
  <c r="G311" i="8" s="1"/>
  <c r="A312" i="8"/>
  <c r="E312" i="8" s="1"/>
  <c r="A313" i="8"/>
  <c r="E313" i="8" s="1"/>
  <c r="F313" i="8" s="1"/>
  <c r="A314" i="8"/>
  <c r="E314" i="8" s="1"/>
  <c r="F314" i="8" s="1"/>
  <c r="A315" i="8"/>
  <c r="E315" i="8" s="1"/>
  <c r="G315" i="8" s="1"/>
  <c r="A316" i="8"/>
  <c r="E316" i="8" s="1"/>
  <c r="G316" i="8" s="1"/>
  <c r="A317" i="8"/>
  <c r="E317" i="8" s="1"/>
  <c r="G317" i="8" s="1"/>
  <c r="A318" i="8"/>
  <c r="E318" i="8" s="1"/>
  <c r="G318" i="8" s="1"/>
  <c r="A319" i="8"/>
  <c r="E319" i="8" s="1"/>
  <c r="G319" i="8" s="1"/>
  <c r="A320" i="8"/>
  <c r="E320" i="8" s="1"/>
  <c r="G320" i="8" s="1"/>
  <c r="A321" i="8"/>
  <c r="E321" i="8" s="1"/>
  <c r="G321" i="8" s="1"/>
  <c r="A322" i="8"/>
  <c r="E322" i="8" s="1"/>
  <c r="G322" i="8" s="1"/>
  <c r="A323" i="8"/>
  <c r="E323" i="8" s="1"/>
  <c r="G323" i="8" s="1"/>
  <c r="A324" i="8"/>
  <c r="E324" i="8" s="1"/>
  <c r="G324" i="8" s="1"/>
  <c r="A325" i="8"/>
  <c r="E325" i="8" s="1"/>
  <c r="G325" i="8" s="1"/>
  <c r="A326" i="8"/>
  <c r="E326" i="8" s="1"/>
  <c r="G326" i="8" s="1"/>
  <c r="A327" i="8"/>
  <c r="E327" i="8" s="1"/>
  <c r="G327" i="8" s="1"/>
  <c r="A328" i="8"/>
  <c r="E328" i="8" s="1"/>
  <c r="A329" i="8"/>
  <c r="E329" i="8" s="1"/>
  <c r="G329" i="8" s="1"/>
  <c r="A330" i="8"/>
  <c r="E330" i="8" s="1"/>
  <c r="A331" i="8"/>
  <c r="E331" i="8" s="1"/>
  <c r="G331" i="8" s="1"/>
  <c r="A332" i="8"/>
  <c r="E332" i="8" s="1"/>
  <c r="G332" i="8" s="1"/>
  <c r="A333" i="8"/>
  <c r="E333" i="8" s="1"/>
  <c r="G333" i="8" s="1"/>
  <c r="A334" i="8"/>
  <c r="E334" i="8" s="1"/>
  <c r="G334" i="8" s="1"/>
  <c r="A335" i="8"/>
  <c r="E335" i="8" s="1"/>
  <c r="G335" i="8" s="1"/>
  <c r="A336" i="8"/>
  <c r="E336" i="8" s="1"/>
  <c r="G336" i="8" s="1"/>
  <c r="A337" i="8"/>
  <c r="E337" i="8" s="1"/>
  <c r="G337" i="8" s="1"/>
  <c r="A2" i="8"/>
  <c r="E2" i="8" s="1"/>
  <c r="F2" i="8" s="1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2" i="8"/>
  <c r="F331" i="8" l="1"/>
  <c r="G201" i="8"/>
  <c r="G73" i="8"/>
  <c r="F171" i="8"/>
  <c r="F546" i="8"/>
  <c r="F75" i="8"/>
  <c r="F530" i="8"/>
  <c r="G466" i="8"/>
  <c r="G233" i="8"/>
  <c r="G105" i="8"/>
  <c r="F257" i="8"/>
  <c r="G450" i="8"/>
  <c r="G90" i="8"/>
  <c r="G498" i="8"/>
  <c r="F578" i="8"/>
  <c r="G217" i="8"/>
  <c r="G89" i="8"/>
  <c r="G482" i="8"/>
  <c r="F562" i="8"/>
  <c r="F312" i="8"/>
  <c r="G312" i="8"/>
  <c r="F72" i="8"/>
  <c r="G72" i="8"/>
  <c r="F673" i="8"/>
  <c r="G673" i="8"/>
  <c r="F657" i="8"/>
  <c r="G657" i="8"/>
  <c r="F641" i="8"/>
  <c r="G641" i="8"/>
  <c r="F625" i="8"/>
  <c r="G625" i="8"/>
  <c r="F609" i="8"/>
  <c r="G609" i="8"/>
  <c r="F577" i="8"/>
  <c r="G577" i="8"/>
  <c r="F561" i="8"/>
  <c r="G561" i="8"/>
  <c r="F529" i="8"/>
  <c r="G529" i="8"/>
  <c r="G513" i="8"/>
  <c r="F513" i="8"/>
  <c r="F497" i="8"/>
  <c r="G497" i="8"/>
  <c r="F481" i="8"/>
  <c r="G481" i="8"/>
  <c r="F465" i="8"/>
  <c r="G465" i="8"/>
  <c r="G449" i="8"/>
  <c r="F449" i="8"/>
  <c r="F433" i="8"/>
  <c r="G433" i="8"/>
  <c r="F401" i="8"/>
  <c r="G401" i="8"/>
  <c r="G385" i="8"/>
  <c r="F385" i="8"/>
  <c r="F369" i="8"/>
  <c r="G369" i="8"/>
  <c r="G353" i="8"/>
  <c r="F353" i="8"/>
  <c r="G658" i="8"/>
  <c r="G434" i="8"/>
  <c r="F514" i="8"/>
  <c r="F7" i="8"/>
  <c r="G7" i="8"/>
  <c r="G642" i="8"/>
  <c r="G418" i="8"/>
  <c r="G626" i="8"/>
  <c r="G402" i="8"/>
  <c r="G328" i="8"/>
  <c r="F328" i="8"/>
  <c r="F88" i="8"/>
  <c r="G610" i="8"/>
  <c r="G386" i="8"/>
  <c r="F296" i="8"/>
  <c r="G296" i="8"/>
  <c r="F216" i="8"/>
  <c r="G216" i="8"/>
  <c r="F104" i="8"/>
  <c r="G104" i="8"/>
  <c r="G594" i="8"/>
  <c r="G370" i="8"/>
  <c r="F200" i="8"/>
  <c r="G200" i="8"/>
  <c r="G338" i="8"/>
  <c r="G593" i="8"/>
  <c r="G354" i="8"/>
  <c r="F417" i="8"/>
  <c r="G545" i="8"/>
  <c r="F184" i="8"/>
  <c r="G184" i="8"/>
  <c r="F8" i="8"/>
  <c r="G8" i="8"/>
  <c r="F241" i="8"/>
  <c r="G672" i="8"/>
  <c r="G656" i="8"/>
  <c r="G640" i="8"/>
  <c r="G624" i="8"/>
  <c r="G608" i="8"/>
  <c r="G592" i="8"/>
  <c r="G576" i="8"/>
  <c r="G560" i="8"/>
  <c r="G544" i="8"/>
  <c r="G528" i="8"/>
  <c r="G512" i="8"/>
  <c r="G496" i="8"/>
  <c r="G480" i="8"/>
  <c r="G464" i="8"/>
  <c r="G448" i="8"/>
  <c r="G432" i="8"/>
  <c r="G416" i="8"/>
  <c r="G400" i="8"/>
  <c r="G384" i="8"/>
  <c r="G368" i="8"/>
  <c r="G352" i="8"/>
  <c r="F315" i="8"/>
  <c r="F162" i="8"/>
  <c r="G671" i="8"/>
  <c r="G655" i="8"/>
  <c r="G639" i="8"/>
  <c r="G623" i="8"/>
  <c r="G607" i="8"/>
  <c r="G591" i="8"/>
  <c r="G575" i="8"/>
  <c r="G559" i="8"/>
  <c r="G543" i="8"/>
  <c r="G527" i="8"/>
  <c r="G511" i="8"/>
  <c r="G495" i="8"/>
  <c r="G479" i="8"/>
  <c r="G463" i="8"/>
  <c r="G447" i="8"/>
  <c r="G431" i="8"/>
  <c r="G415" i="8"/>
  <c r="G399" i="8"/>
  <c r="G383" i="8"/>
  <c r="G367" i="8"/>
  <c r="G351" i="8"/>
  <c r="F226" i="8"/>
  <c r="F161" i="8"/>
  <c r="G6" i="8"/>
  <c r="G670" i="8"/>
  <c r="G654" i="8"/>
  <c r="G638" i="8"/>
  <c r="G622" i="8"/>
  <c r="G606" i="8"/>
  <c r="G590" i="8"/>
  <c r="G574" i="8"/>
  <c r="G558" i="8"/>
  <c r="G542" i="8"/>
  <c r="G526" i="8"/>
  <c r="G510" i="8"/>
  <c r="G494" i="8"/>
  <c r="G478" i="8"/>
  <c r="G462" i="8"/>
  <c r="G446" i="8"/>
  <c r="G430" i="8"/>
  <c r="G414" i="8"/>
  <c r="G398" i="8"/>
  <c r="G382" i="8"/>
  <c r="G366" i="8"/>
  <c r="G350" i="8"/>
  <c r="F219" i="8"/>
  <c r="F146" i="8"/>
  <c r="F59" i="8"/>
  <c r="G5" i="8"/>
  <c r="G669" i="8"/>
  <c r="G653" i="8"/>
  <c r="G637" i="8"/>
  <c r="G621" i="8"/>
  <c r="G605" i="8"/>
  <c r="G589" i="8"/>
  <c r="G573" i="8"/>
  <c r="G557" i="8"/>
  <c r="G541" i="8"/>
  <c r="G525" i="8"/>
  <c r="G509" i="8"/>
  <c r="G493" i="8"/>
  <c r="G477" i="8"/>
  <c r="G461" i="8"/>
  <c r="G445" i="8"/>
  <c r="G429" i="8"/>
  <c r="G413" i="8"/>
  <c r="G397" i="8"/>
  <c r="G381" i="8"/>
  <c r="G365" i="8"/>
  <c r="G349" i="8"/>
  <c r="F145" i="8"/>
  <c r="G4" i="8"/>
  <c r="G668" i="8"/>
  <c r="G652" i="8"/>
  <c r="G636" i="8"/>
  <c r="G620" i="8"/>
  <c r="G604" i="8"/>
  <c r="G588" i="8"/>
  <c r="G572" i="8"/>
  <c r="G556" i="8"/>
  <c r="G540" i="8"/>
  <c r="G524" i="8"/>
  <c r="G508" i="8"/>
  <c r="G492" i="8"/>
  <c r="G476" i="8"/>
  <c r="G460" i="8"/>
  <c r="G444" i="8"/>
  <c r="G428" i="8"/>
  <c r="G412" i="8"/>
  <c r="G396" i="8"/>
  <c r="G380" i="8"/>
  <c r="G364" i="8"/>
  <c r="G348" i="8"/>
  <c r="F299" i="8"/>
  <c r="F130" i="8"/>
  <c r="F18" i="8"/>
  <c r="G3" i="8"/>
  <c r="G667" i="8"/>
  <c r="G651" i="8"/>
  <c r="G635" i="8"/>
  <c r="G619" i="8"/>
  <c r="G603" i="8"/>
  <c r="G587" i="8"/>
  <c r="G571" i="8"/>
  <c r="G555" i="8"/>
  <c r="G539" i="8"/>
  <c r="G523" i="8"/>
  <c r="G507" i="8"/>
  <c r="G491" i="8"/>
  <c r="G475" i="8"/>
  <c r="G459" i="8"/>
  <c r="G443" i="8"/>
  <c r="G427" i="8"/>
  <c r="G411" i="8"/>
  <c r="G395" i="8"/>
  <c r="G379" i="8"/>
  <c r="G363" i="8"/>
  <c r="G347" i="8"/>
  <c r="F203" i="8"/>
  <c r="F129" i="8"/>
  <c r="F11" i="8"/>
  <c r="G2" i="8"/>
  <c r="G274" i="8"/>
  <c r="G258" i="8"/>
  <c r="G114" i="8"/>
  <c r="G666" i="8"/>
  <c r="G650" i="8"/>
  <c r="G634" i="8"/>
  <c r="G618" i="8"/>
  <c r="G602" i="8"/>
  <c r="G586" i="8"/>
  <c r="G570" i="8"/>
  <c r="G554" i="8"/>
  <c r="G538" i="8"/>
  <c r="G522" i="8"/>
  <c r="G506" i="8"/>
  <c r="G490" i="8"/>
  <c r="G474" i="8"/>
  <c r="G458" i="8"/>
  <c r="G442" i="8"/>
  <c r="G426" i="8"/>
  <c r="G410" i="8"/>
  <c r="G394" i="8"/>
  <c r="G378" i="8"/>
  <c r="G362" i="8"/>
  <c r="G346" i="8"/>
  <c r="G273" i="8"/>
  <c r="G665" i="8"/>
  <c r="G649" i="8"/>
  <c r="G633" i="8"/>
  <c r="G617" i="8"/>
  <c r="G601" i="8"/>
  <c r="G585" i="8"/>
  <c r="G569" i="8"/>
  <c r="G553" i="8"/>
  <c r="G537" i="8"/>
  <c r="G521" i="8"/>
  <c r="G505" i="8"/>
  <c r="G489" i="8"/>
  <c r="G473" i="8"/>
  <c r="G457" i="8"/>
  <c r="G441" i="8"/>
  <c r="G425" i="8"/>
  <c r="G409" i="8"/>
  <c r="G393" i="8"/>
  <c r="G377" i="8"/>
  <c r="G361" i="8"/>
  <c r="G345" i="8"/>
  <c r="F107" i="8"/>
  <c r="F235" i="8"/>
  <c r="G664" i="8"/>
  <c r="G648" i="8"/>
  <c r="G632" i="8"/>
  <c r="G616" i="8"/>
  <c r="G600" i="8"/>
  <c r="G584" i="8"/>
  <c r="G568" i="8"/>
  <c r="G552" i="8"/>
  <c r="G536" i="8"/>
  <c r="G520" i="8"/>
  <c r="G504" i="8"/>
  <c r="G488" i="8"/>
  <c r="G472" i="8"/>
  <c r="G456" i="8"/>
  <c r="G440" i="8"/>
  <c r="G424" i="8"/>
  <c r="G408" i="8"/>
  <c r="G392" i="8"/>
  <c r="G376" i="8"/>
  <c r="G360" i="8"/>
  <c r="G344" i="8"/>
  <c r="F283" i="8"/>
  <c r="G663" i="8"/>
  <c r="G647" i="8"/>
  <c r="G631" i="8"/>
  <c r="G615" i="8"/>
  <c r="G599" i="8"/>
  <c r="G583" i="8"/>
  <c r="G567" i="8"/>
  <c r="G551" i="8"/>
  <c r="G535" i="8"/>
  <c r="G519" i="8"/>
  <c r="G503" i="8"/>
  <c r="G487" i="8"/>
  <c r="G471" i="8"/>
  <c r="G455" i="8"/>
  <c r="G439" i="8"/>
  <c r="G423" i="8"/>
  <c r="G407" i="8"/>
  <c r="G391" i="8"/>
  <c r="G375" i="8"/>
  <c r="G359" i="8"/>
  <c r="G343" i="8"/>
  <c r="F187" i="8"/>
  <c r="G662" i="8"/>
  <c r="G646" i="8"/>
  <c r="G630" i="8"/>
  <c r="G614" i="8"/>
  <c r="G598" i="8"/>
  <c r="G582" i="8"/>
  <c r="G566" i="8"/>
  <c r="G550" i="8"/>
  <c r="G534" i="8"/>
  <c r="G518" i="8"/>
  <c r="G502" i="8"/>
  <c r="G486" i="8"/>
  <c r="G470" i="8"/>
  <c r="G454" i="8"/>
  <c r="G438" i="8"/>
  <c r="G422" i="8"/>
  <c r="G406" i="8"/>
  <c r="G390" i="8"/>
  <c r="G374" i="8"/>
  <c r="G358" i="8"/>
  <c r="G342" i="8"/>
  <c r="F91" i="8"/>
  <c r="G661" i="8"/>
  <c r="G645" i="8"/>
  <c r="G629" i="8"/>
  <c r="G613" i="8"/>
  <c r="G597" i="8"/>
  <c r="G581" i="8"/>
  <c r="G565" i="8"/>
  <c r="G549" i="8"/>
  <c r="G533" i="8"/>
  <c r="G517" i="8"/>
  <c r="G501" i="8"/>
  <c r="G485" i="8"/>
  <c r="G469" i="8"/>
  <c r="G453" i="8"/>
  <c r="G437" i="8"/>
  <c r="G421" i="8"/>
  <c r="G405" i="8"/>
  <c r="G389" i="8"/>
  <c r="G373" i="8"/>
  <c r="G357" i="8"/>
  <c r="G341" i="8"/>
  <c r="G660" i="8"/>
  <c r="G644" i="8"/>
  <c r="G628" i="8"/>
  <c r="G612" i="8"/>
  <c r="G596" i="8"/>
  <c r="G580" i="8"/>
  <c r="G564" i="8"/>
  <c r="G548" i="8"/>
  <c r="G532" i="8"/>
  <c r="G516" i="8"/>
  <c r="G500" i="8"/>
  <c r="G484" i="8"/>
  <c r="G468" i="8"/>
  <c r="G452" i="8"/>
  <c r="G436" i="8"/>
  <c r="G420" i="8"/>
  <c r="G404" i="8"/>
  <c r="G388" i="8"/>
  <c r="G372" i="8"/>
  <c r="G356" i="8"/>
  <c r="G340" i="8"/>
  <c r="G659" i="8"/>
  <c r="G643" i="8"/>
  <c r="G627" i="8"/>
  <c r="G611" i="8"/>
  <c r="G595" i="8"/>
  <c r="G579" i="8"/>
  <c r="G563" i="8"/>
  <c r="G547" i="8"/>
  <c r="G531" i="8"/>
  <c r="G515" i="8"/>
  <c r="G499" i="8"/>
  <c r="G483" i="8"/>
  <c r="G467" i="8"/>
  <c r="G451" i="8"/>
  <c r="G435" i="8"/>
  <c r="G419" i="8"/>
  <c r="G403" i="8"/>
  <c r="G387" i="8"/>
  <c r="G371" i="8"/>
  <c r="G355" i="8"/>
  <c r="G339" i="8"/>
  <c r="F169" i="8"/>
  <c r="F120" i="8"/>
  <c r="F280" i="8"/>
  <c r="F322" i="8"/>
  <c r="F168" i="8"/>
  <c r="F232" i="8"/>
  <c r="F267" i="8"/>
  <c r="F57" i="8"/>
  <c r="F265" i="8"/>
  <c r="F210" i="8"/>
  <c r="F56" i="8"/>
  <c r="F123" i="8"/>
  <c r="F264" i="8"/>
  <c r="F155" i="8"/>
  <c r="F50" i="8"/>
  <c r="F153" i="8"/>
  <c r="F98" i="8"/>
  <c r="F43" i="8"/>
  <c r="F306" i="8"/>
  <c r="F152" i="8"/>
  <c r="F41" i="8"/>
  <c r="F251" i="8"/>
  <c r="F40" i="8"/>
  <c r="F249" i="8"/>
  <c r="F194" i="8"/>
  <c r="F34" i="8"/>
  <c r="F121" i="8"/>
  <c r="F248" i="8"/>
  <c r="F139" i="8"/>
  <c r="F27" i="8"/>
  <c r="F66" i="8"/>
  <c r="F137" i="8"/>
  <c r="F82" i="8"/>
  <c r="F25" i="8"/>
  <c r="F281" i="8"/>
  <c r="F290" i="8"/>
  <c r="F136" i="8"/>
  <c r="F24" i="8"/>
  <c r="F330" i="8"/>
  <c r="F266" i="8"/>
  <c r="F250" i="8"/>
  <c r="F234" i="8"/>
  <c r="F218" i="8"/>
  <c r="F154" i="8"/>
  <c r="F138" i="8"/>
  <c r="F122" i="8"/>
  <c r="F106" i="8"/>
  <c r="F42" i="8"/>
  <c r="F26" i="8"/>
  <c r="F10" i="8"/>
  <c r="F327" i="8"/>
  <c r="F311" i="8"/>
  <c r="F295" i="8"/>
  <c r="F279" i="8"/>
  <c r="F263" i="8"/>
  <c r="F247" i="8"/>
  <c r="F231" i="8"/>
  <c r="F215" i="8"/>
  <c r="F199" i="8"/>
  <c r="F183" i="8"/>
  <c r="F167" i="8"/>
  <c r="F151" i="8"/>
  <c r="F135" i="8"/>
  <c r="F119" i="8"/>
  <c r="F103" i="8"/>
  <c r="F87" i="8"/>
  <c r="F71" i="8"/>
  <c r="F55" i="8"/>
  <c r="F39" i="8"/>
  <c r="F23" i="8"/>
  <c r="F326" i="8"/>
  <c r="F310" i="8"/>
  <c r="F294" i="8"/>
  <c r="F278" i="8"/>
  <c r="F262" i="8"/>
  <c r="F246" i="8"/>
  <c r="F230" i="8"/>
  <c r="F214" i="8"/>
  <c r="F198" i="8"/>
  <c r="F182" i="8"/>
  <c r="F166" i="8"/>
  <c r="F150" i="8"/>
  <c r="F134" i="8"/>
  <c r="F118" i="8"/>
  <c r="F102" i="8"/>
  <c r="F86" i="8"/>
  <c r="F70" i="8"/>
  <c r="F54" i="8"/>
  <c r="F38" i="8"/>
  <c r="F22" i="8"/>
  <c r="F325" i="8"/>
  <c r="F309" i="8"/>
  <c r="F293" i="8"/>
  <c r="F277" i="8"/>
  <c r="F261" i="8"/>
  <c r="F245" i="8"/>
  <c r="F229" i="8"/>
  <c r="F213" i="8"/>
  <c r="F197" i="8"/>
  <c r="F181" i="8"/>
  <c r="F165" i="8"/>
  <c r="F149" i="8"/>
  <c r="F133" i="8"/>
  <c r="F117" i="8"/>
  <c r="F101" i="8"/>
  <c r="F85" i="8"/>
  <c r="F69" i="8"/>
  <c r="F53" i="8"/>
  <c r="F37" i="8"/>
  <c r="F21" i="8"/>
  <c r="F324" i="8"/>
  <c r="F308" i="8"/>
  <c r="F292" i="8"/>
  <c r="F276" i="8"/>
  <c r="F260" i="8"/>
  <c r="F244" i="8"/>
  <c r="F228" i="8"/>
  <c r="F212" i="8"/>
  <c r="F196" i="8"/>
  <c r="F180" i="8"/>
  <c r="F164" i="8"/>
  <c r="F148" i="8"/>
  <c r="F132" i="8"/>
  <c r="F116" i="8"/>
  <c r="F100" i="8"/>
  <c r="F84" i="8"/>
  <c r="F68" i="8"/>
  <c r="F52" i="8"/>
  <c r="F36" i="8"/>
  <c r="F20" i="8"/>
  <c r="F323" i="8"/>
  <c r="F307" i="8"/>
  <c r="F291" i="8"/>
  <c r="F275" i="8"/>
  <c r="F259" i="8"/>
  <c r="F243" i="8"/>
  <c r="F227" i="8"/>
  <c r="F211" i="8"/>
  <c r="F195" i="8"/>
  <c r="F179" i="8"/>
  <c r="F163" i="8"/>
  <c r="F147" i="8"/>
  <c r="F131" i="8"/>
  <c r="F115" i="8"/>
  <c r="F99" i="8"/>
  <c r="F83" i="8"/>
  <c r="F67" i="8"/>
  <c r="F51" i="8"/>
  <c r="F35" i="8"/>
  <c r="F19" i="8"/>
  <c r="F337" i="8"/>
  <c r="F321" i="8"/>
  <c r="F305" i="8"/>
  <c r="F289" i="8"/>
  <c r="F225" i="8"/>
  <c r="F209" i="8"/>
  <c r="F193" i="8"/>
  <c r="F177" i="8"/>
  <c r="F113" i="8"/>
  <c r="F97" i="8"/>
  <c r="F81" i="8"/>
  <c r="F65" i="8"/>
  <c r="F49" i="8"/>
  <c r="F33" i="8"/>
  <c r="F17" i="8"/>
  <c r="F336" i="8"/>
  <c r="F320" i="8"/>
  <c r="F304" i="8"/>
  <c r="F288" i="8"/>
  <c r="F272" i="8"/>
  <c r="F256" i="8"/>
  <c r="F240" i="8"/>
  <c r="F224" i="8"/>
  <c r="F208" i="8"/>
  <c r="F192" i="8"/>
  <c r="F176" i="8"/>
  <c r="F160" i="8"/>
  <c r="F144" i="8"/>
  <c r="F128" i="8"/>
  <c r="F112" i="8"/>
  <c r="F96" i="8"/>
  <c r="F80" i="8"/>
  <c r="F64" i="8"/>
  <c r="F48" i="8"/>
  <c r="F32" i="8"/>
  <c r="F16" i="8"/>
  <c r="F335" i="8"/>
  <c r="F319" i="8"/>
  <c r="F303" i="8"/>
  <c r="F287" i="8"/>
  <c r="F271" i="8"/>
  <c r="F255" i="8"/>
  <c r="F239" i="8"/>
  <c r="F223" i="8"/>
  <c r="F207" i="8"/>
  <c r="F191" i="8"/>
  <c r="F175" i="8"/>
  <c r="F159" i="8"/>
  <c r="F143" i="8"/>
  <c r="F127" i="8"/>
  <c r="F111" i="8"/>
  <c r="F95" i="8"/>
  <c r="F79" i="8"/>
  <c r="F63" i="8"/>
  <c r="F47" i="8"/>
  <c r="F31" i="8"/>
  <c r="F15" i="8"/>
  <c r="F334" i="8"/>
  <c r="F318" i="8"/>
  <c r="F302" i="8"/>
  <c r="F286" i="8"/>
  <c r="F270" i="8"/>
  <c r="F254" i="8"/>
  <c r="F238" i="8"/>
  <c r="F222" i="8"/>
  <c r="F206" i="8"/>
  <c r="F190" i="8"/>
  <c r="F174" i="8"/>
  <c r="F158" i="8"/>
  <c r="F142" i="8"/>
  <c r="F126" i="8"/>
  <c r="F110" i="8"/>
  <c r="F94" i="8"/>
  <c r="F78" i="8"/>
  <c r="F62" i="8"/>
  <c r="F46" i="8"/>
  <c r="F30" i="8"/>
  <c r="F14" i="8"/>
  <c r="F333" i="8"/>
  <c r="F317" i="8"/>
  <c r="F301" i="8"/>
  <c r="F285" i="8"/>
  <c r="F269" i="8"/>
  <c r="F253" i="8"/>
  <c r="F237" i="8"/>
  <c r="F221" i="8"/>
  <c r="F205" i="8"/>
  <c r="F189" i="8"/>
  <c r="F173" i="8"/>
  <c r="F157" i="8"/>
  <c r="F141" i="8"/>
  <c r="F125" i="8"/>
  <c r="F109" i="8"/>
  <c r="F93" i="8"/>
  <c r="F77" i="8"/>
  <c r="F61" i="8"/>
  <c r="F45" i="8"/>
  <c r="F29" i="8"/>
  <c r="F13" i="8"/>
  <c r="F332" i="8"/>
  <c r="F316" i="8"/>
  <c r="F300" i="8"/>
  <c r="F284" i="8"/>
  <c r="F268" i="8"/>
  <c r="F252" i="8"/>
  <c r="F236" i="8"/>
  <c r="F220" i="8"/>
  <c r="F204" i="8"/>
  <c r="F188" i="8"/>
  <c r="F172" i="8"/>
  <c r="F156" i="8"/>
  <c r="F140" i="8"/>
  <c r="F124" i="8"/>
  <c r="F108" i="8"/>
  <c r="F92" i="8"/>
  <c r="F76" i="8"/>
  <c r="F60" i="8"/>
  <c r="F44" i="8"/>
  <c r="F28" i="8"/>
  <c r="F1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<sst xmlns="http://schemas.openxmlformats.org/spreadsheetml/2006/main" count="3475" uniqueCount="699">
  <si>
    <t>fid</t>
  </si>
  <si>
    <t>Date</t>
  </si>
  <si>
    <t>Time</t>
  </si>
  <si>
    <t>Version</t>
  </si>
  <si>
    <t>Id</t>
  </si>
  <si>
    <t>Name</t>
  </si>
  <si>
    <t>Latitude</t>
  </si>
  <si>
    <t>Longitude</t>
  </si>
  <si>
    <t>Height</t>
  </si>
  <si>
    <t>AlarmRad</t>
  </si>
  <si>
    <t>WarningRad</t>
  </si>
  <si>
    <t>Status_Txt</t>
  </si>
  <si>
    <t>Visible</t>
  </si>
  <si>
    <t>UniqueID</t>
  </si>
  <si>
    <t>joined_row_index</t>
  </si>
  <si>
    <t>joined_col_index</t>
  </si>
  <si>
    <t>joined_PlotID</t>
  </si>
  <si>
    <t>joined_PlotIDstring</t>
  </si>
  <si>
    <t>pntcounts</t>
  </si>
  <si>
    <t>Thresh_sum</t>
  </si>
  <si>
    <t>Thresh_mean</t>
  </si>
  <si>
    <t>NDVI_mean</t>
  </si>
  <si>
    <t>HAreamean</t>
  </si>
  <si>
    <t>613GNDVI_mean</t>
  </si>
  <si>
    <t>613GNDVI_variance</t>
  </si>
  <si>
    <t>613NDRE_mean</t>
  </si>
  <si>
    <t>613NDRE_variance</t>
  </si>
  <si>
    <t>613ExG_mean</t>
  </si>
  <si>
    <t>613ExG_variance</t>
  </si>
  <si>
    <t>613ExR_mean</t>
  </si>
  <si>
    <t>613ExR_variance</t>
  </si>
  <si>
    <t>01:48:44pm</t>
  </si>
  <si>
    <t>U-1</t>
  </si>
  <si>
    <t>5009318c201f855b</t>
  </si>
  <si>
    <t>02:15:42pm</t>
  </si>
  <si>
    <t>U1</t>
  </si>
  <si>
    <t>500937de01a1bd1f</t>
  </si>
  <si>
    <t>02:15:55pm</t>
  </si>
  <si>
    <t>U3</t>
  </si>
  <si>
    <t>500937eb32eb8e40</t>
  </si>
  <si>
    <t>02:16:07pm</t>
  </si>
  <si>
    <t>U5</t>
  </si>
  <si>
    <t>500937f72fc8d1c6</t>
  </si>
  <si>
    <t>02:16:20pm</t>
  </si>
  <si>
    <t>U7</t>
  </si>
  <si>
    <t>5009380464b28f42</t>
  </si>
  <si>
    <t>02:16:32pm</t>
  </si>
  <si>
    <t>U9</t>
  </si>
  <si>
    <t>02:17:01pm</t>
  </si>
  <si>
    <t>U11</t>
  </si>
  <si>
    <t>5009382d1f03b98f</t>
  </si>
  <si>
    <t>02:17:13pm</t>
  </si>
  <si>
    <t>U13</t>
  </si>
  <si>
    <t>500938393916ae56</t>
  </si>
  <si>
    <t>02:18:31pm</t>
  </si>
  <si>
    <t>D13</t>
  </si>
  <si>
    <t>500938877536384a</t>
  </si>
  <si>
    <t>02:18:44pm</t>
  </si>
  <si>
    <t>D11</t>
  </si>
  <si>
    <t>50093894752ce1b7</t>
  </si>
  <si>
    <t>02:18:57pm</t>
  </si>
  <si>
    <t>D9</t>
  </si>
  <si>
    <t>500938a125f6843f</t>
  </si>
  <si>
    <t>02:19:09pm</t>
  </si>
  <si>
    <t>D7</t>
  </si>
  <si>
    <t>500938ad2f841179</t>
  </si>
  <si>
    <t>02:19:22pm</t>
  </si>
  <si>
    <t>D5</t>
  </si>
  <si>
    <t>500938ba669012e1</t>
  </si>
  <si>
    <t>02:19:34pm</t>
  </si>
  <si>
    <t>D3</t>
  </si>
  <si>
    <t>500938c669fc4194</t>
  </si>
  <si>
    <t>02:19:47pm</t>
  </si>
  <si>
    <t>D1</t>
  </si>
  <si>
    <t>500938d31d4cc688</t>
  </si>
  <si>
    <t>02:20:00pm</t>
  </si>
  <si>
    <t>D-1</t>
  </si>
  <si>
    <t>500938e02a9ec38d</t>
  </si>
  <si>
    <t>02:20:58pm</t>
  </si>
  <si>
    <t>5009391a2cd19750</t>
  </si>
  <si>
    <t>02:21:11pm</t>
  </si>
  <si>
    <t>500939272161cf8e</t>
  </si>
  <si>
    <t>02:21:23pm</t>
  </si>
  <si>
    <t>500939332035b4b3</t>
  </si>
  <si>
    <t>02:21:51pm</t>
  </si>
  <si>
    <t>5009394f377e7978</t>
  </si>
  <si>
    <t>02:22:04pm</t>
  </si>
  <si>
    <t>5009395c17548ec5</t>
  </si>
  <si>
    <t>02:22:17pm</t>
  </si>
  <si>
    <t>500939696854b105</t>
  </si>
  <si>
    <t>02:22:29pm</t>
  </si>
  <si>
    <t>5009397538f822dd</t>
  </si>
  <si>
    <t>02:22:42pm</t>
  </si>
  <si>
    <t>50093982458e6078</t>
  </si>
  <si>
    <t>02:27:37pm</t>
  </si>
  <si>
    <t>50093aa91c5e3ec4</t>
  </si>
  <si>
    <t>02:27:50pm</t>
  </si>
  <si>
    <t>50093ab67d023af4</t>
  </si>
  <si>
    <t>02:28:09pm</t>
  </si>
  <si>
    <t>50093ac93b20d3c3</t>
  </si>
  <si>
    <t>02:28:21pm</t>
  </si>
  <si>
    <t>50093ad5406f8ce0</t>
  </si>
  <si>
    <t>02:28:34pm</t>
  </si>
  <si>
    <t>50093ae27784cc33</t>
  </si>
  <si>
    <t>02:28:47pm</t>
  </si>
  <si>
    <t>50093aef17380c91</t>
  </si>
  <si>
    <t>02:28:59pm</t>
  </si>
  <si>
    <t>50093afb12549ffc</t>
  </si>
  <si>
    <t>02:29:12pm</t>
  </si>
  <si>
    <t>50093b08785a7bd0</t>
  </si>
  <si>
    <t>02:30:00pm</t>
  </si>
  <si>
    <t>50093b3805b857f6</t>
  </si>
  <si>
    <t>02:30:13pm</t>
  </si>
  <si>
    <t>50093b45131a1f8a</t>
  </si>
  <si>
    <t>02:30:25pm</t>
  </si>
  <si>
    <t>50093b5177614e40</t>
  </si>
  <si>
    <t>02:30:38pm</t>
  </si>
  <si>
    <t>50093b5e4c336168</t>
  </si>
  <si>
    <t>02:30:51pm</t>
  </si>
  <si>
    <t>50093b6b45d1b542</t>
  </si>
  <si>
    <t>02:31:03pm</t>
  </si>
  <si>
    <t>50093b771410315b</t>
  </si>
  <si>
    <t>02:31:16pm</t>
  </si>
  <si>
    <t>50093b8410c2a505</t>
  </si>
  <si>
    <t>02:31:29pm</t>
  </si>
  <si>
    <t>50093b9138442333</t>
  </si>
  <si>
    <t>02:32:41pm</t>
  </si>
  <si>
    <t>50093bd918887c7b</t>
  </si>
  <si>
    <t>02:32:54pm</t>
  </si>
  <si>
    <t>50093be6278a06c1</t>
  </si>
  <si>
    <t>02:33:06pm</t>
  </si>
  <si>
    <t>50093bf2355ce56d</t>
  </si>
  <si>
    <t>02:33:19pm</t>
  </si>
  <si>
    <t>50093bff4709aa8e</t>
  </si>
  <si>
    <t>02:33:31pm</t>
  </si>
  <si>
    <t>50093c0b5d6e7315</t>
  </si>
  <si>
    <t>02:33:44pm</t>
  </si>
  <si>
    <t>50093c18201d5006</t>
  </si>
  <si>
    <t>02:33:57pm</t>
  </si>
  <si>
    <t>50093c255287cdd6</t>
  </si>
  <si>
    <t>02:34:09pm</t>
  </si>
  <si>
    <t>50093c313a5b4233</t>
  </si>
  <si>
    <t>02:35:04pm</t>
  </si>
  <si>
    <t>50093c68674bddc2</t>
  </si>
  <si>
    <t>02:35:17pm</t>
  </si>
  <si>
    <t>50093c751594fd99</t>
  </si>
  <si>
    <t>02:35:30pm</t>
  </si>
  <si>
    <t>50093c8200f4da49</t>
  </si>
  <si>
    <t>02:35:42pm</t>
  </si>
  <si>
    <t>50093c8e6f31b554</t>
  </si>
  <si>
    <t>02:35:55pm</t>
  </si>
  <si>
    <t>50093c9b5b838619</t>
  </si>
  <si>
    <t>02:36:07pm</t>
  </si>
  <si>
    <t>50093ca71aaea32f</t>
  </si>
  <si>
    <t>02:36:20pm</t>
  </si>
  <si>
    <t>50093cb463aa4ae6</t>
  </si>
  <si>
    <t>02:36:33pm</t>
  </si>
  <si>
    <t>50093cc1072c464e</t>
  </si>
  <si>
    <t>SAVI_mean</t>
  </si>
  <si>
    <t>Threshold_sum</t>
  </si>
  <si>
    <t>Threshold_mean</t>
  </si>
  <si>
    <t>PLANTS_2ROW</t>
  </si>
  <si>
    <t>NDVImean</t>
  </si>
  <si>
    <t>NDVIvariance</t>
  </si>
  <si>
    <t>618gNDVI_mean</t>
  </si>
  <si>
    <t>618gNDVI_variance</t>
  </si>
  <si>
    <t>618NDRE_mean</t>
  </si>
  <si>
    <t>618NDRE_variance</t>
  </si>
  <si>
    <t>618ExG_mean</t>
  </si>
  <si>
    <t>618ExG_variance</t>
  </si>
  <si>
    <t>618ExR_mean</t>
  </si>
  <si>
    <t>618ExR_variance</t>
  </si>
  <si>
    <t>DAS</t>
  </si>
  <si>
    <t>joined_row</t>
  </si>
  <si>
    <t>joined_col</t>
  </si>
  <si>
    <t>joined_Plo</t>
  </si>
  <si>
    <t>joined_P_1</t>
  </si>
  <si>
    <t>628NDVI_me</t>
  </si>
  <si>
    <t>THRESH_mea</t>
  </si>
  <si>
    <t>HArea_mean</t>
  </si>
  <si>
    <t>PLTCOUNT</t>
  </si>
  <si>
    <t>6-28SAVI_m</t>
  </si>
  <si>
    <t>628NDVIvariance</t>
  </si>
  <si>
    <t>628gNDVI_mean</t>
  </si>
  <si>
    <t>628gNDVI_variance</t>
  </si>
  <si>
    <t>628gNDRE_mean</t>
  </si>
  <si>
    <t>628gNDRE_variance</t>
  </si>
  <si>
    <t>628gExG_mean</t>
  </si>
  <si>
    <t>628gExG_variance</t>
  </si>
  <si>
    <t>628gExR_mean</t>
  </si>
  <si>
    <t>628gExR_variance</t>
  </si>
  <si>
    <t>702NDVI_mean</t>
  </si>
  <si>
    <t>702Thresh_mea</t>
  </si>
  <si>
    <t>702HArea_mean</t>
  </si>
  <si>
    <t>702pltcountsculled</t>
  </si>
  <si>
    <t>702NDVI_variance</t>
  </si>
  <si>
    <t>702gNDVI_mean</t>
  </si>
  <si>
    <t>702gNDVI_variance</t>
  </si>
  <si>
    <t>702gNDRE_mean</t>
  </si>
  <si>
    <t>702gNDRE_variance</t>
  </si>
  <si>
    <t>702ExG_mean</t>
  </si>
  <si>
    <t>702ExG_variance</t>
  </si>
  <si>
    <t>702ExR_mean</t>
  </si>
  <si>
    <t>702ExR_variance</t>
  </si>
  <si>
    <t>710NDVI_mean</t>
  </si>
  <si>
    <t>710NDVI_variance</t>
  </si>
  <si>
    <t>710gNDVI_mean</t>
  </si>
  <si>
    <t>710gNDVI_variance</t>
  </si>
  <si>
    <t>710NDRE_mean</t>
  </si>
  <si>
    <t>710NDRE_variance</t>
  </si>
  <si>
    <t>710ExG_mean</t>
  </si>
  <si>
    <t>710ExG_variance</t>
  </si>
  <si>
    <t>710ExR_mean</t>
  </si>
  <si>
    <t>710ExR_variance</t>
  </si>
  <si>
    <t>710THRESH_mean</t>
  </si>
  <si>
    <t>710HA_mean</t>
  </si>
  <si>
    <t>710PLTCOUNT_</t>
  </si>
  <si>
    <t>Thresholdsum</t>
  </si>
  <si>
    <t>Thresholdmean</t>
  </si>
  <si>
    <t>715SAVI_mean</t>
  </si>
  <si>
    <t>715NDVI_mean</t>
  </si>
  <si>
    <t>715NDVI_variance</t>
  </si>
  <si>
    <t>715gNDVI_mean</t>
  </si>
  <si>
    <t>715gNDVI_variance</t>
  </si>
  <si>
    <t>715NDRE_mean</t>
  </si>
  <si>
    <t>715NDRE_variance</t>
  </si>
  <si>
    <t>715ExG_mean</t>
  </si>
  <si>
    <t>715ExG_variance</t>
  </si>
  <si>
    <t>715ExR_mean</t>
  </si>
  <si>
    <t>715ExR_variance</t>
  </si>
  <si>
    <t>HA_mean</t>
  </si>
  <si>
    <t>715PLTCOUNT_</t>
  </si>
  <si>
    <t>NDVI_variance</t>
  </si>
  <si>
    <t>Plot Range</t>
  </si>
  <si>
    <t>Plot Column</t>
  </si>
  <si>
    <t>Experiment Name</t>
  </si>
  <si>
    <t>Experiment</t>
  </si>
  <si>
    <t>Plot</t>
  </si>
  <si>
    <t>Mason Plot Number</t>
  </si>
  <si>
    <t>Planter</t>
  </si>
  <si>
    <t>Cone</t>
  </si>
  <si>
    <t>Pass</t>
  </si>
  <si>
    <t>Harvester</t>
  </si>
  <si>
    <t>Harvester Pass</t>
  </si>
  <si>
    <t>Type</t>
  </si>
  <si>
    <t>Is Perennial</t>
  </si>
  <si>
    <t>Check</t>
  </si>
  <si>
    <t>ENTRY</t>
  </si>
  <si>
    <t>BLOCK</t>
  </si>
  <si>
    <t>Variety</t>
  </si>
  <si>
    <t>Origin</t>
  </si>
  <si>
    <t>Selection</t>
  </si>
  <si>
    <t>Identity1</t>
  </si>
  <si>
    <t>Description1</t>
  </si>
  <si>
    <t>Fn</t>
  </si>
  <si>
    <t>Clone</t>
  </si>
  <si>
    <t>100 Seed weight</t>
  </si>
  <si>
    <t>Actual Plants per ha</t>
  </si>
  <si>
    <t>Moisture</t>
  </si>
  <si>
    <t>Plot Area</t>
  </si>
  <si>
    <t>Stand %</t>
  </si>
  <si>
    <t>Total weight</t>
  </si>
  <si>
    <t>Plot Weight</t>
  </si>
  <si>
    <t>Yield</t>
  </si>
  <si>
    <t>AdjustedYield</t>
  </si>
  <si>
    <t>2RowHA</t>
  </si>
  <si>
    <t>Adjusted2Row</t>
  </si>
  <si>
    <t>Algo2Row</t>
  </si>
  <si>
    <t>Flowering Date</t>
  </si>
  <si>
    <t>Maturity Date</t>
  </si>
  <si>
    <t>Field Plan</t>
  </si>
  <si>
    <t>Location</t>
  </si>
  <si>
    <t>24110McGill Farm</t>
  </si>
  <si>
    <t>PVBLPI19 1</t>
  </si>
  <si>
    <t>2019 field trial</t>
  </si>
  <si>
    <t>black</t>
  </si>
  <si>
    <t>reg</t>
  </si>
  <si>
    <t>McGill Farm</t>
  </si>
  <si>
    <t>PVBLPI19 10</t>
  </si>
  <si>
    <t>Zorro</t>
  </si>
  <si>
    <t>MDP-8111</t>
  </si>
  <si>
    <t>BC088</t>
  </si>
  <si>
    <t>Phaseolus vulgaris</t>
  </si>
  <si>
    <t>black bear</t>
  </si>
  <si>
    <t>TV</t>
  </si>
  <si>
    <t>Blizzard</t>
  </si>
  <si>
    <t>navy</t>
  </si>
  <si>
    <t>24111McGill Farm</t>
  </si>
  <si>
    <t>PVKIPI19 4</t>
  </si>
  <si>
    <t>white kidney</t>
  </si>
  <si>
    <t>Snowdon</t>
  </si>
  <si>
    <t>Control-01</t>
  </si>
  <si>
    <t>PVKIPI19 10</t>
  </si>
  <si>
    <t>red kidney</t>
  </si>
  <si>
    <t>Coho</t>
  </si>
  <si>
    <t>Redhawk</t>
  </si>
  <si>
    <t>dark red kidney</t>
  </si>
  <si>
    <t>24112McGill Farm</t>
  </si>
  <si>
    <t>ETNA</t>
  </si>
  <si>
    <t>cran</t>
  </si>
  <si>
    <t>PVCRPI19 3</t>
  </si>
  <si>
    <t>Krimson</t>
  </si>
  <si>
    <t>Navabi</t>
  </si>
  <si>
    <t>Cran</t>
  </si>
  <si>
    <t>Modified Plot#</t>
  </si>
  <si>
    <t>Plot Yield</t>
  </si>
  <si>
    <t>PeakStand</t>
  </si>
  <si>
    <t>Trial</t>
  </si>
  <si>
    <t>Block</t>
  </si>
  <si>
    <t>Combocode</t>
  </si>
  <si>
    <t>Entry</t>
  </si>
  <si>
    <t>BARCODE_128</t>
  </si>
  <si>
    <t>Org Name</t>
  </si>
  <si>
    <t>Locn</t>
  </si>
  <si>
    <t>qGIS plot number</t>
  </si>
  <si>
    <t>BLOC</t>
  </si>
  <si>
    <t>SPACING</t>
  </si>
  <si>
    <t>DENSITY</t>
  </si>
  <si>
    <t>VARIETY</t>
  </si>
  <si>
    <t>Treatment</t>
  </si>
  <si>
    <t>Mason Plot #</t>
  </si>
  <si>
    <t>HAsum</t>
  </si>
  <si>
    <t>HAmean</t>
  </si>
  <si>
    <t>Weighted Adjustment(0.5)</t>
  </si>
  <si>
    <t>WeightedYield</t>
  </si>
  <si>
    <t>AlgoYield</t>
  </si>
  <si>
    <t>WeightedAdjustment(0.35)</t>
  </si>
  <si>
    <t>WeightedYield(0.35)</t>
  </si>
  <si>
    <t>AlgoYield2</t>
  </si>
  <si>
    <t>Comments</t>
  </si>
  <si>
    <t>24101-n</t>
  </si>
  <si>
    <t>17A4AB3390</t>
  </si>
  <si>
    <t>LODS</t>
  </si>
  <si>
    <t>30"</t>
  </si>
  <si>
    <t>Nautica</t>
  </si>
  <si>
    <t>17DD20C9A0</t>
  </si>
  <si>
    <t>CLERK</t>
  </si>
  <si>
    <t>1143BB41EA</t>
  </si>
  <si>
    <t>Windbreaker</t>
  </si>
  <si>
    <t>197BBB7845</t>
  </si>
  <si>
    <t>1A09581714</t>
  </si>
  <si>
    <t>Eclipse</t>
  </si>
  <si>
    <t>178E433348</t>
  </si>
  <si>
    <t>Apex</t>
  </si>
  <si>
    <t>1A2F8E059F</t>
  </si>
  <si>
    <t>1047A4D661</t>
  </si>
  <si>
    <t>161743762B</t>
  </si>
  <si>
    <t>Ronnies red</t>
  </si>
  <si>
    <t>11FBF792FB</t>
  </si>
  <si>
    <t>T9905</t>
  </si>
  <si>
    <t>14D1D74C4F</t>
  </si>
  <si>
    <t>Red Rover</t>
  </si>
  <si>
    <t>1913C5BCE2</t>
  </si>
  <si>
    <t>Merlot</t>
  </si>
  <si>
    <t>1F3E3C7202</t>
  </si>
  <si>
    <t>Red Dawn</t>
  </si>
  <si>
    <t>1ECBE9100C</t>
  </si>
  <si>
    <t>Cayenne</t>
  </si>
  <si>
    <t>13C7E686AA</t>
  </si>
  <si>
    <t>1EE98D13AE</t>
  </si>
  <si>
    <t>17B74EF533</t>
  </si>
  <si>
    <t>11EC8AEE89</t>
  </si>
  <si>
    <t>1B9839AAA6</t>
  </si>
  <si>
    <t>128FFC5EE2</t>
  </si>
  <si>
    <t>17D142D80C</t>
  </si>
  <si>
    <t>13D7345BF6</t>
  </si>
  <si>
    <t>135525D516</t>
  </si>
  <si>
    <t>1ED16701A9</t>
  </si>
  <si>
    <t>1BF894EAAD</t>
  </si>
  <si>
    <t>1CFB818B13</t>
  </si>
  <si>
    <t>1FA7816CE1</t>
  </si>
  <si>
    <t>167E0CFA3F</t>
  </si>
  <si>
    <t>1EB5B01FFF</t>
  </si>
  <si>
    <t>114965A262</t>
  </si>
  <si>
    <t>13EFA08461</t>
  </si>
  <si>
    <t>15158A5F69</t>
  </si>
  <si>
    <t>1D59F1C964</t>
  </si>
  <si>
    <t>142BD536E6</t>
  </si>
  <si>
    <t>1DBB1A7FEC</t>
  </si>
  <si>
    <t>1CB9084CD5</t>
  </si>
  <si>
    <t>13519E0F5D</t>
  </si>
  <si>
    <t>1BAF74E1C8</t>
  </si>
  <si>
    <t>1346BCE35D</t>
  </si>
  <si>
    <t>1CDB6474C6</t>
  </si>
  <si>
    <t>176658E42D</t>
  </si>
  <si>
    <t>17ADAD86EC</t>
  </si>
  <si>
    <t>10C128A4AC</t>
  </si>
  <si>
    <t>16614BF8FB</t>
  </si>
  <si>
    <t>22"</t>
  </si>
  <si>
    <t>162DD8AFEB</t>
  </si>
  <si>
    <t>196870E465</t>
  </si>
  <si>
    <t>1B20C85804</t>
  </si>
  <si>
    <t>1D1519F912</t>
  </si>
  <si>
    <t>11AC5EA708</t>
  </si>
  <si>
    <t>17C35F9EF6</t>
  </si>
  <si>
    <t>1B93418F81</t>
  </si>
  <si>
    <t>1617DE1AAA</t>
  </si>
  <si>
    <t>137A27CF22</t>
  </si>
  <si>
    <t>178A7FCC1B</t>
  </si>
  <si>
    <t>10DF836229</t>
  </si>
  <si>
    <t>1BEEB999A1</t>
  </si>
  <si>
    <t>184AA18C55</t>
  </si>
  <si>
    <t>1F294A5502</t>
  </si>
  <si>
    <t>128FCE3EF1</t>
  </si>
  <si>
    <t>108817FC5A</t>
  </si>
  <si>
    <t>1C2A16BA08</t>
  </si>
  <si>
    <t>1B00FCE504</t>
  </si>
  <si>
    <t>12BC26828A</t>
  </si>
  <si>
    <t>14A4CA0F78</t>
  </si>
  <si>
    <t>1ABB092894</t>
  </si>
  <si>
    <t>18699C80DE</t>
  </si>
  <si>
    <t>1CD6C3DBF6</t>
  </si>
  <si>
    <t>11A3DEAF70</t>
  </si>
  <si>
    <t>15BD90DF5B</t>
  </si>
  <si>
    <t>196A2A2CFF</t>
  </si>
  <si>
    <t>1B00F5B1B3</t>
  </si>
  <si>
    <t>10F8436E71</t>
  </si>
  <si>
    <t>1FE3C8DD87</t>
  </si>
  <si>
    <t>1F69EB8F23</t>
  </si>
  <si>
    <t>1E5BC0F5A0</t>
  </si>
  <si>
    <t>10EDA2B6DF</t>
  </si>
  <si>
    <t>103B4585F5</t>
  </si>
  <si>
    <t>1D32470AF7</t>
  </si>
  <si>
    <t>1C8627CFE0</t>
  </si>
  <si>
    <t>1C3156684C</t>
  </si>
  <si>
    <t>1AFB396F00</t>
  </si>
  <si>
    <t>13F7E6DCBF</t>
  </si>
  <si>
    <t>1F28AAC832</t>
  </si>
  <si>
    <t>1C4B0E1D45</t>
  </si>
  <si>
    <t>1080B6E78B</t>
  </si>
  <si>
    <t>1F019EB283</t>
  </si>
  <si>
    <t>17F17445E8</t>
  </si>
  <si>
    <t>1BBE7A47FB</t>
  </si>
  <si>
    <t>151746B5A8</t>
  </si>
  <si>
    <t>1584ADAD28</t>
  </si>
  <si>
    <t>1275B49A02</t>
  </si>
  <si>
    <t>176A73EB1D</t>
  </si>
  <si>
    <t>1F0AE1958B</t>
  </si>
  <si>
    <t>1A8E6CC8D8</t>
  </si>
  <si>
    <t>179874C9E2</t>
  </si>
  <si>
    <t>198A5A08B5</t>
  </si>
  <si>
    <t>1C1CB6CE61</t>
  </si>
  <si>
    <t>1E7680FFC6</t>
  </si>
  <si>
    <t>1183CAA820</t>
  </si>
  <si>
    <t>151856F93E</t>
  </si>
  <si>
    <t>1AA5643697</t>
  </si>
  <si>
    <t>13438C38B0</t>
  </si>
  <si>
    <t>143B059D49</t>
  </si>
  <si>
    <t>1EBDA28DB6</t>
  </si>
  <si>
    <t>1AA89F614D</t>
  </si>
  <si>
    <t>189A641B49</t>
  </si>
  <si>
    <t>1147AC00EA</t>
  </si>
  <si>
    <t>10EDEF24ED</t>
  </si>
  <si>
    <t>1FCB05C378</t>
  </si>
  <si>
    <t>131622A06A</t>
  </si>
  <si>
    <t>1E8608BDB2</t>
  </si>
  <si>
    <t>1B69F7C04C</t>
  </si>
  <si>
    <t>1BD33F1538</t>
  </si>
  <si>
    <t>1575F9896E</t>
  </si>
  <si>
    <t>14967C7782</t>
  </si>
  <si>
    <t>139FAB529C</t>
  </si>
  <si>
    <t>109D664FB0</t>
  </si>
  <si>
    <t>1BBE1B7C42</t>
  </si>
  <si>
    <t>19789DB30C</t>
  </si>
  <si>
    <t>1A8EC4F4D0</t>
  </si>
  <si>
    <t>15EEF1DD70</t>
  </si>
  <si>
    <t>1B62F0EA7F</t>
  </si>
  <si>
    <t>10F0B9FC46</t>
  </si>
  <si>
    <t>1A8D9C3D2C</t>
  </si>
  <si>
    <t>1D82BAB71D</t>
  </si>
  <si>
    <t>1AAFB87CE6</t>
  </si>
  <si>
    <t>1D4DC84C27</t>
  </si>
  <si>
    <t>1EBA4CDAE3</t>
  </si>
  <si>
    <t>1D7CAA682B</t>
  </si>
  <si>
    <t>10F0B53C07</t>
  </si>
  <si>
    <t>1B94CD7BFB</t>
  </si>
  <si>
    <t>1F6ACB792D</t>
  </si>
  <si>
    <t>1E9F22FC24</t>
  </si>
  <si>
    <t>19B80CD0F0</t>
  </si>
  <si>
    <t>1C32A3B1D2</t>
  </si>
  <si>
    <t>179DF95BCF</t>
  </si>
  <si>
    <t>1B8410F2B7</t>
  </si>
  <si>
    <t>150719918B</t>
  </si>
  <si>
    <t>1295EA32E8</t>
  </si>
  <si>
    <t>12865E420B</t>
  </si>
  <si>
    <t>1875D9E138</t>
  </si>
  <si>
    <t>1938526BD4</t>
  </si>
  <si>
    <t>1CA2619B26</t>
  </si>
  <si>
    <t>1697EBC230</t>
  </si>
  <si>
    <t>1005824E2F</t>
  </si>
  <si>
    <t>1CDBA3A339</t>
  </si>
  <si>
    <t>10E594A03A</t>
  </si>
  <si>
    <t>1C72DABC5F</t>
  </si>
  <si>
    <t>1FCFC7D6A5</t>
  </si>
  <si>
    <t>142716F39E</t>
  </si>
  <si>
    <t>152CB970AB</t>
  </si>
  <si>
    <t>18E872AECC</t>
  </si>
  <si>
    <t>13ED8B4B49</t>
  </si>
  <si>
    <t>12E1D82A3B</t>
  </si>
  <si>
    <t>1002DC1CCA</t>
  </si>
  <si>
    <t>1996D35627</t>
  </si>
  <si>
    <t>1BEE9EAA14</t>
  </si>
  <si>
    <t>143255DC9E</t>
  </si>
  <si>
    <t>163BBC07EE</t>
  </si>
  <si>
    <t>1F24AA3057</t>
  </si>
  <si>
    <t>102E845022</t>
  </si>
  <si>
    <t>10E7A3798C</t>
  </si>
  <si>
    <t>1BD5369796</t>
  </si>
  <si>
    <t>190123EEC1</t>
  </si>
  <si>
    <t>191BA5BC4A</t>
  </si>
  <si>
    <t>108FE7B6A8</t>
  </si>
  <si>
    <t>11F82120E3</t>
  </si>
  <si>
    <t>101D2D89B4</t>
  </si>
  <si>
    <t>16F697E982</t>
  </si>
  <si>
    <t>1F1317254C</t>
  </si>
  <si>
    <t>16EDD0D6A7</t>
  </si>
  <si>
    <t>103F624B8D</t>
  </si>
  <si>
    <t>1C6889CD4C</t>
  </si>
  <si>
    <t>1335921DEC</t>
  </si>
  <si>
    <t>158627AD2E</t>
  </si>
  <si>
    <t>1B388374BB</t>
  </si>
  <si>
    <t>18663BCBFE</t>
  </si>
  <si>
    <t>108190DD84</t>
  </si>
  <si>
    <t>1C8C2E820A</t>
  </si>
  <si>
    <t>1493D14504</t>
  </si>
  <si>
    <t>1319C119F5</t>
  </si>
  <si>
    <t>13915D621D</t>
  </si>
  <si>
    <t>1EB43CFF67</t>
  </si>
  <si>
    <t>1DE6C77E1F</t>
  </si>
  <si>
    <t>1DA96071B5</t>
  </si>
  <si>
    <t>16C060718C</t>
  </si>
  <si>
    <t>16CA3B78BF</t>
  </si>
  <si>
    <t>1D89C9FD69</t>
  </si>
  <si>
    <t>1B900C80E9</t>
  </si>
  <si>
    <t>101C8DC954</t>
  </si>
  <si>
    <t>15CE3CEFE9</t>
  </si>
  <si>
    <t>1F61015D17</t>
  </si>
  <si>
    <t>1FD7ADB5B1</t>
  </si>
  <si>
    <t>112C7B61D6</t>
  </si>
  <si>
    <t>18429729A7</t>
  </si>
  <si>
    <t>1E5DB73B6E</t>
  </si>
  <si>
    <t>14E6BD5F55</t>
  </si>
  <si>
    <t>185799D1B5</t>
  </si>
  <si>
    <t>120F0BA503</t>
  </si>
  <si>
    <t>16A2B8AB04</t>
  </si>
  <si>
    <t>1657F218F5</t>
  </si>
  <si>
    <t>131B9648B9</t>
  </si>
  <si>
    <t>1A17AC8B9C</t>
  </si>
  <si>
    <t>1F4E4C5AF3</t>
  </si>
  <si>
    <t>174D419533</t>
  </si>
  <si>
    <t>1A1BE75B42</t>
  </si>
  <si>
    <t>164D3540D0</t>
  </si>
  <si>
    <t>1BE74AADB7</t>
  </si>
  <si>
    <t>1BFEDDC748</t>
  </si>
  <si>
    <t>161107F3EE</t>
  </si>
  <si>
    <t>1758056A3A</t>
  </si>
  <si>
    <t>14CA912D81</t>
  </si>
  <si>
    <t>1D5B0E31A0</t>
  </si>
  <si>
    <t>11D718A042</t>
  </si>
  <si>
    <t>12EF83B0EE</t>
  </si>
  <si>
    <t>1ACBA97B56</t>
  </si>
  <si>
    <t>173155525C</t>
  </si>
  <si>
    <t>11EC604BC5</t>
  </si>
  <si>
    <t>1FDA18AEA7</t>
  </si>
  <si>
    <t>140B25FD63</t>
  </si>
  <si>
    <t>1B3C6DE8BA</t>
  </si>
  <si>
    <t>11D5A160FD</t>
  </si>
  <si>
    <t>17BCFC1D0E</t>
  </si>
  <si>
    <t>17EBFE59C1</t>
  </si>
  <si>
    <t>14314EC041</t>
  </si>
  <si>
    <t>1259CDB3C1</t>
  </si>
  <si>
    <t>1B1DAAE457</t>
  </si>
  <si>
    <t>15059F9B51</t>
  </si>
  <si>
    <t>1070391AA4</t>
  </si>
  <si>
    <t>19C0B13B77</t>
  </si>
  <si>
    <t>19E336647B</t>
  </si>
  <si>
    <t>14812201FE</t>
  </si>
  <si>
    <t>1F98C2ABF6</t>
  </si>
  <si>
    <t>15E9CC80F0</t>
  </si>
  <si>
    <t>1C1CAA7A5F</t>
  </si>
  <si>
    <t>1AFDF9FCFC</t>
  </si>
  <si>
    <t>1EFFB4BBF3</t>
  </si>
  <si>
    <t>1597C0C6D6</t>
  </si>
  <si>
    <t>1EF1E40699</t>
  </si>
  <si>
    <t>1FC9C898A6</t>
  </si>
  <si>
    <t>1B5F6CAFAA</t>
  </si>
  <si>
    <t>16CA55D478</t>
  </si>
  <si>
    <t>1743EE89CD</t>
  </si>
  <si>
    <t>14133769EF</t>
  </si>
  <si>
    <t>1E26CF6FAC</t>
  </si>
  <si>
    <t>19560BA2F1</t>
  </si>
  <si>
    <t>18DA1E9071</t>
  </si>
  <si>
    <t>1839F24454</t>
  </si>
  <si>
    <t>1BE6B8661A</t>
  </si>
  <si>
    <t>1D7076FD12</t>
  </si>
  <si>
    <t>1DD79202CD</t>
  </si>
  <si>
    <t>137C8A71EA</t>
  </si>
  <si>
    <t>1C8BF78179</t>
  </si>
  <si>
    <t>17413F4289</t>
  </si>
  <si>
    <t>1DFD5992AB</t>
  </si>
  <si>
    <t>1A88B14122</t>
  </si>
  <si>
    <t>131D420CA5</t>
  </si>
  <si>
    <t>1621A5E489</t>
  </si>
  <si>
    <t>1844C7FCA3</t>
  </si>
  <si>
    <t>1C399A622E</t>
  </si>
  <si>
    <t>178080C6F1</t>
  </si>
  <si>
    <t>172F6E3B6E</t>
  </si>
  <si>
    <t>18B0FF5910</t>
  </si>
  <si>
    <t>159D531A2B</t>
  </si>
  <si>
    <t>1CB9FA324A</t>
  </si>
  <si>
    <t>1AEA6AB175</t>
  </si>
  <si>
    <t>1629533B8A</t>
  </si>
  <si>
    <t>1836349E2A</t>
  </si>
  <si>
    <t>15F1103A97</t>
  </si>
  <si>
    <t>119160E3DE</t>
  </si>
  <si>
    <t>1FD697FBFD</t>
  </si>
  <si>
    <t>1C77D7A0FB</t>
  </si>
  <si>
    <t>1779F829CC</t>
  </si>
  <si>
    <t>147179A32B</t>
  </si>
  <si>
    <t>1D1564C77F</t>
  </si>
  <si>
    <t>10B9B24050</t>
  </si>
  <si>
    <t>11B9586688</t>
  </si>
  <si>
    <t>116C8646E4</t>
  </si>
  <si>
    <t>1C05A9DD0F</t>
  </si>
  <si>
    <t>1C6C69333A</t>
  </si>
  <si>
    <t>19CB41E919</t>
  </si>
  <si>
    <t>1713FA3EEE</t>
  </si>
  <si>
    <t>18EB119CF7</t>
  </si>
  <si>
    <t>1A28CF475A</t>
  </si>
  <si>
    <t>1D3EE19DDE</t>
  </si>
  <si>
    <t>15250B59CE</t>
  </si>
  <si>
    <t>19A4798182</t>
  </si>
  <si>
    <t>17FD8383CA</t>
  </si>
  <si>
    <t>1760FF63F5</t>
  </si>
  <si>
    <t>1D1279BF3A</t>
  </si>
  <si>
    <t>10367737DA</t>
  </si>
  <si>
    <t>1716A0EA9B</t>
  </si>
  <si>
    <t>16E3AA9234</t>
  </si>
  <si>
    <t>1EFD657BCD</t>
  </si>
  <si>
    <t>179D7709CE</t>
  </si>
  <si>
    <t>19CD413B6F</t>
  </si>
  <si>
    <t>1846B14E28</t>
  </si>
  <si>
    <t>165D4DC392</t>
  </si>
  <si>
    <t>19B22E8E3A</t>
  </si>
  <si>
    <t>1B4AF1198F</t>
  </si>
  <si>
    <t>1D4E689309</t>
  </si>
  <si>
    <t>14D1B023D4</t>
  </si>
  <si>
    <t>1703D43F70</t>
  </si>
  <si>
    <t>185306E99C</t>
  </si>
  <si>
    <t>11CA3A8C7E</t>
  </si>
  <si>
    <t>1A4C47E754</t>
  </si>
  <si>
    <t>1362E33B9E</t>
  </si>
  <si>
    <t>179B0EBA68</t>
  </si>
  <si>
    <t>1CADF115D8</t>
  </si>
  <si>
    <t>1C5C0EAFE4</t>
  </si>
  <si>
    <t>13928AF387</t>
  </si>
  <si>
    <t>1FFCF5480D</t>
  </si>
  <si>
    <t>1CEC5C1AED</t>
  </si>
  <si>
    <t>172226D42A</t>
  </si>
  <si>
    <t>1BD891F8B8</t>
  </si>
  <si>
    <t>1633AA4AFF</t>
  </si>
  <si>
    <t>13923433FD</t>
  </si>
  <si>
    <t>10A9092A76</t>
  </si>
  <si>
    <t>1559A17693</t>
  </si>
  <si>
    <t>197D5DC9C4</t>
  </si>
  <si>
    <t>19E2CC8138</t>
  </si>
  <si>
    <t>1ED9D8003A</t>
  </si>
  <si>
    <t>171E125DCE</t>
  </si>
  <si>
    <t>1.08E+65</t>
  </si>
  <si>
    <t>18D12A1076</t>
  </si>
  <si>
    <t>1B2DDA698C</t>
  </si>
  <si>
    <t>15B3A956D5</t>
  </si>
  <si>
    <t>1EF86E95D8</t>
  </si>
  <si>
    <t>1BF4944431</t>
  </si>
  <si>
    <t>113367E42B</t>
  </si>
  <si>
    <t>14D541DADE</t>
  </si>
  <si>
    <t>18448CDB9F</t>
  </si>
  <si>
    <t>1DE4E0341F</t>
  </si>
  <si>
    <t>1E095762D9</t>
  </si>
  <si>
    <t>1E6C09B8E8</t>
  </si>
  <si>
    <t>1CF5B62A28</t>
  </si>
  <si>
    <t>1053FECB2B</t>
  </si>
  <si>
    <t>1A14590FE2</t>
  </si>
  <si>
    <t>14A75B7E58</t>
  </si>
  <si>
    <t>17BE1EC0F9</t>
  </si>
  <si>
    <t>13D39C81EF</t>
  </si>
  <si>
    <t>1F7EC2169B</t>
  </si>
  <si>
    <t>1AB9478878</t>
  </si>
  <si>
    <t>199C9D9E7A</t>
  </si>
  <si>
    <t>1F6D482069</t>
  </si>
  <si>
    <t>1F138CBA43</t>
  </si>
  <si>
    <t>18A3E17633</t>
  </si>
  <si>
    <t>1C94E545BB</t>
  </si>
  <si>
    <t>17F9F65A41</t>
  </si>
  <si>
    <t>1E5355C25E</t>
  </si>
  <si>
    <t>19A34A75F4</t>
  </si>
  <si>
    <t>1AC1A4B836</t>
  </si>
  <si>
    <t>1DE0FDE558</t>
  </si>
  <si>
    <t>1EB3699B63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</si>
</sst>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5" borderId="0" xfId="0" applyFill="1" applyAlignment="1">
      <alignment horizontal="right"/>
    </xf>
    <xf numFmtId="0" fontId="0" fillId="5" borderId="0" xfId="0" applyFill="1"/>
    <xf numFmtId="0" fontId="0" fillId="6" borderId="0" xfId="0" applyFill="1" applyAlignment="1">
      <alignment horizontal="right"/>
    </xf>
    <xf numFmtId="0" fontId="0" fillId="6" borderId="0" xfId="0" applyFill="1"/>
    <xf numFmtId="0" fontId="0" fillId="7" borderId="0" xfId="0" applyFill="1" applyAlignment="1">
      <alignment horizontal="right"/>
    </xf>
    <xf numFmtId="0" fontId="0" fillId="7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D81-DFED-4E72-8026-5699DD61E621}">
  <dimension ref="A1:AF57"/>
  <sheetViews>
    <sheetView zoomScale="85" zoomScaleNormal="85" workbookViewId="0">
      <selection activeCell="C57" sqref="C2:C57"/>
    </sheetView>
  </sheetViews>
  <sheetFormatPr defaultRowHeight="15" x14ac:dyDescent="0.25"/>
  <cols>
    <col min="1" max="1" width="6.140625" bestFit="1" customWidth="1"/>
    <col min="2" max="2" width="10.5703125" bestFit="1" customWidth="1"/>
    <col min="3" max="3" width="10.5703125" customWidth="1"/>
    <col min="4" max="4" width="11" bestFit="1" customWidth="1"/>
    <col min="5" max="5" width="7.7109375" bestFit="1" customWidth="1"/>
    <col min="6" max="6" width="4.140625" bestFit="1" customWidth="1"/>
    <col min="7" max="7" width="6.28515625" bestFit="1" customWidth="1"/>
    <col min="8" max="8" width="12.28515625" bestFit="1" customWidth="1"/>
    <col min="9" max="9" width="12.85546875" bestFit="1" customWidth="1"/>
    <col min="10" max="10" width="7.140625" bestFit="1" customWidth="1"/>
    <col min="11" max="11" width="9.7109375" bestFit="1" customWidth="1"/>
    <col min="12" max="12" width="11.85546875" bestFit="1" customWidth="1"/>
    <col min="13" max="13" width="7" bestFit="1" customWidth="1"/>
    <col min="14" max="14" width="17.85546875" bestFit="1" customWidth="1"/>
    <col min="15" max="15" width="16.42578125" bestFit="1" customWidth="1"/>
    <col min="16" max="16" width="15.85546875" bestFit="1" customWidth="1"/>
    <col min="17" max="17" width="12.7109375" bestFit="1" customWidth="1"/>
    <col min="18" max="18" width="18" bestFit="1" customWidth="1"/>
    <col min="19" max="19" width="9.85546875" bestFit="1" customWidth="1"/>
    <col min="20" max="20" width="11.7109375" bestFit="1" customWidth="1"/>
    <col min="21" max="21" width="12.85546875" bestFit="1" customWidth="1"/>
    <col min="22" max="24" width="12.28515625" bestFit="1" customWidth="1"/>
    <col min="25" max="25" width="15.7109375" bestFit="1" customWidth="1"/>
    <col min="26" max="26" width="18.42578125" bestFit="1" customWidth="1"/>
    <col min="27" max="27" width="14.85546875" bestFit="1" customWidth="1"/>
    <col min="28" max="28" width="17.5703125" bestFit="1" customWidth="1"/>
    <col min="29" max="29" width="13.140625" bestFit="1" customWidth="1"/>
    <col min="30" max="30" width="15.7109375" bestFit="1" customWidth="1"/>
    <col min="31" max="31" width="12.85546875" bestFit="1" customWidth="1"/>
    <col min="32" max="32" width="15.5703125" bestFit="1" customWidth="1"/>
  </cols>
  <sheetData>
    <row r="1" spans="1:32" x14ac:dyDescent="0.25">
      <c r="A1" s="3" t="s">
        <v>0</v>
      </c>
      <c r="B1" s="3" t="s">
        <v>1</v>
      </c>
      <c r="C1" s="3" t="s">
        <v>172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158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x14ac:dyDescent="0.25">
      <c r="A2" s="3">
        <v>1517</v>
      </c>
      <c r="B2" s="4">
        <v>45447</v>
      </c>
      <c r="C2" s="3">
        <v>8</v>
      </c>
      <c r="D2" s="3" t="s">
        <v>31</v>
      </c>
      <c r="E2" s="3">
        <v>4.71</v>
      </c>
      <c r="F2" s="3">
        <v>905</v>
      </c>
      <c r="G2" s="3" t="s">
        <v>32</v>
      </c>
      <c r="H2" s="3">
        <v>45.432950300000002</v>
      </c>
      <c r="I2" s="3">
        <v>-73.939211110000002</v>
      </c>
      <c r="J2" s="3">
        <v>39.021000000000001</v>
      </c>
      <c r="K2" s="3">
        <v>0</v>
      </c>
      <c r="L2" s="3">
        <v>0</v>
      </c>
      <c r="M2" s="3">
        <v>1</v>
      </c>
      <c r="N2" s="3" t="s">
        <v>33</v>
      </c>
      <c r="O2" s="3">
        <v>0</v>
      </c>
      <c r="P2" s="3">
        <v>0</v>
      </c>
      <c r="Q2" s="3">
        <v>101</v>
      </c>
      <c r="R2" s="3">
        <v>101</v>
      </c>
      <c r="S2" s="3">
        <v>25</v>
      </c>
      <c r="T2" s="3">
        <v>138</v>
      </c>
      <c r="U2" s="3">
        <v>1.16765099081109E-3</v>
      </c>
      <c r="V2" s="3">
        <v>0.27746897919250701</v>
      </c>
      <c r="W2" s="3">
        <v>0.55491243719775096</v>
      </c>
      <c r="X2" s="3">
        <v>0.69304455380404795</v>
      </c>
      <c r="Y2" s="3">
        <v>7.9031091083291996E-2</v>
      </c>
      <c r="Z2" s="3">
        <v>4.2683876322367597E-3</v>
      </c>
      <c r="AA2" s="3">
        <v>-1.71674182382686E-2</v>
      </c>
      <c r="AB2" s="3">
        <v>1.2096194548026299E-3</v>
      </c>
      <c r="AC2" s="3">
        <v>2137.9751324183899</v>
      </c>
      <c r="AD2" s="3">
        <v>1517090.8604903601</v>
      </c>
      <c r="AE2" s="3">
        <v>15061.1020740244</v>
      </c>
      <c r="AF2" s="3">
        <v>23748992.554411002</v>
      </c>
    </row>
    <row r="3" spans="1:32" x14ac:dyDescent="0.25">
      <c r="A3" s="3">
        <v>1533</v>
      </c>
      <c r="B3" s="4">
        <v>45447</v>
      </c>
      <c r="C3" s="3">
        <v>8</v>
      </c>
      <c r="D3" s="3" t="s">
        <v>75</v>
      </c>
      <c r="E3" s="3">
        <v>4.71</v>
      </c>
      <c r="F3" s="3">
        <v>905</v>
      </c>
      <c r="G3" s="3" t="s">
        <v>76</v>
      </c>
      <c r="H3" s="3">
        <v>45.432924700000001</v>
      </c>
      <c r="I3" s="3">
        <v>-73.939194060000005</v>
      </c>
      <c r="J3" s="3">
        <v>39.021000000000001</v>
      </c>
      <c r="K3" s="3">
        <v>0</v>
      </c>
      <c r="L3" s="3">
        <v>0</v>
      </c>
      <c r="M3" s="3">
        <v>1</v>
      </c>
      <c r="N3" s="3" t="s">
        <v>77</v>
      </c>
      <c r="O3" s="3">
        <v>1</v>
      </c>
      <c r="P3" s="3">
        <v>0</v>
      </c>
      <c r="Q3" s="3">
        <v>102</v>
      </c>
      <c r="R3" s="3">
        <v>102</v>
      </c>
      <c r="S3" s="3">
        <v>37</v>
      </c>
      <c r="T3" s="3">
        <v>371</v>
      </c>
      <c r="U3" s="3">
        <v>3.1391196926878E-3</v>
      </c>
      <c r="V3" s="3">
        <v>0.273994325694908</v>
      </c>
      <c r="W3" s="3">
        <v>0.547964201268478</v>
      </c>
      <c r="X3" s="3">
        <v>0.89947500690780402</v>
      </c>
      <c r="Y3" s="3">
        <v>7.4093803815283105E-2</v>
      </c>
      <c r="Z3" s="3">
        <v>4.5883673779266096E-3</v>
      </c>
      <c r="AA3" s="3">
        <v>-1.98039411735078E-2</v>
      </c>
      <c r="AB3" s="3">
        <v>1.29615269428542E-3</v>
      </c>
      <c r="AC3" s="3">
        <v>2304.8042323117802</v>
      </c>
      <c r="AD3" s="3">
        <v>1711194.1026477001</v>
      </c>
      <c r="AE3" s="3">
        <v>15679.65971727</v>
      </c>
      <c r="AF3" s="3">
        <v>24504353.404199801</v>
      </c>
    </row>
    <row r="4" spans="1:32" x14ac:dyDescent="0.25">
      <c r="A4" s="3">
        <v>1534</v>
      </c>
      <c r="B4" s="4">
        <v>45447</v>
      </c>
      <c r="C4" s="3">
        <v>8</v>
      </c>
      <c r="D4" s="3" t="s">
        <v>78</v>
      </c>
      <c r="E4" s="3">
        <v>4.71</v>
      </c>
      <c r="F4" s="3">
        <v>905</v>
      </c>
      <c r="G4" s="3" t="s">
        <v>32</v>
      </c>
      <c r="H4" s="3">
        <v>45.432900410000002</v>
      </c>
      <c r="I4" s="3">
        <v>-73.939177689999994</v>
      </c>
      <c r="J4" s="3">
        <v>39.021000000000001</v>
      </c>
      <c r="K4" s="3">
        <v>0</v>
      </c>
      <c r="L4" s="3">
        <v>0</v>
      </c>
      <c r="M4" s="3">
        <v>1</v>
      </c>
      <c r="N4" s="3" t="s">
        <v>79</v>
      </c>
      <c r="O4" s="3">
        <v>2</v>
      </c>
      <c r="P4" s="3">
        <v>0</v>
      </c>
      <c r="Q4" s="3">
        <v>103</v>
      </c>
      <c r="R4" s="3">
        <v>103</v>
      </c>
      <c r="S4" s="3">
        <v>23</v>
      </c>
      <c r="T4" s="3">
        <v>170</v>
      </c>
      <c r="U4" s="3">
        <v>1.4383862997935501E-3</v>
      </c>
      <c r="V4" s="3">
        <v>0.269765042963858</v>
      </c>
      <c r="W4" s="3">
        <v>0.53950542363027398</v>
      </c>
      <c r="X4" s="3">
        <v>0.71355263157894699</v>
      </c>
      <c r="Y4" s="3">
        <v>7.0448374639939901E-2</v>
      </c>
      <c r="Z4" s="3">
        <v>3.7407827944460599E-3</v>
      </c>
      <c r="AA4" s="3">
        <v>-2.02934193646549E-2</v>
      </c>
      <c r="AB4" s="3">
        <v>1.0596723405531801E-3</v>
      </c>
      <c r="AC4" s="3">
        <v>2192.1048837445401</v>
      </c>
      <c r="AD4" s="3">
        <v>1370721.56958286</v>
      </c>
      <c r="AE4" s="3">
        <v>15364.240790318199</v>
      </c>
      <c r="AF4" s="3">
        <v>21781355.230763599</v>
      </c>
    </row>
    <row r="5" spans="1:32" x14ac:dyDescent="0.25">
      <c r="A5" s="3">
        <v>1549</v>
      </c>
      <c r="B5" s="4">
        <v>45447</v>
      </c>
      <c r="C5" s="3">
        <v>8</v>
      </c>
      <c r="D5" s="3" t="s">
        <v>108</v>
      </c>
      <c r="E5" s="3">
        <v>4.71</v>
      </c>
      <c r="F5" s="3">
        <v>905</v>
      </c>
      <c r="G5" s="3" t="s">
        <v>76</v>
      </c>
      <c r="H5" s="3">
        <v>45.432875099999997</v>
      </c>
      <c r="I5" s="3">
        <v>-73.939160810000004</v>
      </c>
      <c r="J5" s="3">
        <v>39.021000000000001</v>
      </c>
      <c r="K5" s="3">
        <v>0</v>
      </c>
      <c r="L5" s="3">
        <v>0</v>
      </c>
      <c r="M5" s="3">
        <v>1</v>
      </c>
      <c r="N5" s="3" t="s">
        <v>109</v>
      </c>
      <c r="O5" s="3">
        <v>3</v>
      </c>
      <c r="P5" s="3">
        <v>0</v>
      </c>
      <c r="Q5" s="3">
        <v>104</v>
      </c>
      <c r="R5" s="3">
        <v>104</v>
      </c>
      <c r="S5" s="3">
        <v>38</v>
      </c>
      <c r="T5" s="3">
        <v>272</v>
      </c>
      <c r="U5" s="3">
        <v>2.3013986073153999E-3</v>
      </c>
      <c r="V5" s="3">
        <v>0.26917569613340597</v>
      </c>
      <c r="W5" s="3">
        <v>0.53832670704069696</v>
      </c>
      <c r="X5" s="3">
        <v>0.895209147488783</v>
      </c>
      <c r="Y5" s="3">
        <v>7.5662777728523201E-2</v>
      </c>
      <c r="Z5" s="3">
        <v>4.6806748240363696E-3</v>
      </c>
      <c r="AA5" s="3">
        <v>-1.9924760802409899E-2</v>
      </c>
      <c r="AB5" s="3">
        <v>1.2663826732966801E-3</v>
      </c>
      <c r="AC5" s="3">
        <v>2201.2651600402701</v>
      </c>
      <c r="AD5" s="3">
        <v>1697353.5092533999</v>
      </c>
      <c r="AE5" s="3">
        <v>15237.148747110799</v>
      </c>
      <c r="AF5" s="3">
        <v>25619116.523708899</v>
      </c>
    </row>
    <row r="6" spans="1:32" x14ac:dyDescent="0.25">
      <c r="A6" s="3">
        <v>1550</v>
      </c>
      <c r="B6" s="4">
        <v>45447</v>
      </c>
      <c r="C6" s="3">
        <v>8</v>
      </c>
      <c r="D6" s="3" t="s">
        <v>110</v>
      </c>
      <c r="E6" s="3">
        <v>4.71</v>
      </c>
      <c r="F6" s="3">
        <v>905</v>
      </c>
      <c r="G6" s="3" t="s">
        <v>32</v>
      </c>
      <c r="H6" s="3">
        <v>45.432850459999997</v>
      </c>
      <c r="I6" s="3">
        <v>-73.939144119999995</v>
      </c>
      <c r="J6" s="3">
        <v>39.020000000000003</v>
      </c>
      <c r="K6" s="3">
        <v>0</v>
      </c>
      <c r="L6" s="3">
        <v>0</v>
      </c>
      <c r="M6" s="3">
        <v>1</v>
      </c>
      <c r="N6" s="3" t="s">
        <v>111</v>
      </c>
      <c r="O6" s="3">
        <v>4</v>
      </c>
      <c r="P6" s="3">
        <v>0</v>
      </c>
      <c r="Q6" s="3">
        <v>105</v>
      </c>
      <c r="R6" s="3">
        <v>105</v>
      </c>
      <c r="S6" s="3">
        <v>24</v>
      </c>
      <c r="T6" s="3">
        <v>171</v>
      </c>
      <c r="U6" s="3">
        <v>1.4468841223505501E-3</v>
      </c>
      <c r="V6" s="3">
        <v>0.26260806560712902</v>
      </c>
      <c r="W6" s="3">
        <v>0.52519306620610795</v>
      </c>
      <c r="X6" s="3">
        <v>0.72071052631578902</v>
      </c>
      <c r="Y6" s="3">
        <v>7.2886260549336002E-2</v>
      </c>
      <c r="Z6" s="3">
        <v>4.3785827476195104E-3</v>
      </c>
      <c r="AA6" s="3">
        <v>-2.2465286508872299E-2</v>
      </c>
      <c r="AB6" s="3">
        <v>1.3458488645589799E-3</v>
      </c>
      <c r="AC6" s="3">
        <v>2283.77534374075</v>
      </c>
      <c r="AD6" s="3">
        <v>1786230.3290616299</v>
      </c>
      <c r="AE6" s="3">
        <v>15674.424923831401</v>
      </c>
      <c r="AF6" s="3">
        <v>23714756.474743702</v>
      </c>
    </row>
    <row r="7" spans="1:32" x14ac:dyDescent="0.25">
      <c r="A7" s="3">
        <v>1565</v>
      </c>
      <c r="B7" s="4">
        <v>45447</v>
      </c>
      <c r="C7" s="3">
        <v>8</v>
      </c>
      <c r="D7" s="3" t="s">
        <v>140</v>
      </c>
      <c r="E7" s="3">
        <v>4.71</v>
      </c>
      <c r="F7" s="3">
        <v>905</v>
      </c>
      <c r="G7" s="3" t="s">
        <v>76</v>
      </c>
      <c r="H7" s="3">
        <v>45.432825549999997</v>
      </c>
      <c r="I7" s="3">
        <v>-73.93912752</v>
      </c>
      <c r="J7" s="3">
        <v>39.020000000000003</v>
      </c>
      <c r="K7" s="3">
        <v>0</v>
      </c>
      <c r="L7" s="3">
        <v>0</v>
      </c>
      <c r="M7" s="3">
        <v>1</v>
      </c>
      <c r="N7" s="3" t="s">
        <v>141</v>
      </c>
      <c r="O7" s="3">
        <v>5</v>
      </c>
      <c r="P7" s="3">
        <v>0</v>
      </c>
      <c r="Q7" s="3">
        <v>106</v>
      </c>
      <c r="R7" s="3">
        <v>106</v>
      </c>
      <c r="S7" s="3">
        <v>51</v>
      </c>
      <c r="T7" s="3">
        <v>387</v>
      </c>
      <c r="U7" s="3">
        <v>3.2744164008494899E-3</v>
      </c>
      <c r="V7" s="3">
        <v>0.27157897253841401</v>
      </c>
      <c r="W7" s="3">
        <v>0.54313382348455097</v>
      </c>
      <c r="X7" s="3">
        <v>0.92030472882292602</v>
      </c>
      <c r="Y7" s="3">
        <v>8.1655012304802196E-2</v>
      </c>
      <c r="Z7" s="3">
        <v>4.7209705213974102E-3</v>
      </c>
      <c r="AA7" s="3">
        <v>-2.17566272374571E-2</v>
      </c>
      <c r="AB7" s="3">
        <v>1.3493867447950099E-3</v>
      </c>
      <c r="AC7" s="3">
        <v>2160.24129149075</v>
      </c>
      <c r="AD7" s="3">
        <v>1815564.76325925</v>
      </c>
      <c r="AE7" s="3">
        <v>15333.2409592933</v>
      </c>
      <c r="AF7" s="3">
        <v>25561344.118833601</v>
      </c>
    </row>
    <row r="8" spans="1:32" x14ac:dyDescent="0.25">
      <c r="A8" s="3">
        <v>1566</v>
      </c>
      <c r="B8" s="4">
        <v>45447</v>
      </c>
      <c r="C8" s="3">
        <v>8</v>
      </c>
      <c r="D8" s="3" t="s">
        <v>142</v>
      </c>
      <c r="E8" s="3">
        <v>4.71</v>
      </c>
      <c r="F8" s="3">
        <v>905</v>
      </c>
      <c r="G8" s="3" t="s">
        <v>32</v>
      </c>
      <c r="H8" s="3">
        <v>45.432800960000002</v>
      </c>
      <c r="I8" s="3">
        <v>-73.939110929999998</v>
      </c>
      <c r="J8" s="3">
        <v>39.020000000000003</v>
      </c>
      <c r="K8" s="3">
        <v>0</v>
      </c>
      <c r="L8" s="3">
        <v>0</v>
      </c>
      <c r="M8" s="3">
        <v>1</v>
      </c>
      <c r="N8" s="3" t="s">
        <v>143</v>
      </c>
      <c r="O8" s="3">
        <v>6</v>
      </c>
      <c r="P8" s="3">
        <v>0</v>
      </c>
      <c r="Q8" s="3">
        <v>107</v>
      </c>
      <c r="R8" s="3">
        <v>107</v>
      </c>
      <c r="S8" s="3">
        <v>44</v>
      </c>
      <c r="T8" s="3">
        <v>376</v>
      </c>
      <c r="U8" s="3">
        <v>3.1813989694298001E-3</v>
      </c>
      <c r="V8" s="3">
        <v>0.26986301538301799</v>
      </c>
      <c r="W8" s="3">
        <v>0.53970165202478904</v>
      </c>
      <c r="X8" s="3">
        <v>0.833328947368421</v>
      </c>
      <c r="Y8" s="3">
        <v>7.7081365642719099E-2</v>
      </c>
      <c r="Z8" s="3">
        <v>4.4855442558175401E-3</v>
      </c>
      <c r="AA8" s="3">
        <v>-2.46478945909318E-2</v>
      </c>
      <c r="AB8" s="3">
        <v>1.23815971651092E-3</v>
      </c>
      <c r="AC8" s="3">
        <v>2165.9179435978599</v>
      </c>
      <c r="AD8" s="3">
        <v>1805887.0322811999</v>
      </c>
      <c r="AE8" s="3">
        <v>15221.369534138499</v>
      </c>
      <c r="AF8" s="3">
        <v>23915763.019939002</v>
      </c>
    </row>
    <row r="9" spans="1:32" x14ac:dyDescent="0.25">
      <c r="A9" s="3">
        <v>1519</v>
      </c>
      <c r="B9" s="4">
        <v>45447</v>
      </c>
      <c r="C9" s="3">
        <v>8</v>
      </c>
      <c r="D9" s="3" t="s">
        <v>34</v>
      </c>
      <c r="E9" s="3">
        <v>4.71</v>
      </c>
      <c r="F9" s="3">
        <v>905</v>
      </c>
      <c r="G9" s="3" t="s">
        <v>35</v>
      </c>
      <c r="H9" s="3">
        <v>45.432976490000001</v>
      </c>
      <c r="I9" s="3">
        <v>-73.939129780000002</v>
      </c>
      <c r="J9" s="3">
        <v>39.021000000000001</v>
      </c>
      <c r="K9" s="3">
        <v>0</v>
      </c>
      <c r="L9" s="3">
        <v>0</v>
      </c>
      <c r="M9" s="3">
        <v>1</v>
      </c>
      <c r="N9" s="3" t="s">
        <v>36</v>
      </c>
      <c r="O9" s="3">
        <v>0</v>
      </c>
      <c r="P9" s="3">
        <v>1</v>
      </c>
      <c r="Q9" s="3">
        <v>108</v>
      </c>
      <c r="R9" s="3">
        <v>108</v>
      </c>
      <c r="S9" s="3">
        <v>20</v>
      </c>
      <c r="T9" s="3">
        <v>137</v>
      </c>
      <c r="U9" s="3">
        <v>1.1591995600118499E-3</v>
      </c>
      <c r="V9" s="3">
        <v>0.264809235166309</v>
      </c>
      <c r="W9" s="3">
        <v>0.52959375909567896</v>
      </c>
      <c r="X9" s="3">
        <v>0.63843056761664196</v>
      </c>
      <c r="Y9" s="3">
        <v>7.0771581495513103E-2</v>
      </c>
      <c r="Z9" s="3">
        <v>4.1802877985277903E-3</v>
      </c>
      <c r="AA9" s="3">
        <v>-2.14080050473076E-2</v>
      </c>
      <c r="AB9" s="3">
        <v>1.6182787414384899E-3</v>
      </c>
      <c r="AC9" s="3">
        <v>1856.75763421754</v>
      </c>
      <c r="AD9" s="3">
        <v>1520579.50737972</v>
      </c>
      <c r="AE9" s="3">
        <v>14837.602611553</v>
      </c>
      <c r="AF9" s="3">
        <v>27082337.518993702</v>
      </c>
    </row>
    <row r="10" spans="1:32" x14ac:dyDescent="0.25">
      <c r="A10" s="3">
        <v>1532</v>
      </c>
      <c r="B10" s="4">
        <v>45447</v>
      </c>
      <c r="C10" s="3">
        <v>8</v>
      </c>
      <c r="D10" s="3" t="s">
        <v>72</v>
      </c>
      <c r="E10" s="3">
        <v>4.71</v>
      </c>
      <c r="F10" s="3">
        <v>905</v>
      </c>
      <c r="G10" s="3" t="s">
        <v>73</v>
      </c>
      <c r="H10" s="3">
        <v>45.432951600000003</v>
      </c>
      <c r="I10" s="3">
        <v>-73.939113210000002</v>
      </c>
      <c r="J10" s="3">
        <v>39.021000000000001</v>
      </c>
      <c r="K10" s="3">
        <v>0</v>
      </c>
      <c r="L10" s="3">
        <v>0</v>
      </c>
      <c r="M10" s="3">
        <v>1</v>
      </c>
      <c r="N10" s="3" t="s">
        <v>74</v>
      </c>
      <c r="O10" s="3">
        <v>1</v>
      </c>
      <c r="P10" s="3">
        <v>1</v>
      </c>
      <c r="Q10" s="3">
        <v>109</v>
      </c>
      <c r="R10" s="3">
        <v>109</v>
      </c>
      <c r="S10" s="3">
        <v>16</v>
      </c>
      <c r="T10" s="3">
        <v>290</v>
      </c>
      <c r="U10" s="3">
        <v>2.4537385668474501E-3</v>
      </c>
      <c r="V10" s="3">
        <v>0.260183241012656</v>
      </c>
      <c r="W10" s="3">
        <v>0.52034438402376204</v>
      </c>
      <c r="X10" s="3">
        <v>0.44924408889356698</v>
      </c>
      <c r="Y10" s="3">
        <v>7.1512612813989504E-2</v>
      </c>
      <c r="Z10" s="3">
        <v>4.8754349424115903E-3</v>
      </c>
      <c r="AA10" s="3">
        <v>-2.1094660013680398E-2</v>
      </c>
      <c r="AB10" s="3">
        <v>1.9594199468527499E-3</v>
      </c>
      <c r="AC10" s="3">
        <v>1940.36267948251</v>
      </c>
      <c r="AD10" s="3">
        <v>1775084.7845711301</v>
      </c>
      <c r="AE10" s="3">
        <v>15949.699745785099</v>
      </c>
      <c r="AF10" s="3">
        <v>28147605.6809089</v>
      </c>
    </row>
    <row r="11" spans="1:32" x14ac:dyDescent="0.25">
      <c r="A11" s="3">
        <v>1535</v>
      </c>
      <c r="B11" s="4">
        <v>45447</v>
      </c>
      <c r="C11" s="3">
        <v>8</v>
      </c>
      <c r="D11" s="3" t="s">
        <v>80</v>
      </c>
      <c r="E11" s="3">
        <v>4.71</v>
      </c>
      <c r="F11" s="3">
        <v>905</v>
      </c>
      <c r="G11" s="3" t="s">
        <v>35</v>
      </c>
      <c r="H11" s="3">
        <v>45.432926389999999</v>
      </c>
      <c r="I11" s="3">
        <v>-73.939096210000002</v>
      </c>
      <c r="J11" s="3">
        <v>39.021000000000001</v>
      </c>
      <c r="K11" s="3">
        <v>0</v>
      </c>
      <c r="L11" s="3">
        <v>0</v>
      </c>
      <c r="M11" s="3">
        <v>1</v>
      </c>
      <c r="N11" s="3" t="s">
        <v>81</v>
      </c>
      <c r="O11" s="3">
        <v>2</v>
      </c>
      <c r="P11" s="3">
        <v>1</v>
      </c>
      <c r="Q11" s="3">
        <v>110</v>
      </c>
      <c r="R11" s="3">
        <v>110</v>
      </c>
      <c r="S11" s="3">
        <v>5</v>
      </c>
      <c r="T11" s="3">
        <v>25</v>
      </c>
      <c r="U11" s="3">
        <v>2.1152739702846301E-4</v>
      </c>
      <c r="V11" s="3">
        <v>0.25887909206103299</v>
      </c>
      <c r="W11" s="3">
        <v>0.51773535805741699</v>
      </c>
      <c r="X11" s="3">
        <v>0.120184210526316</v>
      </c>
      <c r="Y11" s="3">
        <v>6.4247564236537102E-2</v>
      </c>
      <c r="Z11" s="3">
        <v>3.84356591843727E-3</v>
      </c>
      <c r="AA11" s="3">
        <v>-2.4110930543468599E-2</v>
      </c>
      <c r="AB11" s="3">
        <v>1.6277550220733599E-3</v>
      </c>
      <c r="AC11" s="3">
        <v>1982.18561952144</v>
      </c>
      <c r="AD11" s="3">
        <v>1707274.97818626</v>
      </c>
      <c r="AE11" s="3">
        <v>15594.6984498477</v>
      </c>
      <c r="AF11" s="3">
        <v>25744213.691337299</v>
      </c>
    </row>
    <row r="12" spans="1:32" x14ac:dyDescent="0.25">
      <c r="A12" s="3">
        <v>1548</v>
      </c>
      <c r="B12" s="4">
        <v>45447</v>
      </c>
      <c r="C12" s="3">
        <v>8</v>
      </c>
      <c r="D12" s="3" t="s">
        <v>106</v>
      </c>
      <c r="E12" s="3">
        <v>4.71</v>
      </c>
      <c r="F12" s="3">
        <v>905</v>
      </c>
      <c r="G12" s="3" t="s">
        <v>73</v>
      </c>
      <c r="H12" s="3">
        <v>45.432901870000002</v>
      </c>
      <c r="I12" s="3">
        <v>-73.939079800000002</v>
      </c>
      <c r="J12" s="3">
        <v>39.020000000000003</v>
      </c>
      <c r="K12" s="3">
        <v>0</v>
      </c>
      <c r="L12" s="3">
        <v>0</v>
      </c>
      <c r="M12" s="3">
        <v>1</v>
      </c>
      <c r="N12" s="3" t="s">
        <v>107</v>
      </c>
      <c r="O12" s="3">
        <v>3</v>
      </c>
      <c r="P12" s="3">
        <v>1</v>
      </c>
      <c r="Q12" s="3">
        <v>111</v>
      </c>
      <c r="R12" s="3">
        <v>111</v>
      </c>
      <c r="S12" s="3">
        <v>27</v>
      </c>
      <c r="T12" s="3">
        <v>211</v>
      </c>
      <c r="U12" s="3">
        <v>1.78529123092023E-3</v>
      </c>
      <c r="V12" s="3">
        <v>0.26070015912926803</v>
      </c>
      <c r="W12" s="3">
        <v>0.52137729350296802</v>
      </c>
      <c r="X12" s="3">
        <v>0.78234210526315795</v>
      </c>
      <c r="Y12" s="3">
        <v>6.8623750290797605E-2</v>
      </c>
      <c r="Z12" s="3">
        <v>4.3838064629814497E-3</v>
      </c>
      <c r="AA12" s="3">
        <v>-2.31288244687749E-2</v>
      </c>
      <c r="AB12" s="3">
        <v>1.7021533260092E-3</v>
      </c>
      <c r="AC12" s="3">
        <v>2067.3461434325</v>
      </c>
      <c r="AD12" s="3">
        <v>1661777.2177824399</v>
      </c>
      <c r="AE12" s="3">
        <v>15646.2769869079</v>
      </c>
      <c r="AF12" s="3">
        <v>26997978.135635599</v>
      </c>
    </row>
    <row r="13" spans="1:32" x14ac:dyDescent="0.25">
      <c r="A13" s="3">
        <v>1551</v>
      </c>
      <c r="B13" s="4">
        <v>45447</v>
      </c>
      <c r="C13" s="3">
        <v>8</v>
      </c>
      <c r="D13" s="3" t="s">
        <v>112</v>
      </c>
      <c r="E13" s="3">
        <v>4.71</v>
      </c>
      <c r="F13" s="3">
        <v>905</v>
      </c>
      <c r="G13" s="3" t="s">
        <v>35</v>
      </c>
      <c r="H13" s="3">
        <v>45.432876950000001</v>
      </c>
      <c r="I13" s="3">
        <v>-73.939062980000003</v>
      </c>
      <c r="J13" s="3">
        <v>39.020000000000003</v>
      </c>
      <c r="K13" s="3">
        <v>0</v>
      </c>
      <c r="L13" s="3">
        <v>0</v>
      </c>
      <c r="M13" s="3">
        <v>1</v>
      </c>
      <c r="N13" s="3" t="s">
        <v>113</v>
      </c>
      <c r="O13" s="3">
        <v>4</v>
      </c>
      <c r="P13" s="3">
        <v>1</v>
      </c>
      <c r="Q13" s="3">
        <v>112</v>
      </c>
      <c r="R13" s="3">
        <v>112</v>
      </c>
      <c r="S13" s="3">
        <v>6</v>
      </c>
      <c r="T13" s="3">
        <v>40</v>
      </c>
      <c r="U13" s="3">
        <v>3.3844097166403002E-4</v>
      </c>
      <c r="V13" s="3">
        <v>0.25623668190716697</v>
      </c>
      <c r="W13" s="3">
        <v>0.51245135026063204</v>
      </c>
      <c r="X13" s="3">
        <v>0.29531190379074002</v>
      </c>
      <c r="Y13" s="3">
        <v>6.8215957357928597E-2</v>
      </c>
      <c r="Z13" s="3">
        <v>3.9021308210683702E-3</v>
      </c>
      <c r="AA13" s="3">
        <v>-2.3961777522406202E-2</v>
      </c>
      <c r="AB13" s="3">
        <v>1.54370584566014E-3</v>
      </c>
      <c r="AC13" s="3">
        <v>2002.6371151291601</v>
      </c>
      <c r="AD13" s="3">
        <v>1561245.83515578</v>
      </c>
      <c r="AE13" s="3">
        <v>16000.848415201899</v>
      </c>
      <c r="AF13" s="3">
        <v>24905303.976851001</v>
      </c>
    </row>
    <row r="14" spans="1:32" x14ac:dyDescent="0.25">
      <c r="A14" s="3">
        <v>1564</v>
      </c>
      <c r="B14" s="4">
        <v>45447</v>
      </c>
      <c r="C14" s="3">
        <v>8</v>
      </c>
      <c r="D14" s="3" t="s">
        <v>138</v>
      </c>
      <c r="E14" s="3">
        <v>4.71</v>
      </c>
      <c r="F14" s="3">
        <v>905</v>
      </c>
      <c r="G14" s="3" t="s">
        <v>73</v>
      </c>
      <c r="H14" s="3">
        <v>45.43285247</v>
      </c>
      <c r="I14" s="3">
        <v>-73.939046630000007</v>
      </c>
      <c r="J14" s="3">
        <v>39.020000000000003</v>
      </c>
      <c r="K14" s="3">
        <v>0</v>
      </c>
      <c r="L14" s="3">
        <v>0</v>
      </c>
      <c r="M14" s="3">
        <v>1</v>
      </c>
      <c r="N14" s="3" t="s">
        <v>139</v>
      </c>
      <c r="O14" s="3">
        <v>5</v>
      </c>
      <c r="P14" s="3">
        <v>1</v>
      </c>
      <c r="Q14" s="3">
        <v>113</v>
      </c>
      <c r="R14" s="3">
        <v>113</v>
      </c>
      <c r="S14" s="3">
        <v>2</v>
      </c>
      <c r="T14" s="3">
        <v>8</v>
      </c>
      <c r="U14" s="5">
        <v>6.7688194332805903E-5</v>
      </c>
      <c r="V14" s="3">
        <v>0.26141600304923002</v>
      </c>
      <c r="W14" s="3">
        <v>0.52280834417172295</v>
      </c>
      <c r="X14" s="3">
        <v>0.11636535880634701</v>
      </c>
      <c r="Y14" s="3">
        <v>7.4621753949741701E-2</v>
      </c>
      <c r="Z14" s="3">
        <v>4.2119638236260797E-3</v>
      </c>
      <c r="AA14" s="3">
        <v>-2.2040616037695301E-2</v>
      </c>
      <c r="AB14" s="3">
        <v>1.7077658916925199E-3</v>
      </c>
      <c r="AC14" s="3">
        <v>1960.5142441343901</v>
      </c>
      <c r="AD14" s="3">
        <v>1634849.85822092</v>
      </c>
      <c r="AE14" s="3">
        <v>15136.0007391787</v>
      </c>
      <c r="AF14" s="3">
        <v>26004946.0341147</v>
      </c>
    </row>
    <row r="15" spans="1:32" x14ac:dyDescent="0.25">
      <c r="A15" s="3">
        <v>1567</v>
      </c>
      <c r="B15" s="4">
        <v>45447</v>
      </c>
      <c r="C15" s="3">
        <v>8</v>
      </c>
      <c r="D15" s="3" t="s">
        <v>144</v>
      </c>
      <c r="E15" s="3">
        <v>4.71</v>
      </c>
      <c r="F15" s="3">
        <v>905</v>
      </c>
      <c r="G15" s="3" t="s">
        <v>35</v>
      </c>
      <c r="H15" s="3">
        <v>45.432827260000003</v>
      </c>
      <c r="I15" s="3">
        <v>-73.939029640000001</v>
      </c>
      <c r="J15" s="3">
        <v>39.020000000000003</v>
      </c>
      <c r="K15" s="3">
        <v>0</v>
      </c>
      <c r="L15" s="3">
        <v>0</v>
      </c>
      <c r="M15" s="3">
        <v>1</v>
      </c>
      <c r="N15" s="3" t="s">
        <v>145</v>
      </c>
      <c r="O15" s="3">
        <v>6</v>
      </c>
      <c r="P15" s="3">
        <v>1</v>
      </c>
      <c r="Q15" s="3">
        <v>114</v>
      </c>
      <c r="R15" s="3">
        <v>114</v>
      </c>
      <c r="S15" s="3">
        <v>10</v>
      </c>
      <c r="T15" s="3">
        <v>112</v>
      </c>
      <c r="U15" s="3">
        <v>9.4765075685143002E-4</v>
      </c>
      <c r="V15" s="3">
        <v>0.25803311194124101</v>
      </c>
      <c r="W15" s="3">
        <v>0.51604375498969801</v>
      </c>
      <c r="X15" s="3">
        <v>0.41888157894736799</v>
      </c>
      <c r="Y15" s="3">
        <v>7.2767362753091105E-2</v>
      </c>
      <c r="Z15" s="3">
        <v>3.9909226557531003E-3</v>
      </c>
      <c r="AA15" s="3">
        <v>-2.3522046222051399E-2</v>
      </c>
      <c r="AB15" s="3">
        <v>1.6585619051590001E-3</v>
      </c>
      <c r="AC15" s="3">
        <v>1993.85462868167</v>
      </c>
      <c r="AD15" s="3">
        <v>1482996.5111169</v>
      </c>
      <c r="AE15" s="3">
        <v>15763.849567241799</v>
      </c>
      <c r="AF15" s="3">
        <v>25825701.790258199</v>
      </c>
    </row>
    <row r="16" spans="1:32" x14ac:dyDescent="0.25">
      <c r="A16" s="3">
        <v>1520</v>
      </c>
      <c r="B16" s="4">
        <v>45447</v>
      </c>
      <c r="C16" s="3">
        <v>8</v>
      </c>
      <c r="D16" s="3" t="s">
        <v>37</v>
      </c>
      <c r="E16" s="3">
        <v>4.71</v>
      </c>
      <c r="F16" s="3">
        <v>905</v>
      </c>
      <c r="G16" s="3" t="s">
        <v>38</v>
      </c>
      <c r="H16" s="3">
        <v>45.433003650000003</v>
      </c>
      <c r="I16" s="3">
        <v>-73.939049060000002</v>
      </c>
      <c r="J16" s="3">
        <v>39.021000000000001</v>
      </c>
      <c r="K16" s="3">
        <v>0</v>
      </c>
      <c r="L16" s="3">
        <v>0</v>
      </c>
      <c r="M16" s="3">
        <v>1</v>
      </c>
      <c r="N16" s="3" t="s">
        <v>39</v>
      </c>
      <c r="O16" s="3">
        <v>0</v>
      </c>
      <c r="P16" s="3">
        <v>2</v>
      </c>
      <c r="Q16" s="3">
        <v>201</v>
      </c>
      <c r="R16" s="3">
        <v>201</v>
      </c>
      <c r="S16" s="3">
        <v>31</v>
      </c>
      <c r="T16" s="3">
        <v>258</v>
      </c>
      <c r="U16" s="3">
        <v>2.1829812077470401E-3</v>
      </c>
      <c r="V16" s="3">
        <v>0.26346573531310602</v>
      </c>
      <c r="W16" s="3">
        <v>0.52690792153219501</v>
      </c>
      <c r="X16" s="3">
        <v>0.80629202247338805</v>
      </c>
      <c r="Y16" s="3">
        <v>7.3894698903245903E-2</v>
      </c>
      <c r="Z16" s="3">
        <v>5.1381104412756397E-3</v>
      </c>
      <c r="AA16" s="3">
        <v>-2.05452888235758E-2</v>
      </c>
      <c r="AB16" s="3">
        <v>1.63811911841198E-3</v>
      </c>
      <c r="AC16" s="3">
        <v>1857.46418810868</v>
      </c>
      <c r="AD16" s="3">
        <v>2102287.9766909699</v>
      </c>
      <c r="AE16" s="3">
        <v>15213.331446929</v>
      </c>
      <c r="AF16" s="3">
        <v>28638442.345307499</v>
      </c>
    </row>
    <row r="17" spans="1:32" x14ac:dyDescent="0.25">
      <c r="A17" s="3">
        <v>1531</v>
      </c>
      <c r="B17" s="4">
        <v>45447</v>
      </c>
      <c r="C17" s="3">
        <v>8</v>
      </c>
      <c r="D17" s="3" t="s">
        <v>69</v>
      </c>
      <c r="E17" s="3">
        <v>4.71</v>
      </c>
      <c r="F17" s="3">
        <v>905</v>
      </c>
      <c r="G17" s="3" t="s">
        <v>70</v>
      </c>
      <c r="H17" s="3">
        <v>45.432978560000002</v>
      </c>
      <c r="I17" s="3">
        <v>-73.939032299999994</v>
      </c>
      <c r="J17" s="3">
        <v>39.021000000000001</v>
      </c>
      <c r="K17" s="3">
        <v>0</v>
      </c>
      <c r="L17" s="3">
        <v>0</v>
      </c>
      <c r="M17" s="3">
        <v>1</v>
      </c>
      <c r="N17" s="3" t="s">
        <v>71</v>
      </c>
      <c r="O17" s="3">
        <v>1</v>
      </c>
      <c r="P17" s="3">
        <v>2</v>
      </c>
      <c r="Q17" s="3">
        <v>202</v>
      </c>
      <c r="R17" s="3">
        <v>202</v>
      </c>
      <c r="S17" s="3">
        <v>15</v>
      </c>
      <c r="T17" s="3">
        <v>110</v>
      </c>
      <c r="U17" s="3">
        <v>9.30728421907655E-4</v>
      </c>
      <c r="V17" s="3">
        <v>0.26098497568233697</v>
      </c>
      <c r="W17" s="3">
        <v>0.52194727320577206</v>
      </c>
      <c r="X17" s="3">
        <v>0.56507723480961003</v>
      </c>
      <c r="Y17" s="3">
        <v>7.1633853749680607E-2</v>
      </c>
      <c r="Z17" s="3">
        <v>5.1524319710339701E-3</v>
      </c>
      <c r="AA17" s="3">
        <v>-2.0909841503110801E-2</v>
      </c>
      <c r="AB17" s="3">
        <v>1.7870634458149099E-3</v>
      </c>
      <c r="AC17" s="3">
        <v>1794.24918138205</v>
      </c>
      <c r="AD17" s="3">
        <v>2098657.3828391498</v>
      </c>
      <c r="AE17" s="3">
        <v>15603.9191125898</v>
      </c>
      <c r="AF17" s="3">
        <v>28100367.2730802</v>
      </c>
    </row>
    <row r="18" spans="1:32" x14ac:dyDescent="0.25">
      <c r="A18" s="3">
        <v>1536</v>
      </c>
      <c r="B18" s="4">
        <v>45447</v>
      </c>
      <c r="C18" s="3">
        <v>8</v>
      </c>
      <c r="D18" s="3" t="s">
        <v>82</v>
      </c>
      <c r="E18" s="3">
        <v>4.71</v>
      </c>
      <c r="F18" s="3">
        <v>905</v>
      </c>
      <c r="G18" s="3" t="s">
        <v>38</v>
      </c>
      <c r="H18" s="3">
        <v>45.432953769999997</v>
      </c>
      <c r="I18" s="3">
        <v>-73.939015569999995</v>
      </c>
      <c r="J18" s="3">
        <v>39.021000000000001</v>
      </c>
      <c r="K18" s="3">
        <v>0</v>
      </c>
      <c r="L18" s="3">
        <v>0</v>
      </c>
      <c r="M18" s="3">
        <v>1</v>
      </c>
      <c r="N18" s="3" t="s">
        <v>83</v>
      </c>
      <c r="O18" s="3">
        <v>2</v>
      </c>
      <c r="P18" s="3">
        <v>2</v>
      </c>
      <c r="Q18" s="3">
        <v>203</v>
      </c>
      <c r="R18" s="3">
        <v>203</v>
      </c>
      <c r="S18" s="3">
        <v>39</v>
      </c>
      <c r="T18" s="3">
        <v>419</v>
      </c>
      <c r="U18" s="3">
        <v>3.5451991741970398E-3</v>
      </c>
      <c r="V18" s="3">
        <v>0.26294092219894299</v>
      </c>
      <c r="W18" s="3">
        <v>0.52585876022130595</v>
      </c>
      <c r="X18" s="3">
        <v>0.88596052631578903</v>
      </c>
      <c r="Y18" s="3">
        <v>6.7807868172955005E-2</v>
      </c>
      <c r="Z18" s="3">
        <v>4.8486867554281103E-3</v>
      </c>
      <c r="AA18" s="3">
        <v>-2.3802059550538799E-2</v>
      </c>
      <c r="AB18" s="3">
        <v>1.6339464017082199E-3</v>
      </c>
      <c r="AC18" s="3">
        <v>2094.4889413476799</v>
      </c>
      <c r="AD18" s="3">
        <v>2043668.2132411599</v>
      </c>
      <c r="AE18" s="3">
        <v>15642.7912232488</v>
      </c>
      <c r="AF18" s="3">
        <v>26381792.420252401</v>
      </c>
    </row>
    <row r="19" spans="1:32" x14ac:dyDescent="0.25">
      <c r="A19" s="3">
        <v>1547</v>
      </c>
      <c r="B19" s="4">
        <v>45447</v>
      </c>
      <c r="C19" s="3">
        <v>8</v>
      </c>
      <c r="D19" s="3" t="s">
        <v>104</v>
      </c>
      <c r="E19" s="3">
        <v>4.71</v>
      </c>
      <c r="F19" s="3">
        <v>905</v>
      </c>
      <c r="G19" s="3" t="s">
        <v>70</v>
      </c>
      <c r="H19" s="3">
        <v>45.432928949999997</v>
      </c>
      <c r="I19" s="3">
        <v>-73.938999030000005</v>
      </c>
      <c r="J19" s="3">
        <v>39.020000000000003</v>
      </c>
      <c r="K19" s="3">
        <v>0</v>
      </c>
      <c r="L19" s="3">
        <v>0</v>
      </c>
      <c r="M19" s="3">
        <v>1</v>
      </c>
      <c r="N19" s="3" t="s">
        <v>105</v>
      </c>
      <c r="O19" s="3">
        <v>3</v>
      </c>
      <c r="P19" s="3">
        <v>2</v>
      </c>
      <c r="Q19" s="3">
        <v>204</v>
      </c>
      <c r="R19" s="3">
        <v>204</v>
      </c>
      <c r="S19" s="3">
        <v>15</v>
      </c>
      <c r="T19" s="3">
        <v>164</v>
      </c>
      <c r="U19" s="3">
        <v>1.3876432064711601E-3</v>
      </c>
      <c r="V19" s="3">
        <v>0.264004091181681</v>
      </c>
      <c r="W19" s="3">
        <v>0.527984968350105</v>
      </c>
      <c r="X19" s="3">
        <v>0.60477355859056303</v>
      </c>
      <c r="Y19" s="3">
        <v>7.2860334004849106E-2</v>
      </c>
      <c r="Z19" s="3">
        <v>5.4289489818973103E-3</v>
      </c>
      <c r="AA19" s="3">
        <v>-1.9392766348366501E-2</v>
      </c>
      <c r="AB19" s="3">
        <v>1.7425163653108199E-3</v>
      </c>
      <c r="AC19" s="3">
        <v>1786.2483627502399</v>
      </c>
      <c r="AD19" s="3">
        <v>2071426.24602582</v>
      </c>
      <c r="AE19" s="3">
        <v>15465.0744309041</v>
      </c>
      <c r="AF19" s="3">
        <v>30435550.529599398</v>
      </c>
    </row>
    <row r="20" spans="1:32" x14ac:dyDescent="0.25">
      <c r="A20" s="3">
        <v>1552</v>
      </c>
      <c r="B20" s="4">
        <v>45447</v>
      </c>
      <c r="C20" s="3">
        <v>8</v>
      </c>
      <c r="D20" s="3" t="s">
        <v>114</v>
      </c>
      <c r="E20" s="3">
        <v>4.71</v>
      </c>
      <c r="F20" s="3">
        <v>905</v>
      </c>
      <c r="G20" s="3" t="s">
        <v>38</v>
      </c>
      <c r="H20" s="3">
        <v>45.43290416</v>
      </c>
      <c r="I20" s="3">
        <v>-73.938982359999997</v>
      </c>
      <c r="J20" s="3">
        <v>39.020000000000003</v>
      </c>
      <c r="K20" s="3">
        <v>0</v>
      </c>
      <c r="L20" s="3">
        <v>0</v>
      </c>
      <c r="M20" s="3">
        <v>1</v>
      </c>
      <c r="N20" s="3" t="s">
        <v>115</v>
      </c>
      <c r="O20" s="3">
        <v>4</v>
      </c>
      <c r="P20" s="3">
        <v>2</v>
      </c>
      <c r="Q20" s="3">
        <v>205</v>
      </c>
      <c r="R20" s="3">
        <v>205</v>
      </c>
      <c r="S20" s="3">
        <v>19</v>
      </c>
      <c r="T20" s="3">
        <v>133</v>
      </c>
      <c r="U20" s="3">
        <v>1.12532575219142E-3</v>
      </c>
      <c r="V20" s="3">
        <v>0.265710942397269</v>
      </c>
      <c r="W20" s="3">
        <v>0.531398157041441</v>
      </c>
      <c r="X20" s="3">
        <v>0.55746786141922899</v>
      </c>
      <c r="Y20" s="3">
        <v>7.48938856845104E-2</v>
      </c>
      <c r="Z20" s="3">
        <v>5.0772154512149104E-3</v>
      </c>
      <c r="AA20" s="3">
        <v>-1.8257209022156301E-2</v>
      </c>
      <c r="AB20" s="3">
        <v>1.6935872259065999E-3</v>
      </c>
      <c r="AC20" s="3">
        <v>1911.0176413849099</v>
      </c>
      <c r="AD20" s="3">
        <v>2205274.4818104901</v>
      </c>
      <c r="AE20" s="3">
        <v>15368.1878486932</v>
      </c>
      <c r="AF20" s="3">
        <v>28102860.933340002</v>
      </c>
    </row>
    <row r="21" spans="1:32" x14ac:dyDescent="0.25">
      <c r="A21" s="3">
        <v>1563</v>
      </c>
      <c r="B21" s="4">
        <v>45447</v>
      </c>
      <c r="C21" s="3">
        <v>8</v>
      </c>
      <c r="D21" s="3" t="s">
        <v>136</v>
      </c>
      <c r="E21" s="3">
        <v>4.71</v>
      </c>
      <c r="F21" s="3">
        <v>905</v>
      </c>
      <c r="G21" s="3" t="s">
        <v>70</v>
      </c>
      <c r="H21" s="3">
        <v>45.432879380000003</v>
      </c>
      <c r="I21" s="3">
        <v>-73.938965809999999</v>
      </c>
      <c r="J21" s="3">
        <v>39.020000000000003</v>
      </c>
      <c r="K21" s="3">
        <v>0</v>
      </c>
      <c r="L21" s="3">
        <v>0</v>
      </c>
      <c r="M21" s="3">
        <v>1</v>
      </c>
      <c r="N21" s="3" t="s">
        <v>137</v>
      </c>
      <c r="O21" s="3">
        <v>5</v>
      </c>
      <c r="P21" s="3">
        <v>2</v>
      </c>
      <c r="Q21" s="3">
        <v>206</v>
      </c>
      <c r="R21" s="3">
        <v>206</v>
      </c>
      <c r="S21" s="3">
        <v>28</v>
      </c>
      <c r="T21" s="3">
        <v>308</v>
      </c>
      <c r="U21" s="3">
        <v>2.6059734326085099E-3</v>
      </c>
      <c r="V21" s="3">
        <v>0.26301717974446598</v>
      </c>
      <c r="W21" s="3">
        <v>0.52601214038087596</v>
      </c>
      <c r="X21" s="3">
        <v>0.82018421052631596</v>
      </c>
      <c r="Y21" s="3">
        <v>7.7383006520546097E-2</v>
      </c>
      <c r="Z21" s="3">
        <v>4.8332305854425503E-3</v>
      </c>
      <c r="AA21" s="3">
        <v>-1.83658366602821E-2</v>
      </c>
      <c r="AB21" s="3">
        <v>1.68910620812773E-3</v>
      </c>
      <c r="AC21" s="3">
        <v>1899.5871901176099</v>
      </c>
      <c r="AD21" s="3">
        <v>2345649.5875539901</v>
      </c>
      <c r="AE21" s="3">
        <v>15873.9935213755</v>
      </c>
      <c r="AF21" s="3">
        <v>27711996.983398501</v>
      </c>
    </row>
    <row r="22" spans="1:32" x14ac:dyDescent="0.25">
      <c r="A22" s="3">
        <v>1568</v>
      </c>
      <c r="B22" s="4">
        <v>45447</v>
      </c>
      <c r="C22" s="3">
        <v>8</v>
      </c>
      <c r="D22" s="3" t="s">
        <v>146</v>
      </c>
      <c r="E22" s="3">
        <v>4.71</v>
      </c>
      <c r="F22" s="3">
        <v>905</v>
      </c>
      <c r="G22" s="3" t="s">
        <v>38</v>
      </c>
      <c r="H22" s="3">
        <v>45.432854650000003</v>
      </c>
      <c r="I22" s="3">
        <v>-73.938949129999997</v>
      </c>
      <c r="J22" s="3">
        <v>39.020000000000003</v>
      </c>
      <c r="K22" s="3">
        <v>0</v>
      </c>
      <c r="L22" s="3">
        <v>0</v>
      </c>
      <c r="M22" s="3">
        <v>1</v>
      </c>
      <c r="N22" s="3" t="s">
        <v>147</v>
      </c>
      <c r="O22" s="3">
        <v>6</v>
      </c>
      <c r="P22" s="3">
        <v>2</v>
      </c>
      <c r="Q22" s="3">
        <v>207</v>
      </c>
      <c r="R22" s="3">
        <v>207</v>
      </c>
      <c r="S22" s="3">
        <v>13</v>
      </c>
      <c r="T22" s="3">
        <v>160</v>
      </c>
      <c r="U22" s="3">
        <v>1.3537638866561201E-3</v>
      </c>
      <c r="V22" s="3">
        <v>0.26341987220977697</v>
      </c>
      <c r="W22" s="3">
        <v>0.52681733124063101</v>
      </c>
      <c r="X22" s="3">
        <v>0.45346052631578898</v>
      </c>
      <c r="Y22" s="3">
        <v>7.7784657702257495E-2</v>
      </c>
      <c r="Z22" s="3">
        <v>4.8034519706770598E-3</v>
      </c>
      <c r="AA22" s="3">
        <v>-1.90292031346612E-2</v>
      </c>
      <c r="AB22" s="3">
        <v>1.47215326529716E-3</v>
      </c>
      <c r="AC22" s="3">
        <v>1894.50449703441</v>
      </c>
      <c r="AD22" s="3">
        <v>1930141.1227514001</v>
      </c>
      <c r="AE22" s="3">
        <v>15849.014885332799</v>
      </c>
      <c r="AF22" s="3">
        <v>28399520.674255099</v>
      </c>
    </row>
    <row r="23" spans="1:32" x14ac:dyDescent="0.25">
      <c r="A23" s="3">
        <v>1521</v>
      </c>
      <c r="B23" s="4">
        <v>45447</v>
      </c>
      <c r="C23" s="3">
        <v>8</v>
      </c>
      <c r="D23" s="3" t="s">
        <v>40</v>
      </c>
      <c r="E23" s="3">
        <v>4.71</v>
      </c>
      <c r="F23" s="3">
        <v>905</v>
      </c>
      <c r="G23" s="3" t="s">
        <v>41</v>
      </c>
      <c r="H23" s="3">
        <v>45.43303015</v>
      </c>
      <c r="I23" s="3">
        <v>-73.938967959999999</v>
      </c>
      <c r="J23" s="3">
        <v>39.021000000000001</v>
      </c>
      <c r="K23" s="3">
        <v>0</v>
      </c>
      <c r="L23" s="3">
        <v>0</v>
      </c>
      <c r="M23" s="3">
        <v>1</v>
      </c>
      <c r="N23" s="3" t="s">
        <v>42</v>
      </c>
      <c r="O23" s="3">
        <v>0</v>
      </c>
      <c r="P23" s="3">
        <v>3</v>
      </c>
      <c r="Q23" s="3">
        <v>208</v>
      </c>
      <c r="R23" s="3">
        <v>208</v>
      </c>
      <c r="S23" s="3">
        <v>14</v>
      </c>
      <c r="T23" s="3">
        <v>202</v>
      </c>
      <c r="U23" s="3">
        <v>1.70914136798998E-3</v>
      </c>
      <c r="V23" s="3">
        <v>0.26275771631044798</v>
      </c>
      <c r="W23" s="3">
        <v>0.52549234091988595</v>
      </c>
      <c r="X23" s="3">
        <v>0.63687680101054001</v>
      </c>
      <c r="Y23" s="3">
        <v>7.7829553769083099E-2</v>
      </c>
      <c r="Z23" s="3">
        <v>4.6575036441125197E-3</v>
      </c>
      <c r="AA23" s="3">
        <v>-2.0929345415887701E-2</v>
      </c>
      <c r="AB23" s="3">
        <v>1.4518377176282299E-3</v>
      </c>
      <c r="AC23" s="3">
        <v>1947.1608200494099</v>
      </c>
      <c r="AD23" s="3">
        <v>1998912.62338219</v>
      </c>
      <c r="AE23" s="3">
        <v>15243.7251537137</v>
      </c>
      <c r="AF23" s="3">
        <v>25793973.972444698</v>
      </c>
    </row>
    <row r="24" spans="1:32" x14ac:dyDescent="0.25">
      <c r="A24" s="3">
        <v>1530</v>
      </c>
      <c r="B24" s="4">
        <v>45447</v>
      </c>
      <c r="C24" s="3">
        <v>8</v>
      </c>
      <c r="D24" s="3" t="s">
        <v>66</v>
      </c>
      <c r="E24" s="3">
        <v>4.71</v>
      </c>
      <c r="F24" s="3">
        <v>905</v>
      </c>
      <c r="G24" s="3" t="s">
        <v>67</v>
      </c>
      <c r="H24" s="3">
        <v>45.433005639999998</v>
      </c>
      <c r="I24" s="3">
        <v>-73.938951599999996</v>
      </c>
      <c r="J24" s="3">
        <v>39.021000000000001</v>
      </c>
      <c r="K24" s="3">
        <v>0</v>
      </c>
      <c r="L24" s="3">
        <v>0</v>
      </c>
      <c r="M24" s="3">
        <v>1</v>
      </c>
      <c r="N24" s="3" t="s">
        <v>68</v>
      </c>
      <c r="O24" s="3">
        <v>1</v>
      </c>
      <c r="P24" s="3">
        <v>3</v>
      </c>
      <c r="Q24" s="3">
        <v>209</v>
      </c>
      <c r="R24" s="3">
        <v>209</v>
      </c>
      <c r="S24" s="3">
        <v>7</v>
      </c>
      <c r="T24" s="3">
        <v>91</v>
      </c>
      <c r="U24" s="3">
        <v>7.69966239941787E-4</v>
      </c>
      <c r="V24" s="3">
        <v>0.26555681482536903</v>
      </c>
      <c r="W24" s="3">
        <v>0.53109074049542104</v>
      </c>
      <c r="X24" s="3">
        <v>0.32042999434218</v>
      </c>
      <c r="Y24" s="3">
        <v>8.3458099072953096E-2</v>
      </c>
      <c r="Z24" s="3">
        <v>5.2207989161194603E-3</v>
      </c>
      <c r="AA24" s="3">
        <v>-1.79224063741691E-2</v>
      </c>
      <c r="AB24" s="3">
        <v>1.62583687606189E-3</v>
      </c>
      <c r="AC24" s="3">
        <v>1758.2555780246601</v>
      </c>
      <c r="AD24" s="3">
        <v>2141777.6948057902</v>
      </c>
      <c r="AE24" s="3">
        <v>15519.6881075933</v>
      </c>
      <c r="AF24" s="3">
        <v>27939502.430007</v>
      </c>
    </row>
    <row r="25" spans="1:32" x14ac:dyDescent="0.25">
      <c r="A25" s="3">
        <v>1537</v>
      </c>
      <c r="B25" s="4">
        <v>45447</v>
      </c>
      <c r="C25" s="3">
        <v>8</v>
      </c>
      <c r="D25" s="3" t="s">
        <v>84</v>
      </c>
      <c r="E25" s="3">
        <v>4.71</v>
      </c>
      <c r="F25" s="3">
        <v>905</v>
      </c>
      <c r="G25" s="3" t="s">
        <v>41</v>
      </c>
      <c r="H25" s="3">
        <v>45.432980710000002</v>
      </c>
      <c r="I25" s="3">
        <v>-73.938934779999997</v>
      </c>
      <c r="J25" s="3">
        <v>39.020000000000003</v>
      </c>
      <c r="K25" s="3">
        <v>0</v>
      </c>
      <c r="L25" s="3">
        <v>0</v>
      </c>
      <c r="M25" s="3">
        <v>1</v>
      </c>
      <c r="N25" s="3" t="s">
        <v>85</v>
      </c>
      <c r="O25" s="3">
        <v>2</v>
      </c>
      <c r="P25" s="3">
        <v>3</v>
      </c>
      <c r="Q25" s="3">
        <v>210</v>
      </c>
      <c r="R25" s="3">
        <v>210</v>
      </c>
      <c r="S25" s="3">
        <v>18</v>
      </c>
      <c r="T25" s="3">
        <v>450</v>
      </c>
      <c r="U25" s="3">
        <v>3.8074609312203299E-3</v>
      </c>
      <c r="V25" s="3">
        <v>0.266000716300412</v>
      </c>
      <c r="W25" s="3">
        <v>0.53197709931514003</v>
      </c>
      <c r="X25" s="3">
        <v>0.55507894736842101</v>
      </c>
      <c r="Y25" s="3">
        <v>7.6558653516940398E-2</v>
      </c>
      <c r="Z25" s="3">
        <v>5.1301785397889002E-3</v>
      </c>
      <c r="AA25" s="3">
        <v>-2.1134021159722401E-2</v>
      </c>
      <c r="AB25" s="3">
        <v>1.5802317991494E-3</v>
      </c>
      <c r="AC25" s="3">
        <v>2005.1356302193899</v>
      </c>
      <c r="AD25" s="3">
        <v>2649726.4050956201</v>
      </c>
      <c r="AE25" s="3">
        <v>15050.247589344401</v>
      </c>
      <c r="AF25" s="3">
        <v>28728276.318226099</v>
      </c>
    </row>
    <row r="26" spans="1:32" x14ac:dyDescent="0.25">
      <c r="A26" s="3">
        <v>1546</v>
      </c>
      <c r="B26" s="4">
        <v>45447</v>
      </c>
      <c r="C26" s="3">
        <v>8</v>
      </c>
      <c r="D26" s="3" t="s">
        <v>102</v>
      </c>
      <c r="E26" s="3">
        <v>4.71</v>
      </c>
      <c r="F26" s="3">
        <v>905</v>
      </c>
      <c r="G26" s="3" t="s">
        <v>67</v>
      </c>
      <c r="H26" s="3">
        <v>45.432955980000003</v>
      </c>
      <c r="I26" s="3">
        <v>-73.938918240000007</v>
      </c>
      <c r="J26" s="3">
        <v>39.020000000000003</v>
      </c>
      <c r="K26" s="3">
        <v>0</v>
      </c>
      <c r="L26" s="3">
        <v>0</v>
      </c>
      <c r="M26" s="3">
        <v>1</v>
      </c>
      <c r="N26" s="3" t="s">
        <v>103</v>
      </c>
      <c r="O26" s="3">
        <v>3</v>
      </c>
      <c r="P26" s="3">
        <v>3</v>
      </c>
      <c r="Q26" s="3">
        <v>211</v>
      </c>
      <c r="R26" s="3">
        <v>211</v>
      </c>
      <c r="S26" s="3">
        <v>23</v>
      </c>
      <c r="T26" s="3">
        <v>303</v>
      </c>
      <c r="U26" s="3">
        <v>2.5637554363460999E-3</v>
      </c>
      <c r="V26" s="3">
        <v>0.26498380162218299</v>
      </c>
      <c r="W26" s="3">
        <v>0.52994432001706404</v>
      </c>
      <c r="X26" s="3">
        <v>0.62328127261483401</v>
      </c>
      <c r="Y26" s="3">
        <v>7.7964491604412905E-2</v>
      </c>
      <c r="Z26" s="3">
        <v>5.3118130924945002E-3</v>
      </c>
      <c r="AA26" s="3">
        <v>-2.0302117164596501E-2</v>
      </c>
      <c r="AB26" s="3">
        <v>1.54734576645031E-3</v>
      </c>
      <c r="AC26" s="3">
        <v>1879.6066369959201</v>
      </c>
      <c r="AD26" s="3">
        <v>2085999.0509413499</v>
      </c>
      <c r="AE26" s="3">
        <v>15593.476499108399</v>
      </c>
      <c r="AF26" s="3">
        <v>27198193.873425201</v>
      </c>
    </row>
    <row r="27" spans="1:32" x14ac:dyDescent="0.25">
      <c r="A27" s="3">
        <v>1553</v>
      </c>
      <c r="B27" s="4">
        <v>45447</v>
      </c>
      <c r="C27" s="3">
        <v>8</v>
      </c>
      <c r="D27" s="3" t="s">
        <v>116</v>
      </c>
      <c r="E27" s="3">
        <v>4.71</v>
      </c>
      <c r="F27" s="3">
        <v>905</v>
      </c>
      <c r="G27" s="3" t="s">
        <v>41</v>
      </c>
      <c r="H27" s="3">
        <v>45.43293104</v>
      </c>
      <c r="I27" s="3">
        <v>-73.938901340000001</v>
      </c>
      <c r="J27" s="3">
        <v>39.020000000000003</v>
      </c>
      <c r="K27" s="3">
        <v>0</v>
      </c>
      <c r="L27" s="3">
        <v>0</v>
      </c>
      <c r="M27" s="3">
        <v>1</v>
      </c>
      <c r="N27" s="3" t="s">
        <v>117</v>
      </c>
      <c r="O27" s="3">
        <v>4</v>
      </c>
      <c r="P27" s="3">
        <v>3</v>
      </c>
      <c r="Q27" s="3">
        <v>212</v>
      </c>
      <c r="R27" s="3">
        <v>212</v>
      </c>
      <c r="S27" s="3">
        <v>11</v>
      </c>
      <c r="T27" s="3">
        <v>129</v>
      </c>
      <c r="U27" s="3">
        <v>1.0914813686668701E-3</v>
      </c>
      <c r="V27" s="3">
        <v>0.26186882782097098</v>
      </c>
      <c r="W27" s="3">
        <v>0.52371493503530897</v>
      </c>
      <c r="X27" s="3">
        <v>0.49998026289819603</v>
      </c>
      <c r="Y27" s="3">
        <v>7.9469701782937996E-2</v>
      </c>
      <c r="Z27" s="3">
        <v>4.6803987276918899E-3</v>
      </c>
      <c r="AA27" s="3">
        <v>-1.9669203796678698E-2</v>
      </c>
      <c r="AB27" s="3">
        <v>1.5194307481287E-3</v>
      </c>
      <c r="AC27" s="3">
        <v>2034.55658780925</v>
      </c>
      <c r="AD27" s="3">
        <v>2377232.65441956</v>
      </c>
      <c r="AE27" s="3">
        <v>15788.4172463758</v>
      </c>
      <c r="AF27" s="3">
        <v>25890323.2370371</v>
      </c>
    </row>
    <row r="28" spans="1:32" x14ac:dyDescent="0.25">
      <c r="A28" s="3">
        <v>1562</v>
      </c>
      <c r="B28" s="4">
        <v>45447</v>
      </c>
      <c r="C28" s="3">
        <v>8</v>
      </c>
      <c r="D28" s="3" t="s">
        <v>134</v>
      </c>
      <c r="E28" s="3">
        <v>4.71</v>
      </c>
      <c r="F28" s="3">
        <v>905</v>
      </c>
      <c r="G28" s="3" t="s">
        <v>67</v>
      </c>
      <c r="H28" s="3">
        <v>45.432906359999997</v>
      </c>
      <c r="I28" s="3">
        <v>-73.938884970000004</v>
      </c>
      <c r="J28" s="3">
        <v>39.020000000000003</v>
      </c>
      <c r="K28" s="3">
        <v>0</v>
      </c>
      <c r="L28" s="3">
        <v>0</v>
      </c>
      <c r="M28" s="3">
        <v>1</v>
      </c>
      <c r="N28" s="3" t="s">
        <v>135</v>
      </c>
      <c r="O28" s="3">
        <v>5</v>
      </c>
      <c r="P28" s="3">
        <v>3</v>
      </c>
      <c r="Q28" s="3">
        <v>213</v>
      </c>
      <c r="R28" s="3">
        <v>213</v>
      </c>
      <c r="S28" s="3">
        <v>4</v>
      </c>
      <c r="T28" s="3">
        <v>59</v>
      </c>
      <c r="U28" s="3">
        <v>4.9921310476706198E-4</v>
      </c>
      <c r="V28" s="3">
        <v>0.25947093406671401</v>
      </c>
      <c r="W28" s="3">
        <v>0.51891927037061103</v>
      </c>
      <c r="X28" s="3">
        <v>0.21443703206621101</v>
      </c>
      <c r="Y28" s="3">
        <v>7.9228138540161697E-2</v>
      </c>
      <c r="Z28" s="3">
        <v>4.9482174911616699E-3</v>
      </c>
      <c r="AA28" s="3">
        <v>-2.11743619998188E-2</v>
      </c>
      <c r="AB28" s="3">
        <v>1.58759567948516E-3</v>
      </c>
      <c r="AC28" s="3">
        <v>1975.2118948098801</v>
      </c>
      <c r="AD28" s="3">
        <v>2317319.8109972598</v>
      </c>
      <c r="AE28" s="3">
        <v>15745.939379307099</v>
      </c>
      <c r="AF28" s="3">
        <v>26100456.669702802</v>
      </c>
    </row>
    <row r="29" spans="1:32" x14ac:dyDescent="0.25">
      <c r="A29" s="3">
        <v>1569</v>
      </c>
      <c r="B29" s="4">
        <v>45447</v>
      </c>
      <c r="C29" s="3">
        <v>8</v>
      </c>
      <c r="D29" s="3" t="s">
        <v>148</v>
      </c>
      <c r="E29" s="3">
        <v>4.71</v>
      </c>
      <c r="F29" s="3">
        <v>905</v>
      </c>
      <c r="G29" s="3" t="s">
        <v>41</v>
      </c>
      <c r="H29" s="3">
        <v>45.432881389999999</v>
      </c>
      <c r="I29" s="3">
        <v>-73.938868040000003</v>
      </c>
      <c r="J29" s="3">
        <v>39.020000000000003</v>
      </c>
      <c r="K29" s="3">
        <v>0</v>
      </c>
      <c r="L29" s="3">
        <v>0</v>
      </c>
      <c r="M29" s="3">
        <v>1</v>
      </c>
      <c r="N29" s="3" t="s">
        <v>149</v>
      </c>
      <c r="O29" s="3">
        <v>6</v>
      </c>
      <c r="P29" s="3">
        <v>3</v>
      </c>
      <c r="Q29" s="3">
        <v>214</v>
      </c>
      <c r="R29" s="3">
        <v>214</v>
      </c>
      <c r="S29" s="3">
        <v>15</v>
      </c>
      <c r="T29" s="3">
        <v>378</v>
      </c>
      <c r="U29" s="3">
        <v>3.1982942430703598E-3</v>
      </c>
      <c r="V29" s="3">
        <v>0.26427001006746997</v>
      </c>
      <c r="W29" s="3">
        <v>0.52851677521126705</v>
      </c>
      <c r="X29" s="3">
        <v>0.55372368421052598</v>
      </c>
      <c r="Y29" s="3">
        <v>8.0682898450916904E-2</v>
      </c>
      <c r="Z29" s="3">
        <v>5.0975797333402103E-3</v>
      </c>
      <c r="AA29" s="3">
        <v>-2.1036590945617099E-2</v>
      </c>
      <c r="AB29" s="3">
        <v>1.6048452828773499E-3</v>
      </c>
      <c r="AC29" s="3">
        <v>1941.4568653332001</v>
      </c>
      <c r="AD29" s="3">
        <v>2567612.2933723899</v>
      </c>
      <c r="AE29" s="3">
        <v>15398.4810698736</v>
      </c>
      <c r="AF29" s="3">
        <v>27181221.872593399</v>
      </c>
    </row>
    <row r="30" spans="1:32" x14ac:dyDescent="0.25">
      <c r="A30" s="3">
        <v>1522</v>
      </c>
      <c r="B30" s="4">
        <v>45447</v>
      </c>
      <c r="C30" s="3">
        <v>8</v>
      </c>
      <c r="D30" s="3" t="s">
        <v>43</v>
      </c>
      <c r="E30" s="3">
        <v>4.71</v>
      </c>
      <c r="F30" s="3">
        <v>905</v>
      </c>
      <c r="G30" s="3" t="s">
        <v>44</v>
      </c>
      <c r="H30" s="3">
        <v>45.433057239999997</v>
      </c>
      <c r="I30" s="3">
        <v>-73.938887170000001</v>
      </c>
      <c r="J30" s="3">
        <v>39.021000000000001</v>
      </c>
      <c r="K30" s="3">
        <v>0</v>
      </c>
      <c r="L30" s="3">
        <v>0</v>
      </c>
      <c r="M30" s="3">
        <v>1</v>
      </c>
      <c r="N30" s="3" t="s">
        <v>45</v>
      </c>
      <c r="O30" s="3">
        <v>0</v>
      </c>
      <c r="P30" s="3">
        <v>4</v>
      </c>
      <c r="Q30" s="3">
        <v>301</v>
      </c>
      <c r="R30" s="3">
        <v>301</v>
      </c>
      <c r="S30" s="3">
        <v>14</v>
      </c>
      <c r="T30" s="3">
        <v>186</v>
      </c>
      <c r="U30" s="3">
        <v>1.5738037822058599E-3</v>
      </c>
      <c r="V30" s="3">
        <v>0.26379163083486801</v>
      </c>
      <c r="W30" s="3">
        <v>0.52755938293608895</v>
      </c>
      <c r="X30" s="3">
        <v>0.52256578947368404</v>
      </c>
      <c r="Y30" s="3">
        <v>7.7095985999998298E-2</v>
      </c>
      <c r="Z30" s="3">
        <v>3.96830635495048E-3</v>
      </c>
      <c r="AA30" s="3">
        <v>-1.9564081497882E-2</v>
      </c>
      <c r="AB30" s="3">
        <v>1.75154396355247E-3</v>
      </c>
      <c r="AC30" s="3">
        <v>1942.8557938824699</v>
      </c>
      <c r="AD30" s="3">
        <v>2019923.3407902201</v>
      </c>
      <c r="AE30" s="3">
        <v>14951.959405371599</v>
      </c>
      <c r="AF30" s="3">
        <v>25485303.931905199</v>
      </c>
    </row>
    <row r="31" spans="1:32" x14ac:dyDescent="0.25">
      <c r="A31" s="3">
        <v>1529</v>
      </c>
      <c r="B31" s="4">
        <v>45447</v>
      </c>
      <c r="C31" s="3">
        <v>8</v>
      </c>
      <c r="D31" s="3" t="s">
        <v>63</v>
      </c>
      <c r="E31" s="3">
        <v>4.71</v>
      </c>
      <c r="F31" s="3">
        <v>905</v>
      </c>
      <c r="G31" s="3" t="s">
        <v>64</v>
      </c>
      <c r="H31" s="3">
        <v>45.433032410000003</v>
      </c>
      <c r="I31" s="3">
        <v>-73.938870609999995</v>
      </c>
      <c r="J31" s="3">
        <v>39.021000000000001</v>
      </c>
      <c r="K31" s="3">
        <v>0</v>
      </c>
      <c r="L31" s="3">
        <v>0</v>
      </c>
      <c r="M31" s="3">
        <v>1</v>
      </c>
      <c r="N31" s="3" t="s">
        <v>65</v>
      </c>
      <c r="O31" s="3">
        <v>1</v>
      </c>
      <c r="P31" s="3">
        <v>4</v>
      </c>
      <c r="Q31" s="3">
        <v>302</v>
      </c>
      <c r="R31" s="3">
        <v>302</v>
      </c>
      <c r="S31" s="3">
        <v>3</v>
      </c>
      <c r="T31" s="3">
        <v>48</v>
      </c>
      <c r="U31" s="3">
        <v>4.0613260229464902E-4</v>
      </c>
      <c r="V31" s="3">
        <v>0.26152319020085202</v>
      </c>
      <c r="W31" s="3">
        <v>0.52302272879001399</v>
      </c>
      <c r="X31" s="3">
        <v>0.174510861699188</v>
      </c>
      <c r="Y31" s="3">
        <v>7.50136399103319E-2</v>
      </c>
      <c r="Z31" s="3">
        <v>4.0347042829457901E-3</v>
      </c>
      <c r="AA31" s="3">
        <v>-2.0424337471326302E-2</v>
      </c>
      <c r="AB31" s="3">
        <v>1.7359909724529699E-3</v>
      </c>
      <c r="AC31" s="3">
        <v>1961.1002724472901</v>
      </c>
      <c r="AD31" s="3">
        <v>1698246.2872260399</v>
      </c>
      <c r="AE31" s="3">
        <v>15100.2228058113</v>
      </c>
      <c r="AF31" s="3">
        <v>26390636.560317598</v>
      </c>
    </row>
    <row r="32" spans="1:32" x14ac:dyDescent="0.25">
      <c r="A32" s="3">
        <v>1538</v>
      </c>
      <c r="B32" s="4">
        <v>45447</v>
      </c>
      <c r="C32" s="3">
        <v>8</v>
      </c>
      <c r="D32" s="3" t="s">
        <v>86</v>
      </c>
      <c r="E32" s="3">
        <v>4.71</v>
      </c>
      <c r="F32" s="3">
        <v>905</v>
      </c>
      <c r="G32" s="3" t="s">
        <v>44</v>
      </c>
      <c r="H32" s="3">
        <v>45.433007439999997</v>
      </c>
      <c r="I32" s="3">
        <v>-73.938853750000007</v>
      </c>
      <c r="J32" s="3">
        <v>39.020000000000003</v>
      </c>
      <c r="K32" s="3">
        <v>0</v>
      </c>
      <c r="L32" s="3">
        <v>0</v>
      </c>
      <c r="M32" s="3">
        <v>1</v>
      </c>
      <c r="N32" s="3" t="s">
        <v>87</v>
      </c>
      <c r="O32" s="3">
        <v>2</v>
      </c>
      <c r="P32" s="3">
        <v>4</v>
      </c>
      <c r="Q32" s="3">
        <v>303</v>
      </c>
      <c r="R32" s="3">
        <v>303</v>
      </c>
      <c r="S32" s="3">
        <v>3</v>
      </c>
      <c r="T32" s="3">
        <v>37</v>
      </c>
      <c r="U32" s="3">
        <v>3.1306319645984799E-4</v>
      </c>
      <c r="V32" s="3">
        <v>0.258113321941146</v>
      </c>
      <c r="W32" s="3">
        <v>0.51620396843471705</v>
      </c>
      <c r="X32" s="3">
        <v>0.17824765463612299</v>
      </c>
      <c r="Y32" s="3">
        <v>7.0590521802170597E-2</v>
      </c>
      <c r="Z32" s="3">
        <v>4.0789641745792504E-3</v>
      </c>
      <c r="AA32" s="3">
        <v>-2.0930515444759799E-2</v>
      </c>
      <c r="AB32" s="3">
        <v>1.6619038461814801E-3</v>
      </c>
      <c r="AC32" s="3">
        <v>1993.0425258277101</v>
      </c>
      <c r="AD32" s="3">
        <v>1793080.6838845001</v>
      </c>
      <c r="AE32" s="3">
        <v>15475.2937538067</v>
      </c>
      <c r="AF32" s="3">
        <v>26164721.371617399</v>
      </c>
    </row>
    <row r="33" spans="1:32" x14ac:dyDescent="0.25">
      <c r="A33" s="3">
        <v>1545</v>
      </c>
      <c r="B33" s="4">
        <v>45447</v>
      </c>
      <c r="C33" s="3">
        <v>8</v>
      </c>
      <c r="D33" s="3" t="s">
        <v>100</v>
      </c>
      <c r="E33" s="3">
        <v>4.71</v>
      </c>
      <c r="F33" s="3">
        <v>905</v>
      </c>
      <c r="G33" s="3" t="s">
        <v>64</v>
      </c>
      <c r="H33" s="3">
        <v>45.432982809999999</v>
      </c>
      <c r="I33" s="3">
        <v>-73.938837340000006</v>
      </c>
      <c r="J33" s="3">
        <v>39.020000000000003</v>
      </c>
      <c r="K33" s="3">
        <v>0</v>
      </c>
      <c r="L33" s="3">
        <v>0</v>
      </c>
      <c r="M33" s="3">
        <v>1</v>
      </c>
      <c r="N33" s="3" t="s">
        <v>101</v>
      </c>
      <c r="O33" s="3">
        <v>3</v>
      </c>
      <c r="P33" s="3">
        <v>4</v>
      </c>
      <c r="Q33" s="3">
        <v>304</v>
      </c>
      <c r="R33" s="3">
        <v>304</v>
      </c>
      <c r="S33" s="3">
        <v>14</v>
      </c>
      <c r="T33" s="3">
        <v>305</v>
      </c>
      <c r="U33" s="3">
        <v>2.5806779144738E-3</v>
      </c>
      <c r="V33" s="3">
        <v>0.25754768230425401</v>
      </c>
      <c r="W33" s="3">
        <v>0.515072234779134</v>
      </c>
      <c r="X33" s="3">
        <v>0.50994092027526705</v>
      </c>
      <c r="Y33" s="3">
        <v>6.7066546141948999E-2</v>
      </c>
      <c r="Z33" s="3">
        <v>4.1346246837148598E-3</v>
      </c>
      <c r="AA33" s="3">
        <v>-2.4031912459483998E-2</v>
      </c>
      <c r="AB33" s="3">
        <v>1.71518358798678E-3</v>
      </c>
      <c r="AC33" s="3">
        <v>2020.88997850845</v>
      </c>
      <c r="AD33" s="3">
        <v>2285796.27189674</v>
      </c>
      <c r="AE33" s="3">
        <v>15338.8164226058</v>
      </c>
      <c r="AF33" s="3">
        <v>25535217.293114498</v>
      </c>
    </row>
    <row r="34" spans="1:32" x14ac:dyDescent="0.25">
      <c r="A34" s="3">
        <v>1554</v>
      </c>
      <c r="B34" s="4">
        <v>45447</v>
      </c>
      <c r="C34" s="3">
        <v>8</v>
      </c>
      <c r="D34" s="3" t="s">
        <v>118</v>
      </c>
      <c r="E34" s="3">
        <v>4.71</v>
      </c>
      <c r="F34" s="3">
        <v>905</v>
      </c>
      <c r="G34" s="3" t="s">
        <v>44</v>
      </c>
      <c r="H34" s="3">
        <v>45.432958130000003</v>
      </c>
      <c r="I34" s="3">
        <v>-73.938820660000005</v>
      </c>
      <c r="J34" s="3">
        <v>39.020000000000003</v>
      </c>
      <c r="K34" s="3">
        <v>0</v>
      </c>
      <c r="L34" s="3">
        <v>0</v>
      </c>
      <c r="M34" s="3">
        <v>1</v>
      </c>
      <c r="N34" s="3" t="s">
        <v>119</v>
      </c>
      <c r="O34" s="3">
        <v>4</v>
      </c>
      <c r="P34" s="3">
        <v>4</v>
      </c>
      <c r="Q34" s="3">
        <v>305</v>
      </c>
      <c r="R34" s="3">
        <v>305</v>
      </c>
      <c r="S34" s="3">
        <v>9</v>
      </c>
      <c r="T34" s="3">
        <v>254</v>
      </c>
      <c r="U34" s="3">
        <v>2.1491547222175201E-3</v>
      </c>
      <c r="V34" s="3">
        <v>0.25404900092808502</v>
      </c>
      <c r="W34" s="3">
        <v>0.50807544030829099</v>
      </c>
      <c r="X34" s="3">
        <v>0.35707424902303903</v>
      </c>
      <c r="Y34" s="3">
        <v>6.7539436419979407E-2</v>
      </c>
      <c r="Z34" s="3">
        <v>3.8700604569696399E-3</v>
      </c>
      <c r="AA34" s="3">
        <v>-2.4747268731925998E-2</v>
      </c>
      <c r="AB34" s="3">
        <v>1.72834440082735E-3</v>
      </c>
      <c r="AC34" s="3">
        <v>2075.6863841741001</v>
      </c>
      <c r="AD34" s="3">
        <v>2196628.3627065201</v>
      </c>
      <c r="AE34" s="3">
        <v>15620.267776573701</v>
      </c>
      <c r="AF34" s="3">
        <v>26052353.5626016</v>
      </c>
    </row>
    <row r="35" spans="1:32" x14ac:dyDescent="0.25">
      <c r="A35" s="3">
        <v>1561</v>
      </c>
      <c r="B35" s="4">
        <v>45447</v>
      </c>
      <c r="C35" s="3">
        <v>8</v>
      </c>
      <c r="D35" s="3" t="s">
        <v>132</v>
      </c>
      <c r="E35" s="3">
        <v>4.71</v>
      </c>
      <c r="F35" s="3">
        <v>905</v>
      </c>
      <c r="G35" s="3" t="s">
        <v>64</v>
      </c>
      <c r="H35" s="3">
        <v>45.432933179999999</v>
      </c>
      <c r="I35" s="3">
        <v>-73.938804039999994</v>
      </c>
      <c r="J35" s="3">
        <v>39.020000000000003</v>
      </c>
      <c r="K35" s="3">
        <v>0</v>
      </c>
      <c r="L35" s="3">
        <v>0</v>
      </c>
      <c r="M35" s="3">
        <v>1</v>
      </c>
      <c r="N35" s="3" t="s">
        <v>133</v>
      </c>
      <c r="O35" s="3">
        <v>5</v>
      </c>
      <c r="P35" s="3">
        <v>4</v>
      </c>
      <c r="Q35" s="3">
        <v>306</v>
      </c>
      <c r="R35" s="3">
        <v>306</v>
      </c>
      <c r="S35" s="3">
        <v>11</v>
      </c>
      <c r="T35" s="3">
        <v>169</v>
      </c>
      <c r="U35" s="3">
        <v>1.42990100685337E-3</v>
      </c>
      <c r="V35" s="3">
        <v>0.25564183982656902</v>
      </c>
      <c r="W35" s="3">
        <v>0.51126144521477901</v>
      </c>
      <c r="X35" s="3">
        <v>0.49398018394978899</v>
      </c>
      <c r="Y35" s="3">
        <v>7.0898441558012601E-2</v>
      </c>
      <c r="Z35" s="3">
        <v>4.66981842025181E-3</v>
      </c>
      <c r="AA35" s="3">
        <v>-2.26160309860522E-2</v>
      </c>
      <c r="AB35" s="3">
        <v>1.8984866043817599E-3</v>
      </c>
      <c r="AC35" s="3">
        <v>1985.18037058973</v>
      </c>
      <c r="AD35" s="3">
        <v>2157452.9691586401</v>
      </c>
      <c r="AE35" s="3">
        <v>15770.866632908401</v>
      </c>
      <c r="AF35" s="3">
        <v>30777319.204588301</v>
      </c>
    </row>
    <row r="36" spans="1:32" x14ac:dyDescent="0.25">
      <c r="A36" s="3">
        <v>1570</v>
      </c>
      <c r="B36" s="4">
        <v>45447</v>
      </c>
      <c r="C36" s="3">
        <v>8</v>
      </c>
      <c r="D36" s="3" t="s">
        <v>150</v>
      </c>
      <c r="E36" s="3">
        <v>4.71</v>
      </c>
      <c r="F36" s="3">
        <v>905</v>
      </c>
      <c r="G36" s="3" t="s">
        <v>44</v>
      </c>
      <c r="H36" s="3">
        <v>45.432908560000001</v>
      </c>
      <c r="I36" s="3">
        <v>-73.938787390000002</v>
      </c>
      <c r="J36" s="3">
        <v>39.018999999999998</v>
      </c>
      <c r="K36" s="3">
        <v>0</v>
      </c>
      <c r="L36" s="3">
        <v>0</v>
      </c>
      <c r="M36" s="3">
        <v>1</v>
      </c>
      <c r="N36" s="3" t="s">
        <v>151</v>
      </c>
      <c r="O36" s="3">
        <v>6</v>
      </c>
      <c r="P36" s="3">
        <v>4</v>
      </c>
      <c r="Q36" s="3">
        <v>307</v>
      </c>
      <c r="R36" s="3">
        <v>307</v>
      </c>
      <c r="S36" s="3">
        <v>8</v>
      </c>
      <c r="T36" s="3">
        <v>224</v>
      </c>
      <c r="U36" s="3">
        <v>1.8952854773750299E-3</v>
      </c>
      <c r="V36" s="3">
        <v>0.258312092052561</v>
      </c>
      <c r="W36" s="3">
        <v>0.51660209104111598</v>
      </c>
      <c r="X36" s="3">
        <v>0.36245575716109002</v>
      </c>
      <c r="Y36" s="3">
        <v>7.1272939122167797E-2</v>
      </c>
      <c r="Z36" s="3">
        <v>4.2213943214260401E-3</v>
      </c>
      <c r="AA36" s="3">
        <v>-2.3257283607375199E-2</v>
      </c>
      <c r="AB36" s="3">
        <v>1.74965911253233E-3</v>
      </c>
      <c r="AC36" s="3">
        <v>1968.38795816834</v>
      </c>
      <c r="AD36" s="3">
        <v>2014166.6173159799</v>
      </c>
      <c r="AE36" s="3">
        <v>15654.6792122468</v>
      </c>
      <c r="AF36" s="3">
        <v>27592001.205269601</v>
      </c>
    </row>
    <row r="37" spans="1:32" x14ac:dyDescent="0.25">
      <c r="A37" s="3">
        <v>1523</v>
      </c>
      <c r="B37" s="4">
        <v>45447</v>
      </c>
      <c r="C37" s="3">
        <v>8</v>
      </c>
      <c r="D37" s="3" t="s">
        <v>46</v>
      </c>
      <c r="E37" s="3">
        <v>4.71</v>
      </c>
      <c r="F37" s="3">
        <v>905</v>
      </c>
      <c r="G37" s="3" t="s">
        <v>47</v>
      </c>
      <c r="H37" s="3">
        <v>45.433084340000001</v>
      </c>
      <c r="I37" s="3">
        <v>-73.938806409999998</v>
      </c>
      <c r="J37" s="3">
        <v>39.021000000000001</v>
      </c>
      <c r="K37" s="3">
        <v>0</v>
      </c>
      <c r="L37" s="3">
        <v>0</v>
      </c>
      <c r="M37" s="3">
        <v>1</v>
      </c>
      <c r="N37" s="3">
        <v>5009381040517900</v>
      </c>
      <c r="O37" s="3">
        <v>0</v>
      </c>
      <c r="P37" s="3">
        <v>5</v>
      </c>
      <c r="Q37" s="3">
        <v>308</v>
      </c>
      <c r="R37" s="3">
        <v>308</v>
      </c>
      <c r="S37" s="3">
        <v>2</v>
      </c>
      <c r="T37" s="3">
        <v>49</v>
      </c>
      <c r="U37" s="3">
        <v>4.1460422219401802E-4</v>
      </c>
      <c r="V37" s="3">
        <v>0.263578768375346</v>
      </c>
      <c r="W37" s="3">
        <v>0.52713455524973896</v>
      </c>
      <c r="X37" s="3">
        <v>0.11739628153002001</v>
      </c>
      <c r="Y37" s="3">
        <v>7.7923928239927706E-2</v>
      </c>
      <c r="Z37" s="3">
        <v>5.6605808452044899E-3</v>
      </c>
      <c r="AA37" s="3">
        <v>-2.1181048748000701E-2</v>
      </c>
      <c r="AB37" s="3">
        <v>1.67334541188757E-3</v>
      </c>
      <c r="AC37" s="3">
        <v>1858.77807674409</v>
      </c>
      <c r="AD37" s="3">
        <v>2051015.4212750599</v>
      </c>
      <c r="AE37" s="3">
        <v>15528.7769380223</v>
      </c>
      <c r="AF37" s="3">
        <v>27021214.982122</v>
      </c>
    </row>
    <row r="38" spans="1:32" x14ac:dyDescent="0.25">
      <c r="A38" s="3">
        <v>1528</v>
      </c>
      <c r="B38" s="4">
        <v>45447</v>
      </c>
      <c r="C38" s="3">
        <v>8</v>
      </c>
      <c r="D38" s="3" t="s">
        <v>60</v>
      </c>
      <c r="E38" s="3">
        <v>4.71</v>
      </c>
      <c r="F38" s="3">
        <v>905</v>
      </c>
      <c r="G38" s="3" t="s">
        <v>61</v>
      </c>
      <c r="H38" s="3">
        <v>45.433059489999998</v>
      </c>
      <c r="I38" s="3">
        <v>-73.938789830000005</v>
      </c>
      <c r="J38" s="3">
        <v>39.021000000000001</v>
      </c>
      <c r="K38" s="3">
        <v>0</v>
      </c>
      <c r="L38" s="3">
        <v>0</v>
      </c>
      <c r="M38" s="3">
        <v>1</v>
      </c>
      <c r="N38" s="3" t="s">
        <v>62</v>
      </c>
      <c r="O38" s="3">
        <v>1</v>
      </c>
      <c r="P38" s="3">
        <v>5</v>
      </c>
      <c r="Q38" s="3">
        <v>309</v>
      </c>
      <c r="R38" s="3">
        <v>309</v>
      </c>
      <c r="S38" s="3">
        <v>22</v>
      </c>
      <c r="T38" s="3">
        <v>439</v>
      </c>
      <c r="U38" s="3">
        <v>3.71438966401273E-3</v>
      </c>
      <c r="V38" s="3">
        <v>0.26471004615369198</v>
      </c>
      <c r="W38" s="3">
        <v>0.52939777362274498</v>
      </c>
      <c r="X38" s="3">
        <v>0.73405263157894696</v>
      </c>
      <c r="Y38" s="3">
        <v>7.7621343101161297E-2</v>
      </c>
      <c r="Z38" s="3">
        <v>5.5043990009132297E-3</v>
      </c>
      <c r="AA38" s="3">
        <v>-2.1021286766390701E-2</v>
      </c>
      <c r="AB38" s="3">
        <v>1.6996974222479801E-3</v>
      </c>
      <c r="AC38" s="3">
        <v>2102.6818401035598</v>
      </c>
      <c r="AD38" s="3">
        <v>2959682.9941469799</v>
      </c>
      <c r="AE38" s="3">
        <v>15945.7783204592</v>
      </c>
      <c r="AF38" s="3">
        <v>27506530.773810498</v>
      </c>
    </row>
    <row r="39" spans="1:32" x14ac:dyDescent="0.25">
      <c r="A39" s="3">
        <v>1539</v>
      </c>
      <c r="B39" s="4">
        <v>45447</v>
      </c>
      <c r="C39" s="3">
        <v>8</v>
      </c>
      <c r="D39" s="3" t="s">
        <v>88</v>
      </c>
      <c r="E39" s="3">
        <v>4.71</v>
      </c>
      <c r="F39" s="3">
        <v>905</v>
      </c>
      <c r="G39" s="3" t="s">
        <v>47</v>
      </c>
      <c r="H39" s="3">
        <v>45.433034630000002</v>
      </c>
      <c r="I39" s="3">
        <v>-73.938773080000004</v>
      </c>
      <c r="J39" s="3">
        <v>39.020000000000003</v>
      </c>
      <c r="K39" s="3">
        <v>0</v>
      </c>
      <c r="L39" s="3">
        <v>0</v>
      </c>
      <c r="M39" s="3">
        <v>1</v>
      </c>
      <c r="N39" s="3" t="s">
        <v>89</v>
      </c>
      <c r="O39" s="3">
        <v>2</v>
      </c>
      <c r="P39" s="3">
        <v>5</v>
      </c>
      <c r="Q39" s="3">
        <v>310</v>
      </c>
      <c r="R39" s="3">
        <v>310</v>
      </c>
      <c r="S39" s="3">
        <v>16</v>
      </c>
      <c r="T39" s="3">
        <v>336</v>
      </c>
      <c r="U39" s="3">
        <v>2.8430244364719402E-3</v>
      </c>
      <c r="V39" s="3">
        <v>0.265984040434394</v>
      </c>
      <c r="W39" s="3">
        <v>0.53194498363847897</v>
      </c>
      <c r="X39" s="3">
        <v>0.66841225773345103</v>
      </c>
      <c r="Y39" s="3">
        <v>7.7602151856788301E-2</v>
      </c>
      <c r="Z39" s="3">
        <v>4.92342680649139E-3</v>
      </c>
      <c r="AA39" s="3">
        <v>-2.1280585561486501E-2</v>
      </c>
      <c r="AB39" s="3">
        <v>1.4430200846570599E-3</v>
      </c>
      <c r="AC39" s="3">
        <v>2018.0009053679</v>
      </c>
      <c r="AD39" s="3">
        <v>2647002.2316972702</v>
      </c>
      <c r="AE39" s="3">
        <v>15590.2801779657</v>
      </c>
      <c r="AF39" s="3">
        <v>25963520.212955501</v>
      </c>
    </row>
    <row r="40" spans="1:32" x14ac:dyDescent="0.25">
      <c r="A40" s="3">
        <v>1544</v>
      </c>
      <c r="B40" s="4">
        <v>45447</v>
      </c>
      <c r="C40" s="3">
        <v>8</v>
      </c>
      <c r="D40" s="3" t="s">
        <v>98</v>
      </c>
      <c r="E40" s="3">
        <v>4.71</v>
      </c>
      <c r="F40" s="3">
        <v>905</v>
      </c>
      <c r="G40" s="3" t="s">
        <v>61</v>
      </c>
      <c r="H40" s="3">
        <v>45.433010189999997</v>
      </c>
      <c r="I40" s="3">
        <v>-73.938756760000004</v>
      </c>
      <c r="J40" s="3">
        <v>39.020000000000003</v>
      </c>
      <c r="K40" s="3">
        <v>0</v>
      </c>
      <c r="L40" s="3">
        <v>0</v>
      </c>
      <c r="M40" s="3">
        <v>1</v>
      </c>
      <c r="N40" s="3" t="s">
        <v>99</v>
      </c>
      <c r="O40" s="3">
        <v>3</v>
      </c>
      <c r="P40" s="3">
        <v>5</v>
      </c>
      <c r="Q40" s="3">
        <v>311</v>
      </c>
      <c r="R40" s="3">
        <v>311</v>
      </c>
      <c r="S40" s="3">
        <v>15</v>
      </c>
      <c r="T40" s="3">
        <v>287</v>
      </c>
      <c r="U40" s="3">
        <v>2.42831397168941E-3</v>
      </c>
      <c r="V40" s="3">
        <v>0.26553877061324699</v>
      </c>
      <c r="W40" s="3">
        <v>0.53105406249992704</v>
      </c>
      <c r="X40" s="3">
        <v>0.57443421052631605</v>
      </c>
      <c r="Y40" s="3">
        <v>7.92047935711295E-2</v>
      </c>
      <c r="Z40" s="3">
        <v>5.9177659893860004E-3</v>
      </c>
      <c r="AA40" s="3">
        <v>-1.8997455079733799E-2</v>
      </c>
      <c r="AB40" s="3">
        <v>1.76129594956397E-3</v>
      </c>
      <c r="AC40" s="3">
        <v>1804.7904119672701</v>
      </c>
      <c r="AD40" s="3">
        <v>2277763.04616585</v>
      </c>
      <c r="AE40" s="3">
        <v>15306.126739405199</v>
      </c>
      <c r="AF40" s="3">
        <v>27725392.569515102</v>
      </c>
    </row>
    <row r="41" spans="1:32" x14ac:dyDescent="0.25">
      <c r="A41" s="3">
        <v>1555</v>
      </c>
      <c r="B41" s="4">
        <v>45447</v>
      </c>
      <c r="C41" s="3">
        <v>8</v>
      </c>
      <c r="D41" s="3" t="s">
        <v>120</v>
      </c>
      <c r="E41" s="3">
        <v>4.71</v>
      </c>
      <c r="F41" s="3">
        <v>905</v>
      </c>
      <c r="G41" s="3" t="s">
        <v>47</v>
      </c>
      <c r="H41" s="3">
        <v>45.432985029999998</v>
      </c>
      <c r="I41" s="3">
        <v>-73.938739760000004</v>
      </c>
      <c r="J41" s="3">
        <v>39.020000000000003</v>
      </c>
      <c r="K41" s="3">
        <v>0</v>
      </c>
      <c r="L41" s="3">
        <v>0</v>
      </c>
      <c r="M41" s="3">
        <v>1</v>
      </c>
      <c r="N41" s="3" t="s">
        <v>121</v>
      </c>
      <c r="O41" s="3">
        <v>4</v>
      </c>
      <c r="P41" s="3">
        <v>5</v>
      </c>
      <c r="Q41" s="3">
        <v>312</v>
      </c>
      <c r="R41" s="3">
        <v>312</v>
      </c>
      <c r="S41" s="3">
        <v>17</v>
      </c>
      <c r="T41" s="3">
        <v>517</v>
      </c>
      <c r="U41" s="3">
        <v>4.3744235829659799E-3</v>
      </c>
      <c r="V41" s="3">
        <v>0.264614432645566</v>
      </c>
      <c r="W41" s="3">
        <v>0.52920529925680704</v>
      </c>
      <c r="X41" s="3">
        <v>0.64606578947368398</v>
      </c>
      <c r="Y41" s="3">
        <v>7.5151959366655599E-2</v>
      </c>
      <c r="Z41" s="3">
        <v>5.15195194315257E-3</v>
      </c>
      <c r="AA41" s="3">
        <v>-2.2141624687203699E-2</v>
      </c>
      <c r="AB41" s="3">
        <v>1.59359998971537E-3</v>
      </c>
      <c r="AC41" s="3">
        <v>2036.37607351062</v>
      </c>
      <c r="AD41" s="3">
        <v>2756989.2287786598</v>
      </c>
      <c r="AE41" s="3">
        <v>15404.120986910501</v>
      </c>
      <c r="AF41" s="3">
        <v>26586789.251500499</v>
      </c>
    </row>
    <row r="42" spans="1:32" x14ac:dyDescent="0.25">
      <c r="A42" s="3">
        <v>1560</v>
      </c>
      <c r="B42" s="4">
        <v>45447</v>
      </c>
      <c r="C42" s="3">
        <v>8</v>
      </c>
      <c r="D42" s="3" t="s">
        <v>130</v>
      </c>
      <c r="E42" s="3">
        <v>4.71</v>
      </c>
      <c r="F42" s="3">
        <v>905</v>
      </c>
      <c r="G42" s="3" t="s">
        <v>61</v>
      </c>
      <c r="H42" s="3">
        <v>45.432960379999997</v>
      </c>
      <c r="I42" s="3">
        <v>-73.938723330000002</v>
      </c>
      <c r="J42" s="3">
        <v>39.020000000000003</v>
      </c>
      <c r="K42" s="3">
        <v>0</v>
      </c>
      <c r="L42" s="3">
        <v>0</v>
      </c>
      <c r="M42" s="3">
        <v>1</v>
      </c>
      <c r="N42" s="3" t="s">
        <v>131</v>
      </c>
      <c r="O42" s="3">
        <v>5</v>
      </c>
      <c r="P42" s="3">
        <v>5</v>
      </c>
      <c r="Q42" s="3">
        <v>313</v>
      </c>
      <c r="R42" s="3">
        <v>313</v>
      </c>
      <c r="S42" s="3">
        <v>15</v>
      </c>
      <c r="T42" s="3">
        <v>118</v>
      </c>
      <c r="U42" s="3">
        <v>9.9840086640888798E-4</v>
      </c>
      <c r="V42" s="3">
        <v>0.261608154429532</v>
      </c>
      <c r="W42" s="3">
        <v>0.52319367481739099</v>
      </c>
      <c r="X42" s="3">
        <v>0.499072380626571</v>
      </c>
      <c r="Y42" s="3">
        <v>7.4497973488600697E-2</v>
      </c>
      <c r="Z42" s="3">
        <v>5.9960165667630799E-3</v>
      </c>
      <c r="AA42" s="3">
        <v>-2.08045815544055E-2</v>
      </c>
      <c r="AB42" s="3">
        <v>1.72435384840943E-3</v>
      </c>
      <c r="AC42" s="3">
        <v>1881.2388716378</v>
      </c>
      <c r="AD42" s="3">
        <v>2276732.2271123002</v>
      </c>
      <c r="AE42" s="3">
        <v>15781.8542021211</v>
      </c>
      <c r="AF42" s="3">
        <v>31246166.332966998</v>
      </c>
    </row>
    <row r="43" spans="1:32" x14ac:dyDescent="0.25">
      <c r="A43" s="3">
        <v>1571</v>
      </c>
      <c r="B43" s="4">
        <v>45447</v>
      </c>
      <c r="C43" s="3">
        <v>8</v>
      </c>
      <c r="D43" s="3" t="s">
        <v>152</v>
      </c>
      <c r="E43" s="3">
        <v>4.71</v>
      </c>
      <c r="F43" s="3">
        <v>905</v>
      </c>
      <c r="G43" s="3" t="s">
        <v>47</v>
      </c>
      <c r="H43" s="3">
        <v>45.43293551</v>
      </c>
      <c r="I43" s="3">
        <v>-73.938706580000002</v>
      </c>
      <c r="J43" s="3">
        <v>39.018999999999998</v>
      </c>
      <c r="K43" s="3">
        <v>0</v>
      </c>
      <c r="L43" s="3">
        <v>0</v>
      </c>
      <c r="M43" s="3">
        <v>1</v>
      </c>
      <c r="N43" s="3" t="s">
        <v>153</v>
      </c>
      <c r="O43" s="3">
        <v>6</v>
      </c>
      <c r="P43" s="3">
        <v>5</v>
      </c>
      <c r="Q43" s="3">
        <v>314</v>
      </c>
      <c r="R43" s="3">
        <v>314</v>
      </c>
      <c r="S43" s="3">
        <v>7</v>
      </c>
      <c r="T43" s="3">
        <v>84</v>
      </c>
      <c r="U43" s="3">
        <v>7.1074408136327497E-4</v>
      </c>
      <c r="V43" s="3">
        <v>0.26118876014537001</v>
      </c>
      <c r="W43" s="3">
        <v>0.52235467804187996</v>
      </c>
      <c r="X43" s="3">
        <v>0.34555717838392602</v>
      </c>
      <c r="Y43" s="3">
        <v>7.3316738397620304E-2</v>
      </c>
      <c r="Z43" s="3">
        <v>5.5900458149431998E-3</v>
      </c>
      <c r="AA43" s="3">
        <v>-2.2144089510858299E-2</v>
      </c>
      <c r="AB43" s="3">
        <v>1.68373100860103E-3</v>
      </c>
      <c r="AC43" s="3">
        <v>1791.23888616249</v>
      </c>
      <c r="AD43" s="3">
        <v>1978023.84118699</v>
      </c>
      <c r="AE43" s="3">
        <v>15400.829650543699</v>
      </c>
      <c r="AF43" s="3">
        <v>27704651.166106999</v>
      </c>
    </row>
    <row r="44" spans="1:32" x14ac:dyDescent="0.25">
      <c r="A44" s="3">
        <v>1524</v>
      </c>
      <c r="B44" s="4">
        <v>45447</v>
      </c>
      <c r="C44" s="3">
        <v>8</v>
      </c>
      <c r="D44" s="3" t="s">
        <v>48</v>
      </c>
      <c r="E44" s="3">
        <v>4.71</v>
      </c>
      <c r="F44" s="3">
        <v>905</v>
      </c>
      <c r="G44" s="3" t="s">
        <v>49</v>
      </c>
      <c r="H44" s="3">
        <v>45.433110970000001</v>
      </c>
      <c r="I44" s="3">
        <v>-73.938725320000003</v>
      </c>
      <c r="J44" s="3">
        <v>39.021000000000001</v>
      </c>
      <c r="K44" s="3">
        <v>0</v>
      </c>
      <c r="L44" s="3">
        <v>0</v>
      </c>
      <c r="M44" s="3">
        <v>1</v>
      </c>
      <c r="N44" s="3" t="s">
        <v>50</v>
      </c>
      <c r="O44" s="3">
        <v>0</v>
      </c>
      <c r="P44" s="3">
        <v>6</v>
      </c>
      <c r="Q44" s="3">
        <v>401</v>
      </c>
      <c r="R44" s="3">
        <v>401</v>
      </c>
      <c r="S44" s="3">
        <v>5</v>
      </c>
      <c r="T44" s="3">
        <v>60</v>
      </c>
      <c r="U44" s="3">
        <v>5.0766575286831199E-4</v>
      </c>
      <c r="V44" s="3">
        <v>0.25436867208057601</v>
      </c>
      <c r="W44" s="3">
        <v>0.50871380763797602</v>
      </c>
      <c r="X44" s="3">
        <v>0.19938682596910401</v>
      </c>
      <c r="Y44" s="3">
        <v>6.9753365597445702E-2</v>
      </c>
      <c r="Z44" s="3">
        <v>4.2296407115572799E-3</v>
      </c>
      <c r="AA44" s="3">
        <v>-2.9081134242362899E-2</v>
      </c>
      <c r="AB44" s="3">
        <v>1.6567220289363999E-3</v>
      </c>
      <c r="AC44" s="3">
        <v>1839.12215284124</v>
      </c>
      <c r="AD44" s="3">
        <v>2073585.2295281901</v>
      </c>
      <c r="AE44" s="3">
        <v>15709.385515705</v>
      </c>
      <c r="AF44" s="3">
        <v>25263461.432457399</v>
      </c>
    </row>
    <row r="45" spans="1:32" x14ac:dyDescent="0.25">
      <c r="A45" s="3">
        <v>1527</v>
      </c>
      <c r="B45" s="4">
        <v>45447</v>
      </c>
      <c r="C45" s="3">
        <v>8</v>
      </c>
      <c r="D45" s="3" t="s">
        <v>57</v>
      </c>
      <c r="E45" s="3">
        <v>4.71</v>
      </c>
      <c r="F45" s="3">
        <v>905</v>
      </c>
      <c r="G45" s="3" t="s">
        <v>58</v>
      </c>
      <c r="H45" s="3">
        <v>45.433086109999998</v>
      </c>
      <c r="I45" s="3">
        <v>-73.938708719999994</v>
      </c>
      <c r="J45" s="3">
        <v>39.020000000000003</v>
      </c>
      <c r="K45" s="3">
        <v>0</v>
      </c>
      <c r="L45" s="3">
        <v>0</v>
      </c>
      <c r="M45" s="3">
        <v>1</v>
      </c>
      <c r="N45" s="3" t="s">
        <v>59</v>
      </c>
      <c r="O45" s="3">
        <v>1</v>
      </c>
      <c r="P45" s="3">
        <v>6</v>
      </c>
      <c r="Q45" s="3">
        <v>402</v>
      </c>
      <c r="R45" s="3">
        <v>402</v>
      </c>
      <c r="S45" s="3">
        <v>5</v>
      </c>
      <c r="T45" s="3">
        <v>81</v>
      </c>
      <c r="U45" s="3">
        <v>6.8534296761965999E-4</v>
      </c>
      <c r="V45" s="3">
        <v>0.25316292240548799</v>
      </c>
      <c r="W45" s="3">
        <v>0.50630359836511796</v>
      </c>
      <c r="X45" s="3">
        <v>0.27327991157778397</v>
      </c>
      <c r="Y45" s="3">
        <v>7.0106304361930494E-2</v>
      </c>
      <c r="Z45" s="3">
        <v>4.5062830923574201E-3</v>
      </c>
      <c r="AA45" s="3">
        <v>-2.5473943401408398E-2</v>
      </c>
      <c r="AB45" s="3">
        <v>2.0368856141956501E-3</v>
      </c>
      <c r="AC45" s="3">
        <v>1831.43198605623</v>
      </c>
      <c r="AD45" s="3">
        <v>2397129.4109648201</v>
      </c>
      <c r="AE45" s="3">
        <v>16115.147361547601</v>
      </c>
      <c r="AF45" s="3">
        <v>27709811.2673763</v>
      </c>
    </row>
    <row r="46" spans="1:32" x14ac:dyDescent="0.25">
      <c r="A46" s="3">
        <v>1540</v>
      </c>
      <c r="B46" s="4">
        <v>45447</v>
      </c>
      <c r="C46" s="3">
        <v>8</v>
      </c>
      <c r="D46" s="3" t="s">
        <v>90</v>
      </c>
      <c r="E46" s="3">
        <v>4.71</v>
      </c>
      <c r="F46" s="3">
        <v>905</v>
      </c>
      <c r="G46" s="3" t="s">
        <v>49</v>
      </c>
      <c r="H46" s="3">
        <v>45.433061469999998</v>
      </c>
      <c r="I46" s="3">
        <v>-73.938692149999994</v>
      </c>
      <c r="J46" s="3">
        <v>39.020000000000003</v>
      </c>
      <c r="K46" s="3">
        <v>0</v>
      </c>
      <c r="L46" s="3">
        <v>0</v>
      </c>
      <c r="M46" s="3">
        <v>1</v>
      </c>
      <c r="N46" s="3" t="s">
        <v>91</v>
      </c>
      <c r="O46" s="3">
        <v>2</v>
      </c>
      <c r="P46" s="3">
        <v>6</v>
      </c>
      <c r="Q46" s="3">
        <v>403</v>
      </c>
      <c r="R46" s="3">
        <v>403</v>
      </c>
      <c r="S46" s="3">
        <v>10</v>
      </c>
      <c r="T46" s="3">
        <v>169</v>
      </c>
      <c r="U46" s="3">
        <v>1.42992520391241E-3</v>
      </c>
      <c r="V46" s="3">
        <v>0.25766372622823103</v>
      </c>
      <c r="W46" s="3">
        <v>0.51530423589855501</v>
      </c>
      <c r="X46" s="3">
        <v>0.39980263157894702</v>
      </c>
      <c r="Y46" s="3">
        <v>7.1224448975972202E-2</v>
      </c>
      <c r="Z46" s="3">
        <v>4.3978393256754499E-3</v>
      </c>
      <c r="AA46" s="3">
        <v>-2.4022273347715999E-2</v>
      </c>
      <c r="AB46" s="3">
        <v>1.7429466359148501E-3</v>
      </c>
      <c r="AC46" s="3">
        <v>1948.1364690154701</v>
      </c>
      <c r="AD46" s="3">
        <v>2568920.3515745401</v>
      </c>
      <c r="AE46" s="3">
        <v>15733.8557953462</v>
      </c>
      <c r="AF46" s="3">
        <v>26447197.455736801</v>
      </c>
    </row>
    <row r="47" spans="1:32" x14ac:dyDescent="0.25">
      <c r="A47" s="3">
        <v>1543</v>
      </c>
      <c r="B47" s="4">
        <v>45447</v>
      </c>
      <c r="C47" s="3">
        <v>8</v>
      </c>
      <c r="D47" s="3" t="s">
        <v>96</v>
      </c>
      <c r="E47" s="3">
        <v>4.71</v>
      </c>
      <c r="F47" s="3">
        <v>905</v>
      </c>
      <c r="G47" s="3" t="s">
        <v>58</v>
      </c>
      <c r="H47" s="3">
        <v>45.433036340000001</v>
      </c>
      <c r="I47" s="3">
        <v>-73.938675329999995</v>
      </c>
      <c r="J47" s="3">
        <v>39.020000000000003</v>
      </c>
      <c r="K47" s="3">
        <v>0</v>
      </c>
      <c r="L47" s="3">
        <v>0</v>
      </c>
      <c r="M47" s="3">
        <v>1</v>
      </c>
      <c r="N47" s="3" t="s">
        <v>97</v>
      </c>
      <c r="O47" s="3">
        <v>3</v>
      </c>
      <c r="P47" s="3">
        <v>6</v>
      </c>
      <c r="Q47" s="3">
        <v>404</v>
      </c>
      <c r="R47" s="3">
        <v>404</v>
      </c>
      <c r="S47" s="3">
        <v>3</v>
      </c>
      <c r="T47" s="3">
        <v>23</v>
      </c>
      <c r="U47" s="3">
        <v>1.9460355870681701E-4</v>
      </c>
      <c r="V47" s="3">
        <v>0.25371501234514299</v>
      </c>
      <c r="W47" s="3">
        <v>0.50740729450580002</v>
      </c>
      <c r="X47" s="3">
        <v>0.180057369930788</v>
      </c>
      <c r="Y47" s="3">
        <v>6.6042383453491199E-2</v>
      </c>
      <c r="Z47" s="3">
        <v>4.8350847013707201E-3</v>
      </c>
      <c r="AA47" s="3">
        <v>-2.26009489696717E-2</v>
      </c>
      <c r="AB47" s="3">
        <v>1.81986002886275E-3</v>
      </c>
      <c r="AC47" s="3">
        <v>1789.5303708466899</v>
      </c>
      <c r="AD47" s="3">
        <v>2148072.2996745198</v>
      </c>
      <c r="AE47" s="3">
        <v>15990.4030177643</v>
      </c>
      <c r="AF47" s="3">
        <v>27003343.678430401</v>
      </c>
    </row>
    <row r="48" spans="1:32" x14ac:dyDescent="0.25">
      <c r="A48" s="3">
        <v>1556</v>
      </c>
      <c r="B48" s="4">
        <v>45447</v>
      </c>
      <c r="C48" s="3">
        <v>8</v>
      </c>
      <c r="D48" s="3" t="s">
        <v>122</v>
      </c>
      <c r="E48" s="3">
        <v>4.71</v>
      </c>
      <c r="F48" s="3">
        <v>905</v>
      </c>
      <c r="G48" s="3" t="s">
        <v>49</v>
      </c>
      <c r="H48" s="3">
        <v>45.433011999999998</v>
      </c>
      <c r="I48" s="3">
        <v>-73.938658930000003</v>
      </c>
      <c r="J48" s="3">
        <v>39.020000000000003</v>
      </c>
      <c r="K48" s="3">
        <v>0</v>
      </c>
      <c r="L48" s="3">
        <v>0</v>
      </c>
      <c r="M48" s="3">
        <v>1</v>
      </c>
      <c r="N48" s="3" t="s">
        <v>123</v>
      </c>
      <c r="O48" s="3">
        <v>4</v>
      </c>
      <c r="P48" s="3">
        <v>6</v>
      </c>
      <c r="Q48" s="3">
        <v>405</v>
      </c>
      <c r="R48" s="3">
        <v>405</v>
      </c>
      <c r="S48" s="3">
        <v>6</v>
      </c>
      <c r="T48" s="3">
        <v>41</v>
      </c>
      <c r="U48" s="3">
        <v>3.4690199595563002E-4</v>
      </c>
      <c r="V48" s="3">
        <v>0.25362104561932403</v>
      </c>
      <c r="W48" s="3">
        <v>0.50722009654133404</v>
      </c>
      <c r="X48" s="3">
        <v>0.23944736842105299</v>
      </c>
      <c r="Y48" s="3">
        <v>6.9081046219101105E-2</v>
      </c>
      <c r="Z48" s="3">
        <v>4.8915746934693402E-3</v>
      </c>
      <c r="AA48" s="3">
        <v>-1.9902428402026301E-2</v>
      </c>
      <c r="AB48" s="3">
        <v>2.1057071078488701E-3</v>
      </c>
      <c r="AC48" s="3">
        <v>1860.74783609304</v>
      </c>
      <c r="AD48" s="3">
        <v>2492550.0548931002</v>
      </c>
      <c r="AE48" s="3">
        <v>16236.2413344246</v>
      </c>
      <c r="AF48" s="3">
        <v>28863189.306260802</v>
      </c>
    </row>
    <row r="49" spans="1:32" x14ac:dyDescent="0.25">
      <c r="A49" s="3">
        <v>1559</v>
      </c>
      <c r="B49" s="4">
        <v>45447</v>
      </c>
      <c r="C49" s="3">
        <v>8</v>
      </c>
      <c r="D49" s="3" t="s">
        <v>128</v>
      </c>
      <c r="E49" s="3">
        <v>4.71</v>
      </c>
      <c r="F49" s="3">
        <v>905</v>
      </c>
      <c r="G49" s="3" t="s">
        <v>58</v>
      </c>
      <c r="H49" s="3">
        <v>45.432986759999999</v>
      </c>
      <c r="I49" s="3">
        <v>-73.938642099999996</v>
      </c>
      <c r="J49" s="3">
        <v>39.018999999999998</v>
      </c>
      <c r="K49" s="3">
        <v>0</v>
      </c>
      <c r="L49" s="3">
        <v>0</v>
      </c>
      <c r="M49" s="3">
        <v>1</v>
      </c>
      <c r="N49" s="3" t="s">
        <v>129</v>
      </c>
      <c r="O49" s="3">
        <v>5</v>
      </c>
      <c r="P49" s="3">
        <v>6</v>
      </c>
      <c r="Q49" s="3">
        <v>406</v>
      </c>
      <c r="R49" s="3">
        <v>406</v>
      </c>
      <c r="S49" s="3">
        <v>2</v>
      </c>
      <c r="T49" s="3">
        <v>16</v>
      </c>
      <c r="U49" s="3">
        <v>1.3538097051233201E-4</v>
      </c>
      <c r="V49" s="3">
        <v>0.25095163841878498</v>
      </c>
      <c r="W49" s="3">
        <v>0.50188126462875104</v>
      </c>
      <c r="X49" s="3">
        <v>0.12249006552804</v>
      </c>
      <c r="Y49" s="3">
        <v>6.4867467342373905E-2</v>
      </c>
      <c r="Z49" s="3">
        <v>4.9260312842099403E-3</v>
      </c>
      <c r="AA49" s="3">
        <v>-2.2629292877711399E-2</v>
      </c>
      <c r="AB49" s="3">
        <v>1.9985960440891399E-3</v>
      </c>
      <c r="AC49" s="3">
        <v>1792.2414434996001</v>
      </c>
      <c r="AD49" s="3">
        <v>2336813.8692677799</v>
      </c>
      <c r="AE49" s="3">
        <v>16146.5966713742</v>
      </c>
      <c r="AF49" s="3">
        <v>29537346.9249756</v>
      </c>
    </row>
    <row r="50" spans="1:32" x14ac:dyDescent="0.25">
      <c r="A50" s="3">
        <v>1572</v>
      </c>
      <c r="B50" s="4">
        <v>45447</v>
      </c>
      <c r="C50" s="3">
        <v>8</v>
      </c>
      <c r="D50" s="3" t="s">
        <v>154</v>
      </c>
      <c r="E50" s="3">
        <v>4.71</v>
      </c>
      <c r="F50" s="3">
        <v>905</v>
      </c>
      <c r="G50" s="3" t="s">
        <v>49</v>
      </c>
      <c r="H50" s="3">
        <v>45.43296222</v>
      </c>
      <c r="I50" s="3">
        <v>-73.938625529999996</v>
      </c>
      <c r="J50" s="3">
        <v>39.018999999999998</v>
      </c>
      <c r="K50" s="3">
        <v>0</v>
      </c>
      <c r="L50" s="3">
        <v>0</v>
      </c>
      <c r="M50" s="3">
        <v>1</v>
      </c>
      <c r="N50" s="3" t="s">
        <v>155</v>
      </c>
      <c r="O50" s="3">
        <v>6</v>
      </c>
      <c r="P50" s="3">
        <v>6</v>
      </c>
      <c r="Q50" s="3">
        <v>407</v>
      </c>
      <c r="R50" s="3">
        <v>407</v>
      </c>
      <c r="S50" s="3">
        <v>8</v>
      </c>
      <c r="T50" s="3">
        <v>75</v>
      </c>
      <c r="U50" s="3">
        <v>6.3458756039158301E-4</v>
      </c>
      <c r="V50" s="3">
        <v>0.25214423692485199</v>
      </c>
      <c r="W50" s="3">
        <v>0.50426602525681197</v>
      </c>
      <c r="X50" s="3">
        <v>0.37196542059763898</v>
      </c>
      <c r="Y50" s="3">
        <v>6.2311521789764998E-2</v>
      </c>
      <c r="Z50" s="3">
        <v>4.3674381493947999E-3</v>
      </c>
      <c r="AA50" s="3">
        <v>-2.54242922374317E-2</v>
      </c>
      <c r="AB50" s="3">
        <v>1.6693449253571101E-3</v>
      </c>
      <c r="AC50" s="3">
        <v>1890.17534077352</v>
      </c>
      <c r="AD50" s="3">
        <v>2064460.46544383</v>
      </c>
      <c r="AE50" s="3">
        <v>15911.2500054714</v>
      </c>
      <c r="AF50" s="3">
        <v>26662411.601643302</v>
      </c>
    </row>
    <row r="51" spans="1:32" x14ac:dyDescent="0.25">
      <c r="A51" s="3">
        <v>1525</v>
      </c>
      <c r="B51" s="4">
        <v>45447</v>
      </c>
      <c r="C51" s="3">
        <v>8</v>
      </c>
      <c r="D51" s="3" t="s">
        <v>51</v>
      </c>
      <c r="E51" s="3">
        <v>4.71</v>
      </c>
      <c r="F51" s="3">
        <v>905</v>
      </c>
      <c r="G51" s="3" t="s">
        <v>52</v>
      </c>
      <c r="H51" s="3">
        <v>45.433137909999999</v>
      </c>
      <c r="I51" s="3">
        <v>-73.93864447</v>
      </c>
      <c r="J51" s="3">
        <v>39.021000000000001</v>
      </c>
      <c r="K51" s="3">
        <v>0</v>
      </c>
      <c r="L51" s="3">
        <v>0</v>
      </c>
      <c r="M51" s="3">
        <v>1</v>
      </c>
      <c r="N51" s="3" t="s">
        <v>53</v>
      </c>
      <c r="O51" s="3">
        <v>0</v>
      </c>
      <c r="P51" s="3">
        <v>6</v>
      </c>
      <c r="Q51" s="3">
        <v>408</v>
      </c>
      <c r="R51" s="3">
        <v>408</v>
      </c>
      <c r="S51" s="3">
        <v>6</v>
      </c>
      <c r="T51" s="3">
        <v>61</v>
      </c>
      <c r="U51" s="3">
        <v>5.1613121578515404E-4</v>
      </c>
      <c r="V51" s="3">
        <v>0.26537704260046002</v>
      </c>
      <c r="W51" s="3">
        <v>0.53073146200505505</v>
      </c>
      <c r="X51" s="3">
        <v>0.32432467993842201</v>
      </c>
      <c r="Y51" s="3">
        <v>7.5078985230029094E-2</v>
      </c>
      <c r="Z51" s="3">
        <v>5.0289455423700698E-3</v>
      </c>
      <c r="AA51" s="3">
        <v>-1.4270485322699899E-2</v>
      </c>
      <c r="AB51" s="3">
        <v>1.85780506499489E-3</v>
      </c>
      <c r="AC51" s="3">
        <v>1886.79218526572</v>
      </c>
      <c r="AD51" s="3">
        <v>2017223.52261128</v>
      </c>
      <c r="AE51" s="3">
        <v>15789.7208703836</v>
      </c>
      <c r="AF51" s="3">
        <v>26030881.732858598</v>
      </c>
    </row>
    <row r="52" spans="1:32" x14ac:dyDescent="0.25">
      <c r="A52" s="3">
        <v>1526</v>
      </c>
      <c r="B52" s="4">
        <v>45447</v>
      </c>
      <c r="C52" s="3">
        <v>8</v>
      </c>
      <c r="D52" s="3" t="s">
        <v>54</v>
      </c>
      <c r="E52" s="3">
        <v>4.71</v>
      </c>
      <c r="F52" s="3">
        <v>905</v>
      </c>
      <c r="G52" s="3" t="s">
        <v>55</v>
      </c>
      <c r="H52" s="3">
        <v>45.433112700000002</v>
      </c>
      <c r="I52" s="3">
        <v>-73.938627629999999</v>
      </c>
      <c r="J52" s="3">
        <v>39.020000000000003</v>
      </c>
      <c r="K52" s="3">
        <v>0</v>
      </c>
      <c r="L52" s="3">
        <v>0</v>
      </c>
      <c r="M52" s="3">
        <v>1</v>
      </c>
      <c r="N52" s="3" t="s">
        <v>56</v>
      </c>
      <c r="O52" s="3">
        <v>1</v>
      </c>
      <c r="P52" s="3">
        <v>7</v>
      </c>
      <c r="Q52" s="3">
        <v>409</v>
      </c>
      <c r="R52" s="3">
        <v>409</v>
      </c>
      <c r="S52" s="3">
        <v>3</v>
      </c>
      <c r="T52" s="3">
        <v>34</v>
      </c>
      <c r="U52" s="3">
        <v>2.8767969404418399E-4</v>
      </c>
      <c r="V52" s="3">
        <v>0.264103557363913</v>
      </c>
      <c r="W52" s="3">
        <v>0.52818503576093401</v>
      </c>
      <c r="X52" s="3">
        <v>0.19448428310153801</v>
      </c>
      <c r="Y52" s="3">
        <v>7.3107300205742007E-2</v>
      </c>
      <c r="Z52" s="3">
        <v>5.1262553827491602E-3</v>
      </c>
      <c r="AA52" s="3">
        <v>-1.3625884565333099E-2</v>
      </c>
      <c r="AB52" s="3">
        <v>1.7562489621722301E-3</v>
      </c>
      <c r="AC52" s="3">
        <v>1903.5050978534</v>
      </c>
      <c r="AD52" s="3">
        <v>2160974.3895832901</v>
      </c>
      <c r="AE52" s="3">
        <v>16107.50610205</v>
      </c>
      <c r="AF52" s="3">
        <v>26503479.554655999</v>
      </c>
    </row>
    <row r="53" spans="1:32" x14ac:dyDescent="0.25">
      <c r="A53" s="3">
        <v>1541</v>
      </c>
      <c r="B53" s="4">
        <v>45447</v>
      </c>
      <c r="C53" s="3">
        <v>8</v>
      </c>
      <c r="D53" s="3" t="s">
        <v>92</v>
      </c>
      <c r="E53" s="3">
        <v>4.71</v>
      </c>
      <c r="F53" s="3">
        <v>905</v>
      </c>
      <c r="G53" s="3" t="s">
        <v>52</v>
      </c>
      <c r="H53" s="3">
        <v>45.433088439999999</v>
      </c>
      <c r="I53" s="3">
        <v>-73.938611300000005</v>
      </c>
      <c r="J53" s="3">
        <v>39.020000000000003</v>
      </c>
      <c r="K53" s="3">
        <v>0</v>
      </c>
      <c r="L53" s="3">
        <v>0</v>
      </c>
      <c r="M53" s="3">
        <v>1</v>
      </c>
      <c r="N53" s="5" t="s">
        <v>93</v>
      </c>
      <c r="O53" s="3">
        <v>2</v>
      </c>
      <c r="P53" s="3">
        <v>7</v>
      </c>
      <c r="Q53" s="3">
        <v>410</v>
      </c>
      <c r="R53" s="3">
        <v>410</v>
      </c>
      <c r="S53" s="3">
        <v>3</v>
      </c>
      <c r="T53" s="3">
        <v>47</v>
      </c>
      <c r="U53" s="3">
        <v>3.9766477705389599E-4</v>
      </c>
      <c r="V53" s="3">
        <v>0.26320584049675499</v>
      </c>
      <c r="W53" s="3">
        <v>0.52638823994774697</v>
      </c>
      <c r="X53" s="3">
        <v>0.21389192247470401</v>
      </c>
      <c r="Y53" s="3">
        <v>6.6702595609853602E-2</v>
      </c>
      <c r="Z53" s="3">
        <v>4.7059156524672198E-3</v>
      </c>
      <c r="AA53" s="3">
        <v>-1.6195368122071001E-2</v>
      </c>
      <c r="AB53" s="3">
        <v>1.7401538702153099E-3</v>
      </c>
      <c r="AC53" s="3">
        <v>1849.2504611219199</v>
      </c>
      <c r="AD53" s="3">
        <v>1842153.3120725399</v>
      </c>
      <c r="AE53" s="3">
        <v>15324.567277701301</v>
      </c>
      <c r="AF53" s="3">
        <v>24635630.078645501</v>
      </c>
    </row>
    <row r="54" spans="1:32" x14ac:dyDescent="0.25">
      <c r="A54" s="3">
        <v>1542</v>
      </c>
      <c r="B54" s="4">
        <v>45447</v>
      </c>
      <c r="C54" s="3">
        <v>8</v>
      </c>
      <c r="D54" s="3" t="s">
        <v>94</v>
      </c>
      <c r="E54" s="3">
        <v>4.71</v>
      </c>
      <c r="F54" s="3">
        <v>905</v>
      </c>
      <c r="G54" s="3" t="s">
        <v>55</v>
      </c>
      <c r="H54" s="3">
        <v>45.433062790000001</v>
      </c>
      <c r="I54" s="3">
        <v>-73.938594179999996</v>
      </c>
      <c r="J54" s="3">
        <v>39.020000000000003</v>
      </c>
      <c r="K54" s="3">
        <v>0</v>
      </c>
      <c r="L54" s="3">
        <v>0</v>
      </c>
      <c r="M54" s="3">
        <v>1</v>
      </c>
      <c r="N54" s="3" t="s">
        <v>95</v>
      </c>
      <c r="O54" s="3">
        <v>3</v>
      </c>
      <c r="P54" s="3">
        <v>7</v>
      </c>
      <c r="Q54" s="3">
        <v>411</v>
      </c>
      <c r="R54" s="3">
        <v>411</v>
      </c>
      <c r="S54" s="3">
        <v>12</v>
      </c>
      <c r="T54" s="3">
        <v>131</v>
      </c>
      <c r="U54" s="3">
        <v>1.1083941821996999E-3</v>
      </c>
      <c r="V54" s="3">
        <v>0.26091787928905902</v>
      </c>
      <c r="W54" s="3">
        <v>0.52181408697258902</v>
      </c>
      <c r="X54" s="3">
        <v>0.48571729319351098</v>
      </c>
      <c r="Y54" s="3">
        <v>6.8033606796598797E-2</v>
      </c>
      <c r="Z54" s="3">
        <v>5.2394375863350998E-3</v>
      </c>
      <c r="AA54" s="3">
        <v>-1.4520236900656401E-2</v>
      </c>
      <c r="AB54" s="3">
        <v>2.04867790557792E-3</v>
      </c>
      <c r="AC54" s="3">
        <v>1927.1199180972801</v>
      </c>
      <c r="AD54" s="3">
        <v>2536745.5944580398</v>
      </c>
      <c r="AE54" s="3">
        <v>16102.0227800189</v>
      </c>
      <c r="AF54" s="3">
        <v>27751271.4547689</v>
      </c>
    </row>
    <row r="55" spans="1:32" x14ac:dyDescent="0.25">
      <c r="A55" s="3">
        <v>1557</v>
      </c>
      <c r="B55" s="4">
        <v>45447</v>
      </c>
      <c r="C55" s="3">
        <v>8</v>
      </c>
      <c r="D55" s="3" t="s">
        <v>124</v>
      </c>
      <c r="E55" s="3">
        <v>4.71</v>
      </c>
      <c r="F55" s="3">
        <v>905</v>
      </c>
      <c r="G55" s="3" t="s">
        <v>52</v>
      </c>
      <c r="H55" s="3">
        <v>45.433038779999997</v>
      </c>
      <c r="I55" s="3">
        <v>-73.938577969999997</v>
      </c>
      <c r="J55" s="3">
        <v>39.020000000000003</v>
      </c>
      <c r="K55" s="3">
        <v>0</v>
      </c>
      <c r="L55" s="3">
        <v>0</v>
      </c>
      <c r="M55" s="3">
        <v>1</v>
      </c>
      <c r="N55" s="3" t="s">
        <v>125</v>
      </c>
      <c r="O55" s="3">
        <v>4</v>
      </c>
      <c r="P55" s="3">
        <v>7</v>
      </c>
      <c r="Q55" s="3">
        <v>412</v>
      </c>
      <c r="R55" s="3">
        <v>412</v>
      </c>
      <c r="S55" s="3">
        <v>1</v>
      </c>
      <c r="T55" s="3">
        <v>11</v>
      </c>
      <c r="U55" s="5">
        <v>9.3072842190765497E-5</v>
      </c>
      <c r="V55" s="3">
        <v>0.25846291055653198</v>
      </c>
      <c r="W55" s="3">
        <v>0.51690341794283101</v>
      </c>
      <c r="X55" s="3">
        <v>5.86981407650101E-2</v>
      </c>
      <c r="Y55" s="3">
        <v>6.6312242459762097E-2</v>
      </c>
      <c r="Z55" s="3">
        <v>5.1190707097136696E-3</v>
      </c>
      <c r="AA55" s="3">
        <v>-1.5591408839828199E-2</v>
      </c>
      <c r="AB55" s="3">
        <v>1.7195609677404899E-3</v>
      </c>
      <c r="AC55" s="3">
        <v>1812.2213102963899</v>
      </c>
      <c r="AD55" s="3">
        <v>1784855.6782337199</v>
      </c>
      <c r="AE55" s="3">
        <v>15729.1409469354</v>
      </c>
      <c r="AF55" s="3">
        <v>27458541.341374099</v>
      </c>
    </row>
    <row r="56" spans="1:32" x14ac:dyDescent="0.25">
      <c r="A56" s="3">
        <v>1558</v>
      </c>
      <c r="B56" s="4">
        <v>45447</v>
      </c>
      <c r="C56" s="3">
        <v>8</v>
      </c>
      <c r="D56" s="3" t="s">
        <v>126</v>
      </c>
      <c r="E56" s="3">
        <v>4.71</v>
      </c>
      <c r="F56" s="3">
        <v>905</v>
      </c>
      <c r="G56" s="3" t="s">
        <v>55</v>
      </c>
      <c r="H56" s="3">
        <v>45.433013350000003</v>
      </c>
      <c r="I56" s="3">
        <v>-73.938561010000001</v>
      </c>
      <c r="J56" s="3">
        <v>39.018999999999998</v>
      </c>
      <c r="K56" s="3">
        <v>0</v>
      </c>
      <c r="L56" s="3">
        <v>0</v>
      </c>
      <c r="M56" s="3">
        <v>1</v>
      </c>
      <c r="N56" s="3" t="s">
        <v>127</v>
      </c>
      <c r="O56" s="3">
        <v>5</v>
      </c>
      <c r="P56" s="3">
        <v>7</v>
      </c>
      <c r="Q56" s="3">
        <v>413</v>
      </c>
      <c r="R56" s="3">
        <v>413</v>
      </c>
      <c r="S56" s="3">
        <v>18</v>
      </c>
      <c r="T56" s="3">
        <v>283</v>
      </c>
      <c r="U56" s="3">
        <v>2.3944901343622002E-3</v>
      </c>
      <c r="V56" s="3">
        <v>0.25452558220286498</v>
      </c>
      <c r="W56" s="3">
        <v>0.50902953517942995</v>
      </c>
      <c r="X56" s="3">
        <v>0.63630741700767102</v>
      </c>
      <c r="Y56" s="3">
        <v>6.3961164559994205E-2</v>
      </c>
      <c r="Z56" s="3">
        <v>5.3389472040764E-3</v>
      </c>
      <c r="AA56" s="3">
        <v>-1.88920730909992E-2</v>
      </c>
      <c r="AB56" s="3">
        <v>1.8639520741195099E-3</v>
      </c>
      <c r="AC56" s="3">
        <v>1913.17264866145</v>
      </c>
      <c r="AD56" s="3">
        <v>2765010.2186525501</v>
      </c>
      <c r="AE56" s="3">
        <v>16075.843551281399</v>
      </c>
      <c r="AF56" s="3">
        <v>27973832.9639013</v>
      </c>
    </row>
    <row r="57" spans="1:32" x14ac:dyDescent="0.25">
      <c r="A57" s="3">
        <v>1573</v>
      </c>
      <c r="B57" s="4">
        <v>45447</v>
      </c>
      <c r="C57" s="3">
        <v>8</v>
      </c>
      <c r="D57" s="3" t="s">
        <v>156</v>
      </c>
      <c r="E57" s="3">
        <v>4.71</v>
      </c>
      <c r="F57" s="3">
        <v>905</v>
      </c>
      <c r="G57" s="3" t="s">
        <v>52</v>
      </c>
      <c r="H57" s="3">
        <v>45.4329891</v>
      </c>
      <c r="I57" s="3">
        <v>-73.938544620000002</v>
      </c>
      <c r="J57" s="3">
        <v>39.018999999999998</v>
      </c>
      <c r="K57" s="3">
        <v>0</v>
      </c>
      <c r="L57" s="3">
        <v>0</v>
      </c>
      <c r="M57" s="3">
        <v>1</v>
      </c>
      <c r="N57" s="3" t="s">
        <v>157</v>
      </c>
      <c r="O57" s="3">
        <v>6</v>
      </c>
      <c r="P57" s="3">
        <v>7</v>
      </c>
      <c r="Q57" s="3">
        <v>414</v>
      </c>
      <c r="R57" s="3">
        <v>414</v>
      </c>
      <c r="S57" s="3">
        <v>5</v>
      </c>
      <c r="T57" s="3">
        <v>34</v>
      </c>
      <c r="U57" s="3">
        <v>2.8767969404418399E-4</v>
      </c>
      <c r="V57" s="3">
        <v>0.24834501525973299</v>
      </c>
      <c r="W57" s="3">
        <v>0.49666846937822401</v>
      </c>
      <c r="X57" s="3">
        <v>0.202936880748431</v>
      </c>
      <c r="Y57" s="3">
        <v>5.9070782695926603E-2</v>
      </c>
      <c r="Z57" s="3">
        <v>5.4584502897973997E-3</v>
      </c>
      <c r="AA57" s="3">
        <v>-2.3862817549100301E-2</v>
      </c>
      <c r="AB57" s="3">
        <v>2.2578136236274201E-3</v>
      </c>
      <c r="AC57" s="3">
        <v>1773.2503997901599</v>
      </c>
      <c r="AD57" s="3">
        <v>2341844.0882133101</v>
      </c>
      <c r="AE57" s="3">
        <v>15924.5565579551</v>
      </c>
      <c r="AF57" s="3">
        <v>28220157.774826702</v>
      </c>
    </row>
  </sheetData>
  <sortState xmlns:xlrd2="http://schemas.microsoft.com/office/spreadsheetml/2017/richdata2" ref="A2:AF57">
    <sortCondition ref="Q2:Q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09C0-B3BF-43E5-8E3C-08948F8912DB}">
  <dimension ref="A1:AI57"/>
  <sheetViews>
    <sheetView topLeftCell="B1" zoomScale="85" zoomScaleNormal="85" workbookViewId="0">
      <selection activeCell="C2" sqref="C2:C57"/>
    </sheetView>
  </sheetViews>
  <sheetFormatPr defaultRowHeight="15" x14ac:dyDescent="0.25"/>
  <cols>
    <col min="1" max="1" width="5" bestFit="1" customWidth="1"/>
    <col min="2" max="2" width="10.42578125" bestFit="1" customWidth="1"/>
    <col min="3" max="3" width="10.42578125" customWidth="1"/>
    <col min="4" max="4" width="11" bestFit="1" customWidth="1"/>
    <col min="5" max="5" width="7.7109375" bestFit="1" customWidth="1"/>
    <col min="6" max="6" width="4" bestFit="1" customWidth="1"/>
    <col min="7" max="7" width="6.28515625" bestFit="1" customWidth="1"/>
    <col min="8" max="8" width="12" bestFit="1" customWidth="1"/>
    <col min="9" max="9" width="12.7109375" bestFit="1" customWidth="1"/>
    <col min="10" max="10" width="7" bestFit="1" customWidth="1"/>
    <col min="11" max="11" width="9.7109375" bestFit="1" customWidth="1"/>
    <col min="12" max="12" width="11.85546875" bestFit="1" customWidth="1"/>
    <col min="13" max="13" width="9.7109375" bestFit="1" customWidth="1"/>
    <col min="14" max="14" width="7" bestFit="1" customWidth="1"/>
    <col min="15" max="15" width="17.85546875" bestFit="1" customWidth="1"/>
    <col min="16" max="16" width="16.42578125" bestFit="1" customWidth="1"/>
    <col min="17" max="17" width="15.85546875" bestFit="1" customWidth="1"/>
    <col min="18" max="18" width="12.7109375" bestFit="1" customWidth="1"/>
    <col min="19" max="19" width="18" bestFit="1" customWidth="1"/>
    <col min="20" max="21" width="12" bestFit="1" customWidth="1"/>
    <col min="22" max="22" width="14.7109375" bestFit="1" customWidth="1"/>
    <col min="23" max="23" width="15.85546875" bestFit="1" customWidth="1"/>
    <col min="24" max="24" width="13.85546875" bestFit="1" customWidth="1"/>
    <col min="25" max="26" width="12" bestFit="1" customWidth="1"/>
    <col min="27" max="27" width="13.140625" bestFit="1" customWidth="1"/>
    <col min="28" max="28" width="15.42578125" bestFit="1" customWidth="1"/>
    <col min="29" max="29" width="18.140625" bestFit="1" customWidth="1"/>
    <col min="30" max="30" width="14.85546875" bestFit="1" customWidth="1"/>
    <col min="31" max="31" width="17.5703125" bestFit="1" customWidth="1"/>
    <col min="32" max="32" width="13.140625" bestFit="1" customWidth="1"/>
    <col min="33" max="33" width="15.7109375" bestFit="1" customWidth="1"/>
    <col min="34" max="34" width="12.85546875" bestFit="1" customWidth="1"/>
    <col min="35" max="35" width="15.5703125" bestFit="1" customWidth="1"/>
  </cols>
  <sheetData>
    <row r="1" spans="1:35" x14ac:dyDescent="0.25">
      <c r="A1" t="s">
        <v>0</v>
      </c>
      <c r="B1" t="s">
        <v>1</v>
      </c>
      <c r="C1" t="s">
        <v>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21</v>
      </c>
      <c r="U1" t="s">
        <v>158</v>
      </c>
      <c r="V1" t="s">
        <v>159</v>
      </c>
      <c r="W1" t="s">
        <v>160</v>
      </c>
      <c r="X1" t="s">
        <v>161</v>
      </c>
      <c r="Y1" t="s">
        <v>22</v>
      </c>
      <c r="Z1" t="s">
        <v>162</v>
      </c>
      <c r="AA1" t="s">
        <v>163</v>
      </c>
      <c r="AB1" t="s">
        <v>164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</row>
    <row r="2" spans="1:35" x14ac:dyDescent="0.25">
      <c r="A2">
        <v>1517</v>
      </c>
      <c r="B2" s="1">
        <v>45447</v>
      </c>
      <c r="C2">
        <v>13</v>
      </c>
      <c r="D2" t="s">
        <v>31</v>
      </c>
      <c r="E2">
        <v>4.71</v>
      </c>
      <c r="F2">
        <v>905</v>
      </c>
      <c r="G2" t="s">
        <v>32</v>
      </c>
      <c r="H2">
        <v>45.432950300000002</v>
      </c>
      <c r="I2">
        <v>-73.939211110000002</v>
      </c>
      <c r="J2">
        <v>39.021000000000001</v>
      </c>
      <c r="K2">
        <v>0</v>
      </c>
      <c r="L2">
        <v>0</v>
      </c>
      <c r="N2">
        <v>1</v>
      </c>
      <c r="O2" t="s">
        <v>33</v>
      </c>
      <c r="P2">
        <v>0</v>
      </c>
      <c r="Q2">
        <v>0</v>
      </c>
      <c r="R2">
        <v>101</v>
      </c>
      <c r="S2">
        <v>101</v>
      </c>
      <c r="T2">
        <v>0.23532461899343701</v>
      </c>
      <c r="U2">
        <v>1.5681716851221699E-2</v>
      </c>
      <c r="V2">
        <v>1277</v>
      </c>
      <c r="W2">
        <v>8.9366317925749696E-3</v>
      </c>
      <c r="X2">
        <v>69</v>
      </c>
      <c r="Y2">
        <v>0.93073866477197997</v>
      </c>
      <c r="Z2">
        <v>0.23532461899343701</v>
      </c>
      <c r="AA2">
        <v>2.4592893611485498E-3</v>
      </c>
      <c r="AB2">
        <v>0.38610535001791502</v>
      </c>
      <c r="AC2">
        <v>2.1730236593466398E-3</v>
      </c>
      <c r="AD2">
        <v>0.124136034900584</v>
      </c>
      <c r="AE2">
        <v>8.0650910111526499E-4</v>
      </c>
      <c r="AF2">
        <v>2673.8035270653299</v>
      </c>
      <c r="AG2">
        <v>1075697.9730363199</v>
      </c>
      <c r="AH2">
        <v>16849.914049223</v>
      </c>
      <c r="AI2">
        <v>12563161.913599901</v>
      </c>
    </row>
    <row r="3" spans="1:35" x14ac:dyDescent="0.25">
      <c r="A3">
        <v>1519</v>
      </c>
      <c r="B3" s="1">
        <v>45447</v>
      </c>
      <c r="C3">
        <v>13</v>
      </c>
      <c r="D3" t="s">
        <v>34</v>
      </c>
      <c r="E3">
        <v>4.71</v>
      </c>
      <c r="F3">
        <v>905</v>
      </c>
      <c r="G3" t="s">
        <v>35</v>
      </c>
      <c r="H3">
        <v>45.432976490000001</v>
      </c>
      <c r="I3">
        <v>-73.939129780000002</v>
      </c>
      <c r="J3">
        <v>39.021000000000001</v>
      </c>
      <c r="K3">
        <v>0</v>
      </c>
      <c r="L3">
        <v>0</v>
      </c>
      <c r="N3">
        <v>1</v>
      </c>
      <c r="O3" t="s">
        <v>36</v>
      </c>
      <c r="P3">
        <v>0</v>
      </c>
      <c r="Q3">
        <v>1</v>
      </c>
      <c r="R3">
        <v>108</v>
      </c>
      <c r="S3">
        <v>108</v>
      </c>
      <c r="T3">
        <v>0.22549139352935699</v>
      </c>
      <c r="U3">
        <v>1.6015568663556901E-2</v>
      </c>
      <c r="V3">
        <v>1365</v>
      </c>
      <c r="W3">
        <v>9.5526022968235001E-3</v>
      </c>
      <c r="X3">
        <v>78</v>
      </c>
      <c r="Y3">
        <v>0.97785526315789495</v>
      </c>
      <c r="Z3">
        <v>0.22549139352935699</v>
      </c>
      <c r="AA3">
        <v>2.3883706292661898E-3</v>
      </c>
      <c r="AB3">
        <v>0.37751448615620797</v>
      </c>
      <c r="AC3">
        <v>1.8815692546867099E-3</v>
      </c>
      <c r="AD3">
        <v>0.11866166779656601</v>
      </c>
      <c r="AE3">
        <v>8.3471363801958796E-4</v>
      </c>
      <c r="AF3">
        <v>2718.8148334767998</v>
      </c>
      <c r="AG3">
        <v>1198562.88457579</v>
      </c>
      <c r="AH3">
        <v>16987.685623430199</v>
      </c>
      <c r="AI3">
        <v>13785582.859377399</v>
      </c>
    </row>
    <row r="4" spans="1:35" x14ac:dyDescent="0.25">
      <c r="A4">
        <v>1520</v>
      </c>
      <c r="B4" s="1">
        <v>45447</v>
      </c>
      <c r="C4">
        <v>13</v>
      </c>
      <c r="D4" t="s">
        <v>37</v>
      </c>
      <c r="E4">
        <v>4.71</v>
      </c>
      <c r="F4">
        <v>905</v>
      </c>
      <c r="G4" t="s">
        <v>38</v>
      </c>
      <c r="H4">
        <v>45.433003650000003</v>
      </c>
      <c r="I4">
        <v>-73.939049060000002</v>
      </c>
      <c r="J4">
        <v>39.021000000000001</v>
      </c>
      <c r="K4">
        <v>0</v>
      </c>
      <c r="L4">
        <v>0</v>
      </c>
      <c r="N4">
        <v>1</v>
      </c>
      <c r="O4" t="s">
        <v>39</v>
      </c>
      <c r="P4">
        <v>0</v>
      </c>
      <c r="Q4">
        <v>2</v>
      </c>
      <c r="R4">
        <v>201</v>
      </c>
      <c r="S4">
        <v>201</v>
      </c>
      <c r="T4">
        <v>0.228580691469943</v>
      </c>
      <c r="U4">
        <v>1.4714105789981899E-2</v>
      </c>
      <c r="V4">
        <v>2572</v>
      </c>
      <c r="W4">
        <v>1.7999230203995902E-2</v>
      </c>
      <c r="X4">
        <v>86</v>
      </c>
      <c r="Y4">
        <v>0.98800031578116398</v>
      </c>
      <c r="Z4">
        <v>0.228580691469943</v>
      </c>
      <c r="AA4">
        <v>3.9325426449710096E-3</v>
      </c>
      <c r="AB4">
        <v>0.36566202064991099</v>
      </c>
      <c r="AC4">
        <v>2.90001981903626E-3</v>
      </c>
      <c r="AD4">
        <v>0.10101875935296099</v>
      </c>
      <c r="AE4">
        <v>8.7309988061737699E-4</v>
      </c>
      <c r="AF4">
        <v>2719.5805270966298</v>
      </c>
      <c r="AG4">
        <v>1534109.9825003999</v>
      </c>
      <c r="AH4">
        <v>16508.9087968885</v>
      </c>
      <c r="AI4">
        <v>16490425.314486301</v>
      </c>
    </row>
    <row r="5" spans="1:35" x14ac:dyDescent="0.25">
      <c r="A5">
        <v>1521</v>
      </c>
      <c r="B5" s="1">
        <v>45447</v>
      </c>
      <c r="C5">
        <v>13</v>
      </c>
      <c r="D5" t="s">
        <v>40</v>
      </c>
      <c r="E5">
        <v>4.71</v>
      </c>
      <c r="F5">
        <v>905</v>
      </c>
      <c r="G5" t="s">
        <v>41</v>
      </c>
      <c r="H5">
        <v>45.43303015</v>
      </c>
      <c r="I5">
        <v>-73.938967959999999</v>
      </c>
      <c r="J5">
        <v>39.021000000000001</v>
      </c>
      <c r="K5">
        <v>0</v>
      </c>
      <c r="L5">
        <v>0</v>
      </c>
      <c r="N5">
        <v>1</v>
      </c>
      <c r="O5" t="s">
        <v>42</v>
      </c>
      <c r="P5">
        <v>0</v>
      </c>
      <c r="Q5">
        <v>3</v>
      </c>
      <c r="R5">
        <v>208</v>
      </c>
      <c r="S5">
        <v>208</v>
      </c>
      <c r="T5">
        <v>0.23506675165233501</v>
      </c>
      <c r="U5">
        <v>1.52261966221033E-2</v>
      </c>
      <c r="V5">
        <v>8087</v>
      </c>
      <c r="W5">
        <v>5.65943986451495E-2</v>
      </c>
      <c r="X5">
        <v>59</v>
      </c>
      <c r="Y5">
        <v>0.97809210526315804</v>
      </c>
      <c r="Z5">
        <v>0.23506675165233501</v>
      </c>
      <c r="AA5">
        <v>9.6413151354468301E-3</v>
      </c>
      <c r="AB5">
        <v>0.35658405798429299</v>
      </c>
      <c r="AC5">
        <v>3.7279228455851998E-3</v>
      </c>
      <c r="AD5">
        <v>8.7472901184319496E-2</v>
      </c>
      <c r="AE5">
        <v>1.1687367983592299E-3</v>
      </c>
      <c r="AF5">
        <v>3023.3712332218302</v>
      </c>
      <c r="AG5">
        <v>8308009.0972483</v>
      </c>
      <c r="AH5">
        <v>16465.8983014025</v>
      </c>
      <c r="AI5">
        <v>23875791.648727302</v>
      </c>
    </row>
    <row r="6" spans="1:35" x14ac:dyDescent="0.25">
      <c r="A6">
        <v>1522</v>
      </c>
      <c r="B6" s="1">
        <v>45447</v>
      </c>
      <c r="C6">
        <v>13</v>
      </c>
      <c r="D6" t="s">
        <v>43</v>
      </c>
      <c r="E6">
        <v>4.71</v>
      </c>
      <c r="F6">
        <v>905</v>
      </c>
      <c r="G6" t="s">
        <v>44</v>
      </c>
      <c r="H6">
        <v>45.433057239999997</v>
      </c>
      <c r="I6">
        <v>-73.938887170000001</v>
      </c>
      <c r="J6">
        <v>39.021000000000001</v>
      </c>
      <c r="K6">
        <v>0</v>
      </c>
      <c r="L6">
        <v>0</v>
      </c>
      <c r="N6">
        <v>1</v>
      </c>
      <c r="O6" t="s">
        <v>45</v>
      </c>
      <c r="P6">
        <v>0</v>
      </c>
      <c r="Q6">
        <v>4</v>
      </c>
      <c r="R6">
        <v>301</v>
      </c>
      <c r="S6">
        <v>301</v>
      </c>
      <c r="T6">
        <v>0.219663060152539</v>
      </c>
      <c r="U6">
        <v>1.45943370175485E-2</v>
      </c>
      <c r="V6">
        <v>4290</v>
      </c>
      <c r="W6">
        <v>3.0022464361445299E-2</v>
      </c>
      <c r="X6">
        <v>46</v>
      </c>
      <c r="Y6">
        <v>0.75652631578947405</v>
      </c>
      <c r="Z6">
        <v>0.219663060152539</v>
      </c>
      <c r="AA6">
        <v>6.36735958250529E-3</v>
      </c>
      <c r="AB6">
        <v>0.35473556716326499</v>
      </c>
      <c r="AC6">
        <v>3.1275322596598298E-3</v>
      </c>
      <c r="AD6">
        <v>8.82509758929481E-2</v>
      </c>
      <c r="AE6">
        <v>9.3862929558080296E-4</v>
      </c>
      <c r="AF6">
        <v>2931.6703687374502</v>
      </c>
      <c r="AG6">
        <v>4684304.0847466504</v>
      </c>
      <c r="AH6">
        <v>16337.968092153</v>
      </c>
      <c r="AI6">
        <v>17164686.267584801</v>
      </c>
    </row>
    <row r="7" spans="1:35" x14ac:dyDescent="0.25">
      <c r="A7">
        <v>1523</v>
      </c>
      <c r="B7" s="1">
        <v>45447</v>
      </c>
      <c r="C7">
        <v>13</v>
      </c>
      <c r="D7" t="s">
        <v>46</v>
      </c>
      <c r="E7">
        <v>4.71</v>
      </c>
      <c r="F7">
        <v>905</v>
      </c>
      <c r="G7" t="s">
        <v>47</v>
      </c>
      <c r="H7">
        <v>45.433084340000001</v>
      </c>
      <c r="I7">
        <v>-73.938806409999998</v>
      </c>
      <c r="J7">
        <v>39.021000000000001</v>
      </c>
      <c r="K7">
        <v>0</v>
      </c>
      <c r="L7">
        <v>0</v>
      </c>
      <c r="N7">
        <v>1</v>
      </c>
      <c r="O7">
        <v>5009381040517900</v>
      </c>
      <c r="P7">
        <v>0</v>
      </c>
      <c r="Q7">
        <v>5</v>
      </c>
      <c r="R7">
        <v>308</v>
      </c>
      <c r="S7">
        <v>308</v>
      </c>
      <c r="T7">
        <v>0.23125401680452601</v>
      </c>
      <c r="U7">
        <v>1.49931835786192E-2</v>
      </c>
      <c r="V7">
        <v>1744</v>
      </c>
      <c r="W7">
        <v>1.22050219746382E-2</v>
      </c>
      <c r="X7">
        <v>44</v>
      </c>
      <c r="Y7">
        <v>0.73038512651149301</v>
      </c>
      <c r="Z7">
        <v>0.23125401680452601</v>
      </c>
      <c r="AA7">
        <v>3.0404828711010699E-3</v>
      </c>
      <c r="AB7">
        <v>0.35929520747025001</v>
      </c>
      <c r="AC7">
        <v>2.6981472758558899E-3</v>
      </c>
      <c r="AD7">
        <v>9.5652047373528407E-2</v>
      </c>
      <c r="AE7">
        <v>1.0430257886293701E-3</v>
      </c>
      <c r="AF7">
        <v>2522.3803222013798</v>
      </c>
      <c r="AG7">
        <v>2063328.3179211901</v>
      </c>
      <c r="AH7">
        <v>16615.196457968399</v>
      </c>
      <c r="AI7">
        <v>18735848.319040801</v>
      </c>
    </row>
    <row r="8" spans="1:35" x14ac:dyDescent="0.25">
      <c r="A8">
        <v>1524</v>
      </c>
      <c r="B8" s="1">
        <v>45447</v>
      </c>
      <c r="C8">
        <v>13</v>
      </c>
      <c r="D8" t="s">
        <v>48</v>
      </c>
      <c r="E8">
        <v>4.71</v>
      </c>
      <c r="F8">
        <v>905</v>
      </c>
      <c r="G8" t="s">
        <v>49</v>
      </c>
      <c r="H8">
        <v>45.433110970000001</v>
      </c>
      <c r="I8">
        <v>-73.938725320000003</v>
      </c>
      <c r="J8">
        <v>39.021000000000001</v>
      </c>
      <c r="K8">
        <v>0</v>
      </c>
      <c r="L8">
        <v>0</v>
      </c>
      <c r="N8">
        <v>1</v>
      </c>
      <c r="O8" t="s">
        <v>50</v>
      </c>
      <c r="P8">
        <v>0</v>
      </c>
      <c r="Q8">
        <v>6</v>
      </c>
      <c r="R8">
        <v>401</v>
      </c>
      <c r="S8">
        <v>401</v>
      </c>
      <c r="T8">
        <v>0.234262408098311</v>
      </c>
      <c r="U8">
        <v>1.64593197499927E-2</v>
      </c>
      <c r="V8">
        <v>3654</v>
      </c>
      <c r="W8">
        <v>2.5571223625739201E-2</v>
      </c>
      <c r="X8">
        <v>43</v>
      </c>
      <c r="Y8">
        <v>0.87031749582242302</v>
      </c>
      <c r="Z8">
        <v>0.234262408098311</v>
      </c>
      <c r="AA8">
        <v>4.4820224962561104E-3</v>
      </c>
      <c r="AB8">
        <v>0.36286389462782997</v>
      </c>
      <c r="AC8">
        <v>2.7537978308252E-3</v>
      </c>
      <c r="AD8">
        <v>9.9049516434402102E-2</v>
      </c>
      <c r="AE8">
        <v>9.1238825921820504E-4</v>
      </c>
      <c r="AF8">
        <v>2889.4984779033598</v>
      </c>
      <c r="AG8">
        <v>4159347.7061996702</v>
      </c>
      <c r="AH8">
        <v>16605.305244074101</v>
      </c>
      <c r="AI8">
        <v>18318566.5228476</v>
      </c>
    </row>
    <row r="9" spans="1:35" x14ac:dyDescent="0.25">
      <c r="A9">
        <v>1525</v>
      </c>
      <c r="B9" s="1">
        <v>45447</v>
      </c>
      <c r="C9">
        <v>13</v>
      </c>
      <c r="D9" t="s">
        <v>51</v>
      </c>
      <c r="E9">
        <v>4.71</v>
      </c>
      <c r="F9">
        <v>905</v>
      </c>
      <c r="G9" t="s">
        <v>52</v>
      </c>
      <c r="H9">
        <v>45.433137909999999</v>
      </c>
      <c r="I9">
        <v>-73.93864447</v>
      </c>
      <c r="J9">
        <v>39.021000000000001</v>
      </c>
      <c r="K9">
        <v>0</v>
      </c>
      <c r="L9">
        <v>0</v>
      </c>
      <c r="N9">
        <v>1</v>
      </c>
      <c r="O9" t="s">
        <v>53</v>
      </c>
      <c r="P9">
        <v>0</v>
      </c>
      <c r="Q9">
        <v>6</v>
      </c>
      <c r="R9">
        <v>408</v>
      </c>
      <c r="S9">
        <v>408</v>
      </c>
      <c r="T9">
        <v>0.243524853225389</v>
      </c>
      <c r="U9">
        <v>1.5811623561260601E-2</v>
      </c>
      <c r="V9">
        <v>4672</v>
      </c>
      <c r="W9">
        <v>3.269533573603E-2</v>
      </c>
      <c r="X9">
        <v>58</v>
      </c>
      <c r="Y9">
        <v>0.95418360767904797</v>
      </c>
      <c r="Z9">
        <v>0.243524853225389</v>
      </c>
      <c r="AA9">
        <v>6.0220968437726102E-3</v>
      </c>
      <c r="AB9">
        <v>0.37451817729425801</v>
      </c>
      <c r="AC9">
        <v>3.4908946961767899E-3</v>
      </c>
      <c r="AD9">
        <v>0.104652847655708</v>
      </c>
      <c r="AE9">
        <v>1.10681202091535E-3</v>
      </c>
      <c r="AF9">
        <v>2923.0888198409998</v>
      </c>
      <c r="AG9">
        <v>5059712.5210272102</v>
      </c>
      <c r="AH9">
        <v>17013.376014555801</v>
      </c>
      <c r="AI9">
        <v>21808397.9035009</v>
      </c>
    </row>
    <row r="10" spans="1:35" x14ac:dyDescent="0.25">
      <c r="A10">
        <v>1526</v>
      </c>
      <c r="B10" s="1">
        <v>45447</v>
      </c>
      <c r="C10">
        <v>13</v>
      </c>
      <c r="D10" t="s">
        <v>54</v>
      </c>
      <c r="E10">
        <v>4.71</v>
      </c>
      <c r="F10">
        <v>905</v>
      </c>
      <c r="G10" t="s">
        <v>55</v>
      </c>
      <c r="H10">
        <v>45.433112700000002</v>
      </c>
      <c r="I10">
        <v>-73.938627629999999</v>
      </c>
      <c r="J10">
        <v>39.020000000000003</v>
      </c>
      <c r="K10">
        <v>0</v>
      </c>
      <c r="L10">
        <v>0</v>
      </c>
      <c r="N10">
        <v>1</v>
      </c>
      <c r="O10" t="s">
        <v>56</v>
      </c>
      <c r="P10">
        <v>1</v>
      </c>
      <c r="Q10">
        <v>7</v>
      </c>
      <c r="R10">
        <v>409</v>
      </c>
      <c r="S10">
        <v>409</v>
      </c>
      <c r="T10">
        <v>0.22942994632462299</v>
      </c>
      <c r="U10">
        <v>1.4671389900202199E-2</v>
      </c>
      <c r="V10">
        <v>1434</v>
      </c>
      <c r="W10">
        <v>1.00353406347318E-2</v>
      </c>
      <c r="X10">
        <v>43</v>
      </c>
      <c r="Y10">
        <v>0.60805547514408298</v>
      </c>
      <c r="Z10">
        <v>0.22942994632462299</v>
      </c>
      <c r="AA10">
        <v>2.97560691270864E-3</v>
      </c>
      <c r="AB10">
        <v>0.37039406507954198</v>
      </c>
      <c r="AC10">
        <v>2.7161844147300198E-3</v>
      </c>
      <c r="AD10">
        <v>0.102646660790487</v>
      </c>
      <c r="AE10">
        <v>9.4696322999287305E-4</v>
      </c>
      <c r="AF10">
        <v>2735.4815703838499</v>
      </c>
      <c r="AG10">
        <v>2153022.99441694</v>
      </c>
      <c r="AH10">
        <v>17225.6019034456</v>
      </c>
      <c r="AI10">
        <v>16799791.324477501</v>
      </c>
    </row>
    <row r="11" spans="1:35" x14ac:dyDescent="0.25">
      <c r="A11">
        <v>1527</v>
      </c>
      <c r="B11" s="1">
        <v>45447</v>
      </c>
      <c r="C11">
        <v>13</v>
      </c>
      <c r="D11" t="s">
        <v>57</v>
      </c>
      <c r="E11">
        <v>4.71</v>
      </c>
      <c r="F11">
        <v>905</v>
      </c>
      <c r="G11" t="s">
        <v>58</v>
      </c>
      <c r="H11">
        <v>45.433086109999998</v>
      </c>
      <c r="I11">
        <v>-73.938708719999994</v>
      </c>
      <c r="J11">
        <v>39.020000000000003</v>
      </c>
      <c r="K11">
        <v>0</v>
      </c>
      <c r="L11">
        <v>0</v>
      </c>
      <c r="N11">
        <v>1</v>
      </c>
      <c r="O11" t="s">
        <v>59</v>
      </c>
      <c r="P11">
        <v>1</v>
      </c>
      <c r="Q11">
        <v>6</v>
      </c>
      <c r="R11">
        <v>402</v>
      </c>
      <c r="S11">
        <v>402</v>
      </c>
      <c r="T11">
        <v>0.23998713182391701</v>
      </c>
      <c r="U11">
        <v>1.5651830691296501E-2</v>
      </c>
      <c r="V11">
        <v>8241</v>
      </c>
      <c r="W11">
        <v>5.7671716994996298E-2</v>
      </c>
      <c r="X11">
        <v>64</v>
      </c>
      <c r="Y11">
        <v>0.98147392797463195</v>
      </c>
      <c r="Z11">
        <v>0.23998713182391701</v>
      </c>
      <c r="AA11">
        <v>1.06311452880672E-2</v>
      </c>
      <c r="AB11">
        <v>0.36907048949917598</v>
      </c>
      <c r="AC11">
        <v>4.2138958596078897E-3</v>
      </c>
      <c r="AD11">
        <v>9.5940677506457794E-2</v>
      </c>
      <c r="AE11">
        <v>1.2393173414716001E-3</v>
      </c>
      <c r="AF11">
        <v>3173.2009937366602</v>
      </c>
      <c r="AG11">
        <v>8564586.4891999103</v>
      </c>
      <c r="AH11">
        <v>16116.052974780299</v>
      </c>
      <c r="AI11">
        <v>23794130.8667324</v>
      </c>
    </row>
    <row r="12" spans="1:35" x14ac:dyDescent="0.25">
      <c r="A12">
        <v>1528</v>
      </c>
      <c r="B12" s="1">
        <v>45447</v>
      </c>
      <c r="C12">
        <v>13</v>
      </c>
      <c r="D12" t="s">
        <v>60</v>
      </c>
      <c r="E12">
        <v>4.71</v>
      </c>
      <c r="F12">
        <v>905</v>
      </c>
      <c r="G12" t="s">
        <v>61</v>
      </c>
      <c r="H12">
        <v>45.433059489999998</v>
      </c>
      <c r="I12">
        <v>-73.938789830000005</v>
      </c>
      <c r="J12">
        <v>39.021000000000001</v>
      </c>
      <c r="K12">
        <v>0</v>
      </c>
      <c r="L12">
        <v>0</v>
      </c>
      <c r="N12">
        <v>1</v>
      </c>
      <c r="O12" t="s">
        <v>62</v>
      </c>
      <c r="P12">
        <v>1</v>
      </c>
      <c r="Q12">
        <v>5</v>
      </c>
      <c r="R12">
        <v>309</v>
      </c>
      <c r="S12">
        <v>309</v>
      </c>
      <c r="T12">
        <v>0.24302609440137901</v>
      </c>
      <c r="U12">
        <v>1.5174554278987701E-2</v>
      </c>
      <c r="V12">
        <v>6918</v>
      </c>
      <c r="W12">
        <v>4.84135093145968E-2</v>
      </c>
      <c r="X12">
        <v>60</v>
      </c>
      <c r="Y12">
        <v>0.98394757963710999</v>
      </c>
      <c r="Z12">
        <v>0.24302609440137901</v>
      </c>
      <c r="AA12">
        <v>7.5936119609973296E-3</v>
      </c>
      <c r="AB12">
        <v>0.36579022863721899</v>
      </c>
      <c r="AC12">
        <v>3.7408651525698599E-3</v>
      </c>
      <c r="AD12">
        <v>9.5106153013260294E-2</v>
      </c>
      <c r="AE12">
        <v>1.29366714012815E-3</v>
      </c>
      <c r="AF12">
        <v>3052.94391646955</v>
      </c>
      <c r="AG12">
        <v>8514688.8587383702</v>
      </c>
      <c r="AH12">
        <v>16356.353779623099</v>
      </c>
      <c r="AI12">
        <v>23975077.322922502</v>
      </c>
    </row>
    <row r="13" spans="1:35" x14ac:dyDescent="0.25">
      <c r="A13">
        <v>1529</v>
      </c>
      <c r="B13" s="1">
        <v>45447</v>
      </c>
      <c r="C13">
        <v>13</v>
      </c>
      <c r="D13" t="s">
        <v>63</v>
      </c>
      <c r="E13">
        <v>4.71</v>
      </c>
      <c r="F13">
        <v>905</v>
      </c>
      <c r="G13" t="s">
        <v>64</v>
      </c>
      <c r="H13">
        <v>45.433032410000003</v>
      </c>
      <c r="I13">
        <v>-73.938870609999995</v>
      </c>
      <c r="J13">
        <v>39.021000000000001</v>
      </c>
      <c r="K13">
        <v>0</v>
      </c>
      <c r="L13">
        <v>0</v>
      </c>
      <c r="N13">
        <v>1</v>
      </c>
      <c r="O13" t="s">
        <v>65</v>
      </c>
      <c r="P13">
        <v>1</v>
      </c>
      <c r="Q13">
        <v>4</v>
      </c>
      <c r="R13">
        <v>302</v>
      </c>
      <c r="S13">
        <v>302</v>
      </c>
      <c r="T13">
        <v>0.21942649919132201</v>
      </c>
      <c r="U13">
        <v>1.4484673960828301E-2</v>
      </c>
      <c r="V13">
        <v>2906</v>
      </c>
      <c r="W13">
        <v>2.03368954392447E-2</v>
      </c>
      <c r="X13">
        <v>66</v>
      </c>
      <c r="Y13">
        <v>0.97861842105263197</v>
      </c>
      <c r="Z13">
        <v>0.21942649919132201</v>
      </c>
      <c r="AA13">
        <v>4.7497892032052E-3</v>
      </c>
      <c r="AB13">
        <v>0.35676922895605601</v>
      </c>
      <c r="AC13">
        <v>3.0203796863318999E-3</v>
      </c>
      <c r="AD13">
        <v>8.9993611481980304E-2</v>
      </c>
      <c r="AE13">
        <v>9.5121249791710403E-4</v>
      </c>
      <c r="AF13">
        <v>2759.8272693553899</v>
      </c>
      <c r="AG13">
        <v>2192135.8858492798</v>
      </c>
      <c r="AH13">
        <v>16430.498145518999</v>
      </c>
      <c r="AI13">
        <v>17636400.369971599</v>
      </c>
    </row>
    <row r="14" spans="1:35" x14ac:dyDescent="0.25">
      <c r="A14">
        <v>1530</v>
      </c>
      <c r="B14" s="1">
        <v>45447</v>
      </c>
      <c r="C14">
        <v>13</v>
      </c>
      <c r="D14" t="s">
        <v>66</v>
      </c>
      <c r="E14">
        <v>4.71</v>
      </c>
      <c r="F14">
        <v>905</v>
      </c>
      <c r="G14" t="s">
        <v>67</v>
      </c>
      <c r="H14">
        <v>45.433005639999998</v>
      </c>
      <c r="I14">
        <v>-73.938951599999996</v>
      </c>
      <c r="J14">
        <v>39.021000000000001</v>
      </c>
      <c r="K14">
        <v>0</v>
      </c>
      <c r="L14">
        <v>0</v>
      </c>
      <c r="N14">
        <v>1</v>
      </c>
      <c r="O14" t="s">
        <v>68</v>
      </c>
      <c r="P14">
        <v>1</v>
      </c>
      <c r="Q14">
        <v>3</v>
      </c>
      <c r="R14">
        <v>209</v>
      </c>
      <c r="S14">
        <v>209</v>
      </c>
      <c r="T14">
        <v>0.22690168415339401</v>
      </c>
      <c r="U14">
        <v>1.44479625489686E-2</v>
      </c>
      <c r="V14">
        <v>3836</v>
      </c>
      <c r="W14">
        <v>2.6845261839278298E-2</v>
      </c>
      <c r="X14">
        <v>47</v>
      </c>
      <c r="Y14">
        <v>0.95221052631578995</v>
      </c>
      <c r="Z14">
        <v>0.22690168415339401</v>
      </c>
      <c r="AA14">
        <v>5.1064218740515099E-3</v>
      </c>
      <c r="AB14">
        <v>0.35439108935334801</v>
      </c>
      <c r="AC14">
        <v>2.9786302028821199E-3</v>
      </c>
      <c r="AD14">
        <v>8.9167975844583594E-2</v>
      </c>
      <c r="AE14">
        <v>1.17734785102084E-3</v>
      </c>
      <c r="AF14">
        <v>2735.00040589528</v>
      </c>
      <c r="AG14">
        <v>5566581.8300558003</v>
      </c>
      <c r="AH14">
        <v>16830.0217286876</v>
      </c>
      <c r="AI14">
        <v>20539294.292902201</v>
      </c>
    </row>
    <row r="15" spans="1:35" x14ac:dyDescent="0.25">
      <c r="A15">
        <v>1531</v>
      </c>
      <c r="B15" s="1">
        <v>45447</v>
      </c>
      <c r="C15">
        <v>13</v>
      </c>
      <c r="D15" t="s">
        <v>69</v>
      </c>
      <c r="E15">
        <v>4.71</v>
      </c>
      <c r="F15">
        <v>905</v>
      </c>
      <c r="G15" t="s">
        <v>70</v>
      </c>
      <c r="H15">
        <v>45.432978560000002</v>
      </c>
      <c r="I15">
        <v>-73.939032299999994</v>
      </c>
      <c r="J15">
        <v>39.021000000000001</v>
      </c>
      <c r="K15">
        <v>0</v>
      </c>
      <c r="L15">
        <v>0</v>
      </c>
      <c r="N15">
        <v>1</v>
      </c>
      <c r="O15" t="s">
        <v>71</v>
      </c>
      <c r="P15">
        <v>1</v>
      </c>
      <c r="Q15">
        <v>2</v>
      </c>
      <c r="R15">
        <v>202</v>
      </c>
      <c r="S15">
        <v>202</v>
      </c>
      <c r="T15">
        <v>0.22104876345213201</v>
      </c>
      <c r="U15">
        <v>1.39704777221871E-2</v>
      </c>
      <c r="V15">
        <v>1352</v>
      </c>
      <c r="W15">
        <v>9.46142649199418E-3</v>
      </c>
      <c r="X15">
        <v>83</v>
      </c>
      <c r="Y15">
        <v>0.98107894736842105</v>
      </c>
      <c r="Z15">
        <v>0.22104876345213201</v>
      </c>
      <c r="AA15">
        <v>3.0821858610188199E-3</v>
      </c>
      <c r="AB15">
        <v>0.35459286736772</v>
      </c>
      <c r="AC15">
        <v>2.7940806190399599E-3</v>
      </c>
      <c r="AD15">
        <v>9.1677604184501493E-2</v>
      </c>
      <c r="AE15">
        <v>8.7925125981246099E-4</v>
      </c>
      <c r="AF15">
        <v>2648.1037397827799</v>
      </c>
      <c r="AG15">
        <v>1527173.1231116301</v>
      </c>
      <c r="AH15">
        <v>16931.281685420501</v>
      </c>
      <c r="AI15">
        <v>15930185.2881073</v>
      </c>
    </row>
    <row r="16" spans="1:35" x14ac:dyDescent="0.25">
      <c r="A16">
        <v>1532</v>
      </c>
      <c r="B16" s="1">
        <v>45447</v>
      </c>
      <c r="C16">
        <v>13</v>
      </c>
      <c r="D16" t="s">
        <v>72</v>
      </c>
      <c r="E16">
        <v>4.71</v>
      </c>
      <c r="F16">
        <v>905</v>
      </c>
      <c r="G16" t="s">
        <v>73</v>
      </c>
      <c r="H16">
        <v>45.432951600000003</v>
      </c>
      <c r="I16">
        <v>-73.939113210000002</v>
      </c>
      <c r="J16">
        <v>39.021000000000001</v>
      </c>
      <c r="K16">
        <v>0</v>
      </c>
      <c r="L16">
        <v>0</v>
      </c>
      <c r="N16">
        <v>1</v>
      </c>
      <c r="O16" t="s">
        <v>74</v>
      </c>
      <c r="P16">
        <v>1</v>
      </c>
      <c r="Q16">
        <v>1</v>
      </c>
      <c r="R16">
        <v>109</v>
      </c>
      <c r="S16">
        <v>109</v>
      </c>
      <c r="T16">
        <v>0.22477342336567799</v>
      </c>
      <c r="U16">
        <v>1.43967372359287E-2</v>
      </c>
      <c r="V16">
        <v>2435</v>
      </c>
      <c r="W16">
        <v>1.7040603524290699E-2</v>
      </c>
      <c r="X16">
        <v>67</v>
      </c>
      <c r="Y16">
        <v>0.92168421052631599</v>
      </c>
      <c r="Z16">
        <v>0.22477342336567799</v>
      </c>
      <c r="AA16">
        <v>3.5109026640371801E-3</v>
      </c>
      <c r="AB16">
        <v>0.37595592240482401</v>
      </c>
      <c r="AC16">
        <v>2.5374914464047801E-3</v>
      </c>
      <c r="AD16">
        <v>0.112003810774507</v>
      </c>
      <c r="AE16">
        <v>9.3005811138221204E-4</v>
      </c>
      <c r="AF16">
        <v>2573.1827648466701</v>
      </c>
      <c r="AG16">
        <v>2109623.7520043799</v>
      </c>
      <c r="AH16">
        <v>16866.204086245802</v>
      </c>
      <c r="AI16">
        <v>16068825.4741574</v>
      </c>
    </row>
    <row r="17" spans="1:35" x14ac:dyDescent="0.25">
      <c r="A17">
        <v>1533</v>
      </c>
      <c r="B17" s="1">
        <v>45447</v>
      </c>
      <c r="C17">
        <v>13</v>
      </c>
      <c r="D17" t="s">
        <v>75</v>
      </c>
      <c r="E17">
        <v>4.71</v>
      </c>
      <c r="F17">
        <v>905</v>
      </c>
      <c r="G17" t="s">
        <v>76</v>
      </c>
      <c r="H17">
        <v>45.432924700000001</v>
      </c>
      <c r="I17">
        <v>-73.939194060000005</v>
      </c>
      <c r="J17">
        <v>39.021000000000001</v>
      </c>
      <c r="K17">
        <v>0</v>
      </c>
      <c r="L17">
        <v>0</v>
      </c>
      <c r="N17">
        <v>1</v>
      </c>
      <c r="O17" t="s">
        <v>77</v>
      </c>
      <c r="P17">
        <v>1</v>
      </c>
      <c r="Q17">
        <v>0</v>
      </c>
      <c r="R17">
        <v>102</v>
      </c>
      <c r="S17">
        <v>102</v>
      </c>
      <c r="T17">
        <v>0.236583605166686</v>
      </c>
      <c r="U17">
        <v>1.55778859279102E-2</v>
      </c>
      <c r="V17">
        <v>2680</v>
      </c>
      <c r="W17">
        <v>1.8755161168418501E-2</v>
      </c>
      <c r="X17">
        <v>85</v>
      </c>
      <c r="Y17">
        <v>0.98038157894736799</v>
      </c>
      <c r="Z17">
        <v>0.236583605166686</v>
      </c>
      <c r="AA17">
        <v>3.6841610411083299E-3</v>
      </c>
      <c r="AB17">
        <v>0.38132023994320002</v>
      </c>
      <c r="AC17">
        <v>2.6796662696601799E-3</v>
      </c>
      <c r="AD17">
        <v>0.11797146939582399</v>
      </c>
      <c r="AE17">
        <v>7.4596387357758797E-4</v>
      </c>
      <c r="AF17">
        <v>2796.3925287275902</v>
      </c>
      <c r="AG17">
        <v>1532110.1542195801</v>
      </c>
      <c r="AH17">
        <v>16813.706325273</v>
      </c>
      <c r="AI17">
        <v>13485482.6339013</v>
      </c>
    </row>
    <row r="18" spans="1:35" x14ac:dyDescent="0.25">
      <c r="A18">
        <v>1534</v>
      </c>
      <c r="B18" s="1">
        <v>45447</v>
      </c>
      <c r="C18">
        <v>13</v>
      </c>
      <c r="D18" t="s">
        <v>78</v>
      </c>
      <c r="E18">
        <v>4.71</v>
      </c>
      <c r="F18">
        <v>905</v>
      </c>
      <c r="G18" t="s">
        <v>32</v>
      </c>
      <c r="H18">
        <v>45.432900410000002</v>
      </c>
      <c r="I18">
        <v>-73.939177689999994</v>
      </c>
      <c r="J18">
        <v>39.021000000000001</v>
      </c>
      <c r="K18">
        <v>0</v>
      </c>
      <c r="L18">
        <v>0</v>
      </c>
      <c r="N18">
        <v>1</v>
      </c>
      <c r="O18" t="s">
        <v>79</v>
      </c>
      <c r="P18">
        <v>2</v>
      </c>
      <c r="Q18">
        <v>0</v>
      </c>
      <c r="R18">
        <v>103</v>
      </c>
      <c r="S18">
        <v>103</v>
      </c>
      <c r="T18">
        <v>0.23603510330177599</v>
      </c>
      <c r="U18">
        <v>1.562108066125E-2</v>
      </c>
      <c r="V18">
        <v>2656</v>
      </c>
      <c r="W18">
        <v>1.8587724823290599E-2</v>
      </c>
      <c r="X18">
        <v>74</v>
      </c>
      <c r="Y18">
        <v>0.97440755799418399</v>
      </c>
      <c r="Z18">
        <v>0.23603510330177599</v>
      </c>
      <c r="AA18">
        <v>3.3981470514438299E-3</v>
      </c>
      <c r="AB18">
        <v>0.37157590643074101</v>
      </c>
      <c r="AC18">
        <v>2.1471657173444702E-3</v>
      </c>
      <c r="AD18">
        <v>0.10582747178644</v>
      </c>
      <c r="AE18">
        <v>7.0234360246546903E-4</v>
      </c>
      <c r="AF18">
        <v>2594.6847854993398</v>
      </c>
      <c r="AG18">
        <v>1397244.6329723401</v>
      </c>
      <c r="AH18">
        <v>16821.6805964655</v>
      </c>
      <c r="AI18">
        <v>10851063.1621652</v>
      </c>
    </row>
    <row r="19" spans="1:35" x14ac:dyDescent="0.25">
      <c r="A19">
        <v>1535</v>
      </c>
      <c r="B19" s="1">
        <v>45447</v>
      </c>
      <c r="C19">
        <v>13</v>
      </c>
      <c r="D19" t="s">
        <v>80</v>
      </c>
      <c r="E19">
        <v>4.71</v>
      </c>
      <c r="F19">
        <v>905</v>
      </c>
      <c r="G19" t="s">
        <v>35</v>
      </c>
      <c r="H19">
        <v>45.432926389999999</v>
      </c>
      <c r="I19">
        <v>-73.939096210000002</v>
      </c>
      <c r="J19">
        <v>39.021000000000001</v>
      </c>
      <c r="K19">
        <v>0</v>
      </c>
      <c r="L19">
        <v>0</v>
      </c>
      <c r="N19">
        <v>1</v>
      </c>
      <c r="O19" t="s">
        <v>81</v>
      </c>
      <c r="P19">
        <v>2</v>
      </c>
      <c r="Q19">
        <v>1</v>
      </c>
      <c r="R19">
        <v>110</v>
      </c>
      <c r="S19">
        <v>110</v>
      </c>
      <c r="T19">
        <v>0.216760135844102</v>
      </c>
      <c r="U19">
        <v>1.42360690679711E-2</v>
      </c>
      <c r="V19">
        <v>1104</v>
      </c>
      <c r="W19">
        <v>7.7260066902739098E-3</v>
      </c>
      <c r="X19">
        <v>64</v>
      </c>
      <c r="Y19">
        <v>0.96492105263157901</v>
      </c>
      <c r="Z19">
        <v>0.216760135844102</v>
      </c>
      <c r="AA19">
        <v>2.2915596410530998E-3</v>
      </c>
      <c r="AB19">
        <v>0.35704677772763799</v>
      </c>
      <c r="AC19">
        <v>1.8390271726885701E-3</v>
      </c>
      <c r="AD19">
        <v>9.4820521514679804E-2</v>
      </c>
      <c r="AE19">
        <v>8.1621511260838997E-4</v>
      </c>
      <c r="AF19">
        <v>2586.8221618822299</v>
      </c>
      <c r="AG19">
        <v>1331290.24166711</v>
      </c>
      <c r="AH19">
        <v>17033.3249287695</v>
      </c>
      <c r="AI19">
        <v>13636343.6493527</v>
      </c>
    </row>
    <row r="20" spans="1:35" x14ac:dyDescent="0.25">
      <c r="A20">
        <v>1536</v>
      </c>
      <c r="B20" s="1">
        <v>45447</v>
      </c>
      <c r="C20">
        <v>13</v>
      </c>
      <c r="D20" t="s">
        <v>82</v>
      </c>
      <c r="E20">
        <v>4.71</v>
      </c>
      <c r="F20">
        <v>905</v>
      </c>
      <c r="G20" t="s">
        <v>38</v>
      </c>
      <c r="H20">
        <v>45.432953769999997</v>
      </c>
      <c r="I20">
        <v>-73.939015569999995</v>
      </c>
      <c r="J20">
        <v>39.021000000000001</v>
      </c>
      <c r="K20">
        <v>0</v>
      </c>
      <c r="L20">
        <v>0</v>
      </c>
      <c r="N20">
        <v>1</v>
      </c>
      <c r="O20" t="s">
        <v>83</v>
      </c>
      <c r="P20">
        <v>2</v>
      </c>
      <c r="Q20">
        <v>2</v>
      </c>
      <c r="R20">
        <v>203</v>
      </c>
      <c r="S20">
        <v>203</v>
      </c>
      <c r="T20">
        <v>0.222132396438041</v>
      </c>
      <c r="U20">
        <v>1.40229885174585E-2</v>
      </c>
      <c r="V20">
        <v>2291</v>
      </c>
      <c r="W20">
        <v>1.6033312338162201E-2</v>
      </c>
      <c r="X20">
        <v>86</v>
      </c>
      <c r="Y20">
        <v>0.98194736842105301</v>
      </c>
      <c r="Z20">
        <v>0.222132396438041</v>
      </c>
      <c r="AA20">
        <v>3.7359081029905202E-3</v>
      </c>
      <c r="AB20">
        <v>0.34489605293603198</v>
      </c>
      <c r="AC20">
        <v>2.6495880906330501E-3</v>
      </c>
      <c r="AD20">
        <v>8.5278850736354106E-2</v>
      </c>
      <c r="AE20">
        <v>7.6550020427006496E-4</v>
      </c>
      <c r="AF20">
        <v>2839.8151890938602</v>
      </c>
      <c r="AG20">
        <v>1543600.0457094</v>
      </c>
      <c r="AH20">
        <v>16913.1572377382</v>
      </c>
      <c r="AI20">
        <v>15348451.528213801</v>
      </c>
    </row>
    <row r="21" spans="1:35" x14ac:dyDescent="0.25">
      <c r="A21">
        <v>1537</v>
      </c>
      <c r="B21" s="1">
        <v>45447</v>
      </c>
      <c r="C21">
        <v>13</v>
      </c>
      <c r="D21" t="s">
        <v>84</v>
      </c>
      <c r="E21">
        <v>4.71</v>
      </c>
      <c r="F21">
        <v>905</v>
      </c>
      <c r="G21" t="s">
        <v>41</v>
      </c>
      <c r="H21">
        <v>45.432980710000002</v>
      </c>
      <c r="I21">
        <v>-73.938934779999997</v>
      </c>
      <c r="J21">
        <v>39.020000000000003</v>
      </c>
      <c r="K21">
        <v>0</v>
      </c>
      <c r="L21">
        <v>0</v>
      </c>
      <c r="N21">
        <v>1</v>
      </c>
      <c r="O21" t="s">
        <v>85</v>
      </c>
      <c r="P21">
        <v>2</v>
      </c>
      <c r="Q21">
        <v>3</v>
      </c>
      <c r="R21">
        <v>210</v>
      </c>
      <c r="S21">
        <v>210</v>
      </c>
      <c r="T21">
        <v>0.25813370895816901</v>
      </c>
      <c r="U21">
        <v>1.6973378370466301E-2</v>
      </c>
      <c r="V21">
        <v>11629</v>
      </c>
      <c r="W21">
        <v>8.13831425132268E-2</v>
      </c>
      <c r="X21">
        <v>48</v>
      </c>
      <c r="Y21">
        <v>0.96765746917722595</v>
      </c>
      <c r="Z21">
        <v>0.25813370895816901</v>
      </c>
      <c r="AA21">
        <v>1.2564456603582399E-2</v>
      </c>
      <c r="AB21">
        <v>0.36004626652810801</v>
      </c>
      <c r="AC21">
        <v>4.2688413022764103E-3</v>
      </c>
      <c r="AD21">
        <v>9.0024099248299905E-2</v>
      </c>
      <c r="AE21">
        <v>1.10679361506449E-3</v>
      </c>
      <c r="AF21">
        <v>3412.3871105450298</v>
      </c>
      <c r="AG21">
        <v>14189436.463076901</v>
      </c>
      <c r="AH21">
        <v>16182.7816118232</v>
      </c>
      <c r="AI21">
        <v>28033434.8918631</v>
      </c>
    </row>
    <row r="22" spans="1:35" x14ac:dyDescent="0.25">
      <c r="A22">
        <v>1538</v>
      </c>
      <c r="B22" s="1">
        <v>45447</v>
      </c>
      <c r="C22">
        <v>13</v>
      </c>
      <c r="D22" t="s">
        <v>86</v>
      </c>
      <c r="E22">
        <v>4.71</v>
      </c>
      <c r="F22">
        <v>905</v>
      </c>
      <c r="G22" t="s">
        <v>44</v>
      </c>
      <c r="H22">
        <v>45.433007439999997</v>
      </c>
      <c r="I22">
        <v>-73.938853750000007</v>
      </c>
      <c r="J22">
        <v>39.020000000000003</v>
      </c>
      <c r="K22">
        <v>0</v>
      </c>
      <c r="L22">
        <v>0</v>
      </c>
      <c r="N22">
        <v>1</v>
      </c>
      <c r="O22" t="s">
        <v>87</v>
      </c>
      <c r="P22">
        <v>2</v>
      </c>
      <c r="Q22">
        <v>4</v>
      </c>
      <c r="R22">
        <v>303</v>
      </c>
      <c r="S22">
        <v>303</v>
      </c>
      <c r="T22">
        <v>0.227114973768271</v>
      </c>
      <c r="U22">
        <v>1.4553426813423E-2</v>
      </c>
      <c r="V22">
        <v>3345</v>
      </c>
      <c r="W22">
        <v>2.3409779619144901E-2</v>
      </c>
      <c r="X22">
        <v>72</v>
      </c>
      <c r="Y22">
        <v>0.98175000000000001</v>
      </c>
      <c r="Z22">
        <v>0.227114973768271</v>
      </c>
      <c r="AA22">
        <v>5.2520069080285604E-3</v>
      </c>
      <c r="AB22">
        <v>0.35966017761462099</v>
      </c>
      <c r="AC22">
        <v>3.0154161644546798E-3</v>
      </c>
      <c r="AD22">
        <v>9.0997515365021597E-2</v>
      </c>
      <c r="AE22">
        <v>9.5417996911090403E-4</v>
      </c>
      <c r="AF22">
        <v>2801.33075092729</v>
      </c>
      <c r="AG22">
        <v>2850410.1387737198</v>
      </c>
      <c r="AH22">
        <v>16387.055963435199</v>
      </c>
      <c r="AI22">
        <v>18573288.2670452</v>
      </c>
    </row>
    <row r="23" spans="1:35" x14ac:dyDescent="0.25">
      <c r="A23">
        <v>1539</v>
      </c>
      <c r="B23" s="1">
        <v>45447</v>
      </c>
      <c r="C23">
        <v>13</v>
      </c>
      <c r="D23" t="s">
        <v>88</v>
      </c>
      <c r="E23">
        <v>4.71</v>
      </c>
      <c r="F23">
        <v>905</v>
      </c>
      <c r="G23" t="s">
        <v>47</v>
      </c>
      <c r="H23">
        <v>45.433034630000002</v>
      </c>
      <c r="I23">
        <v>-73.938773080000004</v>
      </c>
      <c r="J23">
        <v>39.020000000000003</v>
      </c>
      <c r="K23">
        <v>0</v>
      </c>
      <c r="L23">
        <v>0</v>
      </c>
      <c r="N23">
        <v>1</v>
      </c>
      <c r="O23" t="s">
        <v>89</v>
      </c>
      <c r="P23">
        <v>2</v>
      </c>
      <c r="Q23">
        <v>5</v>
      </c>
      <c r="R23">
        <v>310</v>
      </c>
      <c r="S23">
        <v>310</v>
      </c>
      <c r="T23">
        <v>0.236037976686682</v>
      </c>
      <c r="U23">
        <v>1.5039348384358799E-2</v>
      </c>
      <c r="V23">
        <v>5719</v>
      </c>
      <c r="W23">
        <v>4.0023514427080797E-2</v>
      </c>
      <c r="X23">
        <v>54</v>
      </c>
      <c r="Y23">
        <v>0.93307894736842101</v>
      </c>
      <c r="Z23">
        <v>0.236037976686682</v>
      </c>
      <c r="AA23">
        <v>7.0153250411299798E-3</v>
      </c>
      <c r="AB23">
        <v>0.36245309129622799</v>
      </c>
      <c r="AC23">
        <v>3.3046279493362E-3</v>
      </c>
      <c r="AD23">
        <v>9.3054681500687103E-2</v>
      </c>
      <c r="AE23">
        <v>1.0406890432396499E-3</v>
      </c>
      <c r="AF23">
        <v>2945.8465263732501</v>
      </c>
      <c r="AG23">
        <v>5889812.5819003098</v>
      </c>
      <c r="AH23">
        <v>16378.4618079508</v>
      </c>
      <c r="AI23">
        <v>20575197.7151893</v>
      </c>
    </row>
    <row r="24" spans="1:35" x14ac:dyDescent="0.25">
      <c r="A24">
        <v>1540</v>
      </c>
      <c r="B24" s="1">
        <v>45447</v>
      </c>
      <c r="C24">
        <v>13</v>
      </c>
      <c r="D24" t="s">
        <v>90</v>
      </c>
      <c r="E24">
        <v>4.71</v>
      </c>
      <c r="F24">
        <v>905</v>
      </c>
      <c r="G24" t="s">
        <v>49</v>
      </c>
      <c r="H24">
        <v>45.433061469999998</v>
      </c>
      <c r="I24">
        <v>-73.938692149999994</v>
      </c>
      <c r="J24">
        <v>39.020000000000003</v>
      </c>
      <c r="K24">
        <v>0</v>
      </c>
      <c r="L24">
        <v>0</v>
      </c>
      <c r="N24">
        <v>1</v>
      </c>
      <c r="O24" t="s">
        <v>91</v>
      </c>
      <c r="P24">
        <v>2</v>
      </c>
      <c r="Q24">
        <v>6</v>
      </c>
      <c r="R24">
        <v>403</v>
      </c>
      <c r="S24">
        <v>403</v>
      </c>
      <c r="T24">
        <v>0.23188182909079599</v>
      </c>
      <c r="U24">
        <v>1.5670951077603901E-2</v>
      </c>
      <c r="V24">
        <v>6393</v>
      </c>
      <c r="W24">
        <v>4.47394572200372E-2</v>
      </c>
      <c r="X24">
        <v>66</v>
      </c>
      <c r="Y24">
        <v>0.98648684210526305</v>
      </c>
      <c r="Z24">
        <v>0.23188182909079599</v>
      </c>
      <c r="AA24">
        <v>7.8860101031287804E-3</v>
      </c>
      <c r="AB24">
        <v>0.36221934353298602</v>
      </c>
      <c r="AC24">
        <v>3.3746224530893099E-3</v>
      </c>
      <c r="AD24">
        <v>9.1767196654220201E-2</v>
      </c>
      <c r="AE24">
        <v>1.0701236492465099E-3</v>
      </c>
      <c r="AF24">
        <v>3021.9123196215401</v>
      </c>
      <c r="AG24">
        <v>7193272.2335889004</v>
      </c>
      <c r="AH24">
        <v>16267.362439483501</v>
      </c>
      <c r="AI24">
        <v>19680377.540533401</v>
      </c>
    </row>
    <row r="25" spans="1:35" x14ac:dyDescent="0.25">
      <c r="A25">
        <v>1541</v>
      </c>
      <c r="B25" s="1">
        <v>45447</v>
      </c>
      <c r="C25">
        <v>13</v>
      </c>
      <c r="D25" t="s">
        <v>92</v>
      </c>
      <c r="E25">
        <v>4.71</v>
      </c>
      <c r="F25">
        <v>905</v>
      </c>
      <c r="G25" t="s">
        <v>52</v>
      </c>
      <c r="H25">
        <v>45.433088439999999</v>
      </c>
      <c r="I25">
        <v>-73.938611300000005</v>
      </c>
      <c r="J25">
        <v>39.020000000000003</v>
      </c>
      <c r="K25">
        <v>0</v>
      </c>
      <c r="L25">
        <v>0</v>
      </c>
      <c r="N25">
        <v>1</v>
      </c>
      <c r="O25" s="2" t="s">
        <v>93</v>
      </c>
      <c r="P25">
        <v>2</v>
      </c>
      <c r="Q25">
        <v>7</v>
      </c>
      <c r="R25">
        <v>410</v>
      </c>
      <c r="S25">
        <v>410</v>
      </c>
      <c r="T25">
        <v>0.24478403336506699</v>
      </c>
      <c r="U25">
        <v>1.6609017438797499E-2</v>
      </c>
      <c r="V25">
        <v>7352</v>
      </c>
      <c r="W25">
        <v>5.1450365653101897E-2</v>
      </c>
      <c r="X25">
        <v>70</v>
      </c>
      <c r="Y25">
        <v>0.98223707582794995</v>
      </c>
      <c r="Z25">
        <v>0.24478403336506699</v>
      </c>
      <c r="AA25">
        <v>8.4867275418397496E-3</v>
      </c>
      <c r="AB25">
        <v>0.37164974834391601</v>
      </c>
      <c r="AC25">
        <v>3.6327749896061302E-3</v>
      </c>
      <c r="AD25">
        <v>0.102156972039736</v>
      </c>
      <c r="AE25">
        <v>1.02639172952452E-3</v>
      </c>
      <c r="AF25">
        <v>3321.68187830225</v>
      </c>
      <c r="AG25">
        <v>8557738.6662990302</v>
      </c>
      <c r="AH25">
        <v>16700.1804485223</v>
      </c>
      <c r="AI25">
        <v>22531617.963530902</v>
      </c>
    </row>
    <row r="26" spans="1:35" x14ac:dyDescent="0.25">
      <c r="A26">
        <v>1542</v>
      </c>
      <c r="B26" s="1">
        <v>45447</v>
      </c>
      <c r="C26">
        <v>13</v>
      </c>
      <c r="D26" t="s">
        <v>94</v>
      </c>
      <c r="E26">
        <v>4.71</v>
      </c>
      <c r="F26">
        <v>905</v>
      </c>
      <c r="G26" t="s">
        <v>55</v>
      </c>
      <c r="H26">
        <v>45.433062790000001</v>
      </c>
      <c r="I26">
        <v>-73.938594179999996</v>
      </c>
      <c r="J26">
        <v>39.020000000000003</v>
      </c>
      <c r="K26">
        <v>0</v>
      </c>
      <c r="L26">
        <v>0</v>
      </c>
      <c r="N26">
        <v>1</v>
      </c>
      <c r="O26" t="s">
        <v>95</v>
      </c>
      <c r="P26">
        <v>3</v>
      </c>
      <c r="Q26">
        <v>7</v>
      </c>
      <c r="R26">
        <v>411</v>
      </c>
      <c r="S26">
        <v>411</v>
      </c>
      <c r="T26">
        <v>0.24615748682062</v>
      </c>
      <c r="U26">
        <v>1.6055400700425999E-2</v>
      </c>
      <c r="V26">
        <v>4706</v>
      </c>
      <c r="W26">
        <v>3.29330422125182E-2</v>
      </c>
      <c r="X26">
        <v>84</v>
      </c>
      <c r="Y26">
        <v>0.99085514283082698</v>
      </c>
      <c r="Z26">
        <v>0.24615748682062</v>
      </c>
      <c r="AA26">
        <v>5.8531459350731696E-3</v>
      </c>
      <c r="AB26">
        <v>0.37917326405826302</v>
      </c>
      <c r="AC26">
        <v>3.6060553368429601E-3</v>
      </c>
      <c r="AD26">
        <v>0.10703218908564199</v>
      </c>
      <c r="AE26">
        <v>1.2572382231835399E-3</v>
      </c>
      <c r="AF26">
        <v>2851.92533031016</v>
      </c>
      <c r="AG26">
        <v>5178238.3388147596</v>
      </c>
      <c r="AH26">
        <v>16858.227776159201</v>
      </c>
      <c r="AI26">
        <v>24616866.410985</v>
      </c>
    </row>
    <row r="27" spans="1:35" x14ac:dyDescent="0.25">
      <c r="A27">
        <v>1543</v>
      </c>
      <c r="B27" s="1">
        <v>45447</v>
      </c>
      <c r="C27">
        <v>13</v>
      </c>
      <c r="D27" t="s">
        <v>96</v>
      </c>
      <c r="E27">
        <v>4.71</v>
      </c>
      <c r="F27">
        <v>905</v>
      </c>
      <c r="G27" t="s">
        <v>58</v>
      </c>
      <c r="H27">
        <v>45.433036340000001</v>
      </c>
      <c r="I27">
        <v>-73.938675329999995</v>
      </c>
      <c r="J27">
        <v>39.020000000000003</v>
      </c>
      <c r="K27">
        <v>0</v>
      </c>
      <c r="L27">
        <v>0</v>
      </c>
      <c r="N27">
        <v>1</v>
      </c>
      <c r="O27" t="s">
        <v>97</v>
      </c>
      <c r="P27">
        <v>3</v>
      </c>
      <c r="Q27">
        <v>6</v>
      </c>
      <c r="R27">
        <v>404</v>
      </c>
      <c r="S27">
        <v>404</v>
      </c>
      <c r="T27">
        <v>0.222218373740972</v>
      </c>
      <c r="U27">
        <v>1.5126018547514501E-2</v>
      </c>
      <c r="V27">
        <v>1761</v>
      </c>
      <c r="W27">
        <v>1.23240791932312E-2</v>
      </c>
      <c r="X27">
        <v>41</v>
      </c>
      <c r="Y27">
        <v>0.62730263157894695</v>
      </c>
      <c r="Z27">
        <v>0.222218373740972</v>
      </c>
      <c r="AA27">
        <v>3.2282187340881398E-3</v>
      </c>
      <c r="AB27">
        <v>0.35310422045197498</v>
      </c>
      <c r="AC27">
        <v>2.6769660357350402E-3</v>
      </c>
      <c r="AD27">
        <v>9.3850981619756899E-2</v>
      </c>
      <c r="AE27">
        <v>9.8159569671052308E-4</v>
      </c>
      <c r="AF27">
        <v>2743.25979061109</v>
      </c>
      <c r="AG27">
        <v>2168735.1472724602</v>
      </c>
      <c r="AH27">
        <v>16779.2702391899</v>
      </c>
      <c r="AI27">
        <v>16110606.9043341</v>
      </c>
    </row>
    <row r="28" spans="1:35" x14ac:dyDescent="0.25">
      <c r="A28">
        <v>1544</v>
      </c>
      <c r="B28" s="1">
        <v>45447</v>
      </c>
      <c r="C28">
        <v>13</v>
      </c>
      <c r="D28" t="s">
        <v>98</v>
      </c>
      <c r="E28">
        <v>4.71</v>
      </c>
      <c r="F28">
        <v>905</v>
      </c>
      <c r="G28" t="s">
        <v>61</v>
      </c>
      <c r="H28">
        <v>45.433010189999997</v>
      </c>
      <c r="I28">
        <v>-73.938756760000004</v>
      </c>
      <c r="J28">
        <v>39.020000000000003</v>
      </c>
      <c r="K28">
        <v>0</v>
      </c>
      <c r="L28">
        <v>0</v>
      </c>
      <c r="N28">
        <v>1</v>
      </c>
      <c r="O28" t="s">
        <v>99</v>
      </c>
      <c r="P28">
        <v>3</v>
      </c>
      <c r="Q28">
        <v>5</v>
      </c>
      <c r="R28">
        <v>311</v>
      </c>
      <c r="S28">
        <v>311</v>
      </c>
      <c r="T28">
        <v>0.24122277779179799</v>
      </c>
      <c r="U28">
        <v>1.55433193248406E-2</v>
      </c>
      <c r="V28">
        <v>4360</v>
      </c>
      <c r="W28">
        <v>3.05125549365955E-2</v>
      </c>
      <c r="X28">
        <v>45</v>
      </c>
      <c r="Y28">
        <v>0.87053947368421003</v>
      </c>
      <c r="Z28">
        <v>0.24122277779179799</v>
      </c>
      <c r="AA28">
        <v>5.6215002233342597E-3</v>
      </c>
      <c r="AB28">
        <v>0.36685458144982103</v>
      </c>
      <c r="AC28">
        <v>3.00091411970679E-3</v>
      </c>
      <c r="AD28">
        <v>9.9112293230694398E-2</v>
      </c>
      <c r="AE28">
        <v>9.9842539541778602E-4</v>
      </c>
      <c r="AF28">
        <v>2875.8880763093798</v>
      </c>
      <c r="AG28">
        <v>5790893.9866123004</v>
      </c>
      <c r="AH28">
        <v>16335.2380645667</v>
      </c>
      <c r="AI28">
        <v>20075031.729343701</v>
      </c>
    </row>
    <row r="29" spans="1:35" x14ac:dyDescent="0.25">
      <c r="A29">
        <v>1545</v>
      </c>
      <c r="B29" s="1">
        <v>45447</v>
      </c>
      <c r="C29">
        <v>13</v>
      </c>
      <c r="D29" t="s">
        <v>100</v>
      </c>
      <c r="E29">
        <v>4.71</v>
      </c>
      <c r="F29">
        <v>905</v>
      </c>
      <c r="G29" t="s">
        <v>64</v>
      </c>
      <c r="H29">
        <v>45.432982809999999</v>
      </c>
      <c r="I29">
        <v>-73.938837340000006</v>
      </c>
      <c r="J29">
        <v>39.020000000000003</v>
      </c>
      <c r="K29">
        <v>0</v>
      </c>
      <c r="L29">
        <v>0</v>
      </c>
      <c r="N29">
        <v>1</v>
      </c>
      <c r="O29" t="s">
        <v>101</v>
      </c>
      <c r="P29">
        <v>3</v>
      </c>
      <c r="Q29">
        <v>4</v>
      </c>
      <c r="R29">
        <v>304</v>
      </c>
      <c r="S29">
        <v>304</v>
      </c>
      <c r="T29">
        <v>0.234395570001074</v>
      </c>
      <c r="U29">
        <v>1.5385130756710899E-2</v>
      </c>
      <c r="V29">
        <v>5165</v>
      </c>
      <c r="W29">
        <v>3.6146180331998998E-2</v>
      </c>
      <c r="X29">
        <v>52</v>
      </c>
      <c r="Y29">
        <v>0.78871052631578997</v>
      </c>
      <c r="Z29">
        <v>0.234395570001074</v>
      </c>
      <c r="AA29">
        <v>6.8214985868822499E-3</v>
      </c>
      <c r="AB29">
        <v>0.35667412314462399</v>
      </c>
      <c r="AC29">
        <v>3.4249663173711799E-3</v>
      </c>
      <c r="AD29">
        <v>8.7729914960497396E-2</v>
      </c>
      <c r="AE29">
        <v>9.8359463022853902E-4</v>
      </c>
      <c r="AF29">
        <v>3041.77223357501</v>
      </c>
      <c r="AG29">
        <v>5544660.1475179102</v>
      </c>
      <c r="AH29">
        <v>16401.209259692499</v>
      </c>
      <c r="AI29">
        <v>19253669.730896801</v>
      </c>
    </row>
    <row r="30" spans="1:35" x14ac:dyDescent="0.25">
      <c r="A30">
        <v>1546</v>
      </c>
      <c r="B30" s="1">
        <v>45447</v>
      </c>
      <c r="C30">
        <v>13</v>
      </c>
      <c r="D30" t="s">
        <v>102</v>
      </c>
      <c r="E30">
        <v>4.71</v>
      </c>
      <c r="F30">
        <v>905</v>
      </c>
      <c r="G30" t="s">
        <v>67</v>
      </c>
      <c r="H30">
        <v>45.432955980000003</v>
      </c>
      <c r="I30">
        <v>-73.938918240000007</v>
      </c>
      <c r="J30">
        <v>39.020000000000003</v>
      </c>
      <c r="K30">
        <v>0</v>
      </c>
      <c r="L30">
        <v>0</v>
      </c>
      <c r="N30">
        <v>1</v>
      </c>
      <c r="O30" t="s">
        <v>103</v>
      </c>
      <c r="P30">
        <v>3</v>
      </c>
      <c r="Q30">
        <v>3</v>
      </c>
      <c r="R30">
        <v>211</v>
      </c>
      <c r="S30">
        <v>211</v>
      </c>
      <c r="T30">
        <v>0.24863467579975701</v>
      </c>
      <c r="U30">
        <v>1.6036472265409701E-2</v>
      </c>
      <c r="V30">
        <v>6512</v>
      </c>
      <c r="W30">
        <v>4.55722423614707E-2</v>
      </c>
      <c r="X30">
        <v>57</v>
      </c>
      <c r="Y30">
        <v>0.97143345877523102</v>
      </c>
      <c r="Z30">
        <v>0.24863467579975701</v>
      </c>
      <c r="AA30">
        <v>7.46933926404894E-3</v>
      </c>
      <c r="AB30">
        <v>0.36014292007894499</v>
      </c>
      <c r="AC30">
        <v>3.4346244103790999E-3</v>
      </c>
      <c r="AD30">
        <v>9.4852528248096604E-2</v>
      </c>
      <c r="AE30">
        <v>1.0004593610366201E-3</v>
      </c>
      <c r="AF30">
        <v>2941.5743488180101</v>
      </c>
      <c r="AG30">
        <v>6543194.3987684604</v>
      </c>
      <c r="AH30">
        <v>16701.223510985801</v>
      </c>
      <c r="AI30">
        <v>21879805.833195198</v>
      </c>
    </row>
    <row r="31" spans="1:35" x14ac:dyDescent="0.25">
      <c r="A31">
        <v>1547</v>
      </c>
      <c r="B31" s="1">
        <v>45447</v>
      </c>
      <c r="C31">
        <v>13</v>
      </c>
      <c r="D31" t="s">
        <v>104</v>
      </c>
      <c r="E31">
        <v>4.71</v>
      </c>
      <c r="F31">
        <v>905</v>
      </c>
      <c r="G31" t="s">
        <v>70</v>
      </c>
      <c r="H31">
        <v>45.432928949999997</v>
      </c>
      <c r="I31">
        <v>-73.938999030000005</v>
      </c>
      <c r="J31">
        <v>39.020000000000003</v>
      </c>
      <c r="K31">
        <v>0</v>
      </c>
      <c r="L31">
        <v>0</v>
      </c>
      <c r="N31">
        <v>1</v>
      </c>
      <c r="O31" t="s">
        <v>105</v>
      </c>
      <c r="P31">
        <v>3</v>
      </c>
      <c r="Q31">
        <v>2</v>
      </c>
      <c r="R31">
        <v>204</v>
      </c>
      <c r="S31">
        <v>204</v>
      </c>
      <c r="T31">
        <v>0.230559492764874</v>
      </c>
      <c r="U31">
        <v>1.4918678850403599E-2</v>
      </c>
      <c r="V31">
        <v>1830</v>
      </c>
      <c r="W31">
        <v>1.28071440068865E-2</v>
      </c>
      <c r="X31">
        <v>58</v>
      </c>
      <c r="Y31">
        <v>0.95072433257457101</v>
      </c>
      <c r="Z31">
        <v>0.230559492764874</v>
      </c>
      <c r="AA31">
        <v>3.4640049608763699E-3</v>
      </c>
      <c r="AB31">
        <v>0.35197379979841398</v>
      </c>
      <c r="AC31">
        <v>2.8268231702914099E-3</v>
      </c>
      <c r="AD31">
        <v>9.1582158553542903E-2</v>
      </c>
      <c r="AE31">
        <v>8.6926646844665901E-4</v>
      </c>
      <c r="AF31">
        <v>2763.9667018916498</v>
      </c>
      <c r="AG31">
        <v>1794251.5243476899</v>
      </c>
      <c r="AH31">
        <v>16676.381218355298</v>
      </c>
      <c r="AI31">
        <v>16643966.381464601</v>
      </c>
    </row>
    <row r="32" spans="1:35" x14ac:dyDescent="0.25">
      <c r="A32">
        <v>1548</v>
      </c>
      <c r="B32" s="1">
        <v>45447</v>
      </c>
      <c r="C32">
        <v>13</v>
      </c>
      <c r="D32" t="s">
        <v>106</v>
      </c>
      <c r="E32">
        <v>4.71</v>
      </c>
      <c r="F32">
        <v>905</v>
      </c>
      <c r="G32" t="s">
        <v>73</v>
      </c>
      <c r="H32">
        <v>45.432901870000002</v>
      </c>
      <c r="I32">
        <v>-73.939079800000002</v>
      </c>
      <c r="J32">
        <v>39.020000000000003</v>
      </c>
      <c r="K32">
        <v>0</v>
      </c>
      <c r="L32">
        <v>0</v>
      </c>
      <c r="N32">
        <v>1</v>
      </c>
      <c r="O32" t="s">
        <v>107</v>
      </c>
      <c r="P32">
        <v>3</v>
      </c>
      <c r="Q32">
        <v>1</v>
      </c>
      <c r="R32">
        <v>111</v>
      </c>
      <c r="S32">
        <v>111</v>
      </c>
      <c r="T32">
        <v>0.22481283972810401</v>
      </c>
      <c r="U32">
        <v>1.4002942808253699E-2</v>
      </c>
      <c r="V32">
        <v>1839</v>
      </c>
      <c r="W32">
        <v>1.28695895587669E-2</v>
      </c>
      <c r="X32">
        <v>83</v>
      </c>
      <c r="Y32">
        <v>0.98280285785713395</v>
      </c>
      <c r="Z32">
        <v>0.22481283972810401</v>
      </c>
      <c r="AA32">
        <v>2.8945868181309798E-3</v>
      </c>
      <c r="AB32">
        <v>0.35113740923151199</v>
      </c>
      <c r="AC32">
        <v>2.19826192242949E-3</v>
      </c>
      <c r="AD32">
        <v>8.8686729474367801E-2</v>
      </c>
      <c r="AE32">
        <v>8.9330375224617304E-4</v>
      </c>
      <c r="AF32">
        <v>2488.9363518667601</v>
      </c>
      <c r="AG32">
        <v>1419217.9803780899</v>
      </c>
      <c r="AH32">
        <v>16484.508205524598</v>
      </c>
      <c r="AI32">
        <v>15124428.506944399</v>
      </c>
    </row>
    <row r="33" spans="1:35" x14ac:dyDescent="0.25">
      <c r="A33">
        <v>1549</v>
      </c>
      <c r="B33" s="1">
        <v>45447</v>
      </c>
      <c r="C33">
        <v>13</v>
      </c>
      <c r="D33" t="s">
        <v>108</v>
      </c>
      <c r="E33">
        <v>4.71</v>
      </c>
      <c r="F33">
        <v>905</v>
      </c>
      <c r="G33" t="s">
        <v>76</v>
      </c>
      <c r="H33">
        <v>45.432875099999997</v>
      </c>
      <c r="I33">
        <v>-73.939160810000004</v>
      </c>
      <c r="J33">
        <v>39.021000000000001</v>
      </c>
      <c r="K33">
        <v>0</v>
      </c>
      <c r="L33">
        <v>0</v>
      </c>
      <c r="N33">
        <v>1</v>
      </c>
      <c r="O33" t="s">
        <v>109</v>
      </c>
      <c r="P33">
        <v>3</v>
      </c>
      <c r="Q33">
        <v>0</v>
      </c>
      <c r="R33">
        <v>104</v>
      </c>
      <c r="S33">
        <v>104</v>
      </c>
      <c r="T33">
        <v>0.23864216632232299</v>
      </c>
      <c r="U33">
        <v>1.5614521882486399E-2</v>
      </c>
      <c r="V33">
        <v>2721</v>
      </c>
      <c r="W33">
        <v>1.90423536657056E-2</v>
      </c>
      <c r="X33">
        <v>74</v>
      </c>
      <c r="Y33">
        <v>0.98672403357806404</v>
      </c>
      <c r="Z33">
        <v>0.23864216632232299</v>
      </c>
      <c r="AA33">
        <v>3.6881550231293802E-3</v>
      </c>
      <c r="AB33">
        <v>0.365268539090364</v>
      </c>
      <c r="AC33">
        <v>2.4875922918922298E-3</v>
      </c>
      <c r="AD33">
        <v>9.6925288679682295E-2</v>
      </c>
      <c r="AE33">
        <v>8.5268489637096295E-4</v>
      </c>
      <c r="AF33">
        <v>2376.6018251546602</v>
      </c>
      <c r="AG33">
        <v>1333057.81452737</v>
      </c>
      <c r="AH33">
        <v>16279.179500553701</v>
      </c>
      <c r="AI33">
        <v>14188222.917446001</v>
      </c>
    </row>
    <row r="34" spans="1:35" x14ac:dyDescent="0.25">
      <c r="A34">
        <v>1550</v>
      </c>
      <c r="B34" s="1">
        <v>45447</v>
      </c>
      <c r="C34">
        <v>13</v>
      </c>
      <c r="D34" t="s">
        <v>110</v>
      </c>
      <c r="E34">
        <v>4.71</v>
      </c>
      <c r="F34">
        <v>905</v>
      </c>
      <c r="G34" t="s">
        <v>32</v>
      </c>
      <c r="H34">
        <v>45.432850459999997</v>
      </c>
      <c r="I34">
        <v>-73.939144119999995</v>
      </c>
      <c r="J34">
        <v>39.020000000000003</v>
      </c>
      <c r="K34">
        <v>0</v>
      </c>
      <c r="L34">
        <v>0</v>
      </c>
      <c r="N34">
        <v>1</v>
      </c>
      <c r="O34" t="s">
        <v>111</v>
      </c>
      <c r="P34">
        <v>4</v>
      </c>
      <c r="Q34">
        <v>0</v>
      </c>
      <c r="R34">
        <v>105</v>
      </c>
      <c r="S34">
        <v>105</v>
      </c>
      <c r="T34">
        <v>0.22669306507224601</v>
      </c>
      <c r="U34">
        <v>1.42400487322808E-2</v>
      </c>
      <c r="V34">
        <v>1329</v>
      </c>
      <c r="W34">
        <v>9.3007306217282992E-3</v>
      </c>
      <c r="X34">
        <v>64</v>
      </c>
      <c r="Y34">
        <v>0.94618491861949205</v>
      </c>
      <c r="Z34">
        <v>0.22669306507224601</v>
      </c>
      <c r="AA34">
        <v>2.3848037194449299E-3</v>
      </c>
      <c r="AB34">
        <v>0.35284323585749</v>
      </c>
      <c r="AC34">
        <v>2.2594215084129001E-3</v>
      </c>
      <c r="AD34">
        <v>8.9233903997655198E-2</v>
      </c>
      <c r="AE34">
        <v>6.5321838445887403E-4</v>
      </c>
      <c r="AF34">
        <v>2204.3761232259299</v>
      </c>
      <c r="AG34">
        <v>1504383.45223147</v>
      </c>
      <c r="AH34">
        <v>16258.490423671101</v>
      </c>
      <c r="AI34">
        <v>12842835.8810957</v>
      </c>
    </row>
    <row r="35" spans="1:35" x14ac:dyDescent="0.25">
      <c r="A35">
        <v>1551</v>
      </c>
      <c r="B35" s="1">
        <v>45447</v>
      </c>
      <c r="C35">
        <v>13</v>
      </c>
      <c r="D35" t="s">
        <v>112</v>
      </c>
      <c r="E35">
        <v>4.71</v>
      </c>
      <c r="F35">
        <v>905</v>
      </c>
      <c r="G35" t="s">
        <v>35</v>
      </c>
      <c r="H35">
        <v>45.432876950000001</v>
      </c>
      <c r="I35">
        <v>-73.939062980000003</v>
      </c>
      <c r="J35">
        <v>39.020000000000003</v>
      </c>
      <c r="K35">
        <v>0</v>
      </c>
      <c r="L35">
        <v>0</v>
      </c>
      <c r="N35">
        <v>1</v>
      </c>
      <c r="O35" t="s">
        <v>113</v>
      </c>
      <c r="P35">
        <v>4</v>
      </c>
      <c r="Q35">
        <v>1</v>
      </c>
      <c r="R35">
        <v>112</v>
      </c>
      <c r="S35">
        <v>112</v>
      </c>
      <c r="T35">
        <v>0.21978175074386799</v>
      </c>
      <c r="U35">
        <v>1.37354770554176E-2</v>
      </c>
      <c r="V35">
        <v>941</v>
      </c>
      <c r="W35">
        <v>6.58548533837217E-3</v>
      </c>
      <c r="X35">
        <v>57</v>
      </c>
      <c r="Y35">
        <v>0.94896052631578898</v>
      </c>
      <c r="Z35">
        <v>0.21978175074386799</v>
      </c>
      <c r="AA35">
        <v>2.0847098233377601E-3</v>
      </c>
      <c r="AB35">
        <v>0.34659711816141803</v>
      </c>
      <c r="AC35">
        <v>2.1151635458306699E-3</v>
      </c>
      <c r="AD35">
        <v>8.8858911081092104E-2</v>
      </c>
      <c r="AE35">
        <v>8.1519696410540295E-4</v>
      </c>
      <c r="AF35">
        <v>2335.7590804115098</v>
      </c>
      <c r="AG35">
        <v>1059096.03942431</v>
      </c>
      <c r="AH35">
        <v>16482.241953373399</v>
      </c>
      <c r="AI35">
        <v>13498550.3494104</v>
      </c>
    </row>
    <row r="36" spans="1:35" x14ac:dyDescent="0.25">
      <c r="A36">
        <v>1552</v>
      </c>
      <c r="B36" s="1">
        <v>45447</v>
      </c>
      <c r="C36">
        <v>13</v>
      </c>
      <c r="D36" t="s">
        <v>114</v>
      </c>
      <c r="E36">
        <v>4.71</v>
      </c>
      <c r="F36">
        <v>905</v>
      </c>
      <c r="G36" t="s">
        <v>38</v>
      </c>
      <c r="H36">
        <v>45.43290416</v>
      </c>
      <c r="I36">
        <v>-73.938982359999997</v>
      </c>
      <c r="J36">
        <v>39.020000000000003</v>
      </c>
      <c r="K36">
        <v>0</v>
      </c>
      <c r="L36">
        <v>0</v>
      </c>
      <c r="N36">
        <v>1</v>
      </c>
      <c r="O36" t="s">
        <v>115</v>
      </c>
      <c r="P36">
        <v>4</v>
      </c>
      <c r="Q36">
        <v>2</v>
      </c>
      <c r="R36">
        <v>205</v>
      </c>
      <c r="S36">
        <v>205</v>
      </c>
      <c r="T36">
        <v>0.234131842546146</v>
      </c>
      <c r="U36">
        <v>1.5153557502507299E-2</v>
      </c>
      <c r="V36">
        <v>1982</v>
      </c>
      <c r="W36">
        <v>1.38705184998565E-2</v>
      </c>
      <c r="X36">
        <v>75</v>
      </c>
      <c r="Y36">
        <v>0.96767105263157904</v>
      </c>
      <c r="Z36">
        <v>0.234131842546146</v>
      </c>
      <c r="AA36">
        <v>3.2841347674432801E-3</v>
      </c>
      <c r="AB36">
        <v>0.35447349415339302</v>
      </c>
      <c r="AC36">
        <v>2.5771186240764301E-3</v>
      </c>
      <c r="AD36">
        <v>9.4339737749030997E-2</v>
      </c>
      <c r="AE36">
        <v>8.2379236302165804E-4</v>
      </c>
      <c r="AF36">
        <v>2835.3127773034598</v>
      </c>
      <c r="AG36">
        <v>1769374.2896463801</v>
      </c>
      <c r="AH36">
        <v>16542.4110311285</v>
      </c>
      <c r="AI36">
        <v>15165798.506222101</v>
      </c>
    </row>
    <row r="37" spans="1:35" x14ac:dyDescent="0.25">
      <c r="A37">
        <v>1553</v>
      </c>
      <c r="B37" s="1">
        <v>45447</v>
      </c>
      <c r="C37">
        <v>13</v>
      </c>
      <c r="D37" t="s">
        <v>116</v>
      </c>
      <c r="E37">
        <v>4.71</v>
      </c>
      <c r="F37">
        <v>905</v>
      </c>
      <c r="G37" t="s">
        <v>41</v>
      </c>
      <c r="H37">
        <v>45.43293104</v>
      </c>
      <c r="I37">
        <v>-73.938901340000001</v>
      </c>
      <c r="J37">
        <v>39.020000000000003</v>
      </c>
      <c r="K37">
        <v>0</v>
      </c>
      <c r="L37">
        <v>0</v>
      </c>
      <c r="N37">
        <v>1</v>
      </c>
      <c r="O37" t="s">
        <v>117</v>
      </c>
      <c r="P37">
        <v>4</v>
      </c>
      <c r="Q37">
        <v>3</v>
      </c>
      <c r="R37">
        <v>212</v>
      </c>
      <c r="S37">
        <v>212</v>
      </c>
      <c r="T37">
        <v>0.23659957856163399</v>
      </c>
      <c r="U37">
        <v>1.5279648962569101E-2</v>
      </c>
      <c r="V37">
        <v>3797</v>
      </c>
      <c r="W37">
        <v>2.6572330345083401E-2</v>
      </c>
      <c r="X37">
        <v>32</v>
      </c>
      <c r="Y37">
        <v>0.90989355123093696</v>
      </c>
      <c r="Z37">
        <v>0.23659957856163399</v>
      </c>
      <c r="AA37">
        <v>4.9177087097362097E-3</v>
      </c>
      <c r="AB37">
        <v>0.35496732970069</v>
      </c>
      <c r="AC37">
        <v>2.5581826297150501E-3</v>
      </c>
      <c r="AD37">
        <v>9.5695809699265305E-2</v>
      </c>
      <c r="AE37">
        <v>1.00953108623961E-3</v>
      </c>
      <c r="AF37">
        <v>2852.3858411538699</v>
      </c>
      <c r="AG37">
        <v>5578238.0387075301</v>
      </c>
      <c r="AH37">
        <v>17031.3197206201</v>
      </c>
      <c r="AI37">
        <v>18722348.679963399</v>
      </c>
    </row>
    <row r="38" spans="1:35" x14ac:dyDescent="0.25">
      <c r="A38">
        <v>1554</v>
      </c>
      <c r="B38" s="1">
        <v>45447</v>
      </c>
      <c r="C38">
        <v>13</v>
      </c>
      <c r="D38" t="s">
        <v>118</v>
      </c>
      <c r="E38">
        <v>4.71</v>
      </c>
      <c r="F38">
        <v>905</v>
      </c>
      <c r="G38" t="s">
        <v>44</v>
      </c>
      <c r="H38">
        <v>45.432958130000003</v>
      </c>
      <c r="I38">
        <v>-73.938820660000005</v>
      </c>
      <c r="J38">
        <v>39.020000000000003</v>
      </c>
      <c r="K38">
        <v>0</v>
      </c>
      <c r="L38">
        <v>0</v>
      </c>
      <c r="N38">
        <v>1</v>
      </c>
      <c r="O38" t="s">
        <v>119</v>
      </c>
      <c r="P38">
        <v>4</v>
      </c>
      <c r="Q38">
        <v>4</v>
      </c>
      <c r="R38">
        <v>305</v>
      </c>
      <c r="S38">
        <v>305</v>
      </c>
      <c r="T38">
        <v>0.23729546740684401</v>
      </c>
      <c r="U38">
        <v>1.5898551187223699E-2</v>
      </c>
      <c r="V38">
        <v>5476</v>
      </c>
      <c r="W38">
        <v>3.8322381082348297E-2</v>
      </c>
      <c r="X38">
        <v>48</v>
      </c>
      <c r="Y38">
        <v>0.97127593784128696</v>
      </c>
      <c r="Z38">
        <v>0.23729546740684401</v>
      </c>
      <c r="AA38">
        <v>7.3604746745429299E-3</v>
      </c>
      <c r="AB38">
        <v>0.356668968702953</v>
      </c>
      <c r="AC38">
        <v>3.2523956784536599E-3</v>
      </c>
      <c r="AD38">
        <v>9.0308875276723696E-2</v>
      </c>
      <c r="AE38">
        <v>9.6222258116145597E-4</v>
      </c>
      <c r="AF38">
        <v>3149.8319231872802</v>
      </c>
      <c r="AG38">
        <v>7144957.1836710796</v>
      </c>
      <c r="AH38">
        <v>16716.799637439501</v>
      </c>
      <c r="AI38">
        <v>19525815.240738701</v>
      </c>
    </row>
    <row r="39" spans="1:35" x14ac:dyDescent="0.25">
      <c r="A39">
        <v>1555</v>
      </c>
      <c r="B39" s="1">
        <v>45447</v>
      </c>
      <c r="C39">
        <v>13</v>
      </c>
      <c r="D39" t="s">
        <v>120</v>
      </c>
      <c r="E39">
        <v>4.71</v>
      </c>
      <c r="F39">
        <v>905</v>
      </c>
      <c r="G39" t="s">
        <v>47</v>
      </c>
      <c r="H39">
        <v>45.432985029999998</v>
      </c>
      <c r="I39">
        <v>-73.938739760000004</v>
      </c>
      <c r="J39">
        <v>39.020000000000003</v>
      </c>
      <c r="K39">
        <v>0</v>
      </c>
      <c r="L39">
        <v>0</v>
      </c>
      <c r="N39">
        <v>1</v>
      </c>
      <c r="O39" t="s">
        <v>121</v>
      </c>
      <c r="P39">
        <v>4</v>
      </c>
      <c r="Q39">
        <v>5</v>
      </c>
      <c r="R39">
        <v>312</v>
      </c>
      <c r="S39">
        <v>312</v>
      </c>
      <c r="T39">
        <v>0.26738519302319702</v>
      </c>
      <c r="U39">
        <v>1.7557985163134001E-2</v>
      </c>
      <c r="V39">
        <v>12154</v>
      </c>
      <c r="W39">
        <v>8.5057246031968195E-2</v>
      </c>
      <c r="X39">
        <v>53</v>
      </c>
      <c r="Y39">
        <v>0.97750000000000004</v>
      </c>
      <c r="Z39">
        <v>0.26738519302319702</v>
      </c>
      <c r="AA39">
        <v>1.2314188986143899E-2</v>
      </c>
      <c r="AB39">
        <v>0.378306617571464</v>
      </c>
      <c r="AC39">
        <v>4.2160465900103299E-3</v>
      </c>
      <c r="AD39">
        <v>0.104505434428056</v>
      </c>
      <c r="AE39">
        <v>1.1518960010818099E-3</v>
      </c>
      <c r="AF39">
        <v>3303.3352601965098</v>
      </c>
      <c r="AG39">
        <v>12815236.011806199</v>
      </c>
      <c r="AH39">
        <v>15842.3942473754</v>
      </c>
      <c r="AI39">
        <v>28150046.750558201</v>
      </c>
    </row>
    <row r="40" spans="1:35" x14ac:dyDescent="0.25">
      <c r="A40">
        <v>1556</v>
      </c>
      <c r="B40" s="1">
        <v>45447</v>
      </c>
      <c r="C40">
        <v>13</v>
      </c>
      <c r="D40" t="s">
        <v>122</v>
      </c>
      <c r="E40">
        <v>4.71</v>
      </c>
      <c r="F40">
        <v>905</v>
      </c>
      <c r="G40" t="s">
        <v>49</v>
      </c>
      <c r="H40">
        <v>45.433011999999998</v>
      </c>
      <c r="I40">
        <v>-73.938658930000003</v>
      </c>
      <c r="J40">
        <v>39.020000000000003</v>
      </c>
      <c r="K40">
        <v>0</v>
      </c>
      <c r="L40">
        <v>0</v>
      </c>
      <c r="N40">
        <v>1</v>
      </c>
      <c r="O40" t="s">
        <v>123</v>
      </c>
      <c r="P40">
        <v>4</v>
      </c>
      <c r="Q40">
        <v>6</v>
      </c>
      <c r="R40">
        <v>405</v>
      </c>
      <c r="S40">
        <v>405</v>
      </c>
      <c r="T40">
        <v>0.23710186321415699</v>
      </c>
      <c r="U40">
        <v>1.5662827923578801E-2</v>
      </c>
      <c r="V40">
        <v>3480</v>
      </c>
      <c r="W40">
        <v>2.4353546310227799E-2</v>
      </c>
      <c r="X40">
        <v>53</v>
      </c>
      <c r="Y40">
        <v>0.96119736842105297</v>
      </c>
      <c r="Z40">
        <v>0.23710186321415699</v>
      </c>
      <c r="AA40">
        <v>4.93185453269497E-3</v>
      </c>
      <c r="AB40">
        <v>0.363982591788924</v>
      </c>
      <c r="AC40">
        <v>3.40862838866818E-3</v>
      </c>
      <c r="AD40">
        <v>9.8989548730350305E-2</v>
      </c>
      <c r="AE40">
        <v>1.0905208176821299E-3</v>
      </c>
      <c r="AF40">
        <v>2827.5822037160201</v>
      </c>
      <c r="AG40">
        <v>3737170.44491514</v>
      </c>
      <c r="AH40">
        <v>16632.221181001099</v>
      </c>
      <c r="AI40">
        <v>20563776.286068901</v>
      </c>
    </row>
    <row r="41" spans="1:35" x14ac:dyDescent="0.25">
      <c r="A41">
        <v>1557</v>
      </c>
      <c r="B41" s="1">
        <v>45447</v>
      </c>
      <c r="C41">
        <v>13</v>
      </c>
      <c r="D41" t="s">
        <v>124</v>
      </c>
      <c r="E41">
        <v>4.71</v>
      </c>
      <c r="F41">
        <v>905</v>
      </c>
      <c r="G41" t="s">
        <v>52</v>
      </c>
      <c r="H41">
        <v>45.433038779999997</v>
      </c>
      <c r="I41">
        <v>-73.938577969999997</v>
      </c>
      <c r="J41">
        <v>39.020000000000003</v>
      </c>
      <c r="K41">
        <v>0</v>
      </c>
      <c r="L41">
        <v>0</v>
      </c>
      <c r="N41">
        <v>1</v>
      </c>
      <c r="O41" t="s">
        <v>125</v>
      </c>
      <c r="P41">
        <v>4</v>
      </c>
      <c r="Q41">
        <v>7</v>
      </c>
      <c r="R41">
        <v>412</v>
      </c>
      <c r="S41">
        <v>412</v>
      </c>
      <c r="T41">
        <v>0.23283143470795001</v>
      </c>
      <c r="U41">
        <v>1.53261838260173E-2</v>
      </c>
      <c r="V41">
        <v>1919</v>
      </c>
      <c r="W41">
        <v>1.34294411980825E-2</v>
      </c>
      <c r="X41">
        <v>44</v>
      </c>
      <c r="Y41">
        <v>0.93672368421052599</v>
      </c>
      <c r="Z41">
        <v>0.23283143470795001</v>
      </c>
      <c r="AA41">
        <v>3.5150730841584498E-3</v>
      </c>
      <c r="AB41">
        <v>0.36657973936825999</v>
      </c>
      <c r="AC41">
        <v>3.2196643577104E-3</v>
      </c>
      <c r="AD41">
        <v>0.102177863846956</v>
      </c>
      <c r="AE41">
        <v>1.12798178532066E-3</v>
      </c>
      <c r="AF41">
        <v>2688.5753315371398</v>
      </c>
      <c r="AG41">
        <v>2340567.92201863</v>
      </c>
      <c r="AH41">
        <v>17259.375087930399</v>
      </c>
      <c r="AI41">
        <v>18157797.2168683</v>
      </c>
    </row>
    <row r="42" spans="1:35" x14ac:dyDescent="0.25">
      <c r="A42">
        <v>1558</v>
      </c>
      <c r="B42" s="1">
        <v>45447</v>
      </c>
      <c r="C42">
        <v>13</v>
      </c>
      <c r="D42" t="s">
        <v>126</v>
      </c>
      <c r="E42">
        <v>4.71</v>
      </c>
      <c r="F42">
        <v>905</v>
      </c>
      <c r="G42" t="s">
        <v>55</v>
      </c>
      <c r="H42">
        <v>45.433013350000003</v>
      </c>
      <c r="I42">
        <v>-73.938561010000001</v>
      </c>
      <c r="J42">
        <v>39.018999999999998</v>
      </c>
      <c r="K42">
        <v>0</v>
      </c>
      <c r="L42">
        <v>0</v>
      </c>
      <c r="N42">
        <v>1</v>
      </c>
      <c r="O42" t="s">
        <v>127</v>
      </c>
      <c r="P42">
        <v>5</v>
      </c>
      <c r="Q42">
        <v>7</v>
      </c>
      <c r="R42">
        <v>413</v>
      </c>
      <c r="S42">
        <v>413</v>
      </c>
      <c r="T42">
        <v>0.25197099996342498</v>
      </c>
      <c r="U42">
        <v>1.6238040933327098E-2</v>
      </c>
      <c r="V42">
        <v>7000</v>
      </c>
      <c r="W42">
        <v>4.8987361260794698E-2</v>
      </c>
      <c r="X42">
        <v>75</v>
      </c>
      <c r="Y42">
        <v>0.98188157894736805</v>
      </c>
      <c r="Z42">
        <v>0.25197099996342498</v>
      </c>
      <c r="AA42">
        <v>7.6677279161716299E-3</v>
      </c>
      <c r="AB42">
        <v>0.376718422831755</v>
      </c>
      <c r="AC42">
        <v>3.8152461076204499E-3</v>
      </c>
      <c r="AD42">
        <v>0.106217156326609</v>
      </c>
      <c r="AE42">
        <v>1.1536362214780401E-3</v>
      </c>
      <c r="AF42">
        <v>2948.1463182498901</v>
      </c>
      <c r="AG42">
        <v>6496577.8506638696</v>
      </c>
      <c r="AH42">
        <v>16552.738307555501</v>
      </c>
      <c r="AI42">
        <v>23204931.925811399</v>
      </c>
    </row>
    <row r="43" spans="1:35" x14ac:dyDescent="0.25">
      <c r="A43">
        <v>1559</v>
      </c>
      <c r="B43" s="1">
        <v>45447</v>
      </c>
      <c r="C43">
        <v>13</v>
      </c>
      <c r="D43" t="s">
        <v>128</v>
      </c>
      <c r="E43">
        <v>4.71</v>
      </c>
      <c r="F43">
        <v>905</v>
      </c>
      <c r="G43" t="s">
        <v>58</v>
      </c>
      <c r="H43">
        <v>45.432986759999999</v>
      </c>
      <c r="I43">
        <v>-73.938642099999996</v>
      </c>
      <c r="J43">
        <v>39.018999999999998</v>
      </c>
      <c r="K43">
        <v>0</v>
      </c>
      <c r="L43">
        <v>0</v>
      </c>
      <c r="N43">
        <v>1</v>
      </c>
      <c r="O43" t="s">
        <v>129</v>
      </c>
      <c r="P43">
        <v>5</v>
      </c>
      <c r="Q43">
        <v>6</v>
      </c>
      <c r="R43">
        <v>406</v>
      </c>
      <c r="S43">
        <v>406</v>
      </c>
      <c r="T43">
        <v>0.246071607986656</v>
      </c>
      <c r="U43">
        <v>1.6373377478297799E-2</v>
      </c>
      <c r="V43">
        <v>8184</v>
      </c>
      <c r="W43">
        <v>5.7272021106111397E-2</v>
      </c>
      <c r="X43">
        <v>73</v>
      </c>
      <c r="Y43">
        <v>0.97926315789473695</v>
      </c>
      <c r="Z43">
        <v>0.246071607986656</v>
      </c>
      <c r="AA43">
        <v>9.9958628943407207E-3</v>
      </c>
      <c r="AB43">
        <v>0.36738713189257799</v>
      </c>
      <c r="AC43">
        <v>4.26190299756345E-3</v>
      </c>
      <c r="AD43">
        <v>9.7431035976170796E-2</v>
      </c>
      <c r="AE43">
        <v>1.20950369000456E-3</v>
      </c>
      <c r="AF43">
        <v>3184.0697425418298</v>
      </c>
      <c r="AG43">
        <v>8677574.1630752999</v>
      </c>
      <c r="AH43">
        <v>16278.380149805</v>
      </c>
      <c r="AI43">
        <v>24514265.793556102</v>
      </c>
    </row>
    <row r="44" spans="1:35" x14ac:dyDescent="0.25">
      <c r="A44">
        <v>1560</v>
      </c>
      <c r="B44" s="1">
        <v>45447</v>
      </c>
      <c r="C44">
        <v>13</v>
      </c>
      <c r="D44" t="s">
        <v>130</v>
      </c>
      <c r="E44">
        <v>4.71</v>
      </c>
      <c r="F44">
        <v>905</v>
      </c>
      <c r="G44" t="s">
        <v>61</v>
      </c>
      <c r="H44">
        <v>45.432960379999997</v>
      </c>
      <c r="I44">
        <v>-73.938723330000002</v>
      </c>
      <c r="J44">
        <v>39.020000000000003</v>
      </c>
      <c r="K44">
        <v>0</v>
      </c>
      <c r="L44">
        <v>0</v>
      </c>
      <c r="N44">
        <v>1</v>
      </c>
      <c r="O44" t="s">
        <v>131</v>
      </c>
      <c r="P44">
        <v>5</v>
      </c>
      <c r="Q44">
        <v>5</v>
      </c>
      <c r="R44">
        <v>313</v>
      </c>
      <c r="S44">
        <v>313</v>
      </c>
      <c r="T44">
        <v>0.247543422423564</v>
      </c>
      <c r="U44">
        <v>1.6547822216652901E-2</v>
      </c>
      <c r="V44">
        <v>6174</v>
      </c>
      <c r="W44">
        <v>4.3207155004094E-2</v>
      </c>
      <c r="X44">
        <v>64</v>
      </c>
      <c r="Y44">
        <v>0.97465722782178499</v>
      </c>
      <c r="Z44">
        <v>0.247543422423564</v>
      </c>
      <c r="AA44">
        <v>7.4076977159256803E-3</v>
      </c>
      <c r="AB44">
        <v>0.374918355394323</v>
      </c>
      <c r="AC44">
        <v>3.8931372029776001E-3</v>
      </c>
      <c r="AD44">
        <v>0.107377375978524</v>
      </c>
      <c r="AE44">
        <v>1.2776204607992301E-3</v>
      </c>
      <c r="AF44">
        <v>2863.4870813330199</v>
      </c>
      <c r="AG44">
        <v>5261137.6023741597</v>
      </c>
      <c r="AH44">
        <v>16438.770600197098</v>
      </c>
      <c r="AI44">
        <v>25036273.049504999</v>
      </c>
    </row>
    <row r="45" spans="1:35" x14ac:dyDescent="0.25">
      <c r="A45">
        <v>1561</v>
      </c>
      <c r="B45" s="1">
        <v>45447</v>
      </c>
      <c r="C45">
        <v>13</v>
      </c>
      <c r="D45" t="s">
        <v>132</v>
      </c>
      <c r="E45">
        <v>4.71</v>
      </c>
      <c r="F45">
        <v>905</v>
      </c>
      <c r="G45" t="s">
        <v>64</v>
      </c>
      <c r="H45">
        <v>45.432933179999999</v>
      </c>
      <c r="I45">
        <v>-73.938804039999994</v>
      </c>
      <c r="J45">
        <v>39.020000000000003</v>
      </c>
      <c r="K45">
        <v>0</v>
      </c>
      <c r="L45">
        <v>0</v>
      </c>
      <c r="N45">
        <v>1</v>
      </c>
      <c r="O45" t="s">
        <v>133</v>
      </c>
      <c r="P45">
        <v>5</v>
      </c>
      <c r="Q45">
        <v>4</v>
      </c>
      <c r="R45">
        <v>306</v>
      </c>
      <c r="S45">
        <v>306</v>
      </c>
      <c r="T45">
        <v>0.25147021377126799</v>
      </c>
      <c r="U45">
        <v>1.64732333047823E-2</v>
      </c>
      <c r="V45">
        <v>7466</v>
      </c>
      <c r="W45">
        <v>5.2249616840808699E-2</v>
      </c>
      <c r="X45">
        <v>67</v>
      </c>
      <c r="Y45">
        <v>0.98314518038998999</v>
      </c>
      <c r="Z45">
        <v>0.25147021377126799</v>
      </c>
      <c r="AA45">
        <v>8.6998045918050496E-3</v>
      </c>
      <c r="AB45">
        <v>0.37129863725825402</v>
      </c>
      <c r="AC45">
        <v>3.7634957189871098E-3</v>
      </c>
      <c r="AD45">
        <v>0.100468229340533</v>
      </c>
      <c r="AE45">
        <v>1.0359243267461301E-3</v>
      </c>
      <c r="AF45">
        <v>3167.4655366678098</v>
      </c>
      <c r="AG45">
        <v>6887180.8042007796</v>
      </c>
      <c r="AH45">
        <v>16362.754047955201</v>
      </c>
      <c r="AI45">
        <v>22838585.789129101</v>
      </c>
    </row>
    <row r="46" spans="1:35" x14ac:dyDescent="0.25">
      <c r="A46">
        <v>1562</v>
      </c>
      <c r="B46" s="1">
        <v>45447</v>
      </c>
      <c r="C46">
        <v>13</v>
      </c>
      <c r="D46" t="s">
        <v>134</v>
      </c>
      <c r="E46">
        <v>4.71</v>
      </c>
      <c r="F46">
        <v>905</v>
      </c>
      <c r="G46" t="s">
        <v>67</v>
      </c>
      <c r="H46">
        <v>45.432906359999997</v>
      </c>
      <c r="I46">
        <v>-73.938884970000004</v>
      </c>
      <c r="J46">
        <v>39.020000000000003</v>
      </c>
      <c r="K46">
        <v>0</v>
      </c>
      <c r="L46">
        <v>0</v>
      </c>
      <c r="N46">
        <v>1</v>
      </c>
      <c r="O46" t="s">
        <v>135</v>
      </c>
      <c r="P46">
        <v>5</v>
      </c>
      <c r="Q46">
        <v>3</v>
      </c>
      <c r="R46">
        <v>213</v>
      </c>
      <c r="S46">
        <v>213</v>
      </c>
      <c r="T46">
        <v>0.229580545221165</v>
      </c>
      <c r="U46">
        <v>1.51646243315515E-2</v>
      </c>
      <c r="V46">
        <v>2455</v>
      </c>
      <c r="W46">
        <v>1.7180807882876601E-2</v>
      </c>
      <c r="X46">
        <v>62</v>
      </c>
      <c r="Y46">
        <v>0.89148826989118601</v>
      </c>
      <c r="Z46">
        <v>0.229580545221165</v>
      </c>
      <c r="AA46">
        <v>3.41125502852341E-3</v>
      </c>
      <c r="AB46">
        <v>0.35482133654884601</v>
      </c>
      <c r="AC46">
        <v>2.5289933284990099E-3</v>
      </c>
      <c r="AD46">
        <v>9.7205197621775902E-2</v>
      </c>
      <c r="AE46">
        <v>9.842968341296891E-4</v>
      </c>
      <c r="AF46">
        <v>2808.5065504017002</v>
      </c>
      <c r="AG46">
        <v>2075676.74346274</v>
      </c>
      <c r="AH46">
        <v>17045.220270520102</v>
      </c>
      <c r="AI46">
        <v>16785509.3222587</v>
      </c>
    </row>
    <row r="47" spans="1:35" x14ac:dyDescent="0.25">
      <c r="A47">
        <v>1563</v>
      </c>
      <c r="B47" s="1">
        <v>45447</v>
      </c>
      <c r="C47">
        <v>13</v>
      </c>
      <c r="D47" t="s">
        <v>136</v>
      </c>
      <c r="E47">
        <v>4.71</v>
      </c>
      <c r="F47">
        <v>905</v>
      </c>
      <c r="G47" t="s">
        <v>70</v>
      </c>
      <c r="H47">
        <v>45.432879380000003</v>
      </c>
      <c r="I47">
        <v>-73.938965809999999</v>
      </c>
      <c r="J47">
        <v>39.020000000000003</v>
      </c>
      <c r="K47">
        <v>0</v>
      </c>
      <c r="L47">
        <v>0</v>
      </c>
      <c r="N47">
        <v>1</v>
      </c>
      <c r="O47" t="s">
        <v>137</v>
      </c>
      <c r="P47">
        <v>5</v>
      </c>
      <c r="Q47">
        <v>2</v>
      </c>
      <c r="R47">
        <v>206</v>
      </c>
      <c r="S47">
        <v>206</v>
      </c>
      <c r="T47">
        <v>0.236445205571891</v>
      </c>
      <c r="U47">
        <v>1.51750852050947E-2</v>
      </c>
      <c r="V47">
        <v>2808</v>
      </c>
      <c r="W47">
        <v>1.9651205105954101E-2</v>
      </c>
      <c r="X47">
        <v>71</v>
      </c>
      <c r="Y47">
        <v>0.97905235595205198</v>
      </c>
      <c r="Z47">
        <v>0.236445205571891</v>
      </c>
      <c r="AA47">
        <v>4.10818582621669E-3</v>
      </c>
      <c r="AB47">
        <v>0.36476869710666598</v>
      </c>
      <c r="AC47">
        <v>3.10288760814124E-3</v>
      </c>
      <c r="AD47">
        <v>9.7689898733399894E-2</v>
      </c>
      <c r="AE47">
        <v>8.8040681262993505E-4</v>
      </c>
      <c r="AF47">
        <v>2711.7254709850799</v>
      </c>
      <c r="AG47">
        <v>1585872.00490428</v>
      </c>
      <c r="AH47">
        <v>16582.395638916401</v>
      </c>
      <c r="AI47">
        <v>17107231.974384401</v>
      </c>
    </row>
    <row r="48" spans="1:35" x14ac:dyDescent="0.25">
      <c r="A48">
        <v>1564</v>
      </c>
      <c r="B48" s="1">
        <v>45447</v>
      </c>
      <c r="C48">
        <v>13</v>
      </c>
      <c r="D48" t="s">
        <v>138</v>
      </c>
      <c r="E48">
        <v>4.71</v>
      </c>
      <c r="F48">
        <v>905</v>
      </c>
      <c r="G48" t="s">
        <v>73</v>
      </c>
      <c r="H48">
        <v>45.43285247</v>
      </c>
      <c r="I48">
        <v>-73.939046630000007</v>
      </c>
      <c r="J48">
        <v>39.020000000000003</v>
      </c>
      <c r="K48">
        <v>0</v>
      </c>
      <c r="L48">
        <v>0</v>
      </c>
      <c r="N48">
        <v>1</v>
      </c>
      <c r="O48" t="s">
        <v>139</v>
      </c>
      <c r="P48">
        <v>5</v>
      </c>
      <c r="Q48">
        <v>1</v>
      </c>
      <c r="R48">
        <v>113</v>
      </c>
      <c r="S48">
        <v>113</v>
      </c>
      <c r="T48">
        <v>0.21491420250190699</v>
      </c>
      <c r="U48">
        <v>1.3852416317276401E-2</v>
      </c>
      <c r="V48">
        <v>1434</v>
      </c>
      <c r="W48">
        <v>1.0035551325476601E-2</v>
      </c>
      <c r="X48">
        <v>70</v>
      </c>
      <c r="Y48">
        <v>0.97793392018316005</v>
      </c>
      <c r="Z48">
        <v>0.21491420250190699</v>
      </c>
      <c r="AA48">
        <v>2.5807334193098099E-3</v>
      </c>
      <c r="AB48">
        <v>0.353026658975231</v>
      </c>
      <c r="AC48">
        <v>1.8582855141843001E-3</v>
      </c>
      <c r="AD48">
        <v>9.3141263650796793E-2</v>
      </c>
      <c r="AE48">
        <v>8.1313115782540404E-4</v>
      </c>
      <c r="AF48">
        <v>2375.99449934216</v>
      </c>
      <c r="AG48">
        <v>1421547.4211550099</v>
      </c>
      <c r="AH48">
        <v>16134.5829407273</v>
      </c>
      <c r="AI48">
        <v>12487808.723875601</v>
      </c>
    </row>
    <row r="49" spans="1:35" x14ac:dyDescent="0.25">
      <c r="A49">
        <v>1565</v>
      </c>
      <c r="B49" s="1">
        <v>45447</v>
      </c>
      <c r="C49">
        <v>13</v>
      </c>
      <c r="D49" t="s">
        <v>140</v>
      </c>
      <c r="E49">
        <v>4.71</v>
      </c>
      <c r="F49">
        <v>905</v>
      </c>
      <c r="G49" t="s">
        <v>76</v>
      </c>
      <c r="H49">
        <v>45.432825549999997</v>
      </c>
      <c r="I49">
        <v>-73.93912752</v>
      </c>
      <c r="J49">
        <v>39.020000000000003</v>
      </c>
      <c r="K49">
        <v>0</v>
      </c>
      <c r="L49">
        <v>0</v>
      </c>
      <c r="N49">
        <v>1</v>
      </c>
      <c r="O49" t="s">
        <v>141</v>
      </c>
      <c r="P49">
        <v>5</v>
      </c>
      <c r="Q49">
        <v>0</v>
      </c>
      <c r="R49">
        <v>106</v>
      </c>
      <c r="S49">
        <v>106</v>
      </c>
      <c r="T49">
        <v>0.22218955780342001</v>
      </c>
      <c r="U49">
        <v>1.41075996496409E-2</v>
      </c>
      <c r="V49">
        <v>2834</v>
      </c>
      <c r="W49">
        <v>1.98332995080166E-2</v>
      </c>
      <c r="X49">
        <v>99</v>
      </c>
      <c r="Y49">
        <v>0.98567105263157895</v>
      </c>
      <c r="Z49">
        <v>0.22218955780342001</v>
      </c>
      <c r="AA49">
        <v>4.2088821529691197E-3</v>
      </c>
      <c r="AB49">
        <v>0.36744163921703199</v>
      </c>
      <c r="AC49">
        <v>2.3425848742938998E-3</v>
      </c>
      <c r="AD49">
        <v>8.6985757372290098E-2</v>
      </c>
      <c r="AE49">
        <v>8.3646874211999798E-4</v>
      </c>
      <c r="AF49">
        <v>2176.6213897306302</v>
      </c>
      <c r="AG49">
        <v>1229748.8533580599</v>
      </c>
      <c r="AH49">
        <v>15598.703226182301</v>
      </c>
      <c r="AI49">
        <v>13435092.930198001</v>
      </c>
    </row>
    <row r="50" spans="1:35" x14ac:dyDescent="0.25">
      <c r="A50">
        <v>1566</v>
      </c>
      <c r="B50" s="1">
        <v>45447</v>
      </c>
      <c r="C50">
        <v>13</v>
      </c>
      <c r="D50" t="s">
        <v>142</v>
      </c>
      <c r="E50">
        <v>4.71</v>
      </c>
      <c r="F50">
        <v>905</v>
      </c>
      <c r="G50" t="s">
        <v>32</v>
      </c>
      <c r="H50">
        <v>45.432800960000002</v>
      </c>
      <c r="I50">
        <v>-73.939110929999998</v>
      </c>
      <c r="J50">
        <v>39.020000000000003</v>
      </c>
      <c r="K50">
        <v>0</v>
      </c>
      <c r="L50">
        <v>0</v>
      </c>
      <c r="N50">
        <v>1</v>
      </c>
      <c r="O50" t="s">
        <v>143</v>
      </c>
      <c r="P50">
        <v>6</v>
      </c>
      <c r="Q50">
        <v>0</v>
      </c>
      <c r="R50">
        <v>107</v>
      </c>
      <c r="S50">
        <v>107</v>
      </c>
      <c r="T50">
        <v>0.21537314296721199</v>
      </c>
      <c r="U50">
        <v>1.41877642738903E-2</v>
      </c>
      <c r="V50">
        <v>2934</v>
      </c>
      <c r="W50">
        <v>2.05327025627388E-2</v>
      </c>
      <c r="X50">
        <v>75</v>
      </c>
      <c r="Y50">
        <v>0.97527664109682799</v>
      </c>
      <c r="Z50">
        <v>0.21537314296721199</v>
      </c>
      <c r="AA50">
        <v>4.1216372313309501E-3</v>
      </c>
      <c r="AB50">
        <v>0.36263807843587098</v>
      </c>
      <c r="AC50">
        <v>2.5485560984439301E-3</v>
      </c>
      <c r="AD50">
        <v>8.1893802779770694E-2</v>
      </c>
      <c r="AE50">
        <v>7.6536788756822397E-4</v>
      </c>
      <c r="AF50">
        <v>2213.93617646647</v>
      </c>
      <c r="AG50">
        <v>1140761.51201542</v>
      </c>
      <c r="AH50">
        <v>15627.7137903765</v>
      </c>
      <c r="AI50">
        <v>11895373.420155801</v>
      </c>
    </row>
    <row r="51" spans="1:35" x14ac:dyDescent="0.25">
      <c r="A51">
        <v>1567</v>
      </c>
      <c r="B51" s="1">
        <v>45447</v>
      </c>
      <c r="C51">
        <v>13</v>
      </c>
      <c r="D51" t="s">
        <v>144</v>
      </c>
      <c r="E51">
        <v>4.71</v>
      </c>
      <c r="F51">
        <v>905</v>
      </c>
      <c r="G51" t="s">
        <v>35</v>
      </c>
      <c r="H51">
        <v>45.432827260000003</v>
      </c>
      <c r="I51">
        <v>-73.939029640000001</v>
      </c>
      <c r="J51">
        <v>39.020000000000003</v>
      </c>
      <c r="K51">
        <v>0</v>
      </c>
      <c r="L51">
        <v>0</v>
      </c>
      <c r="N51">
        <v>1</v>
      </c>
      <c r="O51" t="s">
        <v>145</v>
      </c>
      <c r="P51">
        <v>6</v>
      </c>
      <c r="Q51">
        <v>1</v>
      </c>
      <c r="R51">
        <v>114</v>
      </c>
      <c r="S51">
        <v>114</v>
      </c>
      <c r="T51">
        <v>0.21519327213476899</v>
      </c>
      <c r="U51">
        <v>1.3969053905660601E-2</v>
      </c>
      <c r="V51">
        <v>1647</v>
      </c>
      <c r="W51">
        <v>1.1526106947156301E-2</v>
      </c>
      <c r="X51">
        <v>65</v>
      </c>
      <c r="Y51">
        <v>0.96235526315789499</v>
      </c>
      <c r="Z51">
        <v>0.21519327213476899</v>
      </c>
      <c r="AA51">
        <v>2.7401200937000698E-3</v>
      </c>
      <c r="AB51">
        <v>0.36413819708589301</v>
      </c>
      <c r="AC51">
        <v>2.0567109014015699E-3</v>
      </c>
      <c r="AD51">
        <v>9.8510931155956799E-2</v>
      </c>
      <c r="AE51">
        <v>7.7411437238037698E-4</v>
      </c>
      <c r="AF51">
        <v>2367.23045915475</v>
      </c>
      <c r="AG51">
        <v>1322138.17291083</v>
      </c>
      <c r="AH51">
        <v>16274.486130396401</v>
      </c>
      <c r="AI51">
        <v>13488700.308847999</v>
      </c>
    </row>
    <row r="52" spans="1:35" x14ac:dyDescent="0.25">
      <c r="A52">
        <v>1568</v>
      </c>
      <c r="B52" s="1">
        <v>45447</v>
      </c>
      <c r="C52">
        <v>13</v>
      </c>
      <c r="D52" t="s">
        <v>146</v>
      </c>
      <c r="E52">
        <v>4.71</v>
      </c>
      <c r="F52">
        <v>905</v>
      </c>
      <c r="G52" t="s">
        <v>38</v>
      </c>
      <c r="H52">
        <v>45.432854650000003</v>
      </c>
      <c r="I52">
        <v>-73.938949129999997</v>
      </c>
      <c r="J52">
        <v>39.020000000000003</v>
      </c>
      <c r="K52">
        <v>0</v>
      </c>
      <c r="L52">
        <v>0</v>
      </c>
      <c r="N52">
        <v>1</v>
      </c>
      <c r="O52" t="s">
        <v>147</v>
      </c>
      <c r="P52">
        <v>6</v>
      </c>
      <c r="Q52">
        <v>2</v>
      </c>
      <c r="R52">
        <v>207</v>
      </c>
      <c r="S52">
        <v>207</v>
      </c>
      <c r="T52">
        <v>0.25379993926468603</v>
      </c>
      <c r="U52">
        <v>1.60252453693293E-2</v>
      </c>
      <c r="V52">
        <v>7642</v>
      </c>
      <c r="W52">
        <v>5.3480202107856201E-2</v>
      </c>
      <c r="X52">
        <v>61</v>
      </c>
      <c r="Y52">
        <v>0.97956552059895496</v>
      </c>
      <c r="Z52">
        <v>0.25379993926468603</v>
      </c>
      <c r="AA52">
        <v>9.4626855447621505E-3</v>
      </c>
      <c r="AB52">
        <v>0.37395282936038998</v>
      </c>
      <c r="AC52">
        <v>4.0342585099798003E-3</v>
      </c>
      <c r="AD52">
        <v>0.101475087583823</v>
      </c>
      <c r="AE52">
        <v>1.01534915833411E-3</v>
      </c>
      <c r="AF52">
        <v>3112.7972497288201</v>
      </c>
      <c r="AG52">
        <v>7518067.9177991804</v>
      </c>
      <c r="AH52">
        <v>16271.5492594227</v>
      </c>
      <c r="AI52">
        <v>23602865.3410387</v>
      </c>
    </row>
    <row r="53" spans="1:35" x14ac:dyDescent="0.25">
      <c r="A53">
        <v>1569</v>
      </c>
      <c r="B53" s="1">
        <v>45447</v>
      </c>
      <c r="C53">
        <v>13</v>
      </c>
      <c r="D53" t="s">
        <v>148</v>
      </c>
      <c r="E53">
        <v>4.71</v>
      </c>
      <c r="F53">
        <v>905</v>
      </c>
      <c r="G53" t="s">
        <v>41</v>
      </c>
      <c r="H53">
        <v>45.432881389999999</v>
      </c>
      <c r="I53">
        <v>-73.938868040000003</v>
      </c>
      <c r="J53">
        <v>39.020000000000003</v>
      </c>
      <c r="K53">
        <v>0</v>
      </c>
      <c r="L53">
        <v>0</v>
      </c>
      <c r="N53">
        <v>1</v>
      </c>
      <c r="O53" t="s">
        <v>149</v>
      </c>
      <c r="P53">
        <v>6</v>
      </c>
      <c r="Q53">
        <v>3</v>
      </c>
      <c r="R53">
        <v>214</v>
      </c>
      <c r="S53">
        <v>214</v>
      </c>
      <c r="T53">
        <v>0.26172168814060998</v>
      </c>
      <c r="U53">
        <v>1.74881318319214E-2</v>
      </c>
      <c r="V53">
        <v>11209</v>
      </c>
      <c r="W53">
        <v>7.8443310729006996E-2</v>
      </c>
      <c r="X53">
        <v>47</v>
      </c>
      <c r="Y53">
        <v>0.96773726661491299</v>
      </c>
      <c r="Z53">
        <v>0.26172168814060998</v>
      </c>
      <c r="AA53">
        <v>1.2135723939112299E-2</v>
      </c>
      <c r="AB53">
        <v>0.37406781846624698</v>
      </c>
      <c r="AC53">
        <v>4.00793322488291E-3</v>
      </c>
      <c r="AD53">
        <v>0.103462863831127</v>
      </c>
      <c r="AE53">
        <v>1.06491752731386E-3</v>
      </c>
      <c r="AF53">
        <v>3412.1785951726101</v>
      </c>
      <c r="AG53">
        <v>13386018.6371217</v>
      </c>
      <c r="AH53">
        <v>16297.684626124999</v>
      </c>
      <c r="AI53">
        <v>27169521.362362299</v>
      </c>
    </row>
    <row r="54" spans="1:35" x14ac:dyDescent="0.25">
      <c r="A54">
        <v>1570</v>
      </c>
      <c r="B54" s="1">
        <v>45447</v>
      </c>
      <c r="C54">
        <v>13</v>
      </c>
      <c r="D54" t="s">
        <v>150</v>
      </c>
      <c r="E54">
        <v>4.71</v>
      </c>
      <c r="F54">
        <v>905</v>
      </c>
      <c r="G54" t="s">
        <v>44</v>
      </c>
      <c r="H54">
        <v>45.432908560000001</v>
      </c>
      <c r="I54">
        <v>-73.938787390000002</v>
      </c>
      <c r="J54">
        <v>39.018999999999998</v>
      </c>
      <c r="K54">
        <v>0</v>
      </c>
      <c r="L54">
        <v>0</v>
      </c>
      <c r="N54">
        <v>1</v>
      </c>
      <c r="O54" t="s">
        <v>151</v>
      </c>
      <c r="P54">
        <v>6</v>
      </c>
      <c r="Q54">
        <v>4</v>
      </c>
      <c r="R54">
        <v>307</v>
      </c>
      <c r="S54">
        <v>307</v>
      </c>
      <c r="T54">
        <v>0.26518065529023899</v>
      </c>
      <c r="U54">
        <v>1.73297104832934E-2</v>
      </c>
      <c r="V54">
        <v>10742</v>
      </c>
      <c r="W54">
        <v>7.51740788690997E-2</v>
      </c>
      <c r="X54">
        <v>50</v>
      </c>
      <c r="Y54">
        <v>0.966973249648022</v>
      </c>
      <c r="Z54">
        <v>0.26518065529023899</v>
      </c>
      <c r="AA54">
        <v>1.17934721067414E-2</v>
      </c>
      <c r="AB54">
        <v>0.376900598100813</v>
      </c>
      <c r="AC54">
        <v>4.3632980628241398E-3</v>
      </c>
      <c r="AD54">
        <v>0.10381537956228</v>
      </c>
      <c r="AE54">
        <v>1.10236480365371E-3</v>
      </c>
      <c r="AF54">
        <v>3305.4504356345601</v>
      </c>
      <c r="AG54">
        <v>10283581.8733951</v>
      </c>
      <c r="AH54">
        <v>16027.1227792351</v>
      </c>
      <c r="AI54">
        <v>27181311.595080901</v>
      </c>
    </row>
    <row r="55" spans="1:35" x14ac:dyDescent="0.25">
      <c r="A55">
        <v>1571</v>
      </c>
      <c r="B55" s="1">
        <v>45447</v>
      </c>
      <c r="C55">
        <v>13</v>
      </c>
      <c r="D55" t="s">
        <v>152</v>
      </c>
      <c r="E55">
        <v>4.71</v>
      </c>
      <c r="F55">
        <v>905</v>
      </c>
      <c r="G55" t="s">
        <v>47</v>
      </c>
      <c r="H55">
        <v>45.43293551</v>
      </c>
      <c r="I55">
        <v>-73.938706580000002</v>
      </c>
      <c r="J55">
        <v>39.018999999999998</v>
      </c>
      <c r="K55">
        <v>0</v>
      </c>
      <c r="L55">
        <v>0</v>
      </c>
      <c r="N55">
        <v>1</v>
      </c>
      <c r="O55" t="s">
        <v>153</v>
      </c>
      <c r="P55">
        <v>6</v>
      </c>
      <c r="Q55">
        <v>5</v>
      </c>
      <c r="R55">
        <v>314</v>
      </c>
      <c r="S55">
        <v>314</v>
      </c>
      <c r="T55">
        <v>0.230093758269028</v>
      </c>
      <c r="U55">
        <v>1.52601710400165E-2</v>
      </c>
      <c r="V55">
        <v>2325</v>
      </c>
      <c r="W55">
        <v>1.6270916000083999E-2</v>
      </c>
      <c r="X55">
        <v>66</v>
      </c>
      <c r="Y55">
        <v>0.97797455363604102</v>
      </c>
      <c r="Z55">
        <v>0.230093758269028</v>
      </c>
      <c r="AA55">
        <v>3.6393705536196998E-3</v>
      </c>
      <c r="AB55">
        <v>0.35296562053348401</v>
      </c>
      <c r="AC55">
        <v>2.56846270165562E-3</v>
      </c>
      <c r="AD55">
        <v>0.10108860294557299</v>
      </c>
      <c r="AE55">
        <v>1.03182270896054E-3</v>
      </c>
      <c r="AF55">
        <v>2835.4613941900602</v>
      </c>
      <c r="AG55">
        <v>2179210.20075374</v>
      </c>
      <c r="AH55">
        <v>16620.269256825799</v>
      </c>
      <c r="AI55">
        <v>18252512.150099099</v>
      </c>
    </row>
    <row r="56" spans="1:35" x14ac:dyDescent="0.25">
      <c r="A56">
        <v>1572</v>
      </c>
      <c r="B56" s="1">
        <v>45447</v>
      </c>
      <c r="C56">
        <v>13</v>
      </c>
      <c r="D56" t="s">
        <v>154</v>
      </c>
      <c r="E56">
        <v>4.71</v>
      </c>
      <c r="F56">
        <v>905</v>
      </c>
      <c r="G56" t="s">
        <v>49</v>
      </c>
      <c r="H56">
        <v>45.43296222</v>
      </c>
      <c r="I56">
        <v>-73.938625529999996</v>
      </c>
      <c r="J56">
        <v>39.018999999999998</v>
      </c>
      <c r="K56">
        <v>0</v>
      </c>
      <c r="L56">
        <v>0</v>
      </c>
      <c r="N56">
        <v>1</v>
      </c>
      <c r="O56" t="s">
        <v>155</v>
      </c>
      <c r="P56">
        <v>6</v>
      </c>
      <c r="Q56">
        <v>6</v>
      </c>
      <c r="R56">
        <v>407</v>
      </c>
      <c r="S56">
        <v>407</v>
      </c>
      <c r="T56">
        <v>0.24293238136043199</v>
      </c>
      <c r="U56">
        <v>1.66191597344322E-2</v>
      </c>
      <c r="V56">
        <v>7401</v>
      </c>
      <c r="W56">
        <v>5.1793999706073797E-2</v>
      </c>
      <c r="X56">
        <v>65</v>
      </c>
      <c r="Y56">
        <v>0.98031578947368403</v>
      </c>
      <c r="Z56">
        <v>0.24293238136043199</v>
      </c>
      <c r="AA56">
        <v>9.2340453915289895E-3</v>
      </c>
      <c r="AB56">
        <v>0.36275760216498898</v>
      </c>
      <c r="AC56">
        <v>4.0498328869502196E-3</v>
      </c>
      <c r="AD56">
        <v>9.6050970814221107E-2</v>
      </c>
      <c r="AE56">
        <v>1.1316965108317399E-3</v>
      </c>
      <c r="AF56">
        <v>3085.2775713296001</v>
      </c>
      <c r="AG56">
        <v>7331144.8691515801</v>
      </c>
      <c r="AH56">
        <v>16206.054607166199</v>
      </c>
      <c r="AI56">
        <v>21334678.550977699</v>
      </c>
    </row>
    <row r="57" spans="1:35" x14ac:dyDescent="0.25">
      <c r="A57">
        <v>1573</v>
      </c>
      <c r="B57" s="1">
        <v>45447</v>
      </c>
      <c r="C57">
        <v>13</v>
      </c>
      <c r="D57" t="s">
        <v>156</v>
      </c>
      <c r="E57">
        <v>4.71</v>
      </c>
      <c r="F57">
        <v>905</v>
      </c>
      <c r="G57" t="s">
        <v>52</v>
      </c>
      <c r="H57">
        <v>45.4329891</v>
      </c>
      <c r="I57">
        <v>-73.938544620000002</v>
      </c>
      <c r="J57">
        <v>39.018999999999998</v>
      </c>
      <c r="K57">
        <v>0</v>
      </c>
      <c r="L57">
        <v>0</v>
      </c>
      <c r="N57">
        <v>1</v>
      </c>
      <c r="O57" t="s">
        <v>157</v>
      </c>
      <c r="P57">
        <v>6</v>
      </c>
      <c r="Q57">
        <v>7</v>
      </c>
      <c r="R57">
        <v>414</v>
      </c>
      <c r="S57">
        <v>414</v>
      </c>
      <c r="T57">
        <v>0.233966655420421</v>
      </c>
      <c r="U57">
        <v>1.56036207041296E-2</v>
      </c>
      <c r="V57">
        <v>1878</v>
      </c>
      <c r="W57">
        <v>1.3142517232933301E-2</v>
      </c>
      <c r="X57">
        <v>32</v>
      </c>
      <c r="Y57">
        <v>0.70100524603616499</v>
      </c>
      <c r="Z57">
        <v>0.233966655420421</v>
      </c>
      <c r="AA57">
        <v>3.3649650622088398E-3</v>
      </c>
      <c r="AB57">
        <v>0.36591198036887201</v>
      </c>
      <c r="AC57">
        <v>2.74356037643478E-3</v>
      </c>
      <c r="AD57">
        <v>0.105959176981487</v>
      </c>
      <c r="AE57">
        <v>9.7578299380881597E-4</v>
      </c>
      <c r="AF57">
        <v>2689.0260261030799</v>
      </c>
      <c r="AG57">
        <v>2429957.8873312902</v>
      </c>
      <c r="AH57">
        <v>17209.1798905205</v>
      </c>
      <c r="AI57">
        <v>17950275.240050901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8EEE-F9A9-434F-A9E7-6152AFBE2D7E}">
  <dimension ref="A1:AH58"/>
  <sheetViews>
    <sheetView topLeftCell="A7" workbookViewId="0">
      <selection activeCell="C2" sqref="C2:C58"/>
    </sheetView>
  </sheetViews>
  <sheetFormatPr defaultRowHeight="15" x14ac:dyDescent="0.25"/>
  <cols>
    <col min="3" max="3" width="10.42578125" bestFit="1" customWidth="1"/>
  </cols>
  <sheetData>
    <row r="1" spans="1:34" x14ac:dyDescent="0.25">
      <c r="A1" t="s">
        <v>0</v>
      </c>
      <c r="B1" t="s">
        <v>1</v>
      </c>
      <c r="C1" t="s">
        <v>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158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</row>
    <row r="2" spans="1:34" x14ac:dyDescent="0.25">
      <c r="A2">
        <v>1517</v>
      </c>
      <c r="B2" s="1">
        <v>45447</v>
      </c>
      <c r="C2">
        <v>23</v>
      </c>
      <c r="D2" t="s">
        <v>31</v>
      </c>
      <c r="E2">
        <v>4.71</v>
      </c>
      <c r="F2">
        <v>905</v>
      </c>
      <c r="G2" t="s">
        <v>32</v>
      </c>
      <c r="H2">
        <v>45.432950300000002</v>
      </c>
      <c r="I2">
        <v>-73.939211110000002</v>
      </c>
      <c r="J2">
        <v>39.021000000000001</v>
      </c>
      <c r="K2">
        <v>0</v>
      </c>
      <c r="L2">
        <v>0</v>
      </c>
      <c r="N2">
        <v>1</v>
      </c>
      <c r="O2" t="s">
        <v>33</v>
      </c>
      <c r="P2">
        <v>0</v>
      </c>
      <c r="Q2">
        <v>0</v>
      </c>
      <c r="R2">
        <v>101</v>
      </c>
      <c r="S2">
        <v>101</v>
      </c>
      <c r="T2">
        <v>0.27767677019914999</v>
      </c>
      <c r="U2">
        <v>61465.281493428098</v>
      </c>
      <c r="V2">
        <v>7.0022396197216993E-2</v>
      </c>
      <c r="W2">
        <v>0.93847287464308704</v>
      </c>
      <c r="X2">
        <v>77</v>
      </c>
      <c r="Y2">
        <v>0.55591335536953201</v>
      </c>
      <c r="Z2">
        <v>1.25114791069037E-2</v>
      </c>
      <c r="AA2">
        <v>7.9653454243711203E-2</v>
      </c>
      <c r="AB2">
        <v>7.6894263847628198E-3</v>
      </c>
      <c r="AC2">
        <v>-2.5341678530003599E-2</v>
      </c>
      <c r="AD2">
        <v>1.6471715199862401E-3</v>
      </c>
      <c r="AE2">
        <v>2688.0757618298298</v>
      </c>
      <c r="AF2">
        <v>14647516.336896</v>
      </c>
      <c r="AG2">
        <v>15234.614294360699</v>
      </c>
      <c r="AH2">
        <v>33086516.271503001</v>
      </c>
    </row>
    <row r="3" spans="1:34" x14ac:dyDescent="0.25">
      <c r="A3">
        <v>1519</v>
      </c>
      <c r="B3" s="1">
        <v>45447</v>
      </c>
      <c r="C3">
        <v>23</v>
      </c>
      <c r="D3" t="s">
        <v>34</v>
      </c>
      <c r="E3">
        <v>4.71</v>
      </c>
      <c r="F3">
        <v>905</v>
      </c>
      <c r="G3" t="s">
        <v>35</v>
      </c>
      <c r="H3">
        <v>45.432976490000001</v>
      </c>
      <c r="I3">
        <v>-73.939129780000002</v>
      </c>
      <c r="J3">
        <v>39.021000000000001</v>
      </c>
      <c r="K3">
        <v>0</v>
      </c>
      <c r="L3">
        <v>0</v>
      </c>
      <c r="N3">
        <v>1</v>
      </c>
      <c r="O3" t="s">
        <v>36</v>
      </c>
      <c r="P3">
        <v>0</v>
      </c>
      <c r="Q3">
        <v>1</v>
      </c>
      <c r="R3">
        <v>108</v>
      </c>
      <c r="S3">
        <v>108</v>
      </c>
      <c r="T3">
        <v>0.28681318529139599</v>
      </c>
      <c r="U3">
        <v>60446.670558276201</v>
      </c>
      <c r="V3">
        <v>0.10021547502448599</v>
      </c>
      <c r="W3">
        <v>0.98342105263157897</v>
      </c>
      <c r="X3">
        <v>81</v>
      </c>
      <c r="Y3">
        <v>0.57341850674893802</v>
      </c>
      <c r="Z3">
        <v>1.6485793026458698E-2</v>
      </c>
      <c r="AA3">
        <v>8.5484694357382596E-2</v>
      </c>
      <c r="AB3">
        <v>8.9049858019935191E-3</v>
      </c>
      <c r="AC3">
        <v>-2.3655935514515902E-2</v>
      </c>
      <c r="AD3">
        <v>2.0858363006172301E-3</v>
      </c>
      <c r="AE3">
        <v>2820.1391250408101</v>
      </c>
      <c r="AF3">
        <v>20113100.610164601</v>
      </c>
      <c r="AG3">
        <v>14593.863339531101</v>
      </c>
      <c r="AH3">
        <v>40661256.217154302</v>
      </c>
    </row>
    <row r="4" spans="1:34" x14ac:dyDescent="0.25">
      <c r="A4">
        <v>1520</v>
      </c>
      <c r="B4" s="1">
        <v>45447</v>
      </c>
      <c r="C4">
        <v>23</v>
      </c>
      <c r="D4" t="s">
        <v>37</v>
      </c>
      <c r="E4">
        <v>4.71</v>
      </c>
      <c r="F4">
        <v>905</v>
      </c>
      <c r="G4" t="s">
        <v>38</v>
      </c>
      <c r="H4">
        <v>45.433003650000003</v>
      </c>
      <c r="I4">
        <v>-73.939049060000002</v>
      </c>
      <c r="J4">
        <v>39.021000000000001</v>
      </c>
      <c r="K4">
        <v>0</v>
      </c>
      <c r="L4">
        <v>0</v>
      </c>
      <c r="N4">
        <v>1</v>
      </c>
      <c r="O4" t="s">
        <v>39</v>
      </c>
      <c r="P4">
        <v>0</v>
      </c>
      <c r="Q4">
        <v>2</v>
      </c>
      <c r="R4">
        <v>201</v>
      </c>
      <c r="S4">
        <v>201</v>
      </c>
      <c r="T4">
        <v>0.30269272659324498</v>
      </c>
      <c r="U4">
        <v>63750.249689846598</v>
      </c>
      <c r="V4">
        <v>0.14086842964414001</v>
      </c>
      <c r="W4">
        <v>0.98652649307245999</v>
      </c>
      <c r="X4">
        <v>66</v>
      </c>
      <c r="Y4">
        <v>0.60574932563255002</v>
      </c>
      <c r="Z4">
        <v>2.5319284755850002E-2</v>
      </c>
      <c r="AA4">
        <v>9.8851611879883894E-2</v>
      </c>
      <c r="AB4">
        <v>1.3538984564614699E-2</v>
      </c>
      <c r="AC4">
        <v>-2.0311004582877601E-2</v>
      </c>
      <c r="AD4">
        <v>2.24200045496886E-3</v>
      </c>
      <c r="AE4">
        <v>2892.2609467841999</v>
      </c>
      <c r="AF4">
        <v>32539696.890143499</v>
      </c>
      <c r="AG4">
        <v>14445.805998219401</v>
      </c>
      <c r="AH4">
        <v>46557745.070358299</v>
      </c>
    </row>
    <row r="5" spans="1:34" x14ac:dyDescent="0.25">
      <c r="A5">
        <v>1521</v>
      </c>
      <c r="B5" s="1">
        <v>45447</v>
      </c>
      <c r="C5">
        <v>23</v>
      </c>
      <c r="D5" t="s">
        <v>40</v>
      </c>
      <c r="E5">
        <v>4.71</v>
      </c>
      <c r="F5">
        <v>905</v>
      </c>
      <c r="G5" t="s">
        <v>41</v>
      </c>
      <c r="H5">
        <v>45.43303015</v>
      </c>
      <c r="I5">
        <v>-73.938967959999999</v>
      </c>
      <c r="J5">
        <v>39.021000000000001</v>
      </c>
      <c r="K5">
        <v>0</v>
      </c>
      <c r="L5">
        <v>0</v>
      </c>
      <c r="N5">
        <v>1</v>
      </c>
      <c r="O5" t="s">
        <v>42</v>
      </c>
      <c r="P5">
        <v>0</v>
      </c>
      <c r="Q5">
        <v>3</v>
      </c>
      <c r="R5">
        <v>208</v>
      </c>
      <c r="S5">
        <v>208</v>
      </c>
      <c r="T5">
        <v>0.37160737324995102</v>
      </c>
      <c r="U5">
        <v>69521.077200336906</v>
      </c>
      <c r="V5">
        <v>0.28275447772401702</v>
      </c>
      <c r="W5">
        <v>0.77365491651205898</v>
      </c>
      <c r="X5">
        <v>29</v>
      </c>
      <c r="Y5">
        <v>0.74332408919049198</v>
      </c>
      <c r="Z5">
        <v>4.6029578724955701E-2</v>
      </c>
      <c r="AA5">
        <v>0.128921137178406</v>
      </c>
      <c r="AB5">
        <v>1.80613688026648E-2</v>
      </c>
      <c r="AC5">
        <v>-1.7827280199435198E-2</v>
      </c>
      <c r="AD5">
        <v>3.4393501033705199E-3</v>
      </c>
      <c r="AE5">
        <v>6878.8344074647202</v>
      </c>
      <c r="AF5">
        <v>107535895.27898499</v>
      </c>
      <c r="AG5">
        <v>12363.2598136834</v>
      </c>
      <c r="AH5">
        <v>69741836.559307694</v>
      </c>
    </row>
    <row r="6" spans="1:34" x14ac:dyDescent="0.25">
      <c r="A6">
        <v>1522</v>
      </c>
      <c r="B6" s="1">
        <v>45447</v>
      </c>
      <c r="C6">
        <v>23</v>
      </c>
      <c r="D6" t="s">
        <v>43</v>
      </c>
      <c r="E6">
        <v>4.71</v>
      </c>
      <c r="F6">
        <v>905</v>
      </c>
      <c r="G6" t="s">
        <v>44</v>
      </c>
      <c r="H6">
        <v>45.433057239999997</v>
      </c>
      <c r="I6">
        <v>-73.938887170000001</v>
      </c>
      <c r="J6">
        <v>39.021000000000001</v>
      </c>
      <c r="K6">
        <v>0</v>
      </c>
      <c r="L6">
        <v>0</v>
      </c>
      <c r="N6">
        <v>1</v>
      </c>
      <c r="O6" t="s">
        <v>45</v>
      </c>
      <c r="P6">
        <v>0</v>
      </c>
      <c r="Q6">
        <v>4</v>
      </c>
      <c r="R6">
        <v>301</v>
      </c>
      <c r="S6">
        <v>301</v>
      </c>
      <c r="T6">
        <v>0.303754957364054</v>
      </c>
      <c r="U6">
        <v>64087.916303730402</v>
      </c>
      <c r="V6">
        <v>0.167960613520167</v>
      </c>
      <c r="W6">
        <v>0.80024737167594295</v>
      </c>
      <c r="X6">
        <v>41</v>
      </c>
      <c r="Y6">
        <v>0.60786583244117498</v>
      </c>
      <c r="Z6">
        <v>3.3879842386129497E-2</v>
      </c>
      <c r="AA6">
        <v>9.9101233465228103E-2</v>
      </c>
      <c r="AB6">
        <v>1.42314053798164E-2</v>
      </c>
      <c r="AC6">
        <v>-2.2516392906105898E-2</v>
      </c>
      <c r="AD6">
        <v>2.6078644460240099E-3</v>
      </c>
      <c r="AE6">
        <v>4278.7636419434702</v>
      </c>
      <c r="AF6">
        <v>65644991.517961301</v>
      </c>
      <c r="AG6">
        <v>13999.968674662599</v>
      </c>
      <c r="AH6">
        <v>50818044.530707598</v>
      </c>
    </row>
    <row r="7" spans="1:34" x14ac:dyDescent="0.25">
      <c r="A7">
        <v>1523</v>
      </c>
      <c r="B7" s="1">
        <v>45447</v>
      </c>
      <c r="C7">
        <v>23</v>
      </c>
      <c r="D7" t="s">
        <v>46</v>
      </c>
      <c r="E7">
        <v>4.71</v>
      </c>
      <c r="F7">
        <v>905</v>
      </c>
      <c r="G7" t="s">
        <v>47</v>
      </c>
      <c r="H7">
        <v>45.433084340000001</v>
      </c>
      <c r="I7">
        <v>-73.938806409999998</v>
      </c>
      <c r="J7">
        <v>39.021000000000001</v>
      </c>
      <c r="K7">
        <v>0</v>
      </c>
      <c r="L7">
        <v>0</v>
      </c>
      <c r="N7">
        <v>1</v>
      </c>
      <c r="O7">
        <v>5009381040517900</v>
      </c>
      <c r="P7">
        <v>0</v>
      </c>
      <c r="Q7">
        <v>5</v>
      </c>
      <c r="R7">
        <v>308</v>
      </c>
      <c r="S7">
        <v>308</v>
      </c>
      <c r="T7">
        <v>0.25623713778951501</v>
      </c>
      <c r="U7">
        <v>64596.331888108201</v>
      </c>
      <c r="V7">
        <v>0.106041907448399</v>
      </c>
      <c r="W7">
        <v>0.69283806365873202</v>
      </c>
      <c r="X7">
        <v>31</v>
      </c>
      <c r="Y7">
        <v>0.51242422962957201</v>
      </c>
      <c r="Z7">
        <v>2.2550198949941199E-2</v>
      </c>
      <c r="AA7">
        <v>7.1541591022027701E-2</v>
      </c>
      <c r="AB7">
        <v>9.5120664776491993E-3</v>
      </c>
      <c r="AC7">
        <v>-2.8008251924491599E-2</v>
      </c>
      <c r="AD7">
        <v>2.2684479141114999E-3</v>
      </c>
      <c r="AE7">
        <v>3390.2703938046502</v>
      </c>
      <c r="AF7">
        <v>53740626.844253898</v>
      </c>
      <c r="AG7">
        <v>15359.8796518822</v>
      </c>
      <c r="AH7">
        <v>42791174.355691202</v>
      </c>
    </row>
    <row r="8" spans="1:34" x14ac:dyDescent="0.25">
      <c r="A8">
        <v>1524</v>
      </c>
      <c r="B8" s="1">
        <v>45447</v>
      </c>
      <c r="C8">
        <v>23</v>
      </c>
      <c r="D8" t="s">
        <v>48</v>
      </c>
      <c r="E8">
        <v>4.71</v>
      </c>
      <c r="F8">
        <v>905</v>
      </c>
      <c r="G8" t="s">
        <v>49</v>
      </c>
      <c r="H8">
        <v>45.433110970000001</v>
      </c>
      <c r="I8">
        <v>-73.938725320000003</v>
      </c>
      <c r="J8">
        <v>39.021000000000001</v>
      </c>
      <c r="K8">
        <v>0</v>
      </c>
      <c r="L8">
        <v>0</v>
      </c>
      <c r="N8">
        <v>1</v>
      </c>
      <c r="O8" t="s">
        <v>50</v>
      </c>
      <c r="P8">
        <v>0</v>
      </c>
      <c r="Q8">
        <v>6</v>
      </c>
      <c r="R8">
        <v>401</v>
      </c>
      <c r="S8">
        <v>401</v>
      </c>
      <c r="T8">
        <v>0.30213720282999501</v>
      </c>
      <c r="U8">
        <v>63765.394833755599</v>
      </c>
      <c r="V8">
        <v>0.167419750829263</v>
      </c>
      <c r="W8">
        <v>0.76528638534717597</v>
      </c>
      <c r="X8">
        <v>23</v>
      </c>
      <c r="Y8">
        <v>0.60438543145729096</v>
      </c>
      <c r="Z8">
        <v>3.29882024146139E-2</v>
      </c>
      <c r="AA8">
        <v>9.8114836422643098E-2</v>
      </c>
      <c r="AB8">
        <v>1.3243279477677601E-2</v>
      </c>
      <c r="AC8">
        <v>-2.7251272061674402E-2</v>
      </c>
      <c r="AD8">
        <v>2.5419246690739799E-3</v>
      </c>
      <c r="AE8">
        <v>4583.0436571159898</v>
      </c>
      <c r="AF8">
        <v>63871191.759319097</v>
      </c>
      <c r="AG8">
        <v>13588.011083556399</v>
      </c>
      <c r="AH8">
        <v>47286855.2727957</v>
      </c>
    </row>
    <row r="9" spans="1:34" x14ac:dyDescent="0.25">
      <c r="A9">
        <v>1525</v>
      </c>
      <c r="B9" s="1">
        <v>45447</v>
      </c>
      <c r="C9">
        <v>23</v>
      </c>
      <c r="D9" t="s">
        <v>51</v>
      </c>
      <c r="E9">
        <v>4.71</v>
      </c>
      <c r="F9">
        <v>905</v>
      </c>
      <c r="G9" t="s">
        <v>52</v>
      </c>
      <c r="H9">
        <v>45.433137909999999</v>
      </c>
      <c r="I9">
        <v>-73.93864447</v>
      </c>
      <c r="J9">
        <v>39.021000000000001</v>
      </c>
      <c r="K9">
        <v>0</v>
      </c>
      <c r="L9">
        <v>0</v>
      </c>
      <c r="N9">
        <v>1</v>
      </c>
      <c r="O9" t="s">
        <v>53</v>
      </c>
      <c r="P9">
        <v>0</v>
      </c>
      <c r="Q9">
        <v>6</v>
      </c>
      <c r="R9">
        <v>408</v>
      </c>
      <c r="S9">
        <v>408</v>
      </c>
      <c r="T9">
        <v>0.32171734316040101</v>
      </c>
      <c r="U9">
        <v>67502.190530913897</v>
      </c>
      <c r="V9">
        <v>0.18850676783044201</v>
      </c>
      <c r="W9">
        <v>0.90936842105263205</v>
      </c>
      <c r="X9">
        <v>44</v>
      </c>
      <c r="Y9">
        <v>0.64343465198131899</v>
      </c>
      <c r="Z9">
        <v>3.02992011436043E-2</v>
      </c>
      <c r="AA9">
        <v>0.10892523759400299</v>
      </c>
      <c r="AB9">
        <v>1.34645490651792E-2</v>
      </c>
      <c r="AC9">
        <v>-1.97284376470915E-2</v>
      </c>
      <c r="AD9">
        <v>2.8717173674564301E-3</v>
      </c>
      <c r="AE9">
        <v>5105.8408629391897</v>
      </c>
      <c r="AF9">
        <v>72373164.048277602</v>
      </c>
      <c r="AG9">
        <v>14155.659916079399</v>
      </c>
      <c r="AH9">
        <v>57221823.659374699</v>
      </c>
    </row>
    <row r="10" spans="1:34" x14ac:dyDescent="0.25">
      <c r="A10">
        <v>1526</v>
      </c>
      <c r="B10" s="1">
        <v>45447</v>
      </c>
      <c r="C10">
        <v>23</v>
      </c>
      <c r="D10" t="s">
        <v>54</v>
      </c>
      <c r="E10">
        <v>4.71</v>
      </c>
      <c r="F10">
        <v>905</v>
      </c>
      <c r="G10" t="s">
        <v>55</v>
      </c>
      <c r="H10">
        <v>45.433112700000002</v>
      </c>
      <c r="I10">
        <v>-73.938627629999999</v>
      </c>
      <c r="J10">
        <v>39.020000000000003</v>
      </c>
      <c r="K10">
        <v>0</v>
      </c>
      <c r="L10">
        <v>0</v>
      </c>
      <c r="N10">
        <v>1</v>
      </c>
      <c r="O10" t="s">
        <v>56</v>
      </c>
      <c r="P10">
        <v>1</v>
      </c>
      <c r="Q10">
        <v>7</v>
      </c>
      <c r="R10">
        <v>409</v>
      </c>
      <c r="S10">
        <v>409</v>
      </c>
      <c r="T10">
        <v>0.25696014292366898</v>
      </c>
      <c r="U10">
        <v>65376.924857001097</v>
      </c>
      <c r="V10">
        <v>8.8306735967822E-2</v>
      </c>
      <c r="W10">
        <v>0.52360526315789502</v>
      </c>
      <c r="X10">
        <v>18</v>
      </c>
      <c r="Y10">
        <v>0.51387673803185097</v>
      </c>
      <c r="Z10">
        <v>1.89188843931683E-2</v>
      </c>
      <c r="AA10">
        <v>7.1699560925268302E-2</v>
      </c>
      <c r="AB10">
        <v>8.8578660413663798E-3</v>
      </c>
      <c r="AC10">
        <v>-2.6865900425380201E-2</v>
      </c>
      <c r="AD10">
        <v>1.93326322410815E-3</v>
      </c>
      <c r="AE10">
        <v>3064.1860357301398</v>
      </c>
      <c r="AF10">
        <v>40611000.161438197</v>
      </c>
      <c r="AG10">
        <v>15990.1048766309</v>
      </c>
      <c r="AH10">
        <v>40180630.802666001</v>
      </c>
    </row>
    <row r="11" spans="1:34" x14ac:dyDescent="0.25">
      <c r="A11">
        <v>1527</v>
      </c>
      <c r="B11" s="1">
        <v>45447</v>
      </c>
      <c r="C11">
        <v>23</v>
      </c>
      <c r="D11" t="s">
        <v>57</v>
      </c>
      <c r="E11">
        <v>4.71</v>
      </c>
      <c r="F11">
        <v>905</v>
      </c>
      <c r="G11" t="s">
        <v>58</v>
      </c>
      <c r="H11">
        <v>45.433086109999998</v>
      </c>
      <c r="I11">
        <v>-73.938708719999994</v>
      </c>
      <c r="J11">
        <v>39.020000000000003</v>
      </c>
      <c r="K11">
        <v>0</v>
      </c>
      <c r="L11">
        <v>0</v>
      </c>
      <c r="N11">
        <v>1</v>
      </c>
      <c r="O11" t="s">
        <v>59</v>
      </c>
      <c r="P11">
        <v>1</v>
      </c>
      <c r="Q11">
        <v>6</v>
      </c>
      <c r="R11">
        <v>402</v>
      </c>
      <c r="S11">
        <v>402</v>
      </c>
      <c r="T11">
        <v>0.35522890835235998</v>
      </c>
      <c r="U11">
        <v>71277.471674458706</v>
      </c>
      <c r="V11">
        <v>0.26191004779690202</v>
      </c>
      <c r="W11">
        <v>0.66386410883924096</v>
      </c>
      <c r="X11">
        <v>24</v>
      </c>
      <c r="Y11">
        <v>0.710681872254742</v>
      </c>
      <c r="Z11">
        <v>4.6217918759507599E-2</v>
      </c>
      <c r="AA11">
        <v>0.12427920048173501</v>
      </c>
      <c r="AB11">
        <v>1.6272959067535901E-2</v>
      </c>
      <c r="AC11">
        <v>-2.5273133796133902E-2</v>
      </c>
      <c r="AD11">
        <v>3.0531382780374099E-3</v>
      </c>
      <c r="AE11">
        <v>7398.6832018700898</v>
      </c>
      <c r="AF11">
        <v>128245930.05411001</v>
      </c>
      <c r="AG11">
        <v>12175.859169154401</v>
      </c>
      <c r="AH11">
        <v>60786407.782988898</v>
      </c>
    </row>
    <row r="12" spans="1:34" x14ac:dyDescent="0.25">
      <c r="A12">
        <v>1528</v>
      </c>
      <c r="B12" s="1">
        <v>45447</v>
      </c>
      <c r="C12">
        <v>23</v>
      </c>
      <c r="D12" t="s">
        <v>60</v>
      </c>
      <c r="E12">
        <v>4.71</v>
      </c>
      <c r="F12">
        <v>905</v>
      </c>
      <c r="G12" t="s">
        <v>61</v>
      </c>
      <c r="H12">
        <v>45.433059489999998</v>
      </c>
      <c r="I12">
        <v>-73.938789830000005</v>
      </c>
      <c r="J12">
        <v>39.021000000000001</v>
      </c>
      <c r="K12">
        <v>0</v>
      </c>
      <c r="L12">
        <v>0</v>
      </c>
      <c r="N12">
        <v>1</v>
      </c>
      <c r="O12" t="s">
        <v>62</v>
      </c>
      <c r="P12">
        <v>1</v>
      </c>
      <c r="Q12">
        <v>5</v>
      </c>
      <c r="R12">
        <v>309</v>
      </c>
      <c r="S12">
        <v>309</v>
      </c>
      <c r="T12">
        <v>0.32623226945516398</v>
      </c>
      <c r="U12">
        <v>70374.876909113504</v>
      </c>
      <c r="V12">
        <v>0.234305825813276</v>
      </c>
      <c r="W12">
        <v>0.894236842105263</v>
      </c>
      <c r="X12">
        <v>41</v>
      </c>
      <c r="Y12">
        <v>0.65291678106670303</v>
      </c>
      <c r="Z12">
        <v>3.9196226053378802E-2</v>
      </c>
      <c r="AA12">
        <v>0.108378389422136</v>
      </c>
      <c r="AB12">
        <v>1.3312839459264101E-2</v>
      </c>
      <c r="AC12">
        <v>-2.4074755927318999E-2</v>
      </c>
      <c r="AD12">
        <v>3.0713491360851199E-3</v>
      </c>
      <c r="AE12">
        <v>6572.2024277486798</v>
      </c>
      <c r="AF12">
        <v>118073132.045966</v>
      </c>
      <c r="AG12">
        <v>13402.3504504067</v>
      </c>
      <c r="AH12">
        <v>64462643.885593504</v>
      </c>
    </row>
    <row r="13" spans="1:34" x14ac:dyDescent="0.25">
      <c r="A13">
        <v>1529</v>
      </c>
      <c r="B13" s="1">
        <v>45447</v>
      </c>
      <c r="C13">
        <v>23</v>
      </c>
      <c r="D13" t="s">
        <v>63</v>
      </c>
      <c r="E13">
        <v>4.71</v>
      </c>
      <c r="F13">
        <v>905</v>
      </c>
      <c r="G13" t="s">
        <v>64</v>
      </c>
      <c r="H13">
        <v>45.433032410000003</v>
      </c>
      <c r="I13">
        <v>-73.938870609999995</v>
      </c>
      <c r="J13">
        <v>39.021000000000001</v>
      </c>
      <c r="K13">
        <v>0</v>
      </c>
      <c r="L13">
        <v>0</v>
      </c>
      <c r="N13">
        <v>1</v>
      </c>
      <c r="O13" t="s">
        <v>65</v>
      </c>
      <c r="P13">
        <v>1</v>
      </c>
      <c r="Q13">
        <v>4</v>
      </c>
      <c r="R13">
        <v>302</v>
      </c>
      <c r="S13">
        <v>302</v>
      </c>
      <c r="T13">
        <v>0.33164583209807003</v>
      </c>
      <c r="U13">
        <v>65531.926007182497</v>
      </c>
      <c r="V13">
        <v>0.22009794319294801</v>
      </c>
      <c r="W13">
        <v>0.92842105263157904</v>
      </c>
      <c r="X13">
        <v>45</v>
      </c>
      <c r="Y13">
        <v>0.66323340838524103</v>
      </c>
      <c r="Z13">
        <v>3.9068970543910397E-2</v>
      </c>
      <c r="AA13">
        <v>0.11771615334961601</v>
      </c>
      <c r="AB13">
        <v>1.7288321049510599E-2</v>
      </c>
      <c r="AC13">
        <v>-2.0408278043804899E-2</v>
      </c>
      <c r="AD13">
        <v>2.9417516452727699E-3</v>
      </c>
      <c r="AE13">
        <v>5359.1181260202402</v>
      </c>
      <c r="AF13">
        <v>78624449.096924901</v>
      </c>
      <c r="AG13">
        <v>12820.9395985181</v>
      </c>
      <c r="AH13">
        <v>57149486.377000697</v>
      </c>
    </row>
    <row r="14" spans="1:34" x14ac:dyDescent="0.25">
      <c r="A14">
        <v>1530</v>
      </c>
      <c r="B14" s="1">
        <v>45447</v>
      </c>
      <c r="C14">
        <v>23</v>
      </c>
      <c r="D14" t="s">
        <v>66</v>
      </c>
      <c r="E14">
        <v>4.71</v>
      </c>
      <c r="F14">
        <v>905</v>
      </c>
      <c r="G14" t="s">
        <v>67</v>
      </c>
      <c r="H14">
        <v>45.433005639999998</v>
      </c>
      <c r="I14">
        <v>-73.938951599999996</v>
      </c>
      <c r="J14">
        <v>39.021000000000001</v>
      </c>
      <c r="K14">
        <v>0</v>
      </c>
      <c r="L14">
        <v>0</v>
      </c>
      <c r="N14">
        <v>1</v>
      </c>
      <c r="O14" t="s">
        <v>68</v>
      </c>
      <c r="P14">
        <v>1</v>
      </c>
      <c r="Q14">
        <v>3</v>
      </c>
      <c r="R14">
        <v>209</v>
      </c>
      <c r="S14">
        <v>209</v>
      </c>
      <c r="T14">
        <v>0.303868055346106</v>
      </c>
      <c r="U14">
        <v>66464.778000509294</v>
      </c>
      <c r="V14">
        <v>0.166499072792332</v>
      </c>
      <c r="W14">
        <v>0.95127695688214597</v>
      </c>
      <c r="X14">
        <v>50</v>
      </c>
      <c r="Y14">
        <v>0.60781370725210904</v>
      </c>
      <c r="Z14">
        <v>2.9043227602795301E-2</v>
      </c>
      <c r="AA14">
        <v>8.6938434798633002E-2</v>
      </c>
      <c r="AB14">
        <v>1.1676951246135599E-2</v>
      </c>
      <c r="AC14">
        <v>-2.5258190774852699E-2</v>
      </c>
      <c r="AD14">
        <v>2.75421188862119E-3</v>
      </c>
      <c r="AE14">
        <v>4859.2644304855403</v>
      </c>
      <c r="AF14">
        <v>70597452.944761306</v>
      </c>
      <c r="AG14">
        <v>14232.9741995036</v>
      </c>
      <c r="AH14">
        <v>52862495.355081797</v>
      </c>
    </row>
    <row r="15" spans="1:34" x14ac:dyDescent="0.25">
      <c r="A15">
        <v>1531</v>
      </c>
      <c r="B15" s="1">
        <v>45447</v>
      </c>
      <c r="C15">
        <v>23</v>
      </c>
      <c r="D15" t="s">
        <v>69</v>
      </c>
      <c r="E15">
        <v>4.71</v>
      </c>
      <c r="F15">
        <v>905</v>
      </c>
      <c r="G15" t="s">
        <v>70</v>
      </c>
      <c r="H15">
        <v>45.432978560000002</v>
      </c>
      <c r="I15">
        <v>-73.939032299999994</v>
      </c>
      <c r="J15">
        <v>39.021000000000001</v>
      </c>
      <c r="K15">
        <v>0</v>
      </c>
      <c r="L15">
        <v>0</v>
      </c>
      <c r="N15">
        <v>1</v>
      </c>
      <c r="O15" t="s">
        <v>71</v>
      </c>
      <c r="P15">
        <v>1</v>
      </c>
      <c r="Q15">
        <v>2</v>
      </c>
      <c r="R15">
        <v>202</v>
      </c>
      <c r="S15">
        <v>202</v>
      </c>
      <c r="T15">
        <v>0.26865328932900601</v>
      </c>
      <c r="U15">
        <v>61992.421155729702</v>
      </c>
      <c r="V15">
        <v>7.5905974534769993E-2</v>
      </c>
      <c r="W15">
        <v>0.995644794147445</v>
      </c>
      <c r="X15">
        <v>94</v>
      </c>
      <c r="Y15">
        <v>0.537459107457677</v>
      </c>
      <c r="Z15">
        <v>1.49830030803414E-2</v>
      </c>
      <c r="AA15">
        <v>7.7575743193676605E-2</v>
      </c>
      <c r="AB15">
        <v>9.9159532284361692E-3</v>
      </c>
      <c r="AC15">
        <v>-2.4583073270340299E-2</v>
      </c>
      <c r="AD15">
        <v>1.89661993703157E-3</v>
      </c>
      <c r="AE15">
        <v>2108.8145543584701</v>
      </c>
      <c r="AF15">
        <v>15925207.7796418</v>
      </c>
      <c r="AG15">
        <v>15193.802796539099</v>
      </c>
      <c r="AH15">
        <v>37799494.085648902</v>
      </c>
    </row>
    <row r="16" spans="1:34" x14ac:dyDescent="0.25">
      <c r="A16">
        <v>1532</v>
      </c>
      <c r="B16" s="1">
        <v>45447</v>
      </c>
      <c r="C16">
        <v>23</v>
      </c>
      <c r="D16" t="s">
        <v>72</v>
      </c>
      <c r="E16">
        <v>4.71</v>
      </c>
      <c r="F16">
        <v>905</v>
      </c>
      <c r="G16" t="s">
        <v>73</v>
      </c>
      <c r="H16">
        <v>45.432951600000003</v>
      </c>
      <c r="I16">
        <v>-73.939113210000002</v>
      </c>
      <c r="J16">
        <v>39.021000000000001</v>
      </c>
      <c r="K16">
        <v>0</v>
      </c>
      <c r="L16">
        <v>0</v>
      </c>
      <c r="N16">
        <v>1</v>
      </c>
      <c r="O16" t="s">
        <v>74</v>
      </c>
      <c r="P16">
        <v>1</v>
      </c>
      <c r="Q16">
        <v>1</v>
      </c>
      <c r="R16">
        <v>109</v>
      </c>
      <c r="S16">
        <v>109</v>
      </c>
      <c r="T16">
        <v>0.29041424922488901</v>
      </c>
      <c r="U16">
        <v>67699.044610442201</v>
      </c>
      <c r="V16">
        <v>0.128346436127145</v>
      </c>
      <c r="W16">
        <v>0.94582894736842105</v>
      </c>
      <c r="X16">
        <v>59</v>
      </c>
      <c r="Y16">
        <v>0.58073133530426702</v>
      </c>
      <c r="Z16">
        <v>2.2256104417312499E-2</v>
      </c>
      <c r="AA16">
        <v>7.9761050841099995E-2</v>
      </c>
      <c r="AB16">
        <v>9.5225431927194407E-3</v>
      </c>
      <c r="AC16">
        <v>-2.5981055683317301E-2</v>
      </c>
      <c r="AD16">
        <v>2.20852035925268E-3</v>
      </c>
      <c r="AE16">
        <v>3642.1133935800699</v>
      </c>
      <c r="AF16">
        <v>49164069.718187198</v>
      </c>
      <c r="AG16">
        <v>15338.705772506501</v>
      </c>
      <c r="AH16">
        <v>44886073.184302002</v>
      </c>
    </row>
    <row r="17" spans="1:34" x14ac:dyDescent="0.25">
      <c r="A17">
        <v>1533</v>
      </c>
      <c r="B17" s="1">
        <v>45447</v>
      </c>
      <c r="C17">
        <v>23</v>
      </c>
      <c r="D17" t="s">
        <v>75</v>
      </c>
      <c r="E17">
        <v>4.71</v>
      </c>
      <c r="F17">
        <v>905</v>
      </c>
      <c r="G17" t="s">
        <v>76</v>
      </c>
      <c r="H17">
        <v>45.432924700000001</v>
      </c>
      <c r="I17">
        <v>-73.939194060000005</v>
      </c>
      <c r="J17">
        <v>39.021000000000001</v>
      </c>
      <c r="K17">
        <v>0</v>
      </c>
      <c r="L17">
        <v>0</v>
      </c>
      <c r="N17">
        <v>1</v>
      </c>
      <c r="O17" t="s">
        <v>77</v>
      </c>
      <c r="P17">
        <v>1</v>
      </c>
      <c r="Q17">
        <v>0</v>
      </c>
      <c r="R17">
        <v>102</v>
      </c>
      <c r="S17">
        <v>102</v>
      </c>
      <c r="T17">
        <v>0.28311011005867398</v>
      </c>
      <c r="U17">
        <v>63717.121207174598</v>
      </c>
      <c r="V17">
        <v>9.6336295551449E-2</v>
      </c>
      <c r="W17">
        <v>0.987618746875082</v>
      </c>
      <c r="X17">
        <v>109</v>
      </c>
      <c r="Y17">
        <v>0.56667426776354402</v>
      </c>
      <c r="Z17">
        <v>1.6761562390649801E-2</v>
      </c>
      <c r="AA17">
        <v>8.4698576410075499E-2</v>
      </c>
      <c r="AB17">
        <v>9.7318547660597103E-3</v>
      </c>
      <c r="AC17">
        <v>-2.44006058905578E-2</v>
      </c>
      <c r="AD17">
        <v>1.8328865233495899E-3</v>
      </c>
      <c r="AE17">
        <v>2597.2325809168701</v>
      </c>
      <c r="AF17">
        <v>15948422.5300356</v>
      </c>
      <c r="AG17">
        <v>15484.461212976301</v>
      </c>
      <c r="AH17">
        <v>37658265.562239602</v>
      </c>
    </row>
    <row r="18" spans="1:34" x14ac:dyDescent="0.25">
      <c r="A18">
        <v>1534</v>
      </c>
      <c r="B18" s="1">
        <v>45447</v>
      </c>
      <c r="C18">
        <v>23</v>
      </c>
      <c r="D18" t="s">
        <v>78</v>
      </c>
      <c r="E18">
        <v>4.71</v>
      </c>
      <c r="F18">
        <v>905</v>
      </c>
      <c r="G18" t="s">
        <v>32</v>
      </c>
      <c r="H18">
        <v>45.432900410000002</v>
      </c>
      <c r="I18">
        <v>-73.939177689999994</v>
      </c>
      <c r="J18">
        <v>39.021000000000001</v>
      </c>
      <c r="K18">
        <v>0</v>
      </c>
      <c r="L18">
        <v>0</v>
      </c>
      <c r="N18">
        <v>1</v>
      </c>
      <c r="O18" t="s">
        <v>79</v>
      </c>
      <c r="P18">
        <v>2</v>
      </c>
      <c r="Q18">
        <v>0</v>
      </c>
      <c r="R18">
        <v>103</v>
      </c>
      <c r="S18">
        <v>103</v>
      </c>
      <c r="T18">
        <v>0.28477736351146798</v>
      </c>
      <c r="U18">
        <v>65577.149101213799</v>
      </c>
      <c r="V18">
        <v>0.117152352906609</v>
      </c>
      <c r="W18">
        <v>0.98009236720569504</v>
      </c>
      <c r="X18">
        <v>69</v>
      </c>
      <c r="Y18">
        <v>0.56951894124848801</v>
      </c>
      <c r="Z18">
        <v>1.9743412706369701E-2</v>
      </c>
      <c r="AA18">
        <v>7.6053959879411603E-2</v>
      </c>
      <c r="AB18">
        <v>9.2934672668350798E-3</v>
      </c>
      <c r="AC18">
        <v>-2.8454453001868201E-2</v>
      </c>
      <c r="AD18">
        <v>1.9574743643331598E-3</v>
      </c>
      <c r="AE18">
        <v>3433.9800915436399</v>
      </c>
      <c r="AF18">
        <v>38503763.044866398</v>
      </c>
      <c r="AG18">
        <v>15764.918405264099</v>
      </c>
      <c r="AH18">
        <v>40640195.317936301</v>
      </c>
    </row>
    <row r="19" spans="1:34" x14ac:dyDescent="0.25">
      <c r="A19">
        <v>1535</v>
      </c>
      <c r="B19" s="1">
        <v>45447</v>
      </c>
      <c r="C19">
        <v>23</v>
      </c>
      <c r="D19" t="s">
        <v>80</v>
      </c>
      <c r="E19">
        <v>4.71</v>
      </c>
      <c r="F19">
        <v>905</v>
      </c>
      <c r="G19" t="s">
        <v>35</v>
      </c>
      <c r="H19">
        <v>45.432926389999999</v>
      </c>
      <c r="I19">
        <v>-73.939096210000002</v>
      </c>
      <c r="J19">
        <v>39.021000000000001</v>
      </c>
      <c r="K19">
        <v>0</v>
      </c>
      <c r="L19">
        <v>0</v>
      </c>
      <c r="N19">
        <v>1</v>
      </c>
      <c r="O19" t="s">
        <v>81</v>
      </c>
      <c r="P19">
        <v>2</v>
      </c>
      <c r="Q19">
        <v>1</v>
      </c>
      <c r="R19">
        <v>110</v>
      </c>
      <c r="S19">
        <v>110</v>
      </c>
      <c r="T19">
        <v>0.24841444385252301</v>
      </c>
      <c r="U19">
        <v>63246.419800325202</v>
      </c>
      <c r="V19">
        <v>6.0842708734630997E-2</v>
      </c>
      <c r="W19">
        <v>0.97988157894736805</v>
      </c>
      <c r="X19">
        <v>62</v>
      </c>
      <c r="Y19">
        <v>0.49709581194693903</v>
      </c>
      <c r="Z19">
        <v>1.24648510179958E-2</v>
      </c>
      <c r="AA19">
        <v>5.32092031781101E-2</v>
      </c>
      <c r="AB19">
        <v>6.5667848870873098E-3</v>
      </c>
      <c r="AC19">
        <v>-3.1750058229664702E-2</v>
      </c>
      <c r="AD19">
        <v>1.7438326487197999E-3</v>
      </c>
      <c r="AE19">
        <v>2580.3969402346702</v>
      </c>
      <c r="AF19">
        <v>16248649.970856</v>
      </c>
      <c r="AG19">
        <v>16226.4521147099</v>
      </c>
      <c r="AH19">
        <v>35334623.453114197</v>
      </c>
    </row>
    <row r="20" spans="1:34" x14ac:dyDescent="0.25">
      <c r="A20">
        <v>1536</v>
      </c>
      <c r="B20" s="1">
        <v>45447</v>
      </c>
      <c r="C20">
        <v>23</v>
      </c>
      <c r="D20" t="s">
        <v>82</v>
      </c>
      <c r="E20">
        <v>4.71</v>
      </c>
      <c r="F20">
        <v>905</v>
      </c>
      <c r="G20" t="s">
        <v>38</v>
      </c>
      <c r="H20">
        <v>45.432953769999997</v>
      </c>
      <c r="I20">
        <v>-73.939015569999995</v>
      </c>
      <c r="J20">
        <v>39.021000000000001</v>
      </c>
      <c r="K20">
        <v>0</v>
      </c>
      <c r="L20">
        <v>0</v>
      </c>
      <c r="N20">
        <v>1</v>
      </c>
      <c r="O20" t="s">
        <v>83</v>
      </c>
      <c r="P20">
        <v>2</v>
      </c>
      <c r="Q20">
        <v>2</v>
      </c>
      <c r="R20">
        <v>203</v>
      </c>
      <c r="S20">
        <v>203</v>
      </c>
      <c r="T20">
        <v>0.26868727488976302</v>
      </c>
      <c r="U20">
        <v>61150.406897857603</v>
      </c>
      <c r="V20">
        <v>9.6827272786633001E-2</v>
      </c>
      <c r="W20">
        <v>0.990368167583357</v>
      </c>
      <c r="X20">
        <v>98</v>
      </c>
      <c r="Y20">
        <v>0.53698154910979101</v>
      </c>
      <c r="Z20">
        <v>1.95769789525722E-2</v>
      </c>
      <c r="AA20">
        <v>7.5532507463318299E-2</v>
      </c>
      <c r="AB20">
        <v>1.1303574261166099E-2</v>
      </c>
      <c r="AC20">
        <v>-2.6141824345055801E-2</v>
      </c>
      <c r="AD20">
        <v>1.8956003911537E-3</v>
      </c>
      <c r="AE20">
        <v>2351.3486669844401</v>
      </c>
      <c r="AF20">
        <v>17398628.708472401</v>
      </c>
      <c r="AG20">
        <v>15007.0019095197</v>
      </c>
      <c r="AH20">
        <v>40718857.991310202</v>
      </c>
    </row>
    <row r="21" spans="1:34" x14ac:dyDescent="0.25">
      <c r="A21">
        <v>1537</v>
      </c>
      <c r="B21" s="1">
        <v>45447</v>
      </c>
      <c r="C21">
        <v>23</v>
      </c>
      <c r="D21" t="s">
        <v>84</v>
      </c>
      <c r="E21">
        <v>4.71</v>
      </c>
      <c r="F21">
        <v>905</v>
      </c>
      <c r="G21" t="s">
        <v>41</v>
      </c>
      <c r="H21">
        <v>45.432980710000002</v>
      </c>
      <c r="I21">
        <v>-73.938934779999997</v>
      </c>
      <c r="J21">
        <v>39.020000000000003</v>
      </c>
      <c r="K21">
        <v>0</v>
      </c>
      <c r="L21">
        <v>0</v>
      </c>
      <c r="N21">
        <v>1</v>
      </c>
      <c r="O21" t="s">
        <v>85</v>
      </c>
      <c r="P21">
        <v>2</v>
      </c>
      <c r="Q21">
        <v>3</v>
      </c>
      <c r="R21">
        <v>210</v>
      </c>
      <c r="S21">
        <v>210</v>
      </c>
      <c r="T21">
        <v>0.348380534343393</v>
      </c>
      <c r="U21">
        <v>67838.504730625296</v>
      </c>
      <c r="V21">
        <v>0.26401394701960801</v>
      </c>
      <c r="W21">
        <v>0.67846475704267095</v>
      </c>
      <c r="X21">
        <v>24</v>
      </c>
      <c r="Y21">
        <v>0.69669035587415395</v>
      </c>
      <c r="Z21">
        <v>4.6527382304243803E-2</v>
      </c>
      <c r="AA21">
        <v>0.11142950351163899</v>
      </c>
      <c r="AB21">
        <v>1.6919097862039899E-2</v>
      </c>
      <c r="AC21">
        <v>-2.3789452639316901E-2</v>
      </c>
      <c r="AD21">
        <v>2.97580960103098E-3</v>
      </c>
      <c r="AE21">
        <v>6399.5755169734402</v>
      </c>
      <c r="AF21">
        <v>97238881.821850002</v>
      </c>
      <c r="AG21">
        <v>12553.738486034899</v>
      </c>
      <c r="AH21">
        <v>65952891.088683702</v>
      </c>
    </row>
    <row r="22" spans="1:34" x14ac:dyDescent="0.25">
      <c r="A22">
        <v>1538</v>
      </c>
      <c r="B22" s="1">
        <v>45447</v>
      </c>
      <c r="C22">
        <v>23</v>
      </c>
      <c r="D22" t="s">
        <v>86</v>
      </c>
      <c r="E22">
        <v>4.71</v>
      </c>
      <c r="F22">
        <v>905</v>
      </c>
      <c r="G22" t="s">
        <v>44</v>
      </c>
      <c r="H22">
        <v>45.433007439999997</v>
      </c>
      <c r="I22">
        <v>-73.938853750000007</v>
      </c>
      <c r="J22">
        <v>39.020000000000003</v>
      </c>
      <c r="K22">
        <v>0</v>
      </c>
      <c r="L22">
        <v>0</v>
      </c>
      <c r="N22">
        <v>1</v>
      </c>
      <c r="O22" t="s">
        <v>87</v>
      </c>
      <c r="P22">
        <v>2</v>
      </c>
      <c r="Q22">
        <v>4</v>
      </c>
      <c r="R22">
        <v>303</v>
      </c>
      <c r="S22">
        <v>303</v>
      </c>
      <c r="T22">
        <v>0.317629075434256</v>
      </c>
      <c r="U22">
        <v>65682.015879752696</v>
      </c>
      <c r="V22">
        <v>0.20962971185300799</v>
      </c>
      <c r="W22">
        <v>0.94594736842105298</v>
      </c>
      <c r="X22">
        <v>50</v>
      </c>
      <c r="Y22">
        <v>0.635102996648646</v>
      </c>
      <c r="Z22">
        <v>4.1825256935341497E-2</v>
      </c>
      <c r="AA22">
        <v>0.10500620864431801</v>
      </c>
      <c r="AB22">
        <v>1.7042228928524399E-2</v>
      </c>
      <c r="AC22">
        <v>-2.33578993585218E-2</v>
      </c>
      <c r="AD22">
        <v>2.8376120106561099E-3</v>
      </c>
      <c r="AE22">
        <v>5242.3452213828205</v>
      </c>
      <c r="AF22">
        <v>74147065.066821098</v>
      </c>
      <c r="AG22">
        <v>13028.296635793</v>
      </c>
      <c r="AH22">
        <v>57722730.057411402</v>
      </c>
    </row>
    <row r="23" spans="1:34" x14ac:dyDescent="0.25">
      <c r="A23">
        <v>1539</v>
      </c>
      <c r="B23" s="1">
        <v>45447</v>
      </c>
      <c r="C23">
        <v>23</v>
      </c>
      <c r="D23" t="s">
        <v>88</v>
      </c>
      <c r="E23">
        <v>4.71</v>
      </c>
      <c r="F23">
        <v>905</v>
      </c>
      <c r="G23" t="s">
        <v>47</v>
      </c>
      <c r="H23">
        <v>45.433034630000002</v>
      </c>
      <c r="I23">
        <v>-73.938773080000004</v>
      </c>
      <c r="J23">
        <v>39.020000000000003</v>
      </c>
      <c r="K23">
        <v>0</v>
      </c>
      <c r="L23">
        <v>0</v>
      </c>
      <c r="N23">
        <v>1</v>
      </c>
      <c r="O23" t="s">
        <v>89</v>
      </c>
      <c r="P23">
        <v>2</v>
      </c>
      <c r="Q23">
        <v>5</v>
      </c>
      <c r="R23">
        <v>310</v>
      </c>
      <c r="S23">
        <v>310</v>
      </c>
      <c r="T23">
        <v>0.30252934955900401</v>
      </c>
      <c r="U23">
        <v>67378.327519898696</v>
      </c>
      <c r="V23">
        <v>0.20215343027469601</v>
      </c>
      <c r="W23">
        <v>0.875394736842105</v>
      </c>
      <c r="X23">
        <v>37</v>
      </c>
      <c r="Y23">
        <v>0.60474363330200198</v>
      </c>
      <c r="Z23">
        <v>3.8242331186497197E-2</v>
      </c>
      <c r="AA23">
        <v>9.6263830232200795E-2</v>
      </c>
      <c r="AB23">
        <v>1.4712845669684E-2</v>
      </c>
      <c r="AC23">
        <v>-2.7731532504719499E-2</v>
      </c>
      <c r="AD23">
        <v>3.0100313538622202E-3</v>
      </c>
      <c r="AE23">
        <v>5290.6038876664197</v>
      </c>
      <c r="AF23">
        <v>74391226.409183905</v>
      </c>
      <c r="AG23">
        <v>13622.140532318601</v>
      </c>
      <c r="AH23">
        <v>58381566.846451603</v>
      </c>
    </row>
    <row r="24" spans="1:34" x14ac:dyDescent="0.25">
      <c r="A24">
        <v>1540</v>
      </c>
      <c r="B24" s="1">
        <v>45447</v>
      </c>
      <c r="C24">
        <v>23</v>
      </c>
      <c r="D24" t="s">
        <v>90</v>
      </c>
      <c r="E24">
        <v>4.71</v>
      </c>
      <c r="F24">
        <v>905</v>
      </c>
      <c r="G24" t="s">
        <v>49</v>
      </c>
      <c r="H24">
        <v>45.433061469999998</v>
      </c>
      <c r="I24">
        <v>-73.938692149999994</v>
      </c>
      <c r="J24">
        <v>39.020000000000003</v>
      </c>
      <c r="K24">
        <v>0</v>
      </c>
      <c r="L24">
        <v>0</v>
      </c>
      <c r="N24">
        <v>1</v>
      </c>
      <c r="O24" t="s">
        <v>91</v>
      </c>
      <c r="P24">
        <v>2</v>
      </c>
      <c r="Q24">
        <v>6</v>
      </c>
      <c r="R24">
        <v>403</v>
      </c>
      <c r="S24">
        <v>403</v>
      </c>
      <c r="T24">
        <v>0.330527922531416</v>
      </c>
      <c r="U24">
        <v>66034.525968005197</v>
      </c>
      <c r="V24">
        <v>0.22176950701926201</v>
      </c>
      <c r="W24">
        <v>0.91155030395536696</v>
      </c>
      <c r="X24">
        <v>38</v>
      </c>
      <c r="Y24">
        <v>0.66105816040634902</v>
      </c>
      <c r="Z24">
        <v>3.6719043553461402E-2</v>
      </c>
      <c r="AA24">
        <v>0.11002372336308799</v>
      </c>
      <c r="AB24">
        <v>1.4308231664875199E-2</v>
      </c>
      <c r="AC24">
        <v>-2.4593764280827799E-2</v>
      </c>
      <c r="AD24">
        <v>3.3821365191145799E-3</v>
      </c>
      <c r="AE24">
        <v>5896.3835847208602</v>
      </c>
      <c r="AF24">
        <v>87868330.522466704</v>
      </c>
      <c r="AG24">
        <v>12449.701919573299</v>
      </c>
      <c r="AH24">
        <v>46571838.913999103</v>
      </c>
    </row>
    <row r="25" spans="1:34" x14ac:dyDescent="0.25">
      <c r="A25">
        <v>1541</v>
      </c>
      <c r="B25" s="1">
        <v>45447</v>
      </c>
      <c r="C25">
        <v>23</v>
      </c>
      <c r="D25" t="s">
        <v>92</v>
      </c>
      <c r="E25">
        <v>4.71</v>
      </c>
      <c r="F25">
        <v>905</v>
      </c>
      <c r="G25" t="s">
        <v>52</v>
      </c>
      <c r="H25">
        <v>45.433088439999999</v>
      </c>
      <c r="I25">
        <v>-73.938611300000005</v>
      </c>
      <c r="J25">
        <v>39.020000000000003</v>
      </c>
      <c r="K25">
        <v>0</v>
      </c>
      <c r="L25">
        <v>0</v>
      </c>
      <c r="N25">
        <v>1</v>
      </c>
      <c r="O25" s="2" t="s">
        <v>93</v>
      </c>
      <c r="P25">
        <v>2</v>
      </c>
      <c r="Q25">
        <v>7</v>
      </c>
      <c r="R25">
        <v>410</v>
      </c>
      <c r="S25">
        <v>410</v>
      </c>
      <c r="T25">
        <v>0.34957839016182002</v>
      </c>
      <c r="U25">
        <v>67783.808434922903</v>
      </c>
      <c r="V25">
        <v>0.248183141907554</v>
      </c>
      <c r="W25">
        <v>0.78278947368421004</v>
      </c>
      <c r="X25">
        <v>26</v>
      </c>
      <c r="Y25">
        <v>0.69867550190647798</v>
      </c>
      <c r="Z25">
        <v>4.3062195672140001E-2</v>
      </c>
      <c r="AA25">
        <v>0.115848403823524</v>
      </c>
      <c r="AB25">
        <v>1.51711337993191E-2</v>
      </c>
      <c r="AC25">
        <v>-2.33153535907995E-2</v>
      </c>
      <c r="AD25">
        <v>3.07679841049122E-3</v>
      </c>
      <c r="AE25">
        <v>6970.4954717301498</v>
      </c>
      <c r="AF25">
        <v>126755355.909578</v>
      </c>
      <c r="AG25">
        <v>12384.689816750901</v>
      </c>
      <c r="AH25">
        <v>60301997.825703502</v>
      </c>
    </row>
    <row r="26" spans="1:34" x14ac:dyDescent="0.25">
      <c r="A26">
        <v>1542</v>
      </c>
      <c r="B26" s="1">
        <v>45447</v>
      </c>
      <c r="C26">
        <v>23</v>
      </c>
      <c r="D26" t="s">
        <v>94</v>
      </c>
      <c r="E26">
        <v>4.71</v>
      </c>
      <c r="F26">
        <v>905</v>
      </c>
      <c r="G26" t="s">
        <v>55</v>
      </c>
      <c r="H26">
        <v>45.433062790000001</v>
      </c>
      <c r="I26">
        <v>-73.938594179999996</v>
      </c>
      <c r="J26">
        <v>39.020000000000003</v>
      </c>
      <c r="K26">
        <v>0</v>
      </c>
      <c r="L26">
        <v>0</v>
      </c>
      <c r="N26">
        <v>1</v>
      </c>
      <c r="O26" t="s">
        <v>95</v>
      </c>
      <c r="P26">
        <v>3</v>
      </c>
      <c r="Q26">
        <v>7</v>
      </c>
      <c r="R26">
        <v>411</v>
      </c>
      <c r="S26">
        <v>411</v>
      </c>
      <c r="T26">
        <v>0.31666740757138601</v>
      </c>
      <c r="U26">
        <v>68889.642992863301</v>
      </c>
      <c r="V26">
        <v>0.205757716240834</v>
      </c>
      <c r="W26">
        <v>0.81209457770292504</v>
      </c>
      <c r="X26">
        <v>40</v>
      </c>
      <c r="Y26">
        <v>0.63322776666985203</v>
      </c>
      <c r="Z26">
        <v>3.4353464786311398E-2</v>
      </c>
      <c r="AA26">
        <v>9.7820766051177399E-2</v>
      </c>
      <c r="AB26">
        <v>1.26627888085855E-2</v>
      </c>
      <c r="AC26">
        <v>-2.6830567898272598E-2</v>
      </c>
      <c r="AD26">
        <v>3.0865756939929601E-3</v>
      </c>
      <c r="AE26">
        <v>5713.7863219959399</v>
      </c>
      <c r="AF26">
        <v>99875944.746218994</v>
      </c>
      <c r="AG26">
        <v>13747.044134088699</v>
      </c>
      <c r="AH26">
        <v>56068080.154674903</v>
      </c>
    </row>
    <row r="27" spans="1:34" x14ac:dyDescent="0.25">
      <c r="A27">
        <v>1543</v>
      </c>
      <c r="B27" s="1">
        <v>45447</v>
      </c>
      <c r="C27">
        <v>23</v>
      </c>
      <c r="D27" t="s">
        <v>96</v>
      </c>
      <c r="E27">
        <v>4.71</v>
      </c>
      <c r="F27">
        <v>905</v>
      </c>
      <c r="G27" t="s">
        <v>58</v>
      </c>
      <c r="H27">
        <v>45.433036340000001</v>
      </c>
      <c r="I27">
        <v>-73.938675329999995</v>
      </c>
      <c r="J27">
        <v>39.020000000000003</v>
      </c>
      <c r="K27">
        <v>0</v>
      </c>
      <c r="L27">
        <v>0</v>
      </c>
      <c r="N27">
        <v>1</v>
      </c>
      <c r="O27" t="s">
        <v>97</v>
      </c>
      <c r="P27">
        <v>3</v>
      </c>
      <c r="Q27">
        <v>6</v>
      </c>
      <c r="R27">
        <v>404</v>
      </c>
      <c r="S27">
        <v>404</v>
      </c>
      <c r="T27">
        <v>0.248726729783979</v>
      </c>
      <c r="U27">
        <v>63098.091284247901</v>
      </c>
      <c r="V27">
        <v>9.4477237704703995E-2</v>
      </c>
      <c r="W27">
        <v>0.57874445716390999</v>
      </c>
      <c r="X27">
        <v>23</v>
      </c>
      <c r="Y27">
        <v>0.49760440029943498</v>
      </c>
      <c r="Z27">
        <v>2.19383443901176E-2</v>
      </c>
      <c r="AA27">
        <v>6.1660288787295597E-2</v>
      </c>
      <c r="AB27">
        <v>1.06360354844956E-2</v>
      </c>
      <c r="AC27">
        <v>-3.0732735505379201E-2</v>
      </c>
      <c r="AD27">
        <v>1.9985407598525902E-3</v>
      </c>
      <c r="AE27">
        <v>2924.3613106276298</v>
      </c>
      <c r="AF27">
        <v>39352060.090260804</v>
      </c>
      <c r="AG27">
        <v>14616.9894886938</v>
      </c>
      <c r="AH27">
        <v>38101807.9127139</v>
      </c>
    </row>
    <row r="28" spans="1:34" x14ac:dyDescent="0.25">
      <c r="A28">
        <v>1544</v>
      </c>
      <c r="B28" s="1">
        <v>45447</v>
      </c>
      <c r="C28">
        <v>23</v>
      </c>
      <c r="D28" t="s">
        <v>98</v>
      </c>
      <c r="E28">
        <v>4.71</v>
      </c>
      <c r="F28">
        <v>905</v>
      </c>
      <c r="G28" t="s">
        <v>61</v>
      </c>
      <c r="H28">
        <v>45.433010189999997</v>
      </c>
      <c r="I28">
        <v>-73.938756760000004</v>
      </c>
      <c r="J28">
        <v>39.020000000000003</v>
      </c>
      <c r="K28">
        <v>0</v>
      </c>
      <c r="L28">
        <v>0</v>
      </c>
      <c r="N28">
        <v>1</v>
      </c>
      <c r="O28" t="s">
        <v>99</v>
      </c>
      <c r="P28">
        <v>3</v>
      </c>
      <c r="Q28">
        <v>5</v>
      </c>
      <c r="R28">
        <v>311</v>
      </c>
      <c r="S28">
        <v>311</v>
      </c>
      <c r="T28">
        <v>0.275167354801374</v>
      </c>
      <c r="U28">
        <v>63798.569171199299</v>
      </c>
      <c r="V28">
        <v>0.155815578293035</v>
      </c>
      <c r="W28">
        <v>0.92614473684210497</v>
      </c>
      <c r="X28">
        <v>63</v>
      </c>
      <c r="Y28">
        <v>0.55042226621400803</v>
      </c>
      <c r="Z28">
        <v>3.1611027498348203E-2</v>
      </c>
      <c r="AA28">
        <v>7.6931597992239698E-2</v>
      </c>
      <c r="AB28">
        <v>1.1893198194666599E-2</v>
      </c>
      <c r="AC28">
        <v>-2.8290163109766502E-2</v>
      </c>
      <c r="AD28">
        <v>2.4390299527011299E-3</v>
      </c>
      <c r="AE28">
        <v>4190.1766841442004</v>
      </c>
      <c r="AF28">
        <v>59855172.148300603</v>
      </c>
      <c r="AG28">
        <v>13822.744695114599</v>
      </c>
      <c r="AH28">
        <v>49383776.725694202</v>
      </c>
    </row>
    <row r="29" spans="1:34" x14ac:dyDescent="0.25">
      <c r="A29">
        <v>1545</v>
      </c>
      <c r="B29" s="1">
        <v>45447</v>
      </c>
      <c r="C29">
        <v>23</v>
      </c>
      <c r="D29" t="s">
        <v>100</v>
      </c>
      <c r="E29">
        <v>4.71</v>
      </c>
      <c r="F29">
        <v>905</v>
      </c>
      <c r="G29" t="s">
        <v>64</v>
      </c>
      <c r="H29">
        <v>45.432982809999999</v>
      </c>
      <c r="I29">
        <v>-73.938837340000006</v>
      </c>
      <c r="J29">
        <v>39.020000000000003</v>
      </c>
      <c r="K29">
        <v>0</v>
      </c>
      <c r="L29">
        <v>0</v>
      </c>
      <c r="N29">
        <v>1</v>
      </c>
      <c r="O29" t="s">
        <v>101</v>
      </c>
      <c r="P29">
        <v>3</v>
      </c>
      <c r="Q29">
        <v>4</v>
      </c>
      <c r="R29">
        <v>304</v>
      </c>
      <c r="S29">
        <v>304</v>
      </c>
      <c r="T29">
        <v>0.28836308084329798</v>
      </c>
      <c r="U29">
        <v>63889.855642907503</v>
      </c>
      <c r="V29">
        <v>0.180100295139342</v>
      </c>
      <c r="W29">
        <v>0.700096051367745</v>
      </c>
      <c r="X29">
        <v>31</v>
      </c>
      <c r="Y29">
        <v>0.57681805748853598</v>
      </c>
      <c r="Z29">
        <v>3.9722760007305402E-2</v>
      </c>
      <c r="AA29">
        <v>9.0347796220729304E-2</v>
      </c>
      <c r="AB29">
        <v>1.6713720036566401E-2</v>
      </c>
      <c r="AC29">
        <v>-2.6670175538725201E-2</v>
      </c>
      <c r="AD29">
        <v>2.35028416513795E-3</v>
      </c>
      <c r="AE29">
        <v>4303.7058466320204</v>
      </c>
      <c r="AF29">
        <v>63640152.598229401</v>
      </c>
      <c r="AG29">
        <v>13421.4145271456</v>
      </c>
      <c r="AH29">
        <v>53569822.739659503</v>
      </c>
    </row>
    <row r="30" spans="1:34" x14ac:dyDescent="0.25">
      <c r="A30">
        <v>1546</v>
      </c>
      <c r="B30" s="1">
        <v>45447</v>
      </c>
      <c r="C30">
        <v>23</v>
      </c>
      <c r="D30" t="s">
        <v>102</v>
      </c>
      <c r="E30">
        <v>4.71</v>
      </c>
      <c r="F30">
        <v>905</v>
      </c>
      <c r="G30" t="s">
        <v>67</v>
      </c>
      <c r="H30">
        <v>45.432955980000003</v>
      </c>
      <c r="I30">
        <v>-73.938918240000007</v>
      </c>
      <c r="J30">
        <v>39.020000000000003</v>
      </c>
      <c r="K30">
        <v>0</v>
      </c>
      <c r="L30">
        <v>0</v>
      </c>
      <c r="N30">
        <v>1</v>
      </c>
      <c r="O30" t="s">
        <v>103</v>
      </c>
      <c r="P30">
        <v>3</v>
      </c>
      <c r="Q30">
        <v>3</v>
      </c>
      <c r="R30">
        <v>211</v>
      </c>
      <c r="S30">
        <v>211</v>
      </c>
      <c r="T30">
        <v>0.32004602293677198</v>
      </c>
      <c r="U30">
        <v>67388.645545899097</v>
      </c>
      <c r="V30">
        <v>0.21943049669933601</v>
      </c>
      <c r="W30">
        <v>0.912489145022499</v>
      </c>
      <c r="X30">
        <v>37</v>
      </c>
      <c r="Y30">
        <v>0.64046480297725195</v>
      </c>
      <c r="Z30">
        <v>4.0784727276175603E-2</v>
      </c>
      <c r="AA30">
        <v>0.100974460395153</v>
      </c>
      <c r="AB30">
        <v>1.5022011554545699E-2</v>
      </c>
      <c r="AC30">
        <v>-2.37590291597501E-2</v>
      </c>
      <c r="AD30">
        <v>2.75583533607507E-3</v>
      </c>
      <c r="AE30">
        <v>5874.0336269433401</v>
      </c>
      <c r="AF30">
        <v>87673682.825059593</v>
      </c>
      <c r="AG30">
        <v>13173.331778305799</v>
      </c>
      <c r="AH30">
        <v>60368164.706775501</v>
      </c>
    </row>
    <row r="31" spans="1:34" x14ac:dyDescent="0.25">
      <c r="A31">
        <v>1547</v>
      </c>
      <c r="B31" s="1">
        <v>45447</v>
      </c>
      <c r="C31">
        <v>23</v>
      </c>
      <c r="D31" t="s">
        <v>104</v>
      </c>
      <c r="E31">
        <v>4.71</v>
      </c>
      <c r="F31">
        <v>905</v>
      </c>
      <c r="G31" t="s">
        <v>70</v>
      </c>
      <c r="H31">
        <v>45.432928949999997</v>
      </c>
      <c r="I31">
        <v>-73.938999030000005</v>
      </c>
      <c r="J31">
        <v>39.020000000000003</v>
      </c>
      <c r="K31">
        <v>0</v>
      </c>
      <c r="L31">
        <v>0</v>
      </c>
      <c r="N31">
        <v>1</v>
      </c>
      <c r="O31" t="s">
        <v>105</v>
      </c>
      <c r="P31">
        <v>3</v>
      </c>
      <c r="Q31">
        <v>2</v>
      </c>
      <c r="R31">
        <v>204</v>
      </c>
      <c r="S31">
        <v>204</v>
      </c>
      <c r="T31">
        <v>0.26044625213689099</v>
      </c>
      <c r="U31">
        <v>64232.882578404002</v>
      </c>
      <c r="V31">
        <v>0.104532187608146</v>
      </c>
      <c r="W31">
        <v>0.955223095040724</v>
      </c>
      <c r="X31">
        <v>56</v>
      </c>
      <c r="Y31">
        <v>0.52128832781470102</v>
      </c>
      <c r="Z31">
        <v>2.1333247283174501E-2</v>
      </c>
      <c r="AA31">
        <v>6.7423316532547004E-2</v>
      </c>
      <c r="AB31">
        <v>1.0396889314222699E-2</v>
      </c>
      <c r="AC31">
        <v>-2.9784941197926001E-2</v>
      </c>
      <c r="AD31">
        <v>1.9725604615962798E-3</v>
      </c>
      <c r="AE31">
        <v>2775.2448269332499</v>
      </c>
      <c r="AF31">
        <v>35088955.4436353</v>
      </c>
      <c r="AG31">
        <v>15424.742318246101</v>
      </c>
      <c r="AH31">
        <v>41858034.793790199</v>
      </c>
    </row>
    <row r="32" spans="1:34" x14ac:dyDescent="0.25">
      <c r="A32">
        <v>1548</v>
      </c>
      <c r="B32" s="1">
        <v>45447</v>
      </c>
      <c r="C32">
        <v>23</v>
      </c>
      <c r="D32" t="s">
        <v>106</v>
      </c>
      <c r="E32">
        <v>4.71</v>
      </c>
      <c r="F32">
        <v>905</v>
      </c>
      <c r="G32" t="s">
        <v>73</v>
      </c>
      <c r="H32">
        <v>45.432901870000002</v>
      </c>
      <c r="I32">
        <v>-73.939079800000002</v>
      </c>
      <c r="J32">
        <v>39.020000000000003</v>
      </c>
      <c r="K32">
        <v>0</v>
      </c>
      <c r="L32">
        <v>0</v>
      </c>
      <c r="N32">
        <v>1</v>
      </c>
      <c r="O32" t="s">
        <v>107</v>
      </c>
      <c r="P32">
        <v>3</v>
      </c>
      <c r="Q32">
        <v>1</v>
      </c>
      <c r="R32">
        <v>111</v>
      </c>
      <c r="S32">
        <v>111</v>
      </c>
      <c r="T32">
        <v>0.26218224551300701</v>
      </c>
      <c r="U32">
        <v>63119.3715181195</v>
      </c>
      <c r="V32">
        <v>8.2592229840025996E-2</v>
      </c>
      <c r="W32">
        <v>0.96463157894736795</v>
      </c>
      <c r="X32">
        <v>81</v>
      </c>
      <c r="Y32">
        <v>0.52416054758327801</v>
      </c>
      <c r="Z32">
        <v>1.6544910909721999E-2</v>
      </c>
      <c r="AA32">
        <v>6.9729131906059602E-2</v>
      </c>
      <c r="AB32">
        <v>9.2686900762025803E-3</v>
      </c>
      <c r="AC32">
        <v>-2.7473651586643E-2</v>
      </c>
      <c r="AD32">
        <v>1.94995268858981E-3</v>
      </c>
      <c r="AE32">
        <v>2724.52140385243</v>
      </c>
      <c r="AF32">
        <v>17880407.921419099</v>
      </c>
      <c r="AG32">
        <v>15501.625324025001</v>
      </c>
      <c r="AH32">
        <v>39544870.258350998</v>
      </c>
    </row>
    <row r="33" spans="1:34" x14ac:dyDescent="0.25">
      <c r="A33">
        <v>1549</v>
      </c>
      <c r="B33" s="1">
        <v>45447</v>
      </c>
      <c r="C33">
        <v>23</v>
      </c>
      <c r="D33" t="s">
        <v>108</v>
      </c>
      <c r="E33">
        <v>4.71</v>
      </c>
      <c r="F33">
        <v>905</v>
      </c>
      <c r="G33" t="s">
        <v>76</v>
      </c>
      <c r="H33">
        <v>45.432875099999997</v>
      </c>
      <c r="I33">
        <v>-73.939160810000004</v>
      </c>
      <c r="J33">
        <v>39.021000000000001</v>
      </c>
      <c r="K33">
        <v>0</v>
      </c>
      <c r="L33">
        <v>0</v>
      </c>
      <c r="N33">
        <v>1</v>
      </c>
      <c r="O33" t="s">
        <v>109</v>
      </c>
      <c r="P33">
        <v>3</v>
      </c>
      <c r="Q33">
        <v>0</v>
      </c>
      <c r="R33">
        <v>104</v>
      </c>
      <c r="S33">
        <v>104</v>
      </c>
      <c r="T33">
        <v>0.29602551225080298</v>
      </c>
      <c r="U33">
        <v>64944.154045053903</v>
      </c>
      <c r="V33">
        <v>0.128756121449559</v>
      </c>
      <c r="W33">
        <v>0.98147344044000595</v>
      </c>
      <c r="X33">
        <v>71</v>
      </c>
      <c r="Y33">
        <v>0.59212679755683195</v>
      </c>
      <c r="Z33">
        <v>2.2095100741026202E-2</v>
      </c>
      <c r="AA33">
        <v>9.3175277065872905E-2</v>
      </c>
      <c r="AB33">
        <v>1.2141327847199099E-2</v>
      </c>
      <c r="AC33">
        <v>-2.12773026483511E-2</v>
      </c>
      <c r="AD33">
        <v>2.39166235107428E-3</v>
      </c>
      <c r="AE33">
        <v>3120.21216454456</v>
      </c>
      <c r="AF33">
        <v>33031587.523182198</v>
      </c>
      <c r="AG33">
        <v>14917.808340985899</v>
      </c>
      <c r="AH33">
        <v>44769049.665317498</v>
      </c>
    </row>
    <row r="34" spans="1:34" x14ac:dyDescent="0.25">
      <c r="A34">
        <v>1550</v>
      </c>
      <c r="B34" s="1">
        <v>45447</v>
      </c>
      <c r="C34">
        <v>23</v>
      </c>
      <c r="D34" t="s">
        <v>110</v>
      </c>
      <c r="E34">
        <v>4.71</v>
      </c>
      <c r="F34">
        <v>905</v>
      </c>
      <c r="G34" t="s">
        <v>32</v>
      </c>
      <c r="H34">
        <v>45.432850459999997</v>
      </c>
      <c r="I34">
        <v>-73.939144119999995</v>
      </c>
      <c r="J34">
        <v>39.020000000000003</v>
      </c>
      <c r="K34">
        <v>0</v>
      </c>
      <c r="L34">
        <v>0</v>
      </c>
      <c r="N34">
        <v>1</v>
      </c>
      <c r="O34" t="s">
        <v>111</v>
      </c>
      <c r="P34">
        <v>4</v>
      </c>
      <c r="Q34">
        <v>0</v>
      </c>
      <c r="R34">
        <v>105</v>
      </c>
      <c r="S34">
        <v>105</v>
      </c>
      <c r="T34">
        <v>0.26062046479345902</v>
      </c>
      <c r="U34">
        <v>65359.6277636304</v>
      </c>
      <c r="V34">
        <v>6.9879659677829997E-2</v>
      </c>
      <c r="W34">
        <v>0.98144736842105296</v>
      </c>
      <c r="X34">
        <v>76</v>
      </c>
      <c r="Y34">
        <v>0.521281819388417</v>
      </c>
      <c r="Z34">
        <v>1.34946353277706E-2</v>
      </c>
      <c r="AA34">
        <v>6.4580839339884594E-2</v>
      </c>
      <c r="AB34">
        <v>7.8308237428939692E-3</v>
      </c>
      <c r="AC34">
        <v>-2.6630161356199399E-2</v>
      </c>
      <c r="AD34">
        <v>1.5909608091305E-3</v>
      </c>
      <c r="AE34">
        <v>2553.4100451194599</v>
      </c>
      <c r="AF34">
        <v>14199279.8845306</v>
      </c>
      <c r="AG34">
        <v>16280.047981195299</v>
      </c>
      <c r="AH34">
        <v>34621149.629157603</v>
      </c>
    </row>
    <row r="35" spans="1:34" x14ac:dyDescent="0.25">
      <c r="A35">
        <v>1551</v>
      </c>
      <c r="B35" s="1">
        <v>45447</v>
      </c>
      <c r="C35">
        <v>23</v>
      </c>
      <c r="D35" t="s">
        <v>112</v>
      </c>
      <c r="E35">
        <v>4.71</v>
      </c>
      <c r="F35">
        <v>905</v>
      </c>
      <c r="G35" t="s">
        <v>35</v>
      </c>
      <c r="H35">
        <v>45.432876950000001</v>
      </c>
      <c r="I35">
        <v>-73.939062980000003</v>
      </c>
      <c r="J35">
        <v>39.020000000000003</v>
      </c>
      <c r="K35">
        <v>0</v>
      </c>
      <c r="L35">
        <v>0</v>
      </c>
      <c r="N35">
        <v>1</v>
      </c>
      <c r="O35" t="s">
        <v>113</v>
      </c>
      <c r="P35">
        <v>4</v>
      </c>
      <c r="Q35">
        <v>1</v>
      </c>
      <c r="R35">
        <v>112</v>
      </c>
      <c r="S35">
        <v>112</v>
      </c>
      <c r="T35">
        <v>0.246338914671929</v>
      </c>
      <c r="U35">
        <v>62528.501609522602</v>
      </c>
      <c r="V35">
        <v>5.1400587659157997E-2</v>
      </c>
      <c r="W35">
        <v>0.997263121883183</v>
      </c>
      <c r="X35">
        <v>106</v>
      </c>
      <c r="Y35">
        <v>0.49231031425966099</v>
      </c>
      <c r="Z35">
        <v>1.1569806029578199E-2</v>
      </c>
      <c r="AA35">
        <v>5.9297976558038201E-2</v>
      </c>
      <c r="AB35">
        <v>7.1996100459200798E-3</v>
      </c>
      <c r="AC35">
        <v>-3.03615961268974E-2</v>
      </c>
      <c r="AD35">
        <v>1.6525952036619801E-3</v>
      </c>
      <c r="AE35">
        <v>2450.1509304603301</v>
      </c>
      <c r="AF35">
        <v>12745435.1651731</v>
      </c>
      <c r="AG35">
        <v>15855.0776807367</v>
      </c>
      <c r="AH35">
        <v>34029368.675476901</v>
      </c>
    </row>
    <row r="36" spans="1:34" x14ac:dyDescent="0.25">
      <c r="A36">
        <v>1552</v>
      </c>
      <c r="B36" s="1">
        <v>45447</v>
      </c>
      <c r="C36">
        <v>23</v>
      </c>
      <c r="D36" t="s">
        <v>114</v>
      </c>
      <c r="E36">
        <v>4.71</v>
      </c>
      <c r="F36">
        <v>905</v>
      </c>
      <c r="G36" t="s">
        <v>38</v>
      </c>
      <c r="H36">
        <v>45.43290416</v>
      </c>
      <c r="I36">
        <v>-73.938982359999997</v>
      </c>
      <c r="J36">
        <v>39.020000000000003</v>
      </c>
      <c r="K36">
        <v>0</v>
      </c>
      <c r="L36">
        <v>0</v>
      </c>
      <c r="N36">
        <v>1</v>
      </c>
      <c r="O36" t="s">
        <v>115</v>
      </c>
      <c r="P36">
        <v>4</v>
      </c>
      <c r="Q36">
        <v>2</v>
      </c>
      <c r="R36">
        <v>205</v>
      </c>
      <c r="S36">
        <v>205</v>
      </c>
      <c r="T36">
        <v>0.25037318150349702</v>
      </c>
      <c r="U36">
        <v>61250.559418094403</v>
      </c>
      <c r="V36">
        <v>7.8418825741746995E-2</v>
      </c>
      <c r="W36">
        <v>0.98184162741124803</v>
      </c>
      <c r="X36">
        <v>74</v>
      </c>
      <c r="Y36">
        <v>0.500794118645563</v>
      </c>
      <c r="Z36">
        <v>1.6125822083360102E-2</v>
      </c>
      <c r="AA36">
        <v>6.2262418043310799E-2</v>
      </c>
      <c r="AB36">
        <v>8.3993247619322999E-3</v>
      </c>
      <c r="AC36">
        <v>-3.05353211291663E-2</v>
      </c>
      <c r="AD36">
        <v>1.5841062550354E-3</v>
      </c>
      <c r="AE36">
        <v>2193.5067645215199</v>
      </c>
      <c r="AF36">
        <v>15917133.0605998</v>
      </c>
      <c r="AG36">
        <v>15504.603073558201</v>
      </c>
      <c r="AH36">
        <v>35762261.336642697</v>
      </c>
    </row>
    <row r="37" spans="1:34" x14ac:dyDescent="0.25">
      <c r="A37">
        <v>1553</v>
      </c>
      <c r="B37" s="1">
        <v>45447</v>
      </c>
      <c r="C37">
        <v>23</v>
      </c>
      <c r="D37" t="s">
        <v>116</v>
      </c>
      <c r="E37">
        <v>4.71</v>
      </c>
      <c r="F37">
        <v>905</v>
      </c>
      <c r="G37" t="s">
        <v>41</v>
      </c>
      <c r="H37">
        <v>45.43293104</v>
      </c>
      <c r="I37">
        <v>-73.938901340000001</v>
      </c>
      <c r="J37">
        <v>39.020000000000003</v>
      </c>
      <c r="K37">
        <v>0</v>
      </c>
      <c r="L37">
        <v>0</v>
      </c>
      <c r="N37">
        <v>1</v>
      </c>
      <c r="O37" t="s">
        <v>117</v>
      </c>
      <c r="P37">
        <v>4</v>
      </c>
      <c r="Q37">
        <v>3</v>
      </c>
      <c r="R37">
        <v>212</v>
      </c>
      <c r="S37">
        <v>212</v>
      </c>
      <c r="T37">
        <v>0.275630386704242</v>
      </c>
      <c r="U37">
        <v>64730.9521645446</v>
      </c>
      <c r="V37">
        <v>0.134430297094352</v>
      </c>
      <c r="W37">
        <v>0.95559152094106503</v>
      </c>
      <c r="X37">
        <v>54</v>
      </c>
      <c r="Y37">
        <v>0.55126197934207299</v>
      </c>
      <c r="Z37">
        <v>2.7725181916532299E-2</v>
      </c>
      <c r="AA37">
        <v>7.8565377086706398E-2</v>
      </c>
      <c r="AB37">
        <v>1.0561075166051599E-2</v>
      </c>
      <c r="AC37">
        <v>-2.83462664756194E-2</v>
      </c>
      <c r="AD37">
        <v>2.2008550206529202E-3</v>
      </c>
      <c r="AE37">
        <v>4466.2526738491697</v>
      </c>
      <c r="AF37">
        <v>53392729.016240597</v>
      </c>
      <c r="AG37">
        <v>14255.296654281499</v>
      </c>
      <c r="AH37">
        <v>44951058.825420097</v>
      </c>
    </row>
    <row r="38" spans="1:34" x14ac:dyDescent="0.25">
      <c r="A38">
        <v>1554</v>
      </c>
      <c r="B38" s="1">
        <v>45447</v>
      </c>
      <c r="C38">
        <v>23</v>
      </c>
      <c r="D38" t="s">
        <v>118</v>
      </c>
      <c r="E38">
        <v>4.71</v>
      </c>
      <c r="F38">
        <v>905</v>
      </c>
      <c r="G38" t="s">
        <v>44</v>
      </c>
      <c r="H38">
        <v>45.432958130000003</v>
      </c>
      <c r="I38">
        <v>-73.938820660000005</v>
      </c>
      <c r="J38">
        <v>39.020000000000003</v>
      </c>
      <c r="K38">
        <v>0</v>
      </c>
      <c r="L38">
        <v>0</v>
      </c>
      <c r="N38">
        <v>1</v>
      </c>
      <c r="O38" t="s">
        <v>119</v>
      </c>
      <c r="P38">
        <v>4</v>
      </c>
      <c r="Q38">
        <v>4</v>
      </c>
      <c r="R38">
        <v>305</v>
      </c>
      <c r="S38">
        <v>305</v>
      </c>
      <c r="T38">
        <v>0.29652366642259098</v>
      </c>
      <c r="U38">
        <v>64030.913123820603</v>
      </c>
      <c r="V38">
        <v>0.18135932980300201</v>
      </c>
      <c r="W38">
        <v>0.97809268177153197</v>
      </c>
      <c r="X38">
        <v>64</v>
      </c>
      <c r="Y38">
        <v>0.59286853534946504</v>
      </c>
      <c r="Z38">
        <v>3.6381097412605402E-2</v>
      </c>
      <c r="AA38">
        <v>9.5860432495944295E-2</v>
      </c>
      <c r="AB38">
        <v>1.45747073757419E-2</v>
      </c>
      <c r="AC38">
        <v>-2.4264703107746699E-2</v>
      </c>
      <c r="AD38">
        <v>2.52217373283657E-3</v>
      </c>
      <c r="AE38">
        <v>4320.3259831928399</v>
      </c>
      <c r="AF38">
        <v>59298590.114852302</v>
      </c>
      <c r="AG38">
        <v>13464.651186896899</v>
      </c>
      <c r="AH38">
        <v>46720752.930407099</v>
      </c>
    </row>
    <row r="39" spans="1:34" x14ac:dyDescent="0.25">
      <c r="A39">
        <v>1555</v>
      </c>
      <c r="B39" s="1">
        <v>45447</v>
      </c>
      <c r="C39">
        <v>23</v>
      </c>
      <c r="D39" t="s">
        <v>120</v>
      </c>
      <c r="E39">
        <v>4.71</v>
      </c>
      <c r="F39">
        <v>905</v>
      </c>
      <c r="G39" t="s">
        <v>47</v>
      </c>
      <c r="H39">
        <v>45.432985029999998</v>
      </c>
      <c r="I39">
        <v>-73.938739760000004</v>
      </c>
      <c r="J39">
        <v>39.020000000000003</v>
      </c>
      <c r="K39">
        <v>0</v>
      </c>
      <c r="L39">
        <v>0</v>
      </c>
      <c r="N39">
        <v>1</v>
      </c>
      <c r="O39" t="s">
        <v>121</v>
      </c>
      <c r="P39">
        <v>4</v>
      </c>
      <c r="Q39">
        <v>5</v>
      </c>
      <c r="R39">
        <v>312</v>
      </c>
      <c r="S39">
        <v>312</v>
      </c>
      <c r="T39">
        <v>0.35987935695086498</v>
      </c>
      <c r="U39">
        <v>68376.560139992594</v>
      </c>
      <c r="V39">
        <v>0.301571651507336</v>
      </c>
      <c r="W39">
        <v>0.84769736842105303</v>
      </c>
      <c r="X39">
        <v>30</v>
      </c>
      <c r="Y39">
        <v>0.71993217665239195</v>
      </c>
      <c r="Z39">
        <v>5.1954476391997101E-2</v>
      </c>
      <c r="AA39">
        <v>0.120772888861009</v>
      </c>
      <c r="AB39">
        <v>1.86461122215228E-2</v>
      </c>
      <c r="AC39">
        <v>-2.28468601619203E-2</v>
      </c>
      <c r="AD39">
        <v>2.9664183824904102E-3</v>
      </c>
      <c r="AE39">
        <v>7130.0680896631402</v>
      </c>
      <c r="AF39">
        <v>106636000.037949</v>
      </c>
      <c r="AG39">
        <v>11576.979090646601</v>
      </c>
      <c r="AH39">
        <v>64117532.309171602</v>
      </c>
    </row>
    <row r="40" spans="1:34" x14ac:dyDescent="0.25">
      <c r="A40">
        <v>1556</v>
      </c>
      <c r="B40" s="1">
        <v>45447</v>
      </c>
      <c r="C40">
        <v>23</v>
      </c>
      <c r="D40" t="s">
        <v>122</v>
      </c>
      <c r="E40">
        <v>4.71</v>
      </c>
      <c r="F40">
        <v>905</v>
      </c>
      <c r="G40" t="s">
        <v>49</v>
      </c>
      <c r="H40">
        <v>45.433011999999998</v>
      </c>
      <c r="I40">
        <v>-73.938658930000003</v>
      </c>
      <c r="J40">
        <v>39.020000000000003</v>
      </c>
      <c r="K40">
        <v>0</v>
      </c>
      <c r="L40">
        <v>0</v>
      </c>
      <c r="N40">
        <v>1</v>
      </c>
      <c r="O40" t="s">
        <v>123</v>
      </c>
      <c r="P40">
        <v>4</v>
      </c>
      <c r="Q40">
        <v>6</v>
      </c>
      <c r="R40">
        <v>405</v>
      </c>
      <c r="S40">
        <v>405</v>
      </c>
      <c r="T40">
        <v>0.29018970345378398</v>
      </c>
      <c r="U40">
        <v>66200.873978112693</v>
      </c>
      <c r="V40">
        <v>0.15829132603755799</v>
      </c>
      <c r="W40">
        <v>0.91752523059513902</v>
      </c>
      <c r="X40">
        <v>42</v>
      </c>
      <c r="Y40">
        <v>0.58002767031657598</v>
      </c>
      <c r="Z40">
        <v>3.1412186989975402E-2</v>
      </c>
      <c r="AA40">
        <v>8.73738884845153E-2</v>
      </c>
      <c r="AB40">
        <v>1.3066861026629699E-2</v>
      </c>
      <c r="AC40">
        <v>-2.41518766859696E-2</v>
      </c>
      <c r="AD40">
        <v>2.7541957542319201E-3</v>
      </c>
      <c r="AE40">
        <v>4329.6677527620304</v>
      </c>
      <c r="AF40">
        <v>57939184.937324002</v>
      </c>
      <c r="AG40">
        <v>13695.011645537799</v>
      </c>
      <c r="AH40">
        <v>44531150.2650102</v>
      </c>
    </row>
    <row r="41" spans="1:34" x14ac:dyDescent="0.25">
      <c r="A41">
        <v>1557</v>
      </c>
      <c r="B41" s="1">
        <v>45447</v>
      </c>
      <c r="C41">
        <v>23</v>
      </c>
      <c r="D41" t="s">
        <v>124</v>
      </c>
      <c r="E41">
        <v>4.71</v>
      </c>
      <c r="F41">
        <v>905</v>
      </c>
      <c r="G41" t="s">
        <v>52</v>
      </c>
      <c r="H41">
        <v>45.433038779999997</v>
      </c>
      <c r="I41">
        <v>-73.938577969999997</v>
      </c>
      <c r="J41">
        <v>39.020000000000003</v>
      </c>
      <c r="K41">
        <v>0</v>
      </c>
      <c r="L41">
        <v>0</v>
      </c>
      <c r="N41">
        <v>1</v>
      </c>
      <c r="O41" t="s">
        <v>125</v>
      </c>
      <c r="P41">
        <v>4</v>
      </c>
      <c r="Q41">
        <v>7</v>
      </c>
      <c r="R41">
        <v>412</v>
      </c>
      <c r="S41">
        <v>412</v>
      </c>
      <c r="T41">
        <v>0.26849414194207399</v>
      </c>
      <c r="U41">
        <v>65300.964008671297</v>
      </c>
      <c r="V41">
        <v>0.118571577820148</v>
      </c>
      <c r="W41">
        <v>0.92835526315789496</v>
      </c>
      <c r="X41">
        <v>44</v>
      </c>
      <c r="Y41">
        <v>0.53728352763920295</v>
      </c>
      <c r="Z41">
        <v>2.2923423902767501E-2</v>
      </c>
      <c r="AA41">
        <v>7.6216659673412498E-2</v>
      </c>
      <c r="AB41">
        <v>1.0380220002884299E-2</v>
      </c>
      <c r="AC41">
        <v>-3.0236816172178702E-2</v>
      </c>
      <c r="AD41">
        <v>2.5396907844502299E-3</v>
      </c>
      <c r="AE41">
        <v>3412.0112897328099</v>
      </c>
      <c r="AF41">
        <v>49030784.699189402</v>
      </c>
      <c r="AG41">
        <v>14923.327651829501</v>
      </c>
      <c r="AH41">
        <v>44933516.817492299</v>
      </c>
    </row>
    <row r="42" spans="1:34" x14ac:dyDescent="0.25">
      <c r="A42">
        <v>1558</v>
      </c>
      <c r="B42" s="1">
        <v>45447</v>
      </c>
      <c r="C42">
        <v>23</v>
      </c>
      <c r="D42" t="s">
        <v>126</v>
      </c>
      <c r="E42">
        <v>4.71</v>
      </c>
      <c r="F42">
        <v>905</v>
      </c>
      <c r="G42" t="s">
        <v>55</v>
      </c>
      <c r="H42">
        <v>45.433013350000003</v>
      </c>
      <c r="I42">
        <v>-73.938561010000001</v>
      </c>
      <c r="J42">
        <v>39.018999999999998</v>
      </c>
      <c r="K42">
        <v>0</v>
      </c>
      <c r="L42">
        <v>0</v>
      </c>
      <c r="N42">
        <v>1</v>
      </c>
      <c r="O42" t="s">
        <v>127</v>
      </c>
      <c r="P42">
        <v>5</v>
      </c>
      <c r="Q42">
        <v>7</v>
      </c>
      <c r="R42">
        <v>413</v>
      </c>
      <c r="S42">
        <v>413</v>
      </c>
      <c r="T42">
        <v>0.32982254017700302</v>
      </c>
      <c r="U42">
        <v>69461.115258044301</v>
      </c>
      <c r="V42">
        <v>0.22298109068115299</v>
      </c>
      <c r="W42">
        <v>0.89459210526315802</v>
      </c>
      <c r="X42">
        <v>34</v>
      </c>
      <c r="Y42">
        <v>0.65918478863547803</v>
      </c>
      <c r="Z42">
        <v>3.6908646085742097E-2</v>
      </c>
      <c r="AA42">
        <v>0.10942635583058199</v>
      </c>
      <c r="AB42">
        <v>1.4444829681222999E-2</v>
      </c>
      <c r="AC42">
        <v>-2.41763890825572E-2</v>
      </c>
      <c r="AD42">
        <v>2.93623089931749E-3</v>
      </c>
      <c r="AE42">
        <v>5842.2553802758002</v>
      </c>
      <c r="AF42">
        <v>92636462.996484697</v>
      </c>
      <c r="AG42">
        <v>13369.636229063301</v>
      </c>
      <c r="AH42">
        <v>59310498.378471799</v>
      </c>
    </row>
    <row r="43" spans="1:34" x14ac:dyDescent="0.25">
      <c r="A43">
        <v>1559</v>
      </c>
      <c r="B43" s="1">
        <v>45447</v>
      </c>
      <c r="C43">
        <v>23</v>
      </c>
      <c r="D43" t="s">
        <v>128</v>
      </c>
      <c r="E43">
        <v>4.71</v>
      </c>
      <c r="F43">
        <v>905</v>
      </c>
      <c r="G43" t="s">
        <v>58</v>
      </c>
      <c r="H43">
        <v>45.432986759999999</v>
      </c>
      <c r="I43">
        <v>-73.938642099999996</v>
      </c>
      <c r="J43">
        <v>39.018999999999998</v>
      </c>
      <c r="K43">
        <v>0</v>
      </c>
      <c r="L43">
        <v>0</v>
      </c>
      <c r="N43">
        <v>1</v>
      </c>
      <c r="O43" t="s">
        <v>129</v>
      </c>
      <c r="P43">
        <v>5</v>
      </c>
      <c r="Q43">
        <v>6</v>
      </c>
      <c r="R43">
        <v>406</v>
      </c>
      <c r="S43">
        <v>406</v>
      </c>
      <c r="T43">
        <v>0.34918382359413902</v>
      </c>
      <c r="U43">
        <v>70616.5847861574</v>
      </c>
      <c r="V43">
        <v>0.25759227941416502</v>
      </c>
      <c r="W43">
        <v>0.61103435571520703</v>
      </c>
      <c r="X43">
        <v>18</v>
      </c>
      <c r="Y43">
        <v>0.69834005228515805</v>
      </c>
      <c r="Z43">
        <v>4.8479350322277397E-2</v>
      </c>
      <c r="AA43">
        <v>0.11802593450188199</v>
      </c>
      <c r="AB43">
        <v>1.79394828759223E-2</v>
      </c>
      <c r="AC43">
        <v>-2.2102746838502399E-2</v>
      </c>
      <c r="AD43">
        <v>3.39474717636975E-3</v>
      </c>
      <c r="AE43">
        <v>7042.5356809381701</v>
      </c>
      <c r="AF43">
        <v>126003836.087134</v>
      </c>
      <c r="AG43">
        <v>12052.7471632547</v>
      </c>
      <c r="AH43">
        <v>59709565.6087313</v>
      </c>
    </row>
    <row r="44" spans="1:34" x14ac:dyDescent="0.25">
      <c r="A44">
        <v>1560</v>
      </c>
      <c r="B44" s="1">
        <v>45447</v>
      </c>
      <c r="C44">
        <v>23</v>
      </c>
      <c r="D44" t="s">
        <v>130</v>
      </c>
      <c r="E44">
        <v>4.71</v>
      </c>
      <c r="F44">
        <v>905</v>
      </c>
      <c r="G44" t="s">
        <v>61</v>
      </c>
      <c r="H44">
        <v>45.432960379999997</v>
      </c>
      <c r="I44">
        <v>-73.938723330000002</v>
      </c>
      <c r="J44">
        <v>39.020000000000003</v>
      </c>
      <c r="K44">
        <v>0</v>
      </c>
      <c r="L44">
        <v>0</v>
      </c>
      <c r="N44">
        <v>1</v>
      </c>
      <c r="O44" t="s">
        <v>131</v>
      </c>
      <c r="P44">
        <v>5</v>
      </c>
      <c r="Q44">
        <v>5</v>
      </c>
      <c r="R44">
        <v>313</v>
      </c>
      <c r="S44">
        <v>313</v>
      </c>
      <c r="T44">
        <v>0.34103909111596897</v>
      </c>
      <c r="U44">
        <v>68897.566832733704</v>
      </c>
      <c r="V44">
        <v>0.260122362896749</v>
      </c>
      <c r="W44">
        <v>0.90060657096617103</v>
      </c>
      <c r="X44">
        <v>37</v>
      </c>
      <c r="Y44">
        <v>0.68183883305154602</v>
      </c>
      <c r="Z44">
        <v>4.4411264904583601E-2</v>
      </c>
      <c r="AA44">
        <v>0.112839081974172</v>
      </c>
      <c r="AB44">
        <v>1.7110457499086702E-2</v>
      </c>
      <c r="AC44">
        <v>-2.0920192968818599E-2</v>
      </c>
      <c r="AD44">
        <v>3.4409871101112998E-3</v>
      </c>
      <c r="AE44">
        <v>6120.0653864486703</v>
      </c>
      <c r="AF44">
        <v>99283926.401639193</v>
      </c>
      <c r="AG44">
        <v>12568.316437470899</v>
      </c>
      <c r="AH44">
        <v>68797560.493985102</v>
      </c>
    </row>
    <row r="45" spans="1:34" x14ac:dyDescent="0.25">
      <c r="A45">
        <v>1561</v>
      </c>
      <c r="B45" s="1">
        <v>45447</v>
      </c>
      <c r="C45">
        <v>23</v>
      </c>
      <c r="D45" t="s">
        <v>132</v>
      </c>
      <c r="E45">
        <v>4.71</v>
      </c>
      <c r="F45">
        <v>905</v>
      </c>
      <c r="G45" t="s">
        <v>64</v>
      </c>
      <c r="H45">
        <v>45.432933179999999</v>
      </c>
      <c r="I45">
        <v>-73.938804039999994</v>
      </c>
      <c r="J45">
        <v>39.020000000000003</v>
      </c>
      <c r="K45">
        <v>0</v>
      </c>
      <c r="L45">
        <v>0</v>
      </c>
      <c r="N45">
        <v>1</v>
      </c>
      <c r="O45" t="s">
        <v>133</v>
      </c>
      <c r="P45">
        <v>5</v>
      </c>
      <c r="Q45">
        <v>4</v>
      </c>
      <c r="R45">
        <v>306</v>
      </c>
      <c r="S45">
        <v>306</v>
      </c>
      <c r="T45">
        <v>0.36286083692790499</v>
      </c>
      <c r="U45">
        <v>69442.9643220937</v>
      </c>
      <c r="V45">
        <v>0.28302687596312098</v>
      </c>
      <c r="W45">
        <v>0.91280148423005603</v>
      </c>
      <c r="X45">
        <v>48</v>
      </c>
      <c r="Y45">
        <v>0.72564618247019297</v>
      </c>
      <c r="Z45">
        <v>4.8086761599281103E-2</v>
      </c>
      <c r="AA45">
        <v>0.13458140869714599</v>
      </c>
      <c r="AB45">
        <v>1.98275980562021E-2</v>
      </c>
      <c r="AC45">
        <v>-1.6120833057696699E-2</v>
      </c>
      <c r="AD45">
        <v>3.2719693768475402E-3</v>
      </c>
      <c r="AE45">
        <v>6455.9190913364801</v>
      </c>
      <c r="AF45">
        <v>104280015.496646</v>
      </c>
      <c r="AG45">
        <v>11847.1105570652</v>
      </c>
      <c r="AH45">
        <v>66968747.140091099</v>
      </c>
    </row>
    <row r="46" spans="1:34" x14ac:dyDescent="0.25">
      <c r="A46">
        <v>1562</v>
      </c>
      <c r="B46" s="1">
        <v>45447</v>
      </c>
      <c r="C46">
        <v>23</v>
      </c>
      <c r="D46" t="s">
        <v>134</v>
      </c>
      <c r="E46">
        <v>4.71</v>
      </c>
      <c r="F46">
        <v>905</v>
      </c>
      <c r="G46" t="s">
        <v>67</v>
      </c>
      <c r="H46">
        <v>45.432906359999997</v>
      </c>
      <c r="I46">
        <v>-73.938884970000004</v>
      </c>
      <c r="J46">
        <v>39.020000000000003</v>
      </c>
      <c r="K46">
        <v>0</v>
      </c>
      <c r="L46">
        <v>0</v>
      </c>
      <c r="N46">
        <v>1</v>
      </c>
      <c r="O46" t="s">
        <v>135</v>
      </c>
      <c r="P46">
        <v>5</v>
      </c>
      <c r="Q46">
        <v>3</v>
      </c>
      <c r="R46">
        <v>213</v>
      </c>
      <c r="S46">
        <v>213</v>
      </c>
      <c r="T46">
        <v>0.30835479286906298</v>
      </c>
      <c r="U46">
        <v>65743.873978112693</v>
      </c>
      <c r="V46">
        <v>0.18588554861963599</v>
      </c>
      <c r="W46">
        <v>0.74117445823081296</v>
      </c>
      <c r="X46">
        <v>25</v>
      </c>
      <c r="Y46">
        <v>0.61663240922483398</v>
      </c>
      <c r="Z46">
        <v>3.4975224315859602E-2</v>
      </c>
      <c r="AA46">
        <v>9.8696838362245007E-2</v>
      </c>
      <c r="AB46">
        <v>1.3773477695504801E-2</v>
      </c>
      <c r="AC46">
        <v>-2.48397255556746E-2</v>
      </c>
      <c r="AD46">
        <v>2.7584261738427501E-3</v>
      </c>
      <c r="AE46">
        <v>5054.87455272024</v>
      </c>
      <c r="AF46">
        <v>77704592.970877305</v>
      </c>
      <c r="AG46">
        <v>13472.8808989639</v>
      </c>
      <c r="AH46">
        <v>56725316.618358299</v>
      </c>
    </row>
    <row r="47" spans="1:34" x14ac:dyDescent="0.25">
      <c r="A47">
        <v>1563</v>
      </c>
      <c r="B47" s="1">
        <v>45447</v>
      </c>
      <c r="C47">
        <v>23</v>
      </c>
      <c r="D47" t="s">
        <v>136</v>
      </c>
      <c r="E47">
        <v>4.71</v>
      </c>
      <c r="F47">
        <v>905</v>
      </c>
      <c r="G47" t="s">
        <v>70</v>
      </c>
      <c r="H47">
        <v>45.432879380000003</v>
      </c>
      <c r="I47">
        <v>-73.938965809999999</v>
      </c>
      <c r="J47">
        <v>39.020000000000003</v>
      </c>
      <c r="K47">
        <v>0</v>
      </c>
      <c r="L47">
        <v>0</v>
      </c>
      <c r="N47">
        <v>1</v>
      </c>
      <c r="O47" t="s">
        <v>137</v>
      </c>
      <c r="P47">
        <v>5</v>
      </c>
      <c r="Q47">
        <v>2</v>
      </c>
      <c r="R47">
        <v>206</v>
      </c>
      <c r="S47">
        <v>206</v>
      </c>
      <c r="T47">
        <v>0.28881303149890197</v>
      </c>
      <c r="U47">
        <v>65176.685724359901</v>
      </c>
      <c r="V47">
        <v>0.13906065335065901</v>
      </c>
      <c r="W47">
        <v>0.99298693438244201</v>
      </c>
      <c r="X47">
        <v>80</v>
      </c>
      <c r="Y47">
        <v>0.578224147882618</v>
      </c>
      <c r="Z47">
        <v>2.6423064489172001E-2</v>
      </c>
      <c r="AA47">
        <v>9.3030679937429805E-2</v>
      </c>
      <c r="AB47">
        <v>1.3644023114692301E-2</v>
      </c>
      <c r="AC47">
        <v>-2.5310364441077499E-2</v>
      </c>
      <c r="AD47">
        <v>2.2705723135148198E-3</v>
      </c>
      <c r="AE47">
        <v>2982.22653755493</v>
      </c>
      <c r="AF47">
        <v>32538036.097594898</v>
      </c>
      <c r="AG47">
        <v>14919.602817118101</v>
      </c>
      <c r="AH47">
        <v>47311930.7467352</v>
      </c>
    </row>
    <row r="48" spans="1:34" x14ac:dyDescent="0.25">
      <c r="A48">
        <v>1564</v>
      </c>
      <c r="B48" s="1">
        <v>45447</v>
      </c>
      <c r="C48">
        <v>23</v>
      </c>
      <c r="D48" t="s">
        <v>138</v>
      </c>
      <c r="E48">
        <v>4.71</v>
      </c>
      <c r="F48">
        <v>905</v>
      </c>
      <c r="G48" t="s">
        <v>73</v>
      </c>
      <c r="H48">
        <v>45.43285247</v>
      </c>
      <c r="I48">
        <v>-73.939046630000007</v>
      </c>
      <c r="J48">
        <v>39.020000000000003</v>
      </c>
      <c r="K48">
        <v>0</v>
      </c>
      <c r="L48">
        <v>0</v>
      </c>
      <c r="N48">
        <v>1</v>
      </c>
      <c r="O48" t="s">
        <v>139</v>
      </c>
      <c r="P48">
        <v>5</v>
      </c>
      <c r="Q48">
        <v>1</v>
      </c>
      <c r="R48">
        <v>113</v>
      </c>
      <c r="S48">
        <v>113</v>
      </c>
      <c r="T48">
        <v>0.25298827973872501</v>
      </c>
      <c r="U48">
        <v>61203.8978655053</v>
      </c>
      <c r="V48">
        <v>6.5830454910512995E-2</v>
      </c>
      <c r="W48">
        <v>0.97814416168846596</v>
      </c>
      <c r="X48">
        <v>68</v>
      </c>
      <c r="Y48">
        <v>0.50635208734380699</v>
      </c>
      <c r="Z48">
        <v>1.33801898573138E-2</v>
      </c>
      <c r="AA48">
        <v>5.8844442423515601E-2</v>
      </c>
      <c r="AB48">
        <v>7.3817400277530303E-3</v>
      </c>
      <c r="AC48">
        <v>-2.78654302216997E-2</v>
      </c>
      <c r="AD48">
        <v>1.79433947824476E-3</v>
      </c>
      <c r="AE48">
        <v>2520.9930787262201</v>
      </c>
      <c r="AF48">
        <v>14572807.0111374</v>
      </c>
      <c r="AG48">
        <v>15649.2506088387</v>
      </c>
      <c r="AH48">
        <v>35862082.283711597</v>
      </c>
    </row>
    <row r="49" spans="1:34" x14ac:dyDescent="0.25">
      <c r="A49">
        <v>1565</v>
      </c>
      <c r="B49" s="1">
        <v>45447</v>
      </c>
      <c r="C49">
        <v>23</v>
      </c>
      <c r="D49" t="s">
        <v>140</v>
      </c>
      <c r="E49">
        <v>4.71</v>
      </c>
      <c r="F49">
        <v>905</v>
      </c>
      <c r="G49" t="s">
        <v>76</v>
      </c>
      <c r="H49">
        <v>45.432825549999997</v>
      </c>
      <c r="I49">
        <v>-73.93912752</v>
      </c>
      <c r="J49">
        <v>39.020000000000003</v>
      </c>
      <c r="K49">
        <v>0</v>
      </c>
      <c r="L49">
        <v>0</v>
      </c>
      <c r="N49">
        <v>1</v>
      </c>
      <c r="O49" t="s">
        <v>141</v>
      </c>
      <c r="P49">
        <v>5</v>
      </c>
      <c r="Q49">
        <v>0</v>
      </c>
      <c r="R49">
        <v>106</v>
      </c>
      <c r="S49">
        <v>106</v>
      </c>
      <c r="T49">
        <v>0.29527135655477299</v>
      </c>
      <c r="U49">
        <v>65060.321802154802</v>
      </c>
      <c r="V49">
        <v>0.124231145935357</v>
      </c>
      <c r="W49">
        <v>0.99053947368421102</v>
      </c>
      <c r="X49">
        <v>80</v>
      </c>
      <c r="Y49">
        <v>0.59051069769620301</v>
      </c>
      <c r="Z49">
        <v>2.1618356573629299E-2</v>
      </c>
      <c r="AA49">
        <v>9.4836311450483296E-2</v>
      </c>
      <c r="AB49">
        <v>1.1927408180879E-2</v>
      </c>
      <c r="AC49">
        <v>-1.86713562341367E-2</v>
      </c>
      <c r="AD49">
        <v>1.9674943640567398E-3</v>
      </c>
      <c r="AE49">
        <v>2810.9423049298098</v>
      </c>
      <c r="AF49">
        <v>19475190.5942684</v>
      </c>
      <c r="AG49">
        <v>14923.8115488902</v>
      </c>
      <c r="AH49">
        <v>41984031.806900702</v>
      </c>
    </row>
    <row r="50" spans="1:34" x14ac:dyDescent="0.25">
      <c r="A50">
        <v>1566</v>
      </c>
      <c r="B50" s="1">
        <v>45447</v>
      </c>
      <c r="C50">
        <v>23</v>
      </c>
      <c r="D50" t="s">
        <v>142</v>
      </c>
      <c r="E50">
        <v>4.71</v>
      </c>
      <c r="F50">
        <v>905</v>
      </c>
      <c r="G50" t="s">
        <v>32</v>
      </c>
      <c r="H50">
        <v>45.432800960000002</v>
      </c>
      <c r="I50">
        <v>-73.939110929999998</v>
      </c>
      <c r="J50">
        <v>39.020000000000003</v>
      </c>
      <c r="K50">
        <v>0</v>
      </c>
      <c r="L50">
        <v>0</v>
      </c>
      <c r="N50">
        <v>1</v>
      </c>
      <c r="O50" t="s">
        <v>143</v>
      </c>
      <c r="P50">
        <v>6</v>
      </c>
      <c r="Q50">
        <v>0</v>
      </c>
      <c r="R50">
        <v>107</v>
      </c>
      <c r="S50">
        <v>107</v>
      </c>
      <c r="T50">
        <v>0.30980862947003301</v>
      </c>
      <c r="U50">
        <v>65202.791056958296</v>
      </c>
      <c r="V50">
        <v>0.1534669304655</v>
      </c>
      <c r="W50">
        <v>0.90138157894736803</v>
      </c>
      <c r="X50">
        <v>52</v>
      </c>
      <c r="Y50">
        <v>0.61975140767608194</v>
      </c>
      <c r="Z50">
        <v>2.6713425394391699E-2</v>
      </c>
      <c r="AA50">
        <v>9.9723371310194195E-2</v>
      </c>
      <c r="AB50">
        <v>1.35145991114186E-2</v>
      </c>
      <c r="AC50">
        <v>-1.89298302852021E-2</v>
      </c>
      <c r="AD50">
        <v>2.3945721825513601E-3</v>
      </c>
      <c r="AE50">
        <v>3432.3428862465498</v>
      </c>
      <c r="AF50">
        <v>40053240.283781603</v>
      </c>
      <c r="AG50">
        <v>14684.895657209099</v>
      </c>
      <c r="AH50">
        <v>47162253.368320897</v>
      </c>
    </row>
    <row r="51" spans="1:34" x14ac:dyDescent="0.25">
      <c r="A51">
        <v>1567</v>
      </c>
      <c r="B51" s="1">
        <v>45447</v>
      </c>
      <c r="C51">
        <v>23</v>
      </c>
      <c r="D51" t="s">
        <v>144</v>
      </c>
      <c r="E51">
        <v>4.71</v>
      </c>
      <c r="F51">
        <v>905</v>
      </c>
      <c r="G51" t="s">
        <v>35</v>
      </c>
      <c r="H51">
        <v>45.432827260000003</v>
      </c>
      <c r="I51">
        <v>-73.939029640000001</v>
      </c>
      <c r="J51">
        <v>39.020000000000003</v>
      </c>
      <c r="K51">
        <v>0</v>
      </c>
      <c r="L51">
        <v>0</v>
      </c>
      <c r="N51">
        <v>1</v>
      </c>
      <c r="O51" t="s">
        <v>145</v>
      </c>
      <c r="P51">
        <v>6</v>
      </c>
      <c r="Q51">
        <v>1</v>
      </c>
      <c r="R51">
        <v>114</v>
      </c>
      <c r="S51">
        <v>114</v>
      </c>
      <c r="T51">
        <v>0.28137733570217</v>
      </c>
      <c r="U51">
        <v>65198.473160125097</v>
      </c>
      <c r="V51">
        <v>0.116370332160184</v>
      </c>
      <c r="W51">
        <v>0.82983986631402995</v>
      </c>
      <c r="X51">
        <v>33</v>
      </c>
      <c r="Y51">
        <v>0.56258320860784405</v>
      </c>
      <c r="Z51">
        <v>2.15263401539624E-2</v>
      </c>
      <c r="AA51">
        <v>7.2454368552820406E-2</v>
      </c>
      <c r="AB51">
        <v>9.4922576586848901E-3</v>
      </c>
      <c r="AC51">
        <v>-2.23929083146947E-2</v>
      </c>
      <c r="AD51">
        <v>2.0318311835941598E-3</v>
      </c>
      <c r="AE51">
        <v>3498.52906646468</v>
      </c>
      <c r="AF51">
        <v>42701482.694186203</v>
      </c>
      <c r="AG51">
        <v>15582.667862746601</v>
      </c>
      <c r="AH51">
        <v>43754403.340667002</v>
      </c>
    </row>
    <row r="52" spans="1:34" x14ac:dyDescent="0.25">
      <c r="A52">
        <v>1568</v>
      </c>
      <c r="B52" s="1">
        <v>45447</v>
      </c>
      <c r="C52">
        <v>23</v>
      </c>
      <c r="D52" t="s">
        <v>146</v>
      </c>
      <c r="E52">
        <v>4.71</v>
      </c>
      <c r="F52">
        <v>905</v>
      </c>
      <c r="G52" t="s">
        <v>38</v>
      </c>
      <c r="H52">
        <v>45.432854650000003</v>
      </c>
      <c r="I52">
        <v>-73.938949129999997</v>
      </c>
      <c r="J52">
        <v>39.020000000000003</v>
      </c>
      <c r="K52">
        <v>0</v>
      </c>
      <c r="L52">
        <v>0</v>
      </c>
      <c r="N52">
        <v>1</v>
      </c>
      <c r="O52" t="s">
        <v>147</v>
      </c>
      <c r="P52">
        <v>6</v>
      </c>
      <c r="Q52">
        <v>2</v>
      </c>
      <c r="R52">
        <v>207</v>
      </c>
      <c r="S52">
        <v>207</v>
      </c>
      <c r="T52">
        <v>0.35032221841155198</v>
      </c>
      <c r="U52">
        <v>69752.236262014194</v>
      </c>
      <c r="V52">
        <v>0.24835457584621801</v>
      </c>
      <c r="W52">
        <v>0.96631578947368402</v>
      </c>
      <c r="X52">
        <v>57</v>
      </c>
      <c r="Y52">
        <v>0.70033556731270996</v>
      </c>
      <c r="Z52">
        <v>4.1188992634708203E-2</v>
      </c>
      <c r="AA52">
        <v>0.126199232442326</v>
      </c>
      <c r="AB52">
        <v>1.7553124289319998E-2</v>
      </c>
      <c r="AC52">
        <v>-1.90170937246768E-2</v>
      </c>
      <c r="AD52">
        <v>2.8016999484301499E-3</v>
      </c>
      <c r="AE52">
        <v>5949.2844298474702</v>
      </c>
      <c r="AF52">
        <v>91670134.010558307</v>
      </c>
      <c r="AG52">
        <v>13296.844571818399</v>
      </c>
      <c r="AH52">
        <v>65938317.461459801</v>
      </c>
    </row>
    <row r="53" spans="1:34" x14ac:dyDescent="0.25">
      <c r="A53">
        <v>1569</v>
      </c>
      <c r="B53" s="1">
        <v>45447</v>
      </c>
      <c r="C53">
        <v>23</v>
      </c>
      <c r="D53" t="s">
        <v>148</v>
      </c>
      <c r="E53">
        <v>4.71</v>
      </c>
      <c r="F53">
        <v>905</v>
      </c>
      <c r="G53" t="s">
        <v>41</v>
      </c>
      <c r="H53">
        <v>45.432881389999999</v>
      </c>
      <c r="I53">
        <v>-73.938868040000003</v>
      </c>
      <c r="J53">
        <v>39.020000000000003</v>
      </c>
      <c r="K53">
        <v>0</v>
      </c>
      <c r="L53">
        <v>0</v>
      </c>
      <c r="N53">
        <v>1</v>
      </c>
      <c r="O53" t="s">
        <v>149</v>
      </c>
      <c r="P53">
        <v>6</v>
      </c>
      <c r="Q53">
        <v>3</v>
      </c>
      <c r="R53">
        <v>214</v>
      </c>
      <c r="S53">
        <v>214</v>
      </c>
      <c r="T53">
        <v>0.356381889281564</v>
      </c>
      <c r="U53">
        <v>69582.888885986802</v>
      </c>
      <c r="V53">
        <v>0.27436026353420501</v>
      </c>
      <c r="W53">
        <v>0.73836497848655902</v>
      </c>
      <c r="X53">
        <v>26</v>
      </c>
      <c r="Y53">
        <v>0.71299055729428995</v>
      </c>
      <c r="Z53">
        <v>4.4501861561129903E-2</v>
      </c>
      <c r="AA53">
        <v>0.123051773843563</v>
      </c>
      <c r="AB53">
        <v>1.6314088897893899E-2</v>
      </c>
      <c r="AC53">
        <v>-2.4625528601178601E-2</v>
      </c>
      <c r="AD53">
        <v>3.1162614499784199E-3</v>
      </c>
      <c r="AE53">
        <v>6817.6076435366904</v>
      </c>
      <c r="AF53">
        <v>103877965.405184</v>
      </c>
      <c r="AG53">
        <v>12335.6127412035</v>
      </c>
      <c r="AH53">
        <v>65590071.021244697</v>
      </c>
    </row>
    <row r="54" spans="1:34" x14ac:dyDescent="0.25">
      <c r="A54">
        <v>1570</v>
      </c>
      <c r="B54" s="1">
        <v>45447</v>
      </c>
      <c r="C54">
        <v>23</v>
      </c>
      <c r="D54" t="s">
        <v>150</v>
      </c>
      <c r="E54">
        <v>4.71</v>
      </c>
      <c r="F54">
        <v>905</v>
      </c>
      <c r="G54" t="s">
        <v>44</v>
      </c>
      <c r="H54">
        <v>45.432908560000001</v>
      </c>
      <c r="I54">
        <v>-73.938787390000002</v>
      </c>
      <c r="J54">
        <v>39.018999999999998</v>
      </c>
      <c r="K54">
        <v>0</v>
      </c>
      <c r="L54">
        <v>0</v>
      </c>
      <c r="N54">
        <v>1</v>
      </c>
      <c r="O54" t="s">
        <v>151</v>
      </c>
      <c r="P54">
        <v>6</v>
      </c>
      <c r="Q54">
        <v>4</v>
      </c>
      <c r="R54">
        <v>307</v>
      </c>
      <c r="S54">
        <v>307</v>
      </c>
      <c r="T54">
        <v>0.370244961673104</v>
      </c>
      <c r="U54">
        <v>71258.467933398599</v>
      </c>
      <c r="V54">
        <v>0.29095004897159599</v>
      </c>
      <c r="W54">
        <v>0.82148919093169803</v>
      </c>
      <c r="X54">
        <v>36</v>
      </c>
      <c r="Y54">
        <v>0.74087544716067499</v>
      </c>
      <c r="Z54">
        <v>5.0153927750240503E-2</v>
      </c>
      <c r="AA54">
        <v>0.13456239600856401</v>
      </c>
      <c r="AB54">
        <v>1.94797854446674E-2</v>
      </c>
      <c r="AC54">
        <v>-1.9898094781295901E-2</v>
      </c>
      <c r="AD54">
        <v>3.1241234450311698E-3</v>
      </c>
      <c r="AE54">
        <v>6980.5315181194901</v>
      </c>
      <c r="AF54">
        <v>109521884.594552</v>
      </c>
      <c r="AG54">
        <v>11801.948984369301</v>
      </c>
      <c r="AH54">
        <v>67527284.480204001</v>
      </c>
    </row>
    <row r="55" spans="1:34" x14ac:dyDescent="0.25">
      <c r="A55">
        <v>1571</v>
      </c>
      <c r="B55" s="1">
        <v>45447</v>
      </c>
      <c r="C55">
        <v>23</v>
      </c>
      <c r="D55" t="s">
        <v>152</v>
      </c>
      <c r="E55">
        <v>4.71</v>
      </c>
      <c r="F55">
        <v>905</v>
      </c>
      <c r="G55" t="s">
        <v>47</v>
      </c>
      <c r="H55">
        <v>45.43293551</v>
      </c>
      <c r="I55">
        <v>-73.938706580000002</v>
      </c>
      <c r="J55">
        <v>39.018999999999998</v>
      </c>
      <c r="K55">
        <v>0</v>
      </c>
      <c r="L55">
        <v>0</v>
      </c>
      <c r="N55">
        <v>1</v>
      </c>
      <c r="O55" t="s">
        <v>153</v>
      </c>
      <c r="P55">
        <v>6</v>
      </c>
      <c r="Q55">
        <v>5</v>
      </c>
      <c r="R55">
        <v>314</v>
      </c>
      <c r="S55">
        <v>314</v>
      </c>
      <c r="T55">
        <v>0.31336601799206998</v>
      </c>
      <c r="U55">
        <v>66803.604716913396</v>
      </c>
      <c r="V55">
        <v>0.205196178934516</v>
      </c>
      <c r="W55">
        <v>0.952656648859181</v>
      </c>
      <c r="X55">
        <v>55</v>
      </c>
      <c r="Y55">
        <v>0.62663061456334301</v>
      </c>
      <c r="Z55">
        <v>3.6635374870152601E-2</v>
      </c>
      <c r="AA55">
        <v>9.8000212640140597E-2</v>
      </c>
      <c r="AB55">
        <v>1.4628052372626E-2</v>
      </c>
      <c r="AC55">
        <v>-2.4709519594220599E-2</v>
      </c>
      <c r="AD55">
        <v>3.0845079899135602E-3</v>
      </c>
      <c r="AE55">
        <v>5304.5633263902901</v>
      </c>
      <c r="AF55">
        <v>84273771.825123906</v>
      </c>
      <c r="AG55">
        <v>13120.039438616801</v>
      </c>
      <c r="AH55">
        <v>61544483.692789003</v>
      </c>
    </row>
    <row r="56" spans="1:34" x14ac:dyDescent="0.25">
      <c r="A56">
        <v>1572</v>
      </c>
      <c r="B56" s="1">
        <v>45447</v>
      </c>
      <c r="C56">
        <v>23</v>
      </c>
      <c r="D56" t="s">
        <v>154</v>
      </c>
      <c r="E56">
        <v>4.71</v>
      </c>
      <c r="F56">
        <v>905</v>
      </c>
      <c r="G56" t="s">
        <v>49</v>
      </c>
      <c r="H56">
        <v>45.43296222</v>
      </c>
      <c r="I56">
        <v>-73.938625529999996</v>
      </c>
      <c r="J56">
        <v>39.018999999999998</v>
      </c>
      <c r="K56">
        <v>0</v>
      </c>
      <c r="L56">
        <v>0</v>
      </c>
      <c r="N56">
        <v>1</v>
      </c>
      <c r="O56" t="s">
        <v>155</v>
      </c>
      <c r="P56">
        <v>6</v>
      </c>
      <c r="Q56">
        <v>6</v>
      </c>
      <c r="R56">
        <v>407</v>
      </c>
      <c r="S56">
        <v>407</v>
      </c>
      <c r="T56">
        <v>0.34130150352363198</v>
      </c>
      <c r="U56">
        <v>68794.851702883403</v>
      </c>
      <c r="V56">
        <v>0.24794321980777301</v>
      </c>
      <c r="W56">
        <v>0.65861392913064598</v>
      </c>
      <c r="X56">
        <v>18</v>
      </c>
      <c r="Y56">
        <v>0.68263177829751098</v>
      </c>
      <c r="Z56">
        <v>4.3809088524510403E-2</v>
      </c>
      <c r="AA56">
        <v>0.11494770894574501</v>
      </c>
      <c r="AB56">
        <v>1.6022838024169699E-2</v>
      </c>
      <c r="AC56">
        <v>-2.32210299431822E-2</v>
      </c>
      <c r="AD56">
        <v>3.0612620334062499E-3</v>
      </c>
      <c r="AE56">
        <v>6927.0545732344299</v>
      </c>
      <c r="AF56">
        <v>124479529.060828</v>
      </c>
      <c r="AG56">
        <v>12326.101775610499</v>
      </c>
      <c r="AH56">
        <v>55743475.283239201</v>
      </c>
    </row>
    <row r="57" spans="1:34" x14ac:dyDescent="0.25">
      <c r="A57">
        <v>1573</v>
      </c>
      <c r="B57" s="1">
        <v>45447</v>
      </c>
      <c r="C57">
        <v>23</v>
      </c>
      <c r="D57" t="s">
        <v>156</v>
      </c>
      <c r="E57">
        <v>4.71</v>
      </c>
      <c r="F57">
        <v>905</v>
      </c>
      <c r="G57" t="s">
        <v>52</v>
      </c>
      <c r="H57">
        <v>45.4329891</v>
      </c>
      <c r="I57">
        <v>-73.938544620000002</v>
      </c>
      <c r="J57">
        <v>39.018999999999998</v>
      </c>
      <c r="K57">
        <v>0</v>
      </c>
      <c r="L57">
        <v>0</v>
      </c>
      <c r="N57">
        <v>1</v>
      </c>
      <c r="O57" t="s">
        <v>157</v>
      </c>
      <c r="P57">
        <v>6</v>
      </c>
      <c r="Q57">
        <v>7</v>
      </c>
      <c r="R57">
        <v>414</v>
      </c>
      <c r="S57">
        <v>414</v>
      </c>
      <c r="T57">
        <v>0.25909845866981701</v>
      </c>
      <c r="U57">
        <v>64675.351337586297</v>
      </c>
      <c r="V57">
        <v>0.102135828506879</v>
      </c>
      <c r="W57">
        <v>0.62003447413781798</v>
      </c>
      <c r="X57">
        <v>31</v>
      </c>
      <c r="Y57">
        <v>0.51860442583392297</v>
      </c>
      <c r="Z57">
        <v>2.2308235671762901E-2</v>
      </c>
      <c r="AA57">
        <v>6.9506899708932299E-2</v>
      </c>
      <c r="AB57">
        <v>1.06257621749379E-2</v>
      </c>
      <c r="AC57">
        <v>-3.0363878227033299E-2</v>
      </c>
      <c r="AD57">
        <v>2.2430495557809699E-3</v>
      </c>
      <c r="AE57">
        <v>3125.8108900482498</v>
      </c>
      <c r="AF57">
        <v>45222226.435922302</v>
      </c>
      <c r="AG57">
        <v>15156.7000157722</v>
      </c>
      <c r="AH57">
        <v>44192903.936782598</v>
      </c>
    </row>
    <row r="58" spans="1:34" x14ac:dyDescent="0.25">
      <c r="A58">
        <v>77777</v>
      </c>
      <c r="B58" s="1">
        <v>45771</v>
      </c>
      <c r="C58">
        <v>23</v>
      </c>
      <c r="T58">
        <v>0.116508860845836</v>
      </c>
      <c r="V58">
        <v>0</v>
      </c>
      <c r="W58">
        <v>0.96498262496658604</v>
      </c>
      <c r="X58">
        <v>1</v>
      </c>
      <c r="Y58">
        <v>0.236111903923789</v>
      </c>
      <c r="Z58">
        <v>2.01445863914913E-2</v>
      </c>
      <c r="AA58">
        <v>-0.122519228120269</v>
      </c>
      <c r="AB58">
        <v>3.6878800525301701E-2</v>
      </c>
      <c r="AC58">
        <v>-6.1402464520613202E-2</v>
      </c>
      <c r="AD58">
        <v>9.2505488984833805E-3</v>
      </c>
      <c r="AE58">
        <v>-376.277202760085</v>
      </c>
      <c r="AF58">
        <v>3016697.5395333702</v>
      </c>
      <c r="AG58">
        <v>15916.95761664</v>
      </c>
      <c r="AH58">
        <v>56355948.304434299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6DC3-5098-473B-BBA3-0A34A5D94A58}">
  <dimension ref="A1:AG58"/>
  <sheetViews>
    <sheetView topLeftCell="A7" workbookViewId="0">
      <selection activeCell="C2" sqref="C2:C58"/>
    </sheetView>
  </sheetViews>
  <sheetFormatPr defaultRowHeight="15" x14ac:dyDescent="0.25"/>
  <cols>
    <col min="3" max="3" width="10.42578125" bestFit="1" customWidth="1"/>
  </cols>
  <sheetData>
    <row r="1" spans="1:33" x14ac:dyDescent="0.25">
      <c r="A1" t="s">
        <v>0</v>
      </c>
      <c r="B1" t="s">
        <v>1</v>
      </c>
      <c r="C1" t="s">
        <v>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173</v>
      </c>
      <c r="Q1" t="s">
        <v>174</v>
      </c>
      <c r="R1" t="s">
        <v>175</v>
      </c>
      <c r="S1" t="s">
        <v>176</v>
      </c>
      <c r="T1" t="s">
        <v>191</v>
      </c>
      <c r="U1" t="s">
        <v>158</v>
      </c>
      <c r="V1" t="s">
        <v>192</v>
      </c>
      <c r="W1" t="s">
        <v>193</v>
      </c>
      <c r="X1" t="s">
        <v>194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t="s">
        <v>201</v>
      </c>
      <c r="AF1" t="s">
        <v>202</v>
      </c>
      <c r="AG1" t="s">
        <v>203</v>
      </c>
    </row>
    <row r="2" spans="1:33" x14ac:dyDescent="0.25">
      <c r="A2">
        <v>1517</v>
      </c>
      <c r="B2" s="1">
        <v>45447</v>
      </c>
      <c r="C2">
        <v>27</v>
      </c>
      <c r="D2" t="s">
        <v>31</v>
      </c>
      <c r="E2">
        <v>4.71</v>
      </c>
      <c r="F2">
        <v>905</v>
      </c>
      <c r="G2" t="s">
        <v>32</v>
      </c>
      <c r="H2">
        <v>45.432950300000002</v>
      </c>
      <c r="I2">
        <v>-73.939211110000002</v>
      </c>
      <c r="J2">
        <v>39.021000000000001</v>
      </c>
      <c r="K2">
        <v>0</v>
      </c>
      <c r="L2">
        <v>0</v>
      </c>
      <c r="N2">
        <v>1</v>
      </c>
      <c r="O2" t="s">
        <v>33</v>
      </c>
      <c r="P2">
        <v>0</v>
      </c>
      <c r="Q2">
        <v>0</v>
      </c>
      <c r="R2">
        <v>101</v>
      </c>
      <c r="S2">
        <v>101</v>
      </c>
      <c r="T2">
        <v>0.26004326704513903</v>
      </c>
      <c r="U2">
        <v>0.52006399974303397</v>
      </c>
      <c r="V2">
        <v>5.7427869858809003E-2</v>
      </c>
      <c r="W2">
        <v>0.99113157894736803</v>
      </c>
      <c r="X2">
        <v>117</v>
      </c>
      <c r="Y2">
        <v>1.1306362247662899E-2</v>
      </c>
      <c r="Z2">
        <v>7.21016304539744E-2</v>
      </c>
      <c r="AA2">
        <v>6.7997590057647696E-3</v>
      </c>
      <c r="AB2">
        <v>-2.7311641620010998E-2</v>
      </c>
      <c r="AC2">
        <v>1.07875130897587E-3</v>
      </c>
      <c r="AD2">
        <v>2983.2447206875399</v>
      </c>
      <c r="AE2">
        <v>8511121.32356802</v>
      </c>
      <c r="AF2">
        <v>16226.6287461951</v>
      </c>
      <c r="AG2">
        <v>26487622.559836201</v>
      </c>
    </row>
    <row r="3" spans="1:33" x14ac:dyDescent="0.25">
      <c r="A3">
        <v>1519</v>
      </c>
      <c r="B3" s="1">
        <v>45447</v>
      </c>
      <c r="C3">
        <v>27</v>
      </c>
      <c r="D3" t="s">
        <v>34</v>
      </c>
      <c r="E3">
        <v>4.71</v>
      </c>
      <c r="F3">
        <v>905</v>
      </c>
      <c r="G3" t="s">
        <v>35</v>
      </c>
      <c r="H3">
        <v>45.432976490000001</v>
      </c>
      <c r="I3">
        <v>-73.939129780000002</v>
      </c>
      <c r="J3">
        <v>39.021000000000001</v>
      </c>
      <c r="K3">
        <v>0</v>
      </c>
      <c r="L3">
        <v>0</v>
      </c>
      <c r="N3">
        <v>1</v>
      </c>
      <c r="O3" t="s">
        <v>36</v>
      </c>
      <c r="P3">
        <v>0</v>
      </c>
      <c r="Q3">
        <v>1</v>
      </c>
      <c r="R3">
        <v>108</v>
      </c>
      <c r="S3">
        <v>108</v>
      </c>
      <c r="T3">
        <v>0.26959665980202902</v>
      </c>
      <c r="U3">
        <v>0.53916950151293397</v>
      </c>
      <c r="V3">
        <v>8.1159224564461993E-2</v>
      </c>
      <c r="W3">
        <v>0.99767111391805496</v>
      </c>
      <c r="X3">
        <v>101</v>
      </c>
      <c r="Y3">
        <v>1.4269200981393899E-2</v>
      </c>
      <c r="Z3">
        <v>7.4885456348403698E-2</v>
      </c>
      <c r="AA3">
        <v>7.4845230424907001E-3</v>
      </c>
      <c r="AB3">
        <v>-2.7996844230996298E-2</v>
      </c>
      <c r="AC3">
        <v>1.2874829526617699E-3</v>
      </c>
      <c r="AD3">
        <v>3270.6509373733902</v>
      </c>
      <c r="AE3">
        <v>11374133.0382085</v>
      </c>
      <c r="AF3">
        <v>15744.0707007908</v>
      </c>
      <c r="AG3">
        <v>32050801.865775</v>
      </c>
    </row>
    <row r="4" spans="1:33" x14ac:dyDescent="0.25">
      <c r="A4">
        <v>1520</v>
      </c>
      <c r="B4" s="1">
        <v>45447</v>
      </c>
      <c r="C4">
        <v>27</v>
      </c>
      <c r="D4" t="s">
        <v>37</v>
      </c>
      <c r="E4">
        <v>4.71</v>
      </c>
      <c r="F4">
        <v>905</v>
      </c>
      <c r="G4" t="s">
        <v>38</v>
      </c>
      <c r="H4">
        <v>45.433003650000003</v>
      </c>
      <c r="I4">
        <v>-73.939049060000002</v>
      </c>
      <c r="J4">
        <v>39.021000000000001</v>
      </c>
      <c r="K4">
        <v>0</v>
      </c>
      <c r="L4">
        <v>0</v>
      </c>
      <c r="N4">
        <v>1</v>
      </c>
      <c r="O4" t="s">
        <v>39</v>
      </c>
      <c r="P4">
        <v>0</v>
      </c>
      <c r="Q4">
        <v>2</v>
      </c>
      <c r="R4">
        <v>201</v>
      </c>
      <c r="S4">
        <v>201</v>
      </c>
      <c r="T4">
        <v>0.28704147624417498</v>
      </c>
      <c r="U4">
        <v>0.57405758493366299</v>
      </c>
      <c r="V4">
        <v>0.111434411889284</v>
      </c>
      <c r="W4">
        <v>0.99419744477046401</v>
      </c>
      <c r="X4">
        <v>82</v>
      </c>
      <c r="Y4">
        <v>2.0401855060694099E-2</v>
      </c>
      <c r="Z4">
        <v>9.5107979702401702E-2</v>
      </c>
      <c r="AA4">
        <v>1.0857386581233201E-2</v>
      </c>
      <c r="AB4">
        <v>-2.13824821217392E-2</v>
      </c>
      <c r="AC4">
        <v>1.3538496781084701E-3</v>
      </c>
      <c r="AD4">
        <v>3322.5315924200299</v>
      </c>
      <c r="AE4">
        <v>17402777.2467</v>
      </c>
      <c r="AF4">
        <v>15255.093509131601</v>
      </c>
      <c r="AG4">
        <v>38194496.238017596</v>
      </c>
    </row>
    <row r="5" spans="1:33" x14ac:dyDescent="0.25">
      <c r="A5">
        <v>1521</v>
      </c>
      <c r="B5" s="1">
        <v>45447</v>
      </c>
      <c r="C5">
        <v>27</v>
      </c>
      <c r="D5" t="s">
        <v>40</v>
      </c>
      <c r="E5">
        <v>4.71</v>
      </c>
      <c r="F5">
        <v>905</v>
      </c>
      <c r="G5" t="s">
        <v>41</v>
      </c>
      <c r="H5">
        <v>45.43303015</v>
      </c>
      <c r="I5">
        <v>-73.938967959999999</v>
      </c>
      <c r="J5">
        <v>39.021000000000001</v>
      </c>
      <c r="K5">
        <v>0</v>
      </c>
      <c r="L5">
        <v>0</v>
      </c>
      <c r="N5">
        <v>1</v>
      </c>
      <c r="O5" t="s">
        <v>42</v>
      </c>
      <c r="P5">
        <v>0</v>
      </c>
      <c r="Q5">
        <v>3</v>
      </c>
      <c r="R5">
        <v>208</v>
      </c>
      <c r="S5">
        <v>208</v>
      </c>
      <c r="T5">
        <v>0.38638784856443398</v>
      </c>
      <c r="U5">
        <v>0.77274198397739702</v>
      </c>
      <c r="V5">
        <v>0.30503855031184002</v>
      </c>
      <c r="W5">
        <v>0.93598684210526295</v>
      </c>
      <c r="X5">
        <v>50</v>
      </c>
      <c r="Y5">
        <v>5.0344821712106198E-2</v>
      </c>
      <c r="Z5">
        <v>0.15437408449041401</v>
      </c>
      <c r="AA5">
        <v>2.01641884830169E-2</v>
      </c>
      <c r="AB5">
        <v>-8.9347647002025205E-3</v>
      </c>
      <c r="AC5">
        <v>3.0304593385747898E-3</v>
      </c>
      <c r="AD5">
        <v>7123.9573429749998</v>
      </c>
      <c r="AE5">
        <v>84702065.936348006</v>
      </c>
      <c r="AF5">
        <v>12318.4841832773</v>
      </c>
      <c r="AG5">
        <v>73961070.587773502</v>
      </c>
    </row>
    <row r="6" spans="1:33" x14ac:dyDescent="0.25">
      <c r="A6">
        <v>1522</v>
      </c>
      <c r="B6" s="1">
        <v>45447</v>
      </c>
      <c r="C6">
        <v>27</v>
      </c>
      <c r="D6" t="s">
        <v>43</v>
      </c>
      <c r="E6">
        <v>4.71</v>
      </c>
      <c r="F6">
        <v>905</v>
      </c>
      <c r="G6" t="s">
        <v>44</v>
      </c>
      <c r="H6">
        <v>45.433057239999997</v>
      </c>
      <c r="I6">
        <v>-73.938887170000001</v>
      </c>
      <c r="J6">
        <v>39.021000000000001</v>
      </c>
      <c r="K6">
        <v>0</v>
      </c>
      <c r="L6">
        <v>0</v>
      </c>
      <c r="N6">
        <v>1</v>
      </c>
      <c r="O6" t="s">
        <v>45</v>
      </c>
      <c r="P6">
        <v>0</v>
      </c>
      <c r="Q6">
        <v>4</v>
      </c>
      <c r="R6">
        <v>301</v>
      </c>
      <c r="S6">
        <v>301</v>
      </c>
      <c r="T6">
        <v>0.30191149826545599</v>
      </c>
      <c r="U6">
        <v>0.60379652093124803</v>
      </c>
      <c r="V6">
        <v>0.17034167781856599</v>
      </c>
      <c r="W6">
        <v>0.77190789473684196</v>
      </c>
      <c r="X6">
        <v>40</v>
      </c>
      <c r="Y6">
        <v>3.65292440780315E-2</v>
      </c>
      <c r="Z6">
        <v>9.6934756761103399E-2</v>
      </c>
      <c r="AA6">
        <v>1.53257645573478E-2</v>
      </c>
      <c r="AB6">
        <v>-2.38842633249703E-2</v>
      </c>
      <c r="AC6">
        <v>2.27723966291917E-3</v>
      </c>
      <c r="AD6">
        <v>4510.0933751580696</v>
      </c>
      <c r="AE6">
        <v>50554586.329895101</v>
      </c>
      <c r="AF6">
        <v>14603.1670925254</v>
      </c>
      <c r="AG6">
        <v>52171954.480612099</v>
      </c>
    </row>
    <row r="7" spans="1:33" x14ac:dyDescent="0.25">
      <c r="A7">
        <v>1523</v>
      </c>
      <c r="B7" s="1">
        <v>45447</v>
      </c>
      <c r="C7">
        <v>27</v>
      </c>
      <c r="D7" t="s">
        <v>46</v>
      </c>
      <c r="E7">
        <v>4.71</v>
      </c>
      <c r="F7">
        <v>905</v>
      </c>
      <c r="G7" t="s">
        <v>47</v>
      </c>
      <c r="H7">
        <v>45.433084340000001</v>
      </c>
      <c r="I7">
        <v>-73.938806409999998</v>
      </c>
      <c r="J7">
        <v>39.021000000000001</v>
      </c>
      <c r="K7">
        <v>0</v>
      </c>
      <c r="L7">
        <v>0</v>
      </c>
      <c r="N7">
        <v>1</v>
      </c>
      <c r="O7">
        <v>5009381040517900</v>
      </c>
      <c r="P7">
        <v>0</v>
      </c>
      <c r="Q7">
        <v>5</v>
      </c>
      <c r="R7">
        <v>308</v>
      </c>
      <c r="S7">
        <v>308</v>
      </c>
      <c r="T7">
        <v>0.25113887367431997</v>
      </c>
      <c r="U7">
        <v>0.50225606075365903</v>
      </c>
      <c r="V7">
        <v>8.3191631727245002E-2</v>
      </c>
      <c r="W7">
        <v>0.77507302823758495</v>
      </c>
      <c r="X7">
        <v>60</v>
      </c>
      <c r="Y7">
        <v>1.7444466415997999E-2</v>
      </c>
      <c r="Z7">
        <v>6.35929252299339E-2</v>
      </c>
      <c r="AA7">
        <v>8.1171048141479192E-3</v>
      </c>
      <c r="AB7">
        <v>-2.5930478427382098E-2</v>
      </c>
      <c r="AC7">
        <v>1.5450028484893801E-3</v>
      </c>
      <c r="AD7">
        <v>3346.5362520794802</v>
      </c>
      <c r="AE7">
        <v>25446597.170558602</v>
      </c>
      <c r="AF7">
        <v>16273.441130012199</v>
      </c>
      <c r="AG7">
        <v>35309690.913815297</v>
      </c>
    </row>
    <row r="8" spans="1:33" x14ac:dyDescent="0.25">
      <c r="A8">
        <v>1524</v>
      </c>
      <c r="B8" s="1">
        <v>45447</v>
      </c>
      <c r="C8">
        <v>27</v>
      </c>
      <c r="D8" t="s">
        <v>48</v>
      </c>
      <c r="E8">
        <v>4.71</v>
      </c>
      <c r="F8">
        <v>905</v>
      </c>
      <c r="G8" t="s">
        <v>49</v>
      </c>
      <c r="H8">
        <v>45.433110970000001</v>
      </c>
      <c r="I8">
        <v>-73.938725320000003</v>
      </c>
      <c r="J8">
        <v>39.021000000000001</v>
      </c>
      <c r="K8">
        <v>0</v>
      </c>
      <c r="L8">
        <v>0</v>
      </c>
      <c r="N8">
        <v>1</v>
      </c>
      <c r="O8" t="s">
        <v>50</v>
      </c>
      <c r="P8">
        <v>0</v>
      </c>
      <c r="Q8">
        <v>6</v>
      </c>
      <c r="R8">
        <v>401</v>
      </c>
      <c r="S8">
        <v>401</v>
      </c>
      <c r="T8">
        <v>0.31409601129131698</v>
      </c>
      <c r="U8">
        <v>0.62816441205711604</v>
      </c>
      <c r="V8">
        <v>0.184962830641547</v>
      </c>
      <c r="W8">
        <v>0.89105119804207999</v>
      </c>
      <c r="X8">
        <v>50</v>
      </c>
      <c r="Y8">
        <v>3.2292139413242299E-2</v>
      </c>
      <c r="Z8">
        <v>9.4422507186634405E-2</v>
      </c>
      <c r="AA8">
        <v>1.32098098593794E-2</v>
      </c>
      <c r="AB8">
        <v>-2.46278478352163E-2</v>
      </c>
      <c r="AC8">
        <v>2.1526062694557698E-3</v>
      </c>
      <c r="AD8">
        <v>5863.2515361902497</v>
      </c>
      <c r="AE8">
        <v>68231096.164754406</v>
      </c>
      <c r="AF8">
        <v>14678.1606249918</v>
      </c>
      <c r="AG8">
        <v>55706861.6527244</v>
      </c>
    </row>
    <row r="9" spans="1:33" x14ac:dyDescent="0.25">
      <c r="A9">
        <v>1525</v>
      </c>
      <c r="B9" s="1">
        <v>45447</v>
      </c>
      <c r="C9">
        <v>27</v>
      </c>
      <c r="D9" t="s">
        <v>51</v>
      </c>
      <c r="E9">
        <v>4.71</v>
      </c>
      <c r="F9">
        <v>905</v>
      </c>
      <c r="G9" t="s">
        <v>52</v>
      </c>
      <c r="H9">
        <v>45.433137909999999</v>
      </c>
      <c r="I9">
        <v>-73.93864447</v>
      </c>
      <c r="J9">
        <v>39.021000000000001</v>
      </c>
      <c r="K9">
        <v>0</v>
      </c>
      <c r="L9">
        <v>0</v>
      </c>
      <c r="N9">
        <v>1</v>
      </c>
      <c r="O9" t="s">
        <v>53</v>
      </c>
      <c r="P9">
        <v>0</v>
      </c>
      <c r="Q9">
        <v>6</v>
      </c>
      <c r="R9">
        <v>408</v>
      </c>
      <c r="S9">
        <v>408</v>
      </c>
      <c r="T9">
        <v>0.32474488768626197</v>
      </c>
      <c r="U9">
        <v>0.64946126861189402</v>
      </c>
      <c r="V9">
        <v>0.19248264304524801</v>
      </c>
      <c r="W9">
        <v>0.95817105263157898</v>
      </c>
      <c r="X9">
        <v>69</v>
      </c>
      <c r="Y9">
        <v>3.0591038159592399E-2</v>
      </c>
      <c r="Z9">
        <v>0.104578150500341</v>
      </c>
      <c r="AA9">
        <v>1.1908594921939001E-2</v>
      </c>
      <c r="AB9">
        <v>-2.0609205128118799E-2</v>
      </c>
      <c r="AC9">
        <v>2.21644393174601E-3</v>
      </c>
      <c r="AD9">
        <v>5647.5982824134599</v>
      </c>
      <c r="AE9">
        <v>67463028.105302602</v>
      </c>
      <c r="AF9">
        <v>14575.094893319199</v>
      </c>
      <c r="AG9">
        <v>55247077.199447803</v>
      </c>
    </row>
    <row r="10" spans="1:33" x14ac:dyDescent="0.25">
      <c r="A10">
        <v>1526</v>
      </c>
      <c r="B10" s="1">
        <v>45447</v>
      </c>
      <c r="C10">
        <v>27</v>
      </c>
      <c r="D10" t="s">
        <v>54</v>
      </c>
      <c r="E10">
        <v>4.71</v>
      </c>
      <c r="F10">
        <v>905</v>
      </c>
      <c r="G10" t="s">
        <v>55</v>
      </c>
      <c r="H10">
        <v>45.433112700000002</v>
      </c>
      <c r="I10">
        <v>-73.938627629999999</v>
      </c>
      <c r="J10">
        <v>39.020000000000003</v>
      </c>
      <c r="K10">
        <v>0</v>
      </c>
      <c r="L10">
        <v>0</v>
      </c>
      <c r="N10">
        <v>1</v>
      </c>
      <c r="O10" t="s">
        <v>56</v>
      </c>
      <c r="P10">
        <v>1</v>
      </c>
      <c r="Q10">
        <v>7</v>
      </c>
      <c r="R10">
        <v>409</v>
      </c>
      <c r="S10">
        <v>409</v>
      </c>
      <c r="T10">
        <v>0.25144236839654599</v>
      </c>
      <c r="U10">
        <v>0.502863272592458</v>
      </c>
      <c r="V10">
        <v>7.0477523434191003E-2</v>
      </c>
      <c r="W10">
        <v>0.63076801621031298</v>
      </c>
      <c r="X10">
        <v>41</v>
      </c>
      <c r="Y10">
        <v>1.47948755621433E-2</v>
      </c>
      <c r="Z10">
        <v>6.4235495760199296E-2</v>
      </c>
      <c r="AA10">
        <v>7.7249531172485899E-3</v>
      </c>
      <c r="AB10">
        <v>-2.631172794996E-2</v>
      </c>
      <c r="AC10">
        <v>1.3218714061580599E-3</v>
      </c>
      <c r="AD10">
        <v>2897.2596391717798</v>
      </c>
      <c r="AE10">
        <v>18492733.043113299</v>
      </c>
      <c r="AF10">
        <v>16792.924742867701</v>
      </c>
      <c r="AG10">
        <v>33104630.164175902</v>
      </c>
    </row>
    <row r="11" spans="1:33" x14ac:dyDescent="0.25">
      <c r="A11">
        <v>1527</v>
      </c>
      <c r="B11" s="1">
        <v>45447</v>
      </c>
      <c r="C11">
        <v>27</v>
      </c>
      <c r="D11" t="s">
        <v>57</v>
      </c>
      <c r="E11">
        <v>4.71</v>
      </c>
      <c r="F11">
        <v>905</v>
      </c>
      <c r="G11" t="s">
        <v>58</v>
      </c>
      <c r="H11">
        <v>45.433086109999998</v>
      </c>
      <c r="I11">
        <v>-73.938708719999994</v>
      </c>
      <c r="J11">
        <v>39.020000000000003</v>
      </c>
      <c r="K11">
        <v>0</v>
      </c>
      <c r="L11">
        <v>0</v>
      </c>
      <c r="N11">
        <v>1</v>
      </c>
      <c r="O11" t="s">
        <v>59</v>
      </c>
      <c r="P11">
        <v>1</v>
      </c>
      <c r="Q11">
        <v>6</v>
      </c>
      <c r="R11">
        <v>402</v>
      </c>
      <c r="S11">
        <v>402</v>
      </c>
      <c r="T11">
        <v>0.37131145477384098</v>
      </c>
      <c r="U11">
        <v>0.74259043724687401</v>
      </c>
      <c r="V11">
        <v>0.27675704875967599</v>
      </c>
      <c r="W11">
        <v>0.71535900843409905</v>
      </c>
      <c r="X11">
        <v>27</v>
      </c>
      <c r="Y11">
        <v>5.0049486962060498E-2</v>
      </c>
      <c r="Z11">
        <v>0.133000309995736</v>
      </c>
      <c r="AA11">
        <v>1.8331276826345201E-2</v>
      </c>
      <c r="AB11">
        <v>-1.7392429242266701E-2</v>
      </c>
      <c r="AC11">
        <v>2.9069043066598898E-3</v>
      </c>
      <c r="AD11">
        <v>7811.0786367180099</v>
      </c>
      <c r="AE11">
        <v>106054219.194289</v>
      </c>
      <c r="AF11">
        <v>12823.915854668099</v>
      </c>
      <c r="AG11">
        <v>71946655.748489395</v>
      </c>
    </row>
    <row r="12" spans="1:33" x14ac:dyDescent="0.25">
      <c r="A12">
        <v>1528</v>
      </c>
      <c r="B12" s="1">
        <v>45447</v>
      </c>
      <c r="C12">
        <v>27</v>
      </c>
      <c r="D12" t="s">
        <v>60</v>
      </c>
      <c r="E12">
        <v>4.71</v>
      </c>
      <c r="F12">
        <v>905</v>
      </c>
      <c r="G12" t="s">
        <v>61</v>
      </c>
      <c r="H12">
        <v>45.433059489999998</v>
      </c>
      <c r="I12">
        <v>-73.938789830000005</v>
      </c>
      <c r="J12">
        <v>39.021000000000001</v>
      </c>
      <c r="K12">
        <v>0</v>
      </c>
      <c r="L12">
        <v>0</v>
      </c>
      <c r="N12">
        <v>1</v>
      </c>
      <c r="O12" t="s">
        <v>62</v>
      </c>
      <c r="P12">
        <v>1</v>
      </c>
      <c r="Q12">
        <v>5</v>
      </c>
      <c r="R12">
        <v>309</v>
      </c>
      <c r="S12">
        <v>309</v>
      </c>
      <c r="T12">
        <v>0.34879193433342398</v>
      </c>
      <c r="U12">
        <v>0.69755287156706003</v>
      </c>
      <c r="V12">
        <v>0.252403226400501</v>
      </c>
      <c r="W12">
        <v>0.94564402163186401</v>
      </c>
      <c r="X12">
        <v>59</v>
      </c>
      <c r="Y12">
        <v>3.7677601983792601E-2</v>
      </c>
      <c r="Z12">
        <v>0.114540448281489</v>
      </c>
      <c r="AA12">
        <v>1.3629669002293201E-2</v>
      </c>
      <c r="AB12">
        <v>-1.8159694242951E-2</v>
      </c>
      <c r="AC12">
        <v>2.6813688296819598E-3</v>
      </c>
      <c r="AD12">
        <v>7374.9064552564096</v>
      </c>
      <c r="AE12">
        <v>98690022.0474969</v>
      </c>
      <c r="AF12">
        <v>13400.125605613301</v>
      </c>
      <c r="AG12">
        <v>66571499.317270197</v>
      </c>
    </row>
    <row r="13" spans="1:33" x14ac:dyDescent="0.25">
      <c r="A13">
        <v>1529</v>
      </c>
      <c r="B13" s="1">
        <v>45447</v>
      </c>
      <c r="C13">
        <v>27</v>
      </c>
      <c r="D13" t="s">
        <v>63</v>
      </c>
      <c r="E13">
        <v>4.71</v>
      </c>
      <c r="F13">
        <v>905</v>
      </c>
      <c r="G13" t="s">
        <v>64</v>
      </c>
      <c r="H13">
        <v>45.433032410000003</v>
      </c>
      <c r="I13">
        <v>-73.938870609999995</v>
      </c>
      <c r="J13">
        <v>39.021000000000001</v>
      </c>
      <c r="K13">
        <v>0</v>
      </c>
      <c r="L13">
        <v>0</v>
      </c>
      <c r="N13">
        <v>1</v>
      </c>
      <c r="O13" t="s">
        <v>65</v>
      </c>
      <c r="P13">
        <v>1</v>
      </c>
      <c r="Q13">
        <v>4</v>
      </c>
      <c r="R13">
        <v>302</v>
      </c>
      <c r="S13">
        <v>302</v>
      </c>
      <c r="T13">
        <v>0.32763852188710502</v>
      </c>
      <c r="U13">
        <v>0.65524770920308195</v>
      </c>
      <c r="V13">
        <v>0.20866020895485701</v>
      </c>
      <c r="W13">
        <v>0.96967145169142499</v>
      </c>
      <c r="X13">
        <v>79</v>
      </c>
      <c r="Y13">
        <v>3.8813040582382101E-2</v>
      </c>
      <c r="Z13">
        <v>0.115056517811955</v>
      </c>
      <c r="AA13">
        <v>1.68829674337325E-2</v>
      </c>
      <c r="AB13">
        <v>-2.1235265447748199E-2</v>
      </c>
      <c r="AC13">
        <v>2.28640879542977E-3</v>
      </c>
      <c r="AD13">
        <v>5156.7633420500197</v>
      </c>
      <c r="AE13">
        <v>48169978.440800801</v>
      </c>
      <c r="AF13">
        <v>13928.0146652762</v>
      </c>
      <c r="AG13">
        <v>57205488.154946297</v>
      </c>
    </row>
    <row r="14" spans="1:33" x14ac:dyDescent="0.25">
      <c r="A14">
        <v>1530</v>
      </c>
      <c r="B14" s="1">
        <v>45447</v>
      </c>
      <c r="C14">
        <v>27</v>
      </c>
      <c r="D14" t="s">
        <v>66</v>
      </c>
      <c r="E14">
        <v>4.71</v>
      </c>
      <c r="F14">
        <v>905</v>
      </c>
      <c r="G14" t="s">
        <v>67</v>
      </c>
      <c r="H14">
        <v>45.433005639999998</v>
      </c>
      <c r="I14">
        <v>-73.938951599999996</v>
      </c>
      <c r="J14">
        <v>39.021000000000001</v>
      </c>
      <c r="K14">
        <v>0</v>
      </c>
      <c r="L14">
        <v>0</v>
      </c>
      <c r="N14">
        <v>1</v>
      </c>
      <c r="O14" t="s">
        <v>68</v>
      </c>
      <c r="P14">
        <v>1</v>
      </c>
      <c r="Q14">
        <v>3</v>
      </c>
      <c r="R14">
        <v>209</v>
      </c>
      <c r="S14">
        <v>209</v>
      </c>
      <c r="T14">
        <v>0.31803937069928501</v>
      </c>
      <c r="U14">
        <v>0.63605148916658005</v>
      </c>
      <c r="V14">
        <v>0.18876993529852301</v>
      </c>
      <c r="W14">
        <v>0.96243470480651605</v>
      </c>
      <c r="X14">
        <v>58</v>
      </c>
      <c r="Y14">
        <v>3.1769195934918802E-2</v>
      </c>
      <c r="Z14">
        <v>0.107034378044033</v>
      </c>
      <c r="AA14">
        <v>1.2113749087031001E-2</v>
      </c>
      <c r="AB14">
        <v>-2.0982669711027399E-2</v>
      </c>
      <c r="AC14">
        <v>2.1530204625249002E-3</v>
      </c>
      <c r="AD14">
        <v>5751.3012792967502</v>
      </c>
      <c r="AE14">
        <v>63310334.119277999</v>
      </c>
      <c r="AF14">
        <v>14341.0456888723</v>
      </c>
      <c r="AG14">
        <v>52560666.659562103</v>
      </c>
    </row>
    <row r="15" spans="1:33" x14ac:dyDescent="0.25">
      <c r="A15">
        <v>1531</v>
      </c>
      <c r="B15" s="1">
        <v>45447</v>
      </c>
      <c r="C15">
        <v>27</v>
      </c>
      <c r="D15" t="s">
        <v>69</v>
      </c>
      <c r="E15">
        <v>4.71</v>
      </c>
      <c r="F15">
        <v>905</v>
      </c>
      <c r="G15" t="s">
        <v>70</v>
      </c>
      <c r="H15">
        <v>45.432978560000002</v>
      </c>
      <c r="I15">
        <v>-73.939032299999994</v>
      </c>
      <c r="J15">
        <v>39.021000000000001</v>
      </c>
      <c r="K15">
        <v>0</v>
      </c>
      <c r="L15">
        <v>0</v>
      </c>
      <c r="N15">
        <v>1</v>
      </c>
      <c r="O15" t="s">
        <v>71</v>
      </c>
      <c r="P15">
        <v>1</v>
      </c>
      <c r="Q15">
        <v>2</v>
      </c>
      <c r="R15">
        <v>202</v>
      </c>
      <c r="S15">
        <v>202</v>
      </c>
      <c r="T15">
        <v>0.26524995202115298</v>
      </c>
      <c r="U15">
        <v>0.53047714179081396</v>
      </c>
      <c r="V15">
        <v>7.0827859694786E-2</v>
      </c>
      <c r="W15">
        <v>0.99656587984526701</v>
      </c>
      <c r="X15">
        <v>110</v>
      </c>
      <c r="Y15">
        <v>1.35200200543479E-2</v>
      </c>
      <c r="Z15">
        <v>7.8820706060294607E-2</v>
      </c>
      <c r="AA15">
        <v>7.5375270543427903E-3</v>
      </c>
      <c r="AB15">
        <v>-2.6051557840674502E-2</v>
      </c>
      <c r="AC15">
        <v>1.0181536019377799E-3</v>
      </c>
      <c r="AD15">
        <v>3106.9530453892498</v>
      </c>
      <c r="AE15">
        <v>11032560.994388999</v>
      </c>
      <c r="AF15">
        <v>16025.957341032001</v>
      </c>
      <c r="AG15">
        <v>32605653.736220598</v>
      </c>
    </row>
    <row r="16" spans="1:33" x14ac:dyDescent="0.25">
      <c r="A16">
        <v>1532</v>
      </c>
      <c r="B16" s="1">
        <v>45447</v>
      </c>
      <c r="C16">
        <v>27</v>
      </c>
      <c r="D16" t="s">
        <v>72</v>
      </c>
      <c r="E16">
        <v>4.71</v>
      </c>
      <c r="F16">
        <v>905</v>
      </c>
      <c r="G16" t="s">
        <v>73</v>
      </c>
      <c r="H16">
        <v>45.432951600000003</v>
      </c>
      <c r="I16">
        <v>-73.939113210000002</v>
      </c>
      <c r="J16">
        <v>39.021000000000001</v>
      </c>
      <c r="K16">
        <v>0</v>
      </c>
      <c r="L16">
        <v>0</v>
      </c>
      <c r="N16">
        <v>1</v>
      </c>
      <c r="O16" t="s">
        <v>74</v>
      </c>
      <c r="P16">
        <v>1</v>
      </c>
      <c r="Q16">
        <v>1</v>
      </c>
      <c r="R16">
        <v>109</v>
      </c>
      <c r="S16">
        <v>109</v>
      </c>
      <c r="T16">
        <v>0.27450663600143799</v>
      </c>
      <c r="U16">
        <v>0.548989556828539</v>
      </c>
      <c r="V16">
        <v>9.5186647104682998E-2</v>
      </c>
      <c r="W16">
        <v>0.98946066499124996</v>
      </c>
      <c r="X16">
        <v>79</v>
      </c>
      <c r="Y16">
        <v>1.7280501592810801E-2</v>
      </c>
      <c r="Z16">
        <v>7.7800109705361303E-2</v>
      </c>
      <c r="AA16">
        <v>7.9194835024649496E-3</v>
      </c>
      <c r="AB16">
        <v>-2.52908107171614E-2</v>
      </c>
      <c r="AC16">
        <v>1.43412526257296E-3</v>
      </c>
      <c r="AD16">
        <v>3453.44964733181</v>
      </c>
      <c r="AE16">
        <v>24697168.316168401</v>
      </c>
      <c r="AF16">
        <v>15812.8739486505</v>
      </c>
      <c r="AG16">
        <v>36689970.079778403</v>
      </c>
    </row>
    <row r="17" spans="1:33" x14ac:dyDescent="0.25">
      <c r="A17">
        <v>1533</v>
      </c>
      <c r="B17" s="1">
        <v>45447</v>
      </c>
      <c r="C17">
        <v>27</v>
      </c>
      <c r="D17" t="s">
        <v>75</v>
      </c>
      <c r="E17">
        <v>4.71</v>
      </c>
      <c r="F17">
        <v>905</v>
      </c>
      <c r="G17" t="s">
        <v>76</v>
      </c>
      <c r="H17">
        <v>45.432924700000001</v>
      </c>
      <c r="I17">
        <v>-73.939194060000005</v>
      </c>
      <c r="J17">
        <v>39.021000000000001</v>
      </c>
      <c r="K17">
        <v>0</v>
      </c>
      <c r="L17">
        <v>0</v>
      </c>
      <c r="N17">
        <v>1</v>
      </c>
      <c r="O17" t="s">
        <v>77</v>
      </c>
      <c r="P17">
        <v>1</v>
      </c>
      <c r="Q17">
        <v>0</v>
      </c>
      <c r="R17">
        <v>102</v>
      </c>
      <c r="S17">
        <v>102</v>
      </c>
      <c r="T17">
        <v>0.27764779545523699</v>
      </c>
      <c r="U17">
        <v>0.55527140373926698</v>
      </c>
      <c r="V17">
        <v>9.8046076499511997E-2</v>
      </c>
      <c r="W17">
        <v>0.99028947368421005</v>
      </c>
      <c r="X17">
        <v>94</v>
      </c>
      <c r="Y17">
        <v>1.78549949618316E-2</v>
      </c>
      <c r="Z17">
        <v>8.1305917854917795E-2</v>
      </c>
      <c r="AA17">
        <v>1.00302728344954E-2</v>
      </c>
      <c r="AB17">
        <v>-2.3489985679781399E-2</v>
      </c>
      <c r="AC17">
        <v>1.257518356878E-3</v>
      </c>
      <c r="AD17">
        <v>3113.9883673106101</v>
      </c>
      <c r="AE17">
        <v>10855437.8259761</v>
      </c>
      <c r="AF17">
        <v>16082.8138126472</v>
      </c>
      <c r="AG17">
        <v>34030237.911163598</v>
      </c>
    </row>
    <row r="18" spans="1:33" x14ac:dyDescent="0.25">
      <c r="A18">
        <v>1534</v>
      </c>
      <c r="B18" s="1">
        <v>45447</v>
      </c>
      <c r="C18">
        <v>27</v>
      </c>
      <c r="D18" t="s">
        <v>78</v>
      </c>
      <c r="E18">
        <v>4.71</v>
      </c>
      <c r="F18">
        <v>905</v>
      </c>
      <c r="G18" t="s">
        <v>32</v>
      </c>
      <c r="H18">
        <v>45.432900410000002</v>
      </c>
      <c r="I18">
        <v>-73.939177689999994</v>
      </c>
      <c r="J18">
        <v>39.021000000000001</v>
      </c>
      <c r="K18">
        <v>0</v>
      </c>
      <c r="L18">
        <v>0</v>
      </c>
      <c r="N18">
        <v>1</v>
      </c>
      <c r="O18" t="s">
        <v>79</v>
      </c>
      <c r="P18">
        <v>2</v>
      </c>
      <c r="Q18">
        <v>0</v>
      </c>
      <c r="R18">
        <v>103</v>
      </c>
      <c r="S18">
        <v>103</v>
      </c>
      <c r="T18">
        <v>0.26878516636793698</v>
      </c>
      <c r="U18">
        <v>0.53754704448496504</v>
      </c>
      <c r="V18">
        <v>9.1355538912965994E-2</v>
      </c>
      <c r="W18">
        <v>0.99169736842105305</v>
      </c>
      <c r="X18">
        <v>84</v>
      </c>
      <c r="Y18">
        <v>1.7319912833085201E-2</v>
      </c>
      <c r="Z18">
        <v>6.5386977772461705E-2</v>
      </c>
      <c r="AA18">
        <v>8.5695512287328208E-3</v>
      </c>
      <c r="AB18">
        <v>-2.8301356288850499E-2</v>
      </c>
      <c r="AC18">
        <v>1.0934628759902601E-3</v>
      </c>
      <c r="AD18">
        <v>3222.0498397809702</v>
      </c>
      <c r="AE18">
        <v>16430690.620252799</v>
      </c>
      <c r="AF18">
        <v>16406.669455831499</v>
      </c>
      <c r="AG18">
        <v>32028014.407853398</v>
      </c>
    </row>
    <row r="19" spans="1:33" x14ac:dyDescent="0.25">
      <c r="A19">
        <v>1535</v>
      </c>
      <c r="B19" s="1">
        <v>45447</v>
      </c>
      <c r="C19">
        <v>27</v>
      </c>
      <c r="D19" t="s">
        <v>80</v>
      </c>
      <c r="E19">
        <v>4.71</v>
      </c>
      <c r="F19">
        <v>905</v>
      </c>
      <c r="G19" t="s">
        <v>35</v>
      </c>
      <c r="H19">
        <v>45.432926389999999</v>
      </c>
      <c r="I19">
        <v>-73.939096210000002</v>
      </c>
      <c r="J19">
        <v>39.021000000000001</v>
      </c>
      <c r="K19">
        <v>0</v>
      </c>
      <c r="L19">
        <v>0</v>
      </c>
      <c r="N19">
        <v>1</v>
      </c>
      <c r="O19" t="s">
        <v>81</v>
      </c>
      <c r="P19">
        <v>2</v>
      </c>
      <c r="Q19">
        <v>1</v>
      </c>
      <c r="R19">
        <v>110</v>
      </c>
      <c r="S19">
        <v>110</v>
      </c>
      <c r="T19">
        <v>0.246681827025277</v>
      </c>
      <c r="U19">
        <v>0.49334227278342702</v>
      </c>
      <c r="V19">
        <v>5.8814501970509997E-2</v>
      </c>
      <c r="W19">
        <v>0.98784226523335195</v>
      </c>
      <c r="X19">
        <v>73</v>
      </c>
      <c r="Y19">
        <v>1.1645923982010699E-2</v>
      </c>
      <c r="Z19">
        <v>5.2291815201984101E-2</v>
      </c>
      <c r="AA19">
        <v>5.7165548338711202E-3</v>
      </c>
      <c r="AB19">
        <v>-3.0993819206589501E-2</v>
      </c>
      <c r="AC19">
        <v>1.21116713245975E-3</v>
      </c>
      <c r="AD19">
        <v>3182.9409645062701</v>
      </c>
      <c r="AE19">
        <v>11530047.487797899</v>
      </c>
      <c r="AF19">
        <v>16364.2389560344</v>
      </c>
      <c r="AG19">
        <v>28969378.158603299</v>
      </c>
    </row>
    <row r="20" spans="1:33" x14ac:dyDescent="0.25">
      <c r="A20">
        <v>1536</v>
      </c>
      <c r="B20" s="1">
        <v>45447</v>
      </c>
      <c r="C20">
        <v>27</v>
      </c>
      <c r="D20" t="s">
        <v>82</v>
      </c>
      <c r="E20">
        <v>4.71</v>
      </c>
      <c r="F20">
        <v>905</v>
      </c>
      <c r="G20" t="s">
        <v>38</v>
      </c>
      <c r="H20">
        <v>45.432953769999997</v>
      </c>
      <c r="I20">
        <v>-73.939015569999995</v>
      </c>
      <c r="J20">
        <v>39.021000000000001</v>
      </c>
      <c r="K20">
        <v>0</v>
      </c>
      <c r="L20">
        <v>0</v>
      </c>
      <c r="N20">
        <v>1</v>
      </c>
      <c r="O20" t="s">
        <v>83</v>
      </c>
      <c r="P20">
        <v>2</v>
      </c>
      <c r="Q20">
        <v>2</v>
      </c>
      <c r="R20">
        <v>203</v>
      </c>
      <c r="S20">
        <v>203</v>
      </c>
      <c r="T20">
        <v>0.27445988490698697</v>
      </c>
      <c r="U20">
        <v>0.54889565067444301</v>
      </c>
      <c r="V20">
        <v>0.10266169032068</v>
      </c>
      <c r="W20">
        <v>0.99006592018526096</v>
      </c>
      <c r="X20">
        <v>105</v>
      </c>
      <c r="Y20">
        <v>1.9741755580444099E-2</v>
      </c>
      <c r="Z20">
        <v>7.7556959829687994E-2</v>
      </c>
      <c r="AA20">
        <v>1.0154602919804899E-2</v>
      </c>
      <c r="AB20">
        <v>-2.6069904386348701E-2</v>
      </c>
      <c r="AC20">
        <v>1.2560767941050799E-3</v>
      </c>
      <c r="AD20">
        <v>3257.1645693168998</v>
      </c>
      <c r="AE20">
        <v>13377092.2500924</v>
      </c>
      <c r="AF20">
        <v>15688.143500594</v>
      </c>
      <c r="AG20">
        <v>37689902.763932496</v>
      </c>
    </row>
    <row r="21" spans="1:33" x14ac:dyDescent="0.25">
      <c r="A21">
        <v>1537</v>
      </c>
      <c r="B21" s="1">
        <v>45447</v>
      </c>
      <c r="C21">
        <v>27</v>
      </c>
      <c r="D21" t="s">
        <v>84</v>
      </c>
      <c r="E21">
        <v>4.71</v>
      </c>
      <c r="F21">
        <v>905</v>
      </c>
      <c r="G21" t="s">
        <v>41</v>
      </c>
      <c r="H21">
        <v>45.432980710000002</v>
      </c>
      <c r="I21">
        <v>-73.938934779999997</v>
      </c>
      <c r="J21">
        <v>39.020000000000003</v>
      </c>
      <c r="K21">
        <v>0</v>
      </c>
      <c r="L21">
        <v>0</v>
      </c>
      <c r="N21">
        <v>1</v>
      </c>
      <c r="O21" t="s">
        <v>85</v>
      </c>
      <c r="P21">
        <v>2</v>
      </c>
      <c r="Q21">
        <v>3</v>
      </c>
      <c r="R21">
        <v>210</v>
      </c>
      <c r="S21">
        <v>210</v>
      </c>
      <c r="T21">
        <v>0.36853023133784701</v>
      </c>
      <c r="U21">
        <v>0.73702850545933796</v>
      </c>
      <c r="V21">
        <v>0.28925366171072198</v>
      </c>
      <c r="W21">
        <v>0.93506578947368402</v>
      </c>
      <c r="X21">
        <v>48</v>
      </c>
      <c r="Y21">
        <v>4.5217722304011103E-2</v>
      </c>
      <c r="Z21">
        <v>0.12973952525590199</v>
      </c>
      <c r="AA21">
        <v>1.7655283021430698E-2</v>
      </c>
      <c r="AB21">
        <v>-1.9518295161744002E-2</v>
      </c>
      <c r="AC21">
        <v>2.3540709428899699E-3</v>
      </c>
      <c r="AD21">
        <v>7573.0296374507398</v>
      </c>
      <c r="AE21">
        <v>87722305.202605098</v>
      </c>
      <c r="AF21">
        <v>12609.3570862221</v>
      </c>
      <c r="AG21">
        <v>65762605.862306997</v>
      </c>
    </row>
    <row r="22" spans="1:33" x14ac:dyDescent="0.25">
      <c r="A22">
        <v>1538</v>
      </c>
      <c r="B22" s="1">
        <v>45447</v>
      </c>
      <c r="C22">
        <v>27</v>
      </c>
      <c r="D22" t="s">
        <v>86</v>
      </c>
      <c r="E22">
        <v>4.71</v>
      </c>
      <c r="F22">
        <v>905</v>
      </c>
      <c r="G22" t="s">
        <v>44</v>
      </c>
      <c r="H22">
        <v>45.433007439999997</v>
      </c>
      <c r="I22">
        <v>-73.938853750000007</v>
      </c>
      <c r="J22">
        <v>39.020000000000003</v>
      </c>
      <c r="K22">
        <v>0</v>
      </c>
      <c r="L22">
        <v>0</v>
      </c>
      <c r="N22">
        <v>1</v>
      </c>
      <c r="O22" t="s">
        <v>87</v>
      </c>
      <c r="P22">
        <v>2</v>
      </c>
      <c r="Q22">
        <v>4</v>
      </c>
      <c r="R22">
        <v>303</v>
      </c>
      <c r="S22">
        <v>303</v>
      </c>
      <c r="T22">
        <v>0.31107238417392702</v>
      </c>
      <c r="U22">
        <v>0.62211659962957899</v>
      </c>
      <c r="V22">
        <v>0.18298005561591901</v>
      </c>
      <c r="W22">
        <v>0.99476315789473702</v>
      </c>
      <c r="X22">
        <v>94</v>
      </c>
      <c r="Y22">
        <v>3.3202072189786401E-2</v>
      </c>
      <c r="Z22">
        <v>9.9957345841061696E-2</v>
      </c>
      <c r="AA22">
        <v>1.44843749891185E-2</v>
      </c>
      <c r="AB22">
        <v>-2.3894298821130401E-2</v>
      </c>
      <c r="AC22">
        <v>2.06989217769999E-3</v>
      </c>
      <c r="AD22">
        <v>4999.2306096265902</v>
      </c>
      <c r="AE22">
        <v>42554596.615554303</v>
      </c>
      <c r="AF22">
        <v>14055.6003127931</v>
      </c>
      <c r="AG22">
        <v>50689069.839042999</v>
      </c>
    </row>
    <row r="23" spans="1:33" x14ac:dyDescent="0.25">
      <c r="A23">
        <v>1539</v>
      </c>
      <c r="B23" s="1">
        <v>45447</v>
      </c>
      <c r="C23">
        <v>27</v>
      </c>
      <c r="D23" t="s">
        <v>88</v>
      </c>
      <c r="E23">
        <v>4.71</v>
      </c>
      <c r="F23">
        <v>905</v>
      </c>
      <c r="G23" t="s">
        <v>47</v>
      </c>
      <c r="H23">
        <v>45.433034630000002</v>
      </c>
      <c r="I23">
        <v>-73.938773080000004</v>
      </c>
      <c r="J23">
        <v>39.020000000000003</v>
      </c>
      <c r="K23">
        <v>0</v>
      </c>
      <c r="L23">
        <v>0</v>
      </c>
      <c r="N23">
        <v>1</v>
      </c>
      <c r="O23" t="s">
        <v>89</v>
      </c>
      <c r="P23">
        <v>2</v>
      </c>
      <c r="Q23">
        <v>5</v>
      </c>
      <c r="R23">
        <v>310</v>
      </c>
      <c r="S23">
        <v>310</v>
      </c>
      <c r="T23">
        <v>0.31374261818161597</v>
      </c>
      <c r="U23">
        <v>0.62745741160808999</v>
      </c>
      <c r="V23">
        <v>0.201457308950725</v>
      </c>
      <c r="W23">
        <v>0.90786720877906302</v>
      </c>
      <c r="X23">
        <v>62</v>
      </c>
      <c r="Y23">
        <v>3.7184291836343503E-2</v>
      </c>
      <c r="Z23">
        <v>9.8730455434887204E-2</v>
      </c>
      <c r="AA23">
        <v>1.5899812408952701E-2</v>
      </c>
      <c r="AB23">
        <v>-2.1769639089933401E-2</v>
      </c>
      <c r="AC23">
        <v>2.2553958848556301E-3</v>
      </c>
      <c r="AD23">
        <v>5626.3178394504703</v>
      </c>
      <c r="AE23">
        <v>56037116.202207997</v>
      </c>
      <c r="AF23">
        <v>14077.472727673599</v>
      </c>
      <c r="AG23">
        <v>60833994.463229902</v>
      </c>
    </row>
    <row r="24" spans="1:33" x14ac:dyDescent="0.25">
      <c r="A24">
        <v>1540</v>
      </c>
      <c r="B24" s="1">
        <v>45447</v>
      </c>
      <c r="C24">
        <v>27</v>
      </c>
      <c r="D24" t="s">
        <v>90</v>
      </c>
      <c r="E24">
        <v>4.71</v>
      </c>
      <c r="F24">
        <v>905</v>
      </c>
      <c r="G24" t="s">
        <v>49</v>
      </c>
      <c r="H24">
        <v>45.433061469999998</v>
      </c>
      <c r="I24">
        <v>-73.938692149999994</v>
      </c>
      <c r="J24">
        <v>39.020000000000003</v>
      </c>
      <c r="K24">
        <v>0</v>
      </c>
      <c r="L24">
        <v>0</v>
      </c>
      <c r="N24">
        <v>1</v>
      </c>
      <c r="O24" t="s">
        <v>91</v>
      </c>
      <c r="P24">
        <v>2</v>
      </c>
      <c r="Q24">
        <v>6</v>
      </c>
      <c r="R24">
        <v>403</v>
      </c>
      <c r="S24">
        <v>403</v>
      </c>
      <c r="T24">
        <v>0.332291855757681</v>
      </c>
      <c r="U24">
        <v>0.664554320772762</v>
      </c>
      <c r="V24">
        <v>0.22882750153468401</v>
      </c>
      <c r="W24">
        <v>0.92817105263157895</v>
      </c>
      <c r="X24">
        <v>46</v>
      </c>
      <c r="Y24">
        <v>4.0647429949446E-2</v>
      </c>
      <c r="Z24">
        <v>0.10418155744291401</v>
      </c>
      <c r="AA24">
        <v>1.44821867757531E-2</v>
      </c>
      <c r="AB24">
        <v>-2.5048279716391699E-2</v>
      </c>
      <c r="AC24">
        <v>2.73558424499126E-3</v>
      </c>
      <c r="AD24">
        <v>6928.1018723142997</v>
      </c>
      <c r="AE24">
        <v>88478731.737596393</v>
      </c>
      <c r="AF24">
        <v>13593.9038694753</v>
      </c>
      <c r="AG24">
        <v>59346327.282589801</v>
      </c>
    </row>
    <row r="25" spans="1:33" x14ac:dyDescent="0.25">
      <c r="A25">
        <v>1541</v>
      </c>
      <c r="B25" s="1">
        <v>45447</v>
      </c>
      <c r="C25">
        <v>27</v>
      </c>
      <c r="D25" t="s">
        <v>92</v>
      </c>
      <c r="E25">
        <v>4.71</v>
      </c>
      <c r="F25">
        <v>905</v>
      </c>
      <c r="G25" t="s">
        <v>52</v>
      </c>
      <c r="H25">
        <v>45.433088439999999</v>
      </c>
      <c r="I25">
        <v>-73.938611300000005</v>
      </c>
      <c r="J25">
        <v>39.020000000000003</v>
      </c>
      <c r="K25">
        <v>0</v>
      </c>
      <c r="L25">
        <v>0</v>
      </c>
      <c r="N25">
        <v>1</v>
      </c>
      <c r="O25" s="2" t="s">
        <v>93</v>
      </c>
      <c r="P25">
        <v>2</v>
      </c>
      <c r="Q25">
        <v>7</v>
      </c>
      <c r="R25">
        <v>410</v>
      </c>
      <c r="S25">
        <v>410</v>
      </c>
      <c r="T25">
        <v>0.37037300302986498</v>
      </c>
      <c r="U25">
        <v>0.74071242441657603</v>
      </c>
      <c r="V25">
        <v>0.28212667738885999</v>
      </c>
      <c r="W25">
        <v>0.90555387429112799</v>
      </c>
      <c r="X25">
        <v>36</v>
      </c>
      <c r="Y25">
        <v>5.0102215395999801E-2</v>
      </c>
      <c r="Z25">
        <v>0.124457059092966</v>
      </c>
      <c r="AA25">
        <v>1.78241157930248E-2</v>
      </c>
      <c r="AB25">
        <v>-2.0783286882898499E-2</v>
      </c>
      <c r="AC25">
        <v>2.5376838021173801E-3</v>
      </c>
      <c r="AD25">
        <v>7814.5834305287799</v>
      </c>
      <c r="AE25">
        <v>106375909.81274401</v>
      </c>
      <c r="AF25">
        <v>12807.806477071201</v>
      </c>
      <c r="AG25">
        <v>75408503.476304799</v>
      </c>
    </row>
    <row r="26" spans="1:33" x14ac:dyDescent="0.25">
      <c r="A26">
        <v>1542</v>
      </c>
      <c r="B26" s="1">
        <v>45447</v>
      </c>
      <c r="C26">
        <v>27</v>
      </c>
      <c r="D26" t="s">
        <v>94</v>
      </c>
      <c r="E26">
        <v>4.71</v>
      </c>
      <c r="F26">
        <v>905</v>
      </c>
      <c r="G26" t="s">
        <v>55</v>
      </c>
      <c r="H26">
        <v>45.433062790000001</v>
      </c>
      <c r="I26">
        <v>-73.938594179999996</v>
      </c>
      <c r="J26">
        <v>39.020000000000003</v>
      </c>
      <c r="K26">
        <v>0</v>
      </c>
      <c r="L26">
        <v>0</v>
      </c>
      <c r="N26">
        <v>1</v>
      </c>
      <c r="O26" t="s">
        <v>95</v>
      </c>
      <c r="P26">
        <v>3</v>
      </c>
      <c r="Q26">
        <v>7</v>
      </c>
      <c r="R26">
        <v>411</v>
      </c>
      <c r="S26">
        <v>411</v>
      </c>
      <c r="T26">
        <v>0.31746900746268902</v>
      </c>
      <c r="U26">
        <v>0.63491001824326099</v>
      </c>
      <c r="V26">
        <v>0.19713079029109501</v>
      </c>
      <c r="W26">
        <v>0.97779005815636399</v>
      </c>
      <c r="X26">
        <v>74</v>
      </c>
      <c r="Y26">
        <v>3.08140085920235E-2</v>
      </c>
      <c r="Z26">
        <v>9.6161442500062894E-2</v>
      </c>
      <c r="AA26">
        <v>1.07484533150427E-2</v>
      </c>
      <c r="AB26">
        <v>-2.3527794884561401E-2</v>
      </c>
      <c r="AC26">
        <v>2.2270529350705099E-3</v>
      </c>
      <c r="AD26">
        <v>6348.4256608267597</v>
      </c>
      <c r="AE26">
        <v>78933701.121872693</v>
      </c>
      <c r="AF26">
        <v>14404.922064344601</v>
      </c>
      <c r="AG26">
        <v>52238164.874872297</v>
      </c>
    </row>
    <row r="27" spans="1:33" x14ac:dyDescent="0.25">
      <c r="A27">
        <v>1543</v>
      </c>
      <c r="B27" s="1">
        <v>45447</v>
      </c>
      <c r="C27">
        <v>27</v>
      </c>
      <c r="D27" t="s">
        <v>96</v>
      </c>
      <c r="E27">
        <v>4.71</v>
      </c>
      <c r="F27">
        <v>905</v>
      </c>
      <c r="G27" t="s">
        <v>58</v>
      </c>
      <c r="H27">
        <v>45.433036340000001</v>
      </c>
      <c r="I27">
        <v>-73.938675329999995</v>
      </c>
      <c r="J27">
        <v>39.020000000000003</v>
      </c>
      <c r="K27">
        <v>0</v>
      </c>
      <c r="L27">
        <v>0</v>
      </c>
      <c r="N27">
        <v>1</v>
      </c>
      <c r="O27" t="s">
        <v>97</v>
      </c>
      <c r="P27">
        <v>3</v>
      </c>
      <c r="Q27">
        <v>6</v>
      </c>
      <c r="R27">
        <v>404</v>
      </c>
      <c r="S27">
        <v>404</v>
      </c>
      <c r="T27">
        <v>0.23231700204432701</v>
      </c>
      <c r="U27">
        <v>0.46461404246778998</v>
      </c>
      <c r="V27">
        <v>8.1017538044112006E-2</v>
      </c>
      <c r="W27">
        <v>0.59932367531151698</v>
      </c>
      <c r="X27">
        <v>32</v>
      </c>
      <c r="Y27">
        <v>1.9979571498149801E-2</v>
      </c>
      <c r="Z27">
        <v>4.67502689459912E-2</v>
      </c>
      <c r="AA27">
        <v>9.3808920809769908E-3</v>
      </c>
      <c r="AB27">
        <v>-3.24459870115004E-2</v>
      </c>
      <c r="AC27">
        <v>1.4829651760960799E-3</v>
      </c>
      <c r="AD27">
        <v>3189.3839953837601</v>
      </c>
      <c r="AE27">
        <v>22071802.730788</v>
      </c>
      <c r="AF27">
        <v>16533.248754885299</v>
      </c>
      <c r="AG27">
        <v>35171369.233810998</v>
      </c>
    </row>
    <row r="28" spans="1:33" x14ac:dyDescent="0.25">
      <c r="A28">
        <v>1544</v>
      </c>
      <c r="B28" s="1">
        <v>45447</v>
      </c>
      <c r="C28">
        <v>27</v>
      </c>
      <c r="D28" t="s">
        <v>98</v>
      </c>
      <c r="E28">
        <v>4.71</v>
      </c>
      <c r="F28">
        <v>905</v>
      </c>
      <c r="G28" t="s">
        <v>61</v>
      </c>
      <c r="H28">
        <v>45.433010189999997</v>
      </c>
      <c r="I28">
        <v>-73.938756760000004</v>
      </c>
      <c r="J28">
        <v>39.020000000000003</v>
      </c>
      <c r="K28">
        <v>0</v>
      </c>
      <c r="L28">
        <v>0</v>
      </c>
      <c r="N28">
        <v>1</v>
      </c>
      <c r="O28" t="s">
        <v>99</v>
      </c>
      <c r="P28">
        <v>3</v>
      </c>
      <c r="Q28">
        <v>5</v>
      </c>
      <c r="R28">
        <v>311</v>
      </c>
      <c r="S28">
        <v>311</v>
      </c>
      <c r="T28">
        <v>0.28048207424534199</v>
      </c>
      <c r="U28">
        <v>0.56093901664155899</v>
      </c>
      <c r="V28">
        <v>0.15398545164359601</v>
      </c>
      <c r="W28">
        <v>0.93823765476770005</v>
      </c>
      <c r="X28">
        <v>86</v>
      </c>
      <c r="Y28">
        <v>3.1257601451821097E-2</v>
      </c>
      <c r="Z28">
        <v>7.7244065313430699E-2</v>
      </c>
      <c r="AA28">
        <v>1.1361062916368901E-2</v>
      </c>
      <c r="AB28">
        <v>-2.7054538297113101E-2</v>
      </c>
      <c r="AC28">
        <v>1.929116871098E-3</v>
      </c>
      <c r="AD28">
        <v>4825.2451121819504</v>
      </c>
      <c r="AE28">
        <v>49149750.0467932</v>
      </c>
      <c r="AF28">
        <v>14711.380117877199</v>
      </c>
      <c r="AG28">
        <v>48842261.925303496</v>
      </c>
    </row>
    <row r="29" spans="1:33" x14ac:dyDescent="0.25">
      <c r="A29">
        <v>1545</v>
      </c>
      <c r="B29" s="1">
        <v>45447</v>
      </c>
      <c r="C29">
        <v>27</v>
      </c>
      <c r="D29" t="s">
        <v>100</v>
      </c>
      <c r="E29">
        <v>4.71</v>
      </c>
      <c r="F29">
        <v>905</v>
      </c>
      <c r="G29" t="s">
        <v>64</v>
      </c>
      <c r="H29">
        <v>45.432982809999999</v>
      </c>
      <c r="I29">
        <v>-73.938837340000006</v>
      </c>
      <c r="J29">
        <v>39.020000000000003</v>
      </c>
      <c r="K29">
        <v>0</v>
      </c>
      <c r="L29">
        <v>0</v>
      </c>
      <c r="N29">
        <v>1</v>
      </c>
      <c r="O29" t="s">
        <v>101</v>
      </c>
      <c r="P29">
        <v>3</v>
      </c>
      <c r="Q29">
        <v>4</v>
      </c>
      <c r="R29">
        <v>304</v>
      </c>
      <c r="S29">
        <v>304</v>
      </c>
      <c r="T29">
        <v>0.29225536243608602</v>
      </c>
      <c r="U29">
        <v>0.58448450840773403</v>
      </c>
      <c r="V29">
        <v>0.17466329449607701</v>
      </c>
      <c r="W29">
        <v>0.81110029211294998</v>
      </c>
      <c r="X29">
        <v>57</v>
      </c>
      <c r="Y29">
        <v>3.8154691326791702E-2</v>
      </c>
      <c r="Z29">
        <v>8.3813309995409299E-2</v>
      </c>
      <c r="AA29">
        <v>1.7991412679338799E-2</v>
      </c>
      <c r="AB29">
        <v>-2.8746182851611599E-2</v>
      </c>
      <c r="AC29">
        <v>2.1024979345742999E-3</v>
      </c>
      <c r="AD29">
        <v>4591.7404574529501</v>
      </c>
      <c r="AE29">
        <v>43951071.278942898</v>
      </c>
      <c r="AF29">
        <v>14530.6931605178</v>
      </c>
      <c r="AG29">
        <v>56380578.575682998</v>
      </c>
    </row>
    <row r="30" spans="1:33" x14ac:dyDescent="0.25">
      <c r="A30">
        <v>1546</v>
      </c>
      <c r="B30" s="1">
        <v>45447</v>
      </c>
      <c r="C30">
        <v>27</v>
      </c>
      <c r="D30" t="s">
        <v>102</v>
      </c>
      <c r="E30">
        <v>4.71</v>
      </c>
      <c r="F30">
        <v>905</v>
      </c>
      <c r="G30" t="s">
        <v>67</v>
      </c>
      <c r="H30">
        <v>45.432955980000003</v>
      </c>
      <c r="I30">
        <v>-73.938918240000007</v>
      </c>
      <c r="J30">
        <v>39.020000000000003</v>
      </c>
      <c r="K30">
        <v>0</v>
      </c>
      <c r="L30">
        <v>0</v>
      </c>
      <c r="N30">
        <v>1</v>
      </c>
      <c r="O30" t="s">
        <v>103</v>
      </c>
      <c r="P30">
        <v>3</v>
      </c>
      <c r="Q30">
        <v>3</v>
      </c>
      <c r="R30">
        <v>211</v>
      </c>
      <c r="S30">
        <v>211</v>
      </c>
      <c r="T30">
        <v>0.33153200184223203</v>
      </c>
      <c r="U30">
        <v>0.66303478386463499</v>
      </c>
      <c r="V30">
        <v>0.22159676864902</v>
      </c>
      <c r="W30">
        <v>0.93944816515572205</v>
      </c>
      <c r="X30">
        <v>47</v>
      </c>
      <c r="Y30">
        <v>3.7642136595775103E-2</v>
      </c>
      <c r="Z30">
        <v>0.10745859801440601</v>
      </c>
      <c r="AA30">
        <v>1.5368082993416399E-2</v>
      </c>
      <c r="AB30">
        <v>-1.87613113846395E-2</v>
      </c>
      <c r="AC30">
        <v>2.32834409489886E-3</v>
      </c>
      <c r="AD30">
        <v>6052.7145680891799</v>
      </c>
      <c r="AE30">
        <v>70053342.594251797</v>
      </c>
      <c r="AF30">
        <v>13571.7360699738</v>
      </c>
      <c r="AG30">
        <v>59368754.670836903</v>
      </c>
    </row>
    <row r="31" spans="1:33" x14ac:dyDescent="0.25">
      <c r="A31">
        <v>1547</v>
      </c>
      <c r="B31" s="1">
        <v>45447</v>
      </c>
      <c r="C31">
        <v>27</v>
      </c>
      <c r="D31" t="s">
        <v>104</v>
      </c>
      <c r="E31">
        <v>4.71</v>
      </c>
      <c r="F31">
        <v>905</v>
      </c>
      <c r="G31" t="s">
        <v>70</v>
      </c>
      <c r="H31">
        <v>45.432928949999997</v>
      </c>
      <c r="I31">
        <v>-73.938999030000005</v>
      </c>
      <c r="J31">
        <v>39.020000000000003</v>
      </c>
      <c r="K31">
        <v>0</v>
      </c>
      <c r="L31">
        <v>0</v>
      </c>
      <c r="N31">
        <v>1</v>
      </c>
      <c r="O31" t="s">
        <v>105</v>
      </c>
      <c r="P31">
        <v>3</v>
      </c>
      <c r="Q31">
        <v>2</v>
      </c>
      <c r="R31">
        <v>204</v>
      </c>
      <c r="S31">
        <v>204</v>
      </c>
      <c r="T31">
        <v>0.253355519303955</v>
      </c>
      <c r="U31">
        <v>0.506689263365391</v>
      </c>
      <c r="V31">
        <v>7.6909383325353006E-2</v>
      </c>
      <c r="W31">
        <v>0.97235562689964605</v>
      </c>
      <c r="X31">
        <v>81</v>
      </c>
      <c r="Y31">
        <v>1.5996905297061E-2</v>
      </c>
      <c r="Z31">
        <v>6.0855000270119503E-2</v>
      </c>
      <c r="AA31">
        <v>8.0168654864214896E-3</v>
      </c>
      <c r="AB31">
        <v>-2.7933250243852001E-2</v>
      </c>
      <c r="AC31">
        <v>1.1150548165718001E-3</v>
      </c>
      <c r="AD31">
        <v>3085.5382060820398</v>
      </c>
      <c r="AE31">
        <v>18511080.679929499</v>
      </c>
      <c r="AF31">
        <v>16242.0359956189</v>
      </c>
      <c r="AG31">
        <v>33597035.9337622</v>
      </c>
    </row>
    <row r="32" spans="1:33" x14ac:dyDescent="0.25">
      <c r="A32">
        <v>1548</v>
      </c>
      <c r="B32" s="1">
        <v>45447</v>
      </c>
      <c r="C32">
        <v>27</v>
      </c>
      <c r="D32" t="s">
        <v>106</v>
      </c>
      <c r="E32">
        <v>4.71</v>
      </c>
      <c r="F32">
        <v>905</v>
      </c>
      <c r="G32" t="s">
        <v>73</v>
      </c>
      <c r="H32">
        <v>45.432901870000002</v>
      </c>
      <c r="I32">
        <v>-73.939079800000002</v>
      </c>
      <c r="J32">
        <v>39.020000000000003</v>
      </c>
      <c r="K32">
        <v>0</v>
      </c>
      <c r="L32">
        <v>0</v>
      </c>
      <c r="N32">
        <v>1</v>
      </c>
      <c r="O32" t="s">
        <v>107</v>
      </c>
      <c r="P32">
        <v>3</v>
      </c>
      <c r="Q32">
        <v>1</v>
      </c>
      <c r="R32">
        <v>111</v>
      </c>
      <c r="S32">
        <v>111</v>
      </c>
      <c r="T32">
        <v>0.26683913804877801</v>
      </c>
      <c r="U32">
        <v>0.533654553568368</v>
      </c>
      <c r="V32">
        <v>9.4822135600502996E-2</v>
      </c>
      <c r="W32">
        <v>0.98982881353702001</v>
      </c>
      <c r="X32">
        <v>78</v>
      </c>
      <c r="Y32">
        <v>1.7920921494026801E-2</v>
      </c>
      <c r="Z32">
        <v>6.8102275062508294E-2</v>
      </c>
      <c r="AA32">
        <v>9.1753248261824405E-3</v>
      </c>
      <c r="AB32">
        <v>-2.5883824856236599E-2</v>
      </c>
      <c r="AC32">
        <v>1.50068482179401E-3</v>
      </c>
      <c r="AD32">
        <v>3370.9976243823098</v>
      </c>
      <c r="AE32">
        <v>15482560.314073101</v>
      </c>
      <c r="AF32">
        <v>15443.3632310375</v>
      </c>
      <c r="AG32">
        <v>36867533.360914499</v>
      </c>
    </row>
    <row r="33" spans="1:33" x14ac:dyDescent="0.25">
      <c r="A33">
        <v>1549</v>
      </c>
      <c r="B33" s="1">
        <v>45447</v>
      </c>
      <c r="C33">
        <v>27</v>
      </c>
      <c r="D33" t="s">
        <v>108</v>
      </c>
      <c r="E33">
        <v>4.71</v>
      </c>
      <c r="F33">
        <v>905</v>
      </c>
      <c r="G33" t="s">
        <v>76</v>
      </c>
      <c r="H33">
        <v>45.432875099999997</v>
      </c>
      <c r="I33">
        <v>-73.939160810000004</v>
      </c>
      <c r="J33">
        <v>39.021000000000001</v>
      </c>
      <c r="K33">
        <v>0</v>
      </c>
      <c r="L33">
        <v>0</v>
      </c>
      <c r="N33">
        <v>1</v>
      </c>
      <c r="O33" t="s">
        <v>109</v>
      </c>
      <c r="P33">
        <v>3</v>
      </c>
      <c r="Q33">
        <v>0</v>
      </c>
      <c r="R33">
        <v>104</v>
      </c>
      <c r="S33">
        <v>104</v>
      </c>
      <c r="T33">
        <v>0.276337617388141</v>
      </c>
      <c r="U33">
        <v>0.55265047777320897</v>
      </c>
      <c r="V33">
        <v>0.103031270334311</v>
      </c>
      <c r="W33">
        <v>0.98959196831537299</v>
      </c>
      <c r="X33">
        <v>85</v>
      </c>
      <c r="Y33">
        <v>2.00793611368137E-2</v>
      </c>
      <c r="Z33">
        <v>7.5545810083072401E-2</v>
      </c>
      <c r="AA33">
        <v>1.1426979255352699E-2</v>
      </c>
      <c r="AB33">
        <v>-2.5439165025017599E-2</v>
      </c>
      <c r="AC33">
        <v>1.6478376118926801E-3</v>
      </c>
      <c r="AD33">
        <v>3077.4220942652601</v>
      </c>
      <c r="AE33">
        <v>14888866.512325101</v>
      </c>
      <c r="AF33">
        <v>15564.2304767893</v>
      </c>
      <c r="AG33">
        <v>37004185.344414502</v>
      </c>
    </row>
    <row r="34" spans="1:33" x14ac:dyDescent="0.25">
      <c r="A34">
        <v>1550</v>
      </c>
      <c r="B34" s="1">
        <v>45447</v>
      </c>
      <c r="C34">
        <v>27</v>
      </c>
      <c r="D34" t="s">
        <v>110</v>
      </c>
      <c r="E34">
        <v>4.71</v>
      </c>
      <c r="F34">
        <v>905</v>
      </c>
      <c r="G34" t="s">
        <v>32</v>
      </c>
      <c r="H34">
        <v>45.432850459999997</v>
      </c>
      <c r="I34">
        <v>-73.939144119999995</v>
      </c>
      <c r="J34">
        <v>39.020000000000003</v>
      </c>
      <c r="K34">
        <v>0</v>
      </c>
      <c r="L34">
        <v>0</v>
      </c>
      <c r="N34">
        <v>1</v>
      </c>
      <c r="O34" t="s">
        <v>111</v>
      </c>
      <c r="P34">
        <v>4</v>
      </c>
      <c r="Q34">
        <v>0</v>
      </c>
      <c r="R34">
        <v>105</v>
      </c>
      <c r="S34">
        <v>105</v>
      </c>
      <c r="T34">
        <v>0.24838374788341899</v>
      </c>
      <c r="U34">
        <v>0.496745789575472</v>
      </c>
      <c r="V34">
        <v>6.8679750277775994E-2</v>
      </c>
      <c r="W34">
        <v>0.98817105263157901</v>
      </c>
      <c r="X34">
        <v>88</v>
      </c>
      <c r="Y34">
        <v>1.40874256102452E-2</v>
      </c>
      <c r="Z34">
        <v>4.94220332046756E-2</v>
      </c>
      <c r="AA34">
        <v>7.3597082813312001E-3</v>
      </c>
      <c r="AB34">
        <v>-3.1391127433579601E-2</v>
      </c>
      <c r="AC34">
        <v>1.0429082250093E-3</v>
      </c>
      <c r="AD34">
        <v>2976.47658393748</v>
      </c>
      <c r="AE34">
        <v>11589079.550168101</v>
      </c>
      <c r="AF34">
        <v>16305.696980209899</v>
      </c>
      <c r="AG34">
        <v>30416060.908682</v>
      </c>
    </row>
    <row r="35" spans="1:33" x14ac:dyDescent="0.25">
      <c r="A35">
        <v>1551</v>
      </c>
      <c r="B35" s="1">
        <v>45447</v>
      </c>
      <c r="C35">
        <v>27</v>
      </c>
      <c r="D35" t="s">
        <v>112</v>
      </c>
      <c r="E35">
        <v>4.71</v>
      </c>
      <c r="F35">
        <v>905</v>
      </c>
      <c r="G35" t="s">
        <v>35</v>
      </c>
      <c r="H35">
        <v>45.432876950000001</v>
      </c>
      <c r="I35">
        <v>-73.939062980000003</v>
      </c>
      <c r="J35">
        <v>39.020000000000003</v>
      </c>
      <c r="K35">
        <v>0</v>
      </c>
      <c r="L35">
        <v>0</v>
      </c>
      <c r="N35">
        <v>1</v>
      </c>
      <c r="O35" t="s">
        <v>113</v>
      </c>
      <c r="P35">
        <v>4</v>
      </c>
      <c r="Q35">
        <v>1</v>
      </c>
      <c r="R35">
        <v>112</v>
      </c>
      <c r="S35">
        <v>112</v>
      </c>
      <c r="T35">
        <v>0.23833775626607101</v>
      </c>
      <c r="U35">
        <v>0.47665505875481001</v>
      </c>
      <c r="V35">
        <v>4.7574615412948003E-2</v>
      </c>
      <c r="W35">
        <v>0.99052656509039205</v>
      </c>
      <c r="X35">
        <v>115</v>
      </c>
      <c r="Y35">
        <v>1.0878549699600301E-2</v>
      </c>
      <c r="Z35">
        <v>4.6119314261086203E-2</v>
      </c>
      <c r="AA35">
        <v>6.2009305321833802E-3</v>
      </c>
      <c r="AB35">
        <v>-3.1400058666827199E-2</v>
      </c>
      <c r="AC35">
        <v>1.2076004770297201E-3</v>
      </c>
      <c r="AD35">
        <v>2852.4085830744898</v>
      </c>
      <c r="AE35">
        <v>9067005.3974667806</v>
      </c>
      <c r="AF35">
        <v>16401.198722440298</v>
      </c>
      <c r="AG35">
        <v>27215934.3552703</v>
      </c>
    </row>
    <row r="36" spans="1:33" x14ac:dyDescent="0.25">
      <c r="A36">
        <v>1552</v>
      </c>
      <c r="B36" s="1">
        <v>45447</v>
      </c>
      <c r="C36">
        <v>27</v>
      </c>
      <c r="D36" t="s">
        <v>114</v>
      </c>
      <c r="E36">
        <v>4.71</v>
      </c>
      <c r="F36">
        <v>905</v>
      </c>
      <c r="G36" t="s">
        <v>38</v>
      </c>
      <c r="H36">
        <v>45.43290416</v>
      </c>
      <c r="I36">
        <v>-73.938982359999997</v>
      </c>
      <c r="J36">
        <v>39.020000000000003</v>
      </c>
      <c r="K36">
        <v>0</v>
      </c>
      <c r="L36">
        <v>0</v>
      </c>
      <c r="N36">
        <v>1</v>
      </c>
      <c r="O36" t="s">
        <v>115</v>
      </c>
      <c r="P36">
        <v>4</v>
      </c>
      <c r="Q36">
        <v>2</v>
      </c>
      <c r="R36">
        <v>205</v>
      </c>
      <c r="S36">
        <v>205</v>
      </c>
      <c r="T36">
        <v>0.25079258339882099</v>
      </c>
      <c r="U36">
        <v>0.501563319985458</v>
      </c>
      <c r="V36">
        <v>8.2557318682667996E-2</v>
      </c>
      <c r="W36">
        <v>0.98972381942342902</v>
      </c>
      <c r="X36">
        <v>82</v>
      </c>
      <c r="Y36">
        <v>1.68329589242921E-2</v>
      </c>
      <c r="Z36">
        <v>5.5032648040060798E-2</v>
      </c>
      <c r="AA36">
        <v>8.0864078915276905E-3</v>
      </c>
      <c r="AB36">
        <v>-2.92549655275871E-2</v>
      </c>
      <c r="AC36">
        <v>1.0520628798148901E-3</v>
      </c>
      <c r="AD36">
        <v>3167.2598201405699</v>
      </c>
      <c r="AE36">
        <v>13472407.5235068</v>
      </c>
      <c r="AF36">
        <v>16296.3158248817</v>
      </c>
      <c r="AG36">
        <v>32683567.981722001</v>
      </c>
    </row>
    <row r="37" spans="1:33" x14ac:dyDescent="0.25">
      <c r="A37">
        <v>1553</v>
      </c>
      <c r="B37" s="1">
        <v>45447</v>
      </c>
      <c r="C37">
        <v>27</v>
      </c>
      <c r="D37" t="s">
        <v>116</v>
      </c>
      <c r="E37">
        <v>4.71</v>
      </c>
      <c r="F37">
        <v>905</v>
      </c>
      <c r="G37" t="s">
        <v>41</v>
      </c>
      <c r="H37">
        <v>45.43293104</v>
      </c>
      <c r="I37">
        <v>-73.938901340000001</v>
      </c>
      <c r="J37">
        <v>39.020000000000003</v>
      </c>
      <c r="K37">
        <v>0</v>
      </c>
      <c r="L37">
        <v>0</v>
      </c>
      <c r="N37">
        <v>1</v>
      </c>
      <c r="O37" t="s">
        <v>117</v>
      </c>
      <c r="P37">
        <v>4</v>
      </c>
      <c r="Q37">
        <v>3</v>
      </c>
      <c r="R37">
        <v>212</v>
      </c>
      <c r="S37">
        <v>212</v>
      </c>
      <c r="T37">
        <v>0.29026278516785498</v>
      </c>
      <c r="U37">
        <v>0.58050042535776802</v>
      </c>
      <c r="V37">
        <v>0.15373565864348701</v>
      </c>
      <c r="W37">
        <v>0.98039447887472198</v>
      </c>
      <c r="X37">
        <v>65</v>
      </c>
      <c r="Y37">
        <v>2.9752562342344899E-2</v>
      </c>
      <c r="Z37">
        <v>8.1414852162378495E-2</v>
      </c>
      <c r="AA37">
        <v>1.23836355893913E-2</v>
      </c>
      <c r="AB37">
        <v>-2.49744789938528E-2</v>
      </c>
      <c r="AC37">
        <v>2.0548123584888502E-3</v>
      </c>
      <c r="AD37">
        <v>5048.4577325156697</v>
      </c>
      <c r="AE37">
        <v>47633709.797111101</v>
      </c>
      <c r="AF37">
        <v>14894.910539333099</v>
      </c>
      <c r="AG37">
        <v>47904036.8984484</v>
      </c>
    </row>
    <row r="38" spans="1:33" x14ac:dyDescent="0.25">
      <c r="A38">
        <v>1554</v>
      </c>
      <c r="B38" s="1">
        <v>45447</v>
      </c>
      <c r="C38">
        <v>27</v>
      </c>
      <c r="D38" t="s">
        <v>118</v>
      </c>
      <c r="E38">
        <v>4.71</v>
      </c>
      <c r="F38">
        <v>905</v>
      </c>
      <c r="G38" t="s">
        <v>44</v>
      </c>
      <c r="H38">
        <v>45.432958130000003</v>
      </c>
      <c r="I38">
        <v>-73.938820660000005</v>
      </c>
      <c r="J38">
        <v>39.020000000000003</v>
      </c>
      <c r="K38">
        <v>0</v>
      </c>
      <c r="L38">
        <v>0</v>
      </c>
      <c r="N38">
        <v>1</v>
      </c>
      <c r="O38" t="s">
        <v>119</v>
      </c>
      <c r="P38">
        <v>4</v>
      </c>
      <c r="Q38">
        <v>4</v>
      </c>
      <c r="R38">
        <v>305</v>
      </c>
      <c r="S38">
        <v>305</v>
      </c>
      <c r="T38">
        <v>0.302582520050033</v>
      </c>
      <c r="U38">
        <v>0.60513814996137905</v>
      </c>
      <c r="V38">
        <v>0.18750038366860899</v>
      </c>
      <c r="W38">
        <v>0.99215799792107995</v>
      </c>
      <c r="X38">
        <v>91</v>
      </c>
      <c r="Y38">
        <v>3.7697317830490698E-2</v>
      </c>
      <c r="Z38">
        <v>9.0428014045587202E-2</v>
      </c>
      <c r="AA38">
        <v>1.6636664769139501E-2</v>
      </c>
      <c r="AB38">
        <v>-2.82160940223476E-2</v>
      </c>
      <c r="AC38">
        <v>2.2604978789867699E-3</v>
      </c>
      <c r="AD38">
        <v>5184.15823107286</v>
      </c>
      <c r="AE38">
        <v>47309378.299945697</v>
      </c>
      <c r="AF38">
        <v>14542.616327904499</v>
      </c>
      <c r="AG38">
        <v>54316269.234099902</v>
      </c>
    </row>
    <row r="39" spans="1:33" x14ac:dyDescent="0.25">
      <c r="A39">
        <v>1555</v>
      </c>
      <c r="B39" s="1">
        <v>45447</v>
      </c>
      <c r="C39">
        <v>27</v>
      </c>
      <c r="D39" t="s">
        <v>120</v>
      </c>
      <c r="E39">
        <v>4.71</v>
      </c>
      <c r="F39">
        <v>905</v>
      </c>
      <c r="G39" t="s">
        <v>47</v>
      </c>
      <c r="H39">
        <v>45.432985029999998</v>
      </c>
      <c r="I39">
        <v>-73.938739760000004</v>
      </c>
      <c r="J39">
        <v>39.020000000000003</v>
      </c>
      <c r="K39">
        <v>0</v>
      </c>
      <c r="L39">
        <v>0</v>
      </c>
      <c r="N39">
        <v>1</v>
      </c>
      <c r="O39" t="s">
        <v>121</v>
      </c>
      <c r="P39">
        <v>4</v>
      </c>
      <c r="Q39">
        <v>5</v>
      </c>
      <c r="R39">
        <v>312</v>
      </c>
      <c r="S39">
        <v>312</v>
      </c>
      <c r="T39">
        <v>0.37185906968274401</v>
      </c>
      <c r="U39">
        <v>0.74368527703418197</v>
      </c>
      <c r="V39">
        <v>0.31609576427255998</v>
      </c>
      <c r="W39">
        <v>0.99660530782489698</v>
      </c>
      <c r="X39">
        <v>63</v>
      </c>
      <c r="Y39">
        <v>5.5207027646715201E-2</v>
      </c>
      <c r="Z39">
        <v>0.126158690396869</v>
      </c>
      <c r="AA39">
        <v>1.9741292063401999E-2</v>
      </c>
      <c r="AB39">
        <v>-2.5239371273391101E-2</v>
      </c>
      <c r="AC39">
        <v>2.68737194131721E-3</v>
      </c>
      <c r="AD39">
        <v>8149.5631246163302</v>
      </c>
      <c r="AE39">
        <v>101088613.896548</v>
      </c>
      <c r="AF39">
        <v>12507.373886821701</v>
      </c>
      <c r="AG39">
        <v>77479817.423954904</v>
      </c>
    </row>
    <row r="40" spans="1:33" x14ac:dyDescent="0.25">
      <c r="A40">
        <v>1556</v>
      </c>
      <c r="B40" s="1">
        <v>45447</v>
      </c>
      <c r="C40">
        <v>27</v>
      </c>
      <c r="D40" t="s">
        <v>122</v>
      </c>
      <c r="E40">
        <v>4.71</v>
      </c>
      <c r="F40">
        <v>905</v>
      </c>
      <c r="G40" t="s">
        <v>49</v>
      </c>
      <c r="H40">
        <v>45.433011999999998</v>
      </c>
      <c r="I40">
        <v>-73.938658930000003</v>
      </c>
      <c r="J40">
        <v>39.020000000000003</v>
      </c>
      <c r="K40">
        <v>0</v>
      </c>
      <c r="L40">
        <v>0</v>
      </c>
      <c r="N40">
        <v>1</v>
      </c>
      <c r="O40" t="s">
        <v>123</v>
      </c>
      <c r="P40">
        <v>4</v>
      </c>
      <c r="Q40">
        <v>6</v>
      </c>
      <c r="R40">
        <v>405</v>
      </c>
      <c r="S40">
        <v>405</v>
      </c>
      <c r="T40">
        <v>0.28952705547977398</v>
      </c>
      <c r="U40">
        <v>0.57902896085829803</v>
      </c>
      <c r="V40">
        <v>0.16021288873064801</v>
      </c>
      <c r="W40">
        <v>0.96715789473684199</v>
      </c>
      <c r="X40">
        <v>71</v>
      </c>
      <c r="Y40">
        <v>2.9132777766064901E-2</v>
      </c>
      <c r="Z40">
        <v>8.0817623091421903E-2</v>
      </c>
      <c r="AA40">
        <v>1.11136073541336E-2</v>
      </c>
      <c r="AB40">
        <v>-2.4962873317908699E-2</v>
      </c>
      <c r="AC40">
        <v>1.88411627201364E-3</v>
      </c>
      <c r="AD40">
        <v>5398.1448600999402</v>
      </c>
      <c r="AE40">
        <v>56262492.449285202</v>
      </c>
      <c r="AF40">
        <v>15041.3447515469</v>
      </c>
      <c r="AG40">
        <v>47112660.704826303</v>
      </c>
    </row>
    <row r="41" spans="1:33" x14ac:dyDescent="0.25">
      <c r="A41">
        <v>1557</v>
      </c>
      <c r="B41" s="1">
        <v>45447</v>
      </c>
      <c r="C41">
        <v>27</v>
      </c>
      <c r="D41" t="s">
        <v>124</v>
      </c>
      <c r="E41">
        <v>4.71</v>
      </c>
      <c r="F41">
        <v>905</v>
      </c>
      <c r="G41" t="s">
        <v>52</v>
      </c>
      <c r="H41">
        <v>45.433038779999997</v>
      </c>
      <c r="I41">
        <v>-73.938577969999997</v>
      </c>
      <c r="J41">
        <v>39.020000000000003</v>
      </c>
      <c r="K41">
        <v>0</v>
      </c>
      <c r="L41">
        <v>0</v>
      </c>
      <c r="N41">
        <v>1</v>
      </c>
      <c r="O41" t="s">
        <v>125</v>
      </c>
      <c r="P41">
        <v>4</v>
      </c>
      <c r="Q41">
        <v>7</v>
      </c>
      <c r="R41">
        <v>412</v>
      </c>
      <c r="S41">
        <v>412</v>
      </c>
      <c r="T41">
        <v>0.28296585682515302</v>
      </c>
      <c r="U41">
        <v>0.56590741754032003</v>
      </c>
      <c r="V41">
        <v>0.13560133575602801</v>
      </c>
      <c r="W41">
        <v>0.95273559830521903</v>
      </c>
      <c r="X41">
        <v>61</v>
      </c>
      <c r="Y41">
        <v>2.41397511377687E-2</v>
      </c>
      <c r="Z41">
        <v>7.6975726617834403E-2</v>
      </c>
      <c r="AA41">
        <v>1.0295286482066001E-2</v>
      </c>
      <c r="AB41">
        <v>-2.5755444539984601E-2</v>
      </c>
      <c r="AC41">
        <v>1.9965804591530502E-3</v>
      </c>
      <c r="AD41">
        <v>4486.44129671463</v>
      </c>
      <c r="AE41">
        <v>49939637.0299723</v>
      </c>
      <c r="AF41">
        <v>15373.4129712141</v>
      </c>
      <c r="AG41">
        <v>44656288.422001697</v>
      </c>
    </row>
    <row r="42" spans="1:33" x14ac:dyDescent="0.25">
      <c r="A42">
        <v>1558</v>
      </c>
      <c r="B42" s="1">
        <v>45447</v>
      </c>
      <c r="C42">
        <v>27</v>
      </c>
      <c r="D42" t="s">
        <v>126</v>
      </c>
      <c r="E42">
        <v>4.71</v>
      </c>
      <c r="F42">
        <v>905</v>
      </c>
      <c r="G42" t="s">
        <v>55</v>
      </c>
      <c r="H42">
        <v>45.433013350000003</v>
      </c>
      <c r="I42">
        <v>-73.938561010000001</v>
      </c>
      <c r="J42">
        <v>39.018999999999998</v>
      </c>
      <c r="K42">
        <v>0</v>
      </c>
      <c r="L42">
        <v>0</v>
      </c>
      <c r="N42">
        <v>1</v>
      </c>
      <c r="O42" t="s">
        <v>127</v>
      </c>
      <c r="P42">
        <v>5</v>
      </c>
      <c r="Q42">
        <v>7</v>
      </c>
      <c r="R42">
        <v>413</v>
      </c>
      <c r="S42">
        <v>413</v>
      </c>
      <c r="T42">
        <v>0.34627723318432102</v>
      </c>
      <c r="U42">
        <v>0.69252360874877705</v>
      </c>
      <c r="V42">
        <v>0.23963659801724899</v>
      </c>
      <c r="W42">
        <v>0.91939473684210504</v>
      </c>
      <c r="X42">
        <v>56</v>
      </c>
      <c r="Y42">
        <v>3.7665648329145401E-2</v>
      </c>
      <c r="Z42">
        <v>0.115404304506773</v>
      </c>
      <c r="AA42">
        <v>1.47819512660747E-2</v>
      </c>
      <c r="AB42">
        <v>-1.8541694152617201E-2</v>
      </c>
      <c r="AC42">
        <v>2.4797766655048101E-3</v>
      </c>
      <c r="AD42">
        <v>6429.4870077652604</v>
      </c>
      <c r="AE42">
        <v>85769470.207965896</v>
      </c>
      <c r="AF42">
        <v>13394.8999305663</v>
      </c>
      <c r="AG42">
        <v>61973203.469486803</v>
      </c>
    </row>
    <row r="43" spans="1:33" x14ac:dyDescent="0.25">
      <c r="A43">
        <v>1559</v>
      </c>
      <c r="B43" s="1">
        <v>45447</v>
      </c>
      <c r="C43">
        <v>27</v>
      </c>
      <c r="D43" t="s">
        <v>128</v>
      </c>
      <c r="E43">
        <v>4.71</v>
      </c>
      <c r="F43">
        <v>905</v>
      </c>
      <c r="G43" t="s">
        <v>58</v>
      </c>
      <c r="H43">
        <v>45.432986759999999</v>
      </c>
      <c r="I43">
        <v>-73.938642099999996</v>
      </c>
      <c r="J43">
        <v>39.018999999999998</v>
      </c>
      <c r="K43">
        <v>0</v>
      </c>
      <c r="L43">
        <v>0</v>
      </c>
      <c r="N43">
        <v>1</v>
      </c>
      <c r="O43" t="s">
        <v>129</v>
      </c>
      <c r="P43">
        <v>5</v>
      </c>
      <c r="Q43">
        <v>6</v>
      </c>
      <c r="R43">
        <v>406</v>
      </c>
      <c r="S43">
        <v>406</v>
      </c>
      <c r="T43">
        <v>0.360679065926097</v>
      </c>
      <c r="U43">
        <v>0.72132660646243396</v>
      </c>
      <c r="V43">
        <v>0.275284830329519</v>
      </c>
      <c r="W43">
        <v>0.86232532435064102</v>
      </c>
      <c r="X43">
        <v>32</v>
      </c>
      <c r="Y43">
        <v>5.1311722611933203E-2</v>
      </c>
      <c r="Z43">
        <v>0.123821403091139</v>
      </c>
      <c r="AA43">
        <v>2.01774266454369E-2</v>
      </c>
      <c r="AB43">
        <v>-1.8607428184162101E-2</v>
      </c>
      <c r="AC43">
        <v>2.69974614594271E-3</v>
      </c>
      <c r="AD43">
        <v>7887.0573159652304</v>
      </c>
      <c r="AE43">
        <v>110649514.609953</v>
      </c>
      <c r="AF43">
        <v>12890.0933058189</v>
      </c>
      <c r="AG43">
        <v>76303548.923844293</v>
      </c>
    </row>
    <row r="44" spans="1:33" x14ac:dyDescent="0.25">
      <c r="A44">
        <v>1560</v>
      </c>
      <c r="B44" s="1">
        <v>45447</v>
      </c>
      <c r="C44">
        <v>27</v>
      </c>
      <c r="D44" t="s">
        <v>130</v>
      </c>
      <c r="E44">
        <v>4.71</v>
      </c>
      <c r="F44">
        <v>905</v>
      </c>
      <c r="G44" t="s">
        <v>61</v>
      </c>
      <c r="H44">
        <v>45.432960379999997</v>
      </c>
      <c r="I44">
        <v>-73.938723330000002</v>
      </c>
      <c r="J44">
        <v>39.020000000000003</v>
      </c>
      <c r="K44">
        <v>0</v>
      </c>
      <c r="L44">
        <v>0</v>
      </c>
      <c r="N44">
        <v>1</v>
      </c>
      <c r="O44" t="s">
        <v>131</v>
      </c>
      <c r="P44">
        <v>5</v>
      </c>
      <c r="Q44">
        <v>5</v>
      </c>
      <c r="R44">
        <v>313</v>
      </c>
      <c r="S44">
        <v>313</v>
      </c>
      <c r="T44">
        <v>0.33086806277800801</v>
      </c>
      <c r="U44">
        <v>0.66170645497314096</v>
      </c>
      <c r="V44">
        <v>0.23292716613977499</v>
      </c>
      <c r="W44">
        <v>0.97828975934527196</v>
      </c>
      <c r="X44">
        <v>77</v>
      </c>
      <c r="Y44">
        <v>3.7580016250596503E-2</v>
      </c>
      <c r="Z44">
        <v>0.112123091986571</v>
      </c>
      <c r="AA44">
        <v>1.42585574046137E-2</v>
      </c>
      <c r="AB44">
        <v>-2.1544291780980201E-2</v>
      </c>
      <c r="AC44">
        <v>2.8347117149787799E-3</v>
      </c>
      <c r="AD44">
        <v>6581.3252140818304</v>
      </c>
      <c r="AE44">
        <v>80084470.677973494</v>
      </c>
      <c r="AF44">
        <v>13669.312468402801</v>
      </c>
      <c r="AG44">
        <v>65687992.945815697</v>
      </c>
    </row>
    <row r="45" spans="1:33" x14ac:dyDescent="0.25">
      <c r="A45">
        <v>1561</v>
      </c>
      <c r="B45" s="1">
        <v>45447</v>
      </c>
      <c r="C45">
        <v>27</v>
      </c>
      <c r="D45" t="s">
        <v>132</v>
      </c>
      <c r="E45">
        <v>4.71</v>
      </c>
      <c r="F45">
        <v>905</v>
      </c>
      <c r="G45" t="s">
        <v>64</v>
      </c>
      <c r="H45">
        <v>45.432933179999999</v>
      </c>
      <c r="I45">
        <v>-73.938804039999994</v>
      </c>
      <c r="J45">
        <v>39.020000000000003</v>
      </c>
      <c r="K45">
        <v>0</v>
      </c>
      <c r="L45">
        <v>0</v>
      </c>
      <c r="N45">
        <v>1</v>
      </c>
      <c r="O45" t="s">
        <v>133</v>
      </c>
      <c r="P45">
        <v>5</v>
      </c>
      <c r="Q45">
        <v>4</v>
      </c>
      <c r="R45">
        <v>306</v>
      </c>
      <c r="S45">
        <v>306</v>
      </c>
      <c r="T45">
        <v>0.36254347397033798</v>
      </c>
      <c r="U45">
        <v>0.72505419497755996</v>
      </c>
      <c r="V45">
        <v>0.28206529078832698</v>
      </c>
      <c r="W45">
        <v>0.99086842105263195</v>
      </c>
      <c r="X45">
        <v>89</v>
      </c>
      <c r="Y45">
        <v>4.9685934925995101E-2</v>
      </c>
      <c r="Z45">
        <v>0.13208885124033101</v>
      </c>
      <c r="AA45">
        <v>1.9833042722169E-2</v>
      </c>
      <c r="AB45">
        <v>-1.83996675901251E-2</v>
      </c>
      <c r="AC45">
        <v>2.6915687289292499E-3</v>
      </c>
      <c r="AD45">
        <v>7071.7401075493199</v>
      </c>
      <c r="AE45">
        <v>83360891.824395701</v>
      </c>
      <c r="AF45">
        <v>12675.753068076299</v>
      </c>
      <c r="AG45">
        <v>72516392.841711193</v>
      </c>
    </row>
    <row r="46" spans="1:33" x14ac:dyDescent="0.25">
      <c r="A46">
        <v>1562</v>
      </c>
      <c r="B46" s="1">
        <v>45447</v>
      </c>
      <c r="C46">
        <v>27</v>
      </c>
      <c r="D46" t="s">
        <v>134</v>
      </c>
      <c r="E46">
        <v>4.71</v>
      </c>
      <c r="F46">
        <v>905</v>
      </c>
      <c r="G46" t="s">
        <v>67</v>
      </c>
      <c r="H46">
        <v>45.432906359999997</v>
      </c>
      <c r="I46">
        <v>-73.938884970000004</v>
      </c>
      <c r="J46">
        <v>39.020000000000003</v>
      </c>
      <c r="K46">
        <v>0</v>
      </c>
      <c r="L46">
        <v>0</v>
      </c>
      <c r="N46">
        <v>1</v>
      </c>
      <c r="O46" t="s">
        <v>135</v>
      </c>
      <c r="P46">
        <v>5</v>
      </c>
      <c r="Q46">
        <v>3</v>
      </c>
      <c r="R46">
        <v>213</v>
      </c>
      <c r="S46">
        <v>213</v>
      </c>
      <c r="T46">
        <v>0.30189682716891802</v>
      </c>
      <c r="U46">
        <v>0.60376731655190696</v>
      </c>
      <c r="V46">
        <v>0.17865956219076501</v>
      </c>
      <c r="W46">
        <v>0.87482894736842098</v>
      </c>
      <c r="X46">
        <v>46</v>
      </c>
      <c r="Y46">
        <v>3.6949845805281399E-2</v>
      </c>
      <c r="Z46">
        <v>9.2183844205149107E-2</v>
      </c>
      <c r="AA46">
        <v>1.52412463886795E-2</v>
      </c>
      <c r="AB46">
        <v>-2.32757939027016E-2</v>
      </c>
      <c r="AC46">
        <v>2.3594606163612202E-3</v>
      </c>
      <c r="AD46">
        <v>4968.6316803968002</v>
      </c>
      <c r="AE46">
        <v>54880698.847716503</v>
      </c>
      <c r="AF46">
        <v>14616.1903981736</v>
      </c>
      <c r="AG46">
        <v>56222685.430422299</v>
      </c>
    </row>
    <row r="47" spans="1:33" x14ac:dyDescent="0.25">
      <c r="A47">
        <v>1563</v>
      </c>
      <c r="B47" s="1">
        <v>45447</v>
      </c>
      <c r="C47">
        <v>27</v>
      </c>
      <c r="D47" t="s">
        <v>136</v>
      </c>
      <c r="E47">
        <v>4.71</v>
      </c>
      <c r="F47">
        <v>905</v>
      </c>
      <c r="G47" t="s">
        <v>70</v>
      </c>
      <c r="H47">
        <v>45.432879380000003</v>
      </c>
      <c r="I47">
        <v>-73.938965809999999</v>
      </c>
      <c r="J47">
        <v>39.020000000000003</v>
      </c>
      <c r="K47">
        <v>0</v>
      </c>
      <c r="L47">
        <v>0</v>
      </c>
      <c r="N47">
        <v>1</v>
      </c>
      <c r="O47" t="s">
        <v>137</v>
      </c>
      <c r="P47">
        <v>5</v>
      </c>
      <c r="Q47">
        <v>2</v>
      </c>
      <c r="R47">
        <v>206</v>
      </c>
      <c r="S47">
        <v>206</v>
      </c>
      <c r="T47">
        <v>0.27644586176200298</v>
      </c>
      <c r="U47">
        <v>0.55286783037333098</v>
      </c>
      <c r="V47">
        <v>0.110581143379803</v>
      </c>
      <c r="W47">
        <v>0.99292105263157904</v>
      </c>
      <c r="X47">
        <v>97</v>
      </c>
      <c r="Y47">
        <v>2.20124580010937E-2</v>
      </c>
      <c r="Z47">
        <v>8.2584937164454905E-2</v>
      </c>
      <c r="AA47">
        <v>1.1505769472139901E-2</v>
      </c>
      <c r="AB47">
        <v>-2.5157314117454602E-2</v>
      </c>
      <c r="AC47">
        <v>1.30649692806036E-3</v>
      </c>
      <c r="AD47">
        <v>3326.7065063258501</v>
      </c>
      <c r="AE47">
        <v>17070809.707425501</v>
      </c>
      <c r="AF47">
        <v>15768.5068125375</v>
      </c>
      <c r="AG47">
        <v>41135332.2575939</v>
      </c>
    </row>
    <row r="48" spans="1:33" x14ac:dyDescent="0.25">
      <c r="A48">
        <v>1564</v>
      </c>
      <c r="B48" s="1">
        <v>45447</v>
      </c>
      <c r="C48">
        <v>27</v>
      </c>
      <c r="D48" t="s">
        <v>138</v>
      </c>
      <c r="E48">
        <v>4.71</v>
      </c>
      <c r="F48">
        <v>905</v>
      </c>
      <c r="G48" t="s">
        <v>73</v>
      </c>
      <c r="H48">
        <v>45.43285247</v>
      </c>
      <c r="I48">
        <v>-73.939046630000007</v>
      </c>
      <c r="J48">
        <v>39.020000000000003</v>
      </c>
      <c r="K48">
        <v>0</v>
      </c>
      <c r="L48">
        <v>0</v>
      </c>
      <c r="N48">
        <v>1</v>
      </c>
      <c r="O48" t="s">
        <v>139</v>
      </c>
      <c r="P48">
        <v>5</v>
      </c>
      <c r="Q48">
        <v>1</v>
      </c>
      <c r="R48">
        <v>113</v>
      </c>
      <c r="S48">
        <v>113</v>
      </c>
      <c r="T48">
        <v>0.24743961970173001</v>
      </c>
      <c r="U48">
        <v>0.49485749969120102</v>
      </c>
      <c r="V48">
        <v>7.1945537473680002E-2</v>
      </c>
      <c r="W48">
        <v>0.98967132443883099</v>
      </c>
      <c r="X48">
        <v>86</v>
      </c>
      <c r="Y48">
        <v>1.49576115016712E-2</v>
      </c>
      <c r="Z48">
        <v>4.8767550603537997E-2</v>
      </c>
      <c r="AA48">
        <v>7.4760036072329204E-3</v>
      </c>
      <c r="AB48">
        <v>-3.2338164912741697E-2</v>
      </c>
      <c r="AC48">
        <v>1.28012493398837E-3</v>
      </c>
      <c r="AD48">
        <v>3132.9578394239402</v>
      </c>
      <c r="AE48">
        <v>11898291.743073599</v>
      </c>
      <c r="AF48">
        <v>16028.038406436201</v>
      </c>
      <c r="AG48">
        <v>31898174.493960299</v>
      </c>
    </row>
    <row r="49" spans="1:33" x14ac:dyDescent="0.25">
      <c r="A49">
        <v>1565</v>
      </c>
      <c r="B49" s="1">
        <v>45447</v>
      </c>
      <c r="C49">
        <v>27</v>
      </c>
      <c r="D49" t="s">
        <v>140</v>
      </c>
      <c r="E49">
        <v>4.71</v>
      </c>
      <c r="F49">
        <v>905</v>
      </c>
      <c r="G49" t="s">
        <v>76</v>
      </c>
      <c r="H49">
        <v>45.432825549999997</v>
      </c>
      <c r="I49">
        <v>-73.93912752</v>
      </c>
      <c r="J49">
        <v>39.020000000000003</v>
      </c>
      <c r="K49">
        <v>0</v>
      </c>
      <c r="L49">
        <v>0</v>
      </c>
      <c r="N49">
        <v>1</v>
      </c>
      <c r="O49" t="s">
        <v>141</v>
      </c>
      <c r="P49">
        <v>5</v>
      </c>
      <c r="Q49">
        <v>0</v>
      </c>
      <c r="R49">
        <v>106</v>
      </c>
      <c r="S49">
        <v>106</v>
      </c>
      <c r="T49">
        <v>0.28974889434651602</v>
      </c>
      <c r="U49">
        <v>0.579471311905566</v>
      </c>
      <c r="V49">
        <v>0.134056881173228</v>
      </c>
      <c r="W49">
        <v>0.99547374376652897</v>
      </c>
      <c r="X49">
        <v>99</v>
      </c>
      <c r="Y49">
        <v>2.4119479171775701E-2</v>
      </c>
      <c r="Z49">
        <v>8.2513193380621699E-2</v>
      </c>
      <c r="AA49">
        <v>1.21672952150612E-2</v>
      </c>
      <c r="AB49">
        <v>-2.1845847870100001E-2</v>
      </c>
      <c r="AC49">
        <v>1.3116998878463101E-3</v>
      </c>
      <c r="AD49">
        <v>3360.1698945985599</v>
      </c>
      <c r="AE49">
        <v>16173544.2032768</v>
      </c>
      <c r="AF49">
        <v>14810.249759029401</v>
      </c>
      <c r="AG49">
        <v>39510425.586916201</v>
      </c>
    </row>
    <row r="50" spans="1:33" x14ac:dyDescent="0.25">
      <c r="A50">
        <v>1566</v>
      </c>
      <c r="B50" s="1">
        <v>45447</v>
      </c>
      <c r="C50">
        <v>27</v>
      </c>
      <c r="D50" t="s">
        <v>142</v>
      </c>
      <c r="E50">
        <v>4.71</v>
      </c>
      <c r="F50">
        <v>905</v>
      </c>
      <c r="G50" t="s">
        <v>32</v>
      </c>
      <c r="H50">
        <v>45.432800960000002</v>
      </c>
      <c r="I50">
        <v>-73.939110929999998</v>
      </c>
      <c r="J50">
        <v>39.020000000000003</v>
      </c>
      <c r="K50">
        <v>0</v>
      </c>
      <c r="L50">
        <v>0</v>
      </c>
      <c r="N50">
        <v>1</v>
      </c>
      <c r="O50" t="s">
        <v>143</v>
      </c>
      <c r="P50">
        <v>6</v>
      </c>
      <c r="Q50">
        <v>0</v>
      </c>
      <c r="R50">
        <v>107</v>
      </c>
      <c r="S50">
        <v>107</v>
      </c>
      <c r="T50">
        <v>0.28915267076651702</v>
      </c>
      <c r="U50">
        <v>0.57827934211780796</v>
      </c>
      <c r="V50">
        <v>0.13626513937742099</v>
      </c>
      <c r="W50">
        <v>0.98660543940211298</v>
      </c>
      <c r="X50">
        <v>78</v>
      </c>
      <c r="Y50">
        <v>2.7040369492600601E-2</v>
      </c>
      <c r="Z50">
        <v>8.0000029539010795E-2</v>
      </c>
      <c r="AA50">
        <v>1.38362113154787E-2</v>
      </c>
      <c r="AB50">
        <v>-2.51227668909683E-2</v>
      </c>
      <c r="AC50">
        <v>1.49332969243363E-3</v>
      </c>
      <c r="AD50">
        <v>3469.8810212212202</v>
      </c>
      <c r="AE50">
        <v>20114383.892757799</v>
      </c>
      <c r="AF50">
        <v>15276.2499710271</v>
      </c>
      <c r="AG50">
        <v>42110760.783223003</v>
      </c>
    </row>
    <row r="51" spans="1:33" x14ac:dyDescent="0.25">
      <c r="A51">
        <v>1567</v>
      </c>
      <c r="B51" s="1">
        <v>45447</v>
      </c>
      <c r="C51">
        <v>27</v>
      </c>
      <c r="D51" t="s">
        <v>144</v>
      </c>
      <c r="E51">
        <v>4.71</v>
      </c>
      <c r="F51">
        <v>905</v>
      </c>
      <c r="G51" t="s">
        <v>35</v>
      </c>
      <c r="H51">
        <v>45.432827260000003</v>
      </c>
      <c r="I51">
        <v>-73.939029640000001</v>
      </c>
      <c r="J51">
        <v>39.020000000000003</v>
      </c>
      <c r="K51">
        <v>0</v>
      </c>
      <c r="L51">
        <v>0</v>
      </c>
      <c r="N51">
        <v>1</v>
      </c>
      <c r="O51" t="s">
        <v>145</v>
      </c>
      <c r="P51">
        <v>6</v>
      </c>
      <c r="Q51">
        <v>1</v>
      </c>
      <c r="R51">
        <v>114</v>
      </c>
      <c r="S51">
        <v>114</v>
      </c>
      <c r="T51">
        <v>0.26019532419535302</v>
      </c>
      <c r="U51">
        <v>0.520368461358789</v>
      </c>
      <c r="V51">
        <v>9.1071483379883994E-2</v>
      </c>
      <c r="W51">
        <v>0.98635526315789501</v>
      </c>
      <c r="X51">
        <v>61</v>
      </c>
      <c r="Y51">
        <v>1.8173391967286401E-2</v>
      </c>
      <c r="Z51">
        <v>5.8799545182557603E-2</v>
      </c>
      <c r="AA51">
        <v>8.6336617650861203E-3</v>
      </c>
      <c r="AB51">
        <v>-3.14319476856212E-2</v>
      </c>
      <c r="AC51">
        <v>1.4319178369902399E-3</v>
      </c>
      <c r="AD51">
        <v>3519.87551640527</v>
      </c>
      <c r="AE51">
        <v>20695955.993521102</v>
      </c>
      <c r="AF51">
        <v>16035.291269678901</v>
      </c>
      <c r="AG51">
        <v>36643175.491460703</v>
      </c>
    </row>
    <row r="52" spans="1:33" x14ac:dyDescent="0.25">
      <c r="A52">
        <v>1568</v>
      </c>
      <c r="B52" s="1">
        <v>45447</v>
      </c>
      <c r="C52">
        <v>27</v>
      </c>
      <c r="D52" t="s">
        <v>146</v>
      </c>
      <c r="E52">
        <v>4.71</v>
      </c>
      <c r="F52">
        <v>905</v>
      </c>
      <c r="G52" t="s">
        <v>38</v>
      </c>
      <c r="H52">
        <v>45.432854650000003</v>
      </c>
      <c r="I52">
        <v>-73.938949129999997</v>
      </c>
      <c r="J52">
        <v>39.020000000000003</v>
      </c>
      <c r="K52">
        <v>0</v>
      </c>
      <c r="L52">
        <v>0</v>
      </c>
      <c r="N52">
        <v>1</v>
      </c>
      <c r="O52" t="s">
        <v>147</v>
      </c>
      <c r="P52">
        <v>6</v>
      </c>
      <c r="Q52">
        <v>2</v>
      </c>
      <c r="R52">
        <v>207</v>
      </c>
      <c r="S52">
        <v>207</v>
      </c>
      <c r="T52">
        <v>0.35584585493719201</v>
      </c>
      <c r="U52">
        <v>0.71166124277837295</v>
      </c>
      <c r="V52">
        <v>0.25482191747185401</v>
      </c>
      <c r="W52">
        <v>0.98222368421052597</v>
      </c>
      <c r="X52">
        <v>84</v>
      </c>
      <c r="Y52">
        <v>4.1660098913674802E-2</v>
      </c>
      <c r="Z52">
        <v>0.12884107150138599</v>
      </c>
      <c r="AA52">
        <v>1.72300439931759E-2</v>
      </c>
      <c r="AB52">
        <v>-1.84671367588383E-2</v>
      </c>
      <c r="AC52">
        <v>2.17837653622031E-3</v>
      </c>
      <c r="AD52">
        <v>6667.5726019324502</v>
      </c>
      <c r="AE52">
        <v>73487697.230105296</v>
      </c>
      <c r="AF52">
        <v>13454.327067988101</v>
      </c>
      <c r="AG52">
        <v>65658737.154749699</v>
      </c>
    </row>
    <row r="53" spans="1:33" x14ac:dyDescent="0.25">
      <c r="A53">
        <v>1569</v>
      </c>
      <c r="B53" s="1">
        <v>45447</v>
      </c>
      <c r="C53">
        <v>27</v>
      </c>
      <c r="D53" t="s">
        <v>148</v>
      </c>
      <c r="E53">
        <v>4.71</v>
      </c>
      <c r="F53">
        <v>905</v>
      </c>
      <c r="G53" t="s">
        <v>41</v>
      </c>
      <c r="H53">
        <v>45.432881389999999</v>
      </c>
      <c r="I53">
        <v>-73.938868040000003</v>
      </c>
      <c r="J53">
        <v>39.020000000000003</v>
      </c>
      <c r="K53">
        <v>0</v>
      </c>
      <c r="L53">
        <v>0</v>
      </c>
      <c r="N53">
        <v>1</v>
      </c>
      <c r="O53" t="s">
        <v>149</v>
      </c>
      <c r="P53">
        <v>6</v>
      </c>
      <c r="Q53">
        <v>3</v>
      </c>
      <c r="R53">
        <v>214</v>
      </c>
      <c r="S53">
        <v>214</v>
      </c>
      <c r="T53">
        <v>0.37073212489778901</v>
      </c>
      <c r="U53">
        <v>0.741432703945341</v>
      </c>
      <c r="V53">
        <v>0.30220066910162402</v>
      </c>
      <c r="W53">
        <v>0.964539473684211</v>
      </c>
      <c r="X53">
        <v>61</v>
      </c>
      <c r="Y53">
        <v>4.7190284933407697E-2</v>
      </c>
      <c r="Z53">
        <v>0.13021104776953399</v>
      </c>
      <c r="AA53">
        <v>1.7305371114630898E-2</v>
      </c>
      <c r="AB53">
        <v>-1.88178434484263E-2</v>
      </c>
      <c r="AC53">
        <v>2.3630049835678801E-3</v>
      </c>
      <c r="AD53">
        <v>8033.7338632945603</v>
      </c>
      <c r="AE53">
        <v>99640808.900195405</v>
      </c>
      <c r="AF53">
        <v>12503.990910209101</v>
      </c>
      <c r="AG53">
        <v>72378693.751398206</v>
      </c>
    </row>
    <row r="54" spans="1:33" x14ac:dyDescent="0.25">
      <c r="A54">
        <v>1570</v>
      </c>
      <c r="B54" s="1">
        <v>45447</v>
      </c>
      <c r="C54">
        <v>27</v>
      </c>
      <c r="D54" t="s">
        <v>150</v>
      </c>
      <c r="E54">
        <v>4.71</v>
      </c>
      <c r="F54">
        <v>905</v>
      </c>
      <c r="G54" t="s">
        <v>44</v>
      </c>
      <c r="H54">
        <v>45.432908560000001</v>
      </c>
      <c r="I54">
        <v>-73.938787390000002</v>
      </c>
      <c r="J54">
        <v>39.018999999999998</v>
      </c>
      <c r="K54">
        <v>0</v>
      </c>
      <c r="L54">
        <v>0</v>
      </c>
      <c r="N54">
        <v>1</v>
      </c>
      <c r="O54" t="s">
        <v>151</v>
      </c>
      <c r="P54">
        <v>6</v>
      </c>
      <c r="Q54">
        <v>4</v>
      </c>
      <c r="R54">
        <v>307</v>
      </c>
      <c r="S54">
        <v>307</v>
      </c>
      <c r="T54">
        <v>0.36487423709314898</v>
      </c>
      <c r="U54">
        <v>0.72971701586133098</v>
      </c>
      <c r="V54">
        <v>0.29385512584407603</v>
      </c>
      <c r="W54">
        <v>0.98603928999065804</v>
      </c>
      <c r="X54">
        <v>83</v>
      </c>
      <c r="Y54">
        <v>4.8108044662012503E-2</v>
      </c>
      <c r="Z54">
        <v>0.129292467154903</v>
      </c>
      <c r="AA54">
        <v>1.7769664940597799E-2</v>
      </c>
      <c r="AB54">
        <v>-2.18133374406498E-2</v>
      </c>
      <c r="AC54">
        <v>2.3097719489723798E-3</v>
      </c>
      <c r="AD54">
        <v>7882.1877470841</v>
      </c>
      <c r="AE54">
        <v>94967848.501779497</v>
      </c>
      <c r="AF54">
        <v>12371.0419134562</v>
      </c>
      <c r="AG54">
        <v>69867033.129571304</v>
      </c>
    </row>
    <row r="55" spans="1:33" x14ac:dyDescent="0.25">
      <c r="A55">
        <v>1571</v>
      </c>
      <c r="B55" s="1">
        <v>45447</v>
      </c>
      <c r="C55">
        <v>27</v>
      </c>
      <c r="D55" t="s">
        <v>152</v>
      </c>
      <c r="E55">
        <v>4.71</v>
      </c>
      <c r="F55">
        <v>905</v>
      </c>
      <c r="G55" t="s">
        <v>47</v>
      </c>
      <c r="H55">
        <v>45.43293551</v>
      </c>
      <c r="I55">
        <v>-73.938706580000002</v>
      </c>
      <c r="J55">
        <v>39.018999999999998</v>
      </c>
      <c r="K55">
        <v>0</v>
      </c>
      <c r="L55">
        <v>0</v>
      </c>
      <c r="N55">
        <v>1</v>
      </c>
      <c r="O55" t="s">
        <v>153</v>
      </c>
      <c r="P55">
        <v>6</v>
      </c>
      <c r="Q55">
        <v>5</v>
      </c>
      <c r="R55">
        <v>314</v>
      </c>
      <c r="S55">
        <v>314</v>
      </c>
      <c r="T55">
        <v>0.301313307344107</v>
      </c>
      <c r="U55">
        <v>0.60259977236009998</v>
      </c>
      <c r="V55">
        <v>0.17853459706330099</v>
      </c>
      <c r="W55">
        <v>0.98860511322517397</v>
      </c>
      <c r="X55">
        <v>72</v>
      </c>
      <c r="Y55">
        <v>3.3226397543086303E-2</v>
      </c>
      <c r="Z55">
        <v>9.5864821824170804E-2</v>
      </c>
      <c r="AA55">
        <v>1.30231686098638E-2</v>
      </c>
      <c r="AB55">
        <v>-2.4529766227503799E-2</v>
      </c>
      <c r="AC55">
        <v>2.22684294496518E-3</v>
      </c>
      <c r="AD55">
        <v>4919.4459006531497</v>
      </c>
      <c r="AE55">
        <v>55922721.870961003</v>
      </c>
      <c r="AF55">
        <v>14576.500143423</v>
      </c>
      <c r="AG55">
        <v>57889802.408145301</v>
      </c>
    </row>
    <row r="56" spans="1:33" x14ac:dyDescent="0.25">
      <c r="A56">
        <v>1572</v>
      </c>
      <c r="B56" s="1">
        <v>45447</v>
      </c>
      <c r="C56">
        <v>27</v>
      </c>
      <c r="D56" t="s">
        <v>154</v>
      </c>
      <c r="E56">
        <v>4.71</v>
      </c>
      <c r="F56">
        <v>905</v>
      </c>
      <c r="G56" t="s">
        <v>49</v>
      </c>
      <c r="H56">
        <v>45.43296222</v>
      </c>
      <c r="I56">
        <v>-73.938625529999996</v>
      </c>
      <c r="J56">
        <v>39.018999999999998</v>
      </c>
      <c r="K56">
        <v>0</v>
      </c>
      <c r="L56">
        <v>0</v>
      </c>
      <c r="N56">
        <v>1</v>
      </c>
      <c r="O56" t="s">
        <v>155</v>
      </c>
      <c r="P56">
        <v>6</v>
      </c>
      <c r="Q56">
        <v>6</v>
      </c>
      <c r="R56">
        <v>407</v>
      </c>
      <c r="S56">
        <v>407</v>
      </c>
      <c r="T56">
        <v>0.35217988656537502</v>
      </c>
      <c r="U56">
        <v>0.70432881089486399</v>
      </c>
      <c r="V56">
        <v>0.25825481108621601</v>
      </c>
      <c r="W56">
        <v>0.69281983131800895</v>
      </c>
      <c r="X56">
        <v>24</v>
      </c>
      <c r="Y56">
        <v>4.8464023919452502E-2</v>
      </c>
      <c r="Z56">
        <v>0.119293904808646</v>
      </c>
      <c r="AA56">
        <v>1.8888303461622999E-2</v>
      </c>
      <c r="AB56">
        <v>-2.0674250591478701E-2</v>
      </c>
      <c r="AC56">
        <v>2.8795732803319502E-3</v>
      </c>
      <c r="AD56">
        <v>7409.1666861054</v>
      </c>
      <c r="AE56">
        <v>96053551.553016096</v>
      </c>
      <c r="AF56">
        <v>12991.815911244101</v>
      </c>
      <c r="AG56">
        <v>67165340.693588898</v>
      </c>
    </row>
    <row r="57" spans="1:33" x14ac:dyDescent="0.25">
      <c r="A57">
        <v>1573</v>
      </c>
      <c r="B57" s="1">
        <v>45447</v>
      </c>
      <c r="C57">
        <v>27</v>
      </c>
      <c r="D57" t="s">
        <v>156</v>
      </c>
      <c r="E57">
        <v>4.71</v>
      </c>
      <c r="F57">
        <v>905</v>
      </c>
      <c r="G57" t="s">
        <v>52</v>
      </c>
      <c r="H57">
        <v>45.4329891</v>
      </c>
      <c r="I57">
        <v>-73.938544620000002</v>
      </c>
      <c r="J57">
        <v>39.018999999999998</v>
      </c>
      <c r="K57">
        <v>0</v>
      </c>
      <c r="L57">
        <v>0</v>
      </c>
      <c r="N57">
        <v>1</v>
      </c>
      <c r="O57" t="s">
        <v>157</v>
      </c>
      <c r="P57">
        <v>6</v>
      </c>
      <c r="Q57">
        <v>7</v>
      </c>
      <c r="R57">
        <v>414</v>
      </c>
      <c r="S57">
        <v>414</v>
      </c>
      <c r="T57">
        <v>0.258886279762293</v>
      </c>
      <c r="U57">
        <v>0.51775050722731497</v>
      </c>
      <c r="V57">
        <v>9.1784118253694993E-2</v>
      </c>
      <c r="W57">
        <v>0.70513253542844601</v>
      </c>
      <c r="X57">
        <v>37</v>
      </c>
      <c r="Y57">
        <v>2.0024414206271102E-2</v>
      </c>
      <c r="Z57">
        <v>6.4682568954877798E-2</v>
      </c>
      <c r="AA57">
        <v>9.7172460305918907E-3</v>
      </c>
      <c r="AB57">
        <v>-2.7108230443388202E-2</v>
      </c>
      <c r="AC57">
        <v>1.48052954200556E-3</v>
      </c>
      <c r="AD57">
        <v>3285.29192039483</v>
      </c>
      <c r="AE57">
        <v>25261685.2530616</v>
      </c>
      <c r="AF57">
        <v>15875.7472831998</v>
      </c>
      <c r="AG57">
        <v>36968366.737242498</v>
      </c>
    </row>
    <row r="58" spans="1:33" x14ac:dyDescent="0.25">
      <c r="A58">
        <v>77777</v>
      </c>
      <c r="B58" s="1">
        <v>45771</v>
      </c>
      <c r="C58">
        <v>27</v>
      </c>
      <c r="T58">
        <v>0.13001852643954001</v>
      </c>
      <c r="U58">
        <v>0.26002022629937999</v>
      </c>
      <c r="V58">
        <v>0</v>
      </c>
      <c r="X58">
        <v>0</v>
      </c>
      <c r="Y58">
        <v>1.97744423751187E-2</v>
      </c>
      <c r="Z58">
        <v>-9.8932588370940197E-2</v>
      </c>
      <c r="AA58">
        <v>3.6941169557885803E-2</v>
      </c>
      <c r="AB58">
        <v>-4.9953151176148097E-2</v>
      </c>
      <c r="AC58">
        <v>1.15145675464433E-2</v>
      </c>
      <c r="AD58">
        <v>-46.778276593091398</v>
      </c>
      <c r="AE58">
        <v>2650260.3596178698</v>
      </c>
      <c r="AF58">
        <v>15325.9323601123</v>
      </c>
      <c r="AG58">
        <v>50849253.127275303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0228-DC39-4B60-8C98-F85B4ED396D6}">
  <dimension ref="A1:AF58"/>
  <sheetViews>
    <sheetView workbookViewId="0">
      <selection activeCell="G15" sqref="A1:AF58"/>
    </sheetView>
  </sheetViews>
  <sheetFormatPr defaultRowHeight="15" x14ac:dyDescent="0.25"/>
  <cols>
    <col min="3" max="3" width="10.42578125" bestFit="1" customWidth="1"/>
  </cols>
  <sheetData>
    <row r="1" spans="1:32" x14ac:dyDescent="0.25">
      <c r="A1" t="s">
        <v>0</v>
      </c>
      <c r="B1" t="s">
        <v>1</v>
      </c>
      <c r="C1" t="s">
        <v>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</row>
    <row r="2" spans="1:32" x14ac:dyDescent="0.25">
      <c r="A2">
        <v>1517</v>
      </c>
      <c r="B2" s="1">
        <v>45447</v>
      </c>
      <c r="C2">
        <v>35</v>
      </c>
      <c r="D2" t="s">
        <v>31</v>
      </c>
      <c r="E2">
        <v>4.71</v>
      </c>
      <c r="F2">
        <v>905</v>
      </c>
      <c r="G2" t="s">
        <v>32</v>
      </c>
      <c r="H2">
        <v>45.432950300000002</v>
      </c>
      <c r="I2">
        <v>-73.939211110000002</v>
      </c>
      <c r="J2">
        <v>39.021000000000001</v>
      </c>
      <c r="K2">
        <v>0</v>
      </c>
      <c r="L2">
        <v>0</v>
      </c>
      <c r="N2">
        <v>1</v>
      </c>
      <c r="O2" t="s">
        <v>33</v>
      </c>
      <c r="P2">
        <v>0</v>
      </c>
      <c r="Q2">
        <v>0</v>
      </c>
      <c r="R2">
        <v>101</v>
      </c>
      <c r="S2">
        <v>101</v>
      </c>
      <c r="T2">
        <v>0.30989557653263</v>
      </c>
      <c r="U2">
        <v>5.6533784092485398E-2</v>
      </c>
      <c r="V2">
        <v>9.4148943670882806E-2</v>
      </c>
      <c r="W2">
        <v>1.9562178033402801E-2</v>
      </c>
      <c r="X2">
        <v>-4.1060258922071699E-2</v>
      </c>
      <c r="Y2">
        <v>1.16698421631278E-3</v>
      </c>
      <c r="Z2">
        <v>7633.7196001191696</v>
      </c>
      <c r="AA2">
        <v>115457365.89037099</v>
      </c>
      <c r="AB2">
        <v>10351.040356380399</v>
      </c>
      <c r="AC2">
        <v>58781161.367917001</v>
      </c>
      <c r="AD2">
        <v>0.26384852196365299</v>
      </c>
      <c r="AE2">
        <v>0.89632894736842095</v>
      </c>
      <c r="AF2">
        <v>34</v>
      </c>
    </row>
    <row r="3" spans="1:32" x14ac:dyDescent="0.25">
      <c r="A3">
        <v>1519</v>
      </c>
      <c r="B3" s="1">
        <v>45447</v>
      </c>
      <c r="C3">
        <v>35</v>
      </c>
      <c r="D3" t="s">
        <v>34</v>
      </c>
      <c r="E3">
        <v>4.71</v>
      </c>
      <c r="F3">
        <v>905</v>
      </c>
      <c r="G3" t="s">
        <v>35</v>
      </c>
      <c r="H3">
        <v>45.432976490000001</v>
      </c>
      <c r="I3">
        <v>-73.939129780000002</v>
      </c>
      <c r="J3">
        <v>39.021000000000001</v>
      </c>
      <c r="K3">
        <v>0</v>
      </c>
      <c r="L3">
        <v>0</v>
      </c>
      <c r="N3">
        <v>1</v>
      </c>
      <c r="O3" t="s">
        <v>36</v>
      </c>
      <c r="P3">
        <v>0</v>
      </c>
      <c r="Q3">
        <v>1</v>
      </c>
      <c r="R3">
        <v>108</v>
      </c>
      <c r="S3">
        <v>108</v>
      </c>
      <c r="T3">
        <v>0.34445647789663097</v>
      </c>
      <c r="U3">
        <v>7.1227551890969507E-2</v>
      </c>
      <c r="V3">
        <v>0.11597745295419</v>
      </c>
      <c r="W3">
        <v>2.4221595618202699E-2</v>
      </c>
      <c r="X3">
        <v>-4.1292439844742103E-2</v>
      </c>
      <c r="Y3">
        <v>1.3867768625071301E-3</v>
      </c>
      <c r="Z3">
        <v>9490.9186406789995</v>
      </c>
      <c r="AA3">
        <v>130392907.80502</v>
      </c>
      <c r="AB3">
        <v>8318.0426785913205</v>
      </c>
      <c r="AC3">
        <v>65589583.635775797</v>
      </c>
      <c r="AD3">
        <v>0.34392171921136599</v>
      </c>
      <c r="AE3">
        <v>0.76757190600247405</v>
      </c>
      <c r="AF3">
        <v>28</v>
      </c>
    </row>
    <row r="4" spans="1:32" x14ac:dyDescent="0.25">
      <c r="A4">
        <v>1520</v>
      </c>
      <c r="B4" s="1">
        <v>45447</v>
      </c>
      <c r="C4">
        <v>35</v>
      </c>
      <c r="D4" t="s">
        <v>37</v>
      </c>
      <c r="E4">
        <v>4.71</v>
      </c>
      <c r="F4">
        <v>905</v>
      </c>
      <c r="G4" t="s">
        <v>38</v>
      </c>
      <c r="H4">
        <v>45.433003650000003</v>
      </c>
      <c r="I4">
        <v>-73.939049060000002</v>
      </c>
      <c r="J4">
        <v>39.021000000000001</v>
      </c>
      <c r="K4">
        <v>0</v>
      </c>
      <c r="L4">
        <v>0</v>
      </c>
      <c r="N4">
        <v>1</v>
      </c>
      <c r="O4" t="s">
        <v>39</v>
      </c>
      <c r="P4">
        <v>0</v>
      </c>
      <c r="Q4">
        <v>2</v>
      </c>
      <c r="R4">
        <v>201</v>
      </c>
      <c r="S4">
        <v>201</v>
      </c>
      <c r="T4">
        <v>0.33950844771544397</v>
      </c>
      <c r="U4">
        <v>7.1654504914145906E-2</v>
      </c>
      <c r="V4">
        <v>0.121312754612864</v>
      </c>
      <c r="W4">
        <v>2.3677530072883399E-2</v>
      </c>
      <c r="X4">
        <v>-3.8963071167934599E-2</v>
      </c>
      <c r="Y4">
        <v>1.2769748298968101E-3</v>
      </c>
      <c r="Z4">
        <v>9303.9268756124002</v>
      </c>
      <c r="AA4">
        <v>149428031.54774401</v>
      </c>
      <c r="AB4">
        <v>8024.7969114500002</v>
      </c>
      <c r="AC4">
        <v>67444604.330809101</v>
      </c>
      <c r="AD4">
        <v>0.32199888774132002</v>
      </c>
      <c r="AE4">
        <v>0.59768421052631604</v>
      </c>
      <c r="AF4">
        <v>17</v>
      </c>
    </row>
    <row r="5" spans="1:32" x14ac:dyDescent="0.25">
      <c r="A5">
        <v>1521</v>
      </c>
      <c r="B5" s="1">
        <v>45447</v>
      </c>
      <c r="C5">
        <v>35</v>
      </c>
      <c r="D5" t="s">
        <v>40</v>
      </c>
      <c r="E5">
        <v>4.71</v>
      </c>
      <c r="F5">
        <v>905</v>
      </c>
      <c r="G5" t="s">
        <v>41</v>
      </c>
      <c r="H5">
        <v>45.43303015</v>
      </c>
      <c r="I5">
        <v>-73.938967959999999</v>
      </c>
      <c r="J5">
        <v>39.021000000000001</v>
      </c>
      <c r="K5">
        <v>0</v>
      </c>
      <c r="L5">
        <v>0</v>
      </c>
      <c r="N5">
        <v>1</v>
      </c>
      <c r="O5" t="s">
        <v>42</v>
      </c>
      <c r="P5">
        <v>0</v>
      </c>
      <c r="Q5">
        <v>3</v>
      </c>
      <c r="R5">
        <v>208</v>
      </c>
      <c r="S5">
        <v>208</v>
      </c>
      <c r="T5">
        <v>0.43473274271248502</v>
      </c>
      <c r="U5">
        <v>7.22700635000528E-2</v>
      </c>
      <c r="V5">
        <v>0.165821266137719</v>
      </c>
      <c r="W5">
        <v>2.1423418227488999E-2</v>
      </c>
      <c r="X5">
        <v>-2.4502703914150901E-2</v>
      </c>
      <c r="Y5">
        <v>1.40477257463766E-3</v>
      </c>
      <c r="Z5">
        <v>14295.3486401314</v>
      </c>
      <c r="AA5">
        <v>213751197.24310699</v>
      </c>
      <c r="AB5">
        <v>5611.1493297429997</v>
      </c>
      <c r="AC5">
        <v>73048312.816983804</v>
      </c>
      <c r="AD5">
        <v>0.449643812399036</v>
      </c>
      <c r="AE5">
        <v>0.29071817679412598</v>
      </c>
      <c r="AF5">
        <v>8</v>
      </c>
    </row>
    <row r="6" spans="1:32" x14ac:dyDescent="0.25">
      <c r="A6">
        <v>1522</v>
      </c>
      <c r="B6" s="1">
        <v>45447</v>
      </c>
      <c r="C6">
        <v>35</v>
      </c>
      <c r="D6" t="s">
        <v>43</v>
      </c>
      <c r="E6">
        <v>4.71</v>
      </c>
      <c r="F6">
        <v>905</v>
      </c>
      <c r="G6" t="s">
        <v>44</v>
      </c>
      <c r="H6">
        <v>45.433057239999997</v>
      </c>
      <c r="I6">
        <v>-73.938887170000001</v>
      </c>
      <c r="J6">
        <v>39.021000000000001</v>
      </c>
      <c r="K6">
        <v>0</v>
      </c>
      <c r="L6">
        <v>0</v>
      </c>
      <c r="N6">
        <v>1</v>
      </c>
      <c r="O6" t="s">
        <v>45</v>
      </c>
      <c r="P6">
        <v>0</v>
      </c>
      <c r="Q6">
        <v>4</v>
      </c>
      <c r="R6">
        <v>301</v>
      </c>
      <c r="S6">
        <v>301</v>
      </c>
      <c r="T6">
        <v>0.30762149118808801</v>
      </c>
      <c r="U6">
        <v>7.2963482092980397E-2</v>
      </c>
      <c r="V6">
        <v>9.4463992060409202E-2</v>
      </c>
      <c r="W6">
        <v>2.3450527467084401E-2</v>
      </c>
      <c r="X6">
        <v>-3.4765882321447603E-2</v>
      </c>
      <c r="Y6">
        <v>1.2798591036138E-3</v>
      </c>
      <c r="Z6">
        <v>9201.6318249528304</v>
      </c>
      <c r="AA6">
        <v>169208372.128043</v>
      </c>
      <c r="AB6">
        <v>9211.9997217213204</v>
      </c>
      <c r="AC6">
        <v>72996267.870407403</v>
      </c>
      <c r="AD6">
        <v>0.28678870535270901</v>
      </c>
      <c r="AE6">
        <v>0.36028105632968899</v>
      </c>
      <c r="AF6">
        <v>12</v>
      </c>
    </row>
    <row r="7" spans="1:32" x14ac:dyDescent="0.25">
      <c r="A7">
        <v>1523</v>
      </c>
      <c r="B7" s="1">
        <v>45447</v>
      </c>
      <c r="C7">
        <v>35</v>
      </c>
      <c r="D7" t="s">
        <v>46</v>
      </c>
      <c r="E7">
        <v>4.71</v>
      </c>
      <c r="F7">
        <v>905</v>
      </c>
      <c r="G7" t="s">
        <v>47</v>
      </c>
      <c r="H7">
        <v>45.433084340000001</v>
      </c>
      <c r="I7">
        <v>-73.938806409999998</v>
      </c>
      <c r="J7">
        <v>39.021000000000001</v>
      </c>
      <c r="K7">
        <v>0</v>
      </c>
      <c r="L7">
        <v>0</v>
      </c>
      <c r="N7">
        <v>1</v>
      </c>
      <c r="O7">
        <v>5009381040517900</v>
      </c>
      <c r="P7">
        <v>0</v>
      </c>
      <c r="Q7">
        <v>5</v>
      </c>
      <c r="R7">
        <v>308</v>
      </c>
      <c r="S7">
        <v>308</v>
      </c>
      <c r="T7">
        <v>0.24637067359791201</v>
      </c>
      <c r="U7">
        <v>5.2424975822318198E-2</v>
      </c>
      <c r="V7">
        <v>6.2314966131832301E-2</v>
      </c>
      <c r="W7">
        <v>1.42645210873598E-2</v>
      </c>
      <c r="X7">
        <v>-3.7879712348313103E-2</v>
      </c>
      <c r="Y7">
        <v>1.2869913021933399E-3</v>
      </c>
      <c r="Z7">
        <v>7594.3495206694697</v>
      </c>
      <c r="AA7">
        <v>154384298.055971</v>
      </c>
      <c r="AB7">
        <v>10948.7460745178</v>
      </c>
      <c r="AC7">
        <v>54500446.565060399</v>
      </c>
      <c r="AD7">
        <v>0.20029925054950901</v>
      </c>
      <c r="AE7">
        <v>0.46047974315451501</v>
      </c>
      <c r="AF7">
        <v>11</v>
      </c>
    </row>
    <row r="8" spans="1:32" x14ac:dyDescent="0.25">
      <c r="A8">
        <v>1524</v>
      </c>
      <c r="B8" s="1">
        <v>45447</v>
      </c>
      <c r="C8">
        <v>35</v>
      </c>
      <c r="D8" t="s">
        <v>48</v>
      </c>
      <c r="E8">
        <v>4.71</v>
      </c>
      <c r="F8">
        <v>905</v>
      </c>
      <c r="G8" t="s">
        <v>49</v>
      </c>
      <c r="H8">
        <v>45.433110970000001</v>
      </c>
      <c r="I8">
        <v>-73.938725320000003</v>
      </c>
      <c r="J8">
        <v>39.021000000000001</v>
      </c>
      <c r="K8">
        <v>0</v>
      </c>
      <c r="L8">
        <v>0</v>
      </c>
      <c r="N8">
        <v>1</v>
      </c>
      <c r="O8" t="s">
        <v>50</v>
      </c>
      <c r="P8">
        <v>0</v>
      </c>
      <c r="Q8">
        <v>6</v>
      </c>
      <c r="R8">
        <v>401</v>
      </c>
      <c r="S8">
        <v>401</v>
      </c>
      <c r="T8">
        <v>0.36104368384762803</v>
      </c>
      <c r="U8">
        <v>6.4346900803622098E-2</v>
      </c>
      <c r="V8">
        <v>0.11574964529859399</v>
      </c>
      <c r="W8">
        <v>1.63755987772073E-2</v>
      </c>
      <c r="X8">
        <v>-4.1203667023020703E-2</v>
      </c>
      <c r="Y8">
        <v>1.6128395530079301E-3</v>
      </c>
      <c r="Z8">
        <v>12677.612387036999</v>
      </c>
      <c r="AA8">
        <v>228409162.35327899</v>
      </c>
      <c r="AB8">
        <v>8598.6751938473008</v>
      </c>
      <c r="AC8">
        <v>66140990.9544347</v>
      </c>
      <c r="AD8">
        <v>0.35333178853983899</v>
      </c>
      <c r="AE8">
        <v>0.679754730387642</v>
      </c>
      <c r="AF8">
        <v>26</v>
      </c>
    </row>
    <row r="9" spans="1:32" x14ac:dyDescent="0.25">
      <c r="A9">
        <v>1525</v>
      </c>
      <c r="B9" s="1">
        <v>45447</v>
      </c>
      <c r="C9">
        <v>35</v>
      </c>
      <c r="D9" t="s">
        <v>51</v>
      </c>
      <c r="E9">
        <v>4.71</v>
      </c>
      <c r="F9">
        <v>905</v>
      </c>
      <c r="G9" t="s">
        <v>52</v>
      </c>
      <c r="H9">
        <v>45.433137909999999</v>
      </c>
      <c r="I9">
        <v>-73.93864447</v>
      </c>
      <c r="J9">
        <v>39.021000000000001</v>
      </c>
      <c r="K9">
        <v>0</v>
      </c>
      <c r="L9">
        <v>0</v>
      </c>
      <c r="N9">
        <v>1</v>
      </c>
      <c r="O9" t="s">
        <v>53</v>
      </c>
      <c r="P9">
        <v>0</v>
      </c>
      <c r="Q9">
        <v>6</v>
      </c>
      <c r="R9">
        <v>408</v>
      </c>
      <c r="S9">
        <v>408</v>
      </c>
      <c r="T9">
        <v>0.39267316639076599</v>
      </c>
      <c r="U9">
        <v>5.7292837066212202E-2</v>
      </c>
      <c r="V9">
        <v>0.13209626801815399</v>
      </c>
      <c r="W9">
        <v>1.38123587158139E-2</v>
      </c>
      <c r="X9">
        <v>-4.0002060364332799E-2</v>
      </c>
      <c r="Y9">
        <v>1.6105688568750999E-3</v>
      </c>
      <c r="Z9">
        <v>13137.721379200801</v>
      </c>
      <c r="AA9">
        <v>231631457.53384399</v>
      </c>
      <c r="AB9">
        <v>8194.3428107340496</v>
      </c>
      <c r="AC9">
        <v>60522853.415899098</v>
      </c>
      <c r="AD9">
        <v>0.37158046661899802</v>
      </c>
      <c r="AE9">
        <v>0.79997631610110398</v>
      </c>
      <c r="AF9">
        <v>32</v>
      </c>
    </row>
    <row r="10" spans="1:32" x14ac:dyDescent="0.25">
      <c r="A10">
        <v>1526</v>
      </c>
      <c r="B10" s="1">
        <v>45447</v>
      </c>
      <c r="C10">
        <v>35</v>
      </c>
      <c r="D10" t="s">
        <v>54</v>
      </c>
      <c r="E10">
        <v>4.71</v>
      </c>
      <c r="F10">
        <v>905</v>
      </c>
      <c r="G10" t="s">
        <v>55</v>
      </c>
      <c r="H10">
        <v>45.433112700000002</v>
      </c>
      <c r="I10">
        <v>-73.938627629999999</v>
      </c>
      <c r="J10">
        <v>39.020000000000003</v>
      </c>
      <c r="K10">
        <v>0</v>
      </c>
      <c r="L10">
        <v>0</v>
      </c>
      <c r="N10">
        <v>1</v>
      </c>
      <c r="O10" t="s">
        <v>56</v>
      </c>
      <c r="P10">
        <v>1</v>
      </c>
      <c r="Q10">
        <v>7</v>
      </c>
      <c r="R10">
        <v>409</v>
      </c>
      <c r="S10">
        <v>409</v>
      </c>
      <c r="T10">
        <v>0.245322202495666</v>
      </c>
      <c r="U10">
        <v>4.2687681044869301E-2</v>
      </c>
      <c r="V10">
        <v>6.5402689102895095E-2</v>
      </c>
      <c r="W10">
        <v>1.2927070205978599E-2</v>
      </c>
      <c r="X10">
        <v>-4.1579540544660801E-2</v>
      </c>
      <c r="Y10">
        <v>1.17192295712769E-3</v>
      </c>
      <c r="Z10">
        <v>5598.6673022430596</v>
      </c>
      <c r="AA10">
        <v>118770982.582395</v>
      </c>
      <c r="AB10">
        <v>12641.4651734691</v>
      </c>
      <c r="AC10">
        <v>49101285.4287576</v>
      </c>
      <c r="AD10">
        <v>0.158238658933821</v>
      </c>
      <c r="AE10">
        <v>0.39765789473684199</v>
      </c>
      <c r="AF10">
        <v>12</v>
      </c>
    </row>
    <row r="11" spans="1:32" x14ac:dyDescent="0.25">
      <c r="A11">
        <v>1527</v>
      </c>
      <c r="B11" s="1">
        <v>45447</v>
      </c>
      <c r="C11">
        <v>35</v>
      </c>
      <c r="D11" t="s">
        <v>57</v>
      </c>
      <c r="E11">
        <v>4.71</v>
      </c>
      <c r="F11">
        <v>905</v>
      </c>
      <c r="G11" t="s">
        <v>58</v>
      </c>
      <c r="H11">
        <v>45.433086109999998</v>
      </c>
      <c r="I11">
        <v>-73.938708719999994</v>
      </c>
      <c r="J11">
        <v>39.020000000000003</v>
      </c>
      <c r="K11">
        <v>0</v>
      </c>
      <c r="L11">
        <v>0</v>
      </c>
      <c r="N11">
        <v>1</v>
      </c>
      <c r="O11" t="s">
        <v>59</v>
      </c>
      <c r="P11">
        <v>1</v>
      </c>
      <c r="Q11">
        <v>6</v>
      </c>
      <c r="R11">
        <v>402</v>
      </c>
      <c r="S11">
        <v>402</v>
      </c>
      <c r="T11">
        <v>0.39593979634338899</v>
      </c>
      <c r="U11">
        <v>6.9148048224040998E-2</v>
      </c>
      <c r="V11">
        <v>0.15517109594522999</v>
      </c>
      <c r="W11">
        <v>1.8282856600101399E-2</v>
      </c>
      <c r="X11">
        <v>-2.73660257396348E-2</v>
      </c>
      <c r="Y11">
        <v>1.4144342158882699E-3</v>
      </c>
      <c r="Z11">
        <v>13707.018378750599</v>
      </c>
      <c r="AA11">
        <v>258726992.999908</v>
      </c>
      <c r="AB11">
        <v>7190.0709114144602</v>
      </c>
      <c r="AC11">
        <v>74503205.385788798</v>
      </c>
      <c r="AD11">
        <v>0.37222266359471401</v>
      </c>
      <c r="AE11">
        <v>0.26739121853659797</v>
      </c>
      <c r="AF11">
        <v>4</v>
      </c>
    </row>
    <row r="12" spans="1:32" x14ac:dyDescent="0.25">
      <c r="A12">
        <v>1528</v>
      </c>
      <c r="B12" s="1">
        <v>45447</v>
      </c>
      <c r="C12">
        <v>35</v>
      </c>
      <c r="D12" t="s">
        <v>60</v>
      </c>
      <c r="E12">
        <v>4.71</v>
      </c>
      <c r="F12">
        <v>905</v>
      </c>
      <c r="G12" t="s">
        <v>61</v>
      </c>
      <c r="H12">
        <v>45.433059489999998</v>
      </c>
      <c r="I12">
        <v>-73.938789830000005</v>
      </c>
      <c r="J12">
        <v>39.021000000000001</v>
      </c>
      <c r="K12">
        <v>0</v>
      </c>
      <c r="L12">
        <v>0</v>
      </c>
      <c r="N12">
        <v>1</v>
      </c>
      <c r="O12" t="s">
        <v>62</v>
      </c>
      <c r="P12">
        <v>1</v>
      </c>
      <c r="Q12">
        <v>5</v>
      </c>
      <c r="R12">
        <v>309</v>
      </c>
      <c r="S12">
        <v>309</v>
      </c>
      <c r="T12">
        <v>0.37123875469040402</v>
      </c>
      <c r="U12">
        <v>6.4515306801787603E-2</v>
      </c>
      <c r="V12">
        <v>0.12702665112728401</v>
      </c>
      <c r="W12">
        <v>1.50088271115815E-2</v>
      </c>
      <c r="X12">
        <v>-3.23758030149544E-2</v>
      </c>
      <c r="Y12">
        <v>1.6005300809869599E-3</v>
      </c>
      <c r="Z12">
        <v>13974.027216874299</v>
      </c>
      <c r="AA12">
        <v>253231335.08566499</v>
      </c>
      <c r="AB12">
        <v>7470.1491001983704</v>
      </c>
      <c r="AC12">
        <v>65094810.910909399</v>
      </c>
      <c r="AD12">
        <v>0.36856983965149698</v>
      </c>
      <c r="AE12">
        <v>0.67669736842105299</v>
      </c>
      <c r="AF12">
        <v>14</v>
      </c>
    </row>
    <row r="13" spans="1:32" x14ac:dyDescent="0.25">
      <c r="A13">
        <v>1529</v>
      </c>
      <c r="B13" s="1">
        <v>45447</v>
      </c>
      <c r="C13">
        <v>35</v>
      </c>
      <c r="D13" t="s">
        <v>63</v>
      </c>
      <c r="E13">
        <v>4.71</v>
      </c>
      <c r="F13">
        <v>905</v>
      </c>
      <c r="G13" t="s">
        <v>64</v>
      </c>
      <c r="H13">
        <v>45.433032410000003</v>
      </c>
      <c r="I13">
        <v>-73.938870609999995</v>
      </c>
      <c r="J13">
        <v>39.021000000000001</v>
      </c>
      <c r="K13">
        <v>0</v>
      </c>
      <c r="L13">
        <v>0</v>
      </c>
      <c r="N13">
        <v>1</v>
      </c>
      <c r="O13" t="s">
        <v>65</v>
      </c>
      <c r="P13">
        <v>1</v>
      </c>
      <c r="Q13">
        <v>4</v>
      </c>
      <c r="R13">
        <v>302</v>
      </c>
      <c r="S13">
        <v>302</v>
      </c>
      <c r="T13">
        <v>0.41249349110300498</v>
      </c>
      <c r="U13">
        <v>7.5923932906912697E-2</v>
      </c>
      <c r="V13">
        <v>0.15199404043870199</v>
      </c>
      <c r="W13">
        <v>2.31318532650228E-2</v>
      </c>
      <c r="X13">
        <v>-3.0520325075494101E-2</v>
      </c>
      <c r="Y13">
        <v>1.51321224754424E-3</v>
      </c>
      <c r="Z13">
        <v>14217.988089721001</v>
      </c>
      <c r="AA13">
        <v>218248693.21664599</v>
      </c>
      <c r="AB13">
        <v>6349.9994315429904</v>
      </c>
      <c r="AC13">
        <v>83554518.760374606</v>
      </c>
      <c r="AD13">
        <v>0.440832594044198</v>
      </c>
      <c r="AE13">
        <v>0.55488743569163601</v>
      </c>
      <c r="AF13">
        <v>15</v>
      </c>
    </row>
    <row r="14" spans="1:32" x14ac:dyDescent="0.25">
      <c r="A14">
        <v>1530</v>
      </c>
      <c r="B14" s="1">
        <v>45447</v>
      </c>
      <c r="C14">
        <v>35</v>
      </c>
      <c r="D14" t="s">
        <v>66</v>
      </c>
      <c r="E14">
        <v>4.71</v>
      </c>
      <c r="F14">
        <v>905</v>
      </c>
      <c r="G14" t="s">
        <v>67</v>
      </c>
      <c r="H14">
        <v>45.433005639999998</v>
      </c>
      <c r="I14">
        <v>-73.938951599999996</v>
      </c>
      <c r="J14">
        <v>39.021000000000001</v>
      </c>
      <c r="K14">
        <v>0</v>
      </c>
      <c r="L14">
        <v>0</v>
      </c>
      <c r="N14">
        <v>1</v>
      </c>
      <c r="O14" t="s">
        <v>68</v>
      </c>
      <c r="P14">
        <v>1</v>
      </c>
      <c r="Q14">
        <v>3</v>
      </c>
      <c r="R14">
        <v>209</v>
      </c>
      <c r="S14">
        <v>209</v>
      </c>
      <c r="T14">
        <v>0.338380918962852</v>
      </c>
      <c r="U14">
        <v>6.4864227512925601E-2</v>
      </c>
      <c r="V14">
        <v>9.7865812773311495E-2</v>
      </c>
      <c r="W14">
        <v>1.6876184649346399E-2</v>
      </c>
      <c r="X14">
        <v>-3.9604871706225099E-2</v>
      </c>
      <c r="Y14">
        <v>1.41453636014614E-3</v>
      </c>
      <c r="Z14">
        <v>11422.978211502699</v>
      </c>
      <c r="AA14">
        <v>205488286.743294</v>
      </c>
      <c r="AB14">
        <v>8576.6188638495096</v>
      </c>
      <c r="AC14">
        <v>68318059.852952003</v>
      </c>
      <c r="AD14">
        <v>0.33162079672675998</v>
      </c>
      <c r="AE14">
        <v>0.77599273703323601</v>
      </c>
      <c r="AF14">
        <v>26</v>
      </c>
    </row>
    <row r="15" spans="1:32" x14ac:dyDescent="0.25">
      <c r="A15">
        <v>1531</v>
      </c>
      <c r="B15" s="1">
        <v>45447</v>
      </c>
      <c r="C15">
        <v>35</v>
      </c>
      <c r="D15" t="s">
        <v>69</v>
      </c>
      <c r="E15">
        <v>4.71</v>
      </c>
      <c r="F15">
        <v>905</v>
      </c>
      <c r="G15" t="s">
        <v>70</v>
      </c>
      <c r="H15">
        <v>45.432978560000002</v>
      </c>
      <c r="I15">
        <v>-73.939032299999994</v>
      </c>
      <c r="J15">
        <v>39.021000000000001</v>
      </c>
      <c r="K15">
        <v>0</v>
      </c>
      <c r="L15">
        <v>0</v>
      </c>
      <c r="N15">
        <v>1</v>
      </c>
      <c r="O15" t="s">
        <v>71</v>
      </c>
      <c r="P15">
        <v>1</v>
      </c>
      <c r="Q15">
        <v>2</v>
      </c>
      <c r="R15">
        <v>202</v>
      </c>
      <c r="S15">
        <v>202</v>
      </c>
      <c r="T15">
        <v>0.306907569245923</v>
      </c>
      <c r="U15">
        <v>6.3850985961113799E-2</v>
      </c>
      <c r="V15">
        <v>9.9491892193523307E-2</v>
      </c>
      <c r="W15">
        <v>2.18163876687196E-2</v>
      </c>
      <c r="X15">
        <v>-4.0848711360384302E-2</v>
      </c>
      <c r="Y15">
        <v>1.2774787903419499E-3</v>
      </c>
      <c r="Z15">
        <v>8036.4855504723801</v>
      </c>
      <c r="AA15">
        <v>115522596.836712</v>
      </c>
      <c r="AB15">
        <v>9502.5777905769992</v>
      </c>
      <c r="AC15">
        <v>56673625.504044197</v>
      </c>
      <c r="AD15">
        <v>0.28263474639672098</v>
      </c>
      <c r="AE15">
        <v>0.87217105263157901</v>
      </c>
      <c r="AF15">
        <v>66</v>
      </c>
    </row>
    <row r="16" spans="1:32" x14ac:dyDescent="0.25">
      <c r="A16">
        <v>1532</v>
      </c>
      <c r="B16" s="1">
        <v>45447</v>
      </c>
      <c r="C16">
        <v>35</v>
      </c>
      <c r="D16" t="s">
        <v>72</v>
      </c>
      <c r="E16">
        <v>4.71</v>
      </c>
      <c r="F16">
        <v>905</v>
      </c>
      <c r="G16" t="s">
        <v>73</v>
      </c>
      <c r="H16">
        <v>45.432951600000003</v>
      </c>
      <c r="I16">
        <v>-73.939113210000002</v>
      </c>
      <c r="J16">
        <v>39.021000000000001</v>
      </c>
      <c r="K16">
        <v>0</v>
      </c>
      <c r="L16">
        <v>0</v>
      </c>
      <c r="N16">
        <v>1</v>
      </c>
      <c r="O16" t="s">
        <v>74</v>
      </c>
      <c r="P16">
        <v>1</v>
      </c>
      <c r="Q16">
        <v>1</v>
      </c>
      <c r="R16">
        <v>109</v>
      </c>
      <c r="S16">
        <v>109</v>
      </c>
      <c r="T16">
        <v>0.31839208059945301</v>
      </c>
      <c r="U16">
        <v>6.72649750136073E-2</v>
      </c>
      <c r="V16">
        <v>9.1430297358393503E-2</v>
      </c>
      <c r="W16">
        <v>1.8845270362135399E-2</v>
      </c>
      <c r="X16">
        <v>-3.9643230523646697E-2</v>
      </c>
      <c r="Y16">
        <v>1.36924969070945E-3</v>
      </c>
      <c r="Z16">
        <v>9975.0895566854706</v>
      </c>
      <c r="AA16">
        <v>174832833.537361</v>
      </c>
      <c r="AB16">
        <v>8816.9227525647693</v>
      </c>
      <c r="AC16">
        <v>69614024.364040405</v>
      </c>
      <c r="AD16">
        <v>0.30528190461057703</v>
      </c>
      <c r="AE16">
        <v>0.54257894736842105</v>
      </c>
      <c r="AF16">
        <v>24</v>
      </c>
    </row>
    <row r="17" spans="1:32" x14ac:dyDescent="0.25">
      <c r="A17">
        <v>1533</v>
      </c>
      <c r="B17" s="1">
        <v>45447</v>
      </c>
      <c r="C17">
        <v>35</v>
      </c>
      <c r="D17" t="s">
        <v>75</v>
      </c>
      <c r="E17">
        <v>4.71</v>
      </c>
      <c r="F17">
        <v>905</v>
      </c>
      <c r="G17" t="s">
        <v>76</v>
      </c>
      <c r="H17">
        <v>45.432924700000001</v>
      </c>
      <c r="I17">
        <v>-73.939194060000005</v>
      </c>
      <c r="J17">
        <v>39.021000000000001</v>
      </c>
      <c r="K17">
        <v>0</v>
      </c>
      <c r="L17">
        <v>0</v>
      </c>
      <c r="N17">
        <v>1</v>
      </c>
      <c r="O17" t="s">
        <v>77</v>
      </c>
      <c r="P17">
        <v>1</v>
      </c>
      <c r="Q17">
        <v>0</v>
      </c>
      <c r="R17">
        <v>102</v>
      </c>
      <c r="S17">
        <v>102</v>
      </c>
      <c r="T17">
        <v>0.35441334840988797</v>
      </c>
      <c r="U17">
        <v>7.16545630097188E-2</v>
      </c>
      <c r="V17">
        <v>0.125547172722385</v>
      </c>
      <c r="W17">
        <v>2.6791163883973401E-2</v>
      </c>
      <c r="X17">
        <v>-3.0819617111031001E-2</v>
      </c>
      <c r="Y17">
        <v>1.29710033004811E-3</v>
      </c>
      <c r="Z17">
        <v>9484.3292065278602</v>
      </c>
      <c r="AA17">
        <v>132603547.09533501</v>
      </c>
      <c r="AB17">
        <v>8682.86105259328</v>
      </c>
      <c r="AC17">
        <v>75756711.506487995</v>
      </c>
      <c r="AD17">
        <v>0.328862259591512</v>
      </c>
      <c r="AE17">
        <v>0.46360526315789502</v>
      </c>
      <c r="AF17">
        <v>10</v>
      </c>
    </row>
    <row r="18" spans="1:32" x14ac:dyDescent="0.25">
      <c r="A18">
        <v>1534</v>
      </c>
      <c r="B18" s="1">
        <v>45447</v>
      </c>
      <c r="C18">
        <v>35</v>
      </c>
      <c r="D18" t="s">
        <v>78</v>
      </c>
      <c r="E18">
        <v>4.71</v>
      </c>
      <c r="F18">
        <v>905</v>
      </c>
      <c r="G18" t="s">
        <v>32</v>
      </c>
      <c r="H18">
        <v>45.432900410000002</v>
      </c>
      <c r="I18">
        <v>-73.939177689999994</v>
      </c>
      <c r="J18">
        <v>39.021000000000001</v>
      </c>
      <c r="K18">
        <v>0</v>
      </c>
      <c r="L18">
        <v>0</v>
      </c>
      <c r="N18">
        <v>1</v>
      </c>
      <c r="O18" t="s">
        <v>79</v>
      </c>
      <c r="P18">
        <v>2</v>
      </c>
      <c r="Q18">
        <v>0</v>
      </c>
      <c r="R18">
        <v>103</v>
      </c>
      <c r="S18">
        <v>103</v>
      </c>
      <c r="T18">
        <v>0.331592834481714</v>
      </c>
      <c r="U18">
        <v>6.8421812116992095E-2</v>
      </c>
      <c r="V18">
        <v>0.101844272486456</v>
      </c>
      <c r="W18">
        <v>2.2349490641169499E-2</v>
      </c>
      <c r="X18">
        <v>-3.6106879111570497E-2</v>
      </c>
      <c r="Y18">
        <v>1.1562913097929201E-3</v>
      </c>
      <c r="Z18">
        <v>9790.4827369326995</v>
      </c>
      <c r="AA18">
        <v>158966202.38391399</v>
      </c>
      <c r="AB18">
        <v>8956.9793835937708</v>
      </c>
      <c r="AC18">
        <v>73890090.313087806</v>
      </c>
      <c r="AD18">
        <v>0.30571683935251098</v>
      </c>
      <c r="AE18">
        <v>0.55298096027579302</v>
      </c>
      <c r="AF18">
        <v>15</v>
      </c>
    </row>
    <row r="19" spans="1:32" x14ac:dyDescent="0.25">
      <c r="A19">
        <v>1535</v>
      </c>
      <c r="B19" s="1">
        <v>45447</v>
      </c>
      <c r="C19">
        <v>35</v>
      </c>
      <c r="D19" t="s">
        <v>80</v>
      </c>
      <c r="E19">
        <v>4.71</v>
      </c>
      <c r="F19">
        <v>905</v>
      </c>
      <c r="G19" t="s">
        <v>35</v>
      </c>
      <c r="H19">
        <v>45.432926389999999</v>
      </c>
      <c r="I19">
        <v>-73.939096210000002</v>
      </c>
      <c r="J19">
        <v>39.021000000000001</v>
      </c>
      <c r="K19">
        <v>0</v>
      </c>
      <c r="L19">
        <v>0</v>
      </c>
      <c r="N19">
        <v>1</v>
      </c>
      <c r="O19" t="s">
        <v>81</v>
      </c>
      <c r="P19">
        <v>2</v>
      </c>
      <c r="Q19">
        <v>1</v>
      </c>
      <c r="R19">
        <v>110</v>
      </c>
      <c r="S19">
        <v>110</v>
      </c>
      <c r="T19">
        <v>0.28747372704855201</v>
      </c>
      <c r="U19">
        <v>6.6712106305075305E-2</v>
      </c>
      <c r="V19">
        <v>7.4118910554090395E-2</v>
      </c>
      <c r="W19">
        <v>1.9946755003271199E-2</v>
      </c>
      <c r="X19">
        <v>-3.8143391657010001E-2</v>
      </c>
      <c r="Y19">
        <v>1.2967506594322999E-3</v>
      </c>
      <c r="Z19">
        <v>8571.4011188718596</v>
      </c>
      <c r="AA19">
        <v>140436301.85126701</v>
      </c>
      <c r="AB19">
        <v>9798.6767874329398</v>
      </c>
      <c r="AC19">
        <v>65172223.975633003</v>
      </c>
      <c r="AD19">
        <v>0.27612300969909598</v>
      </c>
      <c r="AE19">
        <v>0.68587744575586496</v>
      </c>
      <c r="AF19">
        <v>27</v>
      </c>
    </row>
    <row r="20" spans="1:32" x14ac:dyDescent="0.25">
      <c r="A20">
        <v>1536</v>
      </c>
      <c r="B20" s="1">
        <v>45447</v>
      </c>
      <c r="C20">
        <v>35</v>
      </c>
      <c r="D20" t="s">
        <v>82</v>
      </c>
      <c r="E20">
        <v>4.71</v>
      </c>
      <c r="F20">
        <v>905</v>
      </c>
      <c r="G20" t="s">
        <v>38</v>
      </c>
      <c r="H20">
        <v>45.432953769999997</v>
      </c>
      <c r="I20">
        <v>-73.939015569999995</v>
      </c>
      <c r="J20">
        <v>39.021000000000001</v>
      </c>
      <c r="K20">
        <v>0</v>
      </c>
      <c r="L20">
        <v>0</v>
      </c>
      <c r="N20">
        <v>1</v>
      </c>
      <c r="O20" t="s">
        <v>83</v>
      </c>
      <c r="P20">
        <v>2</v>
      </c>
      <c r="Q20">
        <v>2</v>
      </c>
      <c r="R20">
        <v>203</v>
      </c>
      <c r="S20">
        <v>203</v>
      </c>
      <c r="T20">
        <v>0.341104014506589</v>
      </c>
      <c r="U20">
        <v>7.6773315598180403E-2</v>
      </c>
      <c r="V20">
        <v>0.117602783649274</v>
      </c>
      <c r="W20">
        <v>2.6881992656380301E-2</v>
      </c>
      <c r="X20">
        <v>-3.62831253742174E-2</v>
      </c>
      <c r="Y20">
        <v>1.3063700466077401E-3</v>
      </c>
      <c r="Z20">
        <v>9789.5100435640397</v>
      </c>
      <c r="AA20">
        <v>146363821.34521699</v>
      </c>
      <c r="AB20">
        <v>8010.6064032373397</v>
      </c>
      <c r="AC20">
        <v>71376857.4401021</v>
      </c>
      <c r="AD20">
        <v>0.340448352113982</v>
      </c>
      <c r="AE20">
        <v>0.56679517374771404</v>
      </c>
      <c r="AF20">
        <v>18</v>
      </c>
    </row>
    <row r="21" spans="1:32" x14ac:dyDescent="0.25">
      <c r="A21">
        <v>1537</v>
      </c>
      <c r="B21" s="1">
        <v>45447</v>
      </c>
      <c r="C21">
        <v>35</v>
      </c>
      <c r="D21" t="s">
        <v>84</v>
      </c>
      <c r="E21">
        <v>4.71</v>
      </c>
      <c r="F21">
        <v>905</v>
      </c>
      <c r="G21" t="s">
        <v>41</v>
      </c>
      <c r="H21">
        <v>45.432980710000002</v>
      </c>
      <c r="I21">
        <v>-73.938934779999997</v>
      </c>
      <c r="J21">
        <v>39.020000000000003</v>
      </c>
      <c r="K21">
        <v>0</v>
      </c>
      <c r="L21">
        <v>0</v>
      </c>
      <c r="N21">
        <v>1</v>
      </c>
      <c r="O21" t="s">
        <v>85</v>
      </c>
      <c r="P21">
        <v>2</v>
      </c>
      <c r="Q21">
        <v>3</v>
      </c>
      <c r="R21">
        <v>210</v>
      </c>
      <c r="S21">
        <v>210</v>
      </c>
      <c r="T21">
        <v>0.39871803961948799</v>
      </c>
      <c r="U21">
        <v>7.6287460811031493E-2</v>
      </c>
      <c r="V21">
        <v>0.13138514014979399</v>
      </c>
      <c r="W21">
        <v>2.1074376261965601E-2</v>
      </c>
      <c r="X21">
        <v>-4.0999012631910199E-2</v>
      </c>
      <c r="Y21">
        <v>1.4488789226769301E-3</v>
      </c>
      <c r="Z21">
        <v>14425.1061861949</v>
      </c>
      <c r="AA21">
        <v>226811605.877799</v>
      </c>
      <c r="AB21">
        <v>6237.7372810942597</v>
      </c>
      <c r="AC21">
        <v>78740074.428850099</v>
      </c>
      <c r="AD21">
        <v>0.42815433708936401</v>
      </c>
      <c r="AE21">
        <v>0.35080263157894698</v>
      </c>
      <c r="AF21">
        <v>8</v>
      </c>
    </row>
    <row r="22" spans="1:32" x14ac:dyDescent="0.25">
      <c r="A22">
        <v>1538</v>
      </c>
      <c r="B22" s="1">
        <v>45447</v>
      </c>
      <c r="C22">
        <v>35</v>
      </c>
      <c r="D22" t="s">
        <v>86</v>
      </c>
      <c r="E22">
        <v>4.71</v>
      </c>
      <c r="F22">
        <v>905</v>
      </c>
      <c r="G22" t="s">
        <v>44</v>
      </c>
      <c r="H22">
        <v>45.433007439999997</v>
      </c>
      <c r="I22">
        <v>-73.938853750000007</v>
      </c>
      <c r="J22">
        <v>39.020000000000003</v>
      </c>
      <c r="K22">
        <v>0</v>
      </c>
      <c r="L22">
        <v>0</v>
      </c>
      <c r="N22">
        <v>1</v>
      </c>
      <c r="O22" t="s">
        <v>87</v>
      </c>
      <c r="P22">
        <v>2</v>
      </c>
      <c r="Q22">
        <v>4</v>
      </c>
      <c r="R22">
        <v>303</v>
      </c>
      <c r="S22">
        <v>303</v>
      </c>
      <c r="T22">
        <v>0.36516071926356403</v>
      </c>
      <c r="U22">
        <v>7.1947964053133695E-2</v>
      </c>
      <c r="V22">
        <v>0.122018887400454</v>
      </c>
      <c r="W22">
        <v>2.0102023370746801E-2</v>
      </c>
      <c r="X22">
        <v>-3.6712657768919001E-2</v>
      </c>
      <c r="Y22">
        <v>1.59093059194103E-3</v>
      </c>
      <c r="Z22">
        <v>12836.241955986299</v>
      </c>
      <c r="AA22">
        <v>216202892.01772401</v>
      </c>
      <c r="AB22">
        <v>7568.6634407156398</v>
      </c>
      <c r="AC22">
        <v>75560486.912275597</v>
      </c>
      <c r="AD22">
        <v>0.37906835094409602</v>
      </c>
      <c r="AE22">
        <v>0.75536170100786804</v>
      </c>
      <c r="AF22">
        <v>28</v>
      </c>
    </row>
    <row r="23" spans="1:32" x14ac:dyDescent="0.25">
      <c r="A23">
        <v>1539</v>
      </c>
      <c r="B23" s="1">
        <v>45447</v>
      </c>
      <c r="C23">
        <v>35</v>
      </c>
      <c r="D23" t="s">
        <v>88</v>
      </c>
      <c r="E23">
        <v>4.71</v>
      </c>
      <c r="F23">
        <v>905</v>
      </c>
      <c r="G23" t="s">
        <v>47</v>
      </c>
      <c r="H23">
        <v>45.433034630000002</v>
      </c>
      <c r="I23">
        <v>-73.938773080000004</v>
      </c>
      <c r="J23">
        <v>39.020000000000003</v>
      </c>
      <c r="K23">
        <v>0</v>
      </c>
      <c r="L23">
        <v>0</v>
      </c>
      <c r="N23">
        <v>1</v>
      </c>
      <c r="O23" t="s">
        <v>89</v>
      </c>
      <c r="P23">
        <v>2</v>
      </c>
      <c r="Q23">
        <v>5</v>
      </c>
      <c r="R23">
        <v>310</v>
      </c>
      <c r="S23">
        <v>310</v>
      </c>
      <c r="T23">
        <v>0.36423097448215402</v>
      </c>
      <c r="U23">
        <v>7.8754968045518306E-2</v>
      </c>
      <c r="V23">
        <v>0.133380942774914</v>
      </c>
      <c r="W23">
        <v>2.3498838696372301E-2</v>
      </c>
      <c r="X23">
        <v>-3.3165915967327098E-2</v>
      </c>
      <c r="Y23">
        <v>1.38908168267114E-3</v>
      </c>
      <c r="Z23">
        <v>12378.490115463001</v>
      </c>
      <c r="AA23">
        <v>201203630.98975399</v>
      </c>
      <c r="AB23">
        <v>7373.5664798253101</v>
      </c>
      <c r="AC23">
        <v>81979271.588055998</v>
      </c>
      <c r="AD23">
        <v>0.37726093058976201</v>
      </c>
      <c r="AE23">
        <v>0.37701315789473699</v>
      </c>
      <c r="AF23">
        <v>10</v>
      </c>
    </row>
    <row r="24" spans="1:32" x14ac:dyDescent="0.25">
      <c r="A24">
        <v>1540</v>
      </c>
      <c r="B24" s="1">
        <v>45447</v>
      </c>
      <c r="C24">
        <v>35</v>
      </c>
      <c r="D24" t="s">
        <v>90</v>
      </c>
      <c r="E24">
        <v>4.71</v>
      </c>
      <c r="F24">
        <v>905</v>
      </c>
      <c r="G24" t="s">
        <v>49</v>
      </c>
      <c r="H24">
        <v>45.433061469999998</v>
      </c>
      <c r="I24">
        <v>-73.938692149999994</v>
      </c>
      <c r="J24">
        <v>39.020000000000003</v>
      </c>
      <c r="K24">
        <v>0</v>
      </c>
      <c r="L24">
        <v>0</v>
      </c>
      <c r="N24">
        <v>1</v>
      </c>
      <c r="O24" t="s">
        <v>91</v>
      </c>
      <c r="P24">
        <v>2</v>
      </c>
      <c r="Q24">
        <v>6</v>
      </c>
      <c r="R24">
        <v>403</v>
      </c>
      <c r="S24">
        <v>403</v>
      </c>
      <c r="T24">
        <v>0.367799799916461</v>
      </c>
      <c r="U24">
        <v>6.5587360063147804E-2</v>
      </c>
      <c r="V24">
        <v>0.130179477971093</v>
      </c>
      <c r="W24">
        <v>1.6086295229033602E-2</v>
      </c>
      <c r="X24">
        <v>-3.20119810202249E-2</v>
      </c>
      <c r="Y24">
        <v>1.2809183638407399E-3</v>
      </c>
      <c r="Z24">
        <v>13632.167172044899</v>
      </c>
      <c r="AA24">
        <v>251585149.219302</v>
      </c>
      <c r="AB24">
        <v>7931.7088259316397</v>
      </c>
      <c r="AC24">
        <v>63212965.726314403</v>
      </c>
      <c r="AD24">
        <v>0.35592086969187398</v>
      </c>
      <c r="AE24">
        <v>0.51777584800400001</v>
      </c>
      <c r="AF24">
        <v>10</v>
      </c>
    </row>
    <row r="25" spans="1:32" x14ac:dyDescent="0.25">
      <c r="A25">
        <v>1541</v>
      </c>
      <c r="B25" s="1">
        <v>45447</v>
      </c>
      <c r="C25">
        <v>35</v>
      </c>
      <c r="D25" t="s">
        <v>92</v>
      </c>
      <c r="E25">
        <v>4.71</v>
      </c>
      <c r="F25">
        <v>905</v>
      </c>
      <c r="G25" t="s">
        <v>52</v>
      </c>
      <c r="H25">
        <v>45.433088439999999</v>
      </c>
      <c r="I25">
        <v>-73.938611300000005</v>
      </c>
      <c r="J25">
        <v>39.020000000000003</v>
      </c>
      <c r="K25">
        <v>0</v>
      </c>
      <c r="L25">
        <v>0</v>
      </c>
      <c r="N25">
        <v>1</v>
      </c>
      <c r="O25" s="2" t="s">
        <v>93</v>
      </c>
      <c r="P25">
        <v>2</v>
      </c>
      <c r="Q25">
        <v>7</v>
      </c>
      <c r="R25">
        <v>410</v>
      </c>
      <c r="S25">
        <v>410</v>
      </c>
      <c r="T25">
        <v>0.41975271064673503</v>
      </c>
      <c r="U25">
        <v>6.6900032499012801E-2</v>
      </c>
      <c r="V25">
        <v>0.169870223845244</v>
      </c>
      <c r="W25">
        <v>1.9452197699448E-2</v>
      </c>
      <c r="X25">
        <v>-2.3263348919322299E-2</v>
      </c>
      <c r="Y25">
        <v>1.20896284277792E-3</v>
      </c>
      <c r="Z25">
        <v>13583.3552143746</v>
      </c>
      <c r="AA25">
        <v>240048156.79596901</v>
      </c>
      <c r="AB25">
        <v>6812.4003358254304</v>
      </c>
      <c r="AC25">
        <v>71996367.093309596</v>
      </c>
      <c r="AD25">
        <v>0.382173406424618</v>
      </c>
      <c r="AE25">
        <v>0.49609220809978699</v>
      </c>
      <c r="AF25">
        <v>13</v>
      </c>
    </row>
    <row r="26" spans="1:32" x14ac:dyDescent="0.25">
      <c r="A26">
        <v>1542</v>
      </c>
      <c r="B26" s="1">
        <v>45447</v>
      </c>
      <c r="C26">
        <v>35</v>
      </c>
      <c r="D26" t="s">
        <v>94</v>
      </c>
      <c r="E26">
        <v>4.71</v>
      </c>
      <c r="F26">
        <v>905</v>
      </c>
      <c r="G26" t="s">
        <v>55</v>
      </c>
      <c r="H26">
        <v>45.433062790000001</v>
      </c>
      <c r="I26">
        <v>-73.938594179999996</v>
      </c>
      <c r="J26">
        <v>39.020000000000003</v>
      </c>
      <c r="K26">
        <v>0</v>
      </c>
      <c r="L26">
        <v>0</v>
      </c>
      <c r="N26">
        <v>1</v>
      </c>
      <c r="O26" t="s">
        <v>95</v>
      </c>
      <c r="P26">
        <v>3</v>
      </c>
      <c r="Q26">
        <v>7</v>
      </c>
      <c r="R26">
        <v>411</v>
      </c>
      <c r="S26">
        <v>411</v>
      </c>
      <c r="T26">
        <v>0.35610500690374802</v>
      </c>
      <c r="U26">
        <v>5.4581042870954902E-2</v>
      </c>
      <c r="V26">
        <v>0.12754868612043499</v>
      </c>
      <c r="W26">
        <v>1.2924023343097699E-2</v>
      </c>
      <c r="X26">
        <v>-2.87488221712703E-2</v>
      </c>
      <c r="Y26">
        <v>1.4379059958488901E-3</v>
      </c>
      <c r="Z26">
        <v>11919.813944096501</v>
      </c>
      <c r="AA26">
        <v>237322669.83486101</v>
      </c>
      <c r="AB26">
        <v>9312.3452421528109</v>
      </c>
      <c r="AC26">
        <v>57811669.1314601</v>
      </c>
      <c r="AD26">
        <v>0.30551620036280303</v>
      </c>
      <c r="AE26">
        <v>0.50190129077249002</v>
      </c>
      <c r="AF26">
        <v>21</v>
      </c>
    </row>
    <row r="27" spans="1:32" x14ac:dyDescent="0.25">
      <c r="A27">
        <v>1543</v>
      </c>
      <c r="B27" s="1">
        <v>45447</v>
      </c>
      <c r="C27">
        <v>35</v>
      </c>
      <c r="D27" t="s">
        <v>96</v>
      </c>
      <c r="E27">
        <v>4.71</v>
      </c>
      <c r="F27">
        <v>905</v>
      </c>
      <c r="G27" t="s">
        <v>58</v>
      </c>
      <c r="H27">
        <v>45.433036340000001</v>
      </c>
      <c r="I27">
        <v>-73.938675329999995</v>
      </c>
      <c r="J27">
        <v>39.020000000000003</v>
      </c>
      <c r="K27">
        <v>0</v>
      </c>
      <c r="L27">
        <v>0</v>
      </c>
      <c r="N27">
        <v>1</v>
      </c>
      <c r="O27" t="s">
        <v>97</v>
      </c>
      <c r="P27">
        <v>3</v>
      </c>
      <c r="Q27">
        <v>6</v>
      </c>
      <c r="R27">
        <v>404</v>
      </c>
      <c r="S27">
        <v>404</v>
      </c>
      <c r="T27">
        <v>0.22790201557436199</v>
      </c>
      <c r="U27">
        <v>5.5985915152473698E-2</v>
      </c>
      <c r="V27">
        <v>5.7043220840801198E-2</v>
      </c>
      <c r="W27">
        <v>1.7226872250324699E-2</v>
      </c>
      <c r="X27">
        <v>-3.9452464640081203E-2</v>
      </c>
      <c r="Y27">
        <v>1.37037290182798E-3</v>
      </c>
      <c r="Z27">
        <v>7020.9510344599303</v>
      </c>
      <c r="AA27">
        <v>146378930.723032</v>
      </c>
      <c r="AB27">
        <v>11787.8998305646</v>
      </c>
      <c r="AC27">
        <v>59540166.790275797</v>
      </c>
      <c r="AD27">
        <v>0.18495150451852099</v>
      </c>
      <c r="AE27">
        <v>0.18684456374426001</v>
      </c>
      <c r="AF27">
        <v>4</v>
      </c>
    </row>
    <row r="28" spans="1:32" x14ac:dyDescent="0.25">
      <c r="A28">
        <v>1544</v>
      </c>
      <c r="B28" s="1">
        <v>45447</v>
      </c>
      <c r="C28">
        <v>35</v>
      </c>
      <c r="D28" t="s">
        <v>98</v>
      </c>
      <c r="E28">
        <v>4.71</v>
      </c>
      <c r="F28">
        <v>905</v>
      </c>
      <c r="G28" t="s">
        <v>61</v>
      </c>
      <c r="H28">
        <v>45.433010189999997</v>
      </c>
      <c r="I28">
        <v>-73.938756760000004</v>
      </c>
      <c r="J28">
        <v>39.020000000000003</v>
      </c>
      <c r="K28">
        <v>0</v>
      </c>
      <c r="L28">
        <v>0</v>
      </c>
      <c r="N28">
        <v>1</v>
      </c>
      <c r="O28" t="s">
        <v>99</v>
      </c>
      <c r="P28">
        <v>3</v>
      </c>
      <c r="Q28">
        <v>5</v>
      </c>
      <c r="R28">
        <v>311</v>
      </c>
      <c r="S28">
        <v>311</v>
      </c>
      <c r="T28">
        <v>0.298320438452992</v>
      </c>
      <c r="U28">
        <v>6.29920591014453E-2</v>
      </c>
      <c r="V28">
        <v>8.8580324355157405E-2</v>
      </c>
      <c r="W28">
        <v>1.58671741548971E-2</v>
      </c>
      <c r="X28">
        <v>-4.01013977264877E-2</v>
      </c>
      <c r="Y28">
        <v>1.4336238637812199E-3</v>
      </c>
      <c r="Z28">
        <v>10625.7195386775</v>
      </c>
      <c r="AA28">
        <v>196478136.91506499</v>
      </c>
      <c r="AB28">
        <v>9265.4528565655692</v>
      </c>
      <c r="AC28">
        <v>63943466.211885899</v>
      </c>
      <c r="AD28">
        <v>0.29253727390694101</v>
      </c>
      <c r="AE28">
        <v>0.846278338442915</v>
      </c>
      <c r="AF28">
        <v>57</v>
      </c>
    </row>
    <row r="29" spans="1:32" x14ac:dyDescent="0.25">
      <c r="A29">
        <v>1545</v>
      </c>
      <c r="B29" s="1">
        <v>45447</v>
      </c>
      <c r="C29">
        <v>35</v>
      </c>
      <c r="D29" t="s">
        <v>100</v>
      </c>
      <c r="E29">
        <v>4.71</v>
      </c>
      <c r="F29">
        <v>905</v>
      </c>
      <c r="G29" t="s">
        <v>64</v>
      </c>
      <c r="H29">
        <v>45.432982809999999</v>
      </c>
      <c r="I29">
        <v>-73.938837340000006</v>
      </c>
      <c r="J29">
        <v>39.020000000000003</v>
      </c>
      <c r="K29">
        <v>0</v>
      </c>
      <c r="L29">
        <v>0</v>
      </c>
      <c r="N29">
        <v>1</v>
      </c>
      <c r="O29" t="s">
        <v>101</v>
      </c>
      <c r="P29">
        <v>3</v>
      </c>
      <c r="Q29">
        <v>4</v>
      </c>
      <c r="R29">
        <v>304</v>
      </c>
      <c r="S29">
        <v>304</v>
      </c>
      <c r="T29">
        <v>0.28662061455474902</v>
      </c>
      <c r="U29">
        <v>8.1612232983293995E-2</v>
      </c>
      <c r="V29">
        <v>7.9991290082162797E-2</v>
      </c>
      <c r="W29">
        <v>2.67074766531647E-2</v>
      </c>
      <c r="X29">
        <v>-4.6282406189914402E-2</v>
      </c>
      <c r="Y29">
        <v>1.30177221655231E-3</v>
      </c>
      <c r="Z29">
        <v>9698.1000635576402</v>
      </c>
      <c r="AA29">
        <v>176795937.78011701</v>
      </c>
      <c r="AB29">
        <v>9388.1857702192392</v>
      </c>
      <c r="AC29">
        <v>83027332.792988002</v>
      </c>
      <c r="AD29">
        <v>0.296224941076772</v>
      </c>
      <c r="AE29">
        <v>0.43276885222174</v>
      </c>
      <c r="AF29">
        <v>9</v>
      </c>
    </row>
    <row r="30" spans="1:32" x14ac:dyDescent="0.25">
      <c r="A30">
        <v>1546</v>
      </c>
      <c r="B30" s="1">
        <v>45447</v>
      </c>
      <c r="C30">
        <v>35</v>
      </c>
      <c r="D30" t="s">
        <v>102</v>
      </c>
      <c r="E30">
        <v>4.71</v>
      </c>
      <c r="F30">
        <v>905</v>
      </c>
      <c r="G30" t="s">
        <v>67</v>
      </c>
      <c r="H30">
        <v>45.432955980000003</v>
      </c>
      <c r="I30">
        <v>-73.938918240000007</v>
      </c>
      <c r="J30">
        <v>39.020000000000003</v>
      </c>
      <c r="K30">
        <v>0</v>
      </c>
      <c r="L30">
        <v>0</v>
      </c>
      <c r="N30">
        <v>1</v>
      </c>
      <c r="O30" t="s">
        <v>103</v>
      </c>
      <c r="P30">
        <v>3</v>
      </c>
      <c r="Q30">
        <v>3</v>
      </c>
      <c r="R30">
        <v>211</v>
      </c>
      <c r="S30">
        <v>211</v>
      </c>
      <c r="T30">
        <v>0.35265102187689301</v>
      </c>
      <c r="U30">
        <v>7.8514820196988896E-2</v>
      </c>
      <c r="V30">
        <v>0.10873236283027</v>
      </c>
      <c r="W30">
        <v>2.16454612477502E-2</v>
      </c>
      <c r="X30">
        <v>-4.21286282839562E-2</v>
      </c>
      <c r="Y30">
        <v>1.3657027091851699E-3</v>
      </c>
      <c r="Z30">
        <v>12740.7507166738</v>
      </c>
      <c r="AA30">
        <v>224917287.92952299</v>
      </c>
      <c r="AB30">
        <v>7551.1328033753398</v>
      </c>
      <c r="AC30">
        <v>78776148.055185303</v>
      </c>
      <c r="AD30">
        <v>0.36827435532457198</v>
      </c>
      <c r="AE30">
        <v>0.46633508335635998</v>
      </c>
      <c r="AF30">
        <v>9</v>
      </c>
    </row>
    <row r="31" spans="1:32" x14ac:dyDescent="0.25">
      <c r="A31">
        <v>1547</v>
      </c>
      <c r="B31" s="1">
        <v>45447</v>
      </c>
      <c r="C31">
        <v>35</v>
      </c>
      <c r="D31" t="s">
        <v>104</v>
      </c>
      <c r="E31">
        <v>4.71</v>
      </c>
      <c r="F31">
        <v>905</v>
      </c>
      <c r="G31" t="s">
        <v>70</v>
      </c>
      <c r="H31">
        <v>45.432928949999997</v>
      </c>
      <c r="I31">
        <v>-73.938999030000005</v>
      </c>
      <c r="J31">
        <v>39.020000000000003</v>
      </c>
      <c r="K31">
        <v>0</v>
      </c>
      <c r="L31">
        <v>0</v>
      </c>
      <c r="N31">
        <v>1</v>
      </c>
      <c r="O31" t="s">
        <v>105</v>
      </c>
      <c r="P31">
        <v>3</v>
      </c>
      <c r="Q31">
        <v>2</v>
      </c>
      <c r="R31">
        <v>204</v>
      </c>
      <c r="S31">
        <v>204</v>
      </c>
      <c r="T31">
        <v>0.27063780905823798</v>
      </c>
      <c r="U31">
        <v>6.5308493471946505E-2</v>
      </c>
      <c r="V31">
        <v>6.9885409168109494E-2</v>
      </c>
      <c r="W31">
        <v>1.8550541675261701E-2</v>
      </c>
      <c r="X31">
        <v>-4.2458694624316402E-2</v>
      </c>
      <c r="Y31">
        <v>1.18947077906243E-3</v>
      </c>
      <c r="Z31">
        <v>8454.3727878816007</v>
      </c>
      <c r="AA31">
        <v>153605622.819585</v>
      </c>
      <c r="AB31">
        <v>9820.3052254973409</v>
      </c>
      <c r="AC31">
        <v>63386504.607053101</v>
      </c>
      <c r="AD31">
        <v>0.25560932979350298</v>
      </c>
      <c r="AE31">
        <v>0.77209810268150803</v>
      </c>
      <c r="AF31">
        <v>31</v>
      </c>
    </row>
    <row r="32" spans="1:32" x14ac:dyDescent="0.25">
      <c r="A32">
        <v>1548</v>
      </c>
      <c r="B32" s="1">
        <v>45447</v>
      </c>
      <c r="C32">
        <v>35</v>
      </c>
      <c r="D32" t="s">
        <v>106</v>
      </c>
      <c r="E32">
        <v>4.71</v>
      </c>
      <c r="F32">
        <v>905</v>
      </c>
      <c r="G32" t="s">
        <v>73</v>
      </c>
      <c r="H32">
        <v>45.432901870000002</v>
      </c>
      <c r="I32">
        <v>-73.939079800000002</v>
      </c>
      <c r="J32">
        <v>39.020000000000003</v>
      </c>
      <c r="K32">
        <v>0</v>
      </c>
      <c r="L32">
        <v>0</v>
      </c>
      <c r="N32">
        <v>1</v>
      </c>
      <c r="O32" t="s">
        <v>107</v>
      </c>
      <c r="P32">
        <v>3</v>
      </c>
      <c r="Q32">
        <v>1</v>
      </c>
      <c r="R32">
        <v>111</v>
      </c>
      <c r="S32">
        <v>111</v>
      </c>
      <c r="T32">
        <v>0.334630716703056</v>
      </c>
      <c r="U32">
        <v>7.81532642981356E-2</v>
      </c>
      <c r="V32">
        <v>0.11325884471816999</v>
      </c>
      <c r="W32">
        <v>2.59576949310165E-2</v>
      </c>
      <c r="X32">
        <v>-3.1514351647600497E-2</v>
      </c>
      <c r="Y32">
        <v>1.4124451610371899E-3</v>
      </c>
      <c r="Z32">
        <v>9633.1869256640493</v>
      </c>
      <c r="AA32">
        <v>144463063.74645001</v>
      </c>
      <c r="AB32">
        <v>8190.9893690438303</v>
      </c>
      <c r="AC32">
        <v>72658876.593728304</v>
      </c>
      <c r="AD32">
        <v>0.32964566616350199</v>
      </c>
      <c r="AE32">
        <v>0.56331578947368399</v>
      </c>
      <c r="AF32">
        <v>20</v>
      </c>
    </row>
    <row r="33" spans="1:32" x14ac:dyDescent="0.25">
      <c r="A33">
        <v>1549</v>
      </c>
      <c r="B33" s="1">
        <v>45447</v>
      </c>
      <c r="C33">
        <v>35</v>
      </c>
      <c r="D33" t="s">
        <v>108</v>
      </c>
      <c r="E33">
        <v>4.71</v>
      </c>
      <c r="F33">
        <v>905</v>
      </c>
      <c r="G33" t="s">
        <v>76</v>
      </c>
      <c r="H33">
        <v>45.432875099999997</v>
      </c>
      <c r="I33">
        <v>-73.939160810000004</v>
      </c>
      <c r="J33">
        <v>39.021000000000001</v>
      </c>
      <c r="K33">
        <v>0</v>
      </c>
      <c r="L33">
        <v>0</v>
      </c>
      <c r="N33">
        <v>1</v>
      </c>
      <c r="O33" t="s">
        <v>109</v>
      </c>
      <c r="P33">
        <v>3</v>
      </c>
      <c r="Q33">
        <v>0</v>
      </c>
      <c r="R33">
        <v>104</v>
      </c>
      <c r="S33">
        <v>104</v>
      </c>
      <c r="T33">
        <v>0.34949864877094799</v>
      </c>
      <c r="U33">
        <v>7.1028636853286295E-2</v>
      </c>
      <c r="V33">
        <v>0.12574186006878399</v>
      </c>
      <c r="W33">
        <v>2.5535312226009198E-2</v>
      </c>
      <c r="X33">
        <v>-2.9783102813276001E-2</v>
      </c>
      <c r="Y33">
        <v>1.2587885030579599E-3</v>
      </c>
      <c r="Z33">
        <v>9192.6927762292908</v>
      </c>
      <c r="AA33">
        <v>135585279.858448</v>
      </c>
      <c r="AB33">
        <v>8672.2798376163901</v>
      </c>
      <c r="AC33">
        <v>71848204.213300899</v>
      </c>
      <c r="AD33">
        <v>0.32382831379143701</v>
      </c>
      <c r="AE33">
        <v>0.59049461177120799</v>
      </c>
      <c r="AF33">
        <v>17</v>
      </c>
    </row>
    <row r="34" spans="1:32" x14ac:dyDescent="0.25">
      <c r="A34">
        <v>1550</v>
      </c>
      <c r="B34" s="1">
        <v>45447</v>
      </c>
      <c r="C34">
        <v>35</v>
      </c>
      <c r="D34" t="s">
        <v>110</v>
      </c>
      <c r="E34">
        <v>4.71</v>
      </c>
      <c r="F34">
        <v>905</v>
      </c>
      <c r="G34" t="s">
        <v>32</v>
      </c>
      <c r="H34">
        <v>45.432850459999997</v>
      </c>
      <c r="I34">
        <v>-73.939144119999995</v>
      </c>
      <c r="J34">
        <v>39.020000000000003</v>
      </c>
      <c r="K34">
        <v>0</v>
      </c>
      <c r="L34">
        <v>0</v>
      </c>
      <c r="N34">
        <v>1</v>
      </c>
      <c r="O34" t="s">
        <v>111</v>
      </c>
      <c r="P34">
        <v>4</v>
      </c>
      <c r="Q34">
        <v>0</v>
      </c>
      <c r="R34">
        <v>105</v>
      </c>
      <c r="S34">
        <v>105</v>
      </c>
      <c r="T34">
        <v>0.31651403800695599</v>
      </c>
      <c r="U34">
        <v>6.7202295477388402E-2</v>
      </c>
      <c r="V34">
        <v>9.5926367810745594E-2</v>
      </c>
      <c r="W34">
        <v>2.21785926505133E-2</v>
      </c>
      <c r="X34">
        <v>-3.5916252716112998E-2</v>
      </c>
      <c r="Y34">
        <v>1.1899588226562E-3</v>
      </c>
      <c r="Z34">
        <v>8904.4373551727294</v>
      </c>
      <c r="AA34">
        <v>144541974.312998</v>
      </c>
      <c r="AB34">
        <v>9720.8885269502207</v>
      </c>
      <c r="AC34">
        <v>73436548.145017803</v>
      </c>
      <c r="AD34">
        <v>0.290515220931926</v>
      </c>
      <c r="AE34">
        <v>0.62797368421052602</v>
      </c>
      <c r="AF34">
        <v>21</v>
      </c>
    </row>
    <row r="35" spans="1:32" x14ac:dyDescent="0.25">
      <c r="A35">
        <v>1551</v>
      </c>
      <c r="B35" s="1">
        <v>45447</v>
      </c>
      <c r="C35">
        <v>35</v>
      </c>
      <c r="D35" t="s">
        <v>112</v>
      </c>
      <c r="E35">
        <v>4.71</v>
      </c>
      <c r="F35">
        <v>905</v>
      </c>
      <c r="G35" t="s">
        <v>35</v>
      </c>
      <c r="H35">
        <v>45.432876950000001</v>
      </c>
      <c r="I35">
        <v>-73.939062980000003</v>
      </c>
      <c r="J35">
        <v>39.020000000000003</v>
      </c>
      <c r="K35">
        <v>0</v>
      </c>
      <c r="L35">
        <v>0</v>
      </c>
      <c r="N35">
        <v>1</v>
      </c>
      <c r="O35" t="s">
        <v>113</v>
      </c>
      <c r="P35">
        <v>4</v>
      </c>
      <c r="Q35">
        <v>1</v>
      </c>
      <c r="R35">
        <v>112</v>
      </c>
      <c r="S35">
        <v>112</v>
      </c>
      <c r="T35">
        <v>0.28141332989296602</v>
      </c>
      <c r="U35">
        <v>6.1371154957354797E-2</v>
      </c>
      <c r="V35">
        <v>7.4466293122021299E-2</v>
      </c>
      <c r="W35">
        <v>1.9522495108599498E-2</v>
      </c>
      <c r="X35">
        <v>-4.3948698611952899E-2</v>
      </c>
      <c r="Y35">
        <v>1.2591953753920699E-3</v>
      </c>
      <c r="Z35">
        <v>8192.5482346086901</v>
      </c>
      <c r="AA35">
        <v>119641742.79741301</v>
      </c>
      <c r="AB35">
        <v>9898.26482792762</v>
      </c>
      <c r="AC35">
        <v>56449942.124471799</v>
      </c>
      <c r="AD35">
        <v>0.26945306965566101</v>
      </c>
      <c r="AE35">
        <v>0.91844844146787497</v>
      </c>
      <c r="AF35">
        <v>63</v>
      </c>
    </row>
    <row r="36" spans="1:32" x14ac:dyDescent="0.25">
      <c r="A36">
        <v>1552</v>
      </c>
      <c r="B36" s="1">
        <v>45447</v>
      </c>
      <c r="C36">
        <v>35</v>
      </c>
      <c r="D36" t="s">
        <v>114</v>
      </c>
      <c r="E36">
        <v>4.71</v>
      </c>
      <c r="F36">
        <v>905</v>
      </c>
      <c r="G36" t="s">
        <v>38</v>
      </c>
      <c r="H36">
        <v>45.43290416</v>
      </c>
      <c r="I36">
        <v>-73.938982359999997</v>
      </c>
      <c r="J36">
        <v>39.020000000000003</v>
      </c>
      <c r="K36">
        <v>0</v>
      </c>
      <c r="L36">
        <v>0</v>
      </c>
      <c r="N36">
        <v>1</v>
      </c>
      <c r="O36" t="s">
        <v>115</v>
      </c>
      <c r="P36">
        <v>4</v>
      </c>
      <c r="Q36">
        <v>2</v>
      </c>
      <c r="R36">
        <v>205</v>
      </c>
      <c r="S36">
        <v>205</v>
      </c>
      <c r="T36">
        <v>0.293788745496111</v>
      </c>
      <c r="U36">
        <v>7.1893117295781198E-2</v>
      </c>
      <c r="V36">
        <v>7.8655064427314E-2</v>
      </c>
      <c r="W36">
        <v>2.1542800046754001E-2</v>
      </c>
      <c r="X36">
        <v>-4.6491312299801898E-2</v>
      </c>
      <c r="Y36">
        <v>1.2517079572494101E-3</v>
      </c>
      <c r="Z36">
        <v>9062.3733456916798</v>
      </c>
      <c r="AA36">
        <v>149211166.43040401</v>
      </c>
      <c r="AB36">
        <v>9155.0958839904506</v>
      </c>
      <c r="AC36">
        <v>67148724.739903897</v>
      </c>
      <c r="AD36">
        <v>0.29539541196332197</v>
      </c>
      <c r="AE36">
        <v>0.77962867932472801</v>
      </c>
      <c r="AF36">
        <v>29</v>
      </c>
    </row>
    <row r="37" spans="1:32" x14ac:dyDescent="0.25">
      <c r="A37">
        <v>1553</v>
      </c>
      <c r="B37" s="1">
        <v>45447</v>
      </c>
      <c r="C37">
        <v>35</v>
      </c>
      <c r="D37" t="s">
        <v>116</v>
      </c>
      <c r="E37">
        <v>4.71</v>
      </c>
      <c r="F37">
        <v>905</v>
      </c>
      <c r="G37" t="s">
        <v>41</v>
      </c>
      <c r="H37">
        <v>45.43293104</v>
      </c>
      <c r="I37">
        <v>-73.938901340000001</v>
      </c>
      <c r="J37">
        <v>39.020000000000003</v>
      </c>
      <c r="K37">
        <v>0</v>
      </c>
      <c r="L37">
        <v>0</v>
      </c>
      <c r="N37">
        <v>1</v>
      </c>
      <c r="O37" t="s">
        <v>117</v>
      </c>
      <c r="P37">
        <v>4</v>
      </c>
      <c r="Q37">
        <v>3</v>
      </c>
      <c r="R37">
        <v>212</v>
      </c>
      <c r="S37">
        <v>212</v>
      </c>
      <c r="T37">
        <v>0.306842462476833</v>
      </c>
      <c r="U37">
        <v>6.8089082990376498E-2</v>
      </c>
      <c r="V37">
        <v>8.5254583236566497E-2</v>
      </c>
      <c r="W37">
        <v>1.77653162056629E-2</v>
      </c>
      <c r="X37">
        <v>-4.6982378393213203E-2</v>
      </c>
      <c r="Y37">
        <v>1.27908692885865E-3</v>
      </c>
      <c r="Z37">
        <v>10926.1105160017</v>
      </c>
      <c r="AA37">
        <v>196281363.048545</v>
      </c>
      <c r="AB37">
        <v>8861.2694914949698</v>
      </c>
      <c r="AC37">
        <v>70896086.532280907</v>
      </c>
      <c r="AD37">
        <v>0.30391403943169598</v>
      </c>
      <c r="AE37">
        <v>0.72234210526315801</v>
      </c>
      <c r="AF37">
        <v>21</v>
      </c>
    </row>
    <row r="38" spans="1:32" x14ac:dyDescent="0.25">
      <c r="A38">
        <v>1554</v>
      </c>
      <c r="B38" s="1">
        <v>45447</v>
      </c>
      <c r="C38">
        <v>35</v>
      </c>
      <c r="D38" t="s">
        <v>118</v>
      </c>
      <c r="E38">
        <v>4.71</v>
      </c>
      <c r="F38">
        <v>905</v>
      </c>
      <c r="G38" t="s">
        <v>44</v>
      </c>
      <c r="H38">
        <v>45.432958130000003</v>
      </c>
      <c r="I38">
        <v>-73.938820660000005</v>
      </c>
      <c r="J38">
        <v>39.020000000000003</v>
      </c>
      <c r="K38">
        <v>0</v>
      </c>
      <c r="L38">
        <v>0</v>
      </c>
      <c r="N38">
        <v>1</v>
      </c>
      <c r="O38" t="s">
        <v>119</v>
      </c>
      <c r="P38">
        <v>4</v>
      </c>
      <c r="Q38">
        <v>4</v>
      </c>
      <c r="R38">
        <v>305</v>
      </c>
      <c r="S38">
        <v>305</v>
      </c>
      <c r="T38">
        <v>0.33934461065690102</v>
      </c>
      <c r="U38">
        <v>7.4888627597483007E-2</v>
      </c>
      <c r="V38">
        <v>0.111186909744834</v>
      </c>
      <c r="W38">
        <v>2.1204672778700001E-2</v>
      </c>
      <c r="X38">
        <v>-4.2051313347195501E-2</v>
      </c>
      <c r="Y38">
        <v>1.24218520206995E-3</v>
      </c>
      <c r="Z38">
        <v>11957.0191067622</v>
      </c>
      <c r="AA38">
        <v>188792812.327351</v>
      </c>
      <c r="AB38">
        <v>7990.4337322996098</v>
      </c>
      <c r="AC38">
        <v>72872179.638292193</v>
      </c>
      <c r="AD38">
        <v>0.36299537889119898</v>
      </c>
      <c r="AE38">
        <v>0.96055263157894699</v>
      </c>
      <c r="AF38">
        <v>76</v>
      </c>
    </row>
    <row r="39" spans="1:32" x14ac:dyDescent="0.25">
      <c r="A39">
        <v>1555</v>
      </c>
      <c r="B39" s="1">
        <v>45447</v>
      </c>
      <c r="C39">
        <v>35</v>
      </c>
      <c r="D39" t="s">
        <v>120</v>
      </c>
      <c r="E39">
        <v>4.71</v>
      </c>
      <c r="F39">
        <v>905</v>
      </c>
      <c r="G39" t="s">
        <v>47</v>
      </c>
      <c r="H39">
        <v>45.432985029999998</v>
      </c>
      <c r="I39">
        <v>-73.938739760000004</v>
      </c>
      <c r="J39">
        <v>39.020000000000003</v>
      </c>
      <c r="K39">
        <v>0</v>
      </c>
      <c r="L39">
        <v>0</v>
      </c>
      <c r="N39">
        <v>1</v>
      </c>
      <c r="O39" t="s">
        <v>121</v>
      </c>
      <c r="P39">
        <v>4</v>
      </c>
      <c r="Q39">
        <v>5</v>
      </c>
      <c r="R39">
        <v>312</v>
      </c>
      <c r="S39">
        <v>312</v>
      </c>
      <c r="T39">
        <v>0.415463847595677</v>
      </c>
      <c r="U39">
        <v>7.9420152640749905E-2</v>
      </c>
      <c r="V39">
        <v>0.15531475773390099</v>
      </c>
      <c r="W39">
        <v>2.1872442093316201E-2</v>
      </c>
      <c r="X39">
        <v>-3.3399893571357198E-2</v>
      </c>
      <c r="Y39">
        <v>1.3177476493290499E-3</v>
      </c>
      <c r="Z39">
        <v>15726.564822171</v>
      </c>
      <c r="AA39">
        <v>235799906.36542299</v>
      </c>
      <c r="AB39">
        <v>5526.7842494529996</v>
      </c>
      <c r="AC39">
        <v>80108079.681089699</v>
      </c>
      <c r="AD39">
        <v>0.45988586107359403</v>
      </c>
      <c r="AE39">
        <v>0.57459770266180699</v>
      </c>
      <c r="AF39">
        <v>14</v>
      </c>
    </row>
    <row r="40" spans="1:32" x14ac:dyDescent="0.25">
      <c r="A40">
        <v>1556</v>
      </c>
      <c r="B40" s="1">
        <v>45447</v>
      </c>
      <c r="C40">
        <v>35</v>
      </c>
      <c r="D40" t="s">
        <v>122</v>
      </c>
      <c r="E40">
        <v>4.71</v>
      </c>
      <c r="F40">
        <v>905</v>
      </c>
      <c r="G40" t="s">
        <v>49</v>
      </c>
      <c r="H40">
        <v>45.433011999999998</v>
      </c>
      <c r="I40">
        <v>-73.938658930000003</v>
      </c>
      <c r="J40">
        <v>39.020000000000003</v>
      </c>
      <c r="K40">
        <v>0</v>
      </c>
      <c r="L40">
        <v>0</v>
      </c>
      <c r="N40">
        <v>1</v>
      </c>
      <c r="O40" t="s">
        <v>123</v>
      </c>
      <c r="P40">
        <v>4</v>
      </c>
      <c r="Q40">
        <v>6</v>
      </c>
      <c r="R40">
        <v>405</v>
      </c>
      <c r="S40">
        <v>405</v>
      </c>
      <c r="T40">
        <v>0.34694416834034503</v>
      </c>
      <c r="U40">
        <v>6.2317645696363097E-2</v>
      </c>
      <c r="V40">
        <v>0.112306203646731</v>
      </c>
      <c r="W40">
        <v>1.4420620239168E-2</v>
      </c>
      <c r="X40">
        <v>-3.1865407839641799E-2</v>
      </c>
      <c r="Y40">
        <v>1.63542323487899E-3</v>
      </c>
      <c r="Z40">
        <v>13112.2828561025</v>
      </c>
      <c r="AA40">
        <v>246173203.11942399</v>
      </c>
      <c r="AB40">
        <v>8554.4816061931597</v>
      </c>
      <c r="AC40">
        <v>60740305.863329999</v>
      </c>
      <c r="AD40">
        <v>0.34420205898904299</v>
      </c>
      <c r="AE40">
        <v>0.84260526315789497</v>
      </c>
      <c r="AF40">
        <v>33</v>
      </c>
    </row>
    <row r="41" spans="1:32" x14ac:dyDescent="0.25">
      <c r="A41">
        <v>1557</v>
      </c>
      <c r="B41" s="1">
        <v>45447</v>
      </c>
      <c r="C41">
        <v>35</v>
      </c>
      <c r="D41" t="s">
        <v>124</v>
      </c>
      <c r="E41">
        <v>4.71</v>
      </c>
      <c r="F41">
        <v>905</v>
      </c>
      <c r="G41" t="s">
        <v>52</v>
      </c>
      <c r="H41">
        <v>45.433038779999997</v>
      </c>
      <c r="I41">
        <v>-73.938577969999997</v>
      </c>
      <c r="J41">
        <v>39.020000000000003</v>
      </c>
      <c r="K41">
        <v>0</v>
      </c>
      <c r="L41">
        <v>0</v>
      </c>
      <c r="N41">
        <v>1</v>
      </c>
      <c r="O41" t="s">
        <v>125</v>
      </c>
      <c r="P41">
        <v>4</v>
      </c>
      <c r="Q41">
        <v>7</v>
      </c>
      <c r="R41">
        <v>412</v>
      </c>
      <c r="S41">
        <v>412</v>
      </c>
      <c r="T41">
        <v>0.360956001788451</v>
      </c>
      <c r="U41">
        <v>5.7900302447085703E-2</v>
      </c>
      <c r="V41">
        <v>0.122637904539174</v>
      </c>
      <c r="W41">
        <v>1.4792983919980201E-2</v>
      </c>
      <c r="X41">
        <v>-3.1265881447415003E-2</v>
      </c>
      <c r="Y41">
        <v>1.54522377652525E-3</v>
      </c>
      <c r="Z41">
        <v>11883.740439871801</v>
      </c>
      <c r="AA41">
        <v>225146659.86915299</v>
      </c>
      <c r="AB41">
        <v>9323.7128610460095</v>
      </c>
      <c r="AC41">
        <v>64955619.533346198</v>
      </c>
      <c r="AD41">
        <v>0.33138688064405097</v>
      </c>
      <c r="AE41">
        <v>0.74141765023224004</v>
      </c>
      <c r="AF41">
        <v>25</v>
      </c>
    </row>
    <row r="42" spans="1:32" x14ac:dyDescent="0.25">
      <c r="A42">
        <v>1558</v>
      </c>
      <c r="B42" s="1">
        <v>45447</v>
      </c>
      <c r="C42">
        <v>35</v>
      </c>
      <c r="D42" t="s">
        <v>126</v>
      </c>
      <c r="E42">
        <v>4.71</v>
      </c>
      <c r="F42">
        <v>905</v>
      </c>
      <c r="G42" t="s">
        <v>55</v>
      </c>
      <c r="H42">
        <v>45.433013350000003</v>
      </c>
      <c r="I42">
        <v>-73.938561010000001</v>
      </c>
      <c r="J42">
        <v>39.018999999999998</v>
      </c>
      <c r="K42">
        <v>0</v>
      </c>
      <c r="L42">
        <v>0</v>
      </c>
      <c r="N42">
        <v>1</v>
      </c>
      <c r="O42" t="s">
        <v>127</v>
      </c>
      <c r="P42">
        <v>5</v>
      </c>
      <c r="Q42">
        <v>7</v>
      </c>
      <c r="R42">
        <v>413</v>
      </c>
      <c r="S42">
        <v>413</v>
      </c>
      <c r="T42">
        <v>0.40256136524500202</v>
      </c>
      <c r="U42">
        <v>6.0000264796764798E-2</v>
      </c>
      <c r="V42">
        <v>0.157106676006873</v>
      </c>
      <c r="W42">
        <v>1.6419369656369399E-2</v>
      </c>
      <c r="X42">
        <v>-2.0728328357425801E-2</v>
      </c>
      <c r="Y42">
        <v>1.41273393976756E-3</v>
      </c>
      <c r="Z42">
        <v>13066.3331016128</v>
      </c>
      <c r="AA42">
        <v>235918680.602972</v>
      </c>
      <c r="AB42">
        <v>7363.5646232680201</v>
      </c>
      <c r="AC42">
        <v>63730111.701928303</v>
      </c>
      <c r="AD42">
        <v>0.367323428934615</v>
      </c>
      <c r="AE42">
        <v>0.285930448283575</v>
      </c>
      <c r="AF42">
        <v>5</v>
      </c>
    </row>
    <row r="43" spans="1:32" x14ac:dyDescent="0.25">
      <c r="A43">
        <v>1559</v>
      </c>
      <c r="B43" s="1">
        <v>45447</v>
      </c>
      <c r="C43">
        <v>35</v>
      </c>
      <c r="D43" t="s">
        <v>128</v>
      </c>
      <c r="E43">
        <v>4.71</v>
      </c>
      <c r="F43">
        <v>905</v>
      </c>
      <c r="G43" t="s">
        <v>58</v>
      </c>
      <c r="H43">
        <v>45.432986759999999</v>
      </c>
      <c r="I43">
        <v>-73.938642099999996</v>
      </c>
      <c r="J43">
        <v>39.018999999999998</v>
      </c>
      <c r="K43">
        <v>0</v>
      </c>
      <c r="L43">
        <v>0</v>
      </c>
      <c r="N43">
        <v>1</v>
      </c>
      <c r="O43" t="s">
        <v>129</v>
      </c>
      <c r="P43">
        <v>5</v>
      </c>
      <c r="Q43">
        <v>6</v>
      </c>
      <c r="R43">
        <v>406</v>
      </c>
      <c r="S43">
        <v>406</v>
      </c>
      <c r="T43">
        <v>0.39591302678762202</v>
      </c>
      <c r="U43">
        <v>7.1881393613936695E-2</v>
      </c>
      <c r="V43">
        <v>0.15322905819252999</v>
      </c>
      <c r="W43">
        <v>2.0070768433824299E-2</v>
      </c>
      <c r="X43">
        <v>-1.91483950898832E-2</v>
      </c>
      <c r="Y43">
        <v>1.5221011422093401E-3</v>
      </c>
      <c r="Z43">
        <v>14159.5514985799</v>
      </c>
      <c r="AA43">
        <v>265014905.07016701</v>
      </c>
      <c r="AB43">
        <v>6472.5906766983999</v>
      </c>
      <c r="AC43">
        <v>77316500.543122798</v>
      </c>
      <c r="AD43">
        <v>0.381686009944188</v>
      </c>
      <c r="AE43">
        <v>0.25847368421052602</v>
      </c>
      <c r="AF43">
        <v>6</v>
      </c>
    </row>
    <row r="44" spans="1:32" x14ac:dyDescent="0.25">
      <c r="A44">
        <v>1560</v>
      </c>
      <c r="B44" s="1">
        <v>45447</v>
      </c>
      <c r="C44">
        <v>35</v>
      </c>
      <c r="D44" t="s">
        <v>130</v>
      </c>
      <c r="E44">
        <v>4.71</v>
      </c>
      <c r="F44">
        <v>905</v>
      </c>
      <c r="G44" t="s">
        <v>61</v>
      </c>
      <c r="H44">
        <v>45.432960379999997</v>
      </c>
      <c r="I44">
        <v>-73.938723330000002</v>
      </c>
      <c r="J44">
        <v>39.020000000000003</v>
      </c>
      <c r="K44">
        <v>0</v>
      </c>
      <c r="L44">
        <v>0</v>
      </c>
      <c r="N44">
        <v>1</v>
      </c>
      <c r="O44" t="s">
        <v>131</v>
      </c>
      <c r="P44">
        <v>5</v>
      </c>
      <c r="Q44">
        <v>5</v>
      </c>
      <c r="R44">
        <v>313</v>
      </c>
      <c r="S44">
        <v>313</v>
      </c>
      <c r="T44">
        <v>0.38240674758931498</v>
      </c>
      <c r="U44">
        <v>7.0856861921761397E-2</v>
      </c>
      <c r="V44">
        <v>0.14306016710582101</v>
      </c>
      <c r="W44">
        <v>1.7858732695518999E-2</v>
      </c>
      <c r="X44">
        <v>-2.6467798061770499E-2</v>
      </c>
      <c r="Y44">
        <v>1.4068509464918999E-3</v>
      </c>
      <c r="Z44">
        <v>13876.472776144699</v>
      </c>
      <c r="AA44">
        <v>236524739.96484599</v>
      </c>
      <c r="AB44">
        <v>6751.1267491313101</v>
      </c>
      <c r="AC44">
        <v>72945467.111769497</v>
      </c>
      <c r="AD44">
        <v>0.39573236937581102</v>
      </c>
      <c r="AE44">
        <v>0.82896052631578898</v>
      </c>
      <c r="AF44">
        <v>37</v>
      </c>
    </row>
    <row r="45" spans="1:32" x14ac:dyDescent="0.25">
      <c r="A45">
        <v>1561</v>
      </c>
      <c r="B45" s="1">
        <v>45447</v>
      </c>
      <c r="C45">
        <v>35</v>
      </c>
      <c r="D45" t="s">
        <v>132</v>
      </c>
      <c r="E45">
        <v>4.71</v>
      </c>
      <c r="F45">
        <v>905</v>
      </c>
      <c r="G45" t="s">
        <v>64</v>
      </c>
      <c r="H45">
        <v>45.432933179999999</v>
      </c>
      <c r="I45">
        <v>-73.938804039999994</v>
      </c>
      <c r="J45">
        <v>39.020000000000003</v>
      </c>
      <c r="K45">
        <v>0</v>
      </c>
      <c r="L45">
        <v>0</v>
      </c>
      <c r="N45">
        <v>1</v>
      </c>
      <c r="O45" t="s">
        <v>133</v>
      </c>
      <c r="P45">
        <v>5</v>
      </c>
      <c r="Q45">
        <v>4</v>
      </c>
      <c r="R45">
        <v>306</v>
      </c>
      <c r="S45">
        <v>306</v>
      </c>
      <c r="T45">
        <v>0.39808258608248498</v>
      </c>
      <c r="U45">
        <v>7.3111414286017806E-2</v>
      </c>
      <c r="V45">
        <v>0.14579755185517501</v>
      </c>
      <c r="W45">
        <v>1.9109790272798601E-2</v>
      </c>
      <c r="X45">
        <v>-3.6490278735727903E-2</v>
      </c>
      <c r="Y45">
        <v>1.4739931537180401E-3</v>
      </c>
      <c r="Z45">
        <v>14278.0778453818</v>
      </c>
      <c r="AA45">
        <v>221813619.340675</v>
      </c>
      <c r="AB45">
        <v>6333.6862780318597</v>
      </c>
      <c r="AC45">
        <v>72291626.609787405</v>
      </c>
      <c r="AD45">
        <v>0.42690492111517903</v>
      </c>
      <c r="AE45">
        <v>0.88980118159449495</v>
      </c>
      <c r="AF45">
        <v>43</v>
      </c>
    </row>
    <row r="46" spans="1:32" x14ac:dyDescent="0.25">
      <c r="A46">
        <v>1562</v>
      </c>
      <c r="B46" s="1">
        <v>45447</v>
      </c>
      <c r="C46">
        <v>35</v>
      </c>
      <c r="D46" t="s">
        <v>134</v>
      </c>
      <c r="E46">
        <v>4.71</v>
      </c>
      <c r="F46">
        <v>905</v>
      </c>
      <c r="G46" t="s">
        <v>67</v>
      </c>
      <c r="H46">
        <v>45.432906359999997</v>
      </c>
      <c r="I46">
        <v>-73.938884970000004</v>
      </c>
      <c r="J46">
        <v>39.020000000000003</v>
      </c>
      <c r="K46">
        <v>0</v>
      </c>
      <c r="L46">
        <v>0</v>
      </c>
      <c r="N46">
        <v>1</v>
      </c>
      <c r="O46" t="s">
        <v>135</v>
      </c>
      <c r="P46">
        <v>5</v>
      </c>
      <c r="Q46">
        <v>3</v>
      </c>
      <c r="R46">
        <v>213</v>
      </c>
      <c r="S46">
        <v>213</v>
      </c>
      <c r="T46">
        <v>0.33414537073976702</v>
      </c>
      <c r="U46">
        <v>7.7180465002607904E-2</v>
      </c>
      <c r="V46">
        <v>0.100245269980303</v>
      </c>
      <c r="W46">
        <v>2.2160068524725001E-2</v>
      </c>
      <c r="X46">
        <v>-5.2621331353266201E-2</v>
      </c>
      <c r="Y46">
        <v>1.43250136724095E-3</v>
      </c>
      <c r="Z46">
        <v>11664.0162136038</v>
      </c>
      <c r="AA46">
        <v>207587748.01235801</v>
      </c>
      <c r="AB46">
        <v>8201.8957034706</v>
      </c>
      <c r="AC46">
        <v>80503138.242252693</v>
      </c>
      <c r="AD46">
        <v>0.34868185850667999</v>
      </c>
      <c r="AE46">
        <v>0.461947368421053</v>
      </c>
      <c r="AF46">
        <v>15</v>
      </c>
    </row>
    <row r="47" spans="1:32" x14ac:dyDescent="0.25">
      <c r="A47">
        <v>1563</v>
      </c>
      <c r="B47" s="1">
        <v>45447</v>
      </c>
      <c r="C47">
        <v>35</v>
      </c>
      <c r="D47" t="s">
        <v>136</v>
      </c>
      <c r="E47">
        <v>4.71</v>
      </c>
      <c r="F47">
        <v>905</v>
      </c>
      <c r="G47" t="s">
        <v>70</v>
      </c>
      <c r="H47">
        <v>45.432879380000003</v>
      </c>
      <c r="I47">
        <v>-73.938965809999999</v>
      </c>
      <c r="J47">
        <v>39.020000000000003</v>
      </c>
      <c r="K47">
        <v>0</v>
      </c>
      <c r="L47">
        <v>0</v>
      </c>
      <c r="N47">
        <v>1</v>
      </c>
      <c r="O47" t="s">
        <v>137</v>
      </c>
      <c r="P47">
        <v>5</v>
      </c>
      <c r="Q47">
        <v>2</v>
      </c>
      <c r="R47">
        <v>206</v>
      </c>
      <c r="S47">
        <v>206</v>
      </c>
      <c r="T47">
        <v>0.33238210215277603</v>
      </c>
      <c r="U47">
        <v>7.5027945673024898E-2</v>
      </c>
      <c r="V47">
        <v>0.113183546977174</v>
      </c>
      <c r="W47">
        <v>2.4408302203812699E-2</v>
      </c>
      <c r="X47">
        <v>-4.5137668534006199E-2</v>
      </c>
      <c r="Y47">
        <v>1.2597249069781001E-3</v>
      </c>
      <c r="Z47">
        <v>9670.1871826276893</v>
      </c>
      <c r="AA47">
        <v>155331819.61679</v>
      </c>
      <c r="AB47">
        <v>8263.1775271552797</v>
      </c>
      <c r="AC47">
        <v>73402829.633565903</v>
      </c>
      <c r="AD47">
        <v>0.32619418054222199</v>
      </c>
      <c r="AE47">
        <v>0.61244736842105296</v>
      </c>
      <c r="AF47">
        <v>17</v>
      </c>
    </row>
    <row r="48" spans="1:32" x14ac:dyDescent="0.25">
      <c r="A48">
        <v>1564</v>
      </c>
      <c r="B48" s="1">
        <v>45447</v>
      </c>
      <c r="C48">
        <v>35</v>
      </c>
      <c r="D48" t="s">
        <v>138</v>
      </c>
      <c r="E48">
        <v>4.71</v>
      </c>
      <c r="F48">
        <v>905</v>
      </c>
      <c r="G48" t="s">
        <v>73</v>
      </c>
      <c r="H48">
        <v>45.43285247</v>
      </c>
      <c r="I48">
        <v>-73.939046630000007</v>
      </c>
      <c r="J48">
        <v>39.020000000000003</v>
      </c>
      <c r="K48">
        <v>0</v>
      </c>
      <c r="L48">
        <v>0</v>
      </c>
      <c r="N48">
        <v>1</v>
      </c>
      <c r="O48" t="s">
        <v>139</v>
      </c>
      <c r="P48">
        <v>5</v>
      </c>
      <c r="Q48">
        <v>1</v>
      </c>
      <c r="R48">
        <v>113</v>
      </c>
      <c r="S48">
        <v>113</v>
      </c>
      <c r="T48">
        <v>0.303017953594516</v>
      </c>
      <c r="U48">
        <v>7.3573689411640497E-2</v>
      </c>
      <c r="V48">
        <v>7.9159760713988295E-2</v>
      </c>
      <c r="W48">
        <v>2.3280560986742301E-2</v>
      </c>
      <c r="X48">
        <v>-4.7495191930332498E-2</v>
      </c>
      <c r="Y48">
        <v>1.3837503158625399E-3</v>
      </c>
      <c r="Z48">
        <v>9647.1648470965192</v>
      </c>
      <c r="AA48">
        <v>151454896.95917201</v>
      </c>
      <c r="AB48">
        <v>8926.0424469169193</v>
      </c>
      <c r="AC48">
        <v>72850321.708875</v>
      </c>
      <c r="AD48">
        <v>0.30529716703190501</v>
      </c>
      <c r="AE48">
        <v>0.66836399042130501</v>
      </c>
      <c r="AF48">
        <v>28</v>
      </c>
    </row>
    <row r="49" spans="1:32" x14ac:dyDescent="0.25">
      <c r="A49">
        <v>1565</v>
      </c>
      <c r="B49" s="1">
        <v>45447</v>
      </c>
      <c r="C49">
        <v>35</v>
      </c>
      <c r="D49" t="s">
        <v>140</v>
      </c>
      <c r="E49">
        <v>4.71</v>
      </c>
      <c r="F49">
        <v>905</v>
      </c>
      <c r="G49" t="s">
        <v>76</v>
      </c>
      <c r="H49">
        <v>45.432825549999997</v>
      </c>
      <c r="I49">
        <v>-73.93912752</v>
      </c>
      <c r="J49">
        <v>39.020000000000003</v>
      </c>
      <c r="K49">
        <v>0</v>
      </c>
      <c r="L49">
        <v>0</v>
      </c>
      <c r="N49">
        <v>1</v>
      </c>
      <c r="O49" t="s">
        <v>141</v>
      </c>
      <c r="P49">
        <v>5</v>
      </c>
      <c r="Q49">
        <v>0</v>
      </c>
      <c r="R49">
        <v>106</v>
      </c>
      <c r="S49">
        <v>106</v>
      </c>
      <c r="T49">
        <v>0.39900987942602201</v>
      </c>
      <c r="U49">
        <v>7.7720771134394295E-2</v>
      </c>
      <c r="V49">
        <v>0.16112245189046401</v>
      </c>
      <c r="W49">
        <v>2.7997178329052599E-2</v>
      </c>
      <c r="X49">
        <v>-2.35308402679421E-2</v>
      </c>
      <c r="Y49">
        <v>1.25681524997656E-3</v>
      </c>
      <c r="Z49">
        <v>11269.9671155425</v>
      </c>
      <c r="AA49">
        <v>162419799.628371</v>
      </c>
      <c r="AB49">
        <v>6926.7970842298801</v>
      </c>
      <c r="AC49">
        <v>82519341.276217699</v>
      </c>
      <c r="AD49">
        <v>0.387079261672096</v>
      </c>
      <c r="AE49">
        <v>0.410455125590453</v>
      </c>
      <c r="AF49">
        <v>10</v>
      </c>
    </row>
    <row r="50" spans="1:32" x14ac:dyDescent="0.25">
      <c r="A50">
        <v>1566</v>
      </c>
      <c r="B50" s="1">
        <v>45447</v>
      </c>
      <c r="C50">
        <v>35</v>
      </c>
      <c r="D50" t="s">
        <v>142</v>
      </c>
      <c r="E50">
        <v>4.71</v>
      </c>
      <c r="F50">
        <v>905</v>
      </c>
      <c r="G50" t="s">
        <v>32</v>
      </c>
      <c r="H50">
        <v>45.432800960000002</v>
      </c>
      <c r="I50">
        <v>-73.939110929999998</v>
      </c>
      <c r="J50">
        <v>39.020000000000003</v>
      </c>
      <c r="K50">
        <v>0</v>
      </c>
      <c r="L50">
        <v>0</v>
      </c>
      <c r="N50">
        <v>1</v>
      </c>
      <c r="O50" t="s">
        <v>143</v>
      </c>
      <c r="P50">
        <v>6</v>
      </c>
      <c r="Q50">
        <v>0</v>
      </c>
      <c r="R50">
        <v>107</v>
      </c>
      <c r="S50">
        <v>107</v>
      </c>
      <c r="T50">
        <v>0.363830241905781</v>
      </c>
      <c r="U50">
        <v>7.3049624301381594E-2</v>
      </c>
      <c r="V50">
        <v>0.14341879052012299</v>
      </c>
      <c r="W50">
        <v>2.6261235866710701E-2</v>
      </c>
      <c r="X50">
        <v>-3.14404001823382E-2</v>
      </c>
      <c r="Y50">
        <v>1.2247915901577801E-3</v>
      </c>
      <c r="Z50">
        <v>9819.6676222317892</v>
      </c>
      <c r="AA50">
        <v>138744425.274995</v>
      </c>
      <c r="AB50">
        <v>8190.3159296377698</v>
      </c>
      <c r="AC50">
        <v>74302304.681517199</v>
      </c>
      <c r="AD50">
        <v>0.33942864709192599</v>
      </c>
      <c r="AE50">
        <v>0.503210526315789</v>
      </c>
      <c r="AF50">
        <v>16</v>
      </c>
    </row>
    <row r="51" spans="1:32" x14ac:dyDescent="0.25">
      <c r="A51">
        <v>1567</v>
      </c>
      <c r="B51" s="1">
        <v>45447</v>
      </c>
      <c r="C51">
        <v>35</v>
      </c>
      <c r="D51" t="s">
        <v>144</v>
      </c>
      <c r="E51">
        <v>4.71</v>
      </c>
      <c r="F51">
        <v>905</v>
      </c>
      <c r="G51" t="s">
        <v>35</v>
      </c>
      <c r="H51">
        <v>45.432827260000003</v>
      </c>
      <c r="I51">
        <v>-73.939029640000001</v>
      </c>
      <c r="J51">
        <v>39.020000000000003</v>
      </c>
      <c r="K51">
        <v>0</v>
      </c>
      <c r="L51">
        <v>0</v>
      </c>
      <c r="N51">
        <v>1</v>
      </c>
      <c r="O51" t="s">
        <v>145</v>
      </c>
      <c r="P51">
        <v>6</v>
      </c>
      <c r="Q51">
        <v>1</v>
      </c>
      <c r="R51">
        <v>114</v>
      </c>
      <c r="S51">
        <v>114</v>
      </c>
      <c r="T51">
        <v>0.29181433823390301</v>
      </c>
      <c r="U51">
        <v>6.9455021131506506E-2</v>
      </c>
      <c r="V51">
        <v>7.3191600545670504E-2</v>
      </c>
      <c r="W51">
        <v>2.0359675905311701E-2</v>
      </c>
      <c r="X51">
        <v>-5.08518476191454E-2</v>
      </c>
      <c r="Y51">
        <v>1.2786887006640899E-3</v>
      </c>
      <c r="Z51">
        <v>9499.4961435333807</v>
      </c>
      <c r="AA51">
        <v>157055688.837107</v>
      </c>
      <c r="AB51">
        <v>9226.8934982202609</v>
      </c>
      <c r="AC51">
        <v>68772071.4706247</v>
      </c>
      <c r="AD51">
        <v>0.28508722566122702</v>
      </c>
      <c r="AE51">
        <v>0.66824563481098398</v>
      </c>
      <c r="AF51">
        <v>26</v>
      </c>
    </row>
    <row r="52" spans="1:32" x14ac:dyDescent="0.25">
      <c r="A52">
        <v>1568</v>
      </c>
      <c r="B52" s="1">
        <v>45447</v>
      </c>
      <c r="C52">
        <v>35</v>
      </c>
      <c r="D52" t="s">
        <v>146</v>
      </c>
      <c r="E52">
        <v>4.71</v>
      </c>
      <c r="F52">
        <v>905</v>
      </c>
      <c r="G52" t="s">
        <v>38</v>
      </c>
      <c r="H52">
        <v>45.432854650000003</v>
      </c>
      <c r="I52">
        <v>-73.938949129999997</v>
      </c>
      <c r="J52">
        <v>39.020000000000003</v>
      </c>
      <c r="K52">
        <v>0</v>
      </c>
      <c r="L52">
        <v>0</v>
      </c>
      <c r="N52">
        <v>1</v>
      </c>
      <c r="O52" t="s">
        <v>147</v>
      </c>
      <c r="P52">
        <v>6</v>
      </c>
      <c r="Q52">
        <v>2</v>
      </c>
      <c r="R52">
        <v>207</v>
      </c>
      <c r="S52">
        <v>207</v>
      </c>
      <c r="T52">
        <v>0.424854124079381</v>
      </c>
      <c r="U52">
        <v>7.6217750048282101E-2</v>
      </c>
      <c r="V52">
        <v>0.16379683165189399</v>
      </c>
      <c r="W52">
        <v>2.3391799725456301E-2</v>
      </c>
      <c r="X52">
        <v>-3.8916547519582199E-2</v>
      </c>
      <c r="Y52">
        <v>1.35736330450777E-3</v>
      </c>
      <c r="Z52">
        <v>13694.22249808</v>
      </c>
      <c r="AA52">
        <v>195928094.477516</v>
      </c>
      <c r="AB52">
        <v>5493.2238632273602</v>
      </c>
      <c r="AC52">
        <v>75178426.562193498</v>
      </c>
      <c r="AD52">
        <v>0.45134530335531398</v>
      </c>
      <c r="AE52">
        <v>0.54088869590389299</v>
      </c>
      <c r="AF52">
        <v>18</v>
      </c>
    </row>
    <row r="53" spans="1:32" x14ac:dyDescent="0.25">
      <c r="A53">
        <v>1569</v>
      </c>
      <c r="B53" s="1">
        <v>45447</v>
      </c>
      <c r="C53">
        <v>35</v>
      </c>
      <c r="D53" t="s">
        <v>148</v>
      </c>
      <c r="E53">
        <v>4.71</v>
      </c>
      <c r="F53">
        <v>905</v>
      </c>
      <c r="G53" t="s">
        <v>41</v>
      </c>
      <c r="H53">
        <v>45.432881389999999</v>
      </c>
      <c r="I53">
        <v>-73.938868040000003</v>
      </c>
      <c r="J53">
        <v>39.020000000000003</v>
      </c>
      <c r="K53">
        <v>0</v>
      </c>
      <c r="L53">
        <v>0</v>
      </c>
      <c r="N53">
        <v>1</v>
      </c>
      <c r="O53" t="s">
        <v>149</v>
      </c>
      <c r="P53">
        <v>6</v>
      </c>
      <c r="Q53">
        <v>3</v>
      </c>
      <c r="R53">
        <v>214</v>
      </c>
      <c r="S53">
        <v>214</v>
      </c>
      <c r="T53">
        <v>0.40398554118130597</v>
      </c>
      <c r="U53">
        <v>7.6154164288532999E-2</v>
      </c>
      <c r="V53">
        <v>0.14456910066342499</v>
      </c>
      <c r="W53">
        <v>2.2492089818760899E-2</v>
      </c>
      <c r="X53">
        <v>-4.5394531870384398E-2</v>
      </c>
      <c r="Y53">
        <v>1.53070871045667E-3</v>
      </c>
      <c r="Z53">
        <v>14157.138230328699</v>
      </c>
      <c r="AA53">
        <v>215553465.47251999</v>
      </c>
      <c r="AB53">
        <v>6192.4466999402102</v>
      </c>
      <c r="AC53">
        <v>80901057.528444096</v>
      </c>
      <c r="AD53">
        <v>0.43637988678870498</v>
      </c>
      <c r="AE53">
        <v>0.57714473684210499</v>
      </c>
      <c r="AF53">
        <v>16</v>
      </c>
    </row>
    <row r="54" spans="1:32" x14ac:dyDescent="0.25">
      <c r="A54">
        <v>1570</v>
      </c>
      <c r="B54" s="1">
        <v>45447</v>
      </c>
      <c r="C54">
        <v>35</v>
      </c>
      <c r="D54" t="s">
        <v>150</v>
      </c>
      <c r="E54">
        <v>4.71</v>
      </c>
      <c r="F54">
        <v>905</v>
      </c>
      <c r="G54" t="s">
        <v>44</v>
      </c>
      <c r="H54">
        <v>45.432908560000001</v>
      </c>
      <c r="I54">
        <v>-73.938787390000002</v>
      </c>
      <c r="J54">
        <v>39.018999999999998</v>
      </c>
      <c r="K54">
        <v>0</v>
      </c>
      <c r="L54">
        <v>0</v>
      </c>
      <c r="N54">
        <v>1</v>
      </c>
      <c r="O54" t="s">
        <v>151</v>
      </c>
      <c r="P54">
        <v>6</v>
      </c>
      <c r="Q54">
        <v>4</v>
      </c>
      <c r="R54">
        <v>307</v>
      </c>
      <c r="S54">
        <v>307</v>
      </c>
      <c r="T54">
        <v>0.39868539594504798</v>
      </c>
      <c r="U54">
        <v>7.6687461064049001E-2</v>
      </c>
      <c r="V54">
        <v>0.145870030898092</v>
      </c>
      <c r="W54">
        <v>2.2348492728464599E-2</v>
      </c>
      <c r="X54">
        <v>-3.3772702440341702E-2</v>
      </c>
      <c r="Y54">
        <v>1.4216677877417201E-3</v>
      </c>
      <c r="Z54">
        <v>13914.9777417326</v>
      </c>
      <c r="AA54">
        <v>209938593.93427801</v>
      </c>
      <c r="AB54">
        <v>5998.5835585894602</v>
      </c>
      <c r="AC54">
        <v>78301492.690282002</v>
      </c>
      <c r="AD54">
        <v>0.43132841206263001</v>
      </c>
      <c r="AE54">
        <v>0.67299569731180697</v>
      </c>
      <c r="AF54">
        <v>18</v>
      </c>
    </row>
    <row r="55" spans="1:32" x14ac:dyDescent="0.25">
      <c r="A55">
        <v>1571</v>
      </c>
      <c r="B55" s="1">
        <v>45447</v>
      </c>
      <c r="C55">
        <v>35</v>
      </c>
      <c r="D55" t="s">
        <v>152</v>
      </c>
      <c r="E55">
        <v>4.71</v>
      </c>
      <c r="F55">
        <v>905</v>
      </c>
      <c r="G55" t="s">
        <v>47</v>
      </c>
      <c r="H55">
        <v>45.43293551</v>
      </c>
      <c r="I55">
        <v>-73.938706580000002</v>
      </c>
      <c r="J55">
        <v>39.018999999999998</v>
      </c>
      <c r="K55">
        <v>0</v>
      </c>
      <c r="L55">
        <v>0</v>
      </c>
      <c r="N55">
        <v>1</v>
      </c>
      <c r="O55" t="s">
        <v>153</v>
      </c>
      <c r="P55">
        <v>6</v>
      </c>
      <c r="Q55">
        <v>5</v>
      </c>
      <c r="R55">
        <v>314</v>
      </c>
      <c r="S55">
        <v>314</v>
      </c>
      <c r="T55">
        <v>0.37734780658542899</v>
      </c>
      <c r="U55">
        <v>7.3341930620280493E-2</v>
      </c>
      <c r="V55">
        <v>0.134090369857187</v>
      </c>
      <c r="W55">
        <v>1.9891955753005602E-2</v>
      </c>
      <c r="X55">
        <v>-3.0753624667202599E-2</v>
      </c>
      <c r="Y55">
        <v>1.56351005163303E-3</v>
      </c>
      <c r="Z55">
        <v>13043.429477503199</v>
      </c>
      <c r="AA55">
        <v>208304336.685489</v>
      </c>
      <c r="AB55">
        <v>6809.04442580256</v>
      </c>
      <c r="AC55">
        <v>73714778.3905911</v>
      </c>
      <c r="AD55">
        <v>0.394342046026323</v>
      </c>
      <c r="AE55">
        <v>0.57284964275845696</v>
      </c>
      <c r="AF55">
        <v>15</v>
      </c>
    </row>
    <row r="56" spans="1:32" x14ac:dyDescent="0.25">
      <c r="A56">
        <v>1572</v>
      </c>
      <c r="B56" s="1">
        <v>45447</v>
      </c>
      <c r="C56">
        <v>35</v>
      </c>
      <c r="D56" t="s">
        <v>154</v>
      </c>
      <c r="E56">
        <v>4.71</v>
      </c>
      <c r="F56">
        <v>905</v>
      </c>
      <c r="G56" t="s">
        <v>49</v>
      </c>
      <c r="H56">
        <v>45.43296222</v>
      </c>
      <c r="I56">
        <v>-73.938625529999996</v>
      </c>
      <c r="J56">
        <v>39.018999999999998</v>
      </c>
      <c r="K56">
        <v>0</v>
      </c>
      <c r="L56">
        <v>0</v>
      </c>
      <c r="N56">
        <v>1</v>
      </c>
      <c r="O56" t="s">
        <v>155</v>
      </c>
      <c r="P56">
        <v>6</v>
      </c>
      <c r="Q56">
        <v>6</v>
      </c>
      <c r="R56">
        <v>407</v>
      </c>
      <c r="S56">
        <v>407</v>
      </c>
      <c r="T56">
        <v>0.37608336102665502</v>
      </c>
      <c r="U56">
        <v>7.1458940470033996E-2</v>
      </c>
      <c r="V56">
        <v>0.143350229158827</v>
      </c>
      <c r="W56">
        <v>2.0575422697499401E-2</v>
      </c>
      <c r="X56">
        <v>-2.47676422292188E-2</v>
      </c>
      <c r="Y56">
        <v>1.4030297030733199E-3</v>
      </c>
      <c r="Z56">
        <v>12869.677444982901</v>
      </c>
      <c r="AA56">
        <v>239008818.133733</v>
      </c>
      <c r="AB56">
        <v>6890.3328518791204</v>
      </c>
      <c r="AC56">
        <v>71785630.315678805</v>
      </c>
      <c r="AD56">
        <v>0.35324143958052001</v>
      </c>
      <c r="AE56">
        <v>0.38501822392399898</v>
      </c>
      <c r="AF56">
        <v>6</v>
      </c>
    </row>
    <row r="57" spans="1:32" x14ac:dyDescent="0.25">
      <c r="A57">
        <v>1573</v>
      </c>
      <c r="B57" s="1">
        <v>45447</v>
      </c>
      <c r="C57">
        <v>35</v>
      </c>
      <c r="D57" t="s">
        <v>156</v>
      </c>
      <c r="E57">
        <v>4.71</v>
      </c>
      <c r="F57">
        <v>905</v>
      </c>
      <c r="G57" t="s">
        <v>52</v>
      </c>
      <c r="H57">
        <v>45.4329891</v>
      </c>
      <c r="I57">
        <v>-73.938544620000002</v>
      </c>
      <c r="J57">
        <v>39.018999999999998</v>
      </c>
      <c r="K57">
        <v>0</v>
      </c>
      <c r="L57">
        <v>0</v>
      </c>
      <c r="N57">
        <v>1</v>
      </c>
      <c r="O57" t="s">
        <v>157</v>
      </c>
      <c r="P57">
        <v>6</v>
      </c>
      <c r="Q57">
        <v>7</v>
      </c>
      <c r="R57">
        <v>414</v>
      </c>
      <c r="S57">
        <v>414</v>
      </c>
      <c r="T57">
        <v>0.25485985958852803</v>
      </c>
      <c r="U57">
        <v>5.1701114442181902E-2</v>
      </c>
      <c r="V57">
        <v>7.3446571607088701E-2</v>
      </c>
      <c r="W57">
        <v>1.68262617144193E-2</v>
      </c>
      <c r="X57">
        <v>-3.3298174899203802E-2</v>
      </c>
      <c r="Y57">
        <v>1.2318308262993299E-3</v>
      </c>
      <c r="Z57">
        <v>6440.0537922724498</v>
      </c>
      <c r="AA57">
        <v>121852102.021386</v>
      </c>
      <c r="AB57">
        <v>11413.6959195124</v>
      </c>
      <c r="AC57">
        <v>53465212.106753603</v>
      </c>
      <c r="AD57">
        <v>0.18740234633616701</v>
      </c>
      <c r="AE57">
        <v>0.41580263157894698</v>
      </c>
      <c r="AF57">
        <v>13</v>
      </c>
    </row>
    <row r="58" spans="1:32" x14ac:dyDescent="0.25">
      <c r="A58">
        <v>77777</v>
      </c>
      <c r="B58" s="1">
        <v>45771</v>
      </c>
      <c r="C58">
        <v>35</v>
      </c>
      <c r="T58">
        <v>5.9061045513904099E-2</v>
      </c>
      <c r="U58">
        <v>2.3827872924916501E-2</v>
      </c>
      <c r="V58">
        <v>-0.13636870143709401</v>
      </c>
      <c r="W58">
        <v>3.7365785130069898E-2</v>
      </c>
      <c r="X58">
        <v>-6.6651965787511702E-2</v>
      </c>
      <c r="Y58">
        <v>1.04218543529621E-2</v>
      </c>
      <c r="Z58">
        <v>-961.45178211163397</v>
      </c>
      <c r="AA58">
        <v>3786260.7657651599</v>
      </c>
      <c r="AB58">
        <v>15010.5952646606</v>
      </c>
      <c r="AC58">
        <v>55625917.421612501</v>
      </c>
      <c r="AD58">
        <v>1.47948890383322E-3</v>
      </c>
      <c r="AF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3450-224B-4BE5-8D6F-02478BFB540C}">
  <dimension ref="A1:AI58"/>
  <sheetViews>
    <sheetView topLeftCell="A7" workbookViewId="0">
      <selection sqref="A1:AI58"/>
    </sheetView>
  </sheetViews>
  <sheetFormatPr defaultRowHeight="15" x14ac:dyDescent="0.25"/>
  <cols>
    <col min="2" max="3" width="10.42578125" bestFit="1" customWidth="1"/>
  </cols>
  <sheetData>
    <row r="1" spans="1:35" x14ac:dyDescent="0.25">
      <c r="A1" t="s">
        <v>0</v>
      </c>
      <c r="B1" t="s">
        <v>1</v>
      </c>
      <c r="C1" t="s">
        <v>172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21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</row>
    <row r="2" spans="1:35" x14ac:dyDescent="0.25">
      <c r="A2">
        <v>1517</v>
      </c>
      <c r="B2" s="1">
        <v>45447</v>
      </c>
      <c r="C2">
        <v>40</v>
      </c>
      <c r="D2" t="s">
        <v>31</v>
      </c>
      <c r="E2">
        <v>4.71</v>
      </c>
      <c r="F2">
        <v>905</v>
      </c>
      <c r="G2" t="s">
        <v>32</v>
      </c>
      <c r="H2">
        <v>45.432950300000002</v>
      </c>
      <c r="I2">
        <v>-73.939211110000002</v>
      </c>
      <c r="J2">
        <v>39.021000000000001</v>
      </c>
      <c r="K2">
        <v>0</v>
      </c>
      <c r="L2">
        <v>0</v>
      </c>
      <c r="N2">
        <v>1</v>
      </c>
      <c r="O2" t="s">
        <v>33</v>
      </c>
      <c r="P2">
        <v>0</v>
      </c>
      <c r="Q2">
        <v>0</v>
      </c>
      <c r="R2">
        <v>101</v>
      </c>
      <c r="S2">
        <v>101</v>
      </c>
      <c r="T2">
        <v>0.52731835583658004</v>
      </c>
      <c r="U2">
        <v>71841</v>
      </c>
      <c r="V2">
        <v>0.46975165757777898</v>
      </c>
      <c r="W2">
        <v>1.0530752586357801</v>
      </c>
      <c r="X2">
        <v>0.52731835583658004</v>
      </c>
      <c r="Y2">
        <v>5.8714147466610599E-2</v>
      </c>
      <c r="Z2">
        <v>0.53581296640573395</v>
      </c>
      <c r="AA2">
        <v>1.9734229641530199E-2</v>
      </c>
      <c r="AB2">
        <v>0.127228670384544</v>
      </c>
      <c r="AC2">
        <v>2.5870454581857299E-3</v>
      </c>
      <c r="AD2">
        <v>9174.3139655014602</v>
      </c>
      <c r="AE2">
        <v>104576184.695958</v>
      </c>
      <c r="AF2">
        <v>8286.2275932303492</v>
      </c>
      <c r="AG2">
        <v>94563137.263477996</v>
      </c>
      <c r="AH2">
        <v>1</v>
      </c>
      <c r="AI2">
        <v>131</v>
      </c>
    </row>
    <row r="3" spans="1:35" x14ac:dyDescent="0.25">
      <c r="A3">
        <v>1519</v>
      </c>
      <c r="B3" s="1">
        <v>45447</v>
      </c>
      <c r="C3">
        <v>40</v>
      </c>
      <c r="D3" t="s">
        <v>34</v>
      </c>
      <c r="E3">
        <v>4.71</v>
      </c>
      <c r="F3">
        <v>905</v>
      </c>
      <c r="G3" t="s">
        <v>35</v>
      </c>
      <c r="H3">
        <v>45.432976490000001</v>
      </c>
      <c r="I3">
        <v>-73.939129780000002</v>
      </c>
      <c r="J3">
        <v>39.021000000000001</v>
      </c>
      <c r="K3">
        <v>0</v>
      </c>
      <c r="L3">
        <v>0</v>
      </c>
      <c r="N3">
        <v>1</v>
      </c>
      <c r="O3" t="s">
        <v>36</v>
      </c>
      <c r="P3">
        <v>0</v>
      </c>
      <c r="Q3">
        <v>1</v>
      </c>
      <c r="R3">
        <v>108</v>
      </c>
      <c r="S3">
        <v>108</v>
      </c>
      <c r="T3">
        <v>0.61267219180968202</v>
      </c>
      <c r="U3">
        <v>93204</v>
      </c>
      <c r="V3">
        <v>0.60942342648655001</v>
      </c>
      <c r="W3">
        <v>1.2236028330022499</v>
      </c>
      <c r="X3">
        <v>0.61267219180968202</v>
      </c>
      <c r="Y3">
        <v>5.7726836255360597E-2</v>
      </c>
      <c r="Z3">
        <v>0.57944418049913005</v>
      </c>
      <c r="AA3">
        <v>2.1035902368585501E-2</v>
      </c>
      <c r="AB3">
        <v>0.135660024106523</v>
      </c>
      <c r="AC3">
        <v>3.24255690560449E-3</v>
      </c>
      <c r="AD3">
        <v>12012.919437942201</v>
      </c>
      <c r="AE3">
        <v>119463774.82729299</v>
      </c>
      <c r="AF3">
        <v>6654.8944196581697</v>
      </c>
      <c r="AG3">
        <v>113930110.465177</v>
      </c>
      <c r="AH3">
        <v>1</v>
      </c>
      <c r="AI3">
        <v>73</v>
      </c>
    </row>
    <row r="4" spans="1:35" x14ac:dyDescent="0.25">
      <c r="A4">
        <v>1520</v>
      </c>
      <c r="B4" s="1">
        <v>45447</v>
      </c>
      <c r="C4">
        <v>40</v>
      </c>
      <c r="D4" t="s">
        <v>37</v>
      </c>
      <c r="E4">
        <v>4.71</v>
      </c>
      <c r="F4">
        <v>905</v>
      </c>
      <c r="G4" t="s">
        <v>38</v>
      </c>
      <c r="H4">
        <v>45.433003650000003</v>
      </c>
      <c r="I4">
        <v>-73.939049060000002</v>
      </c>
      <c r="J4">
        <v>39.021000000000001</v>
      </c>
      <c r="K4">
        <v>0</v>
      </c>
      <c r="L4">
        <v>0</v>
      </c>
      <c r="N4">
        <v>1</v>
      </c>
      <c r="O4" t="s">
        <v>39</v>
      </c>
      <c r="P4">
        <v>0</v>
      </c>
      <c r="Q4">
        <v>2</v>
      </c>
      <c r="R4">
        <v>201</v>
      </c>
      <c r="S4">
        <v>201</v>
      </c>
      <c r="T4">
        <v>0.59207317483452504</v>
      </c>
      <c r="U4">
        <v>87858</v>
      </c>
      <c r="V4">
        <v>0.57447559763561196</v>
      </c>
      <c r="W4">
        <v>1.1824744056405501</v>
      </c>
      <c r="X4">
        <v>0.59207317483452504</v>
      </c>
      <c r="Y4">
        <v>6.1402806445817498E-2</v>
      </c>
      <c r="Z4">
        <v>0.56448543991387101</v>
      </c>
      <c r="AA4">
        <v>2.0736815931331899E-2</v>
      </c>
      <c r="AB4">
        <v>0.14161998861792599</v>
      </c>
      <c r="AC4">
        <v>3.3055988773905902E-3</v>
      </c>
      <c r="AD4">
        <v>12065.403423654299</v>
      </c>
      <c r="AE4">
        <v>153763289.705771</v>
      </c>
      <c r="AF4">
        <v>6998.6739209044099</v>
      </c>
      <c r="AG4">
        <v>119935163.901701</v>
      </c>
      <c r="AH4">
        <v>1</v>
      </c>
      <c r="AI4">
        <v>138</v>
      </c>
    </row>
    <row r="5" spans="1:35" x14ac:dyDescent="0.25">
      <c r="A5">
        <v>1521</v>
      </c>
      <c r="B5" s="1">
        <v>45447</v>
      </c>
      <c r="C5">
        <v>40</v>
      </c>
      <c r="D5" t="s">
        <v>40</v>
      </c>
      <c r="E5">
        <v>4.71</v>
      </c>
      <c r="F5">
        <v>905</v>
      </c>
      <c r="G5" t="s">
        <v>41</v>
      </c>
      <c r="H5">
        <v>45.43303015</v>
      </c>
      <c r="I5">
        <v>-73.938967959999999</v>
      </c>
      <c r="J5">
        <v>39.021000000000001</v>
      </c>
      <c r="K5">
        <v>0</v>
      </c>
      <c r="L5">
        <v>0</v>
      </c>
      <c r="N5">
        <v>1</v>
      </c>
      <c r="O5" t="s">
        <v>42</v>
      </c>
      <c r="P5">
        <v>0</v>
      </c>
      <c r="Q5">
        <v>3</v>
      </c>
      <c r="R5">
        <v>208</v>
      </c>
      <c r="S5">
        <v>208</v>
      </c>
      <c r="T5">
        <v>0.58681423498073604</v>
      </c>
      <c r="U5">
        <v>94026</v>
      </c>
      <c r="V5">
        <v>0.61479815350011102</v>
      </c>
      <c r="W5">
        <v>1.1719581775463099</v>
      </c>
      <c r="X5">
        <v>0.58681423498073604</v>
      </c>
      <c r="Y5">
        <v>5.4666978898870698E-2</v>
      </c>
      <c r="Z5">
        <v>0.53886537661154499</v>
      </c>
      <c r="AA5">
        <v>1.33095931819788E-2</v>
      </c>
      <c r="AB5">
        <v>0.139963811649324</v>
      </c>
      <c r="AC5">
        <v>2.5898488412563901E-3</v>
      </c>
      <c r="AD5">
        <v>15344.559887013</v>
      </c>
      <c r="AE5">
        <v>205187435.323607</v>
      </c>
      <c r="AF5">
        <v>5908.9346456166904</v>
      </c>
      <c r="AG5">
        <v>99162619.593063802</v>
      </c>
      <c r="AH5">
        <v>1</v>
      </c>
      <c r="AI5">
        <v>100</v>
      </c>
    </row>
    <row r="6" spans="1:35" x14ac:dyDescent="0.25">
      <c r="A6">
        <v>1522</v>
      </c>
      <c r="B6" s="1">
        <v>45447</v>
      </c>
      <c r="C6">
        <v>40</v>
      </c>
      <c r="D6" t="s">
        <v>43</v>
      </c>
      <c r="E6">
        <v>4.71</v>
      </c>
      <c r="F6">
        <v>905</v>
      </c>
      <c r="G6" t="s">
        <v>44</v>
      </c>
      <c r="H6">
        <v>45.433057239999997</v>
      </c>
      <c r="I6">
        <v>-73.938887170000001</v>
      </c>
      <c r="J6">
        <v>39.021000000000001</v>
      </c>
      <c r="K6">
        <v>0</v>
      </c>
      <c r="L6">
        <v>0</v>
      </c>
      <c r="N6">
        <v>1</v>
      </c>
      <c r="O6" t="s">
        <v>45</v>
      </c>
      <c r="P6">
        <v>0</v>
      </c>
      <c r="Q6">
        <v>4</v>
      </c>
      <c r="R6">
        <v>301</v>
      </c>
      <c r="S6">
        <v>301</v>
      </c>
      <c r="T6">
        <v>0.479115730973529</v>
      </c>
      <c r="U6">
        <v>58483</v>
      </c>
      <c r="V6">
        <v>0.38240428940399501</v>
      </c>
      <c r="W6">
        <v>0.95703158176331704</v>
      </c>
      <c r="X6">
        <v>0.479115730973529</v>
      </c>
      <c r="Y6">
        <v>5.78938017663128E-2</v>
      </c>
      <c r="Z6">
        <v>0.48206221858054699</v>
      </c>
      <c r="AA6">
        <v>1.62167782012336E-2</v>
      </c>
      <c r="AB6">
        <v>0.13903211034648</v>
      </c>
      <c r="AC6">
        <v>1.6741860101133501E-3</v>
      </c>
      <c r="AD6">
        <v>10254.529577925299</v>
      </c>
      <c r="AE6">
        <v>189411655.08269101</v>
      </c>
      <c r="AF6">
        <v>7872.9829296445696</v>
      </c>
      <c r="AG6">
        <v>92173701.299188703</v>
      </c>
      <c r="AH6">
        <v>1</v>
      </c>
      <c r="AI6">
        <v>20</v>
      </c>
    </row>
    <row r="7" spans="1:35" x14ac:dyDescent="0.25">
      <c r="A7">
        <v>1523</v>
      </c>
      <c r="B7" s="1">
        <v>45447</v>
      </c>
      <c r="C7">
        <v>40</v>
      </c>
      <c r="D7" t="s">
        <v>46</v>
      </c>
      <c r="E7">
        <v>4.71</v>
      </c>
      <c r="F7">
        <v>905</v>
      </c>
      <c r="G7" t="s">
        <v>47</v>
      </c>
      <c r="H7">
        <v>45.433084340000001</v>
      </c>
      <c r="I7">
        <v>-73.938806409999998</v>
      </c>
      <c r="J7">
        <v>39.021000000000001</v>
      </c>
      <c r="K7">
        <v>0</v>
      </c>
      <c r="L7">
        <v>0</v>
      </c>
      <c r="N7">
        <v>1</v>
      </c>
      <c r="O7">
        <v>5009381040517900</v>
      </c>
      <c r="P7">
        <v>0</v>
      </c>
      <c r="Q7">
        <v>5</v>
      </c>
      <c r="R7">
        <v>308</v>
      </c>
      <c r="S7">
        <v>308</v>
      </c>
      <c r="T7">
        <v>0.45038798685651599</v>
      </c>
      <c r="U7">
        <v>51048</v>
      </c>
      <c r="V7">
        <v>0.33378886455029899</v>
      </c>
      <c r="W7">
        <v>0.89957109902285604</v>
      </c>
      <c r="X7">
        <v>0.45038798685651599</v>
      </c>
      <c r="Y7">
        <v>4.8421299491726903E-2</v>
      </c>
      <c r="Z7">
        <v>0.45815029928428602</v>
      </c>
      <c r="AA7">
        <v>1.37666085166887E-2</v>
      </c>
      <c r="AB7">
        <v>0.14420874328230701</v>
      </c>
      <c r="AC7">
        <v>1.88571767581764E-3</v>
      </c>
      <c r="AD7">
        <v>8252.1954359695301</v>
      </c>
      <c r="AE7">
        <v>130682044.22525699</v>
      </c>
      <c r="AF7">
        <v>10726.3137381579</v>
      </c>
      <c r="AG7">
        <v>79333060.835618407</v>
      </c>
      <c r="AH7">
        <v>1</v>
      </c>
      <c r="AI7">
        <v>90</v>
      </c>
    </row>
    <row r="8" spans="1:35" x14ac:dyDescent="0.25">
      <c r="A8">
        <v>1524</v>
      </c>
      <c r="B8" s="1">
        <v>45447</v>
      </c>
      <c r="C8">
        <v>40</v>
      </c>
      <c r="D8" t="s">
        <v>48</v>
      </c>
      <c r="E8">
        <v>4.71</v>
      </c>
      <c r="F8">
        <v>905</v>
      </c>
      <c r="G8" t="s">
        <v>49</v>
      </c>
      <c r="H8">
        <v>45.433110970000001</v>
      </c>
      <c r="I8">
        <v>-73.938725320000003</v>
      </c>
      <c r="J8">
        <v>39.021000000000001</v>
      </c>
      <c r="K8">
        <v>0</v>
      </c>
      <c r="L8">
        <v>0</v>
      </c>
      <c r="N8">
        <v>1</v>
      </c>
      <c r="O8" t="s">
        <v>50</v>
      </c>
      <c r="P8">
        <v>0</v>
      </c>
      <c r="Q8">
        <v>6</v>
      </c>
      <c r="R8">
        <v>401</v>
      </c>
      <c r="S8">
        <v>401</v>
      </c>
      <c r="T8">
        <v>0.55016466445989798</v>
      </c>
      <c r="U8">
        <v>80844</v>
      </c>
      <c r="V8">
        <v>0.52861327614165399</v>
      </c>
      <c r="W8">
        <v>1.09891560213494</v>
      </c>
      <c r="X8">
        <v>0.55016466445989798</v>
      </c>
      <c r="Y8">
        <v>5.1860973180160697E-2</v>
      </c>
      <c r="Z8">
        <v>0.47500696650702801</v>
      </c>
      <c r="AA8">
        <v>1.25602394999456E-2</v>
      </c>
      <c r="AB8">
        <v>0.124351908260365</v>
      </c>
      <c r="AC8">
        <v>1.71868607097425E-3</v>
      </c>
      <c r="AD8">
        <v>14754.7600434169</v>
      </c>
      <c r="AE8">
        <v>221093102.87440401</v>
      </c>
      <c r="AF8">
        <v>5525.7193849636697</v>
      </c>
      <c r="AG8">
        <v>76397217.927987099</v>
      </c>
      <c r="AH8">
        <v>1</v>
      </c>
      <c r="AI8">
        <v>36</v>
      </c>
    </row>
    <row r="9" spans="1:35" x14ac:dyDescent="0.25">
      <c r="A9">
        <v>1525</v>
      </c>
      <c r="B9" s="1">
        <v>45447</v>
      </c>
      <c r="C9">
        <v>40</v>
      </c>
      <c r="D9" t="s">
        <v>51</v>
      </c>
      <c r="E9">
        <v>4.71</v>
      </c>
      <c r="F9">
        <v>905</v>
      </c>
      <c r="G9" t="s">
        <v>52</v>
      </c>
      <c r="H9">
        <v>45.433137909999999</v>
      </c>
      <c r="I9">
        <v>-73.93864447</v>
      </c>
      <c r="J9">
        <v>39.021000000000001</v>
      </c>
      <c r="K9">
        <v>0</v>
      </c>
      <c r="L9">
        <v>0</v>
      </c>
      <c r="N9">
        <v>1</v>
      </c>
      <c r="O9" t="s">
        <v>53</v>
      </c>
      <c r="P9">
        <v>0</v>
      </c>
      <c r="Q9">
        <v>6</v>
      </c>
      <c r="R9">
        <v>408</v>
      </c>
      <c r="S9">
        <v>408</v>
      </c>
      <c r="T9">
        <v>0.57652644696494604</v>
      </c>
      <c r="U9">
        <v>90457</v>
      </c>
      <c r="V9">
        <v>0.59146576694979003</v>
      </c>
      <c r="W9">
        <v>1.1514282620534999</v>
      </c>
      <c r="X9">
        <v>0.57652644696494604</v>
      </c>
      <c r="Y9">
        <v>4.6466941145207899E-2</v>
      </c>
      <c r="Z9">
        <v>0.51489816092802498</v>
      </c>
      <c r="AA9">
        <v>1.0647779031838001E-2</v>
      </c>
      <c r="AB9">
        <v>0.107276087004714</v>
      </c>
      <c r="AC9">
        <v>3.30330779126817E-3</v>
      </c>
      <c r="AD9">
        <v>14864.818552737401</v>
      </c>
      <c r="AE9">
        <v>200136384.71797299</v>
      </c>
      <c r="AF9">
        <v>6739.3612078555097</v>
      </c>
      <c r="AG9">
        <v>85424015.445362404</v>
      </c>
      <c r="AH9">
        <v>1</v>
      </c>
      <c r="AI9">
        <v>180</v>
      </c>
    </row>
    <row r="10" spans="1:35" x14ac:dyDescent="0.25">
      <c r="A10">
        <v>1526</v>
      </c>
      <c r="B10" s="1">
        <v>45447</v>
      </c>
      <c r="C10">
        <v>40</v>
      </c>
      <c r="D10" t="s">
        <v>54</v>
      </c>
      <c r="E10">
        <v>4.71</v>
      </c>
      <c r="F10">
        <v>905</v>
      </c>
      <c r="G10" t="s">
        <v>55</v>
      </c>
      <c r="H10">
        <v>45.433112700000002</v>
      </c>
      <c r="I10">
        <v>-73.938627629999999</v>
      </c>
      <c r="J10">
        <v>39.020000000000003</v>
      </c>
      <c r="K10">
        <v>0</v>
      </c>
      <c r="L10">
        <v>0</v>
      </c>
      <c r="N10">
        <v>1</v>
      </c>
      <c r="O10" t="s">
        <v>56</v>
      </c>
      <c r="P10">
        <v>1</v>
      </c>
      <c r="Q10">
        <v>7</v>
      </c>
      <c r="R10">
        <v>409</v>
      </c>
      <c r="S10">
        <v>409</v>
      </c>
      <c r="T10">
        <v>0.40898783839431802</v>
      </c>
      <c r="U10">
        <v>42167</v>
      </c>
      <c r="V10">
        <v>0.27571123127521402</v>
      </c>
      <c r="W10">
        <v>0.81680829123979304</v>
      </c>
      <c r="X10">
        <v>0.40898783839431802</v>
      </c>
      <c r="Y10">
        <v>4.9839368550725398E-2</v>
      </c>
      <c r="Z10">
        <v>0.44020798514509102</v>
      </c>
      <c r="AA10">
        <v>1.46992817134709E-2</v>
      </c>
      <c r="AB10">
        <v>0.102159019474294</v>
      </c>
      <c r="AC10">
        <v>2.2943273721462102E-3</v>
      </c>
      <c r="AD10">
        <v>6676.52254166694</v>
      </c>
      <c r="AE10">
        <v>108811902.32246201</v>
      </c>
      <c r="AF10">
        <v>12664.599783613699</v>
      </c>
      <c r="AG10">
        <v>80979985.892848402</v>
      </c>
      <c r="AH10">
        <v>1</v>
      </c>
      <c r="AI10">
        <v>74</v>
      </c>
    </row>
    <row r="11" spans="1:35" x14ac:dyDescent="0.25">
      <c r="A11">
        <v>1527</v>
      </c>
      <c r="B11" s="1">
        <v>45447</v>
      </c>
      <c r="C11">
        <v>40</v>
      </c>
      <c r="D11" t="s">
        <v>57</v>
      </c>
      <c r="E11">
        <v>4.71</v>
      </c>
      <c r="F11">
        <v>905</v>
      </c>
      <c r="G11" t="s">
        <v>58</v>
      </c>
      <c r="H11">
        <v>45.433086109999998</v>
      </c>
      <c r="I11">
        <v>-73.938708719999994</v>
      </c>
      <c r="J11">
        <v>39.020000000000003</v>
      </c>
      <c r="K11">
        <v>0</v>
      </c>
      <c r="L11">
        <v>0</v>
      </c>
      <c r="N11">
        <v>1</v>
      </c>
      <c r="O11" t="s">
        <v>59</v>
      </c>
      <c r="P11">
        <v>1</v>
      </c>
      <c r="Q11">
        <v>6</v>
      </c>
      <c r="R11">
        <v>402</v>
      </c>
      <c r="S11">
        <v>402</v>
      </c>
      <c r="T11">
        <v>0.55016517063091597</v>
      </c>
      <c r="U11">
        <v>73437</v>
      </c>
      <c r="V11">
        <v>0.48018125228853897</v>
      </c>
      <c r="W11">
        <v>1.0989422676489</v>
      </c>
      <c r="X11">
        <v>0.55016517063091597</v>
      </c>
      <c r="Y11">
        <v>5.2280849359926398E-2</v>
      </c>
      <c r="Z11">
        <v>0.487292725111236</v>
      </c>
      <c r="AA11">
        <v>1.4059031647808E-2</v>
      </c>
      <c r="AB11">
        <v>0.138586967288471</v>
      </c>
      <c r="AC11">
        <v>1.5650075429636801E-3</v>
      </c>
      <c r="AD11">
        <v>13282.3883846838</v>
      </c>
      <c r="AE11">
        <v>215600723.220489</v>
      </c>
      <c r="AF11">
        <v>5498.4884727315302</v>
      </c>
      <c r="AG11">
        <v>77293523.499885693</v>
      </c>
      <c r="AH11">
        <v>1</v>
      </c>
      <c r="AI11">
        <v>43</v>
      </c>
    </row>
    <row r="12" spans="1:35" x14ac:dyDescent="0.25">
      <c r="A12">
        <v>1528</v>
      </c>
      <c r="B12" s="1">
        <v>45447</v>
      </c>
      <c r="C12">
        <v>40</v>
      </c>
      <c r="D12" t="s">
        <v>60</v>
      </c>
      <c r="E12">
        <v>4.71</v>
      </c>
      <c r="F12">
        <v>905</v>
      </c>
      <c r="G12" t="s">
        <v>61</v>
      </c>
      <c r="H12">
        <v>45.433059489999998</v>
      </c>
      <c r="I12">
        <v>-73.938789830000005</v>
      </c>
      <c r="J12">
        <v>39.021000000000001</v>
      </c>
      <c r="K12">
        <v>0</v>
      </c>
      <c r="L12">
        <v>0</v>
      </c>
      <c r="N12">
        <v>1</v>
      </c>
      <c r="O12" t="s">
        <v>62</v>
      </c>
      <c r="P12">
        <v>1</v>
      </c>
      <c r="Q12">
        <v>5</v>
      </c>
      <c r="R12">
        <v>309</v>
      </c>
      <c r="S12">
        <v>309</v>
      </c>
      <c r="T12">
        <v>0.59209329562808599</v>
      </c>
      <c r="U12">
        <v>95406</v>
      </c>
      <c r="V12">
        <v>0.62382957577025699</v>
      </c>
      <c r="W12">
        <v>1.18272269913126</v>
      </c>
      <c r="X12">
        <v>0.59209329562808599</v>
      </c>
      <c r="Y12">
        <v>3.8453422274184502E-2</v>
      </c>
      <c r="Z12">
        <v>0.51070150070153197</v>
      </c>
      <c r="AA12">
        <v>8.7438968551462291E-3</v>
      </c>
      <c r="AB12">
        <v>0.124617986924503</v>
      </c>
      <c r="AC12">
        <v>1.6602378224071499E-3</v>
      </c>
      <c r="AD12">
        <v>16205.952764555101</v>
      </c>
      <c r="AE12">
        <v>232071018.56139299</v>
      </c>
      <c r="AF12">
        <v>5564.9350424928398</v>
      </c>
      <c r="AG12">
        <v>83021904.283765703</v>
      </c>
      <c r="AH12">
        <v>1</v>
      </c>
      <c r="AI12">
        <v>170</v>
      </c>
    </row>
    <row r="13" spans="1:35" x14ac:dyDescent="0.25">
      <c r="A13">
        <v>1529</v>
      </c>
      <c r="B13" s="1">
        <v>45447</v>
      </c>
      <c r="C13">
        <v>40</v>
      </c>
      <c r="D13" t="s">
        <v>63</v>
      </c>
      <c r="E13">
        <v>4.71</v>
      </c>
      <c r="F13">
        <v>905</v>
      </c>
      <c r="G13" t="s">
        <v>64</v>
      </c>
      <c r="H13">
        <v>45.433032410000003</v>
      </c>
      <c r="I13">
        <v>-73.938870609999995</v>
      </c>
      <c r="J13">
        <v>39.021000000000001</v>
      </c>
      <c r="K13">
        <v>0</v>
      </c>
      <c r="L13">
        <v>0</v>
      </c>
      <c r="N13">
        <v>1</v>
      </c>
      <c r="O13" t="s">
        <v>65</v>
      </c>
      <c r="P13">
        <v>1</v>
      </c>
      <c r="Q13">
        <v>4</v>
      </c>
      <c r="R13">
        <v>302</v>
      </c>
      <c r="S13">
        <v>302</v>
      </c>
      <c r="T13">
        <v>0.60389064501242395</v>
      </c>
      <c r="U13">
        <v>91741</v>
      </c>
      <c r="V13">
        <v>0.59986530313333697</v>
      </c>
      <c r="W13">
        <v>1.2063314481202101</v>
      </c>
      <c r="X13">
        <v>0.60389064501242395</v>
      </c>
      <c r="Y13">
        <v>4.9385644714940398E-2</v>
      </c>
      <c r="Z13">
        <v>0.52775490402884195</v>
      </c>
      <c r="AA13">
        <v>1.21446466053566E-2</v>
      </c>
      <c r="AB13">
        <v>0.13579853545467699</v>
      </c>
      <c r="AC13">
        <v>1.5985490362758501E-3</v>
      </c>
      <c r="AD13">
        <v>16602.690334519</v>
      </c>
      <c r="AE13">
        <v>220908864.00669</v>
      </c>
      <c r="AF13">
        <v>3235.1473598300499</v>
      </c>
      <c r="AG13">
        <v>87014671.373869404</v>
      </c>
      <c r="AH13">
        <v>1</v>
      </c>
      <c r="AI13">
        <v>38</v>
      </c>
    </row>
    <row r="14" spans="1:35" x14ac:dyDescent="0.25">
      <c r="A14">
        <v>1530</v>
      </c>
      <c r="B14" s="1">
        <v>45447</v>
      </c>
      <c r="C14">
        <v>40</v>
      </c>
      <c r="D14" t="s">
        <v>66</v>
      </c>
      <c r="E14">
        <v>4.71</v>
      </c>
      <c r="F14">
        <v>905</v>
      </c>
      <c r="G14" t="s">
        <v>67</v>
      </c>
      <c r="H14">
        <v>45.433005639999998</v>
      </c>
      <c r="I14">
        <v>-73.938951599999996</v>
      </c>
      <c r="J14">
        <v>39.021000000000001</v>
      </c>
      <c r="K14">
        <v>0</v>
      </c>
      <c r="L14">
        <v>0</v>
      </c>
      <c r="N14">
        <v>1</v>
      </c>
      <c r="O14" t="s">
        <v>68</v>
      </c>
      <c r="P14">
        <v>1</v>
      </c>
      <c r="Q14">
        <v>3</v>
      </c>
      <c r="R14">
        <v>209</v>
      </c>
      <c r="S14">
        <v>209</v>
      </c>
      <c r="T14">
        <v>0.52202784441648797</v>
      </c>
      <c r="U14">
        <v>74674</v>
      </c>
      <c r="V14">
        <v>0.488269602971177</v>
      </c>
      <c r="W14">
        <v>1.04262773041198</v>
      </c>
      <c r="X14">
        <v>0.52202784441648797</v>
      </c>
      <c r="Y14">
        <v>5.3287222039434701E-2</v>
      </c>
      <c r="Z14">
        <v>0.48872917740938798</v>
      </c>
      <c r="AA14">
        <v>1.28954685624328E-2</v>
      </c>
      <c r="AB14">
        <v>0.120133114330677</v>
      </c>
      <c r="AC14">
        <v>3.21293341221973E-3</v>
      </c>
      <c r="AD14">
        <v>12833.577856096699</v>
      </c>
      <c r="AE14">
        <v>203883373.16159999</v>
      </c>
      <c r="AF14">
        <v>8792.9043805500405</v>
      </c>
      <c r="AG14">
        <v>100198258.54541899</v>
      </c>
      <c r="AH14">
        <v>1</v>
      </c>
      <c r="AI14">
        <v>140</v>
      </c>
    </row>
    <row r="15" spans="1:35" x14ac:dyDescent="0.25">
      <c r="A15">
        <v>1531</v>
      </c>
      <c r="B15" s="1">
        <v>45447</v>
      </c>
      <c r="C15">
        <v>40</v>
      </c>
      <c r="D15" t="s">
        <v>69</v>
      </c>
      <c r="E15">
        <v>4.71</v>
      </c>
      <c r="F15">
        <v>905</v>
      </c>
      <c r="G15" t="s">
        <v>70</v>
      </c>
      <c r="H15">
        <v>45.432978560000002</v>
      </c>
      <c r="I15">
        <v>-73.939032299999994</v>
      </c>
      <c r="J15">
        <v>39.021000000000001</v>
      </c>
      <c r="K15">
        <v>0</v>
      </c>
      <c r="L15">
        <v>0</v>
      </c>
      <c r="N15">
        <v>1</v>
      </c>
      <c r="O15" t="s">
        <v>71</v>
      </c>
      <c r="P15">
        <v>1</v>
      </c>
      <c r="Q15">
        <v>2</v>
      </c>
      <c r="R15">
        <v>202</v>
      </c>
      <c r="S15">
        <v>202</v>
      </c>
      <c r="T15">
        <v>0.553646208171096</v>
      </c>
      <c r="U15">
        <v>80083</v>
      </c>
      <c r="V15">
        <v>0.52363733849453398</v>
      </c>
      <c r="W15">
        <v>1.10575549085342</v>
      </c>
      <c r="X15">
        <v>0.553646208171096</v>
      </c>
      <c r="Y15">
        <v>5.4437805312475503E-2</v>
      </c>
      <c r="Z15">
        <v>0.52866243403524804</v>
      </c>
      <c r="AA15">
        <v>1.98836613417742E-2</v>
      </c>
      <c r="AB15">
        <v>0.12237141607206201</v>
      </c>
      <c r="AC15">
        <v>2.4872862590711998E-3</v>
      </c>
      <c r="AD15">
        <v>10194.290310979801</v>
      </c>
      <c r="AE15">
        <v>106966393.37720001</v>
      </c>
      <c r="AF15">
        <v>9295.4290215914098</v>
      </c>
      <c r="AG15">
        <v>102430958.902101</v>
      </c>
      <c r="AH15">
        <v>1</v>
      </c>
      <c r="AI15">
        <v>216</v>
      </c>
    </row>
    <row r="16" spans="1:35" x14ac:dyDescent="0.25">
      <c r="A16">
        <v>1532</v>
      </c>
      <c r="B16" s="1">
        <v>45447</v>
      </c>
      <c r="C16">
        <v>40</v>
      </c>
      <c r="D16" t="s">
        <v>72</v>
      </c>
      <c r="E16">
        <v>4.71</v>
      </c>
      <c r="F16">
        <v>905</v>
      </c>
      <c r="G16" t="s">
        <v>73</v>
      </c>
      <c r="H16">
        <v>45.432951600000003</v>
      </c>
      <c r="I16">
        <v>-73.939113210000002</v>
      </c>
      <c r="J16">
        <v>39.021000000000001</v>
      </c>
      <c r="K16">
        <v>0</v>
      </c>
      <c r="L16">
        <v>0</v>
      </c>
      <c r="N16">
        <v>1</v>
      </c>
      <c r="O16" t="s">
        <v>74</v>
      </c>
      <c r="P16">
        <v>1</v>
      </c>
      <c r="Q16">
        <v>1</v>
      </c>
      <c r="R16">
        <v>109</v>
      </c>
      <c r="S16">
        <v>109</v>
      </c>
      <c r="T16">
        <v>0.60021508802792201</v>
      </c>
      <c r="U16">
        <v>88740</v>
      </c>
      <c r="V16">
        <v>0.58023512796035004</v>
      </c>
      <c r="W16">
        <v>1.1987387289373299</v>
      </c>
      <c r="X16">
        <v>0.60021508802792201</v>
      </c>
      <c r="Y16">
        <v>5.9388029649637998E-2</v>
      </c>
      <c r="Z16">
        <v>0.55410421676856303</v>
      </c>
      <c r="AA16">
        <v>1.9522578977266201E-2</v>
      </c>
      <c r="AB16">
        <v>0.132709274922965</v>
      </c>
      <c r="AC16">
        <v>3.4951096196712602E-3</v>
      </c>
      <c r="AD16">
        <v>12820.2845336019</v>
      </c>
      <c r="AE16">
        <v>167699467.74680001</v>
      </c>
      <c r="AF16">
        <v>7133.5429243437402</v>
      </c>
      <c r="AG16">
        <v>123160866.064273</v>
      </c>
      <c r="AH16">
        <v>1</v>
      </c>
      <c r="AI16">
        <v>76</v>
      </c>
    </row>
    <row r="17" spans="1:35" x14ac:dyDescent="0.25">
      <c r="A17">
        <v>1533</v>
      </c>
      <c r="B17" s="1">
        <v>45447</v>
      </c>
      <c r="C17">
        <v>40</v>
      </c>
      <c r="D17" t="s">
        <v>75</v>
      </c>
      <c r="E17">
        <v>4.71</v>
      </c>
      <c r="F17">
        <v>905</v>
      </c>
      <c r="G17" t="s">
        <v>76</v>
      </c>
      <c r="H17">
        <v>45.432924700000001</v>
      </c>
      <c r="I17">
        <v>-73.939194060000005</v>
      </c>
      <c r="J17">
        <v>39.021000000000001</v>
      </c>
      <c r="K17">
        <v>0</v>
      </c>
      <c r="L17">
        <v>0</v>
      </c>
      <c r="N17">
        <v>1</v>
      </c>
      <c r="O17" t="s">
        <v>77</v>
      </c>
      <c r="P17">
        <v>1</v>
      </c>
      <c r="Q17">
        <v>0</v>
      </c>
      <c r="R17">
        <v>102</v>
      </c>
      <c r="S17">
        <v>102</v>
      </c>
      <c r="T17">
        <v>0.59868604577513895</v>
      </c>
      <c r="U17">
        <v>87249</v>
      </c>
      <c r="V17">
        <v>0.57049727008206097</v>
      </c>
      <c r="W17">
        <v>1.1955704497750099</v>
      </c>
      <c r="X17">
        <v>0.59868604577513895</v>
      </c>
      <c r="Y17">
        <v>6.7015635470500504E-2</v>
      </c>
      <c r="Z17">
        <v>0.573023251010773</v>
      </c>
      <c r="AA17">
        <v>2.1950830019994799E-2</v>
      </c>
      <c r="AB17">
        <v>0.14839282597733899</v>
      </c>
      <c r="AC17">
        <v>3.5458388115937301E-3</v>
      </c>
      <c r="AD17">
        <v>11335.4211396999</v>
      </c>
      <c r="AE17">
        <v>125592868.901392</v>
      </c>
      <c r="AF17">
        <v>6047.6231522601702</v>
      </c>
      <c r="AG17">
        <v>115351497.724346</v>
      </c>
      <c r="AH17">
        <v>1</v>
      </c>
      <c r="AI17">
        <v>96</v>
      </c>
    </row>
    <row r="18" spans="1:35" x14ac:dyDescent="0.25">
      <c r="A18">
        <v>1534</v>
      </c>
      <c r="B18" s="1">
        <v>45447</v>
      </c>
      <c r="C18">
        <v>40</v>
      </c>
      <c r="D18" t="s">
        <v>78</v>
      </c>
      <c r="E18">
        <v>4.71</v>
      </c>
      <c r="F18">
        <v>905</v>
      </c>
      <c r="G18" t="s">
        <v>32</v>
      </c>
      <c r="H18">
        <v>45.432900410000002</v>
      </c>
      <c r="I18">
        <v>-73.939177689999994</v>
      </c>
      <c r="J18">
        <v>39.021000000000001</v>
      </c>
      <c r="K18">
        <v>0</v>
      </c>
      <c r="L18">
        <v>0</v>
      </c>
      <c r="N18">
        <v>1</v>
      </c>
      <c r="O18" t="s">
        <v>79</v>
      </c>
      <c r="P18">
        <v>2</v>
      </c>
      <c r="Q18">
        <v>0</v>
      </c>
      <c r="R18">
        <v>103</v>
      </c>
      <c r="S18">
        <v>103</v>
      </c>
      <c r="T18">
        <v>0.597559704317567</v>
      </c>
      <c r="U18">
        <v>88087</v>
      </c>
      <c r="V18">
        <v>0.57597295600774201</v>
      </c>
      <c r="W18">
        <v>1.19337052217328</v>
      </c>
      <c r="X18">
        <v>0.597559704317567</v>
      </c>
      <c r="Y18">
        <v>5.7886584834193802E-2</v>
      </c>
      <c r="Z18">
        <v>0.56068316700896004</v>
      </c>
      <c r="AA18">
        <v>2.2107098000850402E-2</v>
      </c>
      <c r="AB18">
        <v>0.137173805165551</v>
      </c>
      <c r="AC18">
        <v>3.5280652974968101E-3</v>
      </c>
      <c r="AD18">
        <v>13238.409269236799</v>
      </c>
      <c r="AE18">
        <v>172475315.928395</v>
      </c>
      <c r="AF18">
        <v>5801.74713711</v>
      </c>
      <c r="AG18">
        <v>120185057.804416</v>
      </c>
      <c r="AH18">
        <v>1</v>
      </c>
      <c r="AI18">
        <v>85</v>
      </c>
    </row>
    <row r="19" spans="1:35" x14ac:dyDescent="0.25">
      <c r="A19">
        <v>1535</v>
      </c>
      <c r="B19" s="1">
        <v>45447</v>
      </c>
      <c r="C19">
        <v>40</v>
      </c>
      <c r="D19" t="s">
        <v>80</v>
      </c>
      <c r="E19">
        <v>4.71</v>
      </c>
      <c r="F19">
        <v>905</v>
      </c>
      <c r="G19" t="s">
        <v>35</v>
      </c>
      <c r="H19">
        <v>45.432926389999999</v>
      </c>
      <c r="I19">
        <v>-73.939096210000002</v>
      </c>
      <c r="J19">
        <v>39.021000000000001</v>
      </c>
      <c r="K19">
        <v>0</v>
      </c>
      <c r="L19">
        <v>0</v>
      </c>
      <c r="N19">
        <v>1</v>
      </c>
      <c r="O19" t="s">
        <v>81</v>
      </c>
      <c r="P19">
        <v>2</v>
      </c>
      <c r="Q19">
        <v>1</v>
      </c>
      <c r="R19">
        <v>110</v>
      </c>
      <c r="S19">
        <v>110</v>
      </c>
      <c r="T19">
        <v>0.55716888114826602</v>
      </c>
      <c r="U19">
        <v>78383</v>
      </c>
      <c r="V19">
        <v>0.51251822645926104</v>
      </c>
      <c r="W19">
        <v>1.11278644275451</v>
      </c>
      <c r="X19">
        <v>0.55716888114826602</v>
      </c>
      <c r="Y19">
        <v>5.8649271170288501E-2</v>
      </c>
      <c r="Z19">
        <v>0.52795018821162498</v>
      </c>
      <c r="AA19">
        <v>2.2340482476277498E-2</v>
      </c>
      <c r="AB19">
        <v>0.11632609249996501</v>
      </c>
      <c r="AC19">
        <v>3.17646154917551E-3</v>
      </c>
      <c r="AD19">
        <v>10725.373539431301</v>
      </c>
      <c r="AE19">
        <v>124096251.223763</v>
      </c>
      <c r="AF19">
        <v>9160.1461773909905</v>
      </c>
      <c r="AG19">
        <v>114813960.849897</v>
      </c>
      <c r="AH19">
        <v>1</v>
      </c>
      <c r="AI19">
        <v>76</v>
      </c>
    </row>
    <row r="20" spans="1:35" x14ac:dyDescent="0.25">
      <c r="A20">
        <v>1536</v>
      </c>
      <c r="B20" s="1">
        <v>45447</v>
      </c>
      <c r="C20">
        <v>40</v>
      </c>
      <c r="D20" t="s">
        <v>82</v>
      </c>
      <c r="E20">
        <v>4.71</v>
      </c>
      <c r="F20">
        <v>905</v>
      </c>
      <c r="G20" t="s">
        <v>38</v>
      </c>
      <c r="H20">
        <v>45.432953769999997</v>
      </c>
      <c r="I20">
        <v>-73.939015569999995</v>
      </c>
      <c r="J20">
        <v>39.021000000000001</v>
      </c>
      <c r="K20">
        <v>0</v>
      </c>
      <c r="L20">
        <v>0</v>
      </c>
      <c r="N20">
        <v>1</v>
      </c>
      <c r="O20" t="s">
        <v>83</v>
      </c>
      <c r="P20">
        <v>2</v>
      </c>
      <c r="Q20">
        <v>2</v>
      </c>
      <c r="R20">
        <v>203</v>
      </c>
      <c r="S20">
        <v>203</v>
      </c>
      <c r="T20">
        <v>0.58917048105790304</v>
      </c>
      <c r="U20">
        <v>87078</v>
      </c>
      <c r="V20">
        <v>0.56937542501438498</v>
      </c>
      <c r="W20">
        <v>1.1767187742796801</v>
      </c>
      <c r="X20">
        <v>0.58917048105790304</v>
      </c>
      <c r="Y20">
        <v>5.9554466830010297E-2</v>
      </c>
      <c r="Z20">
        <v>0.55450988830911796</v>
      </c>
      <c r="AA20">
        <v>2.3219348554867101E-2</v>
      </c>
      <c r="AB20">
        <v>0.120965345989972</v>
      </c>
      <c r="AC20">
        <v>3.1080894156475798E-3</v>
      </c>
      <c r="AD20">
        <v>11259.4986661087</v>
      </c>
      <c r="AE20">
        <v>118880827.475283</v>
      </c>
      <c r="AF20">
        <v>7840.3502793043999</v>
      </c>
      <c r="AG20">
        <v>106977174.916881</v>
      </c>
      <c r="AH20">
        <v>1</v>
      </c>
      <c r="AI20">
        <v>181</v>
      </c>
    </row>
    <row r="21" spans="1:35" x14ac:dyDescent="0.25">
      <c r="A21">
        <v>1537</v>
      </c>
      <c r="B21" s="1">
        <v>45447</v>
      </c>
      <c r="C21">
        <v>40</v>
      </c>
      <c r="D21" t="s">
        <v>84</v>
      </c>
      <c r="E21">
        <v>4.71</v>
      </c>
      <c r="F21">
        <v>905</v>
      </c>
      <c r="G21" t="s">
        <v>41</v>
      </c>
      <c r="H21">
        <v>45.432980710000002</v>
      </c>
      <c r="I21">
        <v>-73.938934779999997</v>
      </c>
      <c r="J21">
        <v>39.020000000000003</v>
      </c>
      <c r="K21">
        <v>0</v>
      </c>
      <c r="L21">
        <v>0</v>
      </c>
      <c r="N21">
        <v>1</v>
      </c>
      <c r="O21" t="s">
        <v>85</v>
      </c>
      <c r="P21">
        <v>2</v>
      </c>
      <c r="Q21">
        <v>3</v>
      </c>
      <c r="R21">
        <v>210</v>
      </c>
      <c r="S21">
        <v>210</v>
      </c>
      <c r="T21">
        <v>0.59813212390612802</v>
      </c>
      <c r="U21">
        <v>94574</v>
      </c>
      <c r="V21">
        <v>0.61838939164094797</v>
      </c>
      <c r="W21">
        <v>1.1947399815375399</v>
      </c>
      <c r="X21">
        <v>0.59813212390612802</v>
      </c>
      <c r="Y21">
        <v>5.0371739289839797E-2</v>
      </c>
      <c r="Z21">
        <v>0.522289260888808</v>
      </c>
      <c r="AA21">
        <v>1.39504271913913E-2</v>
      </c>
      <c r="AB21">
        <v>0.111620057678723</v>
      </c>
      <c r="AC21">
        <v>4.2425098084031901E-3</v>
      </c>
      <c r="AD21">
        <v>17040.5559842025</v>
      </c>
      <c r="AE21">
        <v>229773139.901402</v>
      </c>
      <c r="AF21">
        <v>5905.2716281100502</v>
      </c>
      <c r="AG21">
        <v>101475648.150218</v>
      </c>
      <c r="AH21">
        <v>1</v>
      </c>
      <c r="AI21">
        <v>116</v>
      </c>
    </row>
    <row r="22" spans="1:35" x14ac:dyDescent="0.25">
      <c r="A22">
        <v>1538</v>
      </c>
      <c r="B22" s="1">
        <v>45447</v>
      </c>
      <c r="C22">
        <v>40</v>
      </c>
      <c r="D22" t="s">
        <v>86</v>
      </c>
      <c r="E22">
        <v>4.71</v>
      </c>
      <c r="F22">
        <v>905</v>
      </c>
      <c r="G22" t="s">
        <v>44</v>
      </c>
      <c r="H22">
        <v>45.433007439999997</v>
      </c>
      <c r="I22">
        <v>-73.938853750000007</v>
      </c>
      <c r="J22">
        <v>39.020000000000003</v>
      </c>
      <c r="K22">
        <v>0</v>
      </c>
      <c r="L22">
        <v>0</v>
      </c>
      <c r="N22">
        <v>1</v>
      </c>
      <c r="O22" t="s">
        <v>87</v>
      </c>
      <c r="P22">
        <v>2</v>
      </c>
      <c r="Q22">
        <v>4</v>
      </c>
      <c r="R22">
        <v>303</v>
      </c>
      <c r="S22">
        <v>303</v>
      </c>
      <c r="T22">
        <v>0.56430317705314303</v>
      </c>
      <c r="U22">
        <v>82350</v>
      </c>
      <c r="V22">
        <v>0.53846053251033099</v>
      </c>
      <c r="W22">
        <v>1.12724738132411</v>
      </c>
      <c r="X22">
        <v>0.56430317705314303</v>
      </c>
      <c r="Y22">
        <v>5.0425814038388403E-2</v>
      </c>
      <c r="Z22">
        <v>0.506469671898098</v>
      </c>
      <c r="AA22">
        <v>1.1886549567093001E-2</v>
      </c>
      <c r="AB22">
        <v>0.128911862554144</v>
      </c>
      <c r="AC22">
        <v>1.53938707272783E-3</v>
      </c>
      <c r="AD22">
        <v>15071.256107129801</v>
      </c>
      <c r="AE22">
        <v>214896325.29729</v>
      </c>
      <c r="AF22">
        <v>4502.1823106576903</v>
      </c>
      <c r="AG22">
        <v>85441843.710639104</v>
      </c>
      <c r="AH22">
        <v>1</v>
      </c>
      <c r="AI22">
        <v>50</v>
      </c>
    </row>
    <row r="23" spans="1:35" x14ac:dyDescent="0.25">
      <c r="A23">
        <v>1539</v>
      </c>
      <c r="B23" s="1">
        <v>45447</v>
      </c>
      <c r="C23">
        <v>40</v>
      </c>
      <c r="D23" t="s">
        <v>88</v>
      </c>
      <c r="E23">
        <v>4.71</v>
      </c>
      <c r="F23">
        <v>905</v>
      </c>
      <c r="G23" t="s">
        <v>47</v>
      </c>
      <c r="H23">
        <v>45.433034630000002</v>
      </c>
      <c r="I23">
        <v>-73.938773080000004</v>
      </c>
      <c r="J23">
        <v>39.020000000000003</v>
      </c>
      <c r="K23">
        <v>0</v>
      </c>
      <c r="L23">
        <v>0</v>
      </c>
      <c r="N23">
        <v>1</v>
      </c>
      <c r="O23" t="s">
        <v>89</v>
      </c>
      <c r="P23">
        <v>2</v>
      </c>
      <c r="Q23">
        <v>5</v>
      </c>
      <c r="R23">
        <v>310</v>
      </c>
      <c r="S23">
        <v>310</v>
      </c>
      <c r="T23">
        <v>0.58037178086102603</v>
      </c>
      <c r="U23">
        <v>83298</v>
      </c>
      <c r="V23">
        <v>0.54465564251946896</v>
      </c>
      <c r="W23">
        <v>1.15932411918548</v>
      </c>
      <c r="X23">
        <v>0.58037178086102603</v>
      </c>
      <c r="Y23">
        <v>7.26802216246097E-2</v>
      </c>
      <c r="Z23">
        <v>0.52752378000135003</v>
      </c>
      <c r="AA23">
        <v>2.44327214777324E-2</v>
      </c>
      <c r="AB23">
        <v>0.14031897011605199</v>
      </c>
      <c r="AC23">
        <v>8.5877974574351708E-3</v>
      </c>
      <c r="AD23">
        <v>12466.4413516677</v>
      </c>
      <c r="AE23">
        <v>169823057.82875499</v>
      </c>
      <c r="AF23">
        <v>6740.8794807315098</v>
      </c>
      <c r="AG23">
        <v>97754138.390682906</v>
      </c>
      <c r="AH23">
        <v>1</v>
      </c>
      <c r="AI23">
        <v>79</v>
      </c>
    </row>
    <row r="24" spans="1:35" x14ac:dyDescent="0.25">
      <c r="A24">
        <v>1540</v>
      </c>
      <c r="B24" s="1">
        <v>45447</v>
      </c>
      <c r="C24">
        <v>40</v>
      </c>
      <c r="D24" t="s">
        <v>90</v>
      </c>
      <c r="E24">
        <v>4.71</v>
      </c>
      <c r="F24">
        <v>905</v>
      </c>
      <c r="G24" t="s">
        <v>49</v>
      </c>
      <c r="H24">
        <v>45.433061469999998</v>
      </c>
      <c r="I24">
        <v>-73.938692149999994</v>
      </c>
      <c r="J24">
        <v>39.020000000000003</v>
      </c>
      <c r="K24">
        <v>0</v>
      </c>
      <c r="L24">
        <v>0</v>
      </c>
      <c r="N24">
        <v>1</v>
      </c>
      <c r="O24" t="s">
        <v>91</v>
      </c>
      <c r="P24">
        <v>2</v>
      </c>
      <c r="Q24">
        <v>6</v>
      </c>
      <c r="R24">
        <v>403</v>
      </c>
      <c r="S24">
        <v>403</v>
      </c>
      <c r="T24">
        <v>0.565937327587831</v>
      </c>
      <c r="U24">
        <v>79344</v>
      </c>
      <c r="V24">
        <v>0.51879507516068502</v>
      </c>
      <c r="W24">
        <v>1.1304730809386401</v>
      </c>
      <c r="X24">
        <v>0.565937327587831</v>
      </c>
      <c r="Y24">
        <v>4.8510832691169403E-2</v>
      </c>
      <c r="Z24">
        <v>0.48635259381380103</v>
      </c>
      <c r="AA24">
        <v>1.1213938973815099E-2</v>
      </c>
      <c r="AB24">
        <v>0.13365648375731201</v>
      </c>
      <c r="AC24">
        <v>1.33206471617223E-3</v>
      </c>
      <c r="AD24">
        <v>15745.597806968801</v>
      </c>
      <c r="AE24">
        <v>253703711.96426499</v>
      </c>
      <c r="AF24">
        <v>4617.6999922098303</v>
      </c>
      <c r="AG24">
        <v>71444959.551423505</v>
      </c>
      <c r="AH24">
        <v>1</v>
      </c>
      <c r="AI24">
        <v>31</v>
      </c>
    </row>
    <row r="25" spans="1:35" x14ac:dyDescent="0.25">
      <c r="A25">
        <v>1541</v>
      </c>
      <c r="B25" s="1">
        <v>45447</v>
      </c>
      <c r="C25">
        <v>40</v>
      </c>
      <c r="D25" t="s">
        <v>92</v>
      </c>
      <c r="E25">
        <v>4.71</v>
      </c>
      <c r="F25">
        <v>905</v>
      </c>
      <c r="G25" t="s">
        <v>52</v>
      </c>
      <c r="H25">
        <v>45.433088439999999</v>
      </c>
      <c r="I25">
        <v>-73.938611300000005</v>
      </c>
      <c r="J25">
        <v>39.020000000000003</v>
      </c>
      <c r="K25">
        <v>0</v>
      </c>
      <c r="L25">
        <v>0</v>
      </c>
      <c r="N25">
        <v>1</v>
      </c>
      <c r="O25" s="2" t="s">
        <v>93</v>
      </c>
      <c r="P25">
        <v>2</v>
      </c>
      <c r="Q25">
        <v>7</v>
      </c>
      <c r="R25">
        <v>410</v>
      </c>
      <c r="S25">
        <v>410</v>
      </c>
      <c r="T25">
        <v>0.56684598233551997</v>
      </c>
      <c r="U25">
        <v>84833</v>
      </c>
      <c r="V25">
        <v>0.55470333607961597</v>
      </c>
      <c r="W25">
        <v>1.1320083572772599</v>
      </c>
      <c r="X25">
        <v>0.56684598233551997</v>
      </c>
      <c r="Y25">
        <v>5.5303246018807199E-2</v>
      </c>
      <c r="Z25">
        <v>0.522850014328885</v>
      </c>
      <c r="AA25">
        <v>1.52506884088425E-2</v>
      </c>
      <c r="AB25">
        <v>0.13462131599663099</v>
      </c>
      <c r="AC25">
        <v>3.6732059539327502E-3</v>
      </c>
      <c r="AD25">
        <v>13307.537859468801</v>
      </c>
      <c r="AE25">
        <v>200317849.80553699</v>
      </c>
      <c r="AF25">
        <v>6720.6423430661398</v>
      </c>
      <c r="AG25">
        <v>100363616.670204</v>
      </c>
      <c r="AH25">
        <v>1</v>
      </c>
      <c r="AI25">
        <v>151</v>
      </c>
    </row>
    <row r="26" spans="1:35" x14ac:dyDescent="0.25">
      <c r="A26">
        <v>1542</v>
      </c>
      <c r="B26" s="1">
        <v>45447</v>
      </c>
      <c r="C26">
        <v>40</v>
      </c>
      <c r="D26" t="s">
        <v>94</v>
      </c>
      <c r="E26">
        <v>4.71</v>
      </c>
      <c r="F26">
        <v>905</v>
      </c>
      <c r="G26" t="s">
        <v>55</v>
      </c>
      <c r="H26">
        <v>45.433062790000001</v>
      </c>
      <c r="I26">
        <v>-73.938594179999996</v>
      </c>
      <c r="J26">
        <v>39.020000000000003</v>
      </c>
      <c r="K26">
        <v>0</v>
      </c>
      <c r="L26">
        <v>0</v>
      </c>
      <c r="N26">
        <v>1</v>
      </c>
      <c r="O26" t="s">
        <v>95</v>
      </c>
      <c r="P26">
        <v>3</v>
      </c>
      <c r="Q26">
        <v>7</v>
      </c>
      <c r="R26">
        <v>411</v>
      </c>
      <c r="S26">
        <v>411</v>
      </c>
      <c r="T26">
        <v>0.53236437181004903</v>
      </c>
      <c r="U26">
        <v>78160</v>
      </c>
      <c r="V26">
        <v>0.511070134829404</v>
      </c>
      <c r="W26">
        <v>1.06318346667888</v>
      </c>
      <c r="X26">
        <v>0.53236437181004903</v>
      </c>
      <c r="Y26">
        <v>4.6778459231190603E-2</v>
      </c>
      <c r="Z26">
        <v>0.497173000271872</v>
      </c>
      <c r="AA26">
        <v>1.1138288179219099E-2</v>
      </c>
      <c r="AB26">
        <v>0.119827126659886</v>
      </c>
      <c r="AC26">
        <v>2.2665679246770898E-3</v>
      </c>
      <c r="AD26">
        <v>12620.348974067199</v>
      </c>
      <c r="AE26">
        <v>201648762.84634599</v>
      </c>
      <c r="AF26">
        <v>8388.3851918092296</v>
      </c>
      <c r="AG26">
        <v>86051743.274434805</v>
      </c>
      <c r="AH26">
        <v>1</v>
      </c>
      <c r="AI26">
        <v>215</v>
      </c>
    </row>
    <row r="27" spans="1:35" x14ac:dyDescent="0.25">
      <c r="A27">
        <v>1543</v>
      </c>
      <c r="B27" s="1">
        <v>45447</v>
      </c>
      <c r="C27">
        <v>40</v>
      </c>
      <c r="D27" t="s">
        <v>96</v>
      </c>
      <c r="E27">
        <v>4.71</v>
      </c>
      <c r="F27">
        <v>905</v>
      </c>
      <c r="G27" t="s">
        <v>58</v>
      </c>
      <c r="H27">
        <v>45.433036340000001</v>
      </c>
      <c r="I27">
        <v>-73.938675329999995</v>
      </c>
      <c r="J27">
        <v>39.020000000000003</v>
      </c>
      <c r="K27">
        <v>0</v>
      </c>
      <c r="L27">
        <v>0</v>
      </c>
      <c r="N27">
        <v>1</v>
      </c>
      <c r="O27" t="s">
        <v>97</v>
      </c>
      <c r="P27">
        <v>3</v>
      </c>
      <c r="Q27">
        <v>6</v>
      </c>
      <c r="R27">
        <v>404</v>
      </c>
      <c r="S27">
        <v>404</v>
      </c>
      <c r="T27">
        <v>0.41350574806957602</v>
      </c>
      <c r="U27">
        <v>41873</v>
      </c>
      <c r="V27">
        <v>0.273796057148462</v>
      </c>
      <c r="W27">
        <v>0.82594977411969095</v>
      </c>
      <c r="X27">
        <v>0.41350574806957602</v>
      </c>
      <c r="Y27">
        <v>5.1531695535809899E-2</v>
      </c>
      <c r="Z27">
        <v>0.41539222743594501</v>
      </c>
      <c r="AA27">
        <v>1.5910675837695301E-2</v>
      </c>
      <c r="AB27">
        <v>0.124672510231185</v>
      </c>
      <c r="AC27">
        <v>1.48067885849094E-3</v>
      </c>
      <c r="AD27">
        <v>7332.6952888482001</v>
      </c>
      <c r="AE27">
        <v>137420614.264999</v>
      </c>
      <c r="AF27">
        <v>10199.333014038</v>
      </c>
      <c r="AG27">
        <v>70233126.858153298</v>
      </c>
      <c r="AH27">
        <v>1</v>
      </c>
      <c r="AI27">
        <v>22</v>
      </c>
    </row>
    <row r="28" spans="1:35" x14ac:dyDescent="0.25">
      <c r="A28">
        <v>1544</v>
      </c>
      <c r="B28" s="1">
        <v>45447</v>
      </c>
      <c r="C28">
        <v>40</v>
      </c>
      <c r="D28" t="s">
        <v>98</v>
      </c>
      <c r="E28">
        <v>4.71</v>
      </c>
      <c r="F28">
        <v>905</v>
      </c>
      <c r="G28" t="s">
        <v>61</v>
      </c>
      <c r="H28">
        <v>45.433010189999997</v>
      </c>
      <c r="I28">
        <v>-73.938756760000004</v>
      </c>
      <c r="J28">
        <v>39.020000000000003</v>
      </c>
      <c r="K28">
        <v>0</v>
      </c>
      <c r="L28">
        <v>0</v>
      </c>
      <c r="N28">
        <v>1</v>
      </c>
      <c r="O28" t="s">
        <v>99</v>
      </c>
      <c r="P28">
        <v>3</v>
      </c>
      <c r="Q28">
        <v>5</v>
      </c>
      <c r="R28">
        <v>311</v>
      </c>
      <c r="S28">
        <v>311</v>
      </c>
      <c r="T28">
        <v>0.48681803659843498</v>
      </c>
      <c r="U28">
        <v>61110</v>
      </c>
      <c r="V28">
        <v>0.39958152156144799</v>
      </c>
      <c r="W28">
        <v>0.97241981014583501</v>
      </c>
      <c r="X28">
        <v>0.48681803659843498</v>
      </c>
      <c r="Y28">
        <v>3.9903901793139601E-2</v>
      </c>
      <c r="Z28">
        <v>0.47629100615693698</v>
      </c>
      <c r="AA28">
        <v>9.5344219939284408E-3</v>
      </c>
      <c r="AB28">
        <v>0.13537736673224501</v>
      </c>
      <c r="AC28">
        <v>9.9439346860404304E-4</v>
      </c>
      <c r="AD28">
        <v>9838.8398927648996</v>
      </c>
      <c r="AE28">
        <v>147558575.58353299</v>
      </c>
      <c r="AF28">
        <v>9561.6366416429992</v>
      </c>
      <c r="AG28">
        <v>67223724.322182804</v>
      </c>
      <c r="AH28">
        <v>1</v>
      </c>
      <c r="AI28">
        <v>65</v>
      </c>
    </row>
    <row r="29" spans="1:35" x14ac:dyDescent="0.25">
      <c r="A29">
        <v>1545</v>
      </c>
      <c r="B29" s="1">
        <v>45447</v>
      </c>
      <c r="C29">
        <v>40</v>
      </c>
      <c r="D29" t="s">
        <v>100</v>
      </c>
      <c r="E29">
        <v>4.71</v>
      </c>
      <c r="F29">
        <v>905</v>
      </c>
      <c r="G29" t="s">
        <v>64</v>
      </c>
      <c r="H29">
        <v>45.432982809999999</v>
      </c>
      <c r="I29">
        <v>-73.938837340000006</v>
      </c>
      <c r="J29">
        <v>39.020000000000003</v>
      </c>
      <c r="K29">
        <v>0</v>
      </c>
      <c r="L29">
        <v>0</v>
      </c>
      <c r="N29">
        <v>1</v>
      </c>
      <c r="O29" t="s">
        <v>101</v>
      </c>
      <c r="P29">
        <v>3</v>
      </c>
      <c r="Q29">
        <v>4</v>
      </c>
      <c r="R29">
        <v>304</v>
      </c>
      <c r="S29">
        <v>304</v>
      </c>
      <c r="T29">
        <v>0.480383957062468</v>
      </c>
      <c r="U29">
        <v>64040</v>
      </c>
      <c r="V29">
        <v>0.41874546369978999</v>
      </c>
      <c r="W29">
        <v>0.95961324235068202</v>
      </c>
      <c r="X29">
        <v>0.480383957062468</v>
      </c>
      <c r="Y29">
        <v>7.0204924182941997E-2</v>
      </c>
      <c r="Z29">
        <v>0.468119305714638</v>
      </c>
      <c r="AA29">
        <v>1.98400376564274E-2</v>
      </c>
      <c r="AB29">
        <v>0.127655791635606</v>
      </c>
      <c r="AC29">
        <v>1.6474837201208301E-3</v>
      </c>
      <c r="AD29">
        <v>10915.391602858799</v>
      </c>
      <c r="AE29">
        <v>182111774.64970401</v>
      </c>
      <c r="AF29">
        <v>7547.7243619829696</v>
      </c>
      <c r="AG29">
        <v>96096875.118635595</v>
      </c>
      <c r="AH29">
        <v>1</v>
      </c>
      <c r="AI29">
        <v>28</v>
      </c>
    </row>
    <row r="30" spans="1:35" x14ac:dyDescent="0.25">
      <c r="A30">
        <v>1546</v>
      </c>
      <c r="B30" s="1">
        <v>45447</v>
      </c>
      <c r="C30">
        <v>40</v>
      </c>
      <c r="D30" t="s">
        <v>102</v>
      </c>
      <c r="E30">
        <v>4.71</v>
      </c>
      <c r="F30">
        <v>905</v>
      </c>
      <c r="G30" t="s">
        <v>67</v>
      </c>
      <c r="H30">
        <v>45.432955980000003</v>
      </c>
      <c r="I30">
        <v>-73.938918240000007</v>
      </c>
      <c r="J30">
        <v>39.020000000000003</v>
      </c>
      <c r="K30">
        <v>0</v>
      </c>
      <c r="L30">
        <v>0</v>
      </c>
      <c r="N30">
        <v>1</v>
      </c>
      <c r="O30" t="s">
        <v>103</v>
      </c>
      <c r="P30">
        <v>3</v>
      </c>
      <c r="Q30">
        <v>3</v>
      </c>
      <c r="R30">
        <v>211</v>
      </c>
      <c r="S30">
        <v>211</v>
      </c>
      <c r="T30">
        <v>0.55847776579566</v>
      </c>
      <c r="U30">
        <v>83364</v>
      </c>
      <c r="V30">
        <v>0.54509075691792597</v>
      </c>
      <c r="W30">
        <v>1.11551486316757</v>
      </c>
      <c r="X30">
        <v>0.55847776579566</v>
      </c>
      <c r="Y30">
        <v>5.9760134124246099E-2</v>
      </c>
      <c r="Z30">
        <v>0.508079376723793</v>
      </c>
      <c r="AA30">
        <v>1.68746436480934E-2</v>
      </c>
      <c r="AB30">
        <v>0.11199501570100399</v>
      </c>
      <c r="AC30">
        <v>4.1256788098019996E-3</v>
      </c>
      <c r="AD30">
        <v>14109.963749542299</v>
      </c>
      <c r="AE30">
        <v>230117728.19920501</v>
      </c>
      <c r="AF30">
        <v>7487.0652685061104</v>
      </c>
      <c r="AG30">
        <v>111942112.41042</v>
      </c>
      <c r="AH30">
        <v>1</v>
      </c>
      <c r="AI30">
        <v>89</v>
      </c>
    </row>
    <row r="31" spans="1:35" x14ac:dyDescent="0.25">
      <c r="A31">
        <v>1547</v>
      </c>
      <c r="B31" s="1">
        <v>45447</v>
      </c>
      <c r="C31">
        <v>40</v>
      </c>
      <c r="D31" t="s">
        <v>104</v>
      </c>
      <c r="E31">
        <v>4.71</v>
      </c>
      <c r="F31">
        <v>905</v>
      </c>
      <c r="G31" t="s">
        <v>70</v>
      </c>
      <c r="H31">
        <v>45.432928949999997</v>
      </c>
      <c r="I31">
        <v>-73.938999030000005</v>
      </c>
      <c r="J31">
        <v>39.020000000000003</v>
      </c>
      <c r="K31">
        <v>0</v>
      </c>
      <c r="L31">
        <v>0</v>
      </c>
      <c r="N31">
        <v>1</v>
      </c>
      <c r="O31" t="s">
        <v>105</v>
      </c>
      <c r="P31">
        <v>3</v>
      </c>
      <c r="Q31">
        <v>2</v>
      </c>
      <c r="R31">
        <v>204</v>
      </c>
      <c r="S31">
        <v>204</v>
      </c>
      <c r="T31">
        <v>0.52119884907295</v>
      </c>
      <c r="U31">
        <v>71626</v>
      </c>
      <c r="V31">
        <v>0.46833663534658099</v>
      </c>
      <c r="W31">
        <v>1.0410010322884999</v>
      </c>
      <c r="X31">
        <v>0.52119884907295</v>
      </c>
      <c r="Y31">
        <v>5.8724457243314002E-2</v>
      </c>
      <c r="Z31">
        <v>0.50616628812397002</v>
      </c>
      <c r="AA31">
        <v>1.68055111556797E-2</v>
      </c>
      <c r="AB31">
        <v>9.13800205266313E-2</v>
      </c>
      <c r="AC31">
        <v>2.8524239583152498E-3</v>
      </c>
      <c r="AD31">
        <v>10446.361841804101</v>
      </c>
      <c r="AE31">
        <v>151631828.93024999</v>
      </c>
      <c r="AF31">
        <v>10134.676244597</v>
      </c>
      <c r="AG31">
        <v>114393308.26578</v>
      </c>
      <c r="AH31">
        <v>1</v>
      </c>
      <c r="AI31">
        <v>152</v>
      </c>
    </row>
    <row r="32" spans="1:35" x14ac:dyDescent="0.25">
      <c r="A32">
        <v>1548</v>
      </c>
      <c r="B32" s="1">
        <v>45447</v>
      </c>
      <c r="C32">
        <v>40</v>
      </c>
      <c r="D32" t="s">
        <v>106</v>
      </c>
      <c r="E32">
        <v>4.71</v>
      </c>
      <c r="F32">
        <v>905</v>
      </c>
      <c r="G32" t="s">
        <v>73</v>
      </c>
      <c r="H32">
        <v>45.432901870000002</v>
      </c>
      <c r="I32">
        <v>-73.939079800000002</v>
      </c>
      <c r="J32">
        <v>39.020000000000003</v>
      </c>
      <c r="K32">
        <v>0</v>
      </c>
      <c r="L32">
        <v>0</v>
      </c>
      <c r="N32">
        <v>1</v>
      </c>
      <c r="O32" t="s">
        <v>107</v>
      </c>
      <c r="P32">
        <v>3</v>
      </c>
      <c r="Q32">
        <v>1</v>
      </c>
      <c r="R32">
        <v>111</v>
      </c>
      <c r="S32">
        <v>111</v>
      </c>
      <c r="T32">
        <v>0.59500627877923795</v>
      </c>
      <c r="U32">
        <v>87427</v>
      </c>
      <c r="V32">
        <v>0.57165742532824204</v>
      </c>
      <c r="W32">
        <v>1.1882611852554901</v>
      </c>
      <c r="X32">
        <v>0.59500627877923795</v>
      </c>
      <c r="Y32">
        <v>6.2744250461252496E-2</v>
      </c>
      <c r="Z32">
        <v>0.56149478345630399</v>
      </c>
      <c r="AA32">
        <v>2.2161763030354199E-2</v>
      </c>
      <c r="AB32">
        <v>0.118671882265173</v>
      </c>
      <c r="AC32">
        <v>4.17000539439527E-3</v>
      </c>
      <c r="AD32">
        <v>11270.8811529006</v>
      </c>
      <c r="AE32">
        <v>125688196.42285401</v>
      </c>
      <c r="AF32">
        <v>7425.68188403556</v>
      </c>
      <c r="AG32">
        <v>123441114.81590401</v>
      </c>
      <c r="AH32">
        <v>1</v>
      </c>
      <c r="AI32">
        <v>109</v>
      </c>
    </row>
    <row r="33" spans="1:35" x14ac:dyDescent="0.25">
      <c r="A33">
        <v>1549</v>
      </c>
      <c r="B33" s="1">
        <v>45447</v>
      </c>
      <c r="C33">
        <v>40</v>
      </c>
      <c r="D33" t="s">
        <v>108</v>
      </c>
      <c r="E33">
        <v>4.71</v>
      </c>
      <c r="F33">
        <v>905</v>
      </c>
      <c r="G33" t="s">
        <v>76</v>
      </c>
      <c r="H33">
        <v>45.432875099999997</v>
      </c>
      <c r="I33">
        <v>-73.939160810000004</v>
      </c>
      <c r="J33">
        <v>39.021000000000001</v>
      </c>
      <c r="K33">
        <v>0</v>
      </c>
      <c r="L33">
        <v>0</v>
      </c>
      <c r="N33">
        <v>1</v>
      </c>
      <c r="O33" t="s">
        <v>109</v>
      </c>
      <c r="P33">
        <v>3</v>
      </c>
      <c r="Q33">
        <v>0</v>
      </c>
      <c r="R33">
        <v>104</v>
      </c>
      <c r="S33">
        <v>104</v>
      </c>
      <c r="T33">
        <v>0.61269829596688696</v>
      </c>
      <c r="U33">
        <v>90045</v>
      </c>
      <c r="V33">
        <v>0.58876799748917896</v>
      </c>
      <c r="W33">
        <v>1.2235230478258401</v>
      </c>
      <c r="X33">
        <v>0.61269829596688696</v>
      </c>
      <c r="Y33">
        <v>5.8417879394648799E-2</v>
      </c>
      <c r="Z33">
        <v>0.56807393180380195</v>
      </c>
      <c r="AA33">
        <v>2.2034096268902702E-2</v>
      </c>
      <c r="AB33">
        <v>0.136812373217892</v>
      </c>
      <c r="AC33">
        <v>3.7540760082253898E-3</v>
      </c>
      <c r="AD33">
        <v>12431.2685728857</v>
      </c>
      <c r="AE33">
        <v>155102772.48069701</v>
      </c>
      <c r="AF33">
        <v>5613.3787669847798</v>
      </c>
      <c r="AG33">
        <v>119094050.656358</v>
      </c>
      <c r="AH33">
        <v>1</v>
      </c>
      <c r="AI33">
        <v>104</v>
      </c>
    </row>
    <row r="34" spans="1:35" x14ac:dyDescent="0.25">
      <c r="A34">
        <v>1550</v>
      </c>
      <c r="B34" s="1">
        <v>45447</v>
      </c>
      <c r="C34">
        <v>40</v>
      </c>
      <c r="D34" t="s">
        <v>110</v>
      </c>
      <c r="E34">
        <v>4.71</v>
      </c>
      <c r="F34">
        <v>905</v>
      </c>
      <c r="G34" t="s">
        <v>32</v>
      </c>
      <c r="H34">
        <v>45.432850459999997</v>
      </c>
      <c r="I34">
        <v>-73.939144119999995</v>
      </c>
      <c r="J34">
        <v>39.020000000000003</v>
      </c>
      <c r="K34">
        <v>0</v>
      </c>
      <c r="L34">
        <v>0</v>
      </c>
      <c r="N34">
        <v>1</v>
      </c>
      <c r="O34" t="s">
        <v>111</v>
      </c>
      <c r="P34">
        <v>4</v>
      </c>
      <c r="Q34">
        <v>0</v>
      </c>
      <c r="R34">
        <v>105</v>
      </c>
      <c r="S34">
        <v>105</v>
      </c>
      <c r="T34">
        <v>0.56916085507076497</v>
      </c>
      <c r="U34">
        <v>80559</v>
      </c>
      <c r="V34">
        <v>0.52674286312100305</v>
      </c>
      <c r="W34">
        <v>1.13664478021765</v>
      </c>
      <c r="X34">
        <v>0.56916085507076497</v>
      </c>
      <c r="Y34">
        <v>5.9318291831537202E-2</v>
      </c>
      <c r="Z34">
        <v>0.53497896271566703</v>
      </c>
      <c r="AA34">
        <v>2.1324707767325399E-2</v>
      </c>
      <c r="AB34">
        <v>0.117540647344811</v>
      </c>
      <c r="AC34">
        <v>3.4297843425961298E-3</v>
      </c>
      <c r="AD34">
        <v>11220.355503537399</v>
      </c>
      <c r="AE34">
        <v>144414601.36031201</v>
      </c>
      <c r="AF34">
        <v>7939.98746112347</v>
      </c>
      <c r="AG34">
        <v>121207667.885067</v>
      </c>
      <c r="AH34">
        <v>1</v>
      </c>
      <c r="AI34">
        <v>113</v>
      </c>
    </row>
    <row r="35" spans="1:35" x14ac:dyDescent="0.25">
      <c r="A35">
        <v>1551</v>
      </c>
      <c r="B35" s="1">
        <v>45447</v>
      </c>
      <c r="C35">
        <v>40</v>
      </c>
      <c r="D35" t="s">
        <v>112</v>
      </c>
      <c r="E35">
        <v>4.71</v>
      </c>
      <c r="F35">
        <v>905</v>
      </c>
      <c r="G35" t="s">
        <v>35</v>
      </c>
      <c r="H35">
        <v>45.432876950000001</v>
      </c>
      <c r="I35">
        <v>-73.939062980000003</v>
      </c>
      <c r="J35">
        <v>39.020000000000003</v>
      </c>
      <c r="K35">
        <v>0</v>
      </c>
      <c r="L35">
        <v>0</v>
      </c>
      <c r="N35">
        <v>1</v>
      </c>
      <c r="O35" t="s">
        <v>113</v>
      </c>
      <c r="P35">
        <v>4</v>
      </c>
      <c r="Q35">
        <v>1</v>
      </c>
      <c r="R35">
        <v>112</v>
      </c>
      <c r="S35">
        <v>112</v>
      </c>
      <c r="T35">
        <v>0.54575534767743195</v>
      </c>
      <c r="U35">
        <v>78785</v>
      </c>
      <c r="V35">
        <v>0.51515349658351595</v>
      </c>
      <c r="W35">
        <v>1.08990442547183</v>
      </c>
      <c r="X35">
        <v>0.54575534767743195</v>
      </c>
      <c r="Y35">
        <v>5.8671582899402497E-2</v>
      </c>
      <c r="Z35">
        <v>0.52656274231649902</v>
      </c>
      <c r="AA35">
        <v>2.0815427019892599E-2</v>
      </c>
      <c r="AB35">
        <v>9.2592179455316101E-2</v>
      </c>
      <c r="AC35">
        <v>3.4167517551726102E-3</v>
      </c>
      <c r="AD35">
        <v>9801.8637198809993</v>
      </c>
      <c r="AE35">
        <v>108181415.343601</v>
      </c>
      <c r="AF35">
        <v>9603.1172955343209</v>
      </c>
      <c r="AG35">
        <v>106703739.359072</v>
      </c>
      <c r="AH35">
        <v>1</v>
      </c>
      <c r="AI35">
        <v>91</v>
      </c>
    </row>
    <row r="36" spans="1:35" x14ac:dyDescent="0.25">
      <c r="A36">
        <v>1552</v>
      </c>
      <c r="B36" s="1">
        <v>45447</v>
      </c>
      <c r="C36">
        <v>40</v>
      </c>
      <c r="D36" t="s">
        <v>114</v>
      </c>
      <c r="E36">
        <v>4.71</v>
      </c>
      <c r="F36">
        <v>905</v>
      </c>
      <c r="G36" t="s">
        <v>38</v>
      </c>
      <c r="H36">
        <v>45.43290416</v>
      </c>
      <c r="I36">
        <v>-73.938982359999997</v>
      </c>
      <c r="J36">
        <v>39.020000000000003</v>
      </c>
      <c r="K36">
        <v>0</v>
      </c>
      <c r="L36">
        <v>0</v>
      </c>
      <c r="N36">
        <v>1</v>
      </c>
      <c r="O36" t="s">
        <v>115</v>
      </c>
      <c r="P36">
        <v>4</v>
      </c>
      <c r="Q36">
        <v>2</v>
      </c>
      <c r="R36">
        <v>205</v>
      </c>
      <c r="S36">
        <v>205</v>
      </c>
      <c r="T36">
        <v>0.54953482694573896</v>
      </c>
      <c r="U36">
        <v>79195</v>
      </c>
      <c r="V36">
        <v>0.51783437408049204</v>
      </c>
      <c r="W36">
        <v>1.0975938472247899</v>
      </c>
      <c r="X36">
        <v>0.54953482694573896</v>
      </c>
      <c r="Y36">
        <v>6.6091653811096496E-2</v>
      </c>
      <c r="Z36">
        <v>0.52707441851445402</v>
      </c>
      <c r="AA36">
        <v>1.9989509844062801E-2</v>
      </c>
      <c r="AB36">
        <v>9.4300362588533304E-2</v>
      </c>
      <c r="AC36">
        <v>2.8966993531281899E-3</v>
      </c>
      <c r="AD36">
        <v>11275.6783666263</v>
      </c>
      <c r="AE36">
        <v>147223668.50893801</v>
      </c>
      <c r="AF36">
        <v>8795.9274606230701</v>
      </c>
      <c r="AG36">
        <v>110197346.842788</v>
      </c>
      <c r="AH36">
        <v>1</v>
      </c>
      <c r="AI36">
        <v>104</v>
      </c>
    </row>
    <row r="37" spans="1:35" x14ac:dyDescent="0.25">
      <c r="A37">
        <v>1553</v>
      </c>
      <c r="B37" s="1">
        <v>45447</v>
      </c>
      <c r="C37">
        <v>40</v>
      </c>
      <c r="D37" t="s">
        <v>116</v>
      </c>
      <c r="E37">
        <v>4.71</v>
      </c>
      <c r="F37">
        <v>905</v>
      </c>
      <c r="G37" t="s">
        <v>41</v>
      </c>
      <c r="H37">
        <v>45.43293104</v>
      </c>
      <c r="I37">
        <v>-73.938901340000001</v>
      </c>
      <c r="J37">
        <v>39.020000000000003</v>
      </c>
      <c r="K37">
        <v>0</v>
      </c>
      <c r="L37">
        <v>0</v>
      </c>
      <c r="N37">
        <v>1</v>
      </c>
      <c r="O37" t="s">
        <v>117</v>
      </c>
      <c r="P37">
        <v>4</v>
      </c>
      <c r="Q37">
        <v>3</v>
      </c>
      <c r="R37">
        <v>212</v>
      </c>
      <c r="S37">
        <v>212</v>
      </c>
      <c r="T37">
        <v>0.53090126446820096</v>
      </c>
      <c r="U37">
        <v>76781</v>
      </c>
      <c r="V37">
        <v>0.50204989047634596</v>
      </c>
      <c r="W37">
        <v>1.06042749946977</v>
      </c>
      <c r="X37">
        <v>0.53090126446820096</v>
      </c>
      <c r="Y37">
        <v>5.5250732897878803E-2</v>
      </c>
      <c r="Z37">
        <v>0.49792486705519501</v>
      </c>
      <c r="AA37">
        <v>1.45542101844508E-2</v>
      </c>
      <c r="AB37">
        <v>0.109426441682479</v>
      </c>
      <c r="AC37">
        <v>2.4927537316933898E-3</v>
      </c>
      <c r="AD37">
        <v>12816.908542845</v>
      </c>
      <c r="AE37">
        <v>204797508.038495</v>
      </c>
      <c r="AF37">
        <v>7979.0499054290703</v>
      </c>
      <c r="AG37">
        <v>99075217.791331604</v>
      </c>
      <c r="AH37">
        <v>1</v>
      </c>
      <c r="AI37">
        <v>129</v>
      </c>
    </row>
    <row r="38" spans="1:35" x14ac:dyDescent="0.25">
      <c r="A38">
        <v>1554</v>
      </c>
      <c r="B38" s="1">
        <v>45447</v>
      </c>
      <c r="C38">
        <v>40</v>
      </c>
      <c r="D38" t="s">
        <v>118</v>
      </c>
      <c r="E38">
        <v>4.71</v>
      </c>
      <c r="F38">
        <v>905</v>
      </c>
      <c r="G38" t="s">
        <v>44</v>
      </c>
      <c r="H38">
        <v>45.432958130000003</v>
      </c>
      <c r="I38">
        <v>-73.938820660000005</v>
      </c>
      <c r="J38">
        <v>39.020000000000003</v>
      </c>
      <c r="K38">
        <v>0</v>
      </c>
      <c r="L38">
        <v>0</v>
      </c>
      <c r="N38">
        <v>1</v>
      </c>
      <c r="O38" t="s">
        <v>119</v>
      </c>
      <c r="P38">
        <v>4</v>
      </c>
      <c r="Q38">
        <v>4</v>
      </c>
      <c r="R38">
        <v>305</v>
      </c>
      <c r="S38">
        <v>305</v>
      </c>
      <c r="T38">
        <v>0.54983453188529896</v>
      </c>
      <c r="U38">
        <v>78993</v>
      </c>
      <c r="V38">
        <v>0.51650679691637702</v>
      </c>
      <c r="W38">
        <v>1.0983063249277001</v>
      </c>
      <c r="X38">
        <v>0.54983453188529896</v>
      </c>
      <c r="Y38">
        <v>5.5308429265281803E-2</v>
      </c>
      <c r="Z38">
        <v>0.50671935343246299</v>
      </c>
      <c r="AA38">
        <v>1.2574866807924899E-2</v>
      </c>
      <c r="AB38">
        <v>0.138513148469467</v>
      </c>
      <c r="AC38">
        <v>1.5259557062261501E-3</v>
      </c>
      <c r="AD38">
        <v>13838.052413739</v>
      </c>
      <c r="AE38">
        <v>200716014.30037999</v>
      </c>
      <c r="AF38">
        <v>5567.6741160546298</v>
      </c>
      <c r="AG38">
        <v>81017416.43603</v>
      </c>
      <c r="AH38">
        <v>1</v>
      </c>
      <c r="AI38">
        <v>34</v>
      </c>
    </row>
    <row r="39" spans="1:35" x14ac:dyDescent="0.25">
      <c r="A39">
        <v>1555</v>
      </c>
      <c r="B39" s="1">
        <v>45447</v>
      </c>
      <c r="C39">
        <v>40</v>
      </c>
      <c r="D39" t="s">
        <v>120</v>
      </c>
      <c r="E39">
        <v>4.71</v>
      </c>
      <c r="F39">
        <v>905</v>
      </c>
      <c r="G39" t="s">
        <v>47</v>
      </c>
      <c r="H39">
        <v>45.432985029999998</v>
      </c>
      <c r="I39">
        <v>-73.938739760000004</v>
      </c>
      <c r="J39">
        <v>39.020000000000003</v>
      </c>
      <c r="K39">
        <v>0</v>
      </c>
      <c r="L39">
        <v>0</v>
      </c>
      <c r="N39">
        <v>1</v>
      </c>
      <c r="O39" t="s">
        <v>121</v>
      </c>
      <c r="P39">
        <v>4</v>
      </c>
      <c r="Q39">
        <v>5</v>
      </c>
      <c r="R39">
        <v>312</v>
      </c>
      <c r="S39">
        <v>312</v>
      </c>
      <c r="T39">
        <v>0.61279216976085304</v>
      </c>
      <c r="U39">
        <v>95545</v>
      </c>
      <c r="V39">
        <v>0.62473845268609096</v>
      </c>
      <c r="W39">
        <v>1.22401699657865</v>
      </c>
      <c r="X39">
        <v>0.61279216976085304</v>
      </c>
      <c r="Y39">
        <v>5.6431079386058798E-2</v>
      </c>
      <c r="Z39">
        <v>0.54777930208062897</v>
      </c>
      <c r="AA39">
        <v>1.40949213510788E-2</v>
      </c>
      <c r="AB39">
        <v>0.14872981312102501</v>
      </c>
      <c r="AC39">
        <v>2.9826198274692599E-3</v>
      </c>
      <c r="AD39">
        <v>16447.500948108998</v>
      </c>
      <c r="AE39">
        <v>214516696.24887601</v>
      </c>
      <c r="AF39">
        <v>5214.3852225972096</v>
      </c>
      <c r="AG39">
        <v>104554228.682724</v>
      </c>
      <c r="AH39">
        <v>1</v>
      </c>
      <c r="AI39">
        <v>77</v>
      </c>
    </row>
    <row r="40" spans="1:35" x14ac:dyDescent="0.25">
      <c r="A40">
        <v>1556</v>
      </c>
      <c r="B40" s="1">
        <v>45447</v>
      </c>
      <c r="C40">
        <v>40</v>
      </c>
      <c r="D40" t="s">
        <v>122</v>
      </c>
      <c r="E40">
        <v>4.71</v>
      </c>
      <c r="F40">
        <v>905</v>
      </c>
      <c r="G40" t="s">
        <v>49</v>
      </c>
      <c r="H40">
        <v>45.433011999999998</v>
      </c>
      <c r="I40">
        <v>-73.938658930000003</v>
      </c>
      <c r="J40">
        <v>39.020000000000003</v>
      </c>
      <c r="K40">
        <v>0</v>
      </c>
      <c r="L40">
        <v>0</v>
      </c>
      <c r="N40">
        <v>1</v>
      </c>
      <c r="O40" t="s">
        <v>123</v>
      </c>
      <c r="P40">
        <v>4</v>
      </c>
      <c r="Q40">
        <v>6</v>
      </c>
      <c r="R40">
        <v>405</v>
      </c>
      <c r="S40">
        <v>405</v>
      </c>
      <c r="T40">
        <v>0.550753103129625</v>
      </c>
      <c r="U40">
        <v>81369</v>
      </c>
      <c r="V40">
        <v>0.53204608463671099</v>
      </c>
      <c r="W40">
        <v>1.1001322688105699</v>
      </c>
      <c r="X40">
        <v>0.550753103129625</v>
      </c>
      <c r="Y40">
        <v>4.8549805598709798E-2</v>
      </c>
      <c r="Z40">
        <v>0.48956189091287799</v>
      </c>
      <c r="AA40">
        <v>1.06693008072745E-2</v>
      </c>
      <c r="AB40">
        <v>0.13156403604936401</v>
      </c>
      <c r="AC40">
        <v>1.7298991156346399E-3</v>
      </c>
      <c r="AD40">
        <v>15510.4233077889</v>
      </c>
      <c r="AE40">
        <v>230055265.80076799</v>
      </c>
      <c r="AF40">
        <v>5326.1180971309695</v>
      </c>
      <c r="AG40">
        <v>68998746.680502102</v>
      </c>
      <c r="AH40">
        <v>1</v>
      </c>
      <c r="AI40">
        <v>24</v>
      </c>
    </row>
    <row r="41" spans="1:35" x14ac:dyDescent="0.25">
      <c r="A41">
        <v>1557</v>
      </c>
      <c r="B41" s="1">
        <v>45447</v>
      </c>
      <c r="C41">
        <v>40</v>
      </c>
      <c r="D41" t="s">
        <v>124</v>
      </c>
      <c r="E41">
        <v>4.71</v>
      </c>
      <c r="F41">
        <v>905</v>
      </c>
      <c r="G41" t="s">
        <v>52</v>
      </c>
      <c r="H41">
        <v>45.433038779999997</v>
      </c>
      <c r="I41">
        <v>-73.938577969999997</v>
      </c>
      <c r="J41">
        <v>39.020000000000003</v>
      </c>
      <c r="K41">
        <v>0</v>
      </c>
      <c r="L41">
        <v>0</v>
      </c>
      <c r="N41">
        <v>1</v>
      </c>
      <c r="O41" t="s">
        <v>125</v>
      </c>
      <c r="P41">
        <v>4</v>
      </c>
      <c r="Q41">
        <v>7</v>
      </c>
      <c r="R41">
        <v>412</v>
      </c>
      <c r="S41">
        <v>412</v>
      </c>
      <c r="T41">
        <v>0.54677653734294496</v>
      </c>
      <c r="U41">
        <v>81683</v>
      </c>
      <c r="V41">
        <v>0.53409923105089696</v>
      </c>
      <c r="W41">
        <v>1.0920483001406001</v>
      </c>
      <c r="X41">
        <v>0.54677653734294496</v>
      </c>
      <c r="Y41">
        <v>5.0104820175687001E-2</v>
      </c>
      <c r="Z41">
        <v>0.50439867647592196</v>
      </c>
      <c r="AA41">
        <v>1.26423162218626E-2</v>
      </c>
      <c r="AB41">
        <v>0.109299490434906</v>
      </c>
      <c r="AC41">
        <v>2.9548075442304899E-3</v>
      </c>
      <c r="AD41">
        <v>13764.769648742</v>
      </c>
      <c r="AE41">
        <v>196735200.17649099</v>
      </c>
      <c r="AF41">
        <v>7896.9489401748497</v>
      </c>
      <c r="AG41">
        <v>95108887.997870907</v>
      </c>
      <c r="AH41">
        <v>1</v>
      </c>
      <c r="AI41">
        <v>163</v>
      </c>
    </row>
    <row r="42" spans="1:35" x14ac:dyDescent="0.25">
      <c r="A42">
        <v>1558</v>
      </c>
      <c r="B42" s="1">
        <v>45447</v>
      </c>
      <c r="C42">
        <v>40</v>
      </c>
      <c r="D42" t="s">
        <v>126</v>
      </c>
      <c r="E42">
        <v>4.71</v>
      </c>
      <c r="F42">
        <v>905</v>
      </c>
      <c r="G42" t="s">
        <v>55</v>
      </c>
      <c r="H42">
        <v>45.433013350000003</v>
      </c>
      <c r="I42">
        <v>-73.938561010000001</v>
      </c>
      <c r="J42">
        <v>39.018999999999998</v>
      </c>
      <c r="K42">
        <v>0</v>
      </c>
      <c r="L42">
        <v>0</v>
      </c>
      <c r="N42">
        <v>1</v>
      </c>
      <c r="O42" t="s">
        <v>127</v>
      </c>
      <c r="P42">
        <v>5</v>
      </c>
      <c r="Q42">
        <v>7</v>
      </c>
      <c r="R42">
        <v>413</v>
      </c>
      <c r="S42">
        <v>413</v>
      </c>
      <c r="T42">
        <v>0.600637270479768</v>
      </c>
      <c r="U42">
        <v>95966</v>
      </c>
      <c r="V42">
        <v>0.62748713522561606</v>
      </c>
      <c r="W42">
        <v>1.1995528520894301</v>
      </c>
      <c r="X42">
        <v>0.600637270479768</v>
      </c>
      <c r="Y42">
        <v>5.0586226873153999E-2</v>
      </c>
      <c r="Z42">
        <v>0.54308632301008797</v>
      </c>
      <c r="AA42">
        <v>1.28007920014336E-2</v>
      </c>
      <c r="AB42">
        <v>0.117876401136809</v>
      </c>
      <c r="AC42">
        <v>3.9582734451159103E-3</v>
      </c>
      <c r="AD42">
        <v>15320.029103487101</v>
      </c>
      <c r="AE42">
        <v>210245875.251728</v>
      </c>
      <c r="AF42">
        <v>5413.4692080876102</v>
      </c>
      <c r="AG42">
        <v>90131727.556230798</v>
      </c>
      <c r="AH42">
        <v>1</v>
      </c>
      <c r="AI42">
        <v>146</v>
      </c>
    </row>
    <row r="43" spans="1:35" x14ac:dyDescent="0.25">
      <c r="A43">
        <v>1559</v>
      </c>
      <c r="B43" s="1">
        <v>45447</v>
      </c>
      <c r="C43">
        <v>40</v>
      </c>
      <c r="D43" t="s">
        <v>128</v>
      </c>
      <c r="E43">
        <v>4.71</v>
      </c>
      <c r="F43">
        <v>905</v>
      </c>
      <c r="G43" t="s">
        <v>58</v>
      </c>
      <c r="H43">
        <v>45.432986759999999</v>
      </c>
      <c r="I43">
        <v>-73.938642099999996</v>
      </c>
      <c r="J43">
        <v>39.018999999999998</v>
      </c>
      <c r="K43">
        <v>0</v>
      </c>
      <c r="L43">
        <v>0</v>
      </c>
      <c r="N43">
        <v>1</v>
      </c>
      <c r="O43" t="s">
        <v>129</v>
      </c>
      <c r="P43">
        <v>5</v>
      </c>
      <c r="Q43">
        <v>6</v>
      </c>
      <c r="R43">
        <v>406</v>
      </c>
      <c r="S43">
        <v>406</v>
      </c>
      <c r="T43">
        <v>0.54131598294463501</v>
      </c>
      <c r="U43">
        <v>74122</v>
      </c>
      <c r="V43">
        <v>0.48466025003923202</v>
      </c>
      <c r="W43">
        <v>1.08132043171311</v>
      </c>
      <c r="X43">
        <v>0.54131598294463501</v>
      </c>
      <c r="Y43">
        <v>5.8292532715499903E-2</v>
      </c>
      <c r="Z43">
        <v>0.520847932292685</v>
      </c>
      <c r="AA43">
        <v>1.44811544298793E-2</v>
      </c>
      <c r="AB43">
        <v>0.139302588176998</v>
      </c>
      <c r="AC43">
        <v>1.4759311495761099E-3</v>
      </c>
      <c r="AD43">
        <v>14090.261338076099</v>
      </c>
      <c r="AE43">
        <v>220803156.23815799</v>
      </c>
      <c r="AF43">
        <v>5038.2363865997004</v>
      </c>
      <c r="AG43">
        <v>80355832.547600105</v>
      </c>
      <c r="AH43">
        <v>1</v>
      </c>
      <c r="AI43">
        <v>25</v>
      </c>
    </row>
    <row r="44" spans="1:35" x14ac:dyDescent="0.25">
      <c r="A44">
        <v>1560</v>
      </c>
      <c r="B44" s="1">
        <v>45447</v>
      </c>
      <c r="C44">
        <v>40</v>
      </c>
      <c r="D44" t="s">
        <v>130</v>
      </c>
      <c r="E44">
        <v>4.71</v>
      </c>
      <c r="F44">
        <v>905</v>
      </c>
      <c r="G44" t="s">
        <v>61</v>
      </c>
      <c r="H44">
        <v>45.432960379999997</v>
      </c>
      <c r="I44">
        <v>-73.938723330000002</v>
      </c>
      <c r="J44">
        <v>39.020000000000003</v>
      </c>
      <c r="K44">
        <v>0</v>
      </c>
      <c r="L44">
        <v>0</v>
      </c>
      <c r="N44">
        <v>1</v>
      </c>
      <c r="O44" t="s">
        <v>131</v>
      </c>
      <c r="P44">
        <v>5</v>
      </c>
      <c r="Q44">
        <v>5</v>
      </c>
      <c r="R44">
        <v>313</v>
      </c>
      <c r="S44">
        <v>313</v>
      </c>
      <c r="T44">
        <v>0.60301980283835999</v>
      </c>
      <c r="U44">
        <v>97688</v>
      </c>
      <c r="V44">
        <v>0.63875085002876997</v>
      </c>
      <c r="W44">
        <v>1.2045191378737401</v>
      </c>
      <c r="X44">
        <v>0.60301980283835999</v>
      </c>
      <c r="Y44">
        <v>4.7577987054704299E-2</v>
      </c>
      <c r="Z44">
        <v>0.56467922882434096</v>
      </c>
      <c r="AA44">
        <v>1.18474250022965E-2</v>
      </c>
      <c r="AB44">
        <v>0.149592922665228</v>
      </c>
      <c r="AC44">
        <v>2.98626764123718E-3</v>
      </c>
      <c r="AD44">
        <v>15101.4856279751</v>
      </c>
      <c r="AE44">
        <v>222696327.63692099</v>
      </c>
      <c r="AF44">
        <v>6286.7355939017498</v>
      </c>
      <c r="AG44">
        <v>101288695.89208899</v>
      </c>
      <c r="AH44">
        <v>1</v>
      </c>
      <c r="AI44">
        <v>134</v>
      </c>
    </row>
    <row r="45" spans="1:35" x14ac:dyDescent="0.25">
      <c r="A45">
        <v>1561</v>
      </c>
      <c r="B45" s="1">
        <v>45447</v>
      </c>
      <c r="C45">
        <v>40</v>
      </c>
      <c r="D45" t="s">
        <v>132</v>
      </c>
      <c r="E45">
        <v>4.71</v>
      </c>
      <c r="F45">
        <v>905</v>
      </c>
      <c r="G45" t="s">
        <v>64</v>
      </c>
      <c r="H45">
        <v>45.432933179999999</v>
      </c>
      <c r="I45">
        <v>-73.938804039999994</v>
      </c>
      <c r="J45">
        <v>39.020000000000003</v>
      </c>
      <c r="K45">
        <v>0</v>
      </c>
      <c r="L45">
        <v>0</v>
      </c>
      <c r="N45">
        <v>1</v>
      </c>
      <c r="O45" t="s">
        <v>133</v>
      </c>
      <c r="P45">
        <v>5</v>
      </c>
      <c r="Q45">
        <v>4</v>
      </c>
      <c r="R45">
        <v>306</v>
      </c>
      <c r="S45">
        <v>306</v>
      </c>
      <c r="T45">
        <v>0.59040842152550199</v>
      </c>
      <c r="U45">
        <v>87572</v>
      </c>
      <c r="V45">
        <v>0.57260179027965796</v>
      </c>
      <c r="W45">
        <v>1.17942250759701</v>
      </c>
      <c r="X45">
        <v>0.59040842152550199</v>
      </c>
      <c r="Y45">
        <v>4.6018834929424997E-2</v>
      </c>
      <c r="Z45">
        <v>0.53087365335271397</v>
      </c>
      <c r="AA45">
        <v>1.12153219553727E-2</v>
      </c>
      <c r="AB45">
        <v>0.13989332823362599</v>
      </c>
      <c r="AC45">
        <v>1.4636512432425299E-3</v>
      </c>
      <c r="AD45">
        <v>16075.4883514127</v>
      </c>
      <c r="AE45">
        <v>230466928.894104</v>
      </c>
      <c r="AF45">
        <v>4331.7616382605802</v>
      </c>
      <c r="AG45">
        <v>83563334.090381205</v>
      </c>
      <c r="AH45">
        <v>1</v>
      </c>
      <c r="AI45">
        <v>65</v>
      </c>
    </row>
    <row r="46" spans="1:35" x14ac:dyDescent="0.25">
      <c r="A46">
        <v>1562</v>
      </c>
      <c r="B46" s="1">
        <v>45447</v>
      </c>
      <c r="C46">
        <v>40</v>
      </c>
      <c r="D46" t="s">
        <v>134</v>
      </c>
      <c r="E46">
        <v>4.71</v>
      </c>
      <c r="F46">
        <v>905</v>
      </c>
      <c r="G46" t="s">
        <v>67</v>
      </c>
      <c r="H46">
        <v>45.432906359999997</v>
      </c>
      <c r="I46">
        <v>-73.938884970000004</v>
      </c>
      <c r="J46">
        <v>39.020000000000003</v>
      </c>
      <c r="K46">
        <v>0</v>
      </c>
      <c r="L46">
        <v>0</v>
      </c>
      <c r="N46">
        <v>1</v>
      </c>
      <c r="O46" t="s">
        <v>135</v>
      </c>
      <c r="P46">
        <v>5</v>
      </c>
      <c r="Q46">
        <v>3</v>
      </c>
      <c r="R46">
        <v>213</v>
      </c>
      <c r="S46">
        <v>213</v>
      </c>
      <c r="T46">
        <v>0.53985182261318998</v>
      </c>
      <c r="U46">
        <v>77705</v>
      </c>
      <c r="V46">
        <v>0.50808835068263802</v>
      </c>
      <c r="W46">
        <v>1.0783222056425501</v>
      </c>
      <c r="X46">
        <v>0.53985182261318998</v>
      </c>
      <c r="Y46">
        <v>6.1188308510155401E-2</v>
      </c>
      <c r="Z46">
        <v>0.50660938895431995</v>
      </c>
      <c r="AA46">
        <v>1.5551604385579501E-2</v>
      </c>
      <c r="AB46">
        <v>0.117401589769107</v>
      </c>
      <c r="AC46">
        <v>2.47607546839918E-3</v>
      </c>
      <c r="AD46">
        <v>13128.3523892347</v>
      </c>
      <c r="AE46">
        <v>209748601.436452</v>
      </c>
      <c r="AF46">
        <v>6822.6418766268298</v>
      </c>
      <c r="AG46">
        <v>108001181.55048101</v>
      </c>
      <c r="AH46">
        <v>1</v>
      </c>
      <c r="AI46">
        <v>102</v>
      </c>
    </row>
    <row r="47" spans="1:35" x14ac:dyDescent="0.25">
      <c r="A47">
        <v>1563</v>
      </c>
      <c r="B47" s="1">
        <v>45447</v>
      </c>
      <c r="C47">
        <v>40</v>
      </c>
      <c r="D47" t="s">
        <v>136</v>
      </c>
      <c r="E47">
        <v>4.71</v>
      </c>
      <c r="F47">
        <v>905</v>
      </c>
      <c r="G47" t="s">
        <v>70</v>
      </c>
      <c r="H47">
        <v>45.432879380000003</v>
      </c>
      <c r="I47">
        <v>-73.938965809999999</v>
      </c>
      <c r="J47">
        <v>39.020000000000003</v>
      </c>
      <c r="K47">
        <v>0</v>
      </c>
      <c r="L47">
        <v>0</v>
      </c>
      <c r="N47">
        <v>1</v>
      </c>
      <c r="O47" t="s">
        <v>137</v>
      </c>
      <c r="P47">
        <v>5</v>
      </c>
      <c r="Q47">
        <v>2</v>
      </c>
      <c r="R47">
        <v>206</v>
      </c>
      <c r="S47">
        <v>206</v>
      </c>
      <c r="T47">
        <v>0.58682211639793402</v>
      </c>
      <c r="U47">
        <v>87797</v>
      </c>
      <c r="V47">
        <v>0.57408049171216502</v>
      </c>
      <c r="W47">
        <v>1.17202565431093</v>
      </c>
      <c r="X47">
        <v>0.58682211639793402</v>
      </c>
      <c r="Y47">
        <v>6.2143885442904702E-2</v>
      </c>
      <c r="Z47">
        <v>0.55871972436454398</v>
      </c>
      <c r="AA47">
        <v>1.92718405439622E-2</v>
      </c>
      <c r="AB47">
        <v>0.111082278284604</v>
      </c>
      <c r="AC47">
        <v>3.2127368822865402E-3</v>
      </c>
      <c r="AD47">
        <v>12202.4728414032</v>
      </c>
      <c r="AE47">
        <v>163306192.02848801</v>
      </c>
      <c r="AF47">
        <v>6634.3213801560696</v>
      </c>
      <c r="AG47">
        <v>113206470.03118899</v>
      </c>
      <c r="AH47">
        <v>1</v>
      </c>
      <c r="AI47">
        <v>165</v>
      </c>
    </row>
    <row r="48" spans="1:35" x14ac:dyDescent="0.25">
      <c r="A48">
        <v>1564</v>
      </c>
      <c r="B48" s="1">
        <v>45447</v>
      </c>
      <c r="C48">
        <v>40</v>
      </c>
      <c r="D48" t="s">
        <v>138</v>
      </c>
      <c r="E48">
        <v>4.71</v>
      </c>
      <c r="F48">
        <v>905</v>
      </c>
      <c r="G48" t="s">
        <v>73</v>
      </c>
      <c r="H48">
        <v>45.43285247</v>
      </c>
      <c r="I48">
        <v>-73.939046630000007</v>
      </c>
      <c r="J48">
        <v>39.020000000000003</v>
      </c>
      <c r="K48">
        <v>0</v>
      </c>
      <c r="L48">
        <v>0</v>
      </c>
      <c r="N48">
        <v>1</v>
      </c>
      <c r="O48" t="s">
        <v>139</v>
      </c>
      <c r="P48">
        <v>5</v>
      </c>
      <c r="Q48">
        <v>1</v>
      </c>
      <c r="R48">
        <v>113</v>
      </c>
      <c r="S48">
        <v>113</v>
      </c>
      <c r="T48">
        <v>0.58792981252663201</v>
      </c>
      <c r="U48">
        <v>87116</v>
      </c>
      <c r="V48">
        <v>0.56962761957694397</v>
      </c>
      <c r="W48">
        <v>1.17413632274629</v>
      </c>
      <c r="X48">
        <v>0.58792981252663201</v>
      </c>
      <c r="Y48">
        <v>6.0793298443443597E-2</v>
      </c>
      <c r="Z48">
        <v>0.53926701843828695</v>
      </c>
      <c r="AA48">
        <v>2.17977964953797E-2</v>
      </c>
      <c r="AB48">
        <v>9.7761186044518097E-2</v>
      </c>
      <c r="AC48">
        <v>3.7516389412676101E-3</v>
      </c>
      <c r="AD48">
        <v>12134.523411906999</v>
      </c>
      <c r="AE48">
        <v>137684722.544687</v>
      </c>
      <c r="AF48">
        <v>7783.2294199467997</v>
      </c>
      <c r="AG48">
        <v>117155002.23059499</v>
      </c>
      <c r="AH48">
        <v>1</v>
      </c>
      <c r="AI48">
        <v>84</v>
      </c>
    </row>
    <row r="49" spans="1:35" x14ac:dyDescent="0.25">
      <c r="A49">
        <v>1565</v>
      </c>
      <c r="B49" s="1">
        <v>45447</v>
      </c>
      <c r="C49">
        <v>40</v>
      </c>
      <c r="D49" t="s">
        <v>140</v>
      </c>
      <c r="E49">
        <v>4.71</v>
      </c>
      <c r="F49">
        <v>905</v>
      </c>
      <c r="G49" t="s">
        <v>76</v>
      </c>
      <c r="H49">
        <v>45.432825549999997</v>
      </c>
      <c r="I49">
        <v>-73.93912752</v>
      </c>
      <c r="J49">
        <v>39.020000000000003</v>
      </c>
      <c r="K49">
        <v>0</v>
      </c>
      <c r="L49">
        <v>0</v>
      </c>
      <c r="N49">
        <v>1</v>
      </c>
      <c r="O49" t="s">
        <v>141</v>
      </c>
      <c r="P49">
        <v>5</v>
      </c>
      <c r="Q49">
        <v>0</v>
      </c>
      <c r="R49">
        <v>106</v>
      </c>
      <c r="S49">
        <v>106</v>
      </c>
      <c r="T49">
        <v>0.65908707391029098</v>
      </c>
      <c r="U49">
        <v>101106</v>
      </c>
      <c r="V49">
        <v>0.66110006800230203</v>
      </c>
      <c r="W49">
        <v>1.31619077594617</v>
      </c>
      <c r="X49">
        <v>0.65908707391029098</v>
      </c>
      <c r="Y49">
        <v>5.5329885387290001E-2</v>
      </c>
      <c r="Z49">
        <v>0.606701318372733</v>
      </c>
      <c r="AA49">
        <v>2.1965544551498701E-2</v>
      </c>
      <c r="AB49">
        <v>0.146263717092222</v>
      </c>
      <c r="AC49">
        <v>4.0907479356872703E-3</v>
      </c>
      <c r="AD49">
        <v>13512.5964324946</v>
      </c>
      <c r="AE49">
        <v>144041331.26031601</v>
      </c>
      <c r="AF49">
        <v>4165.0213809284196</v>
      </c>
      <c r="AG49">
        <v>116303402.01682299</v>
      </c>
      <c r="AH49">
        <v>1</v>
      </c>
      <c r="AI49">
        <v>105</v>
      </c>
    </row>
    <row r="50" spans="1:35" x14ac:dyDescent="0.25">
      <c r="A50">
        <v>1566</v>
      </c>
      <c r="B50" s="1">
        <v>45447</v>
      </c>
      <c r="C50">
        <v>40</v>
      </c>
      <c r="D50" t="s">
        <v>142</v>
      </c>
      <c r="E50">
        <v>4.71</v>
      </c>
      <c r="F50">
        <v>905</v>
      </c>
      <c r="G50" t="s">
        <v>32</v>
      </c>
      <c r="H50">
        <v>45.432800960000002</v>
      </c>
      <c r="I50">
        <v>-73.939110929999998</v>
      </c>
      <c r="J50">
        <v>39.020000000000003</v>
      </c>
      <c r="K50">
        <v>0</v>
      </c>
      <c r="L50">
        <v>0</v>
      </c>
      <c r="N50">
        <v>1</v>
      </c>
      <c r="O50" t="s">
        <v>143</v>
      </c>
      <c r="P50">
        <v>6</v>
      </c>
      <c r="Q50">
        <v>0</v>
      </c>
      <c r="R50">
        <v>107</v>
      </c>
      <c r="S50">
        <v>107</v>
      </c>
      <c r="T50">
        <v>0.63273773452300897</v>
      </c>
      <c r="U50">
        <v>95689</v>
      </c>
      <c r="V50">
        <v>0.62568002301616399</v>
      </c>
      <c r="W50">
        <v>1.2635893496737001</v>
      </c>
      <c r="X50">
        <v>0.63273773452300897</v>
      </c>
      <c r="Y50">
        <v>5.7823571440966101E-2</v>
      </c>
      <c r="Z50">
        <v>0.58929912677700103</v>
      </c>
      <c r="AA50">
        <v>2.2096492111248599E-2</v>
      </c>
      <c r="AB50">
        <v>0.13881204530865501</v>
      </c>
      <c r="AC50">
        <v>4.16472525557541E-3</v>
      </c>
      <c r="AD50">
        <v>12588.0124758069</v>
      </c>
      <c r="AE50">
        <v>147238410.490771</v>
      </c>
      <c r="AF50">
        <v>5116.6338287990102</v>
      </c>
      <c r="AG50">
        <v>121706038.039129</v>
      </c>
      <c r="AH50">
        <v>1</v>
      </c>
      <c r="AI50">
        <v>85</v>
      </c>
    </row>
    <row r="51" spans="1:35" x14ac:dyDescent="0.25">
      <c r="A51">
        <v>1567</v>
      </c>
      <c r="B51" s="1">
        <v>45447</v>
      </c>
      <c r="C51">
        <v>40</v>
      </c>
      <c r="D51" t="s">
        <v>144</v>
      </c>
      <c r="E51">
        <v>4.71</v>
      </c>
      <c r="F51">
        <v>905</v>
      </c>
      <c r="G51" t="s">
        <v>35</v>
      </c>
      <c r="H51">
        <v>45.432827260000003</v>
      </c>
      <c r="I51">
        <v>-73.939029640000001</v>
      </c>
      <c r="J51">
        <v>39.020000000000003</v>
      </c>
      <c r="K51">
        <v>0</v>
      </c>
      <c r="L51">
        <v>0</v>
      </c>
      <c r="N51">
        <v>1</v>
      </c>
      <c r="O51" t="s">
        <v>145</v>
      </c>
      <c r="P51">
        <v>6</v>
      </c>
      <c r="Q51">
        <v>1</v>
      </c>
      <c r="R51">
        <v>114</v>
      </c>
      <c r="S51">
        <v>114</v>
      </c>
      <c r="T51">
        <v>0.57881178522714705</v>
      </c>
      <c r="U51">
        <v>85204</v>
      </c>
      <c r="V51">
        <v>0.55712193335774396</v>
      </c>
      <c r="W51">
        <v>1.15594245929341</v>
      </c>
      <c r="X51">
        <v>0.57881178522714705</v>
      </c>
      <c r="Y51">
        <v>6.1972638135711799E-2</v>
      </c>
      <c r="Z51">
        <v>0.53456415115092903</v>
      </c>
      <c r="AA51">
        <v>2.243528556234E-2</v>
      </c>
      <c r="AB51">
        <v>9.8138080494857505E-2</v>
      </c>
      <c r="AC51">
        <v>3.8831883340401099E-3</v>
      </c>
      <c r="AD51">
        <v>11895.610529894901</v>
      </c>
      <c r="AE51">
        <v>152288918.748716</v>
      </c>
      <c r="AF51">
        <v>7807.6556188489203</v>
      </c>
      <c r="AG51">
        <v>125051881.037229</v>
      </c>
      <c r="AH51">
        <v>1</v>
      </c>
      <c r="AI51">
        <v>61</v>
      </c>
    </row>
    <row r="52" spans="1:35" x14ac:dyDescent="0.25">
      <c r="A52">
        <v>1568</v>
      </c>
      <c r="B52" s="1">
        <v>45447</v>
      </c>
      <c r="C52">
        <v>40</v>
      </c>
      <c r="D52" t="s">
        <v>146</v>
      </c>
      <c r="E52">
        <v>4.71</v>
      </c>
      <c r="F52">
        <v>905</v>
      </c>
      <c r="G52" t="s">
        <v>38</v>
      </c>
      <c r="H52">
        <v>45.432854650000003</v>
      </c>
      <c r="I52">
        <v>-73.938949129999997</v>
      </c>
      <c r="J52">
        <v>39.020000000000003</v>
      </c>
      <c r="K52">
        <v>0</v>
      </c>
      <c r="L52">
        <v>0</v>
      </c>
      <c r="N52">
        <v>1</v>
      </c>
      <c r="O52" t="s">
        <v>147</v>
      </c>
      <c r="P52">
        <v>6</v>
      </c>
      <c r="Q52">
        <v>2</v>
      </c>
      <c r="R52">
        <v>207</v>
      </c>
      <c r="S52">
        <v>207</v>
      </c>
      <c r="T52">
        <v>0.65730685734071004</v>
      </c>
      <c r="U52">
        <v>107257</v>
      </c>
      <c r="V52">
        <v>0.70132409193448197</v>
      </c>
      <c r="W52">
        <v>1.31278239472264</v>
      </c>
      <c r="X52">
        <v>0.65730685734071004</v>
      </c>
      <c r="Y52">
        <v>4.8755864675355198E-2</v>
      </c>
      <c r="Z52">
        <v>0.58375034148391902</v>
      </c>
      <c r="AA52">
        <v>1.52197336426636E-2</v>
      </c>
      <c r="AB52">
        <v>0.12845065076784001</v>
      </c>
      <c r="AC52">
        <v>4.2781109681405997E-3</v>
      </c>
      <c r="AD52">
        <v>15805.998044921</v>
      </c>
      <c r="AE52">
        <v>198260715.327618</v>
      </c>
      <c r="AF52">
        <v>4146.7325495902096</v>
      </c>
      <c r="AG52">
        <v>90609061.948053405</v>
      </c>
      <c r="AH52">
        <v>1</v>
      </c>
      <c r="AI52">
        <v>169</v>
      </c>
    </row>
    <row r="53" spans="1:35" x14ac:dyDescent="0.25">
      <c r="A53">
        <v>1569</v>
      </c>
      <c r="B53" s="1">
        <v>45447</v>
      </c>
      <c r="C53">
        <v>40</v>
      </c>
      <c r="D53" t="s">
        <v>148</v>
      </c>
      <c r="E53">
        <v>4.71</v>
      </c>
      <c r="F53">
        <v>905</v>
      </c>
      <c r="G53" t="s">
        <v>41</v>
      </c>
      <c r="H53">
        <v>45.432881389999999</v>
      </c>
      <c r="I53">
        <v>-73.938868040000003</v>
      </c>
      <c r="J53">
        <v>39.020000000000003</v>
      </c>
      <c r="K53">
        <v>0</v>
      </c>
      <c r="L53">
        <v>0</v>
      </c>
      <c r="N53">
        <v>1</v>
      </c>
      <c r="O53" t="s">
        <v>149</v>
      </c>
      <c r="P53">
        <v>6</v>
      </c>
      <c r="Q53">
        <v>3</v>
      </c>
      <c r="R53">
        <v>214</v>
      </c>
      <c r="S53">
        <v>214</v>
      </c>
      <c r="T53">
        <v>0.620538469437938</v>
      </c>
      <c r="U53">
        <v>96462</v>
      </c>
      <c r="V53">
        <v>0.63073442485745701</v>
      </c>
      <c r="W53">
        <v>1.23946988379973</v>
      </c>
      <c r="X53">
        <v>0.620538469437938</v>
      </c>
      <c r="Y53">
        <v>5.47518257643103E-2</v>
      </c>
      <c r="Z53">
        <v>0.54896264970470199</v>
      </c>
      <c r="AA53">
        <v>1.5171819854956E-2</v>
      </c>
      <c r="AB53">
        <v>0.13794649428664499</v>
      </c>
      <c r="AC53">
        <v>3.0131838294598502E-3</v>
      </c>
      <c r="AD53">
        <v>15475.6252615473</v>
      </c>
      <c r="AE53">
        <v>197045039.207425</v>
      </c>
      <c r="AF53">
        <v>3633.5531338816099</v>
      </c>
      <c r="AG53">
        <v>99232485.720613107</v>
      </c>
      <c r="AH53">
        <v>1</v>
      </c>
      <c r="AI53">
        <v>109</v>
      </c>
    </row>
    <row r="54" spans="1:35" x14ac:dyDescent="0.25">
      <c r="A54">
        <v>1570</v>
      </c>
      <c r="B54" s="1">
        <v>45447</v>
      </c>
      <c r="C54">
        <v>40</v>
      </c>
      <c r="D54" t="s">
        <v>150</v>
      </c>
      <c r="E54">
        <v>4.71</v>
      </c>
      <c r="F54">
        <v>905</v>
      </c>
      <c r="G54" t="s">
        <v>44</v>
      </c>
      <c r="H54">
        <v>45.432908560000001</v>
      </c>
      <c r="I54">
        <v>-73.938787390000002</v>
      </c>
      <c r="J54">
        <v>39.018999999999998</v>
      </c>
      <c r="K54">
        <v>0</v>
      </c>
      <c r="L54">
        <v>0</v>
      </c>
      <c r="N54">
        <v>1</v>
      </c>
      <c r="O54" t="s">
        <v>151</v>
      </c>
      <c r="P54">
        <v>6</v>
      </c>
      <c r="Q54">
        <v>4</v>
      </c>
      <c r="R54">
        <v>307</v>
      </c>
      <c r="S54">
        <v>307</v>
      </c>
      <c r="T54">
        <v>0.62109048202095796</v>
      </c>
      <c r="U54">
        <v>95462</v>
      </c>
      <c r="V54">
        <v>0.62418757928049295</v>
      </c>
      <c r="W54">
        <v>1.24083600649023</v>
      </c>
      <c r="X54">
        <v>0.62109048202095796</v>
      </c>
      <c r="Y54">
        <v>4.55682868233757E-2</v>
      </c>
      <c r="Z54">
        <v>0.55909734044947101</v>
      </c>
      <c r="AA54">
        <v>1.2757520484312499E-2</v>
      </c>
      <c r="AB54">
        <v>0.14748943349820801</v>
      </c>
      <c r="AC54">
        <v>1.5694614852181201E-3</v>
      </c>
      <c r="AD54">
        <v>15647.9541317397</v>
      </c>
      <c r="AE54">
        <v>187160271.41152301</v>
      </c>
      <c r="AF54">
        <v>3244.89277927491</v>
      </c>
      <c r="AG54">
        <v>91431780.970814496</v>
      </c>
      <c r="AH54">
        <v>1</v>
      </c>
      <c r="AI54">
        <v>53</v>
      </c>
    </row>
    <row r="55" spans="1:35" x14ac:dyDescent="0.25">
      <c r="A55">
        <v>1571</v>
      </c>
      <c r="B55" s="1">
        <v>45447</v>
      </c>
      <c r="C55">
        <v>40</v>
      </c>
      <c r="D55" t="s">
        <v>152</v>
      </c>
      <c r="E55">
        <v>4.71</v>
      </c>
      <c r="F55">
        <v>905</v>
      </c>
      <c r="G55" t="s">
        <v>47</v>
      </c>
      <c r="H55">
        <v>45.43293551</v>
      </c>
      <c r="I55">
        <v>-73.938706580000002</v>
      </c>
      <c r="J55">
        <v>39.018999999999998</v>
      </c>
      <c r="K55">
        <v>0</v>
      </c>
      <c r="L55">
        <v>0</v>
      </c>
      <c r="N55">
        <v>1</v>
      </c>
      <c r="O55" t="s">
        <v>153</v>
      </c>
      <c r="P55">
        <v>6</v>
      </c>
      <c r="Q55">
        <v>5</v>
      </c>
      <c r="R55">
        <v>314</v>
      </c>
      <c r="S55">
        <v>314</v>
      </c>
      <c r="T55">
        <v>0.65005925801672204</v>
      </c>
      <c r="U55">
        <v>105971</v>
      </c>
      <c r="V55">
        <v>0.69291982162239896</v>
      </c>
      <c r="W55">
        <v>1.2987476808645</v>
      </c>
      <c r="X55">
        <v>0.65005925801672204</v>
      </c>
      <c r="Y55">
        <v>4.4376468946842898E-2</v>
      </c>
      <c r="Z55">
        <v>0.60953000812657798</v>
      </c>
      <c r="AA55">
        <v>1.2584612219807801E-2</v>
      </c>
      <c r="AB55">
        <v>0.167943814252385</v>
      </c>
      <c r="AC55">
        <v>4.7258153759929099E-3</v>
      </c>
      <c r="AD55">
        <v>15905.3117292427</v>
      </c>
      <c r="AE55">
        <v>183546689.38139901</v>
      </c>
      <c r="AF55">
        <v>3959.64023018945</v>
      </c>
      <c r="AG55">
        <v>101842376.57413</v>
      </c>
      <c r="AH55">
        <v>1</v>
      </c>
      <c r="AI55">
        <v>120</v>
      </c>
    </row>
    <row r="56" spans="1:35" x14ac:dyDescent="0.25">
      <c r="A56">
        <v>1572</v>
      </c>
      <c r="B56" s="1">
        <v>45447</v>
      </c>
      <c r="C56">
        <v>40</v>
      </c>
      <c r="D56" t="s">
        <v>154</v>
      </c>
      <c r="E56">
        <v>4.71</v>
      </c>
      <c r="F56">
        <v>905</v>
      </c>
      <c r="G56" t="s">
        <v>49</v>
      </c>
      <c r="H56">
        <v>45.43296222</v>
      </c>
      <c r="I56">
        <v>-73.938625529999996</v>
      </c>
      <c r="J56">
        <v>39.018999999999998</v>
      </c>
      <c r="K56">
        <v>0</v>
      </c>
      <c r="L56">
        <v>0</v>
      </c>
      <c r="N56">
        <v>1</v>
      </c>
      <c r="O56" t="s">
        <v>155</v>
      </c>
      <c r="P56">
        <v>6</v>
      </c>
      <c r="Q56">
        <v>6</v>
      </c>
      <c r="R56">
        <v>407</v>
      </c>
      <c r="S56">
        <v>407</v>
      </c>
      <c r="T56">
        <v>0.52146322290126201</v>
      </c>
      <c r="U56">
        <v>70330</v>
      </c>
      <c r="V56">
        <v>0.459862557785232</v>
      </c>
      <c r="W56">
        <v>1.04166490803247</v>
      </c>
      <c r="X56">
        <v>0.52146322290126201</v>
      </c>
      <c r="Y56">
        <v>5.8469488461904598E-2</v>
      </c>
      <c r="Z56">
        <v>0.52986119773863705</v>
      </c>
      <c r="AA56">
        <v>1.38149193316603E-2</v>
      </c>
      <c r="AB56">
        <v>0.139249932157747</v>
      </c>
      <c r="AC56">
        <v>1.4999478849282901E-3</v>
      </c>
      <c r="AD56">
        <v>12594.878629762599</v>
      </c>
      <c r="AE56">
        <v>191392024.900956</v>
      </c>
      <c r="AF56">
        <v>5524.5379982957502</v>
      </c>
      <c r="AG56">
        <v>76053423.124828905</v>
      </c>
      <c r="AH56">
        <v>1</v>
      </c>
      <c r="AI56">
        <v>18</v>
      </c>
    </row>
    <row r="57" spans="1:35" x14ac:dyDescent="0.25">
      <c r="A57">
        <v>1573</v>
      </c>
      <c r="B57" s="1">
        <v>45447</v>
      </c>
      <c r="C57">
        <v>40</v>
      </c>
      <c r="D57" t="s">
        <v>156</v>
      </c>
      <c r="E57">
        <v>4.71</v>
      </c>
      <c r="F57">
        <v>905</v>
      </c>
      <c r="G57" t="s">
        <v>52</v>
      </c>
      <c r="H57">
        <v>45.4329891</v>
      </c>
      <c r="I57">
        <v>-73.938544620000002</v>
      </c>
      <c r="J57">
        <v>39.018999999999998</v>
      </c>
      <c r="K57">
        <v>0</v>
      </c>
      <c r="L57">
        <v>0</v>
      </c>
      <c r="N57">
        <v>1</v>
      </c>
      <c r="O57" t="s">
        <v>157</v>
      </c>
      <c r="P57">
        <v>6</v>
      </c>
      <c r="Q57">
        <v>7</v>
      </c>
      <c r="R57">
        <v>414</v>
      </c>
      <c r="S57">
        <v>414</v>
      </c>
      <c r="T57">
        <v>0.42083331555065701</v>
      </c>
      <c r="U57">
        <v>48680</v>
      </c>
      <c r="V57">
        <v>0.31829891851600001</v>
      </c>
      <c r="W57">
        <v>0.840511469326234</v>
      </c>
      <c r="X57">
        <v>0.42083331555065701</v>
      </c>
      <c r="Y57">
        <v>5.5240599303163801E-2</v>
      </c>
      <c r="Z57">
        <v>0.45720265171631802</v>
      </c>
      <c r="AA57">
        <v>1.83920272290873E-2</v>
      </c>
      <c r="AB57">
        <v>9.3820924629397201E-2</v>
      </c>
      <c r="AC57">
        <v>2.9188785773851598E-3</v>
      </c>
      <c r="AD57">
        <v>7368.5831317265802</v>
      </c>
      <c r="AE57">
        <v>121491929.31192701</v>
      </c>
      <c r="AF57">
        <v>11520.365258261299</v>
      </c>
      <c r="AG57">
        <v>95515217.499718398</v>
      </c>
      <c r="AH57">
        <v>1</v>
      </c>
      <c r="AI57">
        <v>86</v>
      </c>
    </row>
    <row r="58" spans="1:35" x14ac:dyDescent="0.25">
      <c r="A58">
        <v>77777</v>
      </c>
      <c r="B58" s="1">
        <v>45771</v>
      </c>
      <c r="C58">
        <v>40</v>
      </c>
      <c r="T58">
        <v>0.13162255393578401</v>
      </c>
      <c r="U58">
        <v>96</v>
      </c>
      <c r="V58">
        <v>1.27557799627956E-2</v>
      </c>
      <c r="W58">
        <v>0.262682131463712</v>
      </c>
      <c r="X58">
        <v>0.13162255393578401</v>
      </c>
      <c r="Y58">
        <v>3.0158000434797601E-2</v>
      </c>
      <c r="Z58">
        <v>0.24028232570958899</v>
      </c>
      <c r="AA58">
        <v>3.5073945648941098E-2</v>
      </c>
      <c r="AB58">
        <v>6.9858502272174397E-2</v>
      </c>
      <c r="AC58">
        <v>8.4335992110032097E-3</v>
      </c>
      <c r="AD58">
        <v>-969.78634068562303</v>
      </c>
      <c r="AE58">
        <v>8638045.5833691191</v>
      </c>
      <c r="AF58">
        <v>14422.9233856434</v>
      </c>
      <c r="AG58">
        <v>57261262.740045197</v>
      </c>
      <c r="AI5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6F72-17D0-4C3A-87C4-FE7DDA4AF69D}">
  <sheetPr filterMode="1"/>
  <dimension ref="A1:V673"/>
  <sheetViews>
    <sheetView tabSelected="1" zoomScale="85" zoomScaleNormal="85" workbookViewId="0">
      <pane ySplit="1" topLeftCell="A97" activePane="bottomLeft" state="frozen"/>
      <selection activeCell="M1" sqref="M1"/>
      <selection pane="bottomLeft" activeCell="H92" sqref="A1:V673"/>
    </sheetView>
  </sheetViews>
  <sheetFormatPr defaultRowHeight="15" x14ac:dyDescent="0.25"/>
  <cols>
    <col min="1" max="1" width="12" customWidth="1"/>
    <col min="3" max="3" width="15.7109375" bestFit="1" customWidth="1"/>
    <col min="4" max="4" width="18.42578125" bestFit="1" customWidth="1"/>
    <col min="5" max="7" width="18.42578125" customWidth="1"/>
    <col min="8" max="8" width="14.85546875" bestFit="1" customWidth="1"/>
    <col min="9" max="9" width="18.140625" customWidth="1"/>
    <col min="10" max="10" width="15.7109375" style="7" bestFit="1" customWidth="1"/>
    <col min="11" max="11" width="15.7109375" style="7" customWidth="1"/>
    <col min="12" max="12" width="12.28515625" style="9" bestFit="1" customWidth="1"/>
    <col min="13" max="13" width="15.7109375" style="11" bestFit="1" customWidth="1"/>
    <col min="14" max="14" width="18.42578125" style="11" bestFit="1" customWidth="1"/>
    <col min="15" max="15" width="14.85546875" style="13" bestFit="1" customWidth="1"/>
    <col min="16" max="16" width="17.5703125" style="13" bestFit="1" customWidth="1"/>
    <col min="17" max="18" width="9.140625" style="15"/>
    <col min="19" max="19" width="12.85546875" style="17" bestFit="1" customWidth="1"/>
    <col min="20" max="20" width="15.5703125" style="17" bestFit="1" customWidth="1"/>
    <col min="22" max="23" width="12.28515625" bestFit="1" customWidth="1"/>
    <col min="24" max="24" width="12.42578125" bestFit="1" customWidth="1"/>
    <col min="25" max="26" width="12.28515625" bestFit="1" customWidth="1"/>
  </cols>
  <sheetData>
    <row r="1" spans="1:22" x14ac:dyDescent="0.25">
      <c r="A1" s="3" t="s">
        <v>307</v>
      </c>
      <c r="B1" t="s">
        <v>172</v>
      </c>
      <c r="C1" s="3" t="s">
        <v>16</v>
      </c>
      <c r="D1" s="3" t="s">
        <v>17</v>
      </c>
      <c r="E1" s="3" t="s">
        <v>309</v>
      </c>
      <c r="F1" s="3" t="s">
        <v>310</v>
      </c>
      <c r="G1" s="3" t="s">
        <v>308</v>
      </c>
      <c r="H1" s="3" t="s">
        <v>18</v>
      </c>
      <c r="I1" s="3" t="s">
        <v>20</v>
      </c>
      <c r="J1" s="6" t="s">
        <v>21</v>
      </c>
      <c r="K1" s="6" t="s">
        <v>232</v>
      </c>
      <c r="L1" s="8" t="s">
        <v>22</v>
      </c>
      <c r="M1" s="10" t="s">
        <v>23</v>
      </c>
      <c r="N1" s="10" t="s">
        <v>24</v>
      </c>
      <c r="O1" s="12" t="s">
        <v>25</v>
      </c>
      <c r="P1" s="12" t="s">
        <v>26</v>
      </c>
      <c r="Q1" s="14" t="s">
        <v>27</v>
      </c>
      <c r="R1" s="14" t="s">
        <v>28</v>
      </c>
      <c r="S1" s="16" t="s">
        <v>29</v>
      </c>
      <c r="T1" s="16" t="s">
        <v>30</v>
      </c>
      <c r="U1" t="s">
        <v>305</v>
      </c>
      <c r="V1" t="s">
        <v>306</v>
      </c>
    </row>
    <row r="2" spans="1:22" hidden="1" x14ac:dyDescent="0.25">
      <c r="A2" s="3">
        <f>VLOOKUP(C2,YieldData!F:G,2,FALSE)</f>
        <v>24110</v>
      </c>
      <c r="B2">
        <v>8</v>
      </c>
      <c r="C2" s="3">
        <v>101</v>
      </c>
      <c r="D2" s="3">
        <v>101</v>
      </c>
      <c r="E2" s="3">
        <f>A2*10000+D2</f>
        <v>241100101</v>
      </c>
      <c r="F2" s="3">
        <f>VLOOKUP($E2,YieldData!$H:$R,10,FALSE)</f>
        <v>1</v>
      </c>
      <c r="G2" s="3">
        <f>VLOOKUP($E2,YieldData!$H:$R,11,FALSE)</f>
        <v>1</v>
      </c>
      <c r="H2" s="3">
        <v>25</v>
      </c>
      <c r="I2" s="3">
        <v>1.16765099081109E-3</v>
      </c>
      <c r="J2" s="6">
        <v>0.27746897919250701</v>
      </c>
      <c r="K2" s="7">
        <v>2.4592893611485498E-3</v>
      </c>
      <c r="L2" s="8">
        <v>0.69304455380404795</v>
      </c>
      <c r="M2" s="10">
        <v>7.9031091083291996E-2</v>
      </c>
      <c r="N2" s="10">
        <v>4.2683876322367597E-3</v>
      </c>
      <c r="O2" s="12">
        <v>-1.71674182382686E-2</v>
      </c>
      <c r="P2" s="12">
        <v>1.2096194548026299E-3</v>
      </c>
      <c r="Q2" s="14">
        <v>2137.9751324183899</v>
      </c>
      <c r="R2" s="14">
        <v>1517090.8604903601</v>
      </c>
      <c r="S2" s="16">
        <v>15061.1020740244</v>
      </c>
      <c r="T2" s="16">
        <v>23748992.554411002</v>
      </c>
      <c r="U2">
        <f>VLOOKUP(C2,YieldData!F:AG,27,FALSE)</f>
        <v>1747</v>
      </c>
      <c r="V2">
        <f>_xlfn.MAXIFS(I:I,C:C,C2)</f>
        <v>0.46975165757777898</v>
      </c>
    </row>
    <row r="3" spans="1:22" hidden="1" x14ac:dyDescent="0.25">
      <c r="A3" s="3">
        <f>VLOOKUP(C3,YieldData!F:G,2,FALSE)</f>
        <v>24110</v>
      </c>
      <c r="B3">
        <v>8</v>
      </c>
      <c r="C3" s="3">
        <v>102</v>
      </c>
      <c r="D3" s="3">
        <v>102</v>
      </c>
      <c r="E3" s="3">
        <f t="shared" ref="E3:E66" si="0">A3*10000+D3</f>
        <v>241100102</v>
      </c>
      <c r="F3" s="3">
        <f>VLOOKUP($E3,YieldData!$H:$R,10,FALSE)</f>
        <v>2</v>
      </c>
      <c r="G3" s="3">
        <f>VLOOKUP($E3,YieldData!$H:$R,11,FALSE)</f>
        <v>1</v>
      </c>
      <c r="H3" s="3">
        <v>37</v>
      </c>
      <c r="I3" s="3">
        <v>3.1391196926878E-3</v>
      </c>
      <c r="J3" s="6">
        <v>0.273994325694908</v>
      </c>
      <c r="K3" s="7">
        <v>2.3883706292661898E-3</v>
      </c>
      <c r="L3" s="8">
        <v>0.89947500690780402</v>
      </c>
      <c r="M3" s="10">
        <v>7.4093803815283105E-2</v>
      </c>
      <c r="N3" s="10">
        <v>4.5883673779266096E-3</v>
      </c>
      <c r="O3" s="12">
        <v>-1.98039411735078E-2</v>
      </c>
      <c r="P3" s="12">
        <v>1.29615269428542E-3</v>
      </c>
      <c r="Q3" s="14">
        <v>2304.8042323117802</v>
      </c>
      <c r="R3" s="14">
        <v>1711194.1026477001</v>
      </c>
      <c r="S3" s="16">
        <v>15679.65971727</v>
      </c>
      <c r="T3" s="16">
        <v>24504353.404199801</v>
      </c>
      <c r="U3">
        <f>VLOOKUP(C3,YieldData!F:AG,27,FALSE)</f>
        <v>2083</v>
      </c>
      <c r="V3">
        <f>_xlfn.MAXIFS(I:I,C:C,C3)</f>
        <v>0.57049727008206097</v>
      </c>
    </row>
    <row r="4" spans="1:22" hidden="1" x14ac:dyDescent="0.25">
      <c r="A4" s="3">
        <f>VLOOKUP(C4,YieldData!F:G,2,FALSE)</f>
        <v>24110</v>
      </c>
      <c r="B4">
        <v>8</v>
      </c>
      <c r="C4" s="3">
        <v>103</v>
      </c>
      <c r="D4" s="3">
        <v>103</v>
      </c>
      <c r="E4" s="3">
        <f t="shared" si="0"/>
        <v>241100103</v>
      </c>
      <c r="F4" s="3">
        <f>VLOOKUP($E4,YieldData!$H:$R,10,FALSE)</f>
        <v>3</v>
      </c>
      <c r="G4" s="3">
        <f>VLOOKUP($E4,YieldData!$H:$R,11,FALSE)</f>
        <v>1</v>
      </c>
      <c r="H4" s="3">
        <v>23</v>
      </c>
      <c r="I4" s="3">
        <v>1.4383862997935501E-3</v>
      </c>
      <c r="J4" s="6">
        <v>0.269765042963858</v>
      </c>
      <c r="K4" s="7">
        <v>3.9325426449710096E-3</v>
      </c>
      <c r="L4" s="8">
        <v>0.71355263157894699</v>
      </c>
      <c r="M4" s="10">
        <v>7.0448374639939901E-2</v>
      </c>
      <c r="N4" s="10">
        <v>3.7407827944460599E-3</v>
      </c>
      <c r="O4" s="12">
        <v>-2.02934193646549E-2</v>
      </c>
      <c r="P4" s="12">
        <v>1.0596723405531801E-3</v>
      </c>
      <c r="Q4" s="14">
        <v>2192.1048837445401</v>
      </c>
      <c r="R4" s="14">
        <v>1370721.56958286</v>
      </c>
      <c r="S4" s="16">
        <v>15364.240790318199</v>
      </c>
      <c r="T4" s="16">
        <v>21781355.230763599</v>
      </c>
      <c r="U4">
        <f>VLOOKUP(C4,YieldData!F:AG,27,FALSE)</f>
        <v>1595</v>
      </c>
      <c r="V4">
        <f>_xlfn.MAXIFS(I:I,C:C,C4)</f>
        <v>0.57597295600774201</v>
      </c>
    </row>
    <row r="5" spans="1:22" hidden="1" x14ac:dyDescent="0.25">
      <c r="A5" s="3">
        <f>VLOOKUP(C5,YieldData!F:G,2,FALSE)</f>
        <v>24110</v>
      </c>
      <c r="B5">
        <v>8</v>
      </c>
      <c r="C5" s="3">
        <v>104</v>
      </c>
      <c r="D5" s="3">
        <v>104</v>
      </c>
      <c r="E5" s="3">
        <f t="shared" si="0"/>
        <v>241100104</v>
      </c>
      <c r="F5" s="3">
        <f>VLOOKUP($E5,YieldData!$H:$R,10,FALSE)</f>
        <v>4</v>
      </c>
      <c r="G5" s="3">
        <f>VLOOKUP($E5,YieldData!$H:$R,11,FALSE)</f>
        <v>1</v>
      </c>
      <c r="H5" s="3">
        <v>38</v>
      </c>
      <c r="I5" s="3">
        <v>2.3013986073153999E-3</v>
      </c>
      <c r="J5" s="6">
        <v>0.26917569613340597</v>
      </c>
      <c r="K5" s="7">
        <v>9.6413151354468301E-3</v>
      </c>
      <c r="L5" s="8">
        <v>0.895209147488783</v>
      </c>
      <c r="M5" s="10">
        <v>7.5662777728523201E-2</v>
      </c>
      <c r="N5" s="10">
        <v>4.6806748240363696E-3</v>
      </c>
      <c r="O5" s="12">
        <v>-1.9924760802409899E-2</v>
      </c>
      <c r="P5" s="12">
        <v>1.2663826732966801E-3</v>
      </c>
      <c r="Q5" s="14">
        <v>2201.2651600402701</v>
      </c>
      <c r="R5" s="14">
        <v>1697353.5092533999</v>
      </c>
      <c r="S5" s="16">
        <v>15237.148747110799</v>
      </c>
      <c r="T5" s="16">
        <v>25619116.523708899</v>
      </c>
      <c r="U5">
        <f>VLOOKUP(C5,YieldData!F:AG,27,FALSE)</f>
        <v>1943</v>
      </c>
      <c r="V5">
        <f>_xlfn.MAXIFS(I:I,C:C,C5)</f>
        <v>0.58876799748917896</v>
      </c>
    </row>
    <row r="6" spans="1:22" hidden="1" x14ac:dyDescent="0.25">
      <c r="A6" s="3">
        <f>VLOOKUP(C6,YieldData!F:G,2,FALSE)</f>
        <v>24110</v>
      </c>
      <c r="B6">
        <v>8</v>
      </c>
      <c r="C6" s="3">
        <v>105</v>
      </c>
      <c r="D6" s="3">
        <v>105</v>
      </c>
      <c r="E6" s="3">
        <f t="shared" si="0"/>
        <v>241100105</v>
      </c>
      <c r="F6" s="3">
        <f>VLOOKUP($E6,YieldData!$H:$R,10,FALSE)</f>
        <v>5</v>
      </c>
      <c r="G6" s="3">
        <f>VLOOKUP($E6,YieldData!$H:$R,11,FALSE)</f>
        <v>1</v>
      </c>
      <c r="H6" s="3">
        <v>24</v>
      </c>
      <c r="I6" s="3">
        <v>1.4468841223505501E-3</v>
      </c>
      <c r="J6" s="6">
        <v>0.26260806560712902</v>
      </c>
      <c r="K6" s="7">
        <v>6.36735958250529E-3</v>
      </c>
      <c r="L6" s="8">
        <v>0.72071052631578902</v>
      </c>
      <c r="M6" s="10">
        <v>7.2886260549336002E-2</v>
      </c>
      <c r="N6" s="10">
        <v>4.3785827476195104E-3</v>
      </c>
      <c r="O6" s="12">
        <v>-2.2465286508872299E-2</v>
      </c>
      <c r="P6" s="12">
        <v>1.3458488645589799E-3</v>
      </c>
      <c r="Q6" s="14">
        <v>2283.77534374075</v>
      </c>
      <c r="R6" s="14">
        <v>1786230.3290616299</v>
      </c>
      <c r="S6" s="16">
        <v>15674.424923831401</v>
      </c>
      <c r="T6" s="16">
        <v>23714756.474743702</v>
      </c>
      <c r="U6">
        <f>VLOOKUP(C6,YieldData!F:AG,27,FALSE)</f>
        <v>1784</v>
      </c>
      <c r="V6">
        <f>_xlfn.MAXIFS(I:I,C:C,C6)</f>
        <v>0.52674286312100305</v>
      </c>
    </row>
    <row r="7" spans="1:22" hidden="1" x14ac:dyDescent="0.25">
      <c r="A7" s="3">
        <f>VLOOKUP(C7,YieldData!F:G,2,FALSE)</f>
        <v>24110</v>
      </c>
      <c r="B7">
        <v>8</v>
      </c>
      <c r="C7" s="3">
        <v>106</v>
      </c>
      <c r="D7" s="3">
        <v>106</v>
      </c>
      <c r="E7" s="3">
        <f t="shared" si="0"/>
        <v>241100106</v>
      </c>
      <c r="F7" s="3">
        <f>VLOOKUP($E7,YieldData!$H:$R,10,FALSE)</f>
        <v>2</v>
      </c>
      <c r="G7" s="3">
        <f>VLOOKUP($E7,YieldData!$H:$R,11,FALSE)</f>
        <v>2</v>
      </c>
      <c r="H7" s="3">
        <v>51</v>
      </c>
      <c r="I7" s="3">
        <v>3.2744164008494899E-3</v>
      </c>
      <c r="J7" s="6">
        <v>0.27157897253841401</v>
      </c>
      <c r="K7" s="7">
        <v>3.0404828711010699E-3</v>
      </c>
      <c r="L7" s="8">
        <v>0.92030472882292602</v>
      </c>
      <c r="M7" s="10">
        <v>8.1655012304802196E-2</v>
      </c>
      <c r="N7" s="10">
        <v>4.7209705213974102E-3</v>
      </c>
      <c r="O7" s="12">
        <v>-2.17566272374571E-2</v>
      </c>
      <c r="P7" s="12">
        <v>1.3493867447950099E-3</v>
      </c>
      <c r="Q7" s="14">
        <v>2160.24129149075</v>
      </c>
      <c r="R7" s="14">
        <v>1815564.76325925</v>
      </c>
      <c r="S7" s="16">
        <v>15333.2409592933</v>
      </c>
      <c r="T7" s="16">
        <v>25561344.118833601</v>
      </c>
      <c r="U7">
        <f>VLOOKUP(C7,YieldData!F:AG,27,FALSE)</f>
        <v>2109</v>
      </c>
      <c r="V7">
        <f>_xlfn.MAXIFS(I:I,C:C,C7)</f>
        <v>0.66110006800230203</v>
      </c>
    </row>
    <row r="8" spans="1:22" hidden="1" x14ac:dyDescent="0.25">
      <c r="A8" s="3">
        <f>VLOOKUP(C8,YieldData!F:G,2,FALSE)</f>
        <v>24110</v>
      </c>
      <c r="B8">
        <v>8</v>
      </c>
      <c r="C8" s="3">
        <v>107</v>
      </c>
      <c r="D8" s="3">
        <v>107</v>
      </c>
      <c r="E8" s="3">
        <f t="shared" si="0"/>
        <v>241100107</v>
      </c>
      <c r="F8" s="3">
        <f>VLOOKUP($E8,YieldData!$H:$R,10,FALSE)</f>
        <v>4</v>
      </c>
      <c r="G8" s="3">
        <f>VLOOKUP($E8,YieldData!$H:$R,11,FALSE)</f>
        <v>2</v>
      </c>
      <c r="H8" s="3">
        <v>44</v>
      </c>
      <c r="I8" s="3">
        <v>3.1813989694298001E-3</v>
      </c>
      <c r="J8" s="6">
        <v>0.26986301538301799</v>
      </c>
      <c r="K8" s="7">
        <v>4.4820224962561104E-3</v>
      </c>
      <c r="L8" s="8">
        <v>0.833328947368421</v>
      </c>
      <c r="M8" s="10">
        <v>7.7081365642719099E-2</v>
      </c>
      <c r="N8" s="10">
        <v>4.4855442558175401E-3</v>
      </c>
      <c r="O8" s="12">
        <v>-2.46478945909318E-2</v>
      </c>
      <c r="P8" s="12">
        <v>1.23815971651092E-3</v>
      </c>
      <c r="Q8" s="14">
        <v>2165.9179435978599</v>
      </c>
      <c r="R8" s="14">
        <v>1805887.0322811999</v>
      </c>
      <c r="S8" s="16">
        <v>15221.369534138499</v>
      </c>
      <c r="T8" s="16">
        <v>23915763.019939002</v>
      </c>
      <c r="U8">
        <f>VLOOKUP(C8,YieldData!F:AG,27,FALSE)</f>
        <v>1767</v>
      </c>
      <c r="V8">
        <f>_xlfn.MAXIFS(I:I,C:C,C8)</f>
        <v>0.62568002301616399</v>
      </c>
    </row>
    <row r="9" spans="1:22" hidden="1" x14ac:dyDescent="0.25">
      <c r="A9" s="3">
        <f>VLOOKUP(C9,YieldData!F:G,2,FALSE)</f>
        <v>24110</v>
      </c>
      <c r="B9">
        <v>8</v>
      </c>
      <c r="C9" s="3">
        <v>108</v>
      </c>
      <c r="D9" s="3">
        <v>108</v>
      </c>
      <c r="E9" s="3">
        <f t="shared" si="0"/>
        <v>241100108</v>
      </c>
      <c r="F9" s="3">
        <f>VLOOKUP($E9,YieldData!$H:$R,10,FALSE)</f>
        <v>1</v>
      </c>
      <c r="G9" s="3">
        <f>VLOOKUP($E9,YieldData!$H:$R,11,FALSE)</f>
        <v>3</v>
      </c>
      <c r="H9" s="3">
        <v>20</v>
      </c>
      <c r="I9" s="3">
        <v>1.1591995600118499E-3</v>
      </c>
      <c r="J9" s="6">
        <v>0.264809235166309</v>
      </c>
      <c r="K9" s="7">
        <v>6.0220968437726102E-3</v>
      </c>
      <c r="L9" s="8">
        <v>0.63843056761664196</v>
      </c>
      <c r="M9" s="10">
        <v>7.0771581495513103E-2</v>
      </c>
      <c r="N9" s="10">
        <v>4.1802877985277903E-3</v>
      </c>
      <c r="O9" s="12">
        <v>-2.14080050473076E-2</v>
      </c>
      <c r="P9" s="12">
        <v>1.6182787414384899E-3</v>
      </c>
      <c r="Q9" s="14">
        <v>1856.75763421754</v>
      </c>
      <c r="R9" s="14">
        <v>1520579.50737972</v>
      </c>
      <c r="S9" s="16">
        <v>14837.602611553</v>
      </c>
      <c r="T9" s="16">
        <v>27082337.518993702</v>
      </c>
      <c r="U9">
        <f>VLOOKUP(C9,YieldData!F:AG,27,FALSE)</f>
        <v>1854</v>
      </c>
      <c r="V9">
        <f>_xlfn.MAXIFS(I:I,C:C,C9)</f>
        <v>0.60942342648655001</v>
      </c>
    </row>
    <row r="10" spans="1:22" hidden="1" x14ac:dyDescent="0.25">
      <c r="A10" s="3">
        <f>VLOOKUP(C10,YieldData!F:G,2,FALSE)</f>
        <v>24110</v>
      </c>
      <c r="B10">
        <v>8</v>
      </c>
      <c r="C10" s="3">
        <v>109</v>
      </c>
      <c r="D10" s="3">
        <v>109</v>
      </c>
      <c r="E10" s="3">
        <f t="shared" si="0"/>
        <v>241100109</v>
      </c>
      <c r="F10" s="3">
        <f>VLOOKUP($E10,YieldData!$H:$R,10,FALSE)</f>
        <v>3</v>
      </c>
      <c r="G10" s="3">
        <f>VLOOKUP($E10,YieldData!$H:$R,11,FALSE)</f>
        <v>3</v>
      </c>
      <c r="H10" s="3">
        <v>16</v>
      </c>
      <c r="I10" s="3">
        <v>2.4537385668474501E-3</v>
      </c>
      <c r="J10" s="6">
        <v>0.260183241012656</v>
      </c>
      <c r="K10" s="7">
        <v>2.97560691270864E-3</v>
      </c>
      <c r="L10" s="8">
        <v>0.44924408889356698</v>
      </c>
      <c r="M10" s="10">
        <v>7.1512612813989504E-2</v>
      </c>
      <c r="N10" s="10">
        <v>4.8754349424115903E-3</v>
      </c>
      <c r="O10" s="12">
        <v>-2.1094660013680398E-2</v>
      </c>
      <c r="P10" s="12">
        <v>1.9594199468527499E-3</v>
      </c>
      <c r="Q10" s="14">
        <v>1940.36267948251</v>
      </c>
      <c r="R10" s="14">
        <v>1775084.7845711301</v>
      </c>
      <c r="S10" s="16">
        <v>15949.699745785099</v>
      </c>
      <c r="T10" s="16">
        <v>28147605.6809089</v>
      </c>
      <c r="U10">
        <f>VLOOKUP(C10,YieldData!F:AG,27,FALSE)</f>
        <v>1852</v>
      </c>
      <c r="V10">
        <f>_xlfn.MAXIFS(I:I,C:C,C10)</f>
        <v>0.58023512796035004</v>
      </c>
    </row>
    <row r="11" spans="1:22" hidden="1" x14ac:dyDescent="0.25">
      <c r="A11" s="3">
        <f>VLOOKUP(C11,YieldData!F:G,2,FALSE)</f>
        <v>24110</v>
      </c>
      <c r="B11">
        <v>8</v>
      </c>
      <c r="C11" s="3">
        <v>110</v>
      </c>
      <c r="D11" s="3">
        <v>110</v>
      </c>
      <c r="E11" s="3">
        <f t="shared" si="0"/>
        <v>241100110</v>
      </c>
      <c r="F11" s="3">
        <f>VLOOKUP($E11,YieldData!$H:$R,10,FALSE)</f>
        <v>5</v>
      </c>
      <c r="G11" s="3">
        <f>VLOOKUP($E11,YieldData!$H:$R,11,FALSE)</f>
        <v>3</v>
      </c>
      <c r="H11" s="3">
        <v>5</v>
      </c>
      <c r="I11" s="3">
        <v>2.1152739702846301E-4</v>
      </c>
      <c r="J11" s="6">
        <v>0.25887909206103299</v>
      </c>
      <c r="K11" s="7">
        <v>1.06311452880672E-2</v>
      </c>
      <c r="L11" s="8">
        <v>0.120184210526316</v>
      </c>
      <c r="M11" s="10">
        <v>6.4247564236537102E-2</v>
      </c>
      <c r="N11" s="10">
        <v>3.84356591843727E-3</v>
      </c>
      <c r="O11" s="12">
        <v>-2.4110930543468599E-2</v>
      </c>
      <c r="P11" s="12">
        <v>1.6277550220733599E-3</v>
      </c>
      <c r="Q11" s="14">
        <v>1982.18561952144</v>
      </c>
      <c r="R11" s="14">
        <v>1707274.97818626</v>
      </c>
      <c r="S11" s="16">
        <v>15594.6984498477</v>
      </c>
      <c r="T11" s="16">
        <v>25744213.691337299</v>
      </c>
      <c r="U11">
        <f>VLOOKUP(C11,YieldData!F:AG,27,FALSE)</f>
        <v>1811</v>
      </c>
      <c r="V11">
        <f>_xlfn.MAXIFS(I:I,C:C,C11)</f>
        <v>0.51251822645926104</v>
      </c>
    </row>
    <row r="12" spans="1:22" hidden="1" x14ac:dyDescent="0.25">
      <c r="A12" s="3">
        <f>VLOOKUP(C12,YieldData!F:G,2,FALSE)</f>
        <v>24110</v>
      </c>
      <c r="B12">
        <v>8</v>
      </c>
      <c r="C12" s="3">
        <v>111</v>
      </c>
      <c r="D12" s="3">
        <v>111</v>
      </c>
      <c r="E12" s="3">
        <f t="shared" si="0"/>
        <v>241100111</v>
      </c>
      <c r="F12" s="3">
        <f>VLOOKUP($E12,YieldData!$H:$R,10,FALSE)</f>
        <v>2</v>
      </c>
      <c r="G12" s="3">
        <f>VLOOKUP($E12,YieldData!$H:$R,11,FALSE)</f>
        <v>3</v>
      </c>
      <c r="H12" s="3">
        <v>27</v>
      </c>
      <c r="I12" s="3">
        <v>1.78529123092023E-3</v>
      </c>
      <c r="J12" s="6">
        <v>0.26070015912926803</v>
      </c>
      <c r="K12" s="7">
        <v>7.5936119609973296E-3</v>
      </c>
      <c r="L12" s="8">
        <v>0.78234210526315795</v>
      </c>
      <c r="M12" s="10">
        <v>6.8623750290797605E-2</v>
      </c>
      <c r="N12" s="10">
        <v>4.3838064629814497E-3</v>
      </c>
      <c r="O12" s="12">
        <v>-2.31288244687749E-2</v>
      </c>
      <c r="P12" s="12">
        <v>1.7021533260092E-3</v>
      </c>
      <c r="Q12" s="14">
        <v>2067.3461434325</v>
      </c>
      <c r="R12" s="14">
        <v>1661777.2177824399</v>
      </c>
      <c r="S12" s="16">
        <v>15646.2769869079</v>
      </c>
      <c r="T12" s="16">
        <v>26997978.135635599</v>
      </c>
      <c r="U12">
        <f>VLOOKUP(C12,YieldData!F:AG,27,FALSE)</f>
        <v>1957</v>
      </c>
      <c r="V12">
        <f>_xlfn.MAXIFS(I:I,C:C,C12)</f>
        <v>0.57165742532824204</v>
      </c>
    </row>
    <row r="13" spans="1:22" hidden="1" x14ac:dyDescent="0.25">
      <c r="A13" s="3">
        <f>VLOOKUP(C13,YieldData!F:G,2,FALSE)</f>
        <v>24110</v>
      </c>
      <c r="B13">
        <v>8</v>
      </c>
      <c r="C13" s="3">
        <v>112</v>
      </c>
      <c r="D13" s="3">
        <v>112</v>
      </c>
      <c r="E13" s="3">
        <f t="shared" si="0"/>
        <v>241100112</v>
      </c>
      <c r="F13" s="3">
        <f>VLOOKUP($E13,YieldData!$H:$R,10,FALSE)</f>
        <v>1</v>
      </c>
      <c r="G13" s="3">
        <f>VLOOKUP($E13,YieldData!$H:$R,11,FALSE)</f>
        <v>2</v>
      </c>
      <c r="H13" s="3">
        <v>6</v>
      </c>
      <c r="I13" s="3">
        <v>3.3844097166403002E-4</v>
      </c>
      <c r="J13" s="6">
        <v>0.25623668190716697</v>
      </c>
      <c r="K13" s="7">
        <v>4.7497892032052E-3</v>
      </c>
      <c r="L13" s="8">
        <v>0.29531190379074002</v>
      </c>
      <c r="M13" s="10">
        <v>6.8215957357928597E-2</v>
      </c>
      <c r="N13" s="10">
        <v>3.9021308210683702E-3</v>
      </c>
      <c r="O13" s="12">
        <v>-2.3961777522406202E-2</v>
      </c>
      <c r="P13" s="12">
        <v>1.54370584566014E-3</v>
      </c>
      <c r="Q13" s="14">
        <v>2002.6371151291601</v>
      </c>
      <c r="R13" s="14">
        <v>1561245.83515578</v>
      </c>
      <c r="S13" s="16">
        <v>16000.848415201899</v>
      </c>
      <c r="T13" s="16">
        <v>24905303.976851001</v>
      </c>
      <c r="U13">
        <f>VLOOKUP(C13,YieldData!F:AG,27,FALSE)</f>
        <v>1958</v>
      </c>
      <c r="V13">
        <f>_xlfn.MAXIFS(I:I,C:C,C13)</f>
        <v>0.51515349658351595</v>
      </c>
    </row>
    <row r="14" spans="1:22" hidden="1" x14ac:dyDescent="0.25">
      <c r="A14" s="3">
        <f>VLOOKUP(C14,YieldData!F:G,2,FALSE)</f>
        <v>24110</v>
      </c>
      <c r="B14">
        <v>8</v>
      </c>
      <c r="C14" s="3">
        <v>113</v>
      </c>
      <c r="D14" s="3">
        <v>113</v>
      </c>
      <c r="E14" s="3">
        <f t="shared" si="0"/>
        <v>241100113</v>
      </c>
      <c r="F14" s="3">
        <f>VLOOKUP($E14,YieldData!$H:$R,10,FALSE)</f>
        <v>5</v>
      </c>
      <c r="G14" s="3">
        <f>VLOOKUP($E14,YieldData!$H:$R,11,FALSE)</f>
        <v>2</v>
      </c>
      <c r="H14" s="3">
        <v>2</v>
      </c>
      <c r="I14" s="5">
        <v>6.7688194332805903E-5</v>
      </c>
      <c r="J14" s="6">
        <v>0.26141600304923002</v>
      </c>
      <c r="K14" s="7">
        <v>5.1064218740515099E-3</v>
      </c>
      <c r="L14" s="8">
        <v>0.11636535880634701</v>
      </c>
      <c r="M14" s="10">
        <v>7.4621753949741701E-2</v>
      </c>
      <c r="N14" s="10">
        <v>4.2119638236260797E-3</v>
      </c>
      <c r="O14" s="12">
        <v>-2.2040616037695301E-2</v>
      </c>
      <c r="P14" s="12">
        <v>1.7077658916925199E-3</v>
      </c>
      <c r="Q14" s="14">
        <v>1960.5142441343901</v>
      </c>
      <c r="R14" s="14">
        <v>1634849.85822092</v>
      </c>
      <c r="S14" s="16">
        <v>15136.0007391787</v>
      </c>
      <c r="T14" s="16">
        <v>26004946.0341147</v>
      </c>
      <c r="U14">
        <f>VLOOKUP(C14,YieldData!F:AG,27,FALSE)</f>
        <v>1849</v>
      </c>
      <c r="V14">
        <f>_xlfn.MAXIFS(I:I,C:C,C14)</f>
        <v>0.56962761957694397</v>
      </c>
    </row>
    <row r="15" spans="1:22" hidden="1" x14ac:dyDescent="0.25">
      <c r="A15" s="3">
        <f>VLOOKUP(C15,YieldData!F:G,2,FALSE)</f>
        <v>24110</v>
      </c>
      <c r="B15">
        <v>8</v>
      </c>
      <c r="C15" s="3">
        <v>114</v>
      </c>
      <c r="D15" s="3">
        <v>114</v>
      </c>
      <c r="E15" s="3">
        <f t="shared" si="0"/>
        <v>241100114</v>
      </c>
      <c r="F15" s="3">
        <f>VLOOKUP($E15,YieldData!$H:$R,10,FALSE)</f>
        <v>3</v>
      </c>
      <c r="G15" s="3">
        <f>VLOOKUP($E15,YieldData!$H:$R,11,FALSE)</f>
        <v>2</v>
      </c>
      <c r="H15" s="3">
        <v>10</v>
      </c>
      <c r="I15" s="3">
        <v>9.4765075685143002E-4</v>
      </c>
      <c r="J15" s="6">
        <v>0.25803311194124101</v>
      </c>
      <c r="K15" s="7">
        <v>3.0821858610188199E-3</v>
      </c>
      <c r="L15" s="8">
        <v>0.41888157894736799</v>
      </c>
      <c r="M15" s="10">
        <v>7.2767362753091105E-2</v>
      </c>
      <c r="N15" s="10">
        <v>3.9909226557531003E-3</v>
      </c>
      <c r="O15" s="12">
        <v>-2.3522046222051399E-2</v>
      </c>
      <c r="P15" s="12">
        <v>1.6585619051590001E-3</v>
      </c>
      <c r="Q15" s="14">
        <v>1993.85462868167</v>
      </c>
      <c r="R15" s="14">
        <v>1482996.5111169</v>
      </c>
      <c r="S15" s="16">
        <v>15763.849567241799</v>
      </c>
      <c r="T15" s="16">
        <v>25825701.790258199</v>
      </c>
      <c r="U15">
        <f>VLOOKUP(C15,YieldData!F:AG,27,FALSE)</f>
        <v>1577</v>
      </c>
      <c r="V15">
        <f>_xlfn.MAXIFS(I:I,C:C,C15)</f>
        <v>0.55712193335774396</v>
      </c>
    </row>
    <row r="16" spans="1:22" hidden="1" x14ac:dyDescent="0.25">
      <c r="A16" s="3">
        <f>VLOOKUP(C16,YieldData!F:G,2,FALSE)</f>
        <v>24110</v>
      </c>
      <c r="B16">
        <v>8</v>
      </c>
      <c r="C16" s="3">
        <v>201</v>
      </c>
      <c r="D16" s="3">
        <v>201</v>
      </c>
      <c r="E16" s="3">
        <f t="shared" si="0"/>
        <v>241100201</v>
      </c>
      <c r="F16" s="3">
        <f>VLOOKUP($E16,YieldData!$H:$R,10,FALSE)</f>
        <v>4</v>
      </c>
      <c r="G16" s="3">
        <f>VLOOKUP($E16,YieldData!$H:$R,11,FALSE)</f>
        <v>3</v>
      </c>
      <c r="H16" s="3">
        <v>31</v>
      </c>
      <c r="I16" s="3">
        <v>2.1829812077470401E-3</v>
      </c>
      <c r="J16" s="6">
        <v>0.26346573531310602</v>
      </c>
      <c r="K16" s="7">
        <v>3.5109026640371801E-3</v>
      </c>
      <c r="L16" s="8">
        <v>0.80629202247338805</v>
      </c>
      <c r="M16" s="10">
        <v>7.3894698903245903E-2</v>
      </c>
      <c r="N16" s="10">
        <v>5.1381104412756397E-3</v>
      </c>
      <c r="O16" s="12">
        <v>-2.05452888235758E-2</v>
      </c>
      <c r="P16" s="12">
        <v>1.63811911841198E-3</v>
      </c>
      <c r="Q16" s="14">
        <v>1857.46418810868</v>
      </c>
      <c r="R16" s="14">
        <v>2102287.9766909699</v>
      </c>
      <c r="S16" s="16">
        <v>15213.331446929</v>
      </c>
      <c r="T16" s="16">
        <v>28638442.345307499</v>
      </c>
      <c r="U16">
        <f>VLOOKUP(C16,YieldData!F:AG,27,FALSE)</f>
        <v>1884</v>
      </c>
      <c r="V16">
        <f>_xlfn.MAXIFS(I:I,C:C,C16)</f>
        <v>0.57447559763561196</v>
      </c>
    </row>
    <row r="17" spans="1:22" hidden="1" x14ac:dyDescent="0.25">
      <c r="A17" s="3">
        <f>VLOOKUP(C17,YieldData!F:G,2,FALSE)</f>
        <v>24110</v>
      </c>
      <c r="B17">
        <v>8</v>
      </c>
      <c r="C17" s="3">
        <v>202</v>
      </c>
      <c r="D17" s="3">
        <v>202</v>
      </c>
      <c r="E17" s="3">
        <f t="shared" si="0"/>
        <v>241100202</v>
      </c>
      <c r="F17" s="3">
        <f>VLOOKUP($E17,YieldData!$H:$R,10,FALSE)</f>
        <v>1</v>
      </c>
      <c r="G17" s="3">
        <f>VLOOKUP($E17,YieldData!$H:$R,11,FALSE)</f>
        <v>4</v>
      </c>
      <c r="H17" s="3">
        <v>15</v>
      </c>
      <c r="I17" s="3">
        <v>9.30728421907655E-4</v>
      </c>
      <c r="J17" s="6">
        <v>0.26098497568233697</v>
      </c>
      <c r="K17" s="7">
        <v>3.6841610411083299E-3</v>
      </c>
      <c r="L17" s="8">
        <v>0.56507723480961003</v>
      </c>
      <c r="M17" s="10">
        <v>7.1633853749680607E-2</v>
      </c>
      <c r="N17" s="10">
        <v>5.1524319710339701E-3</v>
      </c>
      <c r="O17" s="12">
        <v>-2.0909841503110801E-2</v>
      </c>
      <c r="P17" s="12">
        <v>1.7870634458149099E-3</v>
      </c>
      <c r="Q17" s="14">
        <v>1794.24918138205</v>
      </c>
      <c r="R17" s="14">
        <v>2098657.3828391498</v>
      </c>
      <c r="S17" s="16">
        <v>15603.9191125898</v>
      </c>
      <c r="T17" s="16">
        <v>28100367.2730802</v>
      </c>
      <c r="U17">
        <f>VLOOKUP(C17,YieldData!F:AG,27,FALSE)</f>
        <v>2029</v>
      </c>
      <c r="V17">
        <f>_xlfn.MAXIFS(I:I,C:C,C17)</f>
        <v>0.52363733849453398</v>
      </c>
    </row>
    <row r="18" spans="1:22" hidden="1" x14ac:dyDescent="0.25">
      <c r="A18" s="3">
        <f>VLOOKUP(C18,YieldData!F:G,2,FALSE)</f>
        <v>24110</v>
      </c>
      <c r="B18">
        <v>8</v>
      </c>
      <c r="C18" s="3">
        <v>203</v>
      </c>
      <c r="D18" s="3">
        <v>203</v>
      </c>
      <c r="E18" s="3">
        <f t="shared" si="0"/>
        <v>241100203</v>
      </c>
      <c r="F18" s="3">
        <f>VLOOKUP($E18,YieldData!$H:$R,10,FALSE)</f>
        <v>2</v>
      </c>
      <c r="G18" s="3">
        <f>VLOOKUP($E18,YieldData!$H:$R,11,FALSE)</f>
        <v>4</v>
      </c>
      <c r="H18" s="3">
        <v>39</v>
      </c>
      <c r="I18" s="3">
        <v>3.5451991741970398E-3</v>
      </c>
      <c r="J18" s="6">
        <v>0.26294092219894299</v>
      </c>
      <c r="K18" s="7">
        <v>3.3981470514438299E-3</v>
      </c>
      <c r="L18" s="8">
        <v>0.88596052631578903</v>
      </c>
      <c r="M18" s="10">
        <v>6.7807868172955005E-2</v>
      </c>
      <c r="N18" s="10">
        <v>4.8486867554281103E-3</v>
      </c>
      <c r="O18" s="12">
        <v>-2.3802059550538799E-2</v>
      </c>
      <c r="P18" s="12">
        <v>1.6339464017082199E-3</v>
      </c>
      <c r="Q18" s="14">
        <v>2094.4889413476799</v>
      </c>
      <c r="R18" s="14">
        <v>2043668.2132411599</v>
      </c>
      <c r="S18" s="16">
        <v>15642.7912232488</v>
      </c>
      <c r="T18" s="16">
        <v>26381792.420252401</v>
      </c>
      <c r="U18">
        <f>VLOOKUP(C18,YieldData!F:AG,27,FALSE)</f>
        <v>1921</v>
      </c>
      <c r="V18">
        <f>_xlfn.MAXIFS(I:I,C:C,C18)</f>
        <v>0.56937542501438498</v>
      </c>
    </row>
    <row r="19" spans="1:22" hidden="1" x14ac:dyDescent="0.25">
      <c r="A19" s="3">
        <f>VLOOKUP(C19,YieldData!F:G,2,FALSE)</f>
        <v>24110</v>
      </c>
      <c r="B19">
        <v>8</v>
      </c>
      <c r="C19" s="3">
        <v>204</v>
      </c>
      <c r="D19" s="3">
        <v>204</v>
      </c>
      <c r="E19" s="3">
        <f t="shared" si="0"/>
        <v>241100204</v>
      </c>
      <c r="F19" s="3">
        <f>VLOOKUP($E19,YieldData!$H:$R,10,FALSE)</f>
        <v>3</v>
      </c>
      <c r="G19" s="3">
        <f>VLOOKUP($E19,YieldData!$H:$R,11,FALSE)</f>
        <v>4</v>
      </c>
      <c r="H19" s="3">
        <v>15</v>
      </c>
      <c r="I19" s="3">
        <v>1.3876432064711601E-3</v>
      </c>
      <c r="J19" s="6">
        <v>0.264004091181681</v>
      </c>
      <c r="K19" s="7">
        <v>2.2915596410530998E-3</v>
      </c>
      <c r="L19" s="8">
        <v>0.60477355859056303</v>
      </c>
      <c r="M19" s="10">
        <v>7.2860334004849106E-2</v>
      </c>
      <c r="N19" s="10">
        <v>5.4289489818973103E-3</v>
      </c>
      <c r="O19" s="12">
        <v>-1.9392766348366501E-2</v>
      </c>
      <c r="P19" s="12">
        <v>1.7425163653108199E-3</v>
      </c>
      <c r="Q19" s="14">
        <v>1786.2483627502399</v>
      </c>
      <c r="R19" s="14">
        <v>2071426.24602582</v>
      </c>
      <c r="S19" s="16">
        <v>15465.0744309041</v>
      </c>
      <c r="T19" s="16">
        <v>30435550.529599398</v>
      </c>
      <c r="U19">
        <f>VLOOKUP(C19,YieldData!F:AG,27,FALSE)</f>
        <v>1553</v>
      </c>
      <c r="V19">
        <f>_xlfn.MAXIFS(I:I,C:C,C19)</f>
        <v>0.46833663534658099</v>
      </c>
    </row>
    <row r="20" spans="1:22" hidden="1" x14ac:dyDescent="0.25">
      <c r="A20" s="3">
        <f>VLOOKUP(C20,YieldData!F:G,2,FALSE)</f>
        <v>24110</v>
      </c>
      <c r="B20">
        <v>8</v>
      </c>
      <c r="C20" s="3">
        <v>205</v>
      </c>
      <c r="D20" s="3">
        <v>205</v>
      </c>
      <c r="E20" s="3">
        <f t="shared" si="0"/>
        <v>241100205</v>
      </c>
      <c r="F20" s="3">
        <f>VLOOKUP($E20,YieldData!$H:$R,10,FALSE)</f>
        <v>5</v>
      </c>
      <c r="G20" s="3">
        <f>VLOOKUP($E20,YieldData!$H:$R,11,FALSE)</f>
        <v>4</v>
      </c>
      <c r="H20" s="3">
        <v>19</v>
      </c>
      <c r="I20" s="3">
        <v>1.12532575219142E-3</v>
      </c>
      <c r="J20" s="6">
        <v>0.265710942397269</v>
      </c>
      <c r="K20" s="7">
        <v>3.7359081029905202E-3</v>
      </c>
      <c r="L20" s="8">
        <v>0.55746786141922899</v>
      </c>
      <c r="M20" s="10">
        <v>7.48938856845104E-2</v>
      </c>
      <c r="N20" s="10">
        <v>5.0772154512149104E-3</v>
      </c>
      <c r="O20" s="12">
        <v>-1.8257209022156301E-2</v>
      </c>
      <c r="P20" s="12">
        <v>1.6935872259065999E-3</v>
      </c>
      <c r="Q20" s="14">
        <v>1911.0176413849099</v>
      </c>
      <c r="R20" s="14">
        <v>2205274.4818104901</v>
      </c>
      <c r="S20" s="16">
        <v>15368.1878486932</v>
      </c>
      <c r="T20" s="16">
        <v>28102860.933340002</v>
      </c>
      <c r="U20">
        <f>VLOOKUP(C20,YieldData!F:AG,27,FALSE)</f>
        <v>1772</v>
      </c>
      <c r="V20">
        <f>_xlfn.MAXIFS(I:I,C:C,C20)</f>
        <v>0.51783437408049204</v>
      </c>
    </row>
    <row r="21" spans="1:22" hidden="1" x14ac:dyDescent="0.25">
      <c r="A21" s="3">
        <f>VLOOKUP(C21,YieldData!F:G,2,FALSE)</f>
        <v>24110</v>
      </c>
      <c r="B21">
        <v>8</v>
      </c>
      <c r="C21" s="3">
        <v>206</v>
      </c>
      <c r="D21" s="3">
        <v>206</v>
      </c>
      <c r="E21" s="3">
        <f t="shared" si="0"/>
        <v>241100206</v>
      </c>
      <c r="F21" s="3">
        <f>VLOOKUP($E21,YieldData!$H:$R,10,FALSE)</f>
        <v>4</v>
      </c>
      <c r="G21" s="3">
        <f>VLOOKUP($E21,YieldData!$H:$R,11,FALSE)</f>
        <v>4</v>
      </c>
      <c r="H21" s="3">
        <v>28</v>
      </c>
      <c r="I21" s="3">
        <v>2.6059734326085099E-3</v>
      </c>
      <c r="J21" s="6">
        <v>0.26301717974446598</v>
      </c>
      <c r="K21" s="7">
        <v>1.2564456603582399E-2</v>
      </c>
      <c r="L21" s="8">
        <v>0.82018421052631596</v>
      </c>
      <c r="M21" s="10">
        <v>7.7383006520546097E-2</v>
      </c>
      <c r="N21" s="10">
        <v>4.8332305854425503E-3</v>
      </c>
      <c r="O21" s="12">
        <v>-1.83658366602821E-2</v>
      </c>
      <c r="P21" s="12">
        <v>1.68910620812773E-3</v>
      </c>
      <c r="Q21" s="14">
        <v>1899.5871901176099</v>
      </c>
      <c r="R21" s="14">
        <v>2345649.5875539901</v>
      </c>
      <c r="S21" s="16">
        <v>15873.9935213755</v>
      </c>
      <c r="T21" s="16">
        <v>27711996.983398501</v>
      </c>
      <c r="U21">
        <f>VLOOKUP(C21,YieldData!F:AG,27,FALSE)</f>
        <v>1549</v>
      </c>
      <c r="V21">
        <f>_xlfn.MAXIFS(I:I,C:C,C21)</f>
        <v>0.57408049171216502</v>
      </c>
    </row>
    <row r="22" spans="1:22" hidden="1" x14ac:dyDescent="0.25">
      <c r="A22" s="3">
        <f>VLOOKUP(C22,YieldData!F:G,2,FALSE)</f>
        <v>24111</v>
      </c>
      <c r="B22">
        <v>8</v>
      </c>
      <c r="C22" s="3">
        <v>207</v>
      </c>
      <c r="D22" s="3">
        <v>207</v>
      </c>
      <c r="E22" s="3">
        <f t="shared" si="0"/>
        <v>241110207</v>
      </c>
      <c r="F22" s="3">
        <f>VLOOKUP($E22,YieldData!$H:$R,10,FALSE)</f>
        <v>1</v>
      </c>
      <c r="G22" s="3">
        <f>VLOOKUP($E22,YieldData!$H:$R,11,FALSE)</f>
        <v>1</v>
      </c>
      <c r="H22" s="3">
        <v>13</v>
      </c>
      <c r="I22" s="3">
        <v>1.3537638866561201E-3</v>
      </c>
      <c r="J22" s="6">
        <v>0.26341987220977697</v>
      </c>
      <c r="K22" s="7">
        <v>5.2520069080285604E-3</v>
      </c>
      <c r="L22" s="8">
        <v>0.45346052631578898</v>
      </c>
      <c r="M22" s="10">
        <v>7.7784657702257495E-2</v>
      </c>
      <c r="N22" s="10">
        <v>4.8034519706770598E-3</v>
      </c>
      <c r="O22" s="12">
        <v>-1.90292031346612E-2</v>
      </c>
      <c r="P22" s="12">
        <v>1.47215326529716E-3</v>
      </c>
      <c r="Q22" s="14">
        <v>1894.50449703441</v>
      </c>
      <c r="R22" s="14">
        <v>1930141.1227514001</v>
      </c>
      <c r="S22" s="16">
        <v>15849.014885332799</v>
      </c>
      <c r="T22" s="16">
        <v>28399520.674255099</v>
      </c>
      <c r="U22">
        <f>VLOOKUP(C22,YieldData!F:AG,27,FALSE)</f>
        <v>1091</v>
      </c>
      <c r="V22">
        <f>_xlfn.MAXIFS(I:I,C:C,C22)</f>
        <v>0.70132409193448197</v>
      </c>
    </row>
    <row r="23" spans="1:22" hidden="1" x14ac:dyDescent="0.25">
      <c r="A23" s="3">
        <f>VLOOKUP(C23,YieldData!F:G,2,FALSE)</f>
        <v>24111</v>
      </c>
      <c r="B23">
        <v>8</v>
      </c>
      <c r="C23" s="3">
        <v>208</v>
      </c>
      <c r="D23" s="3">
        <v>208</v>
      </c>
      <c r="E23" s="3">
        <f t="shared" si="0"/>
        <v>241110208</v>
      </c>
      <c r="F23" s="3">
        <f>VLOOKUP($E23,YieldData!$H:$R,10,FALSE)</f>
        <v>1</v>
      </c>
      <c r="G23" s="3">
        <f>VLOOKUP($E23,YieldData!$H:$R,11,FALSE)</f>
        <v>2</v>
      </c>
      <c r="H23" s="3">
        <v>14</v>
      </c>
      <c r="I23" s="3">
        <v>1.70914136798998E-3</v>
      </c>
      <c r="J23" s="6">
        <v>0.26275771631044798</v>
      </c>
      <c r="K23" s="7">
        <v>7.0153250411299798E-3</v>
      </c>
      <c r="L23" s="8">
        <v>0.63687680101054001</v>
      </c>
      <c r="M23" s="10">
        <v>7.7829553769083099E-2</v>
      </c>
      <c r="N23" s="10">
        <v>4.6575036441125197E-3</v>
      </c>
      <c r="O23" s="12">
        <v>-2.0929345415887701E-2</v>
      </c>
      <c r="P23" s="12">
        <v>1.4518377176282299E-3</v>
      </c>
      <c r="Q23" s="14">
        <v>1947.1608200494099</v>
      </c>
      <c r="R23" s="14">
        <v>1998912.62338219</v>
      </c>
      <c r="S23" s="16">
        <v>15243.7251537137</v>
      </c>
      <c r="T23" s="16">
        <v>25793973.972444698</v>
      </c>
      <c r="U23">
        <f>VLOOKUP(C23,YieldData!F:AG,27,FALSE)</f>
        <v>1030</v>
      </c>
      <c r="V23">
        <f>_xlfn.MAXIFS(I:I,C:C,C23)</f>
        <v>0.61479815350011102</v>
      </c>
    </row>
    <row r="24" spans="1:22" hidden="1" x14ac:dyDescent="0.25">
      <c r="A24" s="3">
        <f>VLOOKUP(C24,YieldData!F:G,2,FALSE)</f>
        <v>24111</v>
      </c>
      <c r="B24">
        <v>8</v>
      </c>
      <c r="C24" s="3">
        <v>209</v>
      </c>
      <c r="D24" s="3">
        <v>209</v>
      </c>
      <c r="E24" s="3">
        <f t="shared" si="0"/>
        <v>241110209</v>
      </c>
      <c r="F24" s="3">
        <f>VLOOKUP($E24,YieldData!$H:$R,10,FALSE)</f>
        <v>4</v>
      </c>
      <c r="G24" s="3">
        <f>VLOOKUP($E24,YieldData!$H:$R,11,FALSE)</f>
        <v>2</v>
      </c>
      <c r="H24" s="3">
        <v>7</v>
      </c>
      <c r="I24" s="3">
        <v>7.69966239941787E-4</v>
      </c>
      <c r="J24" s="6">
        <v>0.26555681482536903</v>
      </c>
      <c r="K24" s="7">
        <v>7.8860101031287804E-3</v>
      </c>
      <c r="L24" s="8">
        <v>0.32042999434218</v>
      </c>
      <c r="M24" s="10">
        <v>8.3458099072953096E-2</v>
      </c>
      <c r="N24" s="10">
        <v>5.2207989161194603E-3</v>
      </c>
      <c r="O24" s="12">
        <v>-1.79224063741691E-2</v>
      </c>
      <c r="P24" s="12">
        <v>1.62583687606189E-3</v>
      </c>
      <c r="Q24" s="14">
        <v>1758.2555780246601</v>
      </c>
      <c r="R24" s="14">
        <v>2141777.6948057902</v>
      </c>
      <c r="S24" s="16">
        <v>15519.6881075933</v>
      </c>
      <c r="T24" s="16">
        <v>27939502.430007</v>
      </c>
      <c r="U24">
        <f>VLOOKUP(C24,YieldData!F:AG,27,FALSE)</f>
        <v>573</v>
      </c>
      <c r="V24">
        <f>_xlfn.MAXIFS(I:I,C:C,C24)</f>
        <v>0.488269602971177</v>
      </c>
    </row>
    <row r="25" spans="1:22" hidden="1" x14ac:dyDescent="0.25">
      <c r="A25" s="3">
        <f>VLOOKUP(C25,YieldData!F:G,2,FALSE)</f>
        <v>24111</v>
      </c>
      <c r="B25">
        <v>8</v>
      </c>
      <c r="C25" s="3">
        <v>210</v>
      </c>
      <c r="D25" s="3">
        <v>210</v>
      </c>
      <c r="E25" s="3">
        <f t="shared" si="0"/>
        <v>241110210</v>
      </c>
      <c r="F25" s="3">
        <f>VLOOKUP($E25,YieldData!$H:$R,10,FALSE)</f>
        <v>2</v>
      </c>
      <c r="G25" s="3">
        <f>VLOOKUP($E25,YieldData!$H:$R,11,FALSE)</f>
        <v>2</v>
      </c>
      <c r="H25" s="3">
        <v>18</v>
      </c>
      <c r="I25" s="3">
        <v>3.8074609312203299E-3</v>
      </c>
      <c r="J25" s="6">
        <v>0.266000716300412</v>
      </c>
      <c r="K25" s="7">
        <v>8.4867275418397496E-3</v>
      </c>
      <c r="L25" s="8">
        <v>0.55507894736842101</v>
      </c>
      <c r="M25" s="10">
        <v>7.6558653516940398E-2</v>
      </c>
      <c r="N25" s="10">
        <v>5.1301785397889002E-3</v>
      </c>
      <c r="O25" s="12">
        <v>-2.1134021159722401E-2</v>
      </c>
      <c r="P25" s="12">
        <v>1.5802317991494E-3</v>
      </c>
      <c r="Q25" s="14">
        <v>2005.1356302193899</v>
      </c>
      <c r="R25" s="14">
        <v>2649726.4050956201</v>
      </c>
      <c r="S25" s="16">
        <v>15050.247589344401</v>
      </c>
      <c r="T25" s="16">
        <v>28728276.318226099</v>
      </c>
      <c r="U25">
        <f>VLOOKUP(C25,YieldData!F:AG,27,FALSE)</f>
        <v>849</v>
      </c>
      <c r="V25">
        <f>_xlfn.MAXIFS(I:I,C:C,C25)</f>
        <v>0.61838939164094797</v>
      </c>
    </row>
    <row r="26" spans="1:22" hidden="1" x14ac:dyDescent="0.25">
      <c r="A26" s="3">
        <f>VLOOKUP(C26,YieldData!F:G,2,FALSE)</f>
        <v>24111</v>
      </c>
      <c r="B26">
        <v>8</v>
      </c>
      <c r="C26" s="3">
        <v>211</v>
      </c>
      <c r="D26" s="3">
        <v>211</v>
      </c>
      <c r="E26" s="3">
        <f t="shared" si="0"/>
        <v>241110211</v>
      </c>
      <c r="F26" s="3">
        <f>VLOOKUP($E26,YieldData!$H:$R,10,FALSE)</f>
        <v>5</v>
      </c>
      <c r="G26" s="3">
        <f>VLOOKUP($E26,YieldData!$H:$R,11,FALSE)</f>
        <v>1</v>
      </c>
      <c r="H26" s="3">
        <v>23</v>
      </c>
      <c r="I26" s="3">
        <v>2.5637554363460999E-3</v>
      </c>
      <c r="J26" s="6">
        <v>0.26498380162218299</v>
      </c>
      <c r="K26" s="7">
        <v>5.8531459350731696E-3</v>
      </c>
      <c r="L26" s="8">
        <v>0.62328127261483401</v>
      </c>
      <c r="M26" s="10">
        <v>7.7964491604412905E-2</v>
      </c>
      <c r="N26" s="10">
        <v>5.3118130924945002E-3</v>
      </c>
      <c r="O26" s="12">
        <v>-2.0302117164596501E-2</v>
      </c>
      <c r="P26" s="12">
        <v>1.54734576645031E-3</v>
      </c>
      <c r="Q26" s="14">
        <v>1879.6066369959201</v>
      </c>
      <c r="R26" s="14">
        <v>2085999.0509413499</v>
      </c>
      <c r="S26" s="16">
        <v>15593.476499108399</v>
      </c>
      <c r="T26" s="16">
        <v>27198193.873425201</v>
      </c>
      <c r="U26">
        <f>VLOOKUP(C26,YieldData!F:AG,27,FALSE)</f>
        <v>733</v>
      </c>
      <c r="V26">
        <f>_xlfn.MAXIFS(I:I,C:C,C26)</f>
        <v>0.54509075691792597</v>
      </c>
    </row>
    <row r="27" spans="1:22" hidden="1" x14ac:dyDescent="0.25">
      <c r="A27" s="3">
        <f>VLOOKUP(C27,YieldData!F:G,2,FALSE)</f>
        <v>24111</v>
      </c>
      <c r="B27">
        <v>8</v>
      </c>
      <c r="C27" s="3">
        <v>212</v>
      </c>
      <c r="D27" s="3">
        <v>212</v>
      </c>
      <c r="E27" s="3">
        <f t="shared" si="0"/>
        <v>241110212</v>
      </c>
      <c r="F27" s="3">
        <f>VLOOKUP($E27,YieldData!$H:$R,10,FALSE)</f>
        <v>4</v>
      </c>
      <c r="G27" s="3">
        <f>VLOOKUP($E27,YieldData!$H:$R,11,FALSE)</f>
        <v>1</v>
      </c>
      <c r="H27" s="3">
        <v>11</v>
      </c>
      <c r="I27" s="3">
        <v>1.0914813686668701E-3</v>
      </c>
      <c r="J27" s="6">
        <v>0.26186882782097098</v>
      </c>
      <c r="K27" s="7">
        <v>3.2282187340881398E-3</v>
      </c>
      <c r="L27" s="8">
        <v>0.49998026289819603</v>
      </c>
      <c r="M27" s="10">
        <v>7.9469701782937996E-2</v>
      </c>
      <c r="N27" s="10">
        <v>4.6803987276918899E-3</v>
      </c>
      <c r="O27" s="12">
        <v>-1.9669203796678698E-2</v>
      </c>
      <c r="P27" s="12">
        <v>1.5194307481287E-3</v>
      </c>
      <c r="Q27" s="14">
        <v>2034.55658780925</v>
      </c>
      <c r="R27" s="14">
        <v>2377232.65441956</v>
      </c>
      <c r="S27" s="16">
        <v>15788.4172463758</v>
      </c>
      <c r="T27" s="16">
        <v>25890323.2370371</v>
      </c>
      <c r="U27">
        <f>VLOOKUP(C27,YieldData!F:AG,27,FALSE)</f>
        <v>678</v>
      </c>
      <c r="V27">
        <f>_xlfn.MAXIFS(I:I,C:C,C27)</f>
        <v>0.50204989047634596</v>
      </c>
    </row>
    <row r="28" spans="1:22" hidden="1" x14ac:dyDescent="0.25">
      <c r="A28" s="3">
        <f>VLOOKUP(C28,YieldData!F:G,2,FALSE)</f>
        <v>24111</v>
      </c>
      <c r="B28">
        <v>8</v>
      </c>
      <c r="C28" s="3">
        <v>213</v>
      </c>
      <c r="D28" s="3">
        <v>213</v>
      </c>
      <c r="E28" s="3">
        <f t="shared" si="0"/>
        <v>241110213</v>
      </c>
      <c r="F28" s="3">
        <f>VLOOKUP($E28,YieldData!$H:$R,10,FALSE)</f>
        <v>3</v>
      </c>
      <c r="G28" s="3">
        <f>VLOOKUP($E28,YieldData!$H:$R,11,FALSE)</f>
        <v>1</v>
      </c>
      <c r="H28" s="3">
        <v>4</v>
      </c>
      <c r="I28" s="3">
        <v>4.9921310476706198E-4</v>
      </c>
      <c r="J28" s="6">
        <v>0.25947093406671401</v>
      </c>
      <c r="K28" s="7">
        <v>5.6215002233342597E-3</v>
      </c>
      <c r="L28" s="8">
        <v>0.21443703206621101</v>
      </c>
      <c r="M28" s="10">
        <v>7.9228138540161697E-2</v>
      </c>
      <c r="N28" s="10">
        <v>4.9482174911616699E-3</v>
      </c>
      <c r="O28" s="12">
        <v>-2.11743619998188E-2</v>
      </c>
      <c r="P28" s="12">
        <v>1.58759567948516E-3</v>
      </c>
      <c r="Q28" s="14">
        <v>1975.2118948098801</v>
      </c>
      <c r="R28" s="14">
        <v>2317319.8109972598</v>
      </c>
      <c r="S28" s="16">
        <v>15745.939379307099</v>
      </c>
      <c r="T28" s="16">
        <v>26100456.669702802</v>
      </c>
      <c r="U28">
        <f>VLOOKUP(C28,YieldData!F:AG,27,FALSE)</f>
        <v>475</v>
      </c>
      <c r="V28">
        <f>_xlfn.MAXIFS(I:I,C:C,C28)</f>
        <v>0.50808835068263802</v>
      </c>
    </row>
    <row r="29" spans="1:22" hidden="1" x14ac:dyDescent="0.25">
      <c r="A29" s="3">
        <f>VLOOKUP(C29,YieldData!F:G,2,FALSE)</f>
        <v>24111</v>
      </c>
      <c r="B29">
        <v>8</v>
      </c>
      <c r="C29" s="3">
        <v>214</v>
      </c>
      <c r="D29" s="3">
        <v>214</v>
      </c>
      <c r="E29" s="3">
        <f t="shared" si="0"/>
        <v>241110214</v>
      </c>
      <c r="F29" s="3">
        <f>VLOOKUP($E29,YieldData!$H:$R,10,FALSE)</f>
        <v>2</v>
      </c>
      <c r="G29" s="3">
        <f>VLOOKUP($E29,YieldData!$H:$R,11,FALSE)</f>
        <v>1</v>
      </c>
      <c r="H29" s="3">
        <v>15</v>
      </c>
      <c r="I29" s="3">
        <v>3.1982942430703598E-3</v>
      </c>
      <c r="J29" s="6">
        <v>0.26427001006746997</v>
      </c>
      <c r="K29" s="7">
        <v>6.8214985868822499E-3</v>
      </c>
      <c r="L29" s="8">
        <v>0.55372368421052598</v>
      </c>
      <c r="M29" s="10">
        <v>8.0682898450916904E-2</v>
      </c>
      <c r="N29" s="10">
        <v>5.0975797333402103E-3</v>
      </c>
      <c r="O29" s="12">
        <v>-2.1036590945617099E-2</v>
      </c>
      <c r="P29" s="12">
        <v>1.6048452828773499E-3</v>
      </c>
      <c r="Q29" s="14">
        <v>1941.4568653332001</v>
      </c>
      <c r="R29" s="14">
        <v>2567612.2933723899</v>
      </c>
      <c r="S29" s="16">
        <v>15398.4810698736</v>
      </c>
      <c r="T29" s="16">
        <v>27181221.872593399</v>
      </c>
      <c r="U29">
        <f>VLOOKUP(C29,YieldData!F:AG,27,FALSE)</f>
        <v>817</v>
      </c>
      <c r="V29">
        <f>_xlfn.MAXIFS(I:I,C:C,C29)</f>
        <v>0.63073442485745701</v>
      </c>
    </row>
    <row r="30" spans="1:22" hidden="1" x14ac:dyDescent="0.25">
      <c r="A30" s="3">
        <f>VLOOKUP(C30,YieldData!F:G,2,FALSE)</f>
        <v>24111</v>
      </c>
      <c r="B30">
        <v>8</v>
      </c>
      <c r="C30" s="3">
        <v>301</v>
      </c>
      <c r="D30" s="3">
        <v>301</v>
      </c>
      <c r="E30" s="3">
        <f t="shared" si="0"/>
        <v>241110301</v>
      </c>
      <c r="F30" s="3">
        <f>VLOOKUP($E30,YieldData!$H:$R,10,FALSE)</f>
        <v>5</v>
      </c>
      <c r="G30" s="3">
        <f>VLOOKUP($E30,YieldData!$H:$R,11,FALSE)</f>
        <v>2</v>
      </c>
      <c r="H30" s="3">
        <v>14</v>
      </c>
      <c r="I30" s="3">
        <v>1.5738037822058599E-3</v>
      </c>
      <c r="J30" s="6">
        <v>0.26379163083486801</v>
      </c>
      <c r="K30" s="7">
        <v>7.46933926404894E-3</v>
      </c>
      <c r="L30" s="8">
        <v>0.52256578947368404</v>
      </c>
      <c r="M30" s="10">
        <v>7.7095985999998298E-2</v>
      </c>
      <c r="N30" s="10">
        <v>3.96830635495048E-3</v>
      </c>
      <c r="O30" s="12">
        <v>-1.9564081497882E-2</v>
      </c>
      <c r="P30" s="12">
        <v>1.75154396355247E-3</v>
      </c>
      <c r="Q30" s="14">
        <v>1942.8557938824699</v>
      </c>
      <c r="R30" s="14">
        <v>2019923.3407902201</v>
      </c>
      <c r="S30" s="16">
        <v>14951.959405371599</v>
      </c>
      <c r="T30" s="16">
        <v>25485303.931905199</v>
      </c>
      <c r="U30">
        <f>VLOOKUP(C30,YieldData!F:AG,27,FALSE)</f>
        <v>598</v>
      </c>
      <c r="V30">
        <f>_xlfn.MAXIFS(I:I,C:C,C30)</f>
        <v>0.38240428940399501</v>
      </c>
    </row>
    <row r="31" spans="1:22" hidden="1" x14ac:dyDescent="0.25">
      <c r="A31" s="3">
        <f>VLOOKUP(C31,YieldData!F:G,2,FALSE)</f>
        <v>24111</v>
      </c>
      <c r="B31">
        <v>8</v>
      </c>
      <c r="C31" s="3">
        <v>302</v>
      </c>
      <c r="D31" s="3">
        <v>302</v>
      </c>
      <c r="E31" s="3">
        <f t="shared" si="0"/>
        <v>241110302</v>
      </c>
      <c r="F31" s="3">
        <f>VLOOKUP($E31,YieldData!$H:$R,10,FALSE)</f>
        <v>3</v>
      </c>
      <c r="G31" s="3">
        <f>VLOOKUP($E31,YieldData!$H:$R,11,FALSE)</f>
        <v>2</v>
      </c>
      <c r="H31" s="3">
        <v>3</v>
      </c>
      <c r="I31" s="3">
        <v>4.0613260229464902E-4</v>
      </c>
      <c r="J31" s="6">
        <v>0.26152319020085202</v>
      </c>
      <c r="K31" s="7">
        <v>3.4640049608763699E-3</v>
      </c>
      <c r="L31" s="8">
        <v>0.174510861699188</v>
      </c>
      <c r="M31" s="10">
        <v>7.50136399103319E-2</v>
      </c>
      <c r="N31" s="10">
        <v>4.0347042829457901E-3</v>
      </c>
      <c r="O31" s="12">
        <v>-2.0424337471326302E-2</v>
      </c>
      <c r="P31" s="12">
        <v>1.7359909724529699E-3</v>
      </c>
      <c r="Q31" s="14">
        <v>1961.1002724472901</v>
      </c>
      <c r="R31" s="14">
        <v>1698246.2872260399</v>
      </c>
      <c r="S31" s="16">
        <v>15100.2228058113</v>
      </c>
      <c r="T31" s="16">
        <v>26390636.560317598</v>
      </c>
      <c r="U31">
        <f>VLOOKUP(C31,YieldData!F:AG,27,FALSE)</f>
        <v>702</v>
      </c>
      <c r="V31">
        <f>_xlfn.MAXIFS(I:I,C:C,C31)</f>
        <v>0.59986530313333697</v>
      </c>
    </row>
    <row r="32" spans="1:22" hidden="1" x14ac:dyDescent="0.25">
      <c r="A32" s="3">
        <f>VLOOKUP(C32,YieldData!F:G,2,FALSE)</f>
        <v>24111</v>
      </c>
      <c r="B32">
        <v>8</v>
      </c>
      <c r="C32" s="3">
        <v>303</v>
      </c>
      <c r="D32" s="3">
        <v>303</v>
      </c>
      <c r="E32" s="3">
        <f t="shared" si="0"/>
        <v>241110303</v>
      </c>
      <c r="F32" s="3">
        <f>VLOOKUP($E32,YieldData!$H:$R,10,FALSE)</f>
        <v>3</v>
      </c>
      <c r="G32" s="3">
        <f>VLOOKUP($E32,YieldData!$H:$R,11,FALSE)</f>
        <v>3</v>
      </c>
      <c r="H32" s="3">
        <v>3</v>
      </c>
      <c r="I32" s="3">
        <v>3.1306319645984799E-4</v>
      </c>
      <c r="J32" s="6">
        <v>0.258113321941146</v>
      </c>
      <c r="K32" s="7">
        <v>2.8945868181309798E-3</v>
      </c>
      <c r="L32" s="8">
        <v>0.17824765463612299</v>
      </c>
      <c r="M32" s="10">
        <v>7.0590521802170597E-2</v>
      </c>
      <c r="N32" s="10">
        <v>4.0789641745792504E-3</v>
      </c>
      <c r="O32" s="12">
        <v>-2.0930515444759799E-2</v>
      </c>
      <c r="P32" s="12">
        <v>1.6619038461814801E-3</v>
      </c>
      <c r="Q32" s="14">
        <v>1993.0425258277101</v>
      </c>
      <c r="R32" s="14">
        <v>1793080.6838845001</v>
      </c>
      <c r="S32" s="16">
        <v>15475.2937538067</v>
      </c>
      <c r="T32" s="16">
        <v>26164721.371617399</v>
      </c>
      <c r="U32">
        <f>VLOOKUP(C32,YieldData!F:AG,27,FALSE)</f>
        <v>546</v>
      </c>
      <c r="V32">
        <f>_xlfn.MAXIFS(I:I,C:C,C32)</f>
        <v>0.53846053251033099</v>
      </c>
    </row>
    <row r="33" spans="1:22" hidden="1" x14ac:dyDescent="0.25">
      <c r="A33" s="3">
        <f>VLOOKUP(C33,YieldData!F:G,2,FALSE)</f>
        <v>24111</v>
      </c>
      <c r="B33">
        <v>8</v>
      </c>
      <c r="C33" s="3">
        <v>304</v>
      </c>
      <c r="D33" s="3">
        <v>304</v>
      </c>
      <c r="E33" s="3">
        <f t="shared" si="0"/>
        <v>241110304</v>
      </c>
      <c r="F33" s="3">
        <f>VLOOKUP($E33,YieldData!$H:$R,10,FALSE)</f>
        <v>5</v>
      </c>
      <c r="G33" s="3">
        <f>VLOOKUP($E33,YieldData!$H:$R,11,FALSE)</f>
        <v>3</v>
      </c>
      <c r="H33" s="3">
        <v>14</v>
      </c>
      <c r="I33" s="3">
        <v>2.5806779144738E-3</v>
      </c>
      <c r="J33" s="6">
        <v>0.25754768230425401</v>
      </c>
      <c r="K33" s="7">
        <v>3.6881550231293802E-3</v>
      </c>
      <c r="L33" s="8">
        <v>0.50994092027526705</v>
      </c>
      <c r="M33" s="10">
        <v>6.7066546141948999E-2</v>
      </c>
      <c r="N33" s="10">
        <v>4.1346246837148598E-3</v>
      </c>
      <c r="O33" s="12">
        <v>-2.4031912459483998E-2</v>
      </c>
      <c r="P33" s="12">
        <v>1.71518358798678E-3</v>
      </c>
      <c r="Q33" s="14">
        <v>2020.88997850845</v>
      </c>
      <c r="R33" s="14">
        <v>2285796.27189674</v>
      </c>
      <c r="S33" s="16">
        <v>15338.8164226058</v>
      </c>
      <c r="T33" s="16">
        <v>25535217.293114498</v>
      </c>
      <c r="U33">
        <f>VLOOKUP(C33,YieldData!F:AG,27,FALSE)</f>
        <v>718</v>
      </c>
      <c r="V33">
        <f>_xlfn.MAXIFS(I:I,C:C,C33)</f>
        <v>0.41874546369978999</v>
      </c>
    </row>
    <row r="34" spans="1:22" hidden="1" x14ac:dyDescent="0.25">
      <c r="A34" s="3">
        <f>VLOOKUP(C34,YieldData!F:G,2,FALSE)</f>
        <v>24111</v>
      </c>
      <c r="B34">
        <v>8</v>
      </c>
      <c r="C34" s="3">
        <v>305</v>
      </c>
      <c r="D34" s="3">
        <v>305</v>
      </c>
      <c r="E34" s="3">
        <f t="shared" si="0"/>
        <v>241110305</v>
      </c>
      <c r="F34" s="3">
        <f>VLOOKUP($E34,YieldData!$H:$R,10,FALSE)</f>
        <v>4</v>
      </c>
      <c r="G34" s="3">
        <f>VLOOKUP($E34,YieldData!$H:$R,11,FALSE)</f>
        <v>3</v>
      </c>
      <c r="H34" s="3">
        <v>9</v>
      </c>
      <c r="I34" s="3">
        <v>2.1491547222175201E-3</v>
      </c>
      <c r="J34" s="6">
        <v>0.25404900092808502</v>
      </c>
      <c r="K34" s="7">
        <v>2.3848037194449299E-3</v>
      </c>
      <c r="L34" s="8">
        <v>0.35707424902303903</v>
      </c>
      <c r="M34" s="10">
        <v>6.7539436419979407E-2</v>
      </c>
      <c r="N34" s="10">
        <v>3.8700604569696399E-3</v>
      </c>
      <c r="O34" s="12">
        <v>-2.4747268731925998E-2</v>
      </c>
      <c r="P34" s="12">
        <v>1.72834440082735E-3</v>
      </c>
      <c r="Q34" s="14">
        <v>2075.6863841741001</v>
      </c>
      <c r="R34" s="14">
        <v>2196628.3627065201</v>
      </c>
      <c r="S34" s="16">
        <v>15620.267776573701</v>
      </c>
      <c r="T34" s="16">
        <v>26052353.5626016</v>
      </c>
      <c r="U34">
        <f>VLOOKUP(C34,YieldData!F:AG,27,FALSE)</f>
        <v>792</v>
      </c>
      <c r="V34">
        <f>_xlfn.MAXIFS(I:I,C:C,C34)</f>
        <v>0.51650679691637702</v>
      </c>
    </row>
    <row r="35" spans="1:22" hidden="1" x14ac:dyDescent="0.25">
      <c r="A35" s="3">
        <f>VLOOKUP(C35,YieldData!F:G,2,FALSE)</f>
        <v>24111</v>
      </c>
      <c r="B35">
        <v>8</v>
      </c>
      <c r="C35" s="3">
        <v>306</v>
      </c>
      <c r="D35" s="3">
        <v>306</v>
      </c>
      <c r="E35" s="3">
        <f t="shared" si="0"/>
        <v>241110306</v>
      </c>
      <c r="F35" s="3">
        <f>VLOOKUP($E35,YieldData!$H:$R,10,FALSE)</f>
        <v>1</v>
      </c>
      <c r="G35" s="3">
        <f>VLOOKUP($E35,YieldData!$H:$R,11,FALSE)</f>
        <v>3</v>
      </c>
      <c r="H35" s="3">
        <v>11</v>
      </c>
      <c r="I35" s="3">
        <v>1.42990100685337E-3</v>
      </c>
      <c r="J35" s="6">
        <v>0.25564183982656902</v>
      </c>
      <c r="K35" s="7">
        <v>2.0847098233377601E-3</v>
      </c>
      <c r="L35" s="8">
        <v>0.49398018394978899</v>
      </c>
      <c r="M35" s="10">
        <v>7.0898441558012601E-2</v>
      </c>
      <c r="N35" s="10">
        <v>4.66981842025181E-3</v>
      </c>
      <c r="O35" s="12">
        <v>-2.26160309860522E-2</v>
      </c>
      <c r="P35" s="12">
        <v>1.8984866043817599E-3</v>
      </c>
      <c r="Q35" s="14">
        <v>1985.18037058973</v>
      </c>
      <c r="R35" s="14">
        <v>2157452.9691586401</v>
      </c>
      <c r="S35" s="16">
        <v>15770.866632908401</v>
      </c>
      <c r="T35" s="16">
        <v>30777319.204588301</v>
      </c>
      <c r="U35">
        <f>VLOOKUP(C35,YieldData!F:AG,27,FALSE)</f>
        <v>862</v>
      </c>
      <c r="V35">
        <f>_xlfn.MAXIFS(I:I,C:C,C35)</f>
        <v>0.57260179027965796</v>
      </c>
    </row>
    <row r="36" spans="1:22" hidden="1" x14ac:dyDescent="0.25">
      <c r="A36" s="3">
        <f>VLOOKUP(C36,YieldData!F:G,2,FALSE)</f>
        <v>24111</v>
      </c>
      <c r="B36">
        <v>8</v>
      </c>
      <c r="C36" s="3">
        <v>307</v>
      </c>
      <c r="D36" s="3">
        <v>307</v>
      </c>
      <c r="E36" s="3">
        <f t="shared" si="0"/>
        <v>241110307</v>
      </c>
      <c r="F36" s="3">
        <f>VLOOKUP($E36,YieldData!$H:$R,10,FALSE)</f>
        <v>2</v>
      </c>
      <c r="G36" s="3">
        <f>VLOOKUP($E36,YieldData!$H:$R,11,FALSE)</f>
        <v>3</v>
      </c>
      <c r="H36" s="3">
        <v>8</v>
      </c>
      <c r="I36" s="3">
        <v>1.8952854773750299E-3</v>
      </c>
      <c r="J36" s="6">
        <v>0.258312092052561</v>
      </c>
      <c r="K36" s="7">
        <v>3.2841347674432801E-3</v>
      </c>
      <c r="L36" s="8">
        <v>0.36245575716109002</v>
      </c>
      <c r="M36" s="10">
        <v>7.1272939122167797E-2</v>
      </c>
      <c r="N36" s="10">
        <v>4.2213943214260401E-3</v>
      </c>
      <c r="O36" s="12">
        <v>-2.3257283607375199E-2</v>
      </c>
      <c r="P36" s="12">
        <v>1.74965911253233E-3</v>
      </c>
      <c r="Q36" s="14">
        <v>1968.38795816834</v>
      </c>
      <c r="R36" s="14">
        <v>2014166.6173159799</v>
      </c>
      <c r="S36" s="16">
        <v>15654.6792122468</v>
      </c>
      <c r="T36" s="16">
        <v>27592001.205269601</v>
      </c>
      <c r="U36">
        <f>VLOOKUP(C36,YieldData!F:AG,27,FALSE)</f>
        <v>856</v>
      </c>
      <c r="V36">
        <f>_xlfn.MAXIFS(I:I,C:C,C36)</f>
        <v>0.62418757928049295</v>
      </c>
    </row>
    <row r="37" spans="1:22" hidden="1" x14ac:dyDescent="0.25">
      <c r="A37" s="3">
        <f>VLOOKUP(C37,YieldData!F:G,2,FALSE)</f>
        <v>24112</v>
      </c>
      <c r="B37">
        <v>8</v>
      </c>
      <c r="C37" s="3">
        <v>308</v>
      </c>
      <c r="D37" s="3">
        <v>308</v>
      </c>
      <c r="E37" s="3">
        <f t="shared" si="0"/>
        <v>241120308</v>
      </c>
      <c r="F37" s="3">
        <f>VLOOKUP($E37,YieldData!$H:$R,10,FALSE)</f>
        <v>2</v>
      </c>
      <c r="G37" s="3">
        <f>VLOOKUP($E37,YieldData!$H:$R,11,FALSE)</f>
        <v>1</v>
      </c>
      <c r="H37" s="3">
        <v>2</v>
      </c>
      <c r="I37" s="3">
        <v>4.1460422219401802E-4</v>
      </c>
      <c r="J37" s="6">
        <v>0.263578768375346</v>
      </c>
      <c r="K37" s="7">
        <v>4.9177087097362097E-3</v>
      </c>
      <c r="L37" s="8">
        <v>0.11739628153002001</v>
      </c>
      <c r="M37" s="10">
        <v>7.7923928239927706E-2</v>
      </c>
      <c r="N37" s="10">
        <v>5.6605808452044899E-3</v>
      </c>
      <c r="O37" s="12">
        <v>-2.1181048748000701E-2</v>
      </c>
      <c r="P37" s="12">
        <v>1.67334541188757E-3</v>
      </c>
      <c r="Q37" s="14">
        <v>1858.77807674409</v>
      </c>
      <c r="R37" s="14">
        <v>2051015.4212750599</v>
      </c>
      <c r="S37" s="16">
        <v>15528.7769380223</v>
      </c>
      <c r="T37" s="16">
        <v>27021214.982122</v>
      </c>
      <c r="U37">
        <f>VLOOKUP(C37,YieldData!F:AG,27,FALSE)</f>
        <v>465</v>
      </c>
      <c r="V37">
        <f>_xlfn.MAXIFS(I:I,C:C,C37)</f>
        <v>0.33378886455029899</v>
      </c>
    </row>
    <row r="38" spans="1:22" hidden="1" x14ac:dyDescent="0.25">
      <c r="A38" s="3">
        <f>VLOOKUP(C38,YieldData!F:G,2,FALSE)</f>
        <v>24112</v>
      </c>
      <c r="B38">
        <v>8</v>
      </c>
      <c r="C38" s="3">
        <v>309</v>
      </c>
      <c r="D38" s="3">
        <v>309</v>
      </c>
      <c r="E38" s="3">
        <f t="shared" si="0"/>
        <v>241120309</v>
      </c>
      <c r="F38" s="3">
        <f>VLOOKUP($E38,YieldData!$H:$R,10,FALSE)</f>
        <v>1</v>
      </c>
      <c r="G38" s="3">
        <f>VLOOKUP($E38,YieldData!$H:$R,11,FALSE)</f>
        <v>1</v>
      </c>
      <c r="H38" s="3">
        <v>22</v>
      </c>
      <c r="I38" s="3">
        <v>3.71438966401273E-3</v>
      </c>
      <c r="J38" s="6">
        <v>0.26471004615369198</v>
      </c>
      <c r="K38" s="7">
        <v>7.3604746745429299E-3</v>
      </c>
      <c r="L38" s="8">
        <v>0.73405263157894696</v>
      </c>
      <c r="M38" s="10">
        <v>7.7621343101161297E-2</v>
      </c>
      <c r="N38" s="10">
        <v>5.5043990009132297E-3</v>
      </c>
      <c r="O38" s="12">
        <v>-2.1021286766390701E-2</v>
      </c>
      <c r="P38" s="12">
        <v>1.6996974222479801E-3</v>
      </c>
      <c r="Q38" s="14">
        <v>2102.6818401035598</v>
      </c>
      <c r="R38" s="14">
        <v>2959682.9941469799</v>
      </c>
      <c r="S38" s="16">
        <v>15945.7783204592</v>
      </c>
      <c r="T38" s="16">
        <v>27506530.773810498</v>
      </c>
      <c r="U38">
        <f>VLOOKUP(C38,YieldData!F:AG,27,FALSE)</f>
        <v>953</v>
      </c>
      <c r="V38">
        <f>_xlfn.MAXIFS(I:I,C:C,C38)</f>
        <v>0.62382957577025699</v>
      </c>
    </row>
    <row r="39" spans="1:22" hidden="1" x14ac:dyDescent="0.25">
      <c r="A39" s="3">
        <f>VLOOKUP(C39,YieldData!F:G,2,FALSE)</f>
        <v>24111</v>
      </c>
      <c r="B39">
        <v>8</v>
      </c>
      <c r="C39" s="3">
        <v>310</v>
      </c>
      <c r="D39" s="3">
        <v>310</v>
      </c>
      <c r="E39" s="3">
        <f t="shared" si="0"/>
        <v>241110310</v>
      </c>
      <c r="F39" s="3">
        <f>VLOOKUP($E39,YieldData!$H:$R,10,FALSE)</f>
        <v>5</v>
      </c>
      <c r="G39" s="3">
        <f>VLOOKUP($E39,YieldData!$H:$R,11,FALSE)</f>
        <v>4</v>
      </c>
      <c r="H39" s="3">
        <v>16</v>
      </c>
      <c r="I39" s="3">
        <v>2.8430244364719402E-3</v>
      </c>
      <c r="J39" s="6">
        <v>0.265984040434394</v>
      </c>
      <c r="K39" s="7">
        <v>1.2314188986143899E-2</v>
      </c>
      <c r="L39" s="8">
        <v>0.66841225773345103</v>
      </c>
      <c r="M39" s="10">
        <v>7.7602151856788301E-2</v>
      </c>
      <c r="N39" s="10">
        <v>4.92342680649139E-3</v>
      </c>
      <c r="O39" s="12">
        <v>-2.1280585561486501E-2</v>
      </c>
      <c r="P39" s="12">
        <v>1.4430200846570599E-3</v>
      </c>
      <c r="Q39" s="14">
        <v>2018.0009053679</v>
      </c>
      <c r="R39" s="14">
        <v>2647002.2316972702</v>
      </c>
      <c r="S39" s="16">
        <v>15590.2801779657</v>
      </c>
      <c r="T39" s="16">
        <v>25963520.212955501</v>
      </c>
      <c r="U39">
        <f>VLOOKUP(C39,YieldData!F:AG,27,FALSE)</f>
        <v>586</v>
      </c>
      <c r="V39">
        <f>_xlfn.MAXIFS(I:I,C:C,C39)</f>
        <v>0.54465564251946896</v>
      </c>
    </row>
    <row r="40" spans="1:22" hidden="1" x14ac:dyDescent="0.25">
      <c r="A40" s="3">
        <f>VLOOKUP(C40,YieldData!F:G,2,FALSE)</f>
        <v>24111</v>
      </c>
      <c r="B40">
        <v>8</v>
      </c>
      <c r="C40" s="3">
        <v>311</v>
      </c>
      <c r="D40" s="3">
        <v>311</v>
      </c>
      <c r="E40" s="3">
        <f t="shared" si="0"/>
        <v>241110311</v>
      </c>
      <c r="F40" s="3">
        <f>VLOOKUP($E40,YieldData!$H:$R,10,FALSE)</f>
        <v>4</v>
      </c>
      <c r="G40" s="3">
        <f>VLOOKUP($E40,YieldData!$H:$R,11,FALSE)</f>
        <v>4</v>
      </c>
      <c r="H40" s="3">
        <v>15</v>
      </c>
      <c r="I40" s="3">
        <v>2.42831397168941E-3</v>
      </c>
      <c r="J40" s="6">
        <v>0.26553877061324699</v>
      </c>
      <c r="K40" s="7">
        <v>4.93185453269497E-3</v>
      </c>
      <c r="L40" s="8">
        <v>0.57443421052631605</v>
      </c>
      <c r="M40" s="10">
        <v>7.92047935711295E-2</v>
      </c>
      <c r="N40" s="10">
        <v>5.9177659893860004E-3</v>
      </c>
      <c r="O40" s="12">
        <v>-1.8997455079733799E-2</v>
      </c>
      <c r="P40" s="12">
        <v>1.76129594956397E-3</v>
      </c>
      <c r="Q40" s="14">
        <v>1804.7904119672701</v>
      </c>
      <c r="R40" s="14">
        <v>2277763.04616585</v>
      </c>
      <c r="S40" s="16">
        <v>15306.126739405199</v>
      </c>
      <c r="T40" s="16">
        <v>27725392.569515102</v>
      </c>
      <c r="U40">
        <f>VLOOKUP(C40,YieldData!F:AG,27,FALSE)</f>
        <v>687</v>
      </c>
      <c r="V40">
        <f>_xlfn.MAXIFS(I:I,C:C,C40)</f>
        <v>0.39958152156144799</v>
      </c>
    </row>
    <row r="41" spans="1:22" hidden="1" x14ac:dyDescent="0.25">
      <c r="A41" s="3">
        <f>VLOOKUP(C41,YieldData!F:G,2,FALSE)</f>
        <v>24111</v>
      </c>
      <c r="B41">
        <v>8</v>
      </c>
      <c r="C41" s="3">
        <v>312</v>
      </c>
      <c r="D41" s="3">
        <v>312</v>
      </c>
      <c r="E41" s="3">
        <f t="shared" si="0"/>
        <v>241110312</v>
      </c>
      <c r="F41" s="3">
        <f>VLOOKUP($E41,YieldData!$H:$R,10,FALSE)</f>
        <v>2</v>
      </c>
      <c r="G41" s="3">
        <f>VLOOKUP($E41,YieldData!$H:$R,11,FALSE)</f>
        <v>4</v>
      </c>
      <c r="H41" s="3">
        <v>17</v>
      </c>
      <c r="I41" s="3">
        <v>4.3744235829659799E-3</v>
      </c>
      <c r="J41" s="6">
        <v>0.264614432645566</v>
      </c>
      <c r="K41" s="7">
        <v>3.5150730841584498E-3</v>
      </c>
      <c r="L41" s="8">
        <v>0.64606578947368398</v>
      </c>
      <c r="M41" s="10">
        <v>7.5151959366655599E-2</v>
      </c>
      <c r="N41" s="10">
        <v>5.15195194315257E-3</v>
      </c>
      <c r="O41" s="12">
        <v>-2.2141624687203699E-2</v>
      </c>
      <c r="P41" s="12">
        <v>1.59359998971537E-3</v>
      </c>
      <c r="Q41" s="14">
        <v>2036.37607351062</v>
      </c>
      <c r="R41" s="14">
        <v>2756989.2287786598</v>
      </c>
      <c r="S41" s="16">
        <v>15404.120986910501</v>
      </c>
      <c r="T41" s="16">
        <v>26586789.251500499</v>
      </c>
      <c r="U41">
        <f>VLOOKUP(C41,YieldData!F:AG,27,FALSE)</f>
        <v>689</v>
      </c>
      <c r="V41">
        <f>_xlfn.MAXIFS(I:I,C:C,C41)</f>
        <v>0.62473845268609096</v>
      </c>
    </row>
    <row r="42" spans="1:22" hidden="1" x14ac:dyDescent="0.25">
      <c r="A42" s="3">
        <f>VLOOKUP(C42,YieldData!F:G,2,FALSE)</f>
        <v>24111</v>
      </c>
      <c r="B42">
        <v>8</v>
      </c>
      <c r="C42" s="3">
        <v>313</v>
      </c>
      <c r="D42" s="3">
        <v>313</v>
      </c>
      <c r="E42" s="3">
        <f t="shared" si="0"/>
        <v>241110313</v>
      </c>
      <c r="F42" s="3">
        <f>VLOOKUP($E42,YieldData!$H:$R,10,FALSE)</f>
        <v>1</v>
      </c>
      <c r="G42" s="3">
        <f>VLOOKUP($E42,YieldData!$H:$R,11,FALSE)</f>
        <v>4</v>
      </c>
      <c r="H42" s="3">
        <v>15</v>
      </c>
      <c r="I42" s="3">
        <v>9.9840086640888798E-4</v>
      </c>
      <c r="J42" s="6">
        <v>0.261608154429532</v>
      </c>
      <c r="K42" s="7">
        <v>7.6677279161716299E-3</v>
      </c>
      <c r="L42" s="8">
        <v>0.499072380626571</v>
      </c>
      <c r="M42" s="10">
        <v>7.4497973488600697E-2</v>
      </c>
      <c r="N42" s="10">
        <v>5.9960165667630799E-3</v>
      </c>
      <c r="O42" s="12">
        <v>-2.08045815544055E-2</v>
      </c>
      <c r="P42" s="12">
        <v>1.72435384840943E-3</v>
      </c>
      <c r="Q42" s="14">
        <v>1881.2388716378</v>
      </c>
      <c r="R42" s="14">
        <v>2276732.2271123002</v>
      </c>
      <c r="S42" s="16">
        <v>15781.8542021211</v>
      </c>
      <c r="T42" s="16">
        <v>31246166.332966998</v>
      </c>
      <c r="U42">
        <f>VLOOKUP(C42,YieldData!F:AG,27,FALSE)</f>
        <v>726</v>
      </c>
      <c r="V42">
        <f>_xlfn.MAXIFS(I:I,C:C,C42)</f>
        <v>0.63875085002876997</v>
      </c>
    </row>
    <row r="43" spans="1:22" hidden="1" x14ac:dyDescent="0.25">
      <c r="A43" s="3">
        <f>VLOOKUP(C43,YieldData!F:G,2,FALSE)</f>
        <v>24111</v>
      </c>
      <c r="B43">
        <v>8</v>
      </c>
      <c r="C43" s="3">
        <v>314</v>
      </c>
      <c r="D43" s="3">
        <v>314</v>
      </c>
      <c r="E43" s="3">
        <f t="shared" si="0"/>
        <v>241110314</v>
      </c>
      <c r="F43" s="3">
        <f>VLOOKUP($E43,YieldData!$H:$R,10,FALSE)</f>
        <v>3</v>
      </c>
      <c r="G43" s="3">
        <f>VLOOKUP($E43,YieldData!$H:$R,11,FALSE)</f>
        <v>4</v>
      </c>
      <c r="H43" s="3">
        <v>7</v>
      </c>
      <c r="I43" s="3">
        <v>7.1074408136327497E-4</v>
      </c>
      <c r="J43" s="6">
        <v>0.26118876014537001</v>
      </c>
      <c r="K43" s="7">
        <v>9.9958628943407207E-3</v>
      </c>
      <c r="L43" s="8">
        <v>0.34555717838392602</v>
      </c>
      <c r="M43" s="10">
        <v>7.3316738397620304E-2</v>
      </c>
      <c r="N43" s="10">
        <v>5.5900458149431998E-3</v>
      </c>
      <c r="O43" s="12">
        <v>-2.2144089510858299E-2</v>
      </c>
      <c r="P43" s="12">
        <v>1.68373100860103E-3</v>
      </c>
      <c r="Q43" s="14">
        <v>1791.23888616249</v>
      </c>
      <c r="R43" s="14">
        <v>1978023.84118699</v>
      </c>
      <c r="S43" s="16">
        <v>15400.829650543699</v>
      </c>
      <c r="T43" s="16">
        <v>27704651.166106999</v>
      </c>
      <c r="U43">
        <f>VLOOKUP(C43,YieldData!F:AG,27,FALSE)</f>
        <v>865</v>
      </c>
      <c r="V43">
        <f>_xlfn.MAXIFS(I:I,C:C,C43)</f>
        <v>0.69291982162239896</v>
      </c>
    </row>
    <row r="44" spans="1:22" hidden="1" x14ac:dyDescent="0.25">
      <c r="A44" s="3">
        <f>VLOOKUP(C44,YieldData!F:G,2,FALSE)</f>
        <v>24112</v>
      </c>
      <c r="B44">
        <v>8</v>
      </c>
      <c r="C44" s="3">
        <v>401</v>
      </c>
      <c r="D44" s="3">
        <v>401</v>
      </c>
      <c r="E44" s="3">
        <f t="shared" si="0"/>
        <v>241120401</v>
      </c>
      <c r="F44" s="3">
        <f>VLOOKUP($E44,YieldData!$H:$R,10,FALSE)</f>
        <v>3</v>
      </c>
      <c r="G44" s="3">
        <f>VLOOKUP($E44,YieldData!$H:$R,11,FALSE)</f>
        <v>1</v>
      </c>
      <c r="H44" s="3">
        <v>5</v>
      </c>
      <c r="I44" s="3">
        <v>5.0766575286831199E-4</v>
      </c>
      <c r="J44" s="6">
        <v>0.25436867208057601</v>
      </c>
      <c r="K44" s="7">
        <v>7.4076977159256803E-3</v>
      </c>
      <c r="L44" s="8">
        <v>0.19938682596910401</v>
      </c>
      <c r="M44" s="10">
        <v>6.9753365597445702E-2</v>
      </c>
      <c r="N44" s="10">
        <v>4.2296407115572799E-3</v>
      </c>
      <c r="O44" s="12">
        <v>-2.9081134242362899E-2</v>
      </c>
      <c r="P44" s="12">
        <v>1.6567220289363999E-3</v>
      </c>
      <c r="Q44" s="14">
        <v>1839.12215284124</v>
      </c>
      <c r="R44" s="14">
        <v>2073585.2295281901</v>
      </c>
      <c r="S44" s="16">
        <v>15709.385515705</v>
      </c>
      <c r="T44" s="16">
        <v>25263461.432457399</v>
      </c>
      <c r="U44">
        <f>VLOOKUP(C44,YieldData!F:AG,27,FALSE)</f>
        <v>186</v>
      </c>
      <c r="V44">
        <f>_xlfn.MAXIFS(I:I,C:C,C44)</f>
        <v>0.52861327614165399</v>
      </c>
    </row>
    <row r="45" spans="1:22" hidden="1" x14ac:dyDescent="0.25">
      <c r="A45" s="3">
        <f>VLOOKUP(C45,YieldData!F:G,2,FALSE)</f>
        <v>24112</v>
      </c>
      <c r="B45">
        <v>8</v>
      </c>
      <c r="C45" s="3">
        <v>402</v>
      </c>
      <c r="D45" s="3">
        <v>402</v>
      </c>
      <c r="E45" s="3">
        <f t="shared" si="0"/>
        <v>241120402</v>
      </c>
      <c r="F45" s="3">
        <f>VLOOKUP($E45,YieldData!$H:$R,10,FALSE)</f>
        <v>4</v>
      </c>
      <c r="G45" s="3">
        <f>VLOOKUP($E45,YieldData!$H:$R,11,FALSE)</f>
        <v>1</v>
      </c>
      <c r="H45" s="3">
        <v>5</v>
      </c>
      <c r="I45" s="3">
        <v>6.8534296761965999E-4</v>
      </c>
      <c r="J45" s="6">
        <v>0.25316292240548799</v>
      </c>
      <c r="K45" s="7">
        <v>8.6998045918050496E-3</v>
      </c>
      <c r="L45" s="8">
        <v>0.27327991157778397</v>
      </c>
      <c r="M45" s="10">
        <v>7.0106304361930494E-2</v>
      </c>
      <c r="N45" s="10">
        <v>4.5062830923574201E-3</v>
      </c>
      <c r="O45" s="12">
        <v>-2.5473943401408398E-2</v>
      </c>
      <c r="P45" s="12">
        <v>2.0368856141956501E-3</v>
      </c>
      <c r="Q45" s="14">
        <v>1831.43198605623</v>
      </c>
      <c r="R45" s="14">
        <v>2397129.4109648201</v>
      </c>
      <c r="S45" s="16">
        <v>16115.147361547601</v>
      </c>
      <c r="T45" s="16">
        <v>27709811.2673763</v>
      </c>
      <c r="U45">
        <f>VLOOKUP(C45,YieldData!F:AG,27,FALSE)</f>
        <v>897</v>
      </c>
      <c r="V45">
        <f>_xlfn.MAXIFS(I:I,C:C,C45)</f>
        <v>0.48018125228853897</v>
      </c>
    </row>
    <row r="46" spans="1:22" hidden="1" x14ac:dyDescent="0.25">
      <c r="A46" s="3">
        <f>VLOOKUP(C46,YieldData!F:G,2,FALSE)</f>
        <v>24112</v>
      </c>
      <c r="B46">
        <v>8</v>
      </c>
      <c r="C46" s="3">
        <v>403</v>
      </c>
      <c r="D46" s="3">
        <v>403</v>
      </c>
      <c r="E46" s="3">
        <f t="shared" si="0"/>
        <v>241120403</v>
      </c>
      <c r="F46" s="3">
        <f>VLOOKUP($E46,YieldData!$H:$R,10,FALSE)</f>
        <v>1</v>
      </c>
      <c r="G46" s="3">
        <f>VLOOKUP($E46,YieldData!$H:$R,11,FALSE)</f>
        <v>2</v>
      </c>
      <c r="H46" s="3">
        <v>10</v>
      </c>
      <c r="I46" s="3">
        <v>1.42992520391241E-3</v>
      </c>
      <c r="J46" s="6">
        <v>0.25766372622823103</v>
      </c>
      <c r="K46" s="7">
        <v>3.41125502852341E-3</v>
      </c>
      <c r="L46" s="8">
        <v>0.39980263157894702</v>
      </c>
      <c r="M46" s="10">
        <v>7.1224448975972202E-2</v>
      </c>
      <c r="N46" s="10">
        <v>4.3978393256754499E-3</v>
      </c>
      <c r="O46" s="12">
        <v>-2.4022273347715999E-2</v>
      </c>
      <c r="P46" s="12">
        <v>1.7429466359148501E-3</v>
      </c>
      <c r="Q46" s="14">
        <v>1948.1364690154701</v>
      </c>
      <c r="R46" s="14">
        <v>2568920.3515745401</v>
      </c>
      <c r="S46" s="16">
        <v>15733.8557953462</v>
      </c>
      <c r="T46" s="16">
        <v>26447197.455736801</v>
      </c>
      <c r="U46">
        <f>VLOOKUP(C46,YieldData!F:AG,27,FALSE)</f>
        <v>562</v>
      </c>
      <c r="V46">
        <f>_xlfn.MAXIFS(I:I,C:C,C46)</f>
        <v>0.51879507516068502</v>
      </c>
    </row>
    <row r="47" spans="1:22" hidden="1" x14ac:dyDescent="0.25">
      <c r="A47" s="3">
        <f>VLOOKUP(C47,YieldData!F:G,2,FALSE)</f>
        <v>24112</v>
      </c>
      <c r="B47">
        <v>8</v>
      </c>
      <c r="C47" s="3">
        <v>404</v>
      </c>
      <c r="D47" s="3">
        <v>404</v>
      </c>
      <c r="E47" s="3">
        <f t="shared" si="0"/>
        <v>241120404</v>
      </c>
      <c r="F47" s="3">
        <f>VLOOKUP($E47,YieldData!$H:$R,10,FALSE)</f>
        <v>2</v>
      </c>
      <c r="G47" s="3">
        <f>VLOOKUP($E47,YieldData!$H:$R,11,FALSE)</f>
        <v>2</v>
      </c>
      <c r="H47" s="3">
        <v>3</v>
      </c>
      <c r="I47" s="3">
        <v>1.9460355870681701E-4</v>
      </c>
      <c r="J47" s="6">
        <v>0.25371501234514299</v>
      </c>
      <c r="K47" s="7">
        <v>4.10818582621669E-3</v>
      </c>
      <c r="L47" s="8">
        <v>0.180057369930788</v>
      </c>
      <c r="M47" s="10">
        <v>6.6042383453491199E-2</v>
      </c>
      <c r="N47" s="10">
        <v>4.8350847013707201E-3</v>
      </c>
      <c r="O47" s="12">
        <v>-2.26009489696717E-2</v>
      </c>
      <c r="P47" s="12">
        <v>1.81986002886275E-3</v>
      </c>
      <c r="Q47" s="14">
        <v>1789.5303708466899</v>
      </c>
      <c r="R47" s="14">
        <v>2148072.2996745198</v>
      </c>
      <c r="S47" s="16">
        <v>15990.4030177643</v>
      </c>
      <c r="T47" s="16">
        <v>27003343.678430401</v>
      </c>
      <c r="U47">
        <f>VLOOKUP(C47,YieldData!F:AG,27,FALSE)</f>
        <v>368</v>
      </c>
      <c r="V47">
        <f>_xlfn.MAXIFS(I:I,C:C,C47)</f>
        <v>0.273796057148462</v>
      </c>
    </row>
    <row r="48" spans="1:22" hidden="1" x14ac:dyDescent="0.25">
      <c r="A48" s="3">
        <f>VLOOKUP(C48,YieldData!F:G,2,FALSE)</f>
        <v>24112</v>
      </c>
      <c r="B48">
        <v>8</v>
      </c>
      <c r="C48" s="3">
        <v>405</v>
      </c>
      <c r="D48" s="3">
        <v>405</v>
      </c>
      <c r="E48" s="3">
        <f t="shared" si="0"/>
        <v>241120405</v>
      </c>
      <c r="F48" s="3">
        <f>VLOOKUP($E48,YieldData!$H:$R,10,FALSE)</f>
        <v>3</v>
      </c>
      <c r="G48" s="3">
        <f>VLOOKUP($E48,YieldData!$H:$R,11,FALSE)</f>
        <v>2</v>
      </c>
      <c r="H48" s="3">
        <v>6</v>
      </c>
      <c r="I48" s="3">
        <v>3.4690199595563002E-4</v>
      </c>
      <c r="J48" s="6">
        <v>0.25362104561932403</v>
      </c>
      <c r="K48" s="7">
        <v>2.5807334193098099E-3</v>
      </c>
      <c r="L48" s="8">
        <v>0.23944736842105299</v>
      </c>
      <c r="M48" s="10">
        <v>6.9081046219101105E-2</v>
      </c>
      <c r="N48" s="10">
        <v>4.8915746934693402E-3</v>
      </c>
      <c r="O48" s="12">
        <v>-1.9902428402026301E-2</v>
      </c>
      <c r="P48" s="12">
        <v>2.1057071078488701E-3</v>
      </c>
      <c r="Q48" s="14">
        <v>1860.74783609304</v>
      </c>
      <c r="R48" s="14">
        <v>2492550.0548931002</v>
      </c>
      <c r="S48" s="16">
        <v>16236.2413344246</v>
      </c>
      <c r="T48" s="16">
        <v>28863189.306260802</v>
      </c>
      <c r="U48">
        <f>VLOOKUP(C48,YieldData!F:AG,27,FALSE)</f>
        <v>273</v>
      </c>
      <c r="V48">
        <f>_xlfn.MAXIFS(I:I,C:C,C48)</f>
        <v>0.53204608463671099</v>
      </c>
    </row>
    <row r="49" spans="1:22" hidden="1" x14ac:dyDescent="0.25">
      <c r="A49" s="3">
        <f>VLOOKUP(C49,YieldData!F:G,2,FALSE)</f>
        <v>24112</v>
      </c>
      <c r="B49">
        <v>8</v>
      </c>
      <c r="C49" s="3">
        <v>406</v>
      </c>
      <c r="D49" s="3">
        <v>406</v>
      </c>
      <c r="E49" s="3">
        <f t="shared" si="0"/>
        <v>241120406</v>
      </c>
      <c r="F49" s="3">
        <f>VLOOKUP($E49,YieldData!$H:$R,10,FALSE)</f>
        <v>4</v>
      </c>
      <c r="G49" s="3">
        <f>VLOOKUP($E49,YieldData!$H:$R,11,FALSE)</f>
        <v>2</v>
      </c>
      <c r="H49" s="3">
        <v>2</v>
      </c>
      <c r="I49" s="3">
        <v>1.3538097051233201E-4</v>
      </c>
      <c r="J49" s="6">
        <v>0.25095163841878498</v>
      </c>
      <c r="K49" s="7">
        <v>4.2088821529691197E-3</v>
      </c>
      <c r="L49" s="8">
        <v>0.12249006552804</v>
      </c>
      <c r="M49" s="10">
        <v>6.4867467342373905E-2</v>
      </c>
      <c r="N49" s="10">
        <v>4.9260312842099403E-3</v>
      </c>
      <c r="O49" s="12">
        <v>-2.2629292877711399E-2</v>
      </c>
      <c r="P49" s="12">
        <v>1.9985960440891399E-3</v>
      </c>
      <c r="Q49" s="14">
        <v>1792.2414434996001</v>
      </c>
      <c r="R49" s="14">
        <v>2336813.8692677799</v>
      </c>
      <c r="S49" s="16">
        <v>16146.5966713742</v>
      </c>
      <c r="T49" s="16">
        <v>29537346.9249756</v>
      </c>
      <c r="U49">
        <f>VLOOKUP(C49,YieldData!F:AG,27,FALSE)</f>
        <v>830</v>
      </c>
      <c r="V49">
        <f>_xlfn.MAXIFS(I:I,C:C,C49)</f>
        <v>0.48466025003923202</v>
      </c>
    </row>
    <row r="50" spans="1:22" hidden="1" x14ac:dyDescent="0.25">
      <c r="A50" s="3">
        <f>VLOOKUP(C50,YieldData!F:G,2,FALSE)</f>
        <v>24112</v>
      </c>
      <c r="B50">
        <v>8</v>
      </c>
      <c r="C50" s="3">
        <v>407</v>
      </c>
      <c r="D50" s="3">
        <v>407</v>
      </c>
      <c r="E50" s="3">
        <f t="shared" si="0"/>
        <v>241120407</v>
      </c>
      <c r="F50" s="3">
        <f>VLOOKUP($E50,YieldData!$H:$R,10,FALSE)</f>
        <v>4</v>
      </c>
      <c r="G50" s="3">
        <f>VLOOKUP($E50,YieldData!$H:$R,11,FALSE)</f>
        <v>3</v>
      </c>
      <c r="H50" s="3">
        <v>8</v>
      </c>
      <c r="I50" s="3">
        <v>6.3458756039158301E-4</v>
      </c>
      <c r="J50" s="6">
        <v>0.25214423692485199</v>
      </c>
      <c r="K50" s="7">
        <v>4.1216372313309501E-3</v>
      </c>
      <c r="L50" s="8">
        <v>0.37196542059763898</v>
      </c>
      <c r="M50" s="10">
        <v>6.2311521789764998E-2</v>
      </c>
      <c r="N50" s="10">
        <v>4.3674381493947999E-3</v>
      </c>
      <c r="O50" s="12">
        <v>-2.54242922374317E-2</v>
      </c>
      <c r="P50" s="12">
        <v>1.6693449253571101E-3</v>
      </c>
      <c r="Q50" s="14">
        <v>1890.17534077352</v>
      </c>
      <c r="R50" s="14">
        <v>2064460.46544383</v>
      </c>
      <c r="S50" s="16">
        <v>15911.2500054714</v>
      </c>
      <c r="T50" s="16">
        <v>26662411.601643302</v>
      </c>
      <c r="U50">
        <f>VLOOKUP(C50,YieldData!F:AG,27,FALSE)</f>
        <v>804</v>
      </c>
      <c r="V50">
        <f>_xlfn.MAXIFS(I:I,C:C,C50)</f>
        <v>0.459862557785232</v>
      </c>
    </row>
    <row r="51" spans="1:22" hidden="1" x14ac:dyDescent="0.25">
      <c r="A51" s="3">
        <f>VLOOKUP(C51,YieldData!F:G,2,FALSE)</f>
        <v>24112</v>
      </c>
      <c r="B51">
        <v>8</v>
      </c>
      <c r="C51" s="3">
        <v>408</v>
      </c>
      <c r="D51" s="3">
        <v>408</v>
      </c>
      <c r="E51" s="3">
        <f t="shared" si="0"/>
        <v>241120408</v>
      </c>
      <c r="F51" s="3">
        <f>VLOOKUP($E51,YieldData!$H:$R,10,FALSE)</f>
        <v>3</v>
      </c>
      <c r="G51" s="3">
        <f>VLOOKUP($E51,YieldData!$H:$R,11,FALSE)</f>
        <v>4</v>
      </c>
      <c r="H51" s="3">
        <v>6</v>
      </c>
      <c r="I51" s="3">
        <v>5.1613121578515404E-4</v>
      </c>
      <c r="J51" s="6">
        <v>0.26537704260046002</v>
      </c>
      <c r="K51" s="7">
        <v>2.7401200937000698E-3</v>
      </c>
      <c r="L51" s="8">
        <v>0.32432467993842201</v>
      </c>
      <c r="M51" s="10">
        <v>7.5078985230029094E-2</v>
      </c>
      <c r="N51" s="10">
        <v>5.0289455423700698E-3</v>
      </c>
      <c r="O51" s="12">
        <v>-1.4270485322699899E-2</v>
      </c>
      <c r="P51" s="12">
        <v>1.85780506499489E-3</v>
      </c>
      <c r="Q51" s="14">
        <v>1886.79218526572</v>
      </c>
      <c r="R51" s="14">
        <v>2017223.52261128</v>
      </c>
      <c r="S51" s="16">
        <v>15789.7208703836</v>
      </c>
      <c r="T51" s="16">
        <v>26030881.732858598</v>
      </c>
      <c r="U51">
        <f>VLOOKUP(C51,YieldData!F:AG,27,FALSE)</f>
        <v>311</v>
      </c>
      <c r="V51">
        <f>_xlfn.MAXIFS(I:I,C:C,C51)</f>
        <v>0.59146576694979003</v>
      </c>
    </row>
    <row r="52" spans="1:22" hidden="1" x14ac:dyDescent="0.25">
      <c r="A52" s="3">
        <f>VLOOKUP(C52,YieldData!F:G,2,FALSE)</f>
        <v>24112</v>
      </c>
      <c r="B52">
        <v>8</v>
      </c>
      <c r="C52" s="3">
        <v>409</v>
      </c>
      <c r="D52" s="3">
        <v>409</v>
      </c>
      <c r="E52" s="3">
        <f t="shared" si="0"/>
        <v>241120409</v>
      </c>
      <c r="F52" s="3">
        <f>VLOOKUP($E52,YieldData!$H:$R,10,FALSE)</f>
        <v>2</v>
      </c>
      <c r="G52" s="3">
        <f>VLOOKUP($E52,YieldData!$H:$R,11,FALSE)</f>
        <v>4</v>
      </c>
      <c r="H52" s="3">
        <v>3</v>
      </c>
      <c r="I52" s="3">
        <v>2.8767969404418399E-4</v>
      </c>
      <c r="J52" s="6">
        <v>0.264103557363913</v>
      </c>
      <c r="K52" s="7">
        <v>9.4626855447621505E-3</v>
      </c>
      <c r="L52" s="8">
        <v>0.19448428310153801</v>
      </c>
      <c r="M52" s="10">
        <v>7.3107300205742007E-2</v>
      </c>
      <c r="N52" s="10">
        <v>5.1262553827491602E-3</v>
      </c>
      <c r="O52" s="12">
        <v>-1.3625884565333099E-2</v>
      </c>
      <c r="P52" s="12">
        <v>1.7562489621722301E-3</v>
      </c>
      <c r="Q52" s="14">
        <v>1903.5050978534</v>
      </c>
      <c r="R52" s="14">
        <v>2160974.3895832901</v>
      </c>
      <c r="S52" s="16">
        <v>16107.50610205</v>
      </c>
      <c r="T52" s="16">
        <v>26503479.554655999</v>
      </c>
      <c r="U52">
        <f>VLOOKUP(C52,YieldData!F:AG,27,FALSE)</f>
        <v>366</v>
      </c>
      <c r="V52">
        <f>_xlfn.MAXIFS(I:I,C:C,C52)</f>
        <v>0.27571123127521402</v>
      </c>
    </row>
    <row r="53" spans="1:22" hidden="1" x14ac:dyDescent="0.25">
      <c r="A53" s="3">
        <f>VLOOKUP(C53,YieldData!F:G,2,FALSE)</f>
        <v>24112</v>
      </c>
      <c r="B53">
        <v>8</v>
      </c>
      <c r="C53" s="3">
        <v>410</v>
      </c>
      <c r="D53" s="3">
        <v>410</v>
      </c>
      <c r="E53" s="3">
        <f t="shared" si="0"/>
        <v>241120410</v>
      </c>
      <c r="F53" s="3">
        <f>VLOOKUP($E53,YieldData!$H:$R,10,FALSE)</f>
        <v>4</v>
      </c>
      <c r="G53" s="3">
        <f>VLOOKUP($E53,YieldData!$H:$R,11,FALSE)</f>
        <v>4</v>
      </c>
      <c r="H53" s="3">
        <v>3</v>
      </c>
      <c r="I53" s="3">
        <v>3.9766477705389599E-4</v>
      </c>
      <c r="J53" s="6">
        <v>0.26320584049675499</v>
      </c>
      <c r="K53" s="7">
        <v>1.2135723939112299E-2</v>
      </c>
      <c r="L53" s="8">
        <v>0.21389192247470401</v>
      </c>
      <c r="M53" s="10">
        <v>6.6702595609853602E-2</v>
      </c>
      <c r="N53" s="10">
        <v>4.7059156524672198E-3</v>
      </c>
      <c r="O53" s="12">
        <v>-1.6195368122071001E-2</v>
      </c>
      <c r="P53" s="12">
        <v>1.7401538702153099E-3</v>
      </c>
      <c r="Q53" s="14">
        <v>1849.2504611219199</v>
      </c>
      <c r="R53" s="14">
        <v>1842153.3120725399</v>
      </c>
      <c r="S53" s="16">
        <v>15324.567277701301</v>
      </c>
      <c r="T53" s="16">
        <v>24635630.078645501</v>
      </c>
      <c r="U53">
        <f>VLOOKUP(C53,YieldData!F:AG,27,FALSE)</f>
        <v>780</v>
      </c>
      <c r="V53">
        <f>_xlfn.MAXIFS(I:I,C:C,C53)</f>
        <v>0.55470333607961597</v>
      </c>
    </row>
    <row r="54" spans="1:22" hidden="1" x14ac:dyDescent="0.25">
      <c r="A54" s="3">
        <f>VLOOKUP(C54,YieldData!F:G,2,FALSE)</f>
        <v>24112</v>
      </c>
      <c r="B54">
        <v>8</v>
      </c>
      <c r="C54" s="3">
        <v>411</v>
      </c>
      <c r="D54" s="3">
        <v>411</v>
      </c>
      <c r="E54" s="3">
        <f t="shared" si="0"/>
        <v>241120411</v>
      </c>
      <c r="F54" s="3">
        <f>VLOOKUP($E54,YieldData!$H:$R,10,FALSE)</f>
        <v>1</v>
      </c>
      <c r="G54" s="3">
        <f>VLOOKUP($E54,YieldData!$H:$R,11,FALSE)</f>
        <v>4</v>
      </c>
      <c r="H54" s="3">
        <v>12</v>
      </c>
      <c r="I54" s="3">
        <v>1.1083941821996999E-3</v>
      </c>
      <c r="J54" s="6">
        <v>0.26091787928905902</v>
      </c>
      <c r="K54" s="7">
        <v>1.17934721067414E-2</v>
      </c>
      <c r="L54" s="8">
        <v>0.48571729319351098</v>
      </c>
      <c r="M54" s="10">
        <v>6.8033606796598797E-2</v>
      </c>
      <c r="N54" s="10">
        <v>5.2394375863350998E-3</v>
      </c>
      <c r="O54" s="12">
        <v>-1.4520236900656401E-2</v>
      </c>
      <c r="P54" s="12">
        <v>2.04867790557792E-3</v>
      </c>
      <c r="Q54" s="14">
        <v>1927.1199180972801</v>
      </c>
      <c r="R54" s="14">
        <v>2536745.5944580398</v>
      </c>
      <c r="S54" s="16">
        <v>16102.0227800189</v>
      </c>
      <c r="T54" s="16">
        <v>27751271.4547689</v>
      </c>
      <c r="U54">
        <f>VLOOKUP(C54,YieldData!F:AG,27,FALSE)</f>
        <v>550</v>
      </c>
      <c r="V54">
        <f>_xlfn.MAXIFS(I:I,C:C,C54)</f>
        <v>0.511070134829404</v>
      </c>
    </row>
    <row r="55" spans="1:22" hidden="1" x14ac:dyDescent="0.25">
      <c r="A55" s="3">
        <f>VLOOKUP(C55,YieldData!F:G,2,FALSE)</f>
        <v>24112</v>
      </c>
      <c r="B55">
        <v>8</v>
      </c>
      <c r="C55" s="3">
        <v>412</v>
      </c>
      <c r="D55" s="3">
        <v>412</v>
      </c>
      <c r="E55" s="3">
        <f t="shared" si="0"/>
        <v>241120412</v>
      </c>
      <c r="F55" s="3">
        <f>VLOOKUP($E55,YieldData!$H:$R,10,FALSE)</f>
        <v>3</v>
      </c>
      <c r="G55" s="3">
        <f>VLOOKUP($E55,YieldData!$H:$R,11,FALSE)</f>
        <v>3</v>
      </c>
      <c r="H55" s="3">
        <v>1</v>
      </c>
      <c r="I55" s="5">
        <v>9.3072842190765497E-5</v>
      </c>
      <c r="J55" s="6">
        <v>0.25846291055653198</v>
      </c>
      <c r="K55" s="7">
        <v>3.6393705536196998E-3</v>
      </c>
      <c r="L55" s="8">
        <v>5.86981407650101E-2</v>
      </c>
      <c r="M55" s="10">
        <v>6.6312242459762097E-2</v>
      </c>
      <c r="N55" s="10">
        <v>5.1190707097136696E-3</v>
      </c>
      <c r="O55" s="12">
        <v>-1.5591408839828199E-2</v>
      </c>
      <c r="P55" s="12">
        <v>1.7195609677404899E-3</v>
      </c>
      <c r="Q55" s="14">
        <v>1812.2213102963899</v>
      </c>
      <c r="R55" s="14">
        <v>1784855.6782337199</v>
      </c>
      <c r="S55" s="16">
        <v>15729.1409469354</v>
      </c>
      <c r="T55" s="16">
        <v>27458541.341374099</v>
      </c>
      <c r="U55">
        <f>VLOOKUP(C55,YieldData!F:AG,27,FALSE)</f>
        <v>475</v>
      </c>
      <c r="V55">
        <f>_xlfn.MAXIFS(I:I,C:C,C55)</f>
        <v>0.53409923105089696</v>
      </c>
    </row>
    <row r="56" spans="1:22" hidden="1" x14ac:dyDescent="0.25">
      <c r="A56" s="3">
        <f>VLOOKUP(C56,YieldData!F:G,2,FALSE)</f>
        <v>24112</v>
      </c>
      <c r="B56">
        <v>8</v>
      </c>
      <c r="C56" s="3">
        <v>413</v>
      </c>
      <c r="D56" s="3">
        <v>413</v>
      </c>
      <c r="E56" s="3">
        <f t="shared" si="0"/>
        <v>241120413</v>
      </c>
      <c r="F56" s="3">
        <f>VLOOKUP($E56,YieldData!$H:$R,10,FALSE)</f>
        <v>1</v>
      </c>
      <c r="G56" s="3">
        <f>VLOOKUP($E56,YieldData!$H:$R,11,FALSE)</f>
        <v>3</v>
      </c>
      <c r="H56" s="3">
        <v>18</v>
      </c>
      <c r="I56" s="3">
        <v>2.3944901343622002E-3</v>
      </c>
      <c r="J56" s="6">
        <v>0.25452558220286498</v>
      </c>
      <c r="K56" s="7">
        <v>9.2340453915289895E-3</v>
      </c>
      <c r="L56" s="8">
        <v>0.63630741700767102</v>
      </c>
      <c r="M56" s="10">
        <v>6.3961164559994205E-2</v>
      </c>
      <c r="N56" s="10">
        <v>5.3389472040764E-3</v>
      </c>
      <c r="O56" s="12">
        <v>-1.88920730909992E-2</v>
      </c>
      <c r="P56" s="12">
        <v>1.8639520741195099E-3</v>
      </c>
      <c r="Q56" s="14">
        <v>1913.17264866145</v>
      </c>
      <c r="R56" s="14">
        <v>2765010.2186525501</v>
      </c>
      <c r="S56" s="16">
        <v>16075.843551281399</v>
      </c>
      <c r="T56" s="16">
        <v>27973832.9639013</v>
      </c>
      <c r="U56">
        <f>VLOOKUP(C56,YieldData!F:AG,27,FALSE)</f>
        <v>902</v>
      </c>
      <c r="V56">
        <f>_xlfn.MAXIFS(I:I,C:C,C56)</f>
        <v>0.62748713522561606</v>
      </c>
    </row>
    <row r="57" spans="1:22" hidden="1" x14ac:dyDescent="0.25">
      <c r="A57" s="3">
        <f>VLOOKUP(C57,YieldData!F:G,2,FALSE)</f>
        <v>24112</v>
      </c>
      <c r="B57">
        <v>8</v>
      </c>
      <c r="C57" s="3">
        <v>414</v>
      </c>
      <c r="D57" s="3">
        <v>414</v>
      </c>
      <c r="E57" s="3">
        <f t="shared" si="0"/>
        <v>241120414</v>
      </c>
      <c r="F57" s="3">
        <f>VLOOKUP($E57,YieldData!$H:$R,10,FALSE)</f>
        <v>2</v>
      </c>
      <c r="G57" s="3">
        <f>VLOOKUP($E57,YieldData!$H:$R,11,FALSE)</f>
        <v>3</v>
      </c>
      <c r="H57" s="3">
        <v>5</v>
      </c>
      <c r="I57" s="3">
        <v>2.8767969404418399E-4</v>
      </c>
      <c r="J57" s="6">
        <v>0.24834501525973299</v>
      </c>
      <c r="K57" s="7">
        <v>3.3649650622088398E-3</v>
      </c>
      <c r="L57" s="8">
        <v>0.202936880748431</v>
      </c>
      <c r="M57" s="10">
        <v>5.9070782695926603E-2</v>
      </c>
      <c r="N57" s="10">
        <v>5.4584502897973997E-3</v>
      </c>
      <c r="O57" s="12">
        <v>-2.3862817549100301E-2</v>
      </c>
      <c r="P57" s="12">
        <v>2.2578136236274201E-3</v>
      </c>
      <c r="Q57" s="14">
        <v>1773.2503997901599</v>
      </c>
      <c r="R57" s="14">
        <v>2341844.0882133101</v>
      </c>
      <c r="S57" s="16">
        <v>15924.5565579551</v>
      </c>
      <c r="T57" s="16">
        <v>28220157.774826702</v>
      </c>
      <c r="U57">
        <f>VLOOKUP(C57,YieldData!F:AG,27,FALSE)</f>
        <v>466</v>
      </c>
      <c r="V57">
        <f>_xlfn.MAXIFS(I:I,C:C,C57)</f>
        <v>0.31829891851600001</v>
      </c>
    </row>
    <row r="58" spans="1:22" x14ac:dyDescent="0.25">
      <c r="A58" s="3">
        <f>VLOOKUP(C58,YieldData!F:G,2,FALSE)</f>
        <v>24110</v>
      </c>
      <c r="B58">
        <v>13</v>
      </c>
      <c r="C58">
        <v>101</v>
      </c>
      <c r="D58">
        <v>101</v>
      </c>
      <c r="E58" s="3">
        <f t="shared" si="0"/>
        <v>241100101</v>
      </c>
      <c r="F58" s="3">
        <f>VLOOKUP($E58,YieldData!$H:$R,10,FALSE)</f>
        <v>1</v>
      </c>
      <c r="G58" s="3">
        <f>VLOOKUP($E58,YieldData!$H:$R,11,FALSE)</f>
        <v>1</v>
      </c>
      <c r="H58">
        <v>69</v>
      </c>
      <c r="I58">
        <v>8.9366317925749696E-3</v>
      </c>
      <c r="J58" s="7">
        <v>0.23532461899343701</v>
      </c>
      <c r="K58" s="7">
        <v>2.4592893611485498E-3</v>
      </c>
      <c r="L58" s="9">
        <v>0.93073866477197997</v>
      </c>
      <c r="M58" s="11">
        <v>0.38610535001791502</v>
      </c>
      <c r="N58" s="11">
        <v>2.1730236593466398E-3</v>
      </c>
      <c r="O58" s="13">
        <v>0.124136034900584</v>
      </c>
      <c r="P58" s="13">
        <v>8.0650910111526499E-4</v>
      </c>
      <c r="Q58" s="15">
        <v>2673.8035270653299</v>
      </c>
      <c r="R58" s="15">
        <v>1075697.9730363199</v>
      </c>
      <c r="S58" s="17">
        <v>16849.914049223</v>
      </c>
      <c r="T58" s="17">
        <v>12563161.913599901</v>
      </c>
      <c r="U58">
        <f>VLOOKUP(C58,YieldData!F:AG,27,FALSE)</f>
        <v>1747</v>
      </c>
      <c r="V58">
        <f>_xlfn.MAXIFS(I:I,C:C,C58)</f>
        <v>0.46975165757777898</v>
      </c>
    </row>
    <row r="59" spans="1:22" x14ac:dyDescent="0.25">
      <c r="A59" s="3">
        <f>VLOOKUP(C59,YieldData!F:G,2,FALSE)</f>
        <v>24110</v>
      </c>
      <c r="B59">
        <v>13</v>
      </c>
      <c r="C59">
        <v>108</v>
      </c>
      <c r="D59">
        <v>108</v>
      </c>
      <c r="E59" s="3">
        <f t="shared" si="0"/>
        <v>241100108</v>
      </c>
      <c r="F59" s="3">
        <f>VLOOKUP($E59,YieldData!$H:$R,10,FALSE)</f>
        <v>1</v>
      </c>
      <c r="G59" s="3">
        <f>VLOOKUP($E59,YieldData!$H:$R,11,FALSE)</f>
        <v>3</v>
      </c>
      <c r="H59">
        <v>78</v>
      </c>
      <c r="I59">
        <v>9.5526022968235001E-3</v>
      </c>
      <c r="J59" s="7">
        <v>0.22549139352935699</v>
      </c>
      <c r="K59" s="7">
        <v>2.3883706292661898E-3</v>
      </c>
      <c r="L59" s="9">
        <v>0.97785526315789495</v>
      </c>
      <c r="M59" s="11">
        <v>0.37751448615620797</v>
      </c>
      <c r="N59" s="11">
        <v>1.8815692546867099E-3</v>
      </c>
      <c r="O59" s="13">
        <v>0.11866166779656601</v>
      </c>
      <c r="P59" s="13">
        <v>8.3471363801958796E-4</v>
      </c>
      <c r="Q59" s="15">
        <v>2718.8148334767998</v>
      </c>
      <c r="R59" s="15">
        <v>1198562.88457579</v>
      </c>
      <c r="S59" s="17">
        <v>16987.685623430199</v>
      </c>
      <c r="T59" s="17">
        <v>13785582.859377399</v>
      </c>
      <c r="U59">
        <f>VLOOKUP(C59,YieldData!F:AG,27,FALSE)</f>
        <v>1854</v>
      </c>
      <c r="V59">
        <f>_xlfn.MAXIFS(I:I,C:C,C59)</f>
        <v>0.60942342648655001</v>
      </c>
    </row>
    <row r="60" spans="1:22" x14ac:dyDescent="0.25">
      <c r="A60" s="3">
        <f>VLOOKUP(C60,YieldData!F:G,2,FALSE)</f>
        <v>24110</v>
      </c>
      <c r="B60">
        <v>13</v>
      </c>
      <c r="C60">
        <v>201</v>
      </c>
      <c r="D60">
        <v>201</v>
      </c>
      <c r="E60" s="3">
        <f t="shared" si="0"/>
        <v>241100201</v>
      </c>
      <c r="F60" s="3">
        <f>VLOOKUP($E60,YieldData!$H:$R,10,FALSE)</f>
        <v>4</v>
      </c>
      <c r="G60" s="3">
        <f>VLOOKUP($E60,YieldData!$H:$R,11,FALSE)</f>
        <v>3</v>
      </c>
      <c r="H60">
        <v>86</v>
      </c>
      <c r="I60">
        <v>1.7999230203995902E-2</v>
      </c>
      <c r="J60" s="7">
        <v>0.228580691469943</v>
      </c>
      <c r="K60" s="7">
        <v>3.9325426449710096E-3</v>
      </c>
      <c r="L60" s="9">
        <v>0.98800031578116398</v>
      </c>
      <c r="M60" s="11">
        <v>0.36566202064991099</v>
      </c>
      <c r="N60" s="11">
        <v>2.90001981903626E-3</v>
      </c>
      <c r="O60" s="13">
        <v>0.10101875935296099</v>
      </c>
      <c r="P60" s="13">
        <v>8.7309988061737699E-4</v>
      </c>
      <c r="Q60" s="15">
        <v>2719.5805270966298</v>
      </c>
      <c r="R60" s="15">
        <v>1534109.9825003999</v>
      </c>
      <c r="S60" s="17">
        <v>16508.9087968885</v>
      </c>
      <c r="T60" s="17">
        <v>16490425.314486301</v>
      </c>
      <c r="U60">
        <f>VLOOKUP(C60,YieldData!F:AG,27,FALSE)</f>
        <v>1884</v>
      </c>
      <c r="V60">
        <f>_xlfn.MAXIFS(I:I,C:C,C60)</f>
        <v>0.57447559763561196</v>
      </c>
    </row>
    <row r="61" spans="1:22" x14ac:dyDescent="0.25">
      <c r="A61" s="3">
        <f>VLOOKUP(C61,YieldData!F:G,2,FALSE)</f>
        <v>24111</v>
      </c>
      <c r="B61">
        <v>13</v>
      </c>
      <c r="C61">
        <v>208</v>
      </c>
      <c r="D61">
        <v>208</v>
      </c>
      <c r="E61" s="3">
        <f t="shared" si="0"/>
        <v>241110208</v>
      </c>
      <c r="F61" s="3">
        <f>VLOOKUP($E61,YieldData!$H:$R,10,FALSE)</f>
        <v>1</v>
      </c>
      <c r="G61" s="3">
        <f>VLOOKUP($E61,YieldData!$H:$R,11,FALSE)</f>
        <v>2</v>
      </c>
      <c r="H61">
        <v>59</v>
      </c>
      <c r="I61">
        <v>5.65943986451495E-2</v>
      </c>
      <c r="J61" s="7">
        <v>0.23506675165233501</v>
      </c>
      <c r="K61" s="7">
        <v>9.6413151354468301E-3</v>
      </c>
      <c r="L61" s="9">
        <v>0.97809210526315804</v>
      </c>
      <c r="M61" s="11">
        <v>0.35658405798429299</v>
      </c>
      <c r="N61" s="11">
        <v>3.7279228455851998E-3</v>
      </c>
      <c r="O61" s="13">
        <v>8.7472901184319496E-2</v>
      </c>
      <c r="P61" s="13">
        <v>1.1687367983592299E-3</v>
      </c>
      <c r="Q61" s="15">
        <v>3023.3712332218302</v>
      </c>
      <c r="R61" s="15">
        <v>8308009.0972483</v>
      </c>
      <c r="S61" s="17">
        <v>16465.8983014025</v>
      </c>
      <c r="T61" s="17">
        <v>23875791.648727302</v>
      </c>
      <c r="U61">
        <f>VLOOKUP(C61,YieldData!F:AG,27,FALSE)</f>
        <v>1030</v>
      </c>
      <c r="V61">
        <f>_xlfn.MAXIFS(I:I,C:C,C61)</f>
        <v>0.61479815350011102</v>
      </c>
    </row>
    <row r="62" spans="1:22" x14ac:dyDescent="0.25">
      <c r="A62" s="3">
        <f>VLOOKUP(C62,YieldData!F:G,2,FALSE)</f>
        <v>24111</v>
      </c>
      <c r="B62">
        <v>13</v>
      </c>
      <c r="C62">
        <v>301</v>
      </c>
      <c r="D62">
        <v>301</v>
      </c>
      <c r="E62" s="3">
        <f t="shared" si="0"/>
        <v>241110301</v>
      </c>
      <c r="F62" s="3">
        <f>VLOOKUP($E62,YieldData!$H:$R,10,FALSE)</f>
        <v>5</v>
      </c>
      <c r="G62" s="3">
        <f>VLOOKUP($E62,YieldData!$H:$R,11,FALSE)</f>
        <v>2</v>
      </c>
      <c r="H62">
        <v>46</v>
      </c>
      <c r="I62">
        <v>3.0022464361445299E-2</v>
      </c>
      <c r="J62" s="7">
        <v>0.219663060152539</v>
      </c>
      <c r="K62" s="7">
        <v>6.36735958250529E-3</v>
      </c>
      <c r="L62" s="9">
        <v>0.75652631578947405</v>
      </c>
      <c r="M62" s="11">
        <v>0.35473556716326499</v>
      </c>
      <c r="N62" s="11">
        <v>3.1275322596598298E-3</v>
      </c>
      <c r="O62" s="13">
        <v>8.82509758929481E-2</v>
      </c>
      <c r="P62" s="13">
        <v>9.3862929558080296E-4</v>
      </c>
      <c r="Q62" s="15">
        <v>2931.6703687374502</v>
      </c>
      <c r="R62" s="15">
        <v>4684304.0847466504</v>
      </c>
      <c r="S62" s="17">
        <v>16337.968092153</v>
      </c>
      <c r="T62" s="17">
        <v>17164686.267584801</v>
      </c>
      <c r="U62">
        <f>VLOOKUP(C62,YieldData!F:AG,27,FALSE)</f>
        <v>598</v>
      </c>
      <c r="V62">
        <f>_xlfn.MAXIFS(I:I,C:C,C62)</f>
        <v>0.38240428940399501</v>
      </c>
    </row>
    <row r="63" spans="1:22" x14ac:dyDescent="0.25">
      <c r="A63" s="3">
        <f>VLOOKUP(C63,YieldData!F:G,2,FALSE)</f>
        <v>24112</v>
      </c>
      <c r="B63">
        <v>13</v>
      </c>
      <c r="C63">
        <v>308</v>
      </c>
      <c r="D63">
        <v>308</v>
      </c>
      <c r="E63" s="3">
        <f t="shared" si="0"/>
        <v>241120308</v>
      </c>
      <c r="F63" s="3">
        <f>VLOOKUP($E63,YieldData!$H:$R,10,FALSE)</f>
        <v>2</v>
      </c>
      <c r="G63" s="3">
        <f>VLOOKUP($E63,YieldData!$H:$R,11,FALSE)</f>
        <v>1</v>
      </c>
      <c r="H63">
        <v>44</v>
      </c>
      <c r="I63">
        <v>1.22050219746382E-2</v>
      </c>
      <c r="J63" s="7">
        <v>0.23125401680452601</v>
      </c>
      <c r="K63" s="7">
        <v>3.0404828711010699E-3</v>
      </c>
      <c r="L63" s="9">
        <v>0.73038512651149301</v>
      </c>
      <c r="M63" s="11">
        <v>0.35929520747025001</v>
      </c>
      <c r="N63" s="11">
        <v>2.6981472758558899E-3</v>
      </c>
      <c r="O63" s="13">
        <v>9.5652047373528407E-2</v>
      </c>
      <c r="P63" s="13">
        <v>1.0430257886293701E-3</v>
      </c>
      <c r="Q63" s="15">
        <v>2522.3803222013798</v>
      </c>
      <c r="R63" s="15">
        <v>2063328.3179211901</v>
      </c>
      <c r="S63" s="17">
        <v>16615.196457968399</v>
      </c>
      <c r="T63" s="17">
        <v>18735848.319040801</v>
      </c>
      <c r="U63">
        <f>VLOOKUP(C63,YieldData!F:AG,27,FALSE)</f>
        <v>465</v>
      </c>
      <c r="V63">
        <f>_xlfn.MAXIFS(I:I,C:C,C63)</f>
        <v>0.33378886455029899</v>
      </c>
    </row>
    <row r="64" spans="1:22" x14ac:dyDescent="0.25">
      <c r="A64" s="3">
        <f>VLOOKUP(C64,YieldData!F:G,2,FALSE)</f>
        <v>24112</v>
      </c>
      <c r="B64">
        <v>13</v>
      </c>
      <c r="C64">
        <v>401</v>
      </c>
      <c r="D64">
        <v>401</v>
      </c>
      <c r="E64" s="3">
        <f t="shared" si="0"/>
        <v>241120401</v>
      </c>
      <c r="F64" s="3">
        <f>VLOOKUP($E64,YieldData!$H:$R,10,FALSE)</f>
        <v>3</v>
      </c>
      <c r="G64" s="3">
        <f>VLOOKUP($E64,YieldData!$H:$R,11,FALSE)</f>
        <v>1</v>
      </c>
      <c r="H64">
        <v>43</v>
      </c>
      <c r="I64">
        <v>2.5571223625739201E-2</v>
      </c>
      <c r="J64" s="7">
        <v>0.234262408098311</v>
      </c>
      <c r="K64" s="7">
        <v>4.4820224962561104E-3</v>
      </c>
      <c r="L64" s="9">
        <v>0.87031749582242302</v>
      </c>
      <c r="M64" s="11">
        <v>0.36286389462782997</v>
      </c>
      <c r="N64" s="11">
        <v>2.7537978308252E-3</v>
      </c>
      <c r="O64" s="13">
        <v>9.9049516434402102E-2</v>
      </c>
      <c r="P64" s="13">
        <v>9.1238825921820504E-4</v>
      </c>
      <c r="Q64" s="15">
        <v>2889.4984779033598</v>
      </c>
      <c r="R64" s="15">
        <v>4159347.7061996702</v>
      </c>
      <c r="S64" s="17">
        <v>16605.305244074101</v>
      </c>
      <c r="T64" s="17">
        <v>18318566.5228476</v>
      </c>
      <c r="U64">
        <f>VLOOKUP(C64,YieldData!F:AG,27,FALSE)</f>
        <v>186</v>
      </c>
      <c r="V64">
        <f>_xlfn.MAXIFS(I:I,C:C,C64)</f>
        <v>0.52861327614165399</v>
      </c>
    </row>
    <row r="65" spans="1:22" x14ac:dyDescent="0.25">
      <c r="A65" s="3">
        <f>VLOOKUP(C65,YieldData!F:G,2,FALSE)</f>
        <v>24112</v>
      </c>
      <c r="B65">
        <v>13</v>
      </c>
      <c r="C65">
        <v>408</v>
      </c>
      <c r="D65">
        <v>408</v>
      </c>
      <c r="E65" s="3">
        <f t="shared" si="0"/>
        <v>241120408</v>
      </c>
      <c r="F65" s="3">
        <f>VLOOKUP($E65,YieldData!$H:$R,10,FALSE)</f>
        <v>3</v>
      </c>
      <c r="G65" s="3">
        <f>VLOOKUP($E65,YieldData!$H:$R,11,FALSE)</f>
        <v>4</v>
      </c>
      <c r="H65">
        <v>58</v>
      </c>
      <c r="I65">
        <v>3.269533573603E-2</v>
      </c>
      <c r="J65" s="7">
        <v>0.243524853225389</v>
      </c>
      <c r="K65" s="7">
        <v>6.0220968437726102E-3</v>
      </c>
      <c r="L65" s="9">
        <v>0.95418360767904797</v>
      </c>
      <c r="M65" s="11">
        <v>0.37451817729425801</v>
      </c>
      <c r="N65" s="11">
        <v>3.4908946961767899E-3</v>
      </c>
      <c r="O65" s="13">
        <v>0.104652847655708</v>
      </c>
      <c r="P65" s="13">
        <v>1.10681202091535E-3</v>
      </c>
      <c r="Q65" s="15">
        <v>2923.0888198409998</v>
      </c>
      <c r="R65" s="15">
        <v>5059712.5210272102</v>
      </c>
      <c r="S65" s="17">
        <v>17013.376014555801</v>
      </c>
      <c r="T65" s="17">
        <v>21808397.9035009</v>
      </c>
      <c r="U65">
        <f>VLOOKUP(C65,YieldData!F:AG,27,FALSE)</f>
        <v>311</v>
      </c>
      <c r="V65">
        <f>_xlfn.MAXIFS(I:I,C:C,C65)</f>
        <v>0.59146576694979003</v>
      </c>
    </row>
    <row r="66" spans="1:22" x14ac:dyDescent="0.25">
      <c r="A66" s="3">
        <f>VLOOKUP(C66,YieldData!F:G,2,FALSE)</f>
        <v>24112</v>
      </c>
      <c r="B66">
        <v>13</v>
      </c>
      <c r="C66">
        <v>409</v>
      </c>
      <c r="D66">
        <v>409</v>
      </c>
      <c r="E66" s="3">
        <f t="shared" si="0"/>
        <v>241120409</v>
      </c>
      <c r="F66" s="3">
        <f>VLOOKUP($E66,YieldData!$H:$R,10,FALSE)</f>
        <v>2</v>
      </c>
      <c r="G66" s="3">
        <f>VLOOKUP($E66,YieldData!$H:$R,11,FALSE)</f>
        <v>4</v>
      </c>
      <c r="H66">
        <v>43</v>
      </c>
      <c r="I66">
        <v>1.00353406347318E-2</v>
      </c>
      <c r="J66" s="7">
        <v>0.22942994632462299</v>
      </c>
      <c r="K66" s="7">
        <v>2.97560691270864E-3</v>
      </c>
      <c r="L66" s="9">
        <v>0.60805547514408298</v>
      </c>
      <c r="M66" s="11">
        <v>0.37039406507954198</v>
      </c>
      <c r="N66" s="11">
        <v>2.7161844147300198E-3</v>
      </c>
      <c r="O66" s="13">
        <v>0.102646660790487</v>
      </c>
      <c r="P66" s="13">
        <v>9.4696322999287305E-4</v>
      </c>
      <c r="Q66" s="15">
        <v>2735.4815703838499</v>
      </c>
      <c r="R66" s="15">
        <v>2153022.99441694</v>
      </c>
      <c r="S66" s="17">
        <v>17225.6019034456</v>
      </c>
      <c r="T66" s="17">
        <v>16799791.324477501</v>
      </c>
      <c r="U66">
        <f>VLOOKUP(C66,YieldData!F:AG,27,FALSE)</f>
        <v>366</v>
      </c>
      <c r="V66">
        <f>_xlfn.MAXIFS(I:I,C:C,C66)</f>
        <v>0.27571123127521402</v>
      </c>
    </row>
    <row r="67" spans="1:22" x14ac:dyDescent="0.25">
      <c r="A67" s="3">
        <f>VLOOKUP(C67,YieldData!F:G,2,FALSE)</f>
        <v>24112</v>
      </c>
      <c r="B67">
        <v>13</v>
      </c>
      <c r="C67">
        <v>402</v>
      </c>
      <c r="D67">
        <v>402</v>
      </c>
      <c r="E67" s="3">
        <f t="shared" ref="E67:E130" si="1">A67*10000+D67</f>
        <v>241120402</v>
      </c>
      <c r="F67" s="3">
        <f>VLOOKUP($E67,YieldData!$H:$R,10,FALSE)</f>
        <v>4</v>
      </c>
      <c r="G67" s="3">
        <f>VLOOKUP($E67,YieldData!$H:$R,11,FALSE)</f>
        <v>1</v>
      </c>
      <c r="H67">
        <v>64</v>
      </c>
      <c r="I67">
        <v>5.7671716994996298E-2</v>
      </c>
      <c r="J67" s="7">
        <v>0.23998713182391701</v>
      </c>
      <c r="K67" s="7">
        <v>1.06311452880672E-2</v>
      </c>
      <c r="L67" s="9">
        <v>0.98147392797463195</v>
      </c>
      <c r="M67" s="11">
        <v>0.36907048949917598</v>
      </c>
      <c r="N67" s="11">
        <v>4.2138958596078897E-3</v>
      </c>
      <c r="O67" s="13">
        <v>9.5940677506457794E-2</v>
      </c>
      <c r="P67" s="13">
        <v>1.2393173414716001E-3</v>
      </c>
      <c r="Q67" s="15">
        <v>3173.2009937366602</v>
      </c>
      <c r="R67" s="15">
        <v>8564586.4891999103</v>
      </c>
      <c r="S67" s="17">
        <v>16116.052974780299</v>
      </c>
      <c r="T67" s="17">
        <v>23794130.8667324</v>
      </c>
      <c r="U67">
        <f>VLOOKUP(C67,YieldData!F:AG,27,FALSE)</f>
        <v>897</v>
      </c>
      <c r="V67">
        <f>_xlfn.MAXIFS(I:I,C:C,C67)</f>
        <v>0.48018125228853897</v>
      </c>
    </row>
    <row r="68" spans="1:22" x14ac:dyDescent="0.25">
      <c r="A68" s="3">
        <f>VLOOKUP(C68,YieldData!F:G,2,FALSE)</f>
        <v>24112</v>
      </c>
      <c r="B68">
        <v>13</v>
      </c>
      <c r="C68">
        <v>309</v>
      </c>
      <c r="D68">
        <v>309</v>
      </c>
      <c r="E68" s="3">
        <f t="shared" si="1"/>
        <v>241120309</v>
      </c>
      <c r="F68" s="3">
        <f>VLOOKUP($E68,YieldData!$H:$R,10,FALSE)</f>
        <v>1</v>
      </c>
      <c r="G68" s="3">
        <f>VLOOKUP($E68,YieldData!$H:$R,11,FALSE)</f>
        <v>1</v>
      </c>
      <c r="H68">
        <v>60</v>
      </c>
      <c r="I68">
        <v>4.84135093145968E-2</v>
      </c>
      <c r="J68" s="7">
        <v>0.24302609440137901</v>
      </c>
      <c r="K68" s="7">
        <v>7.5936119609973296E-3</v>
      </c>
      <c r="L68" s="9">
        <v>0.98394757963710999</v>
      </c>
      <c r="M68" s="11">
        <v>0.36579022863721899</v>
      </c>
      <c r="N68" s="11">
        <v>3.7408651525698599E-3</v>
      </c>
      <c r="O68" s="13">
        <v>9.5106153013260294E-2</v>
      </c>
      <c r="P68" s="13">
        <v>1.29366714012815E-3</v>
      </c>
      <c r="Q68" s="15">
        <v>3052.94391646955</v>
      </c>
      <c r="R68" s="15">
        <v>8514688.8587383702</v>
      </c>
      <c r="S68" s="17">
        <v>16356.353779623099</v>
      </c>
      <c r="T68" s="17">
        <v>23975077.322922502</v>
      </c>
      <c r="U68">
        <f>VLOOKUP(C68,YieldData!F:AG,27,FALSE)</f>
        <v>953</v>
      </c>
      <c r="V68">
        <f>_xlfn.MAXIFS(I:I,C:C,C68)</f>
        <v>0.62382957577025699</v>
      </c>
    </row>
    <row r="69" spans="1:22" x14ac:dyDescent="0.25">
      <c r="A69" s="3">
        <f>VLOOKUP(C69,YieldData!F:G,2,FALSE)</f>
        <v>24111</v>
      </c>
      <c r="B69">
        <v>13</v>
      </c>
      <c r="C69">
        <v>302</v>
      </c>
      <c r="D69">
        <v>302</v>
      </c>
      <c r="E69" s="3">
        <f t="shared" si="1"/>
        <v>241110302</v>
      </c>
      <c r="F69" s="3">
        <f>VLOOKUP($E69,YieldData!$H:$R,10,FALSE)</f>
        <v>3</v>
      </c>
      <c r="G69" s="3">
        <f>VLOOKUP($E69,YieldData!$H:$R,11,FALSE)</f>
        <v>2</v>
      </c>
      <c r="H69">
        <v>66</v>
      </c>
      <c r="I69">
        <v>2.03368954392447E-2</v>
      </c>
      <c r="J69" s="7">
        <v>0.21942649919132201</v>
      </c>
      <c r="K69" s="7">
        <v>4.7497892032052E-3</v>
      </c>
      <c r="L69" s="9">
        <v>0.97861842105263197</v>
      </c>
      <c r="M69" s="11">
        <v>0.35676922895605601</v>
      </c>
      <c r="N69" s="11">
        <v>3.0203796863318999E-3</v>
      </c>
      <c r="O69" s="13">
        <v>8.9993611481980304E-2</v>
      </c>
      <c r="P69" s="13">
        <v>9.5121249791710403E-4</v>
      </c>
      <c r="Q69" s="15">
        <v>2759.8272693553899</v>
      </c>
      <c r="R69" s="15">
        <v>2192135.8858492798</v>
      </c>
      <c r="S69" s="17">
        <v>16430.498145518999</v>
      </c>
      <c r="T69" s="17">
        <v>17636400.369971599</v>
      </c>
      <c r="U69">
        <f>VLOOKUP(C69,YieldData!F:AG,27,FALSE)</f>
        <v>702</v>
      </c>
      <c r="V69">
        <f>_xlfn.MAXIFS(I:I,C:C,C69)</f>
        <v>0.59986530313333697</v>
      </c>
    </row>
    <row r="70" spans="1:22" x14ac:dyDescent="0.25">
      <c r="A70" s="3">
        <f>VLOOKUP(C70,YieldData!F:G,2,FALSE)</f>
        <v>24111</v>
      </c>
      <c r="B70">
        <v>13</v>
      </c>
      <c r="C70">
        <v>209</v>
      </c>
      <c r="D70">
        <v>209</v>
      </c>
      <c r="E70" s="3">
        <f t="shared" si="1"/>
        <v>241110209</v>
      </c>
      <c r="F70" s="3">
        <f>VLOOKUP($E70,YieldData!$H:$R,10,FALSE)</f>
        <v>4</v>
      </c>
      <c r="G70" s="3">
        <f>VLOOKUP($E70,YieldData!$H:$R,11,FALSE)</f>
        <v>2</v>
      </c>
      <c r="H70">
        <v>47</v>
      </c>
      <c r="I70">
        <v>2.6845261839278298E-2</v>
      </c>
      <c r="J70" s="7">
        <v>0.22690168415339401</v>
      </c>
      <c r="K70" s="7">
        <v>5.1064218740515099E-3</v>
      </c>
      <c r="L70" s="9">
        <v>0.95221052631578995</v>
      </c>
      <c r="M70" s="11">
        <v>0.35439108935334801</v>
      </c>
      <c r="N70" s="11">
        <v>2.9786302028821199E-3</v>
      </c>
      <c r="O70" s="13">
        <v>8.9167975844583594E-2</v>
      </c>
      <c r="P70" s="13">
        <v>1.17734785102084E-3</v>
      </c>
      <c r="Q70" s="15">
        <v>2735.00040589528</v>
      </c>
      <c r="R70" s="15">
        <v>5566581.8300558003</v>
      </c>
      <c r="S70" s="17">
        <v>16830.0217286876</v>
      </c>
      <c r="T70" s="17">
        <v>20539294.292902201</v>
      </c>
      <c r="U70">
        <f>VLOOKUP(C70,YieldData!F:AG,27,FALSE)</f>
        <v>573</v>
      </c>
      <c r="V70">
        <f>_xlfn.MAXIFS(I:I,C:C,C70)</f>
        <v>0.488269602971177</v>
      </c>
    </row>
    <row r="71" spans="1:22" x14ac:dyDescent="0.25">
      <c r="A71" s="3">
        <f>VLOOKUP(C71,YieldData!F:G,2,FALSE)</f>
        <v>24110</v>
      </c>
      <c r="B71">
        <v>13</v>
      </c>
      <c r="C71">
        <v>202</v>
      </c>
      <c r="D71">
        <v>202</v>
      </c>
      <c r="E71" s="3">
        <f t="shared" si="1"/>
        <v>241100202</v>
      </c>
      <c r="F71" s="3">
        <f>VLOOKUP($E71,YieldData!$H:$R,10,FALSE)</f>
        <v>1</v>
      </c>
      <c r="G71" s="3">
        <f>VLOOKUP($E71,YieldData!$H:$R,11,FALSE)</f>
        <v>4</v>
      </c>
      <c r="H71">
        <v>83</v>
      </c>
      <c r="I71">
        <v>9.46142649199418E-3</v>
      </c>
      <c r="J71" s="7">
        <v>0.22104876345213201</v>
      </c>
      <c r="K71" s="7">
        <v>3.0821858610188199E-3</v>
      </c>
      <c r="L71" s="9">
        <v>0.98107894736842105</v>
      </c>
      <c r="M71" s="11">
        <v>0.35459286736772</v>
      </c>
      <c r="N71" s="11">
        <v>2.7940806190399599E-3</v>
      </c>
      <c r="O71" s="13">
        <v>9.1677604184501493E-2</v>
      </c>
      <c r="P71" s="13">
        <v>8.7925125981246099E-4</v>
      </c>
      <c r="Q71" s="15">
        <v>2648.1037397827799</v>
      </c>
      <c r="R71" s="15">
        <v>1527173.1231116301</v>
      </c>
      <c r="S71" s="17">
        <v>16931.281685420501</v>
      </c>
      <c r="T71" s="17">
        <v>15930185.2881073</v>
      </c>
      <c r="U71">
        <f>VLOOKUP(C71,YieldData!F:AG,27,FALSE)</f>
        <v>2029</v>
      </c>
      <c r="V71">
        <f>_xlfn.MAXIFS(I:I,C:C,C71)</f>
        <v>0.52363733849453398</v>
      </c>
    </row>
    <row r="72" spans="1:22" x14ac:dyDescent="0.25">
      <c r="A72" s="3">
        <f>VLOOKUP(C72,YieldData!F:G,2,FALSE)</f>
        <v>24110</v>
      </c>
      <c r="B72">
        <v>13</v>
      </c>
      <c r="C72">
        <v>109</v>
      </c>
      <c r="D72">
        <v>109</v>
      </c>
      <c r="E72" s="3">
        <f t="shared" si="1"/>
        <v>241100109</v>
      </c>
      <c r="F72" s="3">
        <f>VLOOKUP($E72,YieldData!$H:$R,10,FALSE)</f>
        <v>3</v>
      </c>
      <c r="G72" s="3">
        <f>VLOOKUP($E72,YieldData!$H:$R,11,FALSE)</f>
        <v>3</v>
      </c>
      <c r="H72">
        <v>67</v>
      </c>
      <c r="I72">
        <v>1.7040603524290699E-2</v>
      </c>
      <c r="J72" s="7">
        <v>0.22477342336567799</v>
      </c>
      <c r="K72" s="7">
        <v>3.5109026640371801E-3</v>
      </c>
      <c r="L72" s="9">
        <v>0.92168421052631599</v>
      </c>
      <c r="M72" s="11">
        <v>0.37595592240482401</v>
      </c>
      <c r="N72" s="11">
        <v>2.5374914464047801E-3</v>
      </c>
      <c r="O72" s="13">
        <v>0.112003810774507</v>
      </c>
      <c r="P72" s="13">
        <v>9.3005811138221204E-4</v>
      </c>
      <c r="Q72" s="15">
        <v>2573.1827648466701</v>
      </c>
      <c r="R72" s="15">
        <v>2109623.7520043799</v>
      </c>
      <c r="S72" s="17">
        <v>16866.204086245802</v>
      </c>
      <c r="T72" s="17">
        <v>16068825.4741574</v>
      </c>
      <c r="U72">
        <f>VLOOKUP(C72,YieldData!F:AG,27,FALSE)</f>
        <v>1852</v>
      </c>
      <c r="V72">
        <f>_xlfn.MAXIFS(I:I,C:C,C72)</f>
        <v>0.58023512796035004</v>
      </c>
    </row>
    <row r="73" spans="1:22" x14ac:dyDescent="0.25">
      <c r="A73" s="3">
        <f>VLOOKUP(C73,YieldData!F:G,2,FALSE)</f>
        <v>24110</v>
      </c>
      <c r="B73">
        <v>13</v>
      </c>
      <c r="C73">
        <v>102</v>
      </c>
      <c r="D73">
        <v>102</v>
      </c>
      <c r="E73" s="3">
        <f t="shared" si="1"/>
        <v>241100102</v>
      </c>
      <c r="F73" s="3">
        <f>VLOOKUP($E73,YieldData!$H:$R,10,FALSE)</f>
        <v>2</v>
      </c>
      <c r="G73" s="3">
        <f>VLOOKUP($E73,YieldData!$H:$R,11,FALSE)</f>
        <v>1</v>
      </c>
      <c r="H73">
        <v>85</v>
      </c>
      <c r="I73">
        <v>1.8755161168418501E-2</v>
      </c>
      <c r="J73" s="7">
        <v>0.236583605166686</v>
      </c>
      <c r="K73" s="7">
        <v>3.6841610411083299E-3</v>
      </c>
      <c r="L73" s="9">
        <v>0.98038157894736799</v>
      </c>
      <c r="M73" s="11">
        <v>0.38132023994320002</v>
      </c>
      <c r="N73" s="11">
        <v>2.6796662696601799E-3</v>
      </c>
      <c r="O73" s="13">
        <v>0.11797146939582399</v>
      </c>
      <c r="P73" s="13">
        <v>7.4596387357758797E-4</v>
      </c>
      <c r="Q73" s="15">
        <v>2796.3925287275902</v>
      </c>
      <c r="R73" s="15">
        <v>1532110.1542195801</v>
      </c>
      <c r="S73" s="17">
        <v>16813.706325273</v>
      </c>
      <c r="T73" s="17">
        <v>13485482.6339013</v>
      </c>
      <c r="U73">
        <f>VLOOKUP(C73,YieldData!F:AG,27,FALSE)</f>
        <v>2083</v>
      </c>
      <c r="V73">
        <f>_xlfn.MAXIFS(I:I,C:C,C73)</f>
        <v>0.57049727008206097</v>
      </c>
    </row>
    <row r="74" spans="1:22" x14ac:dyDescent="0.25">
      <c r="A74" s="3">
        <f>VLOOKUP(C74,YieldData!F:G,2,FALSE)</f>
        <v>24110</v>
      </c>
      <c r="B74">
        <v>13</v>
      </c>
      <c r="C74">
        <v>103</v>
      </c>
      <c r="D74">
        <v>103</v>
      </c>
      <c r="E74" s="3">
        <f t="shared" si="1"/>
        <v>241100103</v>
      </c>
      <c r="F74" s="3">
        <f>VLOOKUP($E74,YieldData!$H:$R,10,FALSE)</f>
        <v>3</v>
      </c>
      <c r="G74" s="3">
        <f>VLOOKUP($E74,YieldData!$H:$R,11,FALSE)</f>
        <v>1</v>
      </c>
      <c r="H74">
        <v>74</v>
      </c>
      <c r="I74">
        <v>1.8587724823290599E-2</v>
      </c>
      <c r="J74" s="7">
        <v>0.23603510330177599</v>
      </c>
      <c r="K74" s="7">
        <v>3.3981470514438299E-3</v>
      </c>
      <c r="L74" s="9">
        <v>0.97440755799418399</v>
      </c>
      <c r="M74" s="11">
        <v>0.37157590643074101</v>
      </c>
      <c r="N74" s="11">
        <v>2.1471657173444702E-3</v>
      </c>
      <c r="O74" s="13">
        <v>0.10582747178644</v>
      </c>
      <c r="P74" s="13">
        <v>7.0234360246546903E-4</v>
      </c>
      <c r="Q74" s="15">
        <v>2594.6847854993398</v>
      </c>
      <c r="R74" s="15">
        <v>1397244.6329723401</v>
      </c>
      <c r="S74" s="17">
        <v>16821.6805964655</v>
      </c>
      <c r="T74" s="17">
        <v>10851063.1621652</v>
      </c>
      <c r="U74">
        <f>VLOOKUP(C74,YieldData!F:AG,27,FALSE)</f>
        <v>1595</v>
      </c>
      <c r="V74">
        <f>_xlfn.MAXIFS(I:I,C:C,C74)</f>
        <v>0.57597295600774201</v>
      </c>
    </row>
    <row r="75" spans="1:22" x14ac:dyDescent="0.25">
      <c r="A75" s="3">
        <f>VLOOKUP(C75,YieldData!F:G,2,FALSE)</f>
        <v>24110</v>
      </c>
      <c r="B75">
        <v>13</v>
      </c>
      <c r="C75">
        <v>110</v>
      </c>
      <c r="D75">
        <v>110</v>
      </c>
      <c r="E75" s="3">
        <f t="shared" si="1"/>
        <v>241100110</v>
      </c>
      <c r="F75" s="3">
        <f>VLOOKUP($E75,YieldData!$H:$R,10,FALSE)</f>
        <v>5</v>
      </c>
      <c r="G75" s="3">
        <f>VLOOKUP($E75,YieldData!$H:$R,11,FALSE)</f>
        <v>3</v>
      </c>
      <c r="H75">
        <v>64</v>
      </c>
      <c r="I75">
        <v>7.7260066902739098E-3</v>
      </c>
      <c r="J75" s="7">
        <v>0.216760135844102</v>
      </c>
      <c r="K75" s="7">
        <v>2.2915596410530998E-3</v>
      </c>
      <c r="L75" s="9">
        <v>0.96492105263157901</v>
      </c>
      <c r="M75" s="11">
        <v>0.35704677772763799</v>
      </c>
      <c r="N75" s="11">
        <v>1.8390271726885701E-3</v>
      </c>
      <c r="O75" s="13">
        <v>9.4820521514679804E-2</v>
      </c>
      <c r="P75" s="13">
        <v>8.1621511260838997E-4</v>
      </c>
      <c r="Q75" s="15">
        <v>2586.8221618822299</v>
      </c>
      <c r="R75" s="15">
        <v>1331290.24166711</v>
      </c>
      <c r="S75" s="17">
        <v>17033.3249287695</v>
      </c>
      <c r="T75" s="17">
        <v>13636343.6493527</v>
      </c>
      <c r="U75">
        <f>VLOOKUP(C75,YieldData!F:AG,27,FALSE)</f>
        <v>1811</v>
      </c>
      <c r="V75">
        <f>_xlfn.MAXIFS(I:I,C:C,C75)</f>
        <v>0.51251822645926104</v>
      </c>
    </row>
    <row r="76" spans="1:22" x14ac:dyDescent="0.25">
      <c r="A76" s="3">
        <f>VLOOKUP(C76,YieldData!F:G,2,FALSE)</f>
        <v>24110</v>
      </c>
      <c r="B76">
        <v>13</v>
      </c>
      <c r="C76">
        <v>203</v>
      </c>
      <c r="D76">
        <v>203</v>
      </c>
      <c r="E76" s="3">
        <f t="shared" si="1"/>
        <v>241100203</v>
      </c>
      <c r="F76" s="3">
        <f>VLOOKUP($E76,YieldData!$H:$R,10,FALSE)</f>
        <v>2</v>
      </c>
      <c r="G76" s="3">
        <f>VLOOKUP($E76,YieldData!$H:$R,11,FALSE)</f>
        <v>4</v>
      </c>
      <c r="H76">
        <v>86</v>
      </c>
      <c r="I76">
        <v>1.6033312338162201E-2</v>
      </c>
      <c r="J76" s="7">
        <v>0.222132396438041</v>
      </c>
      <c r="K76" s="7">
        <v>3.7359081029905202E-3</v>
      </c>
      <c r="L76" s="9">
        <v>0.98194736842105301</v>
      </c>
      <c r="M76" s="11">
        <v>0.34489605293603198</v>
      </c>
      <c r="N76" s="11">
        <v>2.6495880906330501E-3</v>
      </c>
      <c r="O76" s="13">
        <v>8.5278850736354106E-2</v>
      </c>
      <c r="P76" s="13">
        <v>7.6550020427006496E-4</v>
      </c>
      <c r="Q76" s="15">
        <v>2839.8151890938602</v>
      </c>
      <c r="R76" s="15">
        <v>1543600.0457094</v>
      </c>
      <c r="S76" s="17">
        <v>16913.1572377382</v>
      </c>
      <c r="T76" s="17">
        <v>15348451.528213801</v>
      </c>
      <c r="U76">
        <f>VLOOKUP(C76,YieldData!F:AG,27,FALSE)</f>
        <v>1921</v>
      </c>
      <c r="V76">
        <f>_xlfn.MAXIFS(I:I,C:C,C76)</f>
        <v>0.56937542501438498</v>
      </c>
    </row>
    <row r="77" spans="1:22" x14ac:dyDescent="0.25">
      <c r="A77" s="3">
        <f>VLOOKUP(C77,YieldData!F:G,2,FALSE)</f>
        <v>24111</v>
      </c>
      <c r="B77">
        <v>13</v>
      </c>
      <c r="C77">
        <v>210</v>
      </c>
      <c r="D77">
        <v>210</v>
      </c>
      <c r="E77" s="3">
        <f t="shared" si="1"/>
        <v>241110210</v>
      </c>
      <c r="F77" s="3">
        <f>VLOOKUP($E77,YieldData!$H:$R,10,FALSE)</f>
        <v>2</v>
      </c>
      <c r="G77" s="3">
        <f>VLOOKUP($E77,YieldData!$H:$R,11,FALSE)</f>
        <v>2</v>
      </c>
      <c r="H77">
        <v>48</v>
      </c>
      <c r="I77">
        <v>8.13831425132268E-2</v>
      </c>
      <c r="J77" s="7">
        <v>0.25813370895816901</v>
      </c>
      <c r="K77" s="7">
        <v>1.2564456603582399E-2</v>
      </c>
      <c r="L77" s="9">
        <v>0.96765746917722595</v>
      </c>
      <c r="M77" s="11">
        <v>0.36004626652810801</v>
      </c>
      <c r="N77" s="11">
        <v>4.2688413022764103E-3</v>
      </c>
      <c r="O77" s="13">
        <v>9.0024099248299905E-2</v>
      </c>
      <c r="P77" s="13">
        <v>1.10679361506449E-3</v>
      </c>
      <c r="Q77" s="15">
        <v>3412.3871105450298</v>
      </c>
      <c r="R77" s="15">
        <v>14189436.463076901</v>
      </c>
      <c r="S77" s="17">
        <v>16182.7816118232</v>
      </c>
      <c r="T77" s="17">
        <v>28033434.8918631</v>
      </c>
      <c r="U77">
        <f>VLOOKUP(C77,YieldData!F:AG,27,FALSE)</f>
        <v>849</v>
      </c>
      <c r="V77">
        <f>_xlfn.MAXIFS(I:I,C:C,C77)</f>
        <v>0.61838939164094797</v>
      </c>
    </row>
    <row r="78" spans="1:22" x14ac:dyDescent="0.25">
      <c r="A78" s="3">
        <f>VLOOKUP(C78,YieldData!F:G,2,FALSE)</f>
        <v>24111</v>
      </c>
      <c r="B78">
        <v>13</v>
      </c>
      <c r="C78">
        <v>303</v>
      </c>
      <c r="D78">
        <v>303</v>
      </c>
      <c r="E78" s="3">
        <f t="shared" si="1"/>
        <v>241110303</v>
      </c>
      <c r="F78" s="3">
        <f>VLOOKUP($E78,YieldData!$H:$R,10,FALSE)</f>
        <v>3</v>
      </c>
      <c r="G78" s="3">
        <f>VLOOKUP($E78,YieldData!$H:$R,11,FALSE)</f>
        <v>3</v>
      </c>
      <c r="H78">
        <v>72</v>
      </c>
      <c r="I78">
        <v>2.3409779619144901E-2</v>
      </c>
      <c r="J78" s="7">
        <v>0.227114973768271</v>
      </c>
      <c r="K78" s="7">
        <v>5.2520069080285604E-3</v>
      </c>
      <c r="L78" s="9">
        <v>0.98175000000000001</v>
      </c>
      <c r="M78" s="11">
        <v>0.35966017761462099</v>
      </c>
      <c r="N78" s="11">
        <v>3.0154161644546798E-3</v>
      </c>
      <c r="O78" s="13">
        <v>9.0997515365021597E-2</v>
      </c>
      <c r="P78" s="13">
        <v>9.5417996911090403E-4</v>
      </c>
      <c r="Q78" s="15">
        <v>2801.33075092729</v>
      </c>
      <c r="R78" s="15">
        <v>2850410.1387737198</v>
      </c>
      <c r="S78" s="17">
        <v>16387.055963435199</v>
      </c>
      <c r="T78" s="17">
        <v>18573288.2670452</v>
      </c>
      <c r="U78">
        <f>VLOOKUP(C78,YieldData!F:AG,27,FALSE)</f>
        <v>546</v>
      </c>
      <c r="V78">
        <f>_xlfn.MAXIFS(I:I,C:C,C78)</f>
        <v>0.53846053251033099</v>
      </c>
    </row>
    <row r="79" spans="1:22" x14ac:dyDescent="0.25">
      <c r="A79" s="3">
        <f>VLOOKUP(C79,YieldData!F:G,2,FALSE)</f>
        <v>24111</v>
      </c>
      <c r="B79">
        <v>13</v>
      </c>
      <c r="C79">
        <v>310</v>
      </c>
      <c r="D79">
        <v>310</v>
      </c>
      <c r="E79" s="3">
        <f t="shared" si="1"/>
        <v>241110310</v>
      </c>
      <c r="F79" s="3">
        <f>VLOOKUP($E79,YieldData!$H:$R,10,FALSE)</f>
        <v>5</v>
      </c>
      <c r="G79" s="3">
        <f>VLOOKUP($E79,YieldData!$H:$R,11,FALSE)</f>
        <v>4</v>
      </c>
      <c r="H79">
        <v>54</v>
      </c>
      <c r="I79">
        <v>4.0023514427080797E-2</v>
      </c>
      <c r="J79" s="7">
        <v>0.236037976686682</v>
      </c>
      <c r="K79" s="7">
        <v>7.0153250411299798E-3</v>
      </c>
      <c r="L79" s="9">
        <v>0.93307894736842101</v>
      </c>
      <c r="M79" s="11">
        <v>0.36245309129622799</v>
      </c>
      <c r="N79" s="11">
        <v>3.3046279493362E-3</v>
      </c>
      <c r="O79" s="13">
        <v>9.3054681500687103E-2</v>
      </c>
      <c r="P79" s="13">
        <v>1.0406890432396499E-3</v>
      </c>
      <c r="Q79" s="15">
        <v>2945.8465263732501</v>
      </c>
      <c r="R79" s="15">
        <v>5889812.5819003098</v>
      </c>
      <c r="S79" s="17">
        <v>16378.4618079508</v>
      </c>
      <c r="T79" s="17">
        <v>20575197.7151893</v>
      </c>
      <c r="U79">
        <f>VLOOKUP(C79,YieldData!F:AG,27,FALSE)</f>
        <v>586</v>
      </c>
      <c r="V79">
        <f>_xlfn.MAXIFS(I:I,C:C,C79)</f>
        <v>0.54465564251946896</v>
      </c>
    </row>
    <row r="80" spans="1:22" x14ac:dyDescent="0.25">
      <c r="A80" s="3">
        <f>VLOOKUP(C80,YieldData!F:G,2,FALSE)</f>
        <v>24112</v>
      </c>
      <c r="B80">
        <v>13</v>
      </c>
      <c r="C80">
        <v>403</v>
      </c>
      <c r="D80">
        <v>403</v>
      </c>
      <c r="E80" s="3">
        <f t="shared" si="1"/>
        <v>241120403</v>
      </c>
      <c r="F80" s="3">
        <f>VLOOKUP($E80,YieldData!$H:$R,10,FALSE)</f>
        <v>1</v>
      </c>
      <c r="G80" s="3">
        <f>VLOOKUP($E80,YieldData!$H:$R,11,FALSE)</f>
        <v>2</v>
      </c>
      <c r="H80">
        <v>66</v>
      </c>
      <c r="I80">
        <v>4.47394572200372E-2</v>
      </c>
      <c r="J80" s="7">
        <v>0.23188182909079599</v>
      </c>
      <c r="K80" s="7">
        <v>7.8860101031287804E-3</v>
      </c>
      <c r="L80" s="9">
        <v>0.98648684210526305</v>
      </c>
      <c r="M80" s="11">
        <v>0.36221934353298602</v>
      </c>
      <c r="N80" s="11">
        <v>3.3746224530893099E-3</v>
      </c>
      <c r="O80" s="13">
        <v>9.1767196654220201E-2</v>
      </c>
      <c r="P80" s="13">
        <v>1.0701236492465099E-3</v>
      </c>
      <c r="Q80" s="15">
        <v>3021.9123196215401</v>
      </c>
      <c r="R80" s="15">
        <v>7193272.2335889004</v>
      </c>
      <c r="S80" s="17">
        <v>16267.362439483501</v>
      </c>
      <c r="T80" s="17">
        <v>19680377.540533401</v>
      </c>
      <c r="U80">
        <f>VLOOKUP(C80,YieldData!F:AG,27,FALSE)</f>
        <v>562</v>
      </c>
      <c r="V80">
        <f>_xlfn.MAXIFS(I:I,C:C,C80)</f>
        <v>0.51879507516068502</v>
      </c>
    </row>
    <row r="81" spans="1:22" x14ac:dyDescent="0.25">
      <c r="A81" s="3">
        <f>VLOOKUP(C81,YieldData!F:G,2,FALSE)</f>
        <v>24112</v>
      </c>
      <c r="B81">
        <v>13</v>
      </c>
      <c r="C81">
        <v>410</v>
      </c>
      <c r="D81">
        <v>410</v>
      </c>
      <c r="E81" s="3">
        <f t="shared" si="1"/>
        <v>241120410</v>
      </c>
      <c r="F81" s="3">
        <f>VLOOKUP($E81,YieldData!$H:$R,10,FALSE)</f>
        <v>4</v>
      </c>
      <c r="G81" s="3">
        <f>VLOOKUP($E81,YieldData!$H:$R,11,FALSE)</f>
        <v>4</v>
      </c>
      <c r="H81">
        <v>70</v>
      </c>
      <c r="I81">
        <v>5.1450365653101897E-2</v>
      </c>
      <c r="J81" s="7">
        <v>0.24478403336506699</v>
      </c>
      <c r="K81" s="7">
        <v>8.4867275418397496E-3</v>
      </c>
      <c r="L81" s="9">
        <v>0.98223707582794995</v>
      </c>
      <c r="M81" s="11">
        <v>0.37164974834391601</v>
      </c>
      <c r="N81" s="11">
        <v>3.6327749896061302E-3</v>
      </c>
      <c r="O81" s="13">
        <v>0.102156972039736</v>
      </c>
      <c r="P81" s="13">
        <v>1.02639172952452E-3</v>
      </c>
      <c r="Q81" s="15">
        <v>3321.68187830225</v>
      </c>
      <c r="R81" s="15">
        <v>8557738.6662990302</v>
      </c>
      <c r="S81" s="17">
        <v>16700.1804485223</v>
      </c>
      <c r="T81" s="17">
        <v>22531617.963530902</v>
      </c>
      <c r="U81">
        <f>VLOOKUP(C81,YieldData!F:AG,27,FALSE)</f>
        <v>780</v>
      </c>
      <c r="V81">
        <f>_xlfn.MAXIFS(I:I,C:C,C81)</f>
        <v>0.55470333607961597</v>
      </c>
    </row>
    <row r="82" spans="1:22" x14ac:dyDescent="0.25">
      <c r="A82" s="3">
        <f>VLOOKUP(C82,YieldData!F:G,2,FALSE)</f>
        <v>24112</v>
      </c>
      <c r="B82">
        <v>13</v>
      </c>
      <c r="C82">
        <v>411</v>
      </c>
      <c r="D82">
        <v>411</v>
      </c>
      <c r="E82" s="3">
        <f t="shared" si="1"/>
        <v>241120411</v>
      </c>
      <c r="F82" s="3">
        <f>VLOOKUP($E82,YieldData!$H:$R,10,FALSE)</f>
        <v>1</v>
      </c>
      <c r="G82" s="3">
        <f>VLOOKUP($E82,YieldData!$H:$R,11,FALSE)</f>
        <v>4</v>
      </c>
      <c r="H82">
        <v>84</v>
      </c>
      <c r="I82">
        <v>3.29330422125182E-2</v>
      </c>
      <c r="J82" s="7">
        <v>0.24615748682062</v>
      </c>
      <c r="K82" s="7">
        <v>5.8531459350731696E-3</v>
      </c>
      <c r="L82" s="9">
        <v>0.99085514283082698</v>
      </c>
      <c r="M82" s="11">
        <v>0.37917326405826302</v>
      </c>
      <c r="N82" s="11">
        <v>3.6060553368429601E-3</v>
      </c>
      <c r="O82" s="13">
        <v>0.10703218908564199</v>
      </c>
      <c r="P82" s="13">
        <v>1.2572382231835399E-3</v>
      </c>
      <c r="Q82" s="15">
        <v>2851.92533031016</v>
      </c>
      <c r="R82" s="15">
        <v>5178238.3388147596</v>
      </c>
      <c r="S82" s="17">
        <v>16858.227776159201</v>
      </c>
      <c r="T82" s="17">
        <v>24616866.410985</v>
      </c>
      <c r="U82">
        <f>VLOOKUP(C82,YieldData!F:AG,27,FALSE)</f>
        <v>550</v>
      </c>
      <c r="V82">
        <f>_xlfn.MAXIFS(I:I,C:C,C82)</f>
        <v>0.511070134829404</v>
      </c>
    </row>
    <row r="83" spans="1:22" x14ac:dyDescent="0.25">
      <c r="A83" s="3">
        <f>VLOOKUP(C83,YieldData!F:G,2,FALSE)</f>
        <v>24112</v>
      </c>
      <c r="B83">
        <v>13</v>
      </c>
      <c r="C83">
        <v>404</v>
      </c>
      <c r="D83">
        <v>404</v>
      </c>
      <c r="E83" s="3">
        <f t="shared" si="1"/>
        <v>241120404</v>
      </c>
      <c r="F83" s="3">
        <f>VLOOKUP($E83,YieldData!$H:$R,10,FALSE)</f>
        <v>2</v>
      </c>
      <c r="G83" s="3">
        <f>VLOOKUP($E83,YieldData!$H:$R,11,FALSE)</f>
        <v>2</v>
      </c>
      <c r="H83">
        <v>41</v>
      </c>
      <c r="I83">
        <v>1.23240791932312E-2</v>
      </c>
      <c r="J83" s="7">
        <v>0.222218373740972</v>
      </c>
      <c r="K83" s="7">
        <v>3.2282187340881398E-3</v>
      </c>
      <c r="L83" s="9">
        <v>0.62730263157894695</v>
      </c>
      <c r="M83" s="11">
        <v>0.35310422045197498</v>
      </c>
      <c r="N83" s="11">
        <v>2.6769660357350402E-3</v>
      </c>
      <c r="O83" s="13">
        <v>9.3850981619756899E-2</v>
      </c>
      <c r="P83" s="13">
        <v>9.8159569671052308E-4</v>
      </c>
      <c r="Q83" s="15">
        <v>2743.25979061109</v>
      </c>
      <c r="R83" s="15">
        <v>2168735.1472724602</v>
      </c>
      <c r="S83" s="17">
        <v>16779.2702391899</v>
      </c>
      <c r="T83" s="17">
        <v>16110606.9043341</v>
      </c>
      <c r="U83">
        <f>VLOOKUP(C83,YieldData!F:AG,27,FALSE)</f>
        <v>368</v>
      </c>
      <c r="V83">
        <f>_xlfn.MAXIFS(I:I,C:C,C83)</f>
        <v>0.273796057148462</v>
      </c>
    </row>
    <row r="84" spans="1:22" x14ac:dyDescent="0.25">
      <c r="A84" s="3">
        <f>VLOOKUP(C84,YieldData!F:G,2,FALSE)</f>
        <v>24111</v>
      </c>
      <c r="B84">
        <v>13</v>
      </c>
      <c r="C84">
        <v>311</v>
      </c>
      <c r="D84">
        <v>311</v>
      </c>
      <c r="E84" s="3">
        <f t="shared" si="1"/>
        <v>241110311</v>
      </c>
      <c r="F84" s="3">
        <f>VLOOKUP($E84,YieldData!$H:$R,10,FALSE)</f>
        <v>4</v>
      </c>
      <c r="G84" s="3">
        <f>VLOOKUP($E84,YieldData!$H:$R,11,FALSE)</f>
        <v>4</v>
      </c>
      <c r="H84">
        <v>45</v>
      </c>
      <c r="I84">
        <v>3.05125549365955E-2</v>
      </c>
      <c r="J84" s="7">
        <v>0.24122277779179799</v>
      </c>
      <c r="K84" s="7">
        <v>5.6215002233342597E-3</v>
      </c>
      <c r="L84" s="9">
        <v>0.87053947368421003</v>
      </c>
      <c r="M84" s="11">
        <v>0.36685458144982103</v>
      </c>
      <c r="N84" s="11">
        <v>3.00091411970679E-3</v>
      </c>
      <c r="O84" s="13">
        <v>9.9112293230694398E-2</v>
      </c>
      <c r="P84" s="13">
        <v>9.9842539541778602E-4</v>
      </c>
      <c r="Q84" s="15">
        <v>2875.8880763093798</v>
      </c>
      <c r="R84" s="15">
        <v>5790893.9866123004</v>
      </c>
      <c r="S84" s="17">
        <v>16335.2380645667</v>
      </c>
      <c r="T84" s="17">
        <v>20075031.729343701</v>
      </c>
      <c r="U84">
        <f>VLOOKUP(C84,YieldData!F:AG,27,FALSE)</f>
        <v>687</v>
      </c>
      <c r="V84">
        <f>_xlfn.MAXIFS(I:I,C:C,C84)</f>
        <v>0.39958152156144799</v>
      </c>
    </row>
    <row r="85" spans="1:22" x14ac:dyDescent="0.25">
      <c r="A85" s="3">
        <f>VLOOKUP(C85,YieldData!F:G,2,FALSE)</f>
        <v>24111</v>
      </c>
      <c r="B85">
        <v>13</v>
      </c>
      <c r="C85">
        <v>304</v>
      </c>
      <c r="D85">
        <v>304</v>
      </c>
      <c r="E85" s="3">
        <f t="shared" si="1"/>
        <v>241110304</v>
      </c>
      <c r="F85" s="3">
        <f>VLOOKUP($E85,YieldData!$H:$R,10,FALSE)</f>
        <v>5</v>
      </c>
      <c r="G85" s="3">
        <f>VLOOKUP($E85,YieldData!$H:$R,11,FALSE)</f>
        <v>3</v>
      </c>
      <c r="H85">
        <v>52</v>
      </c>
      <c r="I85">
        <v>3.6146180331998998E-2</v>
      </c>
      <c r="J85" s="7">
        <v>0.234395570001074</v>
      </c>
      <c r="K85" s="7">
        <v>6.8214985868822499E-3</v>
      </c>
      <c r="L85" s="9">
        <v>0.78871052631578997</v>
      </c>
      <c r="M85" s="11">
        <v>0.35667412314462399</v>
      </c>
      <c r="N85" s="11">
        <v>3.4249663173711799E-3</v>
      </c>
      <c r="O85" s="13">
        <v>8.7729914960497396E-2</v>
      </c>
      <c r="P85" s="13">
        <v>9.8359463022853902E-4</v>
      </c>
      <c r="Q85" s="15">
        <v>3041.77223357501</v>
      </c>
      <c r="R85" s="15">
        <v>5544660.1475179102</v>
      </c>
      <c r="S85" s="17">
        <v>16401.209259692499</v>
      </c>
      <c r="T85" s="17">
        <v>19253669.730896801</v>
      </c>
      <c r="U85">
        <f>VLOOKUP(C85,YieldData!F:AG,27,FALSE)</f>
        <v>718</v>
      </c>
      <c r="V85">
        <f>_xlfn.MAXIFS(I:I,C:C,C85)</f>
        <v>0.41874546369978999</v>
      </c>
    </row>
    <row r="86" spans="1:22" x14ac:dyDescent="0.25">
      <c r="A86" s="3">
        <f>VLOOKUP(C86,YieldData!F:G,2,FALSE)</f>
        <v>24111</v>
      </c>
      <c r="B86">
        <v>13</v>
      </c>
      <c r="C86">
        <v>211</v>
      </c>
      <c r="D86">
        <v>211</v>
      </c>
      <c r="E86" s="3">
        <f t="shared" si="1"/>
        <v>241110211</v>
      </c>
      <c r="F86" s="3">
        <f>VLOOKUP($E86,YieldData!$H:$R,10,FALSE)</f>
        <v>5</v>
      </c>
      <c r="G86" s="3">
        <f>VLOOKUP($E86,YieldData!$H:$R,11,FALSE)</f>
        <v>1</v>
      </c>
      <c r="H86">
        <v>57</v>
      </c>
      <c r="I86">
        <v>4.55722423614707E-2</v>
      </c>
      <c r="J86" s="7">
        <v>0.24863467579975701</v>
      </c>
      <c r="K86" s="7">
        <v>7.46933926404894E-3</v>
      </c>
      <c r="L86" s="9">
        <v>0.97143345877523102</v>
      </c>
      <c r="M86" s="11">
        <v>0.36014292007894499</v>
      </c>
      <c r="N86" s="11">
        <v>3.4346244103790999E-3</v>
      </c>
      <c r="O86" s="13">
        <v>9.4852528248096604E-2</v>
      </c>
      <c r="P86" s="13">
        <v>1.0004593610366201E-3</v>
      </c>
      <c r="Q86" s="15">
        <v>2941.5743488180101</v>
      </c>
      <c r="R86" s="15">
        <v>6543194.3987684604</v>
      </c>
      <c r="S86" s="17">
        <v>16701.223510985801</v>
      </c>
      <c r="T86" s="17">
        <v>21879805.833195198</v>
      </c>
      <c r="U86">
        <f>VLOOKUP(C86,YieldData!F:AG,27,FALSE)</f>
        <v>733</v>
      </c>
      <c r="V86">
        <f>_xlfn.MAXIFS(I:I,C:C,C86)</f>
        <v>0.54509075691792597</v>
      </c>
    </row>
    <row r="87" spans="1:22" x14ac:dyDescent="0.25">
      <c r="A87" s="3">
        <f>VLOOKUP(C87,YieldData!F:G,2,FALSE)</f>
        <v>24110</v>
      </c>
      <c r="B87">
        <v>13</v>
      </c>
      <c r="C87">
        <v>204</v>
      </c>
      <c r="D87">
        <v>204</v>
      </c>
      <c r="E87" s="3">
        <f t="shared" si="1"/>
        <v>241100204</v>
      </c>
      <c r="F87" s="3">
        <f>VLOOKUP($E87,YieldData!$H:$R,10,FALSE)</f>
        <v>3</v>
      </c>
      <c r="G87" s="3">
        <f>VLOOKUP($E87,YieldData!$H:$R,11,FALSE)</f>
        <v>4</v>
      </c>
      <c r="H87">
        <v>58</v>
      </c>
      <c r="I87">
        <v>1.28071440068865E-2</v>
      </c>
      <c r="J87" s="7">
        <v>0.230559492764874</v>
      </c>
      <c r="K87" s="7">
        <v>3.4640049608763699E-3</v>
      </c>
      <c r="L87" s="9">
        <v>0.95072433257457101</v>
      </c>
      <c r="M87" s="11">
        <v>0.35197379979841398</v>
      </c>
      <c r="N87" s="11">
        <v>2.8268231702914099E-3</v>
      </c>
      <c r="O87" s="13">
        <v>9.1582158553542903E-2</v>
      </c>
      <c r="P87" s="13">
        <v>8.6926646844665901E-4</v>
      </c>
      <c r="Q87" s="15">
        <v>2763.9667018916498</v>
      </c>
      <c r="R87" s="15">
        <v>1794251.5243476899</v>
      </c>
      <c r="S87" s="17">
        <v>16676.381218355298</v>
      </c>
      <c r="T87" s="17">
        <v>16643966.381464601</v>
      </c>
      <c r="U87">
        <f>VLOOKUP(C87,YieldData!F:AG,27,FALSE)</f>
        <v>1553</v>
      </c>
      <c r="V87">
        <f>_xlfn.MAXIFS(I:I,C:C,C87)</f>
        <v>0.46833663534658099</v>
      </c>
    </row>
    <row r="88" spans="1:22" x14ac:dyDescent="0.25">
      <c r="A88" s="3">
        <f>VLOOKUP(C88,YieldData!F:G,2,FALSE)</f>
        <v>24110</v>
      </c>
      <c r="B88">
        <v>13</v>
      </c>
      <c r="C88">
        <v>111</v>
      </c>
      <c r="D88">
        <v>111</v>
      </c>
      <c r="E88" s="3">
        <f t="shared" si="1"/>
        <v>241100111</v>
      </c>
      <c r="F88" s="3">
        <f>VLOOKUP($E88,YieldData!$H:$R,10,FALSE)</f>
        <v>2</v>
      </c>
      <c r="G88" s="3">
        <f>VLOOKUP($E88,YieldData!$H:$R,11,FALSE)</f>
        <v>3</v>
      </c>
      <c r="H88">
        <v>83</v>
      </c>
      <c r="I88">
        <v>1.28695895587669E-2</v>
      </c>
      <c r="J88" s="7">
        <v>0.22481283972810401</v>
      </c>
      <c r="K88" s="7">
        <v>2.8945868181309798E-3</v>
      </c>
      <c r="L88" s="9">
        <v>0.98280285785713395</v>
      </c>
      <c r="M88" s="11">
        <v>0.35113740923151199</v>
      </c>
      <c r="N88" s="11">
        <v>2.19826192242949E-3</v>
      </c>
      <c r="O88" s="13">
        <v>8.8686729474367801E-2</v>
      </c>
      <c r="P88" s="13">
        <v>8.9330375224617304E-4</v>
      </c>
      <c r="Q88" s="15">
        <v>2488.9363518667601</v>
      </c>
      <c r="R88" s="15">
        <v>1419217.9803780899</v>
      </c>
      <c r="S88" s="17">
        <v>16484.508205524598</v>
      </c>
      <c r="T88" s="17">
        <v>15124428.506944399</v>
      </c>
      <c r="U88">
        <f>VLOOKUP(C88,YieldData!F:AG,27,FALSE)</f>
        <v>1957</v>
      </c>
      <c r="V88">
        <f>_xlfn.MAXIFS(I:I,C:C,C88)</f>
        <v>0.57165742532824204</v>
      </c>
    </row>
    <row r="89" spans="1:22" x14ac:dyDescent="0.25">
      <c r="A89" s="3">
        <f>VLOOKUP(C89,YieldData!F:G,2,FALSE)</f>
        <v>24110</v>
      </c>
      <c r="B89">
        <v>13</v>
      </c>
      <c r="C89">
        <v>104</v>
      </c>
      <c r="D89">
        <v>104</v>
      </c>
      <c r="E89" s="3">
        <f t="shared" si="1"/>
        <v>241100104</v>
      </c>
      <c r="F89" s="3">
        <f>VLOOKUP($E89,YieldData!$H:$R,10,FALSE)</f>
        <v>4</v>
      </c>
      <c r="G89" s="3">
        <f>VLOOKUP($E89,YieldData!$H:$R,11,FALSE)</f>
        <v>1</v>
      </c>
      <c r="H89">
        <v>74</v>
      </c>
      <c r="I89">
        <v>1.90423536657056E-2</v>
      </c>
      <c r="J89" s="7">
        <v>0.23864216632232299</v>
      </c>
      <c r="K89" s="7">
        <v>3.6881550231293802E-3</v>
      </c>
      <c r="L89" s="9">
        <v>0.98672403357806404</v>
      </c>
      <c r="M89" s="11">
        <v>0.365268539090364</v>
      </c>
      <c r="N89" s="11">
        <v>2.4875922918922298E-3</v>
      </c>
      <c r="O89" s="13">
        <v>9.6925288679682295E-2</v>
      </c>
      <c r="P89" s="13">
        <v>8.5268489637096295E-4</v>
      </c>
      <c r="Q89" s="15">
        <v>2376.6018251546602</v>
      </c>
      <c r="R89" s="15">
        <v>1333057.81452737</v>
      </c>
      <c r="S89" s="17">
        <v>16279.179500553701</v>
      </c>
      <c r="T89" s="17">
        <v>14188222.917446001</v>
      </c>
      <c r="U89">
        <f>VLOOKUP(C89,YieldData!F:AG,27,FALSE)</f>
        <v>1943</v>
      </c>
      <c r="V89">
        <f>_xlfn.MAXIFS(I:I,C:C,C89)</f>
        <v>0.58876799748917896</v>
      </c>
    </row>
    <row r="90" spans="1:22" x14ac:dyDescent="0.25">
      <c r="A90" s="3">
        <f>VLOOKUP(C90,YieldData!F:G,2,FALSE)</f>
        <v>24110</v>
      </c>
      <c r="B90">
        <v>13</v>
      </c>
      <c r="C90">
        <v>105</v>
      </c>
      <c r="D90">
        <v>105</v>
      </c>
      <c r="E90" s="3">
        <f t="shared" si="1"/>
        <v>241100105</v>
      </c>
      <c r="F90" s="3">
        <f>VLOOKUP($E90,YieldData!$H:$R,10,FALSE)</f>
        <v>5</v>
      </c>
      <c r="G90" s="3">
        <f>VLOOKUP($E90,YieldData!$H:$R,11,FALSE)</f>
        <v>1</v>
      </c>
      <c r="H90">
        <v>64</v>
      </c>
      <c r="I90">
        <v>9.3007306217282992E-3</v>
      </c>
      <c r="J90" s="7">
        <v>0.22669306507224601</v>
      </c>
      <c r="K90" s="7">
        <v>2.3848037194449299E-3</v>
      </c>
      <c r="L90" s="9">
        <v>0.94618491861949205</v>
      </c>
      <c r="M90" s="11">
        <v>0.35284323585749</v>
      </c>
      <c r="N90" s="11">
        <v>2.2594215084129001E-3</v>
      </c>
      <c r="O90" s="13">
        <v>8.9233903997655198E-2</v>
      </c>
      <c r="P90" s="13">
        <v>6.5321838445887403E-4</v>
      </c>
      <c r="Q90" s="15">
        <v>2204.3761232259299</v>
      </c>
      <c r="R90" s="15">
        <v>1504383.45223147</v>
      </c>
      <c r="S90" s="17">
        <v>16258.490423671101</v>
      </c>
      <c r="T90" s="17">
        <v>12842835.8810957</v>
      </c>
      <c r="U90">
        <f>VLOOKUP(C90,YieldData!F:AG,27,FALSE)</f>
        <v>1784</v>
      </c>
      <c r="V90">
        <f>_xlfn.MAXIFS(I:I,C:C,C90)</f>
        <v>0.52674286312100305</v>
      </c>
    </row>
    <row r="91" spans="1:22" x14ac:dyDescent="0.25">
      <c r="A91" s="3">
        <f>VLOOKUP(C91,YieldData!F:G,2,FALSE)</f>
        <v>24110</v>
      </c>
      <c r="B91">
        <v>13</v>
      </c>
      <c r="C91">
        <v>112</v>
      </c>
      <c r="D91">
        <v>112</v>
      </c>
      <c r="E91" s="3">
        <f t="shared" si="1"/>
        <v>241100112</v>
      </c>
      <c r="F91" s="3">
        <f>VLOOKUP($E91,YieldData!$H:$R,10,FALSE)</f>
        <v>1</v>
      </c>
      <c r="G91" s="3">
        <f>VLOOKUP($E91,YieldData!$H:$R,11,FALSE)</f>
        <v>2</v>
      </c>
      <c r="H91">
        <v>57</v>
      </c>
      <c r="I91">
        <v>6.58548533837217E-3</v>
      </c>
      <c r="J91" s="7">
        <v>0.21978175074386799</v>
      </c>
      <c r="K91" s="7">
        <v>2.0847098233377601E-3</v>
      </c>
      <c r="L91" s="9">
        <v>0.94896052631578898</v>
      </c>
      <c r="M91" s="11">
        <v>0.34659711816141803</v>
      </c>
      <c r="N91" s="11">
        <v>2.1151635458306699E-3</v>
      </c>
      <c r="O91" s="13">
        <v>8.8858911081092104E-2</v>
      </c>
      <c r="P91" s="13">
        <v>8.1519696410540295E-4</v>
      </c>
      <c r="Q91" s="15">
        <v>2335.7590804115098</v>
      </c>
      <c r="R91" s="15">
        <v>1059096.03942431</v>
      </c>
      <c r="S91" s="17">
        <v>16482.241953373399</v>
      </c>
      <c r="T91" s="17">
        <v>13498550.3494104</v>
      </c>
      <c r="U91">
        <f>VLOOKUP(C91,YieldData!F:AG,27,FALSE)</f>
        <v>1958</v>
      </c>
      <c r="V91">
        <f>_xlfn.MAXIFS(I:I,C:C,C91)</f>
        <v>0.51515349658351595</v>
      </c>
    </row>
    <row r="92" spans="1:22" x14ac:dyDescent="0.25">
      <c r="A92" s="3">
        <f>VLOOKUP(C92,YieldData!F:G,2,FALSE)</f>
        <v>24110</v>
      </c>
      <c r="B92">
        <v>13</v>
      </c>
      <c r="C92">
        <v>205</v>
      </c>
      <c r="D92">
        <v>205</v>
      </c>
      <c r="E92" s="3">
        <f t="shared" si="1"/>
        <v>241100205</v>
      </c>
      <c r="F92" s="3">
        <f>VLOOKUP($E92,YieldData!$H:$R,10,FALSE)</f>
        <v>5</v>
      </c>
      <c r="G92" s="3">
        <f>VLOOKUP($E92,YieldData!$H:$R,11,FALSE)</f>
        <v>4</v>
      </c>
      <c r="H92">
        <v>75</v>
      </c>
      <c r="I92">
        <v>1.38705184998565E-2</v>
      </c>
      <c r="J92" s="7">
        <v>0.234131842546146</v>
      </c>
      <c r="K92" s="7">
        <v>3.2841347674432801E-3</v>
      </c>
      <c r="L92" s="9">
        <v>0.96767105263157904</v>
      </c>
      <c r="M92" s="11">
        <v>0.35447349415339302</v>
      </c>
      <c r="N92" s="11">
        <v>2.5771186240764301E-3</v>
      </c>
      <c r="O92" s="13">
        <v>9.4339737749030997E-2</v>
      </c>
      <c r="P92" s="13">
        <v>8.2379236302165804E-4</v>
      </c>
      <c r="Q92" s="15">
        <v>2835.3127773034598</v>
      </c>
      <c r="R92" s="15">
        <v>1769374.2896463801</v>
      </c>
      <c r="S92" s="17">
        <v>16542.4110311285</v>
      </c>
      <c r="T92" s="17">
        <v>15165798.506222101</v>
      </c>
      <c r="U92">
        <f>VLOOKUP(C92,YieldData!F:AG,27,FALSE)</f>
        <v>1772</v>
      </c>
      <c r="V92">
        <f>_xlfn.MAXIFS(I:I,C:C,C92)</f>
        <v>0.51783437408049204</v>
      </c>
    </row>
    <row r="93" spans="1:22" x14ac:dyDescent="0.25">
      <c r="A93" s="3">
        <f>VLOOKUP(C93,YieldData!F:G,2,FALSE)</f>
        <v>24111</v>
      </c>
      <c r="B93">
        <v>13</v>
      </c>
      <c r="C93">
        <v>212</v>
      </c>
      <c r="D93">
        <v>212</v>
      </c>
      <c r="E93" s="3">
        <f t="shared" si="1"/>
        <v>241110212</v>
      </c>
      <c r="F93" s="3">
        <f>VLOOKUP($E93,YieldData!$H:$R,10,FALSE)</f>
        <v>4</v>
      </c>
      <c r="G93" s="3">
        <f>VLOOKUP($E93,YieldData!$H:$R,11,FALSE)</f>
        <v>1</v>
      </c>
      <c r="H93">
        <v>32</v>
      </c>
      <c r="I93">
        <v>2.6572330345083401E-2</v>
      </c>
      <c r="J93" s="7">
        <v>0.23659957856163399</v>
      </c>
      <c r="K93" s="7">
        <v>4.9177087097362097E-3</v>
      </c>
      <c r="L93" s="9">
        <v>0.90989355123093696</v>
      </c>
      <c r="M93" s="11">
        <v>0.35496732970069</v>
      </c>
      <c r="N93" s="11">
        <v>2.5581826297150501E-3</v>
      </c>
      <c r="O93" s="13">
        <v>9.5695809699265305E-2</v>
      </c>
      <c r="P93" s="13">
        <v>1.00953108623961E-3</v>
      </c>
      <c r="Q93" s="15">
        <v>2852.3858411538699</v>
      </c>
      <c r="R93" s="15">
        <v>5578238.0387075301</v>
      </c>
      <c r="S93" s="17">
        <v>17031.3197206201</v>
      </c>
      <c r="T93" s="17">
        <v>18722348.679963399</v>
      </c>
      <c r="U93">
        <f>VLOOKUP(C93,YieldData!F:AG,27,FALSE)</f>
        <v>678</v>
      </c>
      <c r="V93">
        <f>_xlfn.MAXIFS(I:I,C:C,C93)</f>
        <v>0.50204989047634596</v>
      </c>
    </row>
    <row r="94" spans="1:22" x14ac:dyDescent="0.25">
      <c r="A94" s="3">
        <f>VLOOKUP(C94,YieldData!F:G,2,FALSE)</f>
        <v>24111</v>
      </c>
      <c r="B94">
        <v>13</v>
      </c>
      <c r="C94">
        <v>305</v>
      </c>
      <c r="D94">
        <v>305</v>
      </c>
      <c r="E94" s="3">
        <f t="shared" si="1"/>
        <v>241110305</v>
      </c>
      <c r="F94" s="3">
        <f>VLOOKUP($E94,YieldData!$H:$R,10,FALSE)</f>
        <v>4</v>
      </c>
      <c r="G94" s="3">
        <f>VLOOKUP($E94,YieldData!$H:$R,11,FALSE)</f>
        <v>3</v>
      </c>
      <c r="H94">
        <v>48</v>
      </c>
      <c r="I94">
        <v>3.8322381082348297E-2</v>
      </c>
      <c r="J94" s="7">
        <v>0.23729546740684401</v>
      </c>
      <c r="K94" s="7">
        <v>7.3604746745429299E-3</v>
      </c>
      <c r="L94" s="9">
        <v>0.97127593784128696</v>
      </c>
      <c r="M94" s="11">
        <v>0.356668968702953</v>
      </c>
      <c r="N94" s="11">
        <v>3.2523956784536599E-3</v>
      </c>
      <c r="O94" s="13">
        <v>9.0308875276723696E-2</v>
      </c>
      <c r="P94" s="13">
        <v>9.6222258116145597E-4</v>
      </c>
      <c r="Q94" s="15">
        <v>3149.8319231872802</v>
      </c>
      <c r="R94" s="15">
        <v>7144957.1836710796</v>
      </c>
      <c r="S94" s="17">
        <v>16716.799637439501</v>
      </c>
      <c r="T94" s="17">
        <v>19525815.240738701</v>
      </c>
      <c r="U94">
        <f>VLOOKUP(C94,YieldData!F:AG,27,FALSE)</f>
        <v>792</v>
      </c>
      <c r="V94">
        <f>_xlfn.MAXIFS(I:I,C:C,C94)</f>
        <v>0.51650679691637702</v>
      </c>
    </row>
    <row r="95" spans="1:22" x14ac:dyDescent="0.25">
      <c r="A95" s="3">
        <f>VLOOKUP(C95,YieldData!F:G,2,FALSE)</f>
        <v>24111</v>
      </c>
      <c r="B95">
        <v>13</v>
      </c>
      <c r="C95">
        <v>312</v>
      </c>
      <c r="D95">
        <v>312</v>
      </c>
      <c r="E95" s="3">
        <f t="shared" si="1"/>
        <v>241110312</v>
      </c>
      <c r="F95" s="3">
        <f>VLOOKUP($E95,YieldData!$H:$R,10,FALSE)</f>
        <v>2</v>
      </c>
      <c r="G95" s="3">
        <f>VLOOKUP($E95,YieldData!$H:$R,11,FALSE)</f>
        <v>4</v>
      </c>
      <c r="H95">
        <v>53</v>
      </c>
      <c r="I95">
        <v>8.5057246031968195E-2</v>
      </c>
      <c r="J95" s="7">
        <v>0.26738519302319702</v>
      </c>
      <c r="K95" s="7">
        <v>1.2314188986143899E-2</v>
      </c>
      <c r="L95" s="9">
        <v>0.97750000000000004</v>
      </c>
      <c r="M95" s="11">
        <v>0.378306617571464</v>
      </c>
      <c r="N95" s="11">
        <v>4.2160465900103299E-3</v>
      </c>
      <c r="O95" s="13">
        <v>0.104505434428056</v>
      </c>
      <c r="P95" s="13">
        <v>1.1518960010818099E-3</v>
      </c>
      <c r="Q95" s="15">
        <v>3303.3352601965098</v>
      </c>
      <c r="R95" s="15">
        <v>12815236.011806199</v>
      </c>
      <c r="S95" s="17">
        <v>15842.3942473754</v>
      </c>
      <c r="T95" s="17">
        <v>28150046.750558201</v>
      </c>
      <c r="U95">
        <f>VLOOKUP(C95,YieldData!F:AG,27,FALSE)</f>
        <v>689</v>
      </c>
      <c r="V95">
        <f>_xlfn.MAXIFS(I:I,C:C,C95)</f>
        <v>0.62473845268609096</v>
      </c>
    </row>
    <row r="96" spans="1:22" x14ac:dyDescent="0.25">
      <c r="A96" s="3">
        <f>VLOOKUP(C96,YieldData!F:G,2,FALSE)</f>
        <v>24112</v>
      </c>
      <c r="B96">
        <v>13</v>
      </c>
      <c r="C96">
        <v>405</v>
      </c>
      <c r="D96">
        <v>405</v>
      </c>
      <c r="E96" s="3">
        <f t="shared" si="1"/>
        <v>241120405</v>
      </c>
      <c r="F96" s="3">
        <f>VLOOKUP($E96,YieldData!$H:$R,10,FALSE)</f>
        <v>3</v>
      </c>
      <c r="G96" s="3">
        <f>VLOOKUP($E96,YieldData!$H:$R,11,FALSE)</f>
        <v>2</v>
      </c>
      <c r="H96">
        <v>53</v>
      </c>
      <c r="I96">
        <v>2.4353546310227799E-2</v>
      </c>
      <c r="J96" s="7">
        <v>0.23710186321415699</v>
      </c>
      <c r="K96" s="7">
        <v>4.93185453269497E-3</v>
      </c>
      <c r="L96" s="9">
        <v>0.96119736842105297</v>
      </c>
      <c r="M96" s="11">
        <v>0.363982591788924</v>
      </c>
      <c r="N96" s="11">
        <v>3.40862838866818E-3</v>
      </c>
      <c r="O96" s="13">
        <v>9.8989548730350305E-2</v>
      </c>
      <c r="P96" s="13">
        <v>1.0905208176821299E-3</v>
      </c>
      <c r="Q96" s="15">
        <v>2827.5822037160201</v>
      </c>
      <c r="R96" s="15">
        <v>3737170.44491514</v>
      </c>
      <c r="S96" s="17">
        <v>16632.221181001099</v>
      </c>
      <c r="T96" s="17">
        <v>20563776.286068901</v>
      </c>
      <c r="U96">
        <f>VLOOKUP(C96,YieldData!F:AG,27,FALSE)</f>
        <v>273</v>
      </c>
      <c r="V96">
        <f>_xlfn.MAXIFS(I:I,C:C,C96)</f>
        <v>0.53204608463671099</v>
      </c>
    </row>
    <row r="97" spans="1:22" x14ac:dyDescent="0.25">
      <c r="A97" s="3">
        <f>VLOOKUP(C97,YieldData!F:G,2,FALSE)</f>
        <v>24112</v>
      </c>
      <c r="B97">
        <v>13</v>
      </c>
      <c r="C97">
        <v>412</v>
      </c>
      <c r="D97">
        <v>412</v>
      </c>
      <c r="E97" s="3">
        <f t="shared" si="1"/>
        <v>241120412</v>
      </c>
      <c r="F97" s="3">
        <f>VLOOKUP($E97,YieldData!$H:$R,10,FALSE)</f>
        <v>3</v>
      </c>
      <c r="G97" s="3">
        <f>VLOOKUP($E97,YieldData!$H:$R,11,FALSE)</f>
        <v>3</v>
      </c>
      <c r="H97">
        <v>44</v>
      </c>
      <c r="I97">
        <v>1.34294411980825E-2</v>
      </c>
      <c r="J97" s="7">
        <v>0.23283143470795001</v>
      </c>
      <c r="K97" s="7">
        <v>3.5150730841584498E-3</v>
      </c>
      <c r="L97" s="9">
        <v>0.93672368421052599</v>
      </c>
      <c r="M97" s="11">
        <v>0.36657973936825999</v>
      </c>
      <c r="N97" s="11">
        <v>3.2196643577104E-3</v>
      </c>
      <c r="O97" s="13">
        <v>0.102177863846956</v>
      </c>
      <c r="P97" s="13">
        <v>1.12798178532066E-3</v>
      </c>
      <c r="Q97" s="15">
        <v>2688.5753315371398</v>
      </c>
      <c r="R97" s="15">
        <v>2340567.92201863</v>
      </c>
      <c r="S97" s="17">
        <v>17259.375087930399</v>
      </c>
      <c r="T97" s="17">
        <v>18157797.2168683</v>
      </c>
      <c r="U97">
        <f>VLOOKUP(C97,YieldData!F:AG,27,FALSE)</f>
        <v>475</v>
      </c>
      <c r="V97">
        <f>_xlfn.MAXIFS(I:I,C:C,C97)</f>
        <v>0.53409923105089696</v>
      </c>
    </row>
    <row r="98" spans="1:22" x14ac:dyDescent="0.25">
      <c r="A98" s="3">
        <f>VLOOKUP(C98,YieldData!F:G,2,FALSE)</f>
        <v>24112</v>
      </c>
      <c r="B98">
        <v>13</v>
      </c>
      <c r="C98">
        <v>413</v>
      </c>
      <c r="D98">
        <v>413</v>
      </c>
      <c r="E98" s="3">
        <f t="shared" si="1"/>
        <v>241120413</v>
      </c>
      <c r="F98" s="3">
        <f>VLOOKUP($E98,YieldData!$H:$R,10,FALSE)</f>
        <v>1</v>
      </c>
      <c r="G98" s="3">
        <f>VLOOKUP($E98,YieldData!$H:$R,11,FALSE)</f>
        <v>3</v>
      </c>
      <c r="H98">
        <v>75</v>
      </c>
      <c r="I98">
        <v>4.8987361260794698E-2</v>
      </c>
      <c r="J98" s="7">
        <v>0.25197099996342498</v>
      </c>
      <c r="K98" s="7">
        <v>7.6677279161716299E-3</v>
      </c>
      <c r="L98" s="9">
        <v>0.98188157894736805</v>
      </c>
      <c r="M98" s="11">
        <v>0.376718422831755</v>
      </c>
      <c r="N98" s="11">
        <v>3.8152461076204499E-3</v>
      </c>
      <c r="O98" s="13">
        <v>0.106217156326609</v>
      </c>
      <c r="P98" s="13">
        <v>1.1536362214780401E-3</v>
      </c>
      <c r="Q98" s="15">
        <v>2948.1463182498901</v>
      </c>
      <c r="R98" s="15">
        <v>6496577.8506638696</v>
      </c>
      <c r="S98" s="17">
        <v>16552.738307555501</v>
      </c>
      <c r="T98" s="17">
        <v>23204931.925811399</v>
      </c>
      <c r="U98">
        <f>VLOOKUP(C98,YieldData!F:AG,27,FALSE)</f>
        <v>902</v>
      </c>
      <c r="V98">
        <f>_xlfn.MAXIFS(I:I,C:C,C98)</f>
        <v>0.62748713522561606</v>
      </c>
    </row>
    <row r="99" spans="1:22" x14ac:dyDescent="0.25">
      <c r="A99" s="3">
        <f>VLOOKUP(C99,YieldData!F:G,2,FALSE)</f>
        <v>24112</v>
      </c>
      <c r="B99">
        <v>13</v>
      </c>
      <c r="C99">
        <v>406</v>
      </c>
      <c r="D99">
        <v>406</v>
      </c>
      <c r="E99" s="3">
        <f t="shared" si="1"/>
        <v>241120406</v>
      </c>
      <c r="F99" s="3">
        <f>VLOOKUP($E99,YieldData!$H:$R,10,FALSE)</f>
        <v>4</v>
      </c>
      <c r="G99" s="3">
        <f>VLOOKUP($E99,YieldData!$H:$R,11,FALSE)</f>
        <v>2</v>
      </c>
      <c r="H99">
        <v>73</v>
      </c>
      <c r="I99">
        <v>5.7272021106111397E-2</v>
      </c>
      <c r="J99" s="7">
        <v>0.246071607986656</v>
      </c>
      <c r="K99" s="7">
        <v>9.9958628943407207E-3</v>
      </c>
      <c r="L99" s="9">
        <v>0.97926315789473695</v>
      </c>
      <c r="M99" s="11">
        <v>0.36738713189257799</v>
      </c>
      <c r="N99" s="11">
        <v>4.26190299756345E-3</v>
      </c>
      <c r="O99" s="13">
        <v>9.7431035976170796E-2</v>
      </c>
      <c r="P99" s="13">
        <v>1.20950369000456E-3</v>
      </c>
      <c r="Q99" s="15">
        <v>3184.0697425418298</v>
      </c>
      <c r="R99" s="15">
        <v>8677574.1630752999</v>
      </c>
      <c r="S99" s="17">
        <v>16278.380149805</v>
      </c>
      <c r="T99" s="17">
        <v>24514265.793556102</v>
      </c>
      <c r="U99">
        <f>VLOOKUP(C99,YieldData!F:AG,27,FALSE)</f>
        <v>830</v>
      </c>
      <c r="V99">
        <f>_xlfn.MAXIFS(I:I,C:C,C99)</f>
        <v>0.48466025003923202</v>
      </c>
    </row>
    <row r="100" spans="1:22" x14ac:dyDescent="0.25">
      <c r="A100" s="3">
        <f>VLOOKUP(C100,YieldData!F:G,2,FALSE)</f>
        <v>24111</v>
      </c>
      <c r="B100">
        <v>13</v>
      </c>
      <c r="C100">
        <v>313</v>
      </c>
      <c r="D100">
        <v>313</v>
      </c>
      <c r="E100" s="3">
        <f t="shared" si="1"/>
        <v>241110313</v>
      </c>
      <c r="F100" s="3">
        <f>VLOOKUP($E100,YieldData!$H:$R,10,FALSE)</f>
        <v>1</v>
      </c>
      <c r="G100" s="3">
        <f>VLOOKUP($E100,YieldData!$H:$R,11,FALSE)</f>
        <v>4</v>
      </c>
      <c r="H100">
        <v>64</v>
      </c>
      <c r="I100">
        <v>4.3207155004094E-2</v>
      </c>
      <c r="J100" s="7">
        <v>0.247543422423564</v>
      </c>
      <c r="K100" s="7">
        <v>7.4076977159256803E-3</v>
      </c>
      <c r="L100" s="9">
        <v>0.97465722782178499</v>
      </c>
      <c r="M100" s="11">
        <v>0.374918355394323</v>
      </c>
      <c r="N100" s="11">
        <v>3.8931372029776001E-3</v>
      </c>
      <c r="O100" s="13">
        <v>0.107377375978524</v>
      </c>
      <c r="P100" s="13">
        <v>1.2776204607992301E-3</v>
      </c>
      <c r="Q100" s="15">
        <v>2863.4870813330199</v>
      </c>
      <c r="R100" s="15">
        <v>5261137.6023741597</v>
      </c>
      <c r="S100" s="17">
        <v>16438.770600197098</v>
      </c>
      <c r="T100" s="17">
        <v>25036273.049504999</v>
      </c>
      <c r="U100">
        <f>VLOOKUP(C100,YieldData!F:AG,27,FALSE)</f>
        <v>726</v>
      </c>
      <c r="V100">
        <f>_xlfn.MAXIFS(I:I,C:C,C100)</f>
        <v>0.63875085002876997</v>
      </c>
    </row>
    <row r="101" spans="1:22" x14ac:dyDescent="0.25">
      <c r="A101" s="3">
        <f>VLOOKUP(C101,YieldData!F:G,2,FALSE)</f>
        <v>24111</v>
      </c>
      <c r="B101">
        <v>13</v>
      </c>
      <c r="C101">
        <v>306</v>
      </c>
      <c r="D101">
        <v>306</v>
      </c>
      <c r="E101" s="3">
        <f t="shared" si="1"/>
        <v>241110306</v>
      </c>
      <c r="F101" s="3">
        <f>VLOOKUP($E101,YieldData!$H:$R,10,FALSE)</f>
        <v>1</v>
      </c>
      <c r="G101" s="3">
        <f>VLOOKUP($E101,YieldData!$H:$R,11,FALSE)</f>
        <v>3</v>
      </c>
      <c r="H101">
        <v>67</v>
      </c>
      <c r="I101">
        <v>5.2249616840808699E-2</v>
      </c>
      <c r="J101" s="7">
        <v>0.25147021377126799</v>
      </c>
      <c r="K101" s="7">
        <v>8.6998045918050496E-3</v>
      </c>
      <c r="L101" s="9">
        <v>0.98314518038998999</v>
      </c>
      <c r="M101" s="11">
        <v>0.37129863725825402</v>
      </c>
      <c r="N101" s="11">
        <v>3.7634957189871098E-3</v>
      </c>
      <c r="O101" s="13">
        <v>0.100468229340533</v>
      </c>
      <c r="P101" s="13">
        <v>1.0359243267461301E-3</v>
      </c>
      <c r="Q101" s="15">
        <v>3167.4655366678098</v>
      </c>
      <c r="R101" s="15">
        <v>6887180.8042007796</v>
      </c>
      <c r="S101" s="17">
        <v>16362.754047955201</v>
      </c>
      <c r="T101" s="17">
        <v>22838585.789129101</v>
      </c>
      <c r="U101">
        <f>VLOOKUP(C101,YieldData!F:AG,27,FALSE)</f>
        <v>862</v>
      </c>
      <c r="V101">
        <f>_xlfn.MAXIFS(I:I,C:C,C101)</f>
        <v>0.57260179027965796</v>
      </c>
    </row>
    <row r="102" spans="1:22" x14ac:dyDescent="0.25">
      <c r="A102" s="3">
        <f>VLOOKUP(C102,YieldData!F:G,2,FALSE)</f>
        <v>24111</v>
      </c>
      <c r="B102">
        <v>13</v>
      </c>
      <c r="C102">
        <v>213</v>
      </c>
      <c r="D102">
        <v>213</v>
      </c>
      <c r="E102" s="3">
        <f t="shared" si="1"/>
        <v>241110213</v>
      </c>
      <c r="F102" s="3">
        <f>VLOOKUP($E102,YieldData!$H:$R,10,FALSE)</f>
        <v>3</v>
      </c>
      <c r="G102" s="3">
        <f>VLOOKUP($E102,YieldData!$H:$R,11,FALSE)</f>
        <v>1</v>
      </c>
      <c r="H102">
        <v>62</v>
      </c>
      <c r="I102">
        <v>1.7180807882876601E-2</v>
      </c>
      <c r="J102" s="7">
        <v>0.229580545221165</v>
      </c>
      <c r="K102" s="7">
        <v>3.41125502852341E-3</v>
      </c>
      <c r="L102" s="9">
        <v>0.89148826989118601</v>
      </c>
      <c r="M102" s="11">
        <v>0.35482133654884601</v>
      </c>
      <c r="N102" s="11">
        <v>2.5289933284990099E-3</v>
      </c>
      <c r="O102" s="13">
        <v>9.7205197621775902E-2</v>
      </c>
      <c r="P102" s="13">
        <v>9.842968341296891E-4</v>
      </c>
      <c r="Q102" s="15">
        <v>2808.5065504017002</v>
      </c>
      <c r="R102" s="15">
        <v>2075676.74346274</v>
      </c>
      <c r="S102" s="17">
        <v>17045.220270520102</v>
      </c>
      <c r="T102" s="17">
        <v>16785509.3222587</v>
      </c>
      <c r="U102">
        <f>VLOOKUP(C102,YieldData!F:AG,27,FALSE)</f>
        <v>475</v>
      </c>
      <c r="V102">
        <f>_xlfn.MAXIFS(I:I,C:C,C102)</f>
        <v>0.50808835068263802</v>
      </c>
    </row>
    <row r="103" spans="1:22" x14ac:dyDescent="0.25">
      <c r="A103" s="3">
        <f>VLOOKUP(C103,YieldData!F:G,2,FALSE)</f>
        <v>24110</v>
      </c>
      <c r="B103">
        <v>13</v>
      </c>
      <c r="C103">
        <v>206</v>
      </c>
      <c r="D103">
        <v>206</v>
      </c>
      <c r="E103" s="3">
        <f t="shared" si="1"/>
        <v>241100206</v>
      </c>
      <c r="F103" s="3">
        <f>VLOOKUP($E103,YieldData!$H:$R,10,FALSE)</f>
        <v>4</v>
      </c>
      <c r="G103" s="3">
        <f>VLOOKUP($E103,YieldData!$H:$R,11,FALSE)</f>
        <v>4</v>
      </c>
      <c r="H103">
        <v>71</v>
      </c>
      <c r="I103">
        <v>1.9651205105954101E-2</v>
      </c>
      <c r="J103" s="7">
        <v>0.236445205571891</v>
      </c>
      <c r="K103" s="7">
        <v>4.10818582621669E-3</v>
      </c>
      <c r="L103" s="9">
        <v>0.97905235595205198</v>
      </c>
      <c r="M103" s="11">
        <v>0.36476869710666598</v>
      </c>
      <c r="N103" s="11">
        <v>3.10288760814124E-3</v>
      </c>
      <c r="O103" s="13">
        <v>9.7689898733399894E-2</v>
      </c>
      <c r="P103" s="13">
        <v>8.8040681262993505E-4</v>
      </c>
      <c r="Q103" s="15">
        <v>2711.7254709850799</v>
      </c>
      <c r="R103" s="15">
        <v>1585872.00490428</v>
      </c>
      <c r="S103" s="17">
        <v>16582.395638916401</v>
      </c>
      <c r="T103" s="17">
        <v>17107231.974384401</v>
      </c>
      <c r="U103">
        <f>VLOOKUP(C103,YieldData!F:AG,27,FALSE)</f>
        <v>1549</v>
      </c>
      <c r="V103">
        <f>_xlfn.MAXIFS(I:I,C:C,C103)</f>
        <v>0.57408049171216502</v>
      </c>
    </row>
    <row r="104" spans="1:22" x14ac:dyDescent="0.25">
      <c r="A104" s="3">
        <f>VLOOKUP(C104,YieldData!F:G,2,FALSE)</f>
        <v>24110</v>
      </c>
      <c r="B104">
        <v>13</v>
      </c>
      <c r="C104">
        <v>113</v>
      </c>
      <c r="D104">
        <v>113</v>
      </c>
      <c r="E104" s="3">
        <f t="shared" si="1"/>
        <v>241100113</v>
      </c>
      <c r="F104" s="3">
        <f>VLOOKUP($E104,YieldData!$H:$R,10,FALSE)</f>
        <v>5</v>
      </c>
      <c r="G104" s="3">
        <f>VLOOKUP($E104,YieldData!$H:$R,11,FALSE)</f>
        <v>2</v>
      </c>
      <c r="H104">
        <v>70</v>
      </c>
      <c r="I104">
        <v>1.0035551325476601E-2</v>
      </c>
      <c r="J104" s="7">
        <v>0.21491420250190699</v>
      </c>
      <c r="K104" s="7">
        <v>2.5807334193098099E-3</v>
      </c>
      <c r="L104" s="9">
        <v>0.97793392018316005</v>
      </c>
      <c r="M104" s="11">
        <v>0.353026658975231</v>
      </c>
      <c r="N104" s="11">
        <v>1.8582855141843001E-3</v>
      </c>
      <c r="O104" s="13">
        <v>9.3141263650796793E-2</v>
      </c>
      <c r="P104" s="13">
        <v>8.1313115782540404E-4</v>
      </c>
      <c r="Q104" s="15">
        <v>2375.99449934216</v>
      </c>
      <c r="R104" s="15">
        <v>1421547.4211550099</v>
      </c>
      <c r="S104" s="17">
        <v>16134.5829407273</v>
      </c>
      <c r="T104" s="17">
        <v>12487808.723875601</v>
      </c>
      <c r="U104">
        <f>VLOOKUP(C104,YieldData!F:AG,27,FALSE)</f>
        <v>1849</v>
      </c>
      <c r="V104">
        <f>_xlfn.MAXIFS(I:I,C:C,C104)</f>
        <v>0.56962761957694397</v>
      </c>
    </row>
    <row r="105" spans="1:22" x14ac:dyDescent="0.25">
      <c r="A105" s="3">
        <f>VLOOKUP(C105,YieldData!F:G,2,FALSE)</f>
        <v>24110</v>
      </c>
      <c r="B105">
        <v>13</v>
      </c>
      <c r="C105">
        <v>106</v>
      </c>
      <c r="D105">
        <v>106</v>
      </c>
      <c r="E105" s="3">
        <f t="shared" si="1"/>
        <v>241100106</v>
      </c>
      <c r="F105" s="3">
        <f>VLOOKUP($E105,YieldData!$H:$R,10,FALSE)</f>
        <v>2</v>
      </c>
      <c r="G105" s="3">
        <f>VLOOKUP($E105,YieldData!$H:$R,11,FALSE)</f>
        <v>2</v>
      </c>
      <c r="H105">
        <v>99</v>
      </c>
      <c r="I105">
        <v>1.98332995080166E-2</v>
      </c>
      <c r="J105" s="7">
        <v>0.22218955780342001</v>
      </c>
      <c r="K105" s="7">
        <v>4.2088821529691197E-3</v>
      </c>
      <c r="L105" s="9">
        <v>0.98567105263157895</v>
      </c>
      <c r="M105" s="11">
        <v>0.36744163921703199</v>
      </c>
      <c r="N105" s="11">
        <v>2.3425848742938998E-3</v>
      </c>
      <c r="O105" s="13">
        <v>8.6985757372290098E-2</v>
      </c>
      <c r="P105" s="13">
        <v>8.3646874211999798E-4</v>
      </c>
      <c r="Q105" s="15">
        <v>2176.6213897306302</v>
      </c>
      <c r="R105" s="15">
        <v>1229748.8533580599</v>
      </c>
      <c r="S105" s="17">
        <v>15598.703226182301</v>
      </c>
      <c r="T105" s="17">
        <v>13435092.930198001</v>
      </c>
      <c r="U105">
        <f>VLOOKUP(C105,YieldData!F:AG,27,FALSE)</f>
        <v>2109</v>
      </c>
      <c r="V105">
        <f>_xlfn.MAXIFS(I:I,C:C,C105)</f>
        <v>0.66110006800230203</v>
      </c>
    </row>
    <row r="106" spans="1:22" x14ac:dyDescent="0.25">
      <c r="A106" s="3">
        <f>VLOOKUP(C106,YieldData!F:G,2,FALSE)</f>
        <v>24110</v>
      </c>
      <c r="B106">
        <v>13</v>
      </c>
      <c r="C106">
        <v>107</v>
      </c>
      <c r="D106">
        <v>107</v>
      </c>
      <c r="E106" s="3">
        <f t="shared" si="1"/>
        <v>241100107</v>
      </c>
      <c r="F106" s="3">
        <f>VLOOKUP($E106,YieldData!$H:$R,10,FALSE)</f>
        <v>4</v>
      </c>
      <c r="G106" s="3">
        <f>VLOOKUP($E106,YieldData!$H:$R,11,FALSE)</f>
        <v>2</v>
      </c>
      <c r="H106">
        <v>75</v>
      </c>
      <c r="I106">
        <v>2.05327025627388E-2</v>
      </c>
      <c r="J106" s="7">
        <v>0.21537314296721199</v>
      </c>
      <c r="K106" s="7">
        <v>4.1216372313309501E-3</v>
      </c>
      <c r="L106" s="9">
        <v>0.97527664109682799</v>
      </c>
      <c r="M106" s="11">
        <v>0.36263807843587098</v>
      </c>
      <c r="N106" s="11">
        <v>2.5485560984439301E-3</v>
      </c>
      <c r="O106" s="13">
        <v>8.1893802779770694E-2</v>
      </c>
      <c r="P106" s="13">
        <v>7.6536788756822397E-4</v>
      </c>
      <c r="Q106" s="15">
        <v>2213.93617646647</v>
      </c>
      <c r="R106" s="15">
        <v>1140761.51201542</v>
      </c>
      <c r="S106" s="17">
        <v>15627.7137903765</v>
      </c>
      <c r="T106" s="17">
        <v>11895373.420155801</v>
      </c>
      <c r="U106">
        <f>VLOOKUP(C106,YieldData!F:AG,27,FALSE)</f>
        <v>1767</v>
      </c>
      <c r="V106">
        <f>_xlfn.MAXIFS(I:I,C:C,C106)</f>
        <v>0.62568002301616399</v>
      </c>
    </row>
    <row r="107" spans="1:22" x14ac:dyDescent="0.25">
      <c r="A107" s="3">
        <f>VLOOKUP(C107,YieldData!F:G,2,FALSE)</f>
        <v>24110</v>
      </c>
      <c r="B107">
        <v>13</v>
      </c>
      <c r="C107">
        <v>114</v>
      </c>
      <c r="D107">
        <v>114</v>
      </c>
      <c r="E107" s="3">
        <f t="shared" si="1"/>
        <v>241100114</v>
      </c>
      <c r="F107" s="3">
        <f>VLOOKUP($E107,YieldData!$H:$R,10,FALSE)</f>
        <v>3</v>
      </c>
      <c r="G107" s="3">
        <f>VLOOKUP($E107,YieldData!$H:$R,11,FALSE)</f>
        <v>2</v>
      </c>
      <c r="H107">
        <v>65</v>
      </c>
      <c r="I107">
        <v>1.1526106947156301E-2</v>
      </c>
      <c r="J107" s="7">
        <v>0.21519327213476899</v>
      </c>
      <c r="K107" s="7">
        <v>2.7401200937000698E-3</v>
      </c>
      <c r="L107" s="9">
        <v>0.96235526315789499</v>
      </c>
      <c r="M107" s="11">
        <v>0.36413819708589301</v>
      </c>
      <c r="N107" s="11">
        <v>2.0567109014015699E-3</v>
      </c>
      <c r="O107" s="13">
        <v>9.8510931155956799E-2</v>
      </c>
      <c r="P107" s="13">
        <v>7.7411437238037698E-4</v>
      </c>
      <c r="Q107" s="15">
        <v>2367.23045915475</v>
      </c>
      <c r="R107" s="15">
        <v>1322138.17291083</v>
      </c>
      <c r="S107" s="17">
        <v>16274.486130396401</v>
      </c>
      <c r="T107" s="17">
        <v>13488700.308847999</v>
      </c>
      <c r="U107">
        <f>VLOOKUP(C107,YieldData!F:AG,27,FALSE)</f>
        <v>1577</v>
      </c>
      <c r="V107">
        <f>_xlfn.MAXIFS(I:I,C:C,C107)</f>
        <v>0.55712193335774396</v>
      </c>
    </row>
    <row r="108" spans="1:22" x14ac:dyDescent="0.25">
      <c r="A108" s="3">
        <f>VLOOKUP(C108,YieldData!F:G,2,FALSE)</f>
        <v>24111</v>
      </c>
      <c r="B108">
        <v>13</v>
      </c>
      <c r="C108">
        <v>207</v>
      </c>
      <c r="D108">
        <v>207</v>
      </c>
      <c r="E108" s="3">
        <f t="shared" si="1"/>
        <v>241110207</v>
      </c>
      <c r="F108" s="3">
        <f>VLOOKUP($E108,YieldData!$H:$R,10,FALSE)</f>
        <v>1</v>
      </c>
      <c r="G108" s="3">
        <f>VLOOKUP($E108,YieldData!$H:$R,11,FALSE)</f>
        <v>1</v>
      </c>
      <c r="H108">
        <v>61</v>
      </c>
      <c r="I108">
        <v>5.3480202107856201E-2</v>
      </c>
      <c r="J108" s="7">
        <v>0.25379993926468603</v>
      </c>
      <c r="K108" s="7">
        <v>9.4626855447621505E-3</v>
      </c>
      <c r="L108" s="9">
        <v>0.97956552059895496</v>
      </c>
      <c r="M108" s="11">
        <v>0.37395282936038998</v>
      </c>
      <c r="N108" s="11">
        <v>4.0342585099798003E-3</v>
      </c>
      <c r="O108" s="13">
        <v>0.101475087583823</v>
      </c>
      <c r="P108" s="13">
        <v>1.01534915833411E-3</v>
      </c>
      <c r="Q108" s="15">
        <v>3112.7972497288201</v>
      </c>
      <c r="R108" s="15">
        <v>7518067.9177991804</v>
      </c>
      <c r="S108" s="17">
        <v>16271.5492594227</v>
      </c>
      <c r="T108" s="17">
        <v>23602865.3410387</v>
      </c>
      <c r="U108">
        <f>VLOOKUP(C108,YieldData!F:AG,27,FALSE)</f>
        <v>1091</v>
      </c>
      <c r="V108">
        <f>_xlfn.MAXIFS(I:I,C:C,C108)</f>
        <v>0.70132409193448197</v>
      </c>
    </row>
    <row r="109" spans="1:22" x14ac:dyDescent="0.25">
      <c r="A109" s="3">
        <f>VLOOKUP(C109,YieldData!F:G,2,FALSE)</f>
        <v>24111</v>
      </c>
      <c r="B109">
        <v>13</v>
      </c>
      <c r="C109">
        <v>214</v>
      </c>
      <c r="D109">
        <v>214</v>
      </c>
      <c r="E109" s="3">
        <f t="shared" si="1"/>
        <v>241110214</v>
      </c>
      <c r="F109" s="3">
        <f>VLOOKUP($E109,YieldData!$H:$R,10,FALSE)</f>
        <v>2</v>
      </c>
      <c r="G109" s="3">
        <f>VLOOKUP($E109,YieldData!$H:$R,11,FALSE)</f>
        <v>1</v>
      </c>
      <c r="H109">
        <v>47</v>
      </c>
      <c r="I109">
        <v>7.8443310729006996E-2</v>
      </c>
      <c r="J109" s="7">
        <v>0.26172168814060998</v>
      </c>
      <c r="K109" s="7">
        <v>1.2135723939112299E-2</v>
      </c>
      <c r="L109" s="9">
        <v>0.96773726661491299</v>
      </c>
      <c r="M109" s="11">
        <v>0.37406781846624698</v>
      </c>
      <c r="N109" s="11">
        <v>4.00793322488291E-3</v>
      </c>
      <c r="O109" s="13">
        <v>0.103462863831127</v>
      </c>
      <c r="P109" s="13">
        <v>1.06491752731386E-3</v>
      </c>
      <c r="Q109" s="15">
        <v>3412.1785951726101</v>
      </c>
      <c r="R109" s="15">
        <v>13386018.6371217</v>
      </c>
      <c r="S109" s="17">
        <v>16297.684626124999</v>
      </c>
      <c r="T109" s="17">
        <v>27169521.362362299</v>
      </c>
      <c r="U109">
        <f>VLOOKUP(C109,YieldData!F:AG,27,FALSE)</f>
        <v>817</v>
      </c>
      <c r="V109">
        <f>_xlfn.MAXIFS(I:I,C:C,C109)</f>
        <v>0.63073442485745701</v>
      </c>
    </row>
    <row r="110" spans="1:22" x14ac:dyDescent="0.25">
      <c r="A110" s="3">
        <f>VLOOKUP(C110,YieldData!F:G,2,FALSE)</f>
        <v>24111</v>
      </c>
      <c r="B110">
        <v>13</v>
      </c>
      <c r="C110">
        <v>307</v>
      </c>
      <c r="D110">
        <v>307</v>
      </c>
      <c r="E110" s="3">
        <f t="shared" si="1"/>
        <v>241110307</v>
      </c>
      <c r="F110" s="3">
        <f>VLOOKUP($E110,YieldData!$H:$R,10,FALSE)</f>
        <v>2</v>
      </c>
      <c r="G110" s="3">
        <f>VLOOKUP($E110,YieldData!$H:$R,11,FALSE)</f>
        <v>3</v>
      </c>
      <c r="H110">
        <v>50</v>
      </c>
      <c r="I110">
        <v>7.51740788690997E-2</v>
      </c>
      <c r="J110" s="7">
        <v>0.26518065529023899</v>
      </c>
      <c r="K110" s="7">
        <v>1.17934721067414E-2</v>
      </c>
      <c r="L110" s="9">
        <v>0.966973249648022</v>
      </c>
      <c r="M110" s="11">
        <v>0.376900598100813</v>
      </c>
      <c r="N110" s="11">
        <v>4.3632980628241398E-3</v>
      </c>
      <c r="O110" s="13">
        <v>0.10381537956228</v>
      </c>
      <c r="P110" s="13">
        <v>1.10236480365371E-3</v>
      </c>
      <c r="Q110" s="15">
        <v>3305.4504356345601</v>
      </c>
      <c r="R110" s="15">
        <v>10283581.8733951</v>
      </c>
      <c r="S110" s="17">
        <v>16027.1227792351</v>
      </c>
      <c r="T110" s="17">
        <v>27181311.595080901</v>
      </c>
      <c r="U110">
        <f>VLOOKUP(C110,YieldData!F:AG,27,FALSE)</f>
        <v>856</v>
      </c>
      <c r="V110">
        <f>_xlfn.MAXIFS(I:I,C:C,C110)</f>
        <v>0.62418757928049295</v>
      </c>
    </row>
    <row r="111" spans="1:22" x14ac:dyDescent="0.25">
      <c r="A111" s="3">
        <f>VLOOKUP(C111,YieldData!F:G,2,FALSE)</f>
        <v>24111</v>
      </c>
      <c r="B111">
        <v>13</v>
      </c>
      <c r="C111">
        <v>314</v>
      </c>
      <c r="D111">
        <v>314</v>
      </c>
      <c r="E111" s="3">
        <f t="shared" si="1"/>
        <v>241110314</v>
      </c>
      <c r="F111" s="3">
        <f>VLOOKUP($E111,YieldData!$H:$R,10,FALSE)</f>
        <v>3</v>
      </c>
      <c r="G111" s="3">
        <f>VLOOKUP($E111,YieldData!$H:$R,11,FALSE)</f>
        <v>4</v>
      </c>
      <c r="H111">
        <v>66</v>
      </c>
      <c r="I111">
        <v>1.6270916000083999E-2</v>
      </c>
      <c r="J111" s="7">
        <v>0.230093758269028</v>
      </c>
      <c r="K111" s="7">
        <v>3.6393705536196998E-3</v>
      </c>
      <c r="L111" s="9">
        <v>0.97797455363604102</v>
      </c>
      <c r="M111" s="11">
        <v>0.35296562053348401</v>
      </c>
      <c r="N111" s="11">
        <v>2.56846270165562E-3</v>
      </c>
      <c r="O111" s="13">
        <v>0.10108860294557299</v>
      </c>
      <c r="P111" s="13">
        <v>1.03182270896054E-3</v>
      </c>
      <c r="Q111" s="15">
        <v>2835.4613941900602</v>
      </c>
      <c r="R111" s="15">
        <v>2179210.20075374</v>
      </c>
      <c r="S111" s="17">
        <v>16620.269256825799</v>
      </c>
      <c r="T111" s="17">
        <v>18252512.150099099</v>
      </c>
      <c r="U111">
        <f>VLOOKUP(C111,YieldData!F:AG,27,FALSE)</f>
        <v>865</v>
      </c>
      <c r="V111">
        <f>_xlfn.MAXIFS(I:I,C:C,C111)</f>
        <v>0.69291982162239896</v>
      </c>
    </row>
    <row r="112" spans="1:22" x14ac:dyDescent="0.25">
      <c r="A112" s="3">
        <f>VLOOKUP(C112,YieldData!F:G,2,FALSE)</f>
        <v>24112</v>
      </c>
      <c r="B112">
        <v>13</v>
      </c>
      <c r="C112">
        <v>407</v>
      </c>
      <c r="D112">
        <v>407</v>
      </c>
      <c r="E112" s="3">
        <f t="shared" si="1"/>
        <v>241120407</v>
      </c>
      <c r="F112" s="3">
        <f>VLOOKUP($E112,YieldData!$H:$R,10,FALSE)</f>
        <v>4</v>
      </c>
      <c r="G112" s="3">
        <f>VLOOKUP($E112,YieldData!$H:$R,11,FALSE)</f>
        <v>3</v>
      </c>
      <c r="H112">
        <v>65</v>
      </c>
      <c r="I112">
        <v>5.1793999706073797E-2</v>
      </c>
      <c r="J112" s="7">
        <v>0.24293238136043199</v>
      </c>
      <c r="K112" s="7">
        <v>9.2340453915289895E-3</v>
      </c>
      <c r="L112" s="9">
        <v>0.98031578947368403</v>
      </c>
      <c r="M112" s="11">
        <v>0.36275760216498898</v>
      </c>
      <c r="N112" s="11">
        <v>4.0498328869502196E-3</v>
      </c>
      <c r="O112" s="13">
        <v>9.6050970814221107E-2</v>
      </c>
      <c r="P112" s="13">
        <v>1.1316965108317399E-3</v>
      </c>
      <c r="Q112" s="15">
        <v>3085.2775713296001</v>
      </c>
      <c r="R112" s="15">
        <v>7331144.8691515801</v>
      </c>
      <c r="S112" s="17">
        <v>16206.054607166199</v>
      </c>
      <c r="T112" s="17">
        <v>21334678.550977699</v>
      </c>
      <c r="U112">
        <f>VLOOKUP(C112,YieldData!F:AG,27,FALSE)</f>
        <v>804</v>
      </c>
      <c r="V112">
        <f>_xlfn.MAXIFS(I:I,C:C,C112)</f>
        <v>0.459862557785232</v>
      </c>
    </row>
    <row r="113" spans="1:22" x14ac:dyDescent="0.25">
      <c r="A113" s="3">
        <f>VLOOKUP(C113,YieldData!F:G,2,FALSE)</f>
        <v>24112</v>
      </c>
      <c r="B113">
        <v>13</v>
      </c>
      <c r="C113">
        <v>414</v>
      </c>
      <c r="D113">
        <v>414</v>
      </c>
      <c r="E113" s="3">
        <f t="shared" si="1"/>
        <v>241120414</v>
      </c>
      <c r="F113" s="3">
        <f>VLOOKUP($E113,YieldData!$H:$R,10,FALSE)</f>
        <v>2</v>
      </c>
      <c r="G113" s="3">
        <f>VLOOKUP($E113,YieldData!$H:$R,11,FALSE)</f>
        <v>3</v>
      </c>
      <c r="H113">
        <v>32</v>
      </c>
      <c r="I113">
        <v>1.3142517232933301E-2</v>
      </c>
      <c r="J113" s="7">
        <v>0.233966655420421</v>
      </c>
      <c r="K113" s="7">
        <v>3.3649650622088398E-3</v>
      </c>
      <c r="L113" s="9">
        <v>0.70100524603616499</v>
      </c>
      <c r="M113" s="11">
        <v>0.36591198036887201</v>
      </c>
      <c r="N113" s="11">
        <v>2.74356037643478E-3</v>
      </c>
      <c r="O113" s="13">
        <v>0.105959176981487</v>
      </c>
      <c r="P113" s="13">
        <v>9.7578299380881597E-4</v>
      </c>
      <c r="Q113" s="15">
        <v>2689.0260261030799</v>
      </c>
      <c r="R113" s="15">
        <v>2429957.8873312902</v>
      </c>
      <c r="S113" s="17">
        <v>17209.1798905205</v>
      </c>
      <c r="T113" s="17">
        <v>17950275.240050901</v>
      </c>
      <c r="U113">
        <f>VLOOKUP(C113,YieldData!F:AG,27,FALSE)</f>
        <v>466</v>
      </c>
      <c r="V113">
        <f>_xlfn.MAXIFS(I:I,C:C,C113)</f>
        <v>0.31829891851600001</v>
      </c>
    </row>
    <row r="114" spans="1:22" hidden="1" x14ac:dyDescent="0.25">
      <c r="A114" s="3">
        <f>VLOOKUP(C114,YieldData!F:G,2,FALSE)</f>
        <v>24110</v>
      </c>
      <c r="B114">
        <v>23</v>
      </c>
      <c r="C114">
        <v>101</v>
      </c>
      <c r="D114">
        <v>101</v>
      </c>
      <c r="E114" s="3">
        <f t="shared" si="1"/>
        <v>241100101</v>
      </c>
      <c r="F114" s="3">
        <f>VLOOKUP($E114,YieldData!$H:$R,10,FALSE)</f>
        <v>1</v>
      </c>
      <c r="G114" s="3">
        <f>VLOOKUP($E114,YieldData!$H:$R,11,FALSE)</f>
        <v>1</v>
      </c>
      <c r="H114">
        <v>77</v>
      </c>
      <c r="I114">
        <v>7.0022396197216993E-2</v>
      </c>
      <c r="J114">
        <v>0.27767677019914999</v>
      </c>
      <c r="K114">
        <v>1.25114791069037E-2</v>
      </c>
      <c r="L114">
        <v>0.93847287464308704</v>
      </c>
      <c r="M114">
        <v>7.9653454243711203E-2</v>
      </c>
      <c r="N114">
        <v>7.6894263847628198E-3</v>
      </c>
      <c r="O114">
        <v>-2.5341678530003599E-2</v>
      </c>
      <c r="P114">
        <v>1.6471715199862401E-3</v>
      </c>
      <c r="Q114">
        <v>2688.0757618298298</v>
      </c>
      <c r="R114">
        <v>14647516.336896</v>
      </c>
      <c r="S114">
        <v>15234.614294360699</v>
      </c>
      <c r="T114">
        <v>33086516.271503001</v>
      </c>
      <c r="U114">
        <f>VLOOKUP(C114,YieldData!F:AG,27,FALSE)</f>
        <v>1747</v>
      </c>
      <c r="V114">
        <f>_xlfn.MAXIFS(I:I,C:C,C114)</f>
        <v>0.46975165757777898</v>
      </c>
    </row>
    <row r="115" spans="1:22" hidden="1" x14ac:dyDescent="0.25">
      <c r="A115" s="3">
        <f>VLOOKUP(C115,YieldData!F:G,2,FALSE)</f>
        <v>24110</v>
      </c>
      <c r="B115">
        <v>23</v>
      </c>
      <c r="C115">
        <v>108</v>
      </c>
      <c r="D115">
        <v>108</v>
      </c>
      <c r="E115" s="3">
        <f t="shared" si="1"/>
        <v>241100108</v>
      </c>
      <c r="F115" s="3">
        <f>VLOOKUP($E115,YieldData!$H:$R,10,FALSE)</f>
        <v>1</v>
      </c>
      <c r="G115" s="3">
        <f>VLOOKUP($E115,YieldData!$H:$R,11,FALSE)</f>
        <v>3</v>
      </c>
      <c r="H115">
        <v>81</v>
      </c>
      <c r="I115">
        <v>0.10021547502448599</v>
      </c>
      <c r="J115">
        <v>0.28681318529139599</v>
      </c>
      <c r="K115">
        <v>1.6485793026458698E-2</v>
      </c>
      <c r="L115">
        <v>0.98342105263157897</v>
      </c>
      <c r="M115">
        <v>8.5484694357382596E-2</v>
      </c>
      <c r="N115">
        <v>8.9049858019935191E-3</v>
      </c>
      <c r="O115">
        <v>-2.3655935514515902E-2</v>
      </c>
      <c r="P115">
        <v>2.0858363006172301E-3</v>
      </c>
      <c r="Q115">
        <v>2820.1391250408101</v>
      </c>
      <c r="R115">
        <v>20113100.610164601</v>
      </c>
      <c r="S115">
        <v>14593.863339531101</v>
      </c>
      <c r="T115">
        <v>40661256.217154302</v>
      </c>
      <c r="U115">
        <f>VLOOKUP(C115,YieldData!F:AG,27,FALSE)</f>
        <v>1854</v>
      </c>
      <c r="V115">
        <f>_xlfn.MAXIFS(I:I,C:C,C115)</f>
        <v>0.60942342648655001</v>
      </c>
    </row>
    <row r="116" spans="1:22" hidden="1" x14ac:dyDescent="0.25">
      <c r="A116" s="3">
        <f>VLOOKUP(C116,YieldData!F:G,2,FALSE)</f>
        <v>24110</v>
      </c>
      <c r="B116">
        <v>23</v>
      </c>
      <c r="C116">
        <v>201</v>
      </c>
      <c r="D116">
        <v>201</v>
      </c>
      <c r="E116" s="3">
        <f t="shared" si="1"/>
        <v>241100201</v>
      </c>
      <c r="F116" s="3">
        <f>VLOOKUP($E116,YieldData!$H:$R,10,FALSE)</f>
        <v>4</v>
      </c>
      <c r="G116" s="3">
        <f>VLOOKUP($E116,YieldData!$H:$R,11,FALSE)</f>
        <v>3</v>
      </c>
      <c r="H116">
        <v>66</v>
      </c>
      <c r="I116">
        <v>0.14086842964414001</v>
      </c>
      <c r="J116">
        <v>0.30269272659324498</v>
      </c>
      <c r="K116">
        <v>2.5319284755850002E-2</v>
      </c>
      <c r="L116">
        <v>0.98652649307245999</v>
      </c>
      <c r="M116">
        <v>9.8851611879883894E-2</v>
      </c>
      <c r="N116">
        <v>1.3538984564614699E-2</v>
      </c>
      <c r="O116">
        <v>-2.0311004582877601E-2</v>
      </c>
      <c r="P116">
        <v>2.24200045496886E-3</v>
      </c>
      <c r="Q116">
        <v>2892.2609467841999</v>
      </c>
      <c r="R116">
        <v>32539696.890143499</v>
      </c>
      <c r="S116">
        <v>14445.805998219401</v>
      </c>
      <c r="T116">
        <v>46557745.070358299</v>
      </c>
      <c r="U116">
        <f>VLOOKUP(C116,YieldData!F:AG,27,FALSE)</f>
        <v>1884</v>
      </c>
      <c r="V116">
        <f>_xlfn.MAXIFS(I:I,C:C,C116)</f>
        <v>0.57447559763561196</v>
      </c>
    </row>
    <row r="117" spans="1:22" hidden="1" x14ac:dyDescent="0.25">
      <c r="A117" s="3">
        <f>VLOOKUP(C117,YieldData!F:G,2,FALSE)</f>
        <v>24111</v>
      </c>
      <c r="B117">
        <v>23</v>
      </c>
      <c r="C117">
        <v>208</v>
      </c>
      <c r="D117">
        <v>208</v>
      </c>
      <c r="E117" s="3">
        <f t="shared" si="1"/>
        <v>241110208</v>
      </c>
      <c r="F117" s="3">
        <f>VLOOKUP($E117,YieldData!$H:$R,10,FALSE)</f>
        <v>1</v>
      </c>
      <c r="G117" s="3">
        <f>VLOOKUP($E117,YieldData!$H:$R,11,FALSE)</f>
        <v>2</v>
      </c>
      <c r="H117">
        <v>29</v>
      </c>
      <c r="I117">
        <v>0.28275447772401702</v>
      </c>
      <c r="J117">
        <v>0.37160737324995102</v>
      </c>
      <c r="K117">
        <v>4.6029578724955701E-2</v>
      </c>
      <c r="L117">
        <v>0.77365491651205898</v>
      </c>
      <c r="M117">
        <v>0.128921137178406</v>
      </c>
      <c r="N117">
        <v>1.80613688026648E-2</v>
      </c>
      <c r="O117">
        <v>-1.7827280199435198E-2</v>
      </c>
      <c r="P117">
        <v>3.4393501033705199E-3</v>
      </c>
      <c r="Q117">
        <v>6878.8344074647202</v>
      </c>
      <c r="R117">
        <v>107535895.27898499</v>
      </c>
      <c r="S117">
        <v>12363.2598136834</v>
      </c>
      <c r="T117">
        <v>69741836.559307694</v>
      </c>
      <c r="U117">
        <f>VLOOKUP(C117,YieldData!F:AG,27,FALSE)</f>
        <v>1030</v>
      </c>
      <c r="V117">
        <f>_xlfn.MAXIFS(I:I,C:C,C117)</f>
        <v>0.61479815350011102</v>
      </c>
    </row>
    <row r="118" spans="1:22" hidden="1" x14ac:dyDescent="0.25">
      <c r="A118" s="3">
        <f>VLOOKUP(C118,YieldData!F:G,2,FALSE)</f>
        <v>24111</v>
      </c>
      <c r="B118">
        <v>23</v>
      </c>
      <c r="C118">
        <v>301</v>
      </c>
      <c r="D118">
        <v>301</v>
      </c>
      <c r="E118" s="3">
        <f t="shared" si="1"/>
        <v>241110301</v>
      </c>
      <c r="F118" s="3">
        <f>VLOOKUP($E118,YieldData!$H:$R,10,FALSE)</f>
        <v>5</v>
      </c>
      <c r="G118" s="3">
        <f>VLOOKUP($E118,YieldData!$H:$R,11,FALSE)</f>
        <v>2</v>
      </c>
      <c r="H118">
        <v>41</v>
      </c>
      <c r="I118">
        <v>0.167960613520167</v>
      </c>
      <c r="J118">
        <v>0.303754957364054</v>
      </c>
      <c r="K118">
        <v>3.3879842386129497E-2</v>
      </c>
      <c r="L118">
        <v>0.80024737167594295</v>
      </c>
      <c r="M118">
        <v>9.9101233465228103E-2</v>
      </c>
      <c r="N118">
        <v>1.42314053798164E-2</v>
      </c>
      <c r="O118">
        <v>-2.2516392906105898E-2</v>
      </c>
      <c r="P118">
        <v>2.6078644460240099E-3</v>
      </c>
      <c r="Q118">
        <v>4278.7636419434702</v>
      </c>
      <c r="R118">
        <v>65644991.517961301</v>
      </c>
      <c r="S118">
        <v>13999.968674662599</v>
      </c>
      <c r="T118">
        <v>50818044.530707598</v>
      </c>
      <c r="U118">
        <f>VLOOKUP(C118,YieldData!F:AG,27,FALSE)</f>
        <v>598</v>
      </c>
      <c r="V118">
        <f>_xlfn.MAXIFS(I:I,C:C,C118)</f>
        <v>0.38240428940399501</v>
      </c>
    </row>
    <row r="119" spans="1:22" hidden="1" x14ac:dyDescent="0.25">
      <c r="A119" s="3">
        <f>VLOOKUP(C119,YieldData!F:G,2,FALSE)</f>
        <v>24112</v>
      </c>
      <c r="B119">
        <v>23</v>
      </c>
      <c r="C119">
        <v>308</v>
      </c>
      <c r="D119">
        <v>308</v>
      </c>
      <c r="E119" s="3">
        <f t="shared" si="1"/>
        <v>241120308</v>
      </c>
      <c r="F119" s="3">
        <f>VLOOKUP($E119,YieldData!$H:$R,10,FALSE)</f>
        <v>2</v>
      </c>
      <c r="G119" s="3">
        <f>VLOOKUP($E119,YieldData!$H:$R,11,FALSE)</f>
        <v>1</v>
      </c>
      <c r="H119">
        <v>31</v>
      </c>
      <c r="I119">
        <v>0.106041907448399</v>
      </c>
      <c r="J119">
        <v>0.25623713778951501</v>
      </c>
      <c r="K119">
        <v>2.2550198949941199E-2</v>
      </c>
      <c r="L119">
        <v>0.69283806365873202</v>
      </c>
      <c r="M119">
        <v>7.1541591022027701E-2</v>
      </c>
      <c r="N119">
        <v>9.5120664776491993E-3</v>
      </c>
      <c r="O119">
        <v>-2.8008251924491599E-2</v>
      </c>
      <c r="P119">
        <v>2.2684479141114999E-3</v>
      </c>
      <c r="Q119">
        <v>3390.2703938046502</v>
      </c>
      <c r="R119">
        <v>53740626.844253898</v>
      </c>
      <c r="S119">
        <v>15359.8796518822</v>
      </c>
      <c r="T119">
        <v>42791174.355691202</v>
      </c>
      <c r="U119">
        <f>VLOOKUP(C119,YieldData!F:AG,27,FALSE)</f>
        <v>465</v>
      </c>
      <c r="V119">
        <f>_xlfn.MAXIFS(I:I,C:C,C119)</f>
        <v>0.33378886455029899</v>
      </c>
    </row>
    <row r="120" spans="1:22" hidden="1" x14ac:dyDescent="0.25">
      <c r="A120" s="3">
        <f>VLOOKUP(C120,YieldData!F:G,2,FALSE)</f>
        <v>24112</v>
      </c>
      <c r="B120">
        <v>23</v>
      </c>
      <c r="C120">
        <v>401</v>
      </c>
      <c r="D120">
        <v>401</v>
      </c>
      <c r="E120" s="3">
        <f t="shared" si="1"/>
        <v>241120401</v>
      </c>
      <c r="F120" s="3">
        <f>VLOOKUP($E120,YieldData!$H:$R,10,FALSE)</f>
        <v>3</v>
      </c>
      <c r="G120" s="3">
        <f>VLOOKUP($E120,YieldData!$H:$R,11,FALSE)</f>
        <v>1</v>
      </c>
      <c r="H120">
        <v>23</v>
      </c>
      <c r="I120">
        <v>0.167419750829263</v>
      </c>
      <c r="J120">
        <v>0.30213720282999501</v>
      </c>
      <c r="K120">
        <v>3.29882024146139E-2</v>
      </c>
      <c r="L120">
        <v>0.76528638534717597</v>
      </c>
      <c r="M120">
        <v>9.8114836422643098E-2</v>
      </c>
      <c r="N120">
        <v>1.3243279477677601E-2</v>
      </c>
      <c r="O120">
        <v>-2.7251272061674402E-2</v>
      </c>
      <c r="P120">
        <v>2.5419246690739799E-3</v>
      </c>
      <c r="Q120">
        <v>4583.0436571159898</v>
      </c>
      <c r="R120">
        <v>63871191.759319097</v>
      </c>
      <c r="S120">
        <v>13588.011083556399</v>
      </c>
      <c r="T120">
        <v>47286855.2727957</v>
      </c>
      <c r="U120">
        <f>VLOOKUP(C120,YieldData!F:AG,27,FALSE)</f>
        <v>186</v>
      </c>
      <c r="V120">
        <f>_xlfn.MAXIFS(I:I,C:C,C120)</f>
        <v>0.52861327614165399</v>
      </c>
    </row>
    <row r="121" spans="1:22" hidden="1" x14ac:dyDescent="0.25">
      <c r="A121" s="3">
        <f>VLOOKUP(C121,YieldData!F:G,2,FALSE)</f>
        <v>24112</v>
      </c>
      <c r="B121">
        <v>23</v>
      </c>
      <c r="C121">
        <v>408</v>
      </c>
      <c r="D121">
        <v>408</v>
      </c>
      <c r="E121" s="3">
        <f t="shared" si="1"/>
        <v>241120408</v>
      </c>
      <c r="F121" s="3">
        <f>VLOOKUP($E121,YieldData!$H:$R,10,FALSE)</f>
        <v>3</v>
      </c>
      <c r="G121" s="3">
        <f>VLOOKUP($E121,YieldData!$H:$R,11,FALSE)</f>
        <v>4</v>
      </c>
      <c r="H121">
        <v>44</v>
      </c>
      <c r="I121">
        <v>0.18850676783044201</v>
      </c>
      <c r="J121">
        <v>0.32171734316040101</v>
      </c>
      <c r="K121">
        <v>3.02992011436043E-2</v>
      </c>
      <c r="L121">
        <v>0.90936842105263205</v>
      </c>
      <c r="M121">
        <v>0.10892523759400299</v>
      </c>
      <c r="N121">
        <v>1.34645490651792E-2</v>
      </c>
      <c r="O121">
        <v>-1.97284376470915E-2</v>
      </c>
      <c r="P121">
        <v>2.8717173674564301E-3</v>
      </c>
      <c r="Q121">
        <v>5105.8408629391897</v>
      </c>
      <c r="R121">
        <v>72373164.048277602</v>
      </c>
      <c r="S121">
        <v>14155.659916079399</v>
      </c>
      <c r="T121">
        <v>57221823.659374699</v>
      </c>
      <c r="U121">
        <f>VLOOKUP(C121,YieldData!F:AG,27,FALSE)</f>
        <v>311</v>
      </c>
      <c r="V121">
        <f>_xlfn.MAXIFS(I:I,C:C,C121)</f>
        <v>0.59146576694979003</v>
      </c>
    </row>
    <row r="122" spans="1:22" hidden="1" x14ac:dyDescent="0.25">
      <c r="A122" s="3">
        <f>VLOOKUP(C122,YieldData!F:G,2,FALSE)</f>
        <v>24112</v>
      </c>
      <c r="B122">
        <v>23</v>
      </c>
      <c r="C122">
        <v>409</v>
      </c>
      <c r="D122">
        <v>409</v>
      </c>
      <c r="E122" s="3">
        <f t="shared" si="1"/>
        <v>241120409</v>
      </c>
      <c r="F122" s="3">
        <f>VLOOKUP($E122,YieldData!$H:$R,10,FALSE)</f>
        <v>2</v>
      </c>
      <c r="G122" s="3">
        <f>VLOOKUP($E122,YieldData!$H:$R,11,FALSE)</f>
        <v>4</v>
      </c>
      <c r="H122">
        <v>18</v>
      </c>
      <c r="I122">
        <v>8.8306735967822E-2</v>
      </c>
      <c r="J122">
        <v>0.25696014292366898</v>
      </c>
      <c r="K122">
        <v>1.89188843931683E-2</v>
      </c>
      <c r="L122">
        <v>0.52360526315789502</v>
      </c>
      <c r="M122">
        <v>7.1699560925268302E-2</v>
      </c>
      <c r="N122">
        <v>8.8578660413663798E-3</v>
      </c>
      <c r="O122">
        <v>-2.6865900425380201E-2</v>
      </c>
      <c r="P122">
        <v>1.93326322410815E-3</v>
      </c>
      <c r="Q122">
        <v>3064.1860357301398</v>
      </c>
      <c r="R122">
        <v>40611000.161438197</v>
      </c>
      <c r="S122">
        <v>15990.1048766309</v>
      </c>
      <c r="T122">
        <v>40180630.802666001</v>
      </c>
      <c r="U122">
        <f>VLOOKUP(C122,YieldData!F:AG,27,FALSE)</f>
        <v>366</v>
      </c>
      <c r="V122">
        <f>_xlfn.MAXIFS(I:I,C:C,C122)</f>
        <v>0.27571123127521402</v>
      </c>
    </row>
    <row r="123" spans="1:22" hidden="1" x14ac:dyDescent="0.25">
      <c r="A123" s="3">
        <f>VLOOKUP(C123,YieldData!F:G,2,FALSE)</f>
        <v>24112</v>
      </c>
      <c r="B123">
        <v>23</v>
      </c>
      <c r="C123">
        <v>402</v>
      </c>
      <c r="D123">
        <v>402</v>
      </c>
      <c r="E123" s="3">
        <f t="shared" si="1"/>
        <v>241120402</v>
      </c>
      <c r="F123" s="3">
        <f>VLOOKUP($E123,YieldData!$H:$R,10,FALSE)</f>
        <v>4</v>
      </c>
      <c r="G123" s="3">
        <f>VLOOKUP($E123,YieldData!$H:$R,11,FALSE)</f>
        <v>1</v>
      </c>
      <c r="H123">
        <v>24</v>
      </c>
      <c r="I123">
        <v>0.26191004779690202</v>
      </c>
      <c r="J123">
        <v>0.35522890835235998</v>
      </c>
      <c r="K123">
        <v>4.6217918759507599E-2</v>
      </c>
      <c r="L123">
        <v>0.66386410883924096</v>
      </c>
      <c r="M123">
        <v>0.12427920048173501</v>
      </c>
      <c r="N123">
        <v>1.6272959067535901E-2</v>
      </c>
      <c r="O123">
        <v>-2.5273133796133902E-2</v>
      </c>
      <c r="P123">
        <v>3.0531382780374099E-3</v>
      </c>
      <c r="Q123">
        <v>7398.6832018700898</v>
      </c>
      <c r="R123">
        <v>128245930.05411001</v>
      </c>
      <c r="S123">
        <v>12175.859169154401</v>
      </c>
      <c r="T123">
        <v>60786407.782988898</v>
      </c>
      <c r="U123">
        <f>VLOOKUP(C123,YieldData!F:AG,27,FALSE)</f>
        <v>897</v>
      </c>
      <c r="V123">
        <f>_xlfn.MAXIFS(I:I,C:C,C123)</f>
        <v>0.48018125228853897</v>
      </c>
    </row>
    <row r="124" spans="1:22" hidden="1" x14ac:dyDescent="0.25">
      <c r="A124" s="3">
        <f>VLOOKUP(C124,YieldData!F:G,2,FALSE)</f>
        <v>24112</v>
      </c>
      <c r="B124">
        <v>23</v>
      </c>
      <c r="C124">
        <v>309</v>
      </c>
      <c r="D124">
        <v>309</v>
      </c>
      <c r="E124" s="3">
        <f t="shared" si="1"/>
        <v>241120309</v>
      </c>
      <c r="F124" s="3">
        <f>VLOOKUP($E124,YieldData!$H:$R,10,FALSE)</f>
        <v>1</v>
      </c>
      <c r="G124" s="3">
        <f>VLOOKUP($E124,YieldData!$H:$R,11,FALSE)</f>
        <v>1</v>
      </c>
      <c r="H124">
        <v>41</v>
      </c>
      <c r="I124">
        <v>0.234305825813276</v>
      </c>
      <c r="J124">
        <v>0.32623226945516398</v>
      </c>
      <c r="K124">
        <v>3.9196226053378802E-2</v>
      </c>
      <c r="L124">
        <v>0.894236842105263</v>
      </c>
      <c r="M124">
        <v>0.108378389422136</v>
      </c>
      <c r="N124">
        <v>1.3312839459264101E-2</v>
      </c>
      <c r="O124">
        <v>-2.4074755927318999E-2</v>
      </c>
      <c r="P124">
        <v>3.0713491360851199E-3</v>
      </c>
      <c r="Q124">
        <v>6572.2024277486798</v>
      </c>
      <c r="R124">
        <v>118073132.045966</v>
      </c>
      <c r="S124">
        <v>13402.3504504067</v>
      </c>
      <c r="T124">
        <v>64462643.885593504</v>
      </c>
      <c r="U124">
        <f>VLOOKUP(C124,YieldData!F:AG,27,FALSE)</f>
        <v>953</v>
      </c>
      <c r="V124">
        <f>_xlfn.MAXIFS(I:I,C:C,C124)</f>
        <v>0.62382957577025699</v>
      </c>
    </row>
    <row r="125" spans="1:22" hidden="1" x14ac:dyDescent="0.25">
      <c r="A125" s="3">
        <f>VLOOKUP(C125,YieldData!F:G,2,FALSE)</f>
        <v>24111</v>
      </c>
      <c r="B125">
        <v>23</v>
      </c>
      <c r="C125">
        <v>302</v>
      </c>
      <c r="D125">
        <v>302</v>
      </c>
      <c r="E125" s="3">
        <f t="shared" si="1"/>
        <v>241110302</v>
      </c>
      <c r="F125" s="3">
        <f>VLOOKUP($E125,YieldData!$H:$R,10,FALSE)</f>
        <v>3</v>
      </c>
      <c r="G125" s="3">
        <f>VLOOKUP($E125,YieldData!$H:$R,11,FALSE)</f>
        <v>2</v>
      </c>
      <c r="H125">
        <v>45</v>
      </c>
      <c r="I125">
        <v>0.22009794319294801</v>
      </c>
      <c r="J125">
        <v>0.33164583209807003</v>
      </c>
      <c r="K125">
        <v>3.9068970543910397E-2</v>
      </c>
      <c r="L125">
        <v>0.92842105263157904</v>
      </c>
      <c r="M125">
        <v>0.11771615334961601</v>
      </c>
      <c r="N125">
        <v>1.7288321049510599E-2</v>
      </c>
      <c r="O125">
        <v>-2.0408278043804899E-2</v>
      </c>
      <c r="P125">
        <v>2.9417516452727699E-3</v>
      </c>
      <c r="Q125">
        <v>5359.1181260202402</v>
      </c>
      <c r="R125">
        <v>78624449.096924901</v>
      </c>
      <c r="S125">
        <v>12820.9395985181</v>
      </c>
      <c r="T125">
        <v>57149486.377000697</v>
      </c>
      <c r="U125">
        <f>VLOOKUP(C125,YieldData!F:AG,27,FALSE)</f>
        <v>702</v>
      </c>
      <c r="V125">
        <f>_xlfn.MAXIFS(I:I,C:C,C125)</f>
        <v>0.59986530313333697</v>
      </c>
    </row>
    <row r="126" spans="1:22" hidden="1" x14ac:dyDescent="0.25">
      <c r="A126" s="3">
        <f>VLOOKUP(C126,YieldData!F:G,2,FALSE)</f>
        <v>24111</v>
      </c>
      <c r="B126">
        <v>23</v>
      </c>
      <c r="C126">
        <v>209</v>
      </c>
      <c r="D126">
        <v>209</v>
      </c>
      <c r="E126" s="3">
        <f t="shared" si="1"/>
        <v>241110209</v>
      </c>
      <c r="F126" s="3">
        <f>VLOOKUP($E126,YieldData!$H:$R,10,FALSE)</f>
        <v>4</v>
      </c>
      <c r="G126" s="3">
        <f>VLOOKUP($E126,YieldData!$H:$R,11,FALSE)</f>
        <v>2</v>
      </c>
      <c r="H126">
        <v>50</v>
      </c>
      <c r="I126">
        <v>0.166499072792332</v>
      </c>
      <c r="J126">
        <v>0.303868055346106</v>
      </c>
      <c r="K126">
        <v>2.9043227602795301E-2</v>
      </c>
      <c r="L126">
        <v>0.95127695688214597</v>
      </c>
      <c r="M126">
        <v>8.6938434798633002E-2</v>
      </c>
      <c r="N126">
        <v>1.1676951246135599E-2</v>
      </c>
      <c r="O126">
        <v>-2.5258190774852699E-2</v>
      </c>
      <c r="P126">
        <v>2.75421188862119E-3</v>
      </c>
      <c r="Q126">
        <v>4859.2644304855403</v>
      </c>
      <c r="R126">
        <v>70597452.944761306</v>
      </c>
      <c r="S126">
        <v>14232.9741995036</v>
      </c>
      <c r="T126">
        <v>52862495.355081797</v>
      </c>
      <c r="U126">
        <f>VLOOKUP(C126,YieldData!F:AG,27,FALSE)</f>
        <v>573</v>
      </c>
      <c r="V126">
        <f>_xlfn.MAXIFS(I:I,C:C,C126)</f>
        <v>0.488269602971177</v>
      </c>
    </row>
    <row r="127" spans="1:22" hidden="1" x14ac:dyDescent="0.25">
      <c r="A127" s="3">
        <f>VLOOKUP(C127,YieldData!F:G,2,FALSE)</f>
        <v>24110</v>
      </c>
      <c r="B127">
        <v>23</v>
      </c>
      <c r="C127">
        <v>202</v>
      </c>
      <c r="D127">
        <v>202</v>
      </c>
      <c r="E127" s="3">
        <f t="shared" si="1"/>
        <v>241100202</v>
      </c>
      <c r="F127" s="3">
        <f>VLOOKUP($E127,YieldData!$H:$R,10,FALSE)</f>
        <v>1</v>
      </c>
      <c r="G127" s="3">
        <f>VLOOKUP($E127,YieldData!$H:$R,11,FALSE)</f>
        <v>4</v>
      </c>
      <c r="H127">
        <v>94</v>
      </c>
      <c r="I127">
        <v>7.5905974534769993E-2</v>
      </c>
      <c r="J127">
        <v>0.26865328932900601</v>
      </c>
      <c r="K127">
        <v>1.49830030803414E-2</v>
      </c>
      <c r="L127">
        <v>0.995644794147445</v>
      </c>
      <c r="M127">
        <v>7.7575743193676605E-2</v>
      </c>
      <c r="N127">
        <v>9.9159532284361692E-3</v>
      </c>
      <c r="O127">
        <v>-2.4583073270340299E-2</v>
      </c>
      <c r="P127">
        <v>1.89661993703157E-3</v>
      </c>
      <c r="Q127">
        <v>2108.8145543584701</v>
      </c>
      <c r="R127">
        <v>15925207.7796418</v>
      </c>
      <c r="S127">
        <v>15193.802796539099</v>
      </c>
      <c r="T127">
        <v>37799494.085648902</v>
      </c>
      <c r="U127">
        <f>VLOOKUP(C127,YieldData!F:AG,27,FALSE)</f>
        <v>2029</v>
      </c>
      <c r="V127">
        <f>_xlfn.MAXIFS(I:I,C:C,C127)</f>
        <v>0.52363733849453398</v>
      </c>
    </row>
    <row r="128" spans="1:22" hidden="1" x14ac:dyDescent="0.25">
      <c r="A128" s="3">
        <f>VLOOKUP(C128,YieldData!F:G,2,FALSE)</f>
        <v>24110</v>
      </c>
      <c r="B128">
        <v>23</v>
      </c>
      <c r="C128">
        <v>109</v>
      </c>
      <c r="D128">
        <v>109</v>
      </c>
      <c r="E128" s="3">
        <f t="shared" si="1"/>
        <v>241100109</v>
      </c>
      <c r="F128" s="3">
        <f>VLOOKUP($E128,YieldData!$H:$R,10,FALSE)</f>
        <v>3</v>
      </c>
      <c r="G128" s="3">
        <f>VLOOKUP($E128,YieldData!$H:$R,11,FALSE)</f>
        <v>3</v>
      </c>
      <c r="H128">
        <v>59</v>
      </c>
      <c r="I128">
        <v>0.128346436127145</v>
      </c>
      <c r="J128">
        <v>0.29041424922488901</v>
      </c>
      <c r="K128">
        <v>2.2256104417312499E-2</v>
      </c>
      <c r="L128">
        <v>0.94582894736842105</v>
      </c>
      <c r="M128">
        <v>7.9761050841099995E-2</v>
      </c>
      <c r="N128">
        <v>9.5225431927194407E-3</v>
      </c>
      <c r="O128">
        <v>-2.5981055683317301E-2</v>
      </c>
      <c r="P128">
        <v>2.20852035925268E-3</v>
      </c>
      <c r="Q128">
        <v>3642.1133935800699</v>
      </c>
      <c r="R128">
        <v>49164069.718187198</v>
      </c>
      <c r="S128">
        <v>15338.705772506501</v>
      </c>
      <c r="T128">
        <v>44886073.184302002</v>
      </c>
      <c r="U128">
        <f>VLOOKUP(C128,YieldData!F:AG,27,FALSE)</f>
        <v>1852</v>
      </c>
      <c r="V128">
        <f>_xlfn.MAXIFS(I:I,C:C,C128)</f>
        <v>0.58023512796035004</v>
      </c>
    </row>
    <row r="129" spans="1:22" hidden="1" x14ac:dyDescent="0.25">
      <c r="A129" s="3">
        <f>VLOOKUP(C129,YieldData!F:G,2,FALSE)</f>
        <v>24110</v>
      </c>
      <c r="B129">
        <v>23</v>
      </c>
      <c r="C129">
        <v>102</v>
      </c>
      <c r="D129">
        <v>102</v>
      </c>
      <c r="E129" s="3">
        <f t="shared" si="1"/>
        <v>241100102</v>
      </c>
      <c r="F129" s="3">
        <f>VLOOKUP($E129,YieldData!$H:$R,10,FALSE)</f>
        <v>2</v>
      </c>
      <c r="G129" s="3">
        <f>VLOOKUP($E129,YieldData!$H:$R,11,FALSE)</f>
        <v>1</v>
      </c>
      <c r="H129">
        <v>109</v>
      </c>
      <c r="I129">
        <v>9.6336295551449E-2</v>
      </c>
      <c r="J129">
        <v>0.28311011005867398</v>
      </c>
      <c r="K129">
        <v>1.6761562390649801E-2</v>
      </c>
      <c r="L129">
        <v>0.987618746875082</v>
      </c>
      <c r="M129">
        <v>8.4698576410075499E-2</v>
      </c>
      <c r="N129">
        <v>9.7318547660597103E-3</v>
      </c>
      <c r="O129">
        <v>-2.44006058905578E-2</v>
      </c>
      <c r="P129">
        <v>1.8328865233495899E-3</v>
      </c>
      <c r="Q129">
        <v>2597.2325809168701</v>
      </c>
      <c r="R129">
        <v>15948422.5300356</v>
      </c>
      <c r="S129">
        <v>15484.461212976301</v>
      </c>
      <c r="T129">
        <v>37658265.562239602</v>
      </c>
      <c r="U129">
        <f>VLOOKUP(C129,YieldData!F:AG,27,FALSE)</f>
        <v>2083</v>
      </c>
      <c r="V129">
        <f>_xlfn.MAXIFS(I:I,C:C,C129)</f>
        <v>0.57049727008206097</v>
      </c>
    </row>
    <row r="130" spans="1:22" hidden="1" x14ac:dyDescent="0.25">
      <c r="A130" s="3">
        <f>VLOOKUP(C130,YieldData!F:G,2,FALSE)</f>
        <v>24110</v>
      </c>
      <c r="B130">
        <v>23</v>
      </c>
      <c r="C130">
        <v>103</v>
      </c>
      <c r="D130">
        <v>103</v>
      </c>
      <c r="E130" s="3">
        <f t="shared" si="1"/>
        <v>241100103</v>
      </c>
      <c r="F130" s="3">
        <f>VLOOKUP($E130,YieldData!$H:$R,10,FALSE)</f>
        <v>3</v>
      </c>
      <c r="G130" s="3">
        <f>VLOOKUP($E130,YieldData!$H:$R,11,FALSE)</f>
        <v>1</v>
      </c>
      <c r="H130">
        <v>69</v>
      </c>
      <c r="I130">
        <v>0.117152352906609</v>
      </c>
      <c r="J130">
        <v>0.28477736351146798</v>
      </c>
      <c r="K130">
        <v>1.9743412706369701E-2</v>
      </c>
      <c r="L130">
        <v>0.98009236720569504</v>
      </c>
      <c r="M130">
        <v>7.6053959879411603E-2</v>
      </c>
      <c r="N130">
        <v>9.2934672668350798E-3</v>
      </c>
      <c r="O130">
        <v>-2.8454453001868201E-2</v>
      </c>
      <c r="P130">
        <v>1.9574743643331598E-3</v>
      </c>
      <c r="Q130">
        <v>3433.9800915436399</v>
      </c>
      <c r="R130">
        <v>38503763.044866398</v>
      </c>
      <c r="S130">
        <v>15764.918405264099</v>
      </c>
      <c r="T130">
        <v>40640195.317936301</v>
      </c>
      <c r="U130">
        <f>VLOOKUP(C130,YieldData!F:AG,27,FALSE)</f>
        <v>1595</v>
      </c>
      <c r="V130">
        <f>_xlfn.MAXIFS(I:I,C:C,C130)</f>
        <v>0.57597295600774201</v>
      </c>
    </row>
    <row r="131" spans="1:22" hidden="1" x14ac:dyDescent="0.25">
      <c r="A131" s="3">
        <f>VLOOKUP(C131,YieldData!F:G,2,FALSE)</f>
        <v>24110</v>
      </c>
      <c r="B131">
        <v>23</v>
      </c>
      <c r="C131">
        <v>110</v>
      </c>
      <c r="D131">
        <v>110</v>
      </c>
      <c r="E131" s="3">
        <f t="shared" ref="E131:E194" si="2">A131*10000+D131</f>
        <v>241100110</v>
      </c>
      <c r="F131" s="3">
        <f>VLOOKUP($E131,YieldData!$H:$R,10,FALSE)</f>
        <v>5</v>
      </c>
      <c r="G131" s="3">
        <f>VLOOKUP($E131,YieldData!$H:$R,11,FALSE)</f>
        <v>3</v>
      </c>
      <c r="H131">
        <v>62</v>
      </c>
      <c r="I131">
        <v>6.0842708734630997E-2</v>
      </c>
      <c r="J131">
        <v>0.24841444385252301</v>
      </c>
      <c r="K131">
        <v>1.24648510179958E-2</v>
      </c>
      <c r="L131">
        <v>0.97988157894736805</v>
      </c>
      <c r="M131">
        <v>5.32092031781101E-2</v>
      </c>
      <c r="N131">
        <v>6.5667848870873098E-3</v>
      </c>
      <c r="O131">
        <v>-3.1750058229664702E-2</v>
      </c>
      <c r="P131">
        <v>1.7438326487197999E-3</v>
      </c>
      <c r="Q131">
        <v>2580.3969402346702</v>
      </c>
      <c r="R131">
        <v>16248649.970856</v>
      </c>
      <c r="S131">
        <v>16226.4521147099</v>
      </c>
      <c r="T131">
        <v>35334623.453114197</v>
      </c>
      <c r="U131">
        <f>VLOOKUP(C131,YieldData!F:AG,27,FALSE)</f>
        <v>1811</v>
      </c>
      <c r="V131">
        <f>_xlfn.MAXIFS(I:I,C:C,C131)</f>
        <v>0.51251822645926104</v>
      </c>
    </row>
    <row r="132" spans="1:22" hidden="1" x14ac:dyDescent="0.25">
      <c r="A132" s="3">
        <f>VLOOKUP(C132,YieldData!F:G,2,FALSE)</f>
        <v>24110</v>
      </c>
      <c r="B132">
        <v>23</v>
      </c>
      <c r="C132">
        <v>203</v>
      </c>
      <c r="D132">
        <v>203</v>
      </c>
      <c r="E132" s="3">
        <f t="shared" si="2"/>
        <v>241100203</v>
      </c>
      <c r="F132" s="3">
        <f>VLOOKUP($E132,YieldData!$H:$R,10,FALSE)</f>
        <v>2</v>
      </c>
      <c r="G132" s="3">
        <f>VLOOKUP($E132,YieldData!$H:$R,11,FALSE)</f>
        <v>4</v>
      </c>
      <c r="H132">
        <v>98</v>
      </c>
      <c r="I132">
        <v>9.6827272786633001E-2</v>
      </c>
      <c r="J132">
        <v>0.26868727488976302</v>
      </c>
      <c r="K132">
        <v>1.95769789525722E-2</v>
      </c>
      <c r="L132">
        <v>0.990368167583357</v>
      </c>
      <c r="M132">
        <v>7.5532507463318299E-2</v>
      </c>
      <c r="N132">
        <v>1.1303574261166099E-2</v>
      </c>
      <c r="O132">
        <v>-2.6141824345055801E-2</v>
      </c>
      <c r="P132">
        <v>1.8956003911537E-3</v>
      </c>
      <c r="Q132">
        <v>2351.3486669844401</v>
      </c>
      <c r="R132">
        <v>17398628.708472401</v>
      </c>
      <c r="S132">
        <v>15007.0019095197</v>
      </c>
      <c r="T132">
        <v>40718857.991310202</v>
      </c>
      <c r="U132">
        <f>VLOOKUP(C132,YieldData!F:AG,27,FALSE)</f>
        <v>1921</v>
      </c>
      <c r="V132">
        <f>_xlfn.MAXIFS(I:I,C:C,C132)</f>
        <v>0.56937542501438498</v>
      </c>
    </row>
    <row r="133" spans="1:22" hidden="1" x14ac:dyDescent="0.25">
      <c r="A133" s="3">
        <f>VLOOKUP(C133,YieldData!F:G,2,FALSE)</f>
        <v>24111</v>
      </c>
      <c r="B133">
        <v>23</v>
      </c>
      <c r="C133">
        <v>210</v>
      </c>
      <c r="D133">
        <v>210</v>
      </c>
      <c r="E133" s="3">
        <f t="shared" si="2"/>
        <v>241110210</v>
      </c>
      <c r="F133" s="3">
        <f>VLOOKUP($E133,YieldData!$H:$R,10,FALSE)</f>
        <v>2</v>
      </c>
      <c r="G133" s="3">
        <f>VLOOKUP($E133,YieldData!$H:$R,11,FALSE)</f>
        <v>2</v>
      </c>
      <c r="H133">
        <v>24</v>
      </c>
      <c r="I133">
        <v>0.26401394701960801</v>
      </c>
      <c r="J133">
        <v>0.348380534343393</v>
      </c>
      <c r="K133">
        <v>4.6527382304243803E-2</v>
      </c>
      <c r="L133">
        <v>0.67846475704267095</v>
      </c>
      <c r="M133">
        <v>0.11142950351163899</v>
      </c>
      <c r="N133">
        <v>1.6919097862039899E-2</v>
      </c>
      <c r="O133">
        <v>-2.3789452639316901E-2</v>
      </c>
      <c r="P133">
        <v>2.97580960103098E-3</v>
      </c>
      <c r="Q133">
        <v>6399.5755169734402</v>
      </c>
      <c r="R133">
        <v>97238881.821850002</v>
      </c>
      <c r="S133">
        <v>12553.738486034899</v>
      </c>
      <c r="T133">
        <v>65952891.088683702</v>
      </c>
      <c r="U133">
        <f>VLOOKUP(C133,YieldData!F:AG,27,FALSE)</f>
        <v>849</v>
      </c>
      <c r="V133">
        <f>_xlfn.MAXIFS(I:I,C:C,C133)</f>
        <v>0.61838939164094797</v>
      </c>
    </row>
    <row r="134" spans="1:22" hidden="1" x14ac:dyDescent="0.25">
      <c r="A134" s="3">
        <f>VLOOKUP(C134,YieldData!F:G,2,FALSE)</f>
        <v>24111</v>
      </c>
      <c r="B134">
        <v>23</v>
      </c>
      <c r="C134">
        <v>303</v>
      </c>
      <c r="D134">
        <v>303</v>
      </c>
      <c r="E134" s="3">
        <f t="shared" si="2"/>
        <v>241110303</v>
      </c>
      <c r="F134" s="3">
        <f>VLOOKUP($E134,YieldData!$H:$R,10,FALSE)</f>
        <v>3</v>
      </c>
      <c r="G134" s="3">
        <f>VLOOKUP($E134,YieldData!$H:$R,11,FALSE)</f>
        <v>3</v>
      </c>
      <c r="H134">
        <v>50</v>
      </c>
      <c r="I134">
        <v>0.20962971185300799</v>
      </c>
      <c r="J134">
        <v>0.317629075434256</v>
      </c>
      <c r="K134">
        <v>4.1825256935341497E-2</v>
      </c>
      <c r="L134">
        <v>0.94594736842105298</v>
      </c>
      <c r="M134">
        <v>0.10500620864431801</v>
      </c>
      <c r="N134">
        <v>1.7042228928524399E-2</v>
      </c>
      <c r="O134">
        <v>-2.33578993585218E-2</v>
      </c>
      <c r="P134">
        <v>2.8376120106561099E-3</v>
      </c>
      <c r="Q134">
        <v>5242.3452213828205</v>
      </c>
      <c r="R134">
        <v>74147065.066821098</v>
      </c>
      <c r="S134">
        <v>13028.296635793</v>
      </c>
      <c r="T134">
        <v>57722730.057411402</v>
      </c>
      <c r="U134">
        <f>VLOOKUP(C134,YieldData!F:AG,27,FALSE)</f>
        <v>546</v>
      </c>
      <c r="V134">
        <f>_xlfn.MAXIFS(I:I,C:C,C134)</f>
        <v>0.53846053251033099</v>
      </c>
    </row>
    <row r="135" spans="1:22" hidden="1" x14ac:dyDescent="0.25">
      <c r="A135" s="3">
        <f>VLOOKUP(C135,YieldData!F:G,2,FALSE)</f>
        <v>24111</v>
      </c>
      <c r="B135">
        <v>23</v>
      </c>
      <c r="C135">
        <v>310</v>
      </c>
      <c r="D135">
        <v>310</v>
      </c>
      <c r="E135" s="3">
        <f t="shared" si="2"/>
        <v>241110310</v>
      </c>
      <c r="F135" s="3">
        <f>VLOOKUP($E135,YieldData!$H:$R,10,FALSE)</f>
        <v>5</v>
      </c>
      <c r="G135" s="3">
        <f>VLOOKUP($E135,YieldData!$H:$R,11,FALSE)</f>
        <v>4</v>
      </c>
      <c r="H135">
        <v>37</v>
      </c>
      <c r="I135">
        <v>0.20215343027469601</v>
      </c>
      <c r="J135">
        <v>0.30252934955900401</v>
      </c>
      <c r="K135">
        <v>3.8242331186497197E-2</v>
      </c>
      <c r="L135">
        <v>0.875394736842105</v>
      </c>
      <c r="M135">
        <v>9.6263830232200795E-2</v>
      </c>
      <c r="N135">
        <v>1.4712845669684E-2</v>
      </c>
      <c r="O135">
        <v>-2.7731532504719499E-2</v>
      </c>
      <c r="P135">
        <v>3.0100313538622202E-3</v>
      </c>
      <c r="Q135">
        <v>5290.6038876664197</v>
      </c>
      <c r="R135">
        <v>74391226.409183905</v>
      </c>
      <c r="S135">
        <v>13622.140532318601</v>
      </c>
      <c r="T135">
        <v>58381566.846451603</v>
      </c>
      <c r="U135">
        <f>VLOOKUP(C135,YieldData!F:AG,27,FALSE)</f>
        <v>586</v>
      </c>
      <c r="V135">
        <f>_xlfn.MAXIFS(I:I,C:C,C135)</f>
        <v>0.54465564251946896</v>
      </c>
    </row>
    <row r="136" spans="1:22" hidden="1" x14ac:dyDescent="0.25">
      <c r="A136" s="3">
        <f>VLOOKUP(C136,YieldData!F:G,2,FALSE)</f>
        <v>24112</v>
      </c>
      <c r="B136">
        <v>23</v>
      </c>
      <c r="C136">
        <v>403</v>
      </c>
      <c r="D136">
        <v>403</v>
      </c>
      <c r="E136" s="3">
        <f t="shared" si="2"/>
        <v>241120403</v>
      </c>
      <c r="F136" s="3">
        <f>VLOOKUP($E136,YieldData!$H:$R,10,FALSE)</f>
        <v>1</v>
      </c>
      <c r="G136" s="3">
        <f>VLOOKUP($E136,YieldData!$H:$R,11,FALSE)</f>
        <v>2</v>
      </c>
      <c r="H136">
        <v>38</v>
      </c>
      <c r="I136">
        <v>0.22176950701926201</v>
      </c>
      <c r="J136">
        <v>0.330527922531416</v>
      </c>
      <c r="K136">
        <v>3.6719043553461402E-2</v>
      </c>
      <c r="L136">
        <v>0.91155030395536696</v>
      </c>
      <c r="M136">
        <v>0.11002372336308799</v>
      </c>
      <c r="N136">
        <v>1.4308231664875199E-2</v>
      </c>
      <c r="O136">
        <v>-2.4593764280827799E-2</v>
      </c>
      <c r="P136">
        <v>3.3821365191145799E-3</v>
      </c>
      <c r="Q136">
        <v>5896.3835847208602</v>
      </c>
      <c r="R136">
        <v>87868330.522466704</v>
      </c>
      <c r="S136">
        <v>12449.701919573299</v>
      </c>
      <c r="T136">
        <v>46571838.913999103</v>
      </c>
      <c r="U136">
        <f>VLOOKUP(C136,YieldData!F:AG,27,FALSE)</f>
        <v>562</v>
      </c>
      <c r="V136">
        <f>_xlfn.MAXIFS(I:I,C:C,C136)</f>
        <v>0.51879507516068502</v>
      </c>
    </row>
    <row r="137" spans="1:22" hidden="1" x14ac:dyDescent="0.25">
      <c r="A137" s="3">
        <f>VLOOKUP(C137,YieldData!F:G,2,FALSE)</f>
        <v>24112</v>
      </c>
      <c r="B137">
        <v>23</v>
      </c>
      <c r="C137">
        <v>410</v>
      </c>
      <c r="D137">
        <v>410</v>
      </c>
      <c r="E137" s="3">
        <f t="shared" si="2"/>
        <v>241120410</v>
      </c>
      <c r="F137" s="3">
        <f>VLOOKUP($E137,YieldData!$H:$R,10,FALSE)</f>
        <v>4</v>
      </c>
      <c r="G137" s="3">
        <f>VLOOKUP($E137,YieldData!$H:$R,11,FALSE)</f>
        <v>4</v>
      </c>
      <c r="H137">
        <v>26</v>
      </c>
      <c r="I137">
        <v>0.248183141907554</v>
      </c>
      <c r="J137">
        <v>0.34957839016182002</v>
      </c>
      <c r="K137">
        <v>4.3062195672140001E-2</v>
      </c>
      <c r="L137">
        <v>0.78278947368421004</v>
      </c>
      <c r="M137">
        <v>0.115848403823524</v>
      </c>
      <c r="N137">
        <v>1.51711337993191E-2</v>
      </c>
      <c r="O137">
        <v>-2.33153535907995E-2</v>
      </c>
      <c r="P137">
        <v>3.07679841049122E-3</v>
      </c>
      <c r="Q137">
        <v>6970.4954717301498</v>
      </c>
      <c r="R137">
        <v>126755355.909578</v>
      </c>
      <c r="S137">
        <v>12384.689816750901</v>
      </c>
      <c r="T137">
        <v>60301997.825703502</v>
      </c>
      <c r="U137">
        <f>VLOOKUP(C137,YieldData!F:AG,27,FALSE)</f>
        <v>780</v>
      </c>
      <c r="V137">
        <f>_xlfn.MAXIFS(I:I,C:C,C137)</f>
        <v>0.55470333607961597</v>
      </c>
    </row>
    <row r="138" spans="1:22" hidden="1" x14ac:dyDescent="0.25">
      <c r="A138" s="3">
        <f>VLOOKUP(C138,YieldData!F:G,2,FALSE)</f>
        <v>24112</v>
      </c>
      <c r="B138">
        <v>23</v>
      </c>
      <c r="C138">
        <v>411</v>
      </c>
      <c r="D138">
        <v>411</v>
      </c>
      <c r="E138" s="3">
        <f t="shared" si="2"/>
        <v>241120411</v>
      </c>
      <c r="F138" s="3">
        <f>VLOOKUP($E138,YieldData!$H:$R,10,FALSE)</f>
        <v>1</v>
      </c>
      <c r="G138" s="3">
        <f>VLOOKUP($E138,YieldData!$H:$R,11,FALSE)</f>
        <v>4</v>
      </c>
      <c r="H138">
        <v>40</v>
      </c>
      <c r="I138">
        <v>0.205757716240834</v>
      </c>
      <c r="J138">
        <v>0.31666740757138601</v>
      </c>
      <c r="K138">
        <v>3.4353464786311398E-2</v>
      </c>
      <c r="L138">
        <v>0.81209457770292504</v>
      </c>
      <c r="M138">
        <v>9.7820766051177399E-2</v>
      </c>
      <c r="N138">
        <v>1.26627888085855E-2</v>
      </c>
      <c r="O138">
        <v>-2.6830567898272598E-2</v>
      </c>
      <c r="P138">
        <v>3.0865756939929601E-3</v>
      </c>
      <c r="Q138">
        <v>5713.7863219959399</v>
      </c>
      <c r="R138">
        <v>99875944.746218994</v>
      </c>
      <c r="S138">
        <v>13747.044134088699</v>
      </c>
      <c r="T138">
        <v>56068080.154674903</v>
      </c>
      <c r="U138">
        <f>VLOOKUP(C138,YieldData!F:AG,27,FALSE)</f>
        <v>550</v>
      </c>
      <c r="V138">
        <f>_xlfn.MAXIFS(I:I,C:C,C138)</f>
        <v>0.511070134829404</v>
      </c>
    </row>
    <row r="139" spans="1:22" hidden="1" x14ac:dyDescent="0.25">
      <c r="A139" s="3">
        <f>VLOOKUP(C139,YieldData!F:G,2,FALSE)</f>
        <v>24112</v>
      </c>
      <c r="B139">
        <v>23</v>
      </c>
      <c r="C139">
        <v>404</v>
      </c>
      <c r="D139">
        <v>404</v>
      </c>
      <c r="E139" s="3">
        <f t="shared" si="2"/>
        <v>241120404</v>
      </c>
      <c r="F139" s="3">
        <f>VLOOKUP($E139,YieldData!$H:$R,10,FALSE)</f>
        <v>2</v>
      </c>
      <c r="G139" s="3">
        <f>VLOOKUP($E139,YieldData!$H:$R,11,FALSE)</f>
        <v>2</v>
      </c>
      <c r="H139">
        <v>23</v>
      </c>
      <c r="I139">
        <v>9.4477237704703995E-2</v>
      </c>
      <c r="J139">
        <v>0.248726729783979</v>
      </c>
      <c r="K139">
        <v>2.19383443901176E-2</v>
      </c>
      <c r="L139">
        <v>0.57874445716390999</v>
      </c>
      <c r="M139">
        <v>6.1660288787295597E-2</v>
      </c>
      <c r="N139">
        <v>1.06360354844956E-2</v>
      </c>
      <c r="O139">
        <v>-3.0732735505379201E-2</v>
      </c>
      <c r="P139">
        <v>1.9985407598525902E-3</v>
      </c>
      <c r="Q139">
        <v>2924.3613106276298</v>
      </c>
      <c r="R139">
        <v>39352060.090260804</v>
      </c>
      <c r="S139">
        <v>14616.9894886938</v>
      </c>
      <c r="T139">
        <v>38101807.9127139</v>
      </c>
      <c r="U139">
        <f>VLOOKUP(C139,YieldData!F:AG,27,FALSE)</f>
        <v>368</v>
      </c>
      <c r="V139">
        <f>_xlfn.MAXIFS(I:I,C:C,C139)</f>
        <v>0.273796057148462</v>
      </c>
    </row>
    <row r="140" spans="1:22" hidden="1" x14ac:dyDescent="0.25">
      <c r="A140" s="3">
        <f>VLOOKUP(C140,YieldData!F:G,2,FALSE)</f>
        <v>24111</v>
      </c>
      <c r="B140">
        <v>23</v>
      </c>
      <c r="C140">
        <v>311</v>
      </c>
      <c r="D140">
        <v>311</v>
      </c>
      <c r="E140" s="3">
        <f t="shared" si="2"/>
        <v>241110311</v>
      </c>
      <c r="F140" s="3">
        <f>VLOOKUP($E140,YieldData!$H:$R,10,FALSE)</f>
        <v>4</v>
      </c>
      <c r="G140" s="3">
        <f>VLOOKUP($E140,YieldData!$H:$R,11,FALSE)</f>
        <v>4</v>
      </c>
      <c r="H140">
        <v>63</v>
      </c>
      <c r="I140">
        <v>0.155815578293035</v>
      </c>
      <c r="J140">
        <v>0.275167354801374</v>
      </c>
      <c r="K140">
        <v>3.1611027498348203E-2</v>
      </c>
      <c r="L140">
        <v>0.92614473684210497</v>
      </c>
      <c r="M140">
        <v>7.6931597992239698E-2</v>
      </c>
      <c r="N140">
        <v>1.1893198194666599E-2</v>
      </c>
      <c r="O140">
        <v>-2.8290163109766502E-2</v>
      </c>
      <c r="P140">
        <v>2.4390299527011299E-3</v>
      </c>
      <c r="Q140">
        <v>4190.1766841442004</v>
      </c>
      <c r="R140">
        <v>59855172.148300603</v>
      </c>
      <c r="S140">
        <v>13822.744695114599</v>
      </c>
      <c r="T140">
        <v>49383776.725694202</v>
      </c>
      <c r="U140">
        <f>VLOOKUP(C140,YieldData!F:AG,27,FALSE)</f>
        <v>687</v>
      </c>
      <c r="V140">
        <f>_xlfn.MAXIFS(I:I,C:C,C140)</f>
        <v>0.39958152156144799</v>
      </c>
    </row>
    <row r="141" spans="1:22" hidden="1" x14ac:dyDescent="0.25">
      <c r="A141" s="3">
        <f>VLOOKUP(C141,YieldData!F:G,2,FALSE)</f>
        <v>24111</v>
      </c>
      <c r="B141">
        <v>23</v>
      </c>
      <c r="C141">
        <v>304</v>
      </c>
      <c r="D141">
        <v>304</v>
      </c>
      <c r="E141" s="3">
        <f t="shared" si="2"/>
        <v>241110304</v>
      </c>
      <c r="F141" s="3">
        <f>VLOOKUP($E141,YieldData!$H:$R,10,FALSE)</f>
        <v>5</v>
      </c>
      <c r="G141" s="3">
        <f>VLOOKUP($E141,YieldData!$H:$R,11,FALSE)</f>
        <v>3</v>
      </c>
      <c r="H141">
        <v>31</v>
      </c>
      <c r="I141">
        <v>0.180100295139342</v>
      </c>
      <c r="J141">
        <v>0.28836308084329798</v>
      </c>
      <c r="K141">
        <v>3.9722760007305402E-2</v>
      </c>
      <c r="L141">
        <v>0.700096051367745</v>
      </c>
      <c r="M141">
        <v>9.0347796220729304E-2</v>
      </c>
      <c r="N141">
        <v>1.6713720036566401E-2</v>
      </c>
      <c r="O141">
        <v>-2.6670175538725201E-2</v>
      </c>
      <c r="P141">
        <v>2.35028416513795E-3</v>
      </c>
      <c r="Q141">
        <v>4303.7058466320204</v>
      </c>
      <c r="R141">
        <v>63640152.598229401</v>
      </c>
      <c r="S141">
        <v>13421.4145271456</v>
      </c>
      <c r="T141">
        <v>53569822.739659503</v>
      </c>
      <c r="U141">
        <f>VLOOKUP(C141,YieldData!F:AG,27,FALSE)</f>
        <v>718</v>
      </c>
      <c r="V141">
        <f>_xlfn.MAXIFS(I:I,C:C,C141)</f>
        <v>0.41874546369978999</v>
      </c>
    </row>
    <row r="142" spans="1:22" hidden="1" x14ac:dyDescent="0.25">
      <c r="A142" s="3">
        <f>VLOOKUP(C142,YieldData!F:G,2,FALSE)</f>
        <v>24111</v>
      </c>
      <c r="B142">
        <v>23</v>
      </c>
      <c r="C142">
        <v>211</v>
      </c>
      <c r="D142">
        <v>211</v>
      </c>
      <c r="E142" s="3">
        <f t="shared" si="2"/>
        <v>241110211</v>
      </c>
      <c r="F142" s="3">
        <f>VLOOKUP($E142,YieldData!$H:$R,10,FALSE)</f>
        <v>5</v>
      </c>
      <c r="G142" s="3">
        <f>VLOOKUP($E142,YieldData!$H:$R,11,FALSE)</f>
        <v>1</v>
      </c>
      <c r="H142">
        <v>37</v>
      </c>
      <c r="I142">
        <v>0.21943049669933601</v>
      </c>
      <c r="J142">
        <v>0.32004602293677198</v>
      </c>
      <c r="K142">
        <v>4.0784727276175603E-2</v>
      </c>
      <c r="L142">
        <v>0.912489145022499</v>
      </c>
      <c r="M142">
        <v>0.100974460395153</v>
      </c>
      <c r="N142">
        <v>1.5022011554545699E-2</v>
      </c>
      <c r="O142">
        <v>-2.37590291597501E-2</v>
      </c>
      <c r="P142">
        <v>2.75583533607507E-3</v>
      </c>
      <c r="Q142">
        <v>5874.0336269433401</v>
      </c>
      <c r="R142">
        <v>87673682.825059593</v>
      </c>
      <c r="S142">
        <v>13173.331778305799</v>
      </c>
      <c r="T142">
        <v>60368164.706775501</v>
      </c>
      <c r="U142">
        <f>VLOOKUP(C142,YieldData!F:AG,27,FALSE)</f>
        <v>733</v>
      </c>
      <c r="V142">
        <f>_xlfn.MAXIFS(I:I,C:C,C142)</f>
        <v>0.54509075691792597</v>
      </c>
    </row>
    <row r="143" spans="1:22" hidden="1" x14ac:dyDescent="0.25">
      <c r="A143" s="3">
        <f>VLOOKUP(C143,YieldData!F:G,2,FALSE)</f>
        <v>24110</v>
      </c>
      <c r="B143">
        <v>23</v>
      </c>
      <c r="C143">
        <v>204</v>
      </c>
      <c r="D143">
        <v>204</v>
      </c>
      <c r="E143" s="3">
        <f t="shared" si="2"/>
        <v>241100204</v>
      </c>
      <c r="F143" s="3">
        <f>VLOOKUP($E143,YieldData!$H:$R,10,FALSE)</f>
        <v>3</v>
      </c>
      <c r="G143" s="3">
        <f>VLOOKUP($E143,YieldData!$H:$R,11,FALSE)</f>
        <v>4</v>
      </c>
      <c r="H143">
        <v>56</v>
      </c>
      <c r="I143">
        <v>0.104532187608146</v>
      </c>
      <c r="J143">
        <v>0.26044625213689099</v>
      </c>
      <c r="K143">
        <v>2.1333247283174501E-2</v>
      </c>
      <c r="L143">
        <v>0.955223095040724</v>
      </c>
      <c r="M143">
        <v>6.7423316532547004E-2</v>
      </c>
      <c r="N143">
        <v>1.0396889314222699E-2</v>
      </c>
      <c r="O143">
        <v>-2.9784941197926001E-2</v>
      </c>
      <c r="P143">
        <v>1.9725604615962798E-3</v>
      </c>
      <c r="Q143">
        <v>2775.2448269332499</v>
      </c>
      <c r="R143">
        <v>35088955.4436353</v>
      </c>
      <c r="S143">
        <v>15424.742318246101</v>
      </c>
      <c r="T143">
        <v>41858034.793790199</v>
      </c>
      <c r="U143">
        <f>VLOOKUP(C143,YieldData!F:AG,27,FALSE)</f>
        <v>1553</v>
      </c>
      <c r="V143">
        <f>_xlfn.MAXIFS(I:I,C:C,C143)</f>
        <v>0.46833663534658099</v>
      </c>
    </row>
    <row r="144" spans="1:22" hidden="1" x14ac:dyDescent="0.25">
      <c r="A144" s="3">
        <f>VLOOKUP(C144,YieldData!F:G,2,FALSE)</f>
        <v>24110</v>
      </c>
      <c r="B144">
        <v>23</v>
      </c>
      <c r="C144">
        <v>111</v>
      </c>
      <c r="D144">
        <v>111</v>
      </c>
      <c r="E144" s="3">
        <f t="shared" si="2"/>
        <v>241100111</v>
      </c>
      <c r="F144" s="3">
        <f>VLOOKUP($E144,YieldData!$H:$R,10,FALSE)</f>
        <v>2</v>
      </c>
      <c r="G144" s="3">
        <f>VLOOKUP($E144,YieldData!$H:$R,11,FALSE)</f>
        <v>3</v>
      </c>
      <c r="H144">
        <v>81</v>
      </c>
      <c r="I144">
        <v>8.2592229840025996E-2</v>
      </c>
      <c r="J144">
        <v>0.26218224551300701</v>
      </c>
      <c r="K144">
        <v>1.6544910909721999E-2</v>
      </c>
      <c r="L144">
        <v>0.96463157894736795</v>
      </c>
      <c r="M144">
        <v>6.9729131906059602E-2</v>
      </c>
      <c r="N144">
        <v>9.2686900762025803E-3</v>
      </c>
      <c r="O144">
        <v>-2.7473651586643E-2</v>
      </c>
      <c r="P144">
        <v>1.94995268858981E-3</v>
      </c>
      <c r="Q144">
        <v>2724.52140385243</v>
      </c>
      <c r="R144">
        <v>17880407.921419099</v>
      </c>
      <c r="S144">
        <v>15501.625324025001</v>
      </c>
      <c r="T144">
        <v>39544870.258350998</v>
      </c>
      <c r="U144">
        <f>VLOOKUP(C144,YieldData!F:AG,27,FALSE)</f>
        <v>1957</v>
      </c>
      <c r="V144">
        <f>_xlfn.MAXIFS(I:I,C:C,C144)</f>
        <v>0.57165742532824204</v>
      </c>
    </row>
    <row r="145" spans="1:22" hidden="1" x14ac:dyDescent="0.25">
      <c r="A145" s="3">
        <f>VLOOKUP(C145,YieldData!F:G,2,FALSE)</f>
        <v>24110</v>
      </c>
      <c r="B145">
        <v>23</v>
      </c>
      <c r="C145">
        <v>104</v>
      </c>
      <c r="D145">
        <v>104</v>
      </c>
      <c r="E145" s="3">
        <f t="shared" si="2"/>
        <v>241100104</v>
      </c>
      <c r="F145" s="3">
        <f>VLOOKUP($E145,YieldData!$H:$R,10,FALSE)</f>
        <v>4</v>
      </c>
      <c r="G145" s="3">
        <f>VLOOKUP($E145,YieldData!$H:$R,11,FALSE)</f>
        <v>1</v>
      </c>
      <c r="H145">
        <v>71</v>
      </c>
      <c r="I145">
        <v>0.128756121449559</v>
      </c>
      <c r="J145">
        <v>0.29602551225080298</v>
      </c>
      <c r="K145">
        <v>2.2095100741026202E-2</v>
      </c>
      <c r="L145">
        <v>0.98147344044000595</v>
      </c>
      <c r="M145">
        <v>9.3175277065872905E-2</v>
      </c>
      <c r="N145">
        <v>1.2141327847199099E-2</v>
      </c>
      <c r="O145">
        <v>-2.12773026483511E-2</v>
      </c>
      <c r="P145">
        <v>2.39166235107428E-3</v>
      </c>
      <c r="Q145">
        <v>3120.21216454456</v>
      </c>
      <c r="R145">
        <v>33031587.523182198</v>
      </c>
      <c r="S145">
        <v>14917.808340985899</v>
      </c>
      <c r="T145">
        <v>44769049.665317498</v>
      </c>
      <c r="U145">
        <f>VLOOKUP(C145,YieldData!F:AG,27,FALSE)</f>
        <v>1943</v>
      </c>
      <c r="V145">
        <f>_xlfn.MAXIFS(I:I,C:C,C145)</f>
        <v>0.58876799748917896</v>
      </c>
    </row>
    <row r="146" spans="1:22" hidden="1" x14ac:dyDescent="0.25">
      <c r="A146" s="3">
        <f>VLOOKUP(C146,YieldData!F:G,2,FALSE)</f>
        <v>24110</v>
      </c>
      <c r="B146">
        <v>23</v>
      </c>
      <c r="C146">
        <v>105</v>
      </c>
      <c r="D146">
        <v>105</v>
      </c>
      <c r="E146" s="3">
        <f t="shared" si="2"/>
        <v>241100105</v>
      </c>
      <c r="F146" s="3">
        <f>VLOOKUP($E146,YieldData!$H:$R,10,FALSE)</f>
        <v>5</v>
      </c>
      <c r="G146" s="3">
        <f>VLOOKUP($E146,YieldData!$H:$R,11,FALSE)</f>
        <v>1</v>
      </c>
      <c r="H146">
        <v>76</v>
      </c>
      <c r="I146">
        <v>6.9879659677829997E-2</v>
      </c>
      <c r="J146">
        <v>0.26062046479345902</v>
      </c>
      <c r="K146">
        <v>1.34946353277706E-2</v>
      </c>
      <c r="L146">
        <v>0.98144736842105296</v>
      </c>
      <c r="M146">
        <v>6.4580839339884594E-2</v>
      </c>
      <c r="N146">
        <v>7.8308237428939692E-3</v>
      </c>
      <c r="O146">
        <v>-2.6630161356199399E-2</v>
      </c>
      <c r="P146">
        <v>1.5909608091305E-3</v>
      </c>
      <c r="Q146">
        <v>2553.4100451194599</v>
      </c>
      <c r="R146">
        <v>14199279.8845306</v>
      </c>
      <c r="S146">
        <v>16280.047981195299</v>
      </c>
      <c r="T146">
        <v>34621149.629157603</v>
      </c>
      <c r="U146">
        <f>VLOOKUP(C146,YieldData!F:AG,27,FALSE)</f>
        <v>1784</v>
      </c>
      <c r="V146">
        <f>_xlfn.MAXIFS(I:I,C:C,C146)</f>
        <v>0.52674286312100305</v>
      </c>
    </row>
    <row r="147" spans="1:22" hidden="1" x14ac:dyDescent="0.25">
      <c r="A147" s="3">
        <f>VLOOKUP(C147,YieldData!F:G,2,FALSE)</f>
        <v>24110</v>
      </c>
      <c r="B147">
        <v>23</v>
      </c>
      <c r="C147">
        <v>112</v>
      </c>
      <c r="D147">
        <v>112</v>
      </c>
      <c r="E147" s="3">
        <f t="shared" si="2"/>
        <v>241100112</v>
      </c>
      <c r="F147" s="3">
        <f>VLOOKUP($E147,YieldData!$H:$R,10,FALSE)</f>
        <v>1</v>
      </c>
      <c r="G147" s="3">
        <f>VLOOKUP($E147,YieldData!$H:$R,11,FALSE)</f>
        <v>2</v>
      </c>
      <c r="H147">
        <v>106</v>
      </c>
      <c r="I147">
        <v>5.1400587659157997E-2</v>
      </c>
      <c r="J147">
        <v>0.246338914671929</v>
      </c>
      <c r="K147">
        <v>1.1569806029578199E-2</v>
      </c>
      <c r="L147">
        <v>0.997263121883183</v>
      </c>
      <c r="M147">
        <v>5.9297976558038201E-2</v>
      </c>
      <c r="N147">
        <v>7.1996100459200798E-3</v>
      </c>
      <c r="O147">
        <v>-3.03615961268974E-2</v>
      </c>
      <c r="P147">
        <v>1.6525952036619801E-3</v>
      </c>
      <c r="Q147">
        <v>2450.1509304603301</v>
      </c>
      <c r="R147">
        <v>12745435.1651731</v>
      </c>
      <c r="S147">
        <v>15855.0776807367</v>
      </c>
      <c r="T147">
        <v>34029368.675476901</v>
      </c>
      <c r="U147">
        <f>VLOOKUP(C147,YieldData!F:AG,27,FALSE)</f>
        <v>1958</v>
      </c>
      <c r="V147">
        <f>_xlfn.MAXIFS(I:I,C:C,C147)</f>
        <v>0.51515349658351595</v>
      </c>
    </row>
    <row r="148" spans="1:22" hidden="1" x14ac:dyDescent="0.25">
      <c r="A148" s="3">
        <f>VLOOKUP(C148,YieldData!F:G,2,FALSE)</f>
        <v>24110</v>
      </c>
      <c r="B148">
        <v>23</v>
      </c>
      <c r="C148">
        <v>205</v>
      </c>
      <c r="D148">
        <v>205</v>
      </c>
      <c r="E148" s="3">
        <f t="shared" si="2"/>
        <v>241100205</v>
      </c>
      <c r="F148" s="3">
        <f>VLOOKUP($E148,YieldData!$H:$R,10,FALSE)</f>
        <v>5</v>
      </c>
      <c r="G148" s="3">
        <f>VLOOKUP($E148,YieldData!$H:$R,11,FALSE)</f>
        <v>4</v>
      </c>
      <c r="H148">
        <v>74</v>
      </c>
      <c r="I148">
        <v>7.8418825741746995E-2</v>
      </c>
      <c r="J148">
        <v>0.25037318150349702</v>
      </c>
      <c r="K148">
        <v>1.6125822083360102E-2</v>
      </c>
      <c r="L148">
        <v>0.98184162741124803</v>
      </c>
      <c r="M148">
        <v>6.2262418043310799E-2</v>
      </c>
      <c r="N148">
        <v>8.3993247619322999E-3</v>
      </c>
      <c r="O148">
        <v>-3.05353211291663E-2</v>
      </c>
      <c r="P148">
        <v>1.5841062550354E-3</v>
      </c>
      <c r="Q148">
        <v>2193.5067645215199</v>
      </c>
      <c r="R148">
        <v>15917133.0605998</v>
      </c>
      <c r="S148">
        <v>15504.603073558201</v>
      </c>
      <c r="T148">
        <v>35762261.336642697</v>
      </c>
      <c r="U148">
        <f>VLOOKUP(C148,YieldData!F:AG,27,FALSE)</f>
        <v>1772</v>
      </c>
      <c r="V148">
        <f>_xlfn.MAXIFS(I:I,C:C,C148)</f>
        <v>0.51783437408049204</v>
      </c>
    </row>
    <row r="149" spans="1:22" hidden="1" x14ac:dyDescent="0.25">
      <c r="A149" s="3">
        <f>VLOOKUP(C149,YieldData!F:G,2,FALSE)</f>
        <v>24111</v>
      </c>
      <c r="B149">
        <v>23</v>
      </c>
      <c r="C149">
        <v>212</v>
      </c>
      <c r="D149">
        <v>212</v>
      </c>
      <c r="E149" s="3">
        <f t="shared" si="2"/>
        <v>241110212</v>
      </c>
      <c r="F149" s="3">
        <f>VLOOKUP($E149,YieldData!$H:$R,10,FALSE)</f>
        <v>4</v>
      </c>
      <c r="G149" s="3">
        <f>VLOOKUP($E149,YieldData!$H:$R,11,FALSE)</f>
        <v>1</v>
      </c>
      <c r="H149">
        <v>54</v>
      </c>
      <c r="I149">
        <v>0.134430297094352</v>
      </c>
      <c r="J149">
        <v>0.275630386704242</v>
      </c>
      <c r="K149">
        <v>2.7725181916532299E-2</v>
      </c>
      <c r="L149">
        <v>0.95559152094106503</v>
      </c>
      <c r="M149">
        <v>7.8565377086706398E-2</v>
      </c>
      <c r="N149">
        <v>1.0561075166051599E-2</v>
      </c>
      <c r="O149">
        <v>-2.83462664756194E-2</v>
      </c>
      <c r="P149">
        <v>2.2008550206529202E-3</v>
      </c>
      <c r="Q149">
        <v>4466.2526738491697</v>
      </c>
      <c r="R149">
        <v>53392729.016240597</v>
      </c>
      <c r="S149">
        <v>14255.296654281499</v>
      </c>
      <c r="T149">
        <v>44951058.825420097</v>
      </c>
      <c r="U149">
        <f>VLOOKUP(C149,YieldData!F:AG,27,FALSE)</f>
        <v>678</v>
      </c>
      <c r="V149">
        <f>_xlfn.MAXIFS(I:I,C:C,C149)</f>
        <v>0.50204989047634596</v>
      </c>
    </row>
    <row r="150" spans="1:22" hidden="1" x14ac:dyDescent="0.25">
      <c r="A150" s="3">
        <f>VLOOKUP(C150,YieldData!F:G,2,FALSE)</f>
        <v>24111</v>
      </c>
      <c r="B150">
        <v>23</v>
      </c>
      <c r="C150">
        <v>305</v>
      </c>
      <c r="D150">
        <v>305</v>
      </c>
      <c r="E150" s="3">
        <f t="shared" si="2"/>
        <v>241110305</v>
      </c>
      <c r="F150" s="3">
        <f>VLOOKUP($E150,YieldData!$H:$R,10,FALSE)</f>
        <v>4</v>
      </c>
      <c r="G150" s="3">
        <f>VLOOKUP($E150,YieldData!$H:$R,11,FALSE)</f>
        <v>3</v>
      </c>
      <c r="H150">
        <v>64</v>
      </c>
      <c r="I150">
        <v>0.18135932980300201</v>
      </c>
      <c r="J150">
        <v>0.29652366642259098</v>
      </c>
      <c r="K150">
        <v>3.6381097412605402E-2</v>
      </c>
      <c r="L150">
        <v>0.97809268177153197</v>
      </c>
      <c r="M150">
        <v>9.5860432495944295E-2</v>
      </c>
      <c r="N150">
        <v>1.45747073757419E-2</v>
      </c>
      <c r="O150">
        <v>-2.4264703107746699E-2</v>
      </c>
      <c r="P150">
        <v>2.52217373283657E-3</v>
      </c>
      <c r="Q150">
        <v>4320.3259831928399</v>
      </c>
      <c r="R150">
        <v>59298590.114852302</v>
      </c>
      <c r="S150">
        <v>13464.651186896899</v>
      </c>
      <c r="T150">
        <v>46720752.930407099</v>
      </c>
      <c r="U150">
        <f>VLOOKUP(C150,YieldData!F:AG,27,FALSE)</f>
        <v>792</v>
      </c>
      <c r="V150">
        <f>_xlfn.MAXIFS(I:I,C:C,C150)</f>
        <v>0.51650679691637702</v>
      </c>
    </row>
    <row r="151" spans="1:22" hidden="1" x14ac:dyDescent="0.25">
      <c r="A151" s="3">
        <f>VLOOKUP(C151,YieldData!F:G,2,FALSE)</f>
        <v>24111</v>
      </c>
      <c r="B151">
        <v>23</v>
      </c>
      <c r="C151">
        <v>312</v>
      </c>
      <c r="D151">
        <v>312</v>
      </c>
      <c r="E151" s="3">
        <f t="shared" si="2"/>
        <v>241110312</v>
      </c>
      <c r="F151" s="3">
        <f>VLOOKUP($E151,YieldData!$H:$R,10,FALSE)</f>
        <v>2</v>
      </c>
      <c r="G151" s="3">
        <f>VLOOKUP($E151,YieldData!$H:$R,11,FALSE)</f>
        <v>4</v>
      </c>
      <c r="H151">
        <v>30</v>
      </c>
      <c r="I151">
        <v>0.301571651507336</v>
      </c>
      <c r="J151">
        <v>0.35987935695086498</v>
      </c>
      <c r="K151">
        <v>5.1954476391997101E-2</v>
      </c>
      <c r="L151">
        <v>0.84769736842105303</v>
      </c>
      <c r="M151">
        <v>0.120772888861009</v>
      </c>
      <c r="N151">
        <v>1.86461122215228E-2</v>
      </c>
      <c r="O151">
        <v>-2.28468601619203E-2</v>
      </c>
      <c r="P151">
        <v>2.9664183824904102E-3</v>
      </c>
      <c r="Q151">
        <v>7130.0680896631402</v>
      </c>
      <c r="R151">
        <v>106636000.037949</v>
      </c>
      <c r="S151">
        <v>11576.979090646601</v>
      </c>
      <c r="T151">
        <v>64117532.309171602</v>
      </c>
      <c r="U151">
        <f>VLOOKUP(C151,YieldData!F:AG,27,FALSE)</f>
        <v>689</v>
      </c>
      <c r="V151">
        <f>_xlfn.MAXIFS(I:I,C:C,C151)</f>
        <v>0.62473845268609096</v>
      </c>
    </row>
    <row r="152" spans="1:22" hidden="1" x14ac:dyDescent="0.25">
      <c r="A152" s="3">
        <f>VLOOKUP(C152,YieldData!F:G,2,FALSE)</f>
        <v>24112</v>
      </c>
      <c r="B152">
        <v>23</v>
      </c>
      <c r="C152">
        <v>405</v>
      </c>
      <c r="D152">
        <v>405</v>
      </c>
      <c r="E152" s="3">
        <f t="shared" si="2"/>
        <v>241120405</v>
      </c>
      <c r="F152" s="3">
        <f>VLOOKUP($E152,YieldData!$H:$R,10,FALSE)</f>
        <v>3</v>
      </c>
      <c r="G152" s="3">
        <f>VLOOKUP($E152,YieldData!$H:$R,11,FALSE)</f>
        <v>2</v>
      </c>
      <c r="H152">
        <v>42</v>
      </c>
      <c r="I152">
        <v>0.15829132603755799</v>
      </c>
      <c r="J152">
        <v>0.29018970345378398</v>
      </c>
      <c r="K152">
        <v>3.1412186989975402E-2</v>
      </c>
      <c r="L152">
        <v>0.91752523059513902</v>
      </c>
      <c r="M152">
        <v>8.73738884845153E-2</v>
      </c>
      <c r="N152">
        <v>1.3066861026629699E-2</v>
      </c>
      <c r="O152">
        <v>-2.41518766859696E-2</v>
      </c>
      <c r="P152">
        <v>2.7541957542319201E-3</v>
      </c>
      <c r="Q152">
        <v>4329.6677527620304</v>
      </c>
      <c r="R152">
        <v>57939184.937324002</v>
      </c>
      <c r="S152">
        <v>13695.011645537799</v>
      </c>
      <c r="T152">
        <v>44531150.2650102</v>
      </c>
      <c r="U152">
        <f>VLOOKUP(C152,YieldData!F:AG,27,FALSE)</f>
        <v>273</v>
      </c>
      <c r="V152">
        <f>_xlfn.MAXIFS(I:I,C:C,C152)</f>
        <v>0.53204608463671099</v>
      </c>
    </row>
    <row r="153" spans="1:22" hidden="1" x14ac:dyDescent="0.25">
      <c r="A153" s="3">
        <f>VLOOKUP(C153,YieldData!F:G,2,FALSE)</f>
        <v>24112</v>
      </c>
      <c r="B153">
        <v>23</v>
      </c>
      <c r="C153">
        <v>412</v>
      </c>
      <c r="D153">
        <v>412</v>
      </c>
      <c r="E153" s="3">
        <f t="shared" si="2"/>
        <v>241120412</v>
      </c>
      <c r="F153" s="3">
        <f>VLOOKUP($E153,YieldData!$H:$R,10,FALSE)</f>
        <v>3</v>
      </c>
      <c r="G153" s="3">
        <f>VLOOKUP($E153,YieldData!$H:$R,11,FALSE)</f>
        <v>3</v>
      </c>
      <c r="H153">
        <v>44</v>
      </c>
      <c r="I153">
        <v>0.118571577820148</v>
      </c>
      <c r="J153">
        <v>0.26849414194207399</v>
      </c>
      <c r="K153">
        <v>2.2923423902767501E-2</v>
      </c>
      <c r="L153">
        <v>0.92835526315789496</v>
      </c>
      <c r="M153">
        <v>7.6216659673412498E-2</v>
      </c>
      <c r="N153">
        <v>1.0380220002884299E-2</v>
      </c>
      <c r="O153">
        <v>-3.0236816172178702E-2</v>
      </c>
      <c r="P153">
        <v>2.5396907844502299E-3</v>
      </c>
      <c r="Q153">
        <v>3412.0112897328099</v>
      </c>
      <c r="R153">
        <v>49030784.699189402</v>
      </c>
      <c r="S153">
        <v>14923.327651829501</v>
      </c>
      <c r="T153">
        <v>44933516.817492299</v>
      </c>
      <c r="U153">
        <f>VLOOKUP(C153,YieldData!F:AG,27,FALSE)</f>
        <v>475</v>
      </c>
      <c r="V153">
        <f>_xlfn.MAXIFS(I:I,C:C,C153)</f>
        <v>0.53409923105089696</v>
      </c>
    </row>
    <row r="154" spans="1:22" hidden="1" x14ac:dyDescent="0.25">
      <c r="A154" s="3">
        <f>VLOOKUP(C154,YieldData!F:G,2,FALSE)</f>
        <v>24112</v>
      </c>
      <c r="B154">
        <v>23</v>
      </c>
      <c r="C154">
        <v>413</v>
      </c>
      <c r="D154">
        <v>413</v>
      </c>
      <c r="E154" s="3">
        <f t="shared" si="2"/>
        <v>241120413</v>
      </c>
      <c r="F154" s="3">
        <f>VLOOKUP($E154,YieldData!$H:$R,10,FALSE)</f>
        <v>1</v>
      </c>
      <c r="G154" s="3">
        <f>VLOOKUP($E154,YieldData!$H:$R,11,FALSE)</f>
        <v>3</v>
      </c>
      <c r="H154">
        <v>34</v>
      </c>
      <c r="I154">
        <v>0.22298109068115299</v>
      </c>
      <c r="J154">
        <v>0.32982254017700302</v>
      </c>
      <c r="K154">
        <v>3.6908646085742097E-2</v>
      </c>
      <c r="L154">
        <v>0.89459210526315802</v>
      </c>
      <c r="M154">
        <v>0.10942635583058199</v>
      </c>
      <c r="N154">
        <v>1.4444829681222999E-2</v>
      </c>
      <c r="O154">
        <v>-2.41763890825572E-2</v>
      </c>
      <c r="P154">
        <v>2.93623089931749E-3</v>
      </c>
      <c r="Q154">
        <v>5842.2553802758002</v>
      </c>
      <c r="R154">
        <v>92636462.996484697</v>
      </c>
      <c r="S154">
        <v>13369.636229063301</v>
      </c>
      <c r="T154">
        <v>59310498.378471799</v>
      </c>
      <c r="U154">
        <f>VLOOKUP(C154,YieldData!F:AG,27,FALSE)</f>
        <v>902</v>
      </c>
      <c r="V154">
        <f>_xlfn.MAXIFS(I:I,C:C,C154)</f>
        <v>0.62748713522561606</v>
      </c>
    </row>
    <row r="155" spans="1:22" hidden="1" x14ac:dyDescent="0.25">
      <c r="A155" s="3">
        <f>VLOOKUP(C155,YieldData!F:G,2,FALSE)</f>
        <v>24112</v>
      </c>
      <c r="B155">
        <v>23</v>
      </c>
      <c r="C155">
        <v>406</v>
      </c>
      <c r="D155">
        <v>406</v>
      </c>
      <c r="E155" s="3">
        <f t="shared" si="2"/>
        <v>241120406</v>
      </c>
      <c r="F155" s="3">
        <f>VLOOKUP($E155,YieldData!$H:$R,10,FALSE)</f>
        <v>4</v>
      </c>
      <c r="G155" s="3">
        <f>VLOOKUP($E155,YieldData!$H:$R,11,FALSE)</f>
        <v>2</v>
      </c>
      <c r="H155">
        <v>18</v>
      </c>
      <c r="I155">
        <v>0.25759227941416502</v>
      </c>
      <c r="J155">
        <v>0.34918382359413902</v>
      </c>
      <c r="K155">
        <v>4.8479350322277397E-2</v>
      </c>
      <c r="L155">
        <v>0.61103435571520703</v>
      </c>
      <c r="M155">
        <v>0.11802593450188199</v>
      </c>
      <c r="N155">
        <v>1.79394828759223E-2</v>
      </c>
      <c r="O155">
        <v>-2.2102746838502399E-2</v>
      </c>
      <c r="P155">
        <v>3.39474717636975E-3</v>
      </c>
      <c r="Q155">
        <v>7042.5356809381701</v>
      </c>
      <c r="R155">
        <v>126003836.087134</v>
      </c>
      <c r="S155">
        <v>12052.7471632547</v>
      </c>
      <c r="T155">
        <v>59709565.6087313</v>
      </c>
      <c r="U155">
        <f>VLOOKUP(C155,YieldData!F:AG,27,FALSE)</f>
        <v>830</v>
      </c>
      <c r="V155">
        <f>_xlfn.MAXIFS(I:I,C:C,C155)</f>
        <v>0.48466025003923202</v>
      </c>
    </row>
    <row r="156" spans="1:22" hidden="1" x14ac:dyDescent="0.25">
      <c r="A156" s="3">
        <f>VLOOKUP(C156,YieldData!F:G,2,FALSE)</f>
        <v>24111</v>
      </c>
      <c r="B156">
        <v>23</v>
      </c>
      <c r="C156">
        <v>313</v>
      </c>
      <c r="D156">
        <v>313</v>
      </c>
      <c r="E156" s="3">
        <f t="shared" si="2"/>
        <v>241110313</v>
      </c>
      <c r="F156" s="3">
        <f>VLOOKUP($E156,YieldData!$H:$R,10,FALSE)</f>
        <v>1</v>
      </c>
      <c r="G156" s="3">
        <f>VLOOKUP($E156,YieldData!$H:$R,11,FALSE)</f>
        <v>4</v>
      </c>
      <c r="H156">
        <v>37</v>
      </c>
      <c r="I156">
        <v>0.260122362896749</v>
      </c>
      <c r="J156">
        <v>0.34103909111596897</v>
      </c>
      <c r="K156">
        <v>4.4411264904583601E-2</v>
      </c>
      <c r="L156">
        <v>0.90060657096617103</v>
      </c>
      <c r="M156">
        <v>0.112839081974172</v>
      </c>
      <c r="N156">
        <v>1.7110457499086702E-2</v>
      </c>
      <c r="O156">
        <v>-2.0920192968818599E-2</v>
      </c>
      <c r="P156">
        <v>3.4409871101112998E-3</v>
      </c>
      <c r="Q156">
        <v>6120.0653864486703</v>
      </c>
      <c r="R156">
        <v>99283926.401639193</v>
      </c>
      <c r="S156">
        <v>12568.316437470899</v>
      </c>
      <c r="T156">
        <v>68797560.493985102</v>
      </c>
      <c r="U156">
        <f>VLOOKUP(C156,YieldData!F:AG,27,FALSE)</f>
        <v>726</v>
      </c>
      <c r="V156">
        <f>_xlfn.MAXIFS(I:I,C:C,C156)</f>
        <v>0.63875085002876997</v>
      </c>
    </row>
    <row r="157" spans="1:22" hidden="1" x14ac:dyDescent="0.25">
      <c r="A157" s="3">
        <f>VLOOKUP(C157,YieldData!F:G,2,FALSE)</f>
        <v>24111</v>
      </c>
      <c r="B157">
        <v>23</v>
      </c>
      <c r="C157">
        <v>306</v>
      </c>
      <c r="D157">
        <v>306</v>
      </c>
      <c r="E157" s="3">
        <f t="shared" si="2"/>
        <v>241110306</v>
      </c>
      <c r="F157" s="3">
        <f>VLOOKUP($E157,YieldData!$H:$R,10,FALSE)</f>
        <v>1</v>
      </c>
      <c r="G157" s="3">
        <f>VLOOKUP($E157,YieldData!$H:$R,11,FALSE)</f>
        <v>3</v>
      </c>
      <c r="H157">
        <v>48</v>
      </c>
      <c r="I157">
        <v>0.28302687596312098</v>
      </c>
      <c r="J157">
        <v>0.36286083692790499</v>
      </c>
      <c r="K157">
        <v>4.8086761599281103E-2</v>
      </c>
      <c r="L157">
        <v>0.91280148423005603</v>
      </c>
      <c r="M157">
        <v>0.13458140869714599</v>
      </c>
      <c r="N157">
        <v>1.98275980562021E-2</v>
      </c>
      <c r="O157">
        <v>-1.6120833057696699E-2</v>
      </c>
      <c r="P157">
        <v>3.2719693768475402E-3</v>
      </c>
      <c r="Q157">
        <v>6455.9190913364801</v>
      </c>
      <c r="R157">
        <v>104280015.496646</v>
      </c>
      <c r="S157">
        <v>11847.1105570652</v>
      </c>
      <c r="T157">
        <v>66968747.140091099</v>
      </c>
      <c r="U157">
        <f>VLOOKUP(C157,YieldData!F:AG,27,FALSE)</f>
        <v>862</v>
      </c>
      <c r="V157">
        <f>_xlfn.MAXIFS(I:I,C:C,C157)</f>
        <v>0.57260179027965796</v>
      </c>
    </row>
    <row r="158" spans="1:22" hidden="1" x14ac:dyDescent="0.25">
      <c r="A158" s="3">
        <f>VLOOKUP(C158,YieldData!F:G,2,FALSE)</f>
        <v>24111</v>
      </c>
      <c r="B158">
        <v>23</v>
      </c>
      <c r="C158">
        <v>213</v>
      </c>
      <c r="D158">
        <v>213</v>
      </c>
      <c r="E158" s="3">
        <f t="shared" si="2"/>
        <v>241110213</v>
      </c>
      <c r="F158" s="3">
        <f>VLOOKUP($E158,YieldData!$H:$R,10,FALSE)</f>
        <v>3</v>
      </c>
      <c r="G158" s="3">
        <f>VLOOKUP($E158,YieldData!$H:$R,11,FALSE)</f>
        <v>1</v>
      </c>
      <c r="H158">
        <v>25</v>
      </c>
      <c r="I158">
        <v>0.18588554861963599</v>
      </c>
      <c r="J158">
        <v>0.30835479286906298</v>
      </c>
      <c r="K158">
        <v>3.4975224315859602E-2</v>
      </c>
      <c r="L158">
        <v>0.74117445823081296</v>
      </c>
      <c r="M158">
        <v>9.8696838362245007E-2</v>
      </c>
      <c r="N158">
        <v>1.3773477695504801E-2</v>
      </c>
      <c r="O158">
        <v>-2.48397255556746E-2</v>
      </c>
      <c r="P158">
        <v>2.7584261738427501E-3</v>
      </c>
      <c r="Q158">
        <v>5054.87455272024</v>
      </c>
      <c r="R158">
        <v>77704592.970877305</v>
      </c>
      <c r="S158">
        <v>13472.8808989639</v>
      </c>
      <c r="T158">
        <v>56725316.618358299</v>
      </c>
      <c r="U158">
        <f>VLOOKUP(C158,YieldData!F:AG,27,FALSE)</f>
        <v>475</v>
      </c>
      <c r="V158">
        <f>_xlfn.MAXIFS(I:I,C:C,C158)</f>
        <v>0.50808835068263802</v>
      </c>
    </row>
    <row r="159" spans="1:22" hidden="1" x14ac:dyDescent="0.25">
      <c r="A159" s="3">
        <f>VLOOKUP(C159,YieldData!F:G,2,FALSE)</f>
        <v>24110</v>
      </c>
      <c r="B159">
        <v>23</v>
      </c>
      <c r="C159">
        <v>206</v>
      </c>
      <c r="D159">
        <v>206</v>
      </c>
      <c r="E159" s="3">
        <f t="shared" si="2"/>
        <v>241100206</v>
      </c>
      <c r="F159" s="3">
        <f>VLOOKUP($E159,YieldData!$H:$R,10,FALSE)</f>
        <v>4</v>
      </c>
      <c r="G159" s="3">
        <f>VLOOKUP($E159,YieldData!$H:$R,11,FALSE)</f>
        <v>4</v>
      </c>
      <c r="H159">
        <v>80</v>
      </c>
      <c r="I159">
        <v>0.13906065335065901</v>
      </c>
      <c r="J159">
        <v>0.28881303149890197</v>
      </c>
      <c r="K159">
        <v>2.6423064489172001E-2</v>
      </c>
      <c r="L159">
        <v>0.99298693438244201</v>
      </c>
      <c r="M159">
        <v>9.3030679937429805E-2</v>
      </c>
      <c r="N159">
        <v>1.3644023114692301E-2</v>
      </c>
      <c r="O159">
        <v>-2.5310364441077499E-2</v>
      </c>
      <c r="P159">
        <v>2.2705723135148198E-3</v>
      </c>
      <c r="Q159">
        <v>2982.22653755493</v>
      </c>
      <c r="R159">
        <v>32538036.097594898</v>
      </c>
      <c r="S159">
        <v>14919.602817118101</v>
      </c>
      <c r="T159">
        <v>47311930.7467352</v>
      </c>
      <c r="U159">
        <f>VLOOKUP(C159,YieldData!F:AG,27,FALSE)</f>
        <v>1549</v>
      </c>
      <c r="V159">
        <f>_xlfn.MAXIFS(I:I,C:C,C159)</f>
        <v>0.57408049171216502</v>
      </c>
    </row>
    <row r="160" spans="1:22" hidden="1" x14ac:dyDescent="0.25">
      <c r="A160" s="3">
        <f>VLOOKUP(C160,YieldData!F:G,2,FALSE)</f>
        <v>24110</v>
      </c>
      <c r="B160">
        <v>23</v>
      </c>
      <c r="C160">
        <v>113</v>
      </c>
      <c r="D160">
        <v>113</v>
      </c>
      <c r="E160" s="3">
        <f t="shared" si="2"/>
        <v>241100113</v>
      </c>
      <c r="F160" s="3">
        <f>VLOOKUP($E160,YieldData!$H:$R,10,FALSE)</f>
        <v>5</v>
      </c>
      <c r="G160" s="3">
        <f>VLOOKUP($E160,YieldData!$H:$R,11,FALSE)</f>
        <v>2</v>
      </c>
      <c r="H160">
        <v>68</v>
      </c>
      <c r="I160">
        <v>6.5830454910512995E-2</v>
      </c>
      <c r="J160">
        <v>0.25298827973872501</v>
      </c>
      <c r="K160">
        <v>1.33801898573138E-2</v>
      </c>
      <c r="L160">
        <v>0.97814416168846596</v>
      </c>
      <c r="M160">
        <v>5.8844442423515601E-2</v>
      </c>
      <c r="N160">
        <v>7.3817400277530303E-3</v>
      </c>
      <c r="O160">
        <v>-2.78654302216997E-2</v>
      </c>
      <c r="P160">
        <v>1.79433947824476E-3</v>
      </c>
      <c r="Q160">
        <v>2520.9930787262201</v>
      </c>
      <c r="R160">
        <v>14572807.0111374</v>
      </c>
      <c r="S160">
        <v>15649.2506088387</v>
      </c>
      <c r="T160">
        <v>35862082.283711597</v>
      </c>
      <c r="U160">
        <f>VLOOKUP(C160,YieldData!F:AG,27,FALSE)</f>
        <v>1849</v>
      </c>
      <c r="V160">
        <f>_xlfn.MAXIFS(I:I,C:C,C160)</f>
        <v>0.56962761957694397</v>
      </c>
    </row>
    <row r="161" spans="1:22" hidden="1" x14ac:dyDescent="0.25">
      <c r="A161" s="3">
        <f>VLOOKUP(C161,YieldData!F:G,2,FALSE)</f>
        <v>24110</v>
      </c>
      <c r="B161">
        <v>23</v>
      </c>
      <c r="C161">
        <v>106</v>
      </c>
      <c r="D161">
        <v>106</v>
      </c>
      <c r="E161" s="3">
        <f t="shared" si="2"/>
        <v>241100106</v>
      </c>
      <c r="F161" s="3">
        <f>VLOOKUP($E161,YieldData!$H:$R,10,FALSE)</f>
        <v>2</v>
      </c>
      <c r="G161" s="3">
        <f>VLOOKUP($E161,YieldData!$H:$R,11,FALSE)</f>
        <v>2</v>
      </c>
      <c r="H161">
        <v>80</v>
      </c>
      <c r="I161">
        <v>0.124231145935357</v>
      </c>
      <c r="J161">
        <v>0.29527135655477299</v>
      </c>
      <c r="K161">
        <v>2.1618356573629299E-2</v>
      </c>
      <c r="L161">
        <v>0.99053947368421102</v>
      </c>
      <c r="M161">
        <v>9.4836311450483296E-2</v>
      </c>
      <c r="N161">
        <v>1.1927408180879E-2</v>
      </c>
      <c r="O161">
        <v>-1.86713562341367E-2</v>
      </c>
      <c r="P161">
        <v>1.9674943640567398E-3</v>
      </c>
      <c r="Q161">
        <v>2810.9423049298098</v>
      </c>
      <c r="R161">
        <v>19475190.5942684</v>
      </c>
      <c r="S161">
        <v>14923.8115488902</v>
      </c>
      <c r="T161">
        <v>41984031.806900702</v>
      </c>
      <c r="U161">
        <f>VLOOKUP(C161,YieldData!F:AG,27,FALSE)</f>
        <v>2109</v>
      </c>
      <c r="V161">
        <f>_xlfn.MAXIFS(I:I,C:C,C161)</f>
        <v>0.66110006800230203</v>
      </c>
    </row>
    <row r="162" spans="1:22" hidden="1" x14ac:dyDescent="0.25">
      <c r="A162" s="3">
        <f>VLOOKUP(C162,YieldData!F:G,2,FALSE)</f>
        <v>24110</v>
      </c>
      <c r="B162">
        <v>23</v>
      </c>
      <c r="C162">
        <v>107</v>
      </c>
      <c r="D162">
        <v>107</v>
      </c>
      <c r="E162" s="3">
        <f t="shared" si="2"/>
        <v>241100107</v>
      </c>
      <c r="F162" s="3">
        <f>VLOOKUP($E162,YieldData!$H:$R,10,FALSE)</f>
        <v>4</v>
      </c>
      <c r="G162" s="3">
        <f>VLOOKUP($E162,YieldData!$H:$R,11,FALSE)</f>
        <v>2</v>
      </c>
      <c r="H162">
        <v>52</v>
      </c>
      <c r="I162">
        <v>0.1534669304655</v>
      </c>
      <c r="J162">
        <v>0.30980862947003301</v>
      </c>
      <c r="K162">
        <v>2.6713425394391699E-2</v>
      </c>
      <c r="L162">
        <v>0.90138157894736803</v>
      </c>
      <c r="M162">
        <v>9.9723371310194195E-2</v>
      </c>
      <c r="N162">
        <v>1.35145991114186E-2</v>
      </c>
      <c r="O162">
        <v>-1.89298302852021E-2</v>
      </c>
      <c r="P162">
        <v>2.3945721825513601E-3</v>
      </c>
      <c r="Q162">
        <v>3432.3428862465498</v>
      </c>
      <c r="R162">
        <v>40053240.283781603</v>
      </c>
      <c r="S162">
        <v>14684.895657209099</v>
      </c>
      <c r="T162">
        <v>47162253.368320897</v>
      </c>
      <c r="U162">
        <f>VLOOKUP(C162,YieldData!F:AG,27,FALSE)</f>
        <v>1767</v>
      </c>
      <c r="V162">
        <f>_xlfn.MAXIFS(I:I,C:C,C162)</f>
        <v>0.62568002301616399</v>
      </c>
    </row>
    <row r="163" spans="1:22" hidden="1" x14ac:dyDescent="0.25">
      <c r="A163" s="3">
        <f>VLOOKUP(C163,YieldData!F:G,2,FALSE)</f>
        <v>24110</v>
      </c>
      <c r="B163">
        <v>23</v>
      </c>
      <c r="C163">
        <v>114</v>
      </c>
      <c r="D163">
        <v>114</v>
      </c>
      <c r="E163" s="3">
        <f t="shared" si="2"/>
        <v>241100114</v>
      </c>
      <c r="F163" s="3">
        <f>VLOOKUP($E163,YieldData!$H:$R,10,FALSE)</f>
        <v>3</v>
      </c>
      <c r="G163" s="3">
        <f>VLOOKUP($E163,YieldData!$H:$R,11,FALSE)</f>
        <v>2</v>
      </c>
      <c r="H163">
        <v>33</v>
      </c>
      <c r="I163">
        <v>0.116370332160184</v>
      </c>
      <c r="J163">
        <v>0.28137733570217</v>
      </c>
      <c r="K163">
        <v>2.15263401539624E-2</v>
      </c>
      <c r="L163">
        <v>0.82983986631402995</v>
      </c>
      <c r="M163">
        <v>7.2454368552820406E-2</v>
      </c>
      <c r="N163">
        <v>9.4922576586848901E-3</v>
      </c>
      <c r="O163">
        <v>-2.23929083146947E-2</v>
      </c>
      <c r="P163">
        <v>2.0318311835941598E-3</v>
      </c>
      <c r="Q163">
        <v>3498.52906646468</v>
      </c>
      <c r="R163">
        <v>42701482.694186203</v>
      </c>
      <c r="S163">
        <v>15582.667862746601</v>
      </c>
      <c r="T163">
        <v>43754403.340667002</v>
      </c>
      <c r="U163">
        <f>VLOOKUP(C163,YieldData!F:AG,27,FALSE)</f>
        <v>1577</v>
      </c>
      <c r="V163">
        <f>_xlfn.MAXIFS(I:I,C:C,C163)</f>
        <v>0.55712193335774396</v>
      </c>
    </row>
    <row r="164" spans="1:22" hidden="1" x14ac:dyDescent="0.25">
      <c r="A164" s="3">
        <f>VLOOKUP(C164,YieldData!F:G,2,FALSE)</f>
        <v>24111</v>
      </c>
      <c r="B164">
        <v>23</v>
      </c>
      <c r="C164">
        <v>207</v>
      </c>
      <c r="D164">
        <v>207</v>
      </c>
      <c r="E164" s="3">
        <f t="shared" si="2"/>
        <v>241110207</v>
      </c>
      <c r="F164" s="3">
        <f>VLOOKUP($E164,YieldData!$H:$R,10,FALSE)</f>
        <v>1</v>
      </c>
      <c r="G164" s="3">
        <f>VLOOKUP($E164,YieldData!$H:$R,11,FALSE)</f>
        <v>1</v>
      </c>
      <c r="H164">
        <v>57</v>
      </c>
      <c r="I164">
        <v>0.24835457584621801</v>
      </c>
      <c r="J164">
        <v>0.35032221841155198</v>
      </c>
      <c r="K164">
        <v>4.1188992634708203E-2</v>
      </c>
      <c r="L164">
        <v>0.96631578947368402</v>
      </c>
      <c r="M164">
        <v>0.126199232442326</v>
      </c>
      <c r="N164">
        <v>1.7553124289319998E-2</v>
      </c>
      <c r="O164">
        <v>-1.90170937246768E-2</v>
      </c>
      <c r="P164">
        <v>2.8016999484301499E-3</v>
      </c>
      <c r="Q164">
        <v>5949.2844298474702</v>
      </c>
      <c r="R164">
        <v>91670134.010558307</v>
      </c>
      <c r="S164">
        <v>13296.844571818399</v>
      </c>
      <c r="T164">
        <v>65938317.461459801</v>
      </c>
      <c r="U164">
        <f>VLOOKUP(C164,YieldData!F:AG,27,FALSE)</f>
        <v>1091</v>
      </c>
      <c r="V164">
        <f>_xlfn.MAXIFS(I:I,C:C,C164)</f>
        <v>0.70132409193448197</v>
      </c>
    </row>
    <row r="165" spans="1:22" hidden="1" x14ac:dyDescent="0.25">
      <c r="A165" s="3">
        <f>VLOOKUP(C165,YieldData!F:G,2,FALSE)</f>
        <v>24111</v>
      </c>
      <c r="B165">
        <v>23</v>
      </c>
      <c r="C165">
        <v>214</v>
      </c>
      <c r="D165">
        <v>214</v>
      </c>
      <c r="E165" s="3">
        <f t="shared" si="2"/>
        <v>241110214</v>
      </c>
      <c r="F165" s="3">
        <f>VLOOKUP($E165,YieldData!$H:$R,10,FALSE)</f>
        <v>2</v>
      </c>
      <c r="G165" s="3">
        <f>VLOOKUP($E165,YieldData!$H:$R,11,FALSE)</f>
        <v>1</v>
      </c>
      <c r="H165">
        <v>26</v>
      </c>
      <c r="I165">
        <v>0.27436026353420501</v>
      </c>
      <c r="J165">
        <v>0.356381889281564</v>
      </c>
      <c r="K165">
        <v>4.4501861561129903E-2</v>
      </c>
      <c r="L165">
        <v>0.73836497848655902</v>
      </c>
      <c r="M165">
        <v>0.123051773843563</v>
      </c>
      <c r="N165">
        <v>1.6314088897893899E-2</v>
      </c>
      <c r="O165">
        <v>-2.4625528601178601E-2</v>
      </c>
      <c r="P165">
        <v>3.1162614499784199E-3</v>
      </c>
      <c r="Q165">
        <v>6817.6076435366904</v>
      </c>
      <c r="R165">
        <v>103877965.405184</v>
      </c>
      <c r="S165">
        <v>12335.6127412035</v>
      </c>
      <c r="T165">
        <v>65590071.021244697</v>
      </c>
      <c r="U165">
        <f>VLOOKUP(C165,YieldData!F:AG,27,FALSE)</f>
        <v>817</v>
      </c>
      <c r="V165">
        <f>_xlfn.MAXIFS(I:I,C:C,C165)</f>
        <v>0.63073442485745701</v>
      </c>
    </row>
    <row r="166" spans="1:22" hidden="1" x14ac:dyDescent="0.25">
      <c r="A166" s="3">
        <f>VLOOKUP(C166,YieldData!F:G,2,FALSE)</f>
        <v>24111</v>
      </c>
      <c r="B166">
        <v>23</v>
      </c>
      <c r="C166">
        <v>307</v>
      </c>
      <c r="D166">
        <v>307</v>
      </c>
      <c r="E166" s="3">
        <f t="shared" si="2"/>
        <v>241110307</v>
      </c>
      <c r="F166" s="3">
        <f>VLOOKUP($E166,YieldData!$H:$R,10,FALSE)</f>
        <v>2</v>
      </c>
      <c r="G166" s="3">
        <f>VLOOKUP($E166,YieldData!$H:$R,11,FALSE)</f>
        <v>3</v>
      </c>
      <c r="H166">
        <v>36</v>
      </c>
      <c r="I166">
        <v>0.29095004897159599</v>
      </c>
      <c r="J166">
        <v>0.370244961673104</v>
      </c>
      <c r="K166">
        <v>5.0153927750240503E-2</v>
      </c>
      <c r="L166">
        <v>0.82148919093169803</v>
      </c>
      <c r="M166">
        <v>0.13456239600856401</v>
      </c>
      <c r="N166">
        <v>1.94797854446674E-2</v>
      </c>
      <c r="O166">
        <v>-1.9898094781295901E-2</v>
      </c>
      <c r="P166">
        <v>3.1241234450311698E-3</v>
      </c>
      <c r="Q166">
        <v>6980.5315181194901</v>
      </c>
      <c r="R166">
        <v>109521884.594552</v>
      </c>
      <c r="S166">
        <v>11801.948984369301</v>
      </c>
      <c r="T166">
        <v>67527284.480204001</v>
      </c>
      <c r="U166">
        <f>VLOOKUP(C166,YieldData!F:AG,27,FALSE)</f>
        <v>856</v>
      </c>
      <c r="V166">
        <f>_xlfn.MAXIFS(I:I,C:C,C166)</f>
        <v>0.62418757928049295</v>
      </c>
    </row>
    <row r="167" spans="1:22" hidden="1" x14ac:dyDescent="0.25">
      <c r="A167" s="3">
        <f>VLOOKUP(C167,YieldData!F:G,2,FALSE)</f>
        <v>24111</v>
      </c>
      <c r="B167">
        <v>23</v>
      </c>
      <c r="C167">
        <v>314</v>
      </c>
      <c r="D167">
        <v>314</v>
      </c>
      <c r="E167" s="3">
        <f t="shared" si="2"/>
        <v>241110314</v>
      </c>
      <c r="F167" s="3">
        <f>VLOOKUP($E167,YieldData!$H:$R,10,FALSE)</f>
        <v>3</v>
      </c>
      <c r="G167" s="3">
        <f>VLOOKUP($E167,YieldData!$H:$R,11,FALSE)</f>
        <v>4</v>
      </c>
      <c r="H167">
        <v>55</v>
      </c>
      <c r="I167">
        <v>0.205196178934516</v>
      </c>
      <c r="J167">
        <v>0.31336601799206998</v>
      </c>
      <c r="K167">
        <v>3.6635374870152601E-2</v>
      </c>
      <c r="L167">
        <v>0.952656648859181</v>
      </c>
      <c r="M167">
        <v>9.8000212640140597E-2</v>
      </c>
      <c r="N167">
        <v>1.4628052372626E-2</v>
      </c>
      <c r="O167">
        <v>-2.4709519594220599E-2</v>
      </c>
      <c r="P167">
        <v>3.0845079899135602E-3</v>
      </c>
      <c r="Q167">
        <v>5304.5633263902901</v>
      </c>
      <c r="R167">
        <v>84273771.825123906</v>
      </c>
      <c r="S167">
        <v>13120.039438616801</v>
      </c>
      <c r="T167">
        <v>61544483.692789003</v>
      </c>
      <c r="U167">
        <f>VLOOKUP(C167,YieldData!F:AG,27,FALSE)</f>
        <v>865</v>
      </c>
      <c r="V167">
        <f>_xlfn.MAXIFS(I:I,C:C,C167)</f>
        <v>0.69291982162239896</v>
      </c>
    </row>
    <row r="168" spans="1:22" hidden="1" x14ac:dyDescent="0.25">
      <c r="A168" s="3">
        <f>VLOOKUP(C168,YieldData!F:G,2,FALSE)</f>
        <v>24112</v>
      </c>
      <c r="B168">
        <v>23</v>
      </c>
      <c r="C168">
        <v>407</v>
      </c>
      <c r="D168">
        <v>407</v>
      </c>
      <c r="E168" s="3">
        <f t="shared" si="2"/>
        <v>241120407</v>
      </c>
      <c r="F168" s="3">
        <f>VLOOKUP($E168,YieldData!$H:$R,10,FALSE)</f>
        <v>4</v>
      </c>
      <c r="G168" s="3">
        <f>VLOOKUP($E168,YieldData!$H:$R,11,FALSE)</f>
        <v>3</v>
      </c>
      <c r="H168">
        <v>18</v>
      </c>
      <c r="I168">
        <v>0.24794321980777301</v>
      </c>
      <c r="J168">
        <v>0.34130150352363198</v>
      </c>
      <c r="K168">
        <v>4.3809088524510403E-2</v>
      </c>
      <c r="L168">
        <v>0.65861392913064598</v>
      </c>
      <c r="M168">
        <v>0.11494770894574501</v>
      </c>
      <c r="N168">
        <v>1.6022838024169699E-2</v>
      </c>
      <c r="O168">
        <v>-2.32210299431822E-2</v>
      </c>
      <c r="P168">
        <v>3.0612620334062499E-3</v>
      </c>
      <c r="Q168">
        <v>6927.0545732344299</v>
      </c>
      <c r="R168">
        <v>124479529.060828</v>
      </c>
      <c r="S168">
        <v>12326.101775610499</v>
      </c>
      <c r="T168">
        <v>55743475.283239201</v>
      </c>
      <c r="U168">
        <f>VLOOKUP(C168,YieldData!F:AG,27,FALSE)</f>
        <v>804</v>
      </c>
      <c r="V168">
        <f>_xlfn.MAXIFS(I:I,C:C,C168)</f>
        <v>0.459862557785232</v>
      </c>
    </row>
    <row r="169" spans="1:22" hidden="1" x14ac:dyDescent="0.25">
      <c r="A169" s="3">
        <f>VLOOKUP(C169,YieldData!F:G,2,FALSE)</f>
        <v>24112</v>
      </c>
      <c r="B169">
        <v>23</v>
      </c>
      <c r="C169">
        <v>414</v>
      </c>
      <c r="D169">
        <v>414</v>
      </c>
      <c r="E169" s="3">
        <f t="shared" si="2"/>
        <v>241120414</v>
      </c>
      <c r="F169" s="3">
        <f>VLOOKUP($E169,YieldData!$H:$R,10,FALSE)</f>
        <v>2</v>
      </c>
      <c r="G169" s="3">
        <f>VLOOKUP($E169,YieldData!$H:$R,11,FALSE)</f>
        <v>3</v>
      </c>
      <c r="H169">
        <v>31</v>
      </c>
      <c r="I169">
        <v>0.102135828506879</v>
      </c>
      <c r="J169">
        <v>0.25909845866981701</v>
      </c>
      <c r="K169">
        <v>2.2308235671762901E-2</v>
      </c>
      <c r="L169">
        <v>0.62003447413781798</v>
      </c>
      <c r="M169">
        <v>6.9506899708932299E-2</v>
      </c>
      <c r="N169">
        <v>1.06257621749379E-2</v>
      </c>
      <c r="O169">
        <v>-3.0363878227033299E-2</v>
      </c>
      <c r="P169">
        <v>2.2430495557809699E-3</v>
      </c>
      <c r="Q169">
        <v>3125.8108900482498</v>
      </c>
      <c r="R169">
        <v>45222226.435922302</v>
      </c>
      <c r="S169">
        <v>15156.7000157722</v>
      </c>
      <c r="T169">
        <v>44192903.936782598</v>
      </c>
      <c r="U169">
        <f>VLOOKUP(C169,YieldData!F:AG,27,FALSE)</f>
        <v>466</v>
      </c>
      <c r="V169">
        <f>_xlfn.MAXIFS(I:I,C:C,C169)</f>
        <v>0.31829891851600001</v>
      </c>
    </row>
    <row r="170" spans="1:22" hidden="1" x14ac:dyDescent="0.25">
      <c r="A170" s="3">
        <f>VLOOKUP(C170,YieldData!F:G,2,FALSE)</f>
        <v>24110</v>
      </c>
      <c r="B170">
        <v>27</v>
      </c>
      <c r="C170">
        <v>101</v>
      </c>
      <c r="D170">
        <v>101</v>
      </c>
      <c r="E170" s="3">
        <f t="shared" si="2"/>
        <v>241100101</v>
      </c>
      <c r="F170" s="3">
        <f>VLOOKUP($E170,YieldData!$H:$R,10,FALSE)</f>
        <v>1</v>
      </c>
      <c r="G170" s="3">
        <f>VLOOKUP($E170,YieldData!$H:$R,11,FALSE)</f>
        <v>1</v>
      </c>
      <c r="H170">
        <v>117</v>
      </c>
      <c r="I170">
        <v>5.7427869858809003E-2</v>
      </c>
      <c r="J170">
        <v>0.26004326704513903</v>
      </c>
      <c r="K170">
        <v>1.1306362247662899E-2</v>
      </c>
      <c r="L170">
        <v>0.99113157894736803</v>
      </c>
      <c r="M170">
        <v>7.21016304539744E-2</v>
      </c>
      <c r="N170">
        <v>6.7997590057647696E-3</v>
      </c>
      <c r="O170">
        <v>-2.7311641620010998E-2</v>
      </c>
      <c r="P170">
        <v>1.07875130897587E-3</v>
      </c>
      <c r="Q170">
        <v>2983.2447206875399</v>
      </c>
      <c r="R170">
        <v>8511121.32356802</v>
      </c>
      <c r="S170">
        <v>16226.6287461951</v>
      </c>
      <c r="T170">
        <v>26487622.559836201</v>
      </c>
      <c r="U170">
        <f>VLOOKUP(C170,YieldData!F:AG,27,FALSE)</f>
        <v>1747</v>
      </c>
      <c r="V170">
        <f>_xlfn.MAXIFS(I:I,C:C,C170)</f>
        <v>0.46975165757777898</v>
      </c>
    </row>
    <row r="171" spans="1:22" hidden="1" x14ac:dyDescent="0.25">
      <c r="A171" s="3">
        <f>VLOOKUP(C171,YieldData!F:G,2,FALSE)</f>
        <v>24110</v>
      </c>
      <c r="B171">
        <v>27</v>
      </c>
      <c r="C171">
        <v>108</v>
      </c>
      <c r="D171">
        <v>108</v>
      </c>
      <c r="E171" s="3">
        <f t="shared" si="2"/>
        <v>241100108</v>
      </c>
      <c r="F171" s="3">
        <f>VLOOKUP($E171,YieldData!$H:$R,10,FALSE)</f>
        <v>1</v>
      </c>
      <c r="G171" s="3">
        <f>VLOOKUP($E171,YieldData!$H:$R,11,FALSE)</f>
        <v>3</v>
      </c>
      <c r="H171">
        <v>101</v>
      </c>
      <c r="I171">
        <v>8.1159224564461993E-2</v>
      </c>
      <c r="J171">
        <v>0.26959665980202902</v>
      </c>
      <c r="K171">
        <v>1.4269200981393899E-2</v>
      </c>
      <c r="L171">
        <v>0.99767111391805496</v>
      </c>
      <c r="M171">
        <v>7.4885456348403698E-2</v>
      </c>
      <c r="N171">
        <v>7.4845230424907001E-3</v>
      </c>
      <c r="O171">
        <v>-2.7996844230996298E-2</v>
      </c>
      <c r="P171">
        <v>1.2874829526617699E-3</v>
      </c>
      <c r="Q171">
        <v>3270.6509373733902</v>
      </c>
      <c r="R171">
        <v>11374133.0382085</v>
      </c>
      <c r="S171">
        <v>15744.0707007908</v>
      </c>
      <c r="T171">
        <v>32050801.865775</v>
      </c>
      <c r="U171">
        <f>VLOOKUP(C171,YieldData!F:AG,27,FALSE)</f>
        <v>1854</v>
      </c>
      <c r="V171">
        <f>_xlfn.MAXIFS(I:I,C:C,C171)</f>
        <v>0.60942342648655001</v>
      </c>
    </row>
    <row r="172" spans="1:22" hidden="1" x14ac:dyDescent="0.25">
      <c r="A172" s="3">
        <f>VLOOKUP(C172,YieldData!F:G,2,FALSE)</f>
        <v>24110</v>
      </c>
      <c r="B172">
        <v>27</v>
      </c>
      <c r="C172">
        <v>201</v>
      </c>
      <c r="D172">
        <v>201</v>
      </c>
      <c r="E172" s="3">
        <f t="shared" si="2"/>
        <v>241100201</v>
      </c>
      <c r="F172" s="3">
        <f>VLOOKUP($E172,YieldData!$H:$R,10,FALSE)</f>
        <v>4</v>
      </c>
      <c r="G172" s="3">
        <f>VLOOKUP($E172,YieldData!$H:$R,11,FALSE)</f>
        <v>3</v>
      </c>
      <c r="H172">
        <v>82</v>
      </c>
      <c r="I172">
        <v>0.111434411889284</v>
      </c>
      <c r="J172">
        <v>0.28704147624417498</v>
      </c>
      <c r="K172">
        <v>2.0401855060694099E-2</v>
      </c>
      <c r="L172">
        <v>0.99419744477046401</v>
      </c>
      <c r="M172">
        <v>9.5107979702401702E-2</v>
      </c>
      <c r="N172">
        <v>1.0857386581233201E-2</v>
      </c>
      <c r="O172">
        <v>-2.13824821217392E-2</v>
      </c>
      <c r="P172">
        <v>1.3538496781084701E-3</v>
      </c>
      <c r="Q172">
        <v>3322.5315924200299</v>
      </c>
      <c r="R172">
        <v>17402777.2467</v>
      </c>
      <c r="S172">
        <v>15255.093509131601</v>
      </c>
      <c r="T172">
        <v>38194496.238017596</v>
      </c>
      <c r="U172">
        <f>VLOOKUP(C172,YieldData!F:AG,27,FALSE)</f>
        <v>1884</v>
      </c>
      <c r="V172">
        <f>_xlfn.MAXIFS(I:I,C:C,C172)</f>
        <v>0.57447559763561196</v>
      </c>
    </row>
    <row r="173" spans="1:22" hidden="1" x14ac:dyDescent="0.25">
      <c r="A173" s="3">
        <f>VLOOKUP(C173,YieldData!F:G,2,FALSE)</f>
        <v>24111</v>
      </c>
      <c r="B173">
        <v>27</v>
      </c>
      <c r="C173">
        <v>208</v>
      </c>
      <c r="D173">
        <v>208</v>
      </c>
      <c r="E173" s="3">
        <f t="shared" si="2"/>
        <v>241110208</v>
      </c>
      <c r="F173" s="3">
        <f>VLOOKUP($E173,YieldData!$H:$R,10,FALSE)</f>
        <v>1</v>
      </c>
      <c r="G173" s="3">
        <f>VLOOKUP($E173,YieldData!$H:$R,11,FALSE)</f>
        <v>2</v>
      </c>
      <c r="H173">
        <v>50</v>
      </c>
      <c r="I173">
        <v>0.30503855031184002</v>
      </c>
      <c r="J173">
        <v>0.38638784856443398</v>
      </c>
      <c r="K173">
        <v>5.0344821712106198E-2</v>
      </c>
      <c r="L173">
        <v>0.93598684210526295</v>
      </c>
      <c r="M173">
        <v>0.15437408449041401</v>
      </c>
      <c r="N173">
        <v>2.01641884830169E-2</v>
      </c>
      <c r="O173">
        <v>-8.9347647002025205E-3</v>
      </c>
      <c r="P173">
        <v>3.0304593385747898E-3</v>
      </c>
      <c r="Q173">
        <v>7123.9573429749998</v>
      </c>
      <c r="R173">
        <v>84702065.936348006</v>
      </c>
      <c r="S173">
        <v>12318.4841832773</v>
      </c>
      <c r="T173">
        <v>73961070.587773502</v>
      </c>
      <c r="U173">
        <f>VLOOKUP(C173,YieldData!F:AG,27,FALSE)</f>
        <v>1030</v>
      </c>
      <c r="V173">
        <f>_xlfn.MAXIFS(I:I,C:C,C173)</f>
        <v>0.61479815350011102</v>
      </c>
    </row>
    <row r="174" spans="1:22" hidden="1" x14ac:dyDescent="0.25">
      <c r="A174" s="3">
        <f>VLOOKUP(C174,YieldData!F:G,2,FALSE)</f>
        <v>24111</v>
      </c>
      <c r="B174">
        <v>27</v>
      </c>
      <c r="C174">
        <v>301</v>
      </c>
      <c r="D174">
        <v>301</v>
      </c>
      <c r="E174" s="3">
        <f t="shared" si="2"/>
        <v>241110301</v>
      </c>
      <c r="F174" s="3">
        <f>VLOOKUP($E174,YieldData!$H:$R,10,FALSE)</f>
        <v>5</v>
      </c>
      <c r="G174" s="3">
        <f>VLOOKUP($E174,YieldData!$H:$R,11,FALSE)</f>
        <v>2</v>
      </c>
      <c r="H174">
        <v>40</v>
      </c>
      <c r="I174">
        <v>0.17034167781856599</v>
      </c>
      <c r="J174">
        <v>0.30191149826545599</v>
      </c>
      <c r="K174">
        <v>3.65292440780315E-2</v>
      </c>
      <c r="L174">
        <v>0.77190789473684196</v>
      </c>
      <c r="M174">
        <v>9.6934756761103399E-2</v>
      </c>
      <c r="N174">
        <v>1.53257645573478E-2</v>
      </c>
      <c r="O174">
        <v>-2.38842633249703E-2</v>
      </c>
      <c r="P174">
        <v>2.27723966291917E-3</v>
      </c>
      <c r="Q174">
        <v>4510.0933751580696</v>
      </c>
      <c r="R174">
        <v>50554586.329895101</v>
      </c>
      <c r="S174">
        <v>14603.1670925254</v>
      </c>
      <c r="T174">
        <v>52171954.480612099</v>
      </c>
      <c r="U174">
        <f>VLOOKUP(C174,YieldData!F:AG,27,FALSE)</f>
        <v>598</v>
      </c>
      <c r="V174">
        <f>_xlfn.MAXIFS(I:I,C:C,C174)</f>
        <v>0.38240428940399501</v>
      </c>
    </row>
    <row r="175" spans="1:22" hidden="1" x14ac:dyDescent="0.25">
      <c r="A175" s="3">
        <f>VLOOKUP(C175,YieldData!F:G,2,FALSE)</f>
        <v>24112</v>
      </c>
      <c r="B175">
        <v>27</v>
      </c>
      <c r="C175">
        <v>308</v>
      </c>
      <c r="D175">
        <v>308</v>
      </c>
      <c r="E175" s="3">
        <f t="shared" si="2"/>
        <v>241120308</v>
      </c>
      <c r="F175" s="3">
        <f>VLOOKUP($E175,YieldData!$H:$R,10,FALSE)</f>
        <v>2</v>
      </c>
      <c r="G175" s="3">
        <f>VLOOKUP($E175,YieldData!$H:$R,11,FALSE)</f>
        <v>1</v>
      </c>
      <c r="H175">
        <v>60</v>
      </c>
      <c r="I175">
        <v>8.3191631727245002E-2</v>
      </c>
      <c r="J175">
        <v>0.25113887367431997</v>
      </c>
      <c r="K175">
        <v>1.7444466415997999E-2</v>
      </c>
      <c r="L175">
        <v>0.77507302823758495</v>
      </c>
      <c r="M175">
        <v>6.35929252299339E-2</v>
      </c>
      <c r="N175">
        <v>8.1171048141479192E-3</v>
      </c>
      <c r="O175">
        <v>-2.5930478427382098E-2</v>
      </c>
      <c r="P175">
        <v>1.5450028484893801E-3</v>
      </c>
      <c r="Q175">
        <v>3346.5362520794802</v>
      </c>
      <c r="R175">
        <v>25446597.170558602</v>
      </c>
      <c r="S175">
        <v>16273.441130012199</v>
      </c>
      <c r="T175">
        <v>35309690.913815297</v>
      </c>
      <c r="U175">
        <f>VLOOKUP(C175,YieldData!F:AG,27,FALSE)</f>
        <v>465</v>
      </c>
      <c r="V175">
        <f>_xlfn.MAXIFS(I:I,C:C,C175)</f>
        <v>0.33378886455029899</v>
      </c>
    </row>
    <row r="176" spans="1:22" hidden="1" x14ac:dyDescent="0.25">
      <c r="A176" s="3">
        <f>VLOOKUP(C176,YieldData!F:G,2,FALSE)</f>
        <v>24112</v>
      </c>
      <c r="B176">
        <v>27</v>
      </c>
      <c r="C176">
        <v>401</v>
      </c>
      <c r="D176">
        <v>401</v>
      </c>
      <c r="E176" s="3">
        <f t="shared" si="2"/>
        <v>241120401</v>
      </c>
      <c r="F176" s="3">
        <f>VLOOKUP($E176,YieldData!$H:$R,10,FALSE)</f>
        <v>3</v>
      </c>
      <c r="G176" s="3">
        <f>VLOOKUP($E176,YieldData!$H:$R,11,FALSE)</f>
        <v>1</v>
      </c>
      <c r="H176">
        <v>50</v>
      </c>
      <c r="I176">
        <v>0.184962830641547</v>
      </c>
      <c r="J176">
        <v>0.31409601129131698</v>
      </c>
      <c r="K176">
        <v>3.2292139413242299E-2</v>
      </c>
      <c r="L176">
        <v>0.89105119804207999</v>
      </c>
      <c r="M176">
        <v>9.4422507186634405E-2</v>
      </c>
      <c r="N176">
        <v>1.32098098593794E-2</v>
      </c>
      <c r="O176">
        <v>-2.46278478352163E-2</v>
      </c>
      <c r="P176">
        <v>2.1526062694557698E-3</v>
      </c>
      <c r="Q176">
        <v>5863.2515361902497</v>
      </c>
      <c r="R176">
        <v>68231096.164754406</v>
      </c>
      <c r="S176">
        <v>14678.1606249918</v>
      </c>
      <c r="T176">
        <v>55706861.6527244</v>
      </c>
      <c r="U176">
        <f>VLOOKUP(C176,YieldData!F:AG,27,FALSE)</f>
        <v>186</v>
      </c>
      <c r="V176">
        <f>_xlfn.MAXIFS(I:I,C:C,C176)</f>
        <v>0.52861327614165399</v>
      </c>
    </row>
    <row r="177" spans="1:22" hidden="1" x14ac:dyDescent="0.25">
      <c r="A177" s="3">
        <f>VLOOKUP(C177,YieldData!F:G,2,FALSE)</f>
        <v>24112</v>
      </c>
      <c r="B177">
        <v>27</v>
      </c>
      <c r="C177">
        <v>408</v>
      </c>
      <c r="D177">
        <v>408</v>
      </c>
      <c r="E177" s="3">
        <f t="shared" si="2"/>
        <v>241120408</v>
      </c>
      <c r="F177" s="3">
        <f>VLOOKUP($E177,YieldData!$H:$R,10,FALSE)</f>
        <v>3</v>
      </c>
      <c r="G177" s="3">
        <f>VLOOKUP($E177,YieldData!$H:$R,11,FALSE)</f>
        <v>4</v>
      </c>
      <c r="H177">
        <v>69</v>
      </c>
      <c r="I177">
        <v>0.19248264304524801</v>
      </c>
      <c r="J177">
        <v>0.32474488768626197</v>
      </c>
      <c r="K177">
        <v>3.0591038159592399E-2</v>
      </c>
      <c r="L177">
        <v>0.95817105263157898</v>
      </c>
      <c r="M177">
        <v>0.104578150500341</v>
      </c>
      <c r="N177">
        <v>1.1908594921939001E-2</v>
      </c>
      <c r="O177">
        <v>-2.0609205128118799E-2</v>
      </c>
      <c r="P177">
        <v>2.21644393174601E-3</v>
      </c>
      <c r="Q177">
        <v>5647.5982824134599</v>
      </c>
      <c r="R177">
        <v>67463028.105302602</v>
      </c>
      <c r="S177">
        <v>14575.094893319199</v>
      </c>
      <c r="T177">
        <v>55247077.199447803</v>
      </c>
      <c r="U177">
        <f>VLOOKUP(C177,YieldData!F:AG,27,FALSE)</f>
        <v>311</v>
      </c>
      <c r="V177">
        <f>_xlfn.MAXIFS(I:I,C:C,C177)</f>
        <v>0.59146576694979003</v>
      </c>
    </row>
    <row r="178" spans="1:22" hidden="1" x14ac:dyDescent="0.25">
      <c r="A178" s="3">
        <f>VLOOKUP(C178,YieldData!F:G,2,FALSE)</f>
        <v>24112</v>
      </c>
      <c r="B178">
        <v>27</v>
      </c>
      <c r="C178">
        <v>409</v>
      </c>
      <c r="D178">
        <v>409</v>
      </c>
      <c r="E178" s="3">
        <f t="shared" si="2"/>
        <v>241120409</v>
      </c>
      <c r="F178" s="3">
        <f>VLOOKUP($E178,YieldData!$H:$R,10,FALSE)</f>
        <v>2</v>
      </c>
      <c r="G178" s="3">
        <f>VLOOKUP($E178,YieldData!$H:$R,11,FALSE)</f>
        <v>4</v>
      </c>
      <c r="H178">
        <v>41</v>
      </c>
      <c r="I178">
        <v>7.0477523434191003E-2</v>
      </c>
      <c r="J178">
        <v>0.25144236839654599</v>
      </c>
      <c r="K178">
        <v>1.47948755621433E-2</v>
      </c>
      <c r="L178">
        <v>0.63076801621031298</v>
      </c>
      <c r="M178">
        <v>6.4235495760199296E-2</v>
      </c>
      <c r="N178">
        <v>7.7249531172485899E-3</v>
      </c>
      <c r="O178">
        <v>-2.631172794996E-2</v>
      </c>
      <c r="P178">
        <v>1.3218714061580599E-3</v>
      </c>
      <c r="Q178">
        <v>2897.2596391717798</v>
      </c>
      <c r="R178">
        <v>18492733.043113299</v>
      </c>
      <c r="S178">
        <v>16792.924742867701</v>
      </c>
      <c r="T178">
        <v>33104630.164175902</v>
      </c>
      <c r="U178">
        <f>VLOOKUP(C178,YieldData!F:AG,27,FALSE)</f>
        <v>366</v>
      </c>
      <c r="V178">
        <f>_xlfn.MAXIFS(I:I,C:C,C178)</f>
        <v>0.27571123127521402</v>
      </c>
    </row>
    <row r="179" spans="1:22" hidden="1" x14ac:dyDescent="0.25">
      <c r="A179" s="3">
        <f>VLOOKUP(C179,YieldData!F:G,2,FALSE)</f>
        <v>24112</v>
      </c>
      <c r="B179">
        <v>27</v>
      </c>
      <c r="C179">
        <v>402</v>
      </c>
      <c r="D179">
        <v>402</v>
      </c>
      <c r="E179" s="3">
        <f t="shared" si="2"/>
        <v>241120402</v>
      </c>
      <c r="F179" s="3">
        <f>VLOOKUP($E179,YieldData!$H:$R,10,FALSE)</f>
        <v>4</v>
      </c>
      <c r="G179" s="3">
        <f>VLOOKUP($E179,YieldData!$H:$R,11,FALSE)</f>
        <v>1</v>
      </c>
      <c r="H179">
        <v>27</v>
      </c>
      <c r="I179">
        <v>0.27675704875967599</v>
      </c>
      <c r="J179">
        <v>0.37131145477384098</v>
      </c>
      <c r="K179">
        <v>5.0049486962060498E-2</v>
      </c>
      <c r="L179">
        <v>0.71535900843409905</v>
      </c>
      <c r="M179">
        <v>0.133000309995736</v>
      </c>
      <c r="N179">
        <v>1.8331276826345201E-2</v>
      </c>
      <c r="O179">
        <v>-1.7392429242266701E-2</v>
      </c>
      <c r="P179">
        <v>2.9069043066598898E-3</v>
      </c>
      <c r="Q179">
        <v>7811.0786367180099</v>
      </c>
      <c r="R179">
        <v>106054219.194289</v>
      </c>
      <c r="S179">
        <v>12823.915854668099</v>
      </c>
      <c r="T179">
        <v>71946655.748489395</v>
      </c>
      <c r="U179">
        <f>VLOOKUP(C179,YieldData!F:AG,27,FALSE)</f>
        <v>897</v>
      </c>
      <c r="V179">
        <f>_xlfn.MAXIFS(I:I,C:C,C179)</f>
        <v>0.48018125228853897</v>
      </c>
    </row>
    <row r="180" spans="1:22" hidden="1" x14ac:dyDescent="0.25">
      <c r="A180" s="3">
        <f>VLOOKUP(C180,YieldData!F:G,2,FALSE)</f>
        <v>24112</v>
      </c>
      <c r="B180">
        <v>27</v>
      </c>
      <c r="C180">
        <v>309</v>
      </c>
      <c r="D180">
        <v>309</v>
      </c>
      <c r="E180" s="3">
        <f t="shared" si="2"/>
        <v>241120309</v>
      </c>
      <c r="F180" s="3">
        <f>VLOOKUP($E180,YieldData!$H:$R,10,FALSE)</f>
        <v>1</v>
      </c>
      <c r="G180" s="3">
        <f>VLOOKUP($E180,YieldData!$H:$R,11,FALSE)</f>
        <v>1</v>
      </c>
      <c r="H180">
        <v>59</v>
      </c>
      <c r="I180">
        <v>0.252403226400501</v>
      </c>
      <c r="J180">
        <v>0.34879193433342398</v>
      </c>
      <c r="K180">
        <v>3.7677601983792601E-2</v>
      </c>
      <c r="L180">
        <v>0.94564402163186401</v>
      </c>
      <c r="M180">
        <v>0.114540448281489</v>
      </c>
      <c r="N180">
        <v>1.3629669002293201E-2</v>
      </c>
      <c r="O180">
        <v>-1.8159694242951E-2</v>
      </c>
      <c r="P180">
        <v>2.6813688296819598E-3</v>
      </c>
      <c r="Q180">
        <v>7374.9064552564096</v>
      </c>
      <c r="R180">
        <v>98690022.0474969</v>
      </c>
      <c r="S180">
        <v>13400.125605613301</v>
      </c>
      <c r="T180">
        <v>66571499.317270197</v>
      </c>
      <c r="U180">
        <f>VLOOKUP(C180,YieldData!F:AG,27,FALSE)</f>
        <v>953</v>
      </c>
      <c r="V180">
        <f>_xlfn.MAXIFS(I:I,C:C,C180)</f>
        <v>0.62382957577025699</v>
      </c>
    </row>
    <row r="181" spans="1:22" hidden="1" x14ac:dyDescent="0.25">
      <c r="A181" s="3">
        <f>VLOOKUP(C181,YieldData!F:G,2,FALSE)</f>
        <v>24111</v>
      </c>
      <c r="B181">
        <v>27</v>
      </c>
      <c r="C181">
        <v>302</v>
      </c>
      <c r="D181">
        <v>302</v>
      </c>
      <c r="E181" s="3">
        <f t="shared" si="2"/>
        <v>241110302</v>
      </c>
      <c r="F181" s="3">
        <f>VLOOKUP($E181,YieldData!$H:$R,10,FALSE)</f>
        <v>3</v>
      </c>
      <c r="G181" s="3">
        <f>VLOOKUP($E181,YieldData!$H:$R,11,FALSE)</f>
        <v>2</v>
      </c>
      <c r="H181">
        <v>79</v>
      </c>
      <c r="I181">
        <v>0.20866020895485701</v>
      </c>
      <c r="J181">
        <v>0.32763852188710502</v>
      </c>
      <c r="K181">
        <v>3.8813040582382101E-2</v>
      </c>
      <c r="L181">
        <v>0.96967145169142499</v>
      </c>
      <c r="M181">
        <v>0.115056517811955</v>
      </c>
      <c r="N181">
        <v>1.68829674337325E-2</v>
      </c>
      <c r="O181">
        <v>-2.1235265447748199E-2</v>
      </c>
      <c r="P181">
        <v>2.28640879542977E-3</v>
      </c>
      <c r="Q181">
        <v>5156.7633420500197</v>
      </c>
      <c r="R181">
        <v>48169978.440800801</v>
      </c>
      <c r="S181">
        <v>13928.0146652762</v>
      </c>
      <c r="T181">
        <v>57205488.154946297</v>
      </c>
      <c r="U181">
        <f>VLOOKUP(C181,YieldData!F:AG,27,FALSE)</f>
        <v>702</v>
      </c>
      <c r="V181">
        <f>_xlfn.MAXIFS(I:I,C:C,C181)</f>
        <v>0.59986530313333697</v>
      </c>
    </row>
    <row r="182" spans="1:22" hidden="1" x14ac:dyDescent="0.25">
      <c r="A182" s="3">
        <f>VLOOKUP(C182,YieldData!F:G,2,FALSE)</f>
        <v>24111</v>
      </c>
      <c r="B182">
        <v>27</v>
      </c>
      <c r="C182">
        <v>209</v>
      </c>
      <c r="D182">
        <v>209</v>
      </c>
      <c r="E182" s="3">
        <f t="shared" si="2"/>
        <v>241110209</v>
      </c>
      <c r="F182" s="3">
        <f>VLOOKUP($E182,YieldData!$H:$R,10,FALSE)</f>
        <v>4</v>
      </c>
      <c r="G182" s="3">
        <f>VLOOKUP($E182,YieldData!$H:$R,11,FALSE)</f>
        <v>2</v>
      </c>
      <c r="H182">
        <v>58</v>
      </c>
      <c r="I182">
        <v>0.18876993529852301</v>
      </c>
      <c r="J182">
        <v>0.31803937069928501</v>
      </c>
      <c r="K182">
        <v>3.1769195934918802E-2</v>
      </c>
      <c r="L182">
        <v>0.96243470480651605</v>
      </c>
      <c r="M182">
        <v>0.107034378044033</v>
      </c>
      <c r="N182">
        <v>1.2113749087031001E-2</v>
      </c>
      <c r="O182">
        <v>-2.0982669711027399E-2</v>
      </c>
      <c r="P182">
        <v>2.1530204625249002E-3</v>
      </c>
      <c r="Q182">
        <v>5751.3012792967502</v>
      </c>
      <c r="R182">
        <v>63310334.119277999</v>
      </c>
      <c r="S182">
        <v>14341.0456888723</v>
      </c>
      <c r="T182">
        <v>52560666.659562103</v>
      </c>
      <c r="U182">
        <f>VLOOKUP(C182,YieldData!F:AG,27,FALSE)</f>
        <v>573</v>
      </c>
      <c r="V182">
        <f>_xlfn.MAXIFS(I:I,C:C,C182)</f>
        <v>0.488269602971177</v>
      </c>
    </row>
    <row r="183" spans="1:22" hidden="1" x14ac:dyDescent="0.25">
      <c r="A183" s="3">
        <f>VLOOKUP(C183,YieldData!F:G,2,FALSE)</f>
        <v>24110</v>
      </c>
      <c r="B183">
        <v>27</v>
      </c>
      <c r="C183">
        <v>202</v>
      </c>
      <c r="D183">
        <v>202</v>
      </c>
      <c r="E183" s="3">
        <f t="shared" si="2"/>
        <v>241100202</v>
      </c>
      <c r="F183" s="3">
        <f>VLOOKUP($E183,YieldData!$H:$R,10,FALSE)</f>
        <v>1</v>
      </c>
      <c r="G183" s="3">
        <f>VLOOKUP($E183,YieldData!$H:$R,11,FALSE)</f>
        <v>4</v>
      </c>
      <c r="H183">
        <v>110</v>
      </c>
      <c r="I183">
        <v>7.0827859694786E-2</v>
      </c>
      <c r="J183">
        <v>0.26524995202115298</v>
      </c>
      <c r="K183">
        <v>1.35200200543479E-2</v>
      </c>
      <c r="L183">
        <v>0.99656587984526701</v>
      </c>
      <c r="M183">
        <v>7.8820706060294607E-2</v>
      </c>
      <c r="N183">
        <v>7.5375270543427903E-3</v>
      </c>
      <c r="O183">
        <v>-2.6051557840674502E-2</v>
      </c>
      <c r="P183">
        <v>1.0181536019377799E-3</v>
      </c>
      <c r="Q183">
        <v>3106.9530453892498</v>
      </c>
      <c r="R183">
        <v>11032560.994388999</v>
      </c>
      <c r="S183">
        <v>16025.957341032001</v>
      </c>
      <c r="T183">
        <v>32605653.736220598</v>
      </c>
      <c r="U183">
        <f>VLOOKUP(C183,YieldData!F:AG,27,FALSE)</f>
        <v>2029</v>
      </c>
      <c r="V183">
        <f>_xlfn.MAXIFS(I:I,C:C,C183)</f>
        <v>0.52363733849453398</v>
      </c>
    </row>
    <row r="184" spans="1:22" hidden="1" x14ac:dyDescent="0.25">
      <c r="A184" s="3">
        <f>VLOOKUP(C184,YieldData!F:G,2,FALSE)</f>
        <v>24110</v>
      </c>
      <c r="B184">
        <v>27</v>
      </c>
      <c r="C184">
        <v>109</v>
      </c>
      <c r="D184">
        <v>109</v>
      </c>
      <c r="E184" s="3">
        <f t="shared" si="2"/>
        <v>241100109</v>
      </c>
      <c r="F184" s="3">
        <f>VLOOKUP($E184,YieldData!$H:$R,10,FALSE)</f>
        <v>3</v>
      </c>
      <c r="G184" s="3">
        <f>VLOOKUP($E184,YieldData!$H:$R,11,FALSE)</f>
        <v>3</v>
      </c>
      <c r="H184">
        <v>79</v>
      </c>
      <c r="I184">
        <v>9.5186647104682998E-2</v>
      </c>
      <c r="J184">
        <v>0.27450663600143799</v>
      </c>
      <c r="K184">
        <v>1.7280501592810801E-2</v>
      </c>
      <c r="L184">
        <v>0.98946066499124996</v>
      </c>
      <c r="M184">
        <v>7.7800109705361303E-2</v>
      </c>
      <c r="N184">
        <v>7.9194835024649496E-3</v>
      </c>
      <c r="O184">
        <v>-2.52908107171614E-2</v>
      </c>
      <c r="P184">
        <v>1.43412526257296E-3</v>
      </c>
      <c r="Q184">
        <v>3453.44964733181</v>
      </c>
      <c r="R184">
        <v>24697168.316168401</v>
      </c>
      <c r="S184">
        <v>15812.8739486505</v>
      </c>
      <c r="T184">
        <v>36689970.079778403</v>
      </c>
      <c r="U184">
        <f>VLOOKUP(C184,YieldData!F:AG,27,FALSE)</f>
        <v>1852</v>
      </c>
      <c r="V184">
        <f>_xlfn.MAXIFS(I:I,C:C,C184)</f>
        <v>0.58023512796035004</v>
      </c>
    </row>
    <row r="185" spans="1:22" hidden="1" x14ac:dyDescent="0.25">
      <c r="A185" s="3">
        <f>VLOOKUP(C185,YieldData!F:G,2,FALSE)</f>
        <v>24110</v>
      </c>
      <c r="B185">
        <v>27</v>
      </c>
      <c r="C185">
        <v>102</v>
      </c>
      <c r="D185">
        <v>102</v>
      </c>
      <c r="E185" s="3">
        <f t="shared" si="2"/>
        <v>241100102</v>
      </c>
      <c r="F185" s="3">
        <f>VLOOKUP($E185,YieldData!$H:$R,10,FALSE)</f>
        <v>2</v>
      </c>
      <c r="G185" s="3">
        <f>VLOOKUP($E185,YieldData!$H:$R,11,FALSE)</f>
        <v>1</v>
      </c>
      <c r="H185">
        <v>94</v>
      </c>
      <c r="I185">
        <v>9.8046076499511997E-2</v>
      </c>
      <c r="J185">
        <v>0.27764779545523699</v>
      </c>
      <c r="K185">
        <v>1.78549949618316E-2</v>
      </c>
      <c r="L185">
        <v>0.99028947368421005</v>
      </c>
      <c r="M185">
        <v>8.1305917854917795E-2</v>
      </c>
      <c r="N185">
        <v>1.00302728344954E-2</v>
      </c>
      <c r="O185">
        <v>-2.3489985679781399E-2</v>
      </c>
      <c r="P185">
        <v>1.257518356878E-3</v>
      </c>
      <c r="Q185">
        <v>3113.9883673106101</v>
      </c>
      <c r="R185">
        <v>10855437.8259761</v>
      </c>
      <c r="S185">
        <v>16082.8138126472</v>
      </c>
      <c r="T185">
        <v>34030237.911163598</v>
      </c>
      <c r="U185">
        <f>VLOOKUP(C185,YieldData!F:AG,27,FALSE)</f>
        <v>2083</v>
      </c>
      <c r="V185">
        <f>_xlfn.MAXIFS(I:I,C:C,C185)</f>
        <v>0.57049727008206097</v>
      </c>
    </row>
    <row r="186" spans="1:22" hidden="1" x14ac:dyDescent="0.25">
      <c r="A186" s="3">
        <f>VLOOKUP(C186,YieldData!F:G,2,FALSE)</f>
        <v>24110</v>
      </c>
      <c r="B186">
        <v>27</v>
      </c>
      <c r="C186">
        <v>103</v>
      </c>
      <c r="D186">
        <v>103</v>
      </c>
      <c r="E186" s="3">
        <f t="shared" si="2"/>
        <v>241100103</v>
      </c>
      <c r="F186" s="3">
        <f>VLOOKUP($E186,YieldData!$H:$R,10,FALSE)</f>
        <v>3</v>
      </c>
      <c r="G186" s="3">
        <f>VLOOKUP($E186,YieldData!$H:$R,11,FALSE)</f>
        <v>1</v>
      </c>
      <c r="H186">
        <v>84</v>
      </c>
      <c r="I186">
        <v>9.1355538912965994E-2</v>
      </c>
      <c r="J186">
        <v>0.26878516636793698</v>
      </c>
      <c r="K186">
        <v>1.7319912833085201E-2</v>
      </c>
      <c r="L186">
        <v>0.99169736842105305</v>
      </c>
      <c r="M186">
        <v>6.5386977772461705E-2</v>
      </c>
      <c r="N186">
        <v>8.5695512287328208E-3</v>
      </c>
      <c r="O186">
        <v>-2.8301356288850499E-2</v>
      </c>
      <c r="P186">
        <v>1.0934628759902601E-3</v>
      </c>
      <c r="Q186">
        <v>3222.0498397809702</v>
      </c>
      <c r="R186">
        <v>16430690.620252799</v>
      </c>
      <c r="S186">
        <v>16406.669455831499</v>
      </c>
      <c r="T186">
        <v>32028014.407853398</v>
      </c>
      <c r="U186">
        <f>VLOOKUP(C186,YieldData!F:AG,27,FALSE)</f>
        <v>1595</v>
      </c>
      <c r="V186">
        <f>_xlfn.MAXIFS(I:I,C:C,C186)</f>
        <v>0.57597295600774201</v>
      </c>
    </row>
    <row r="187" spans="1:22" hidden="1" x14ac:dyDescent="0.25">
      <c r="A187" s="3">
        <f>VLOOKUP(C187,YieldData!F:G,2,FALSE)</f>
        <v>24110</v>
      </c>
      <c r="B187">
        <v>27</v>
      </c>
      <c r="C187">
        <v>110</v>
      </c>
      <c r="D187">
        <v>110</v>
      </c>
      <c r="E187" s="3">
        <f t="shared" si="2"/>
        <v>241100110</v>
      </c>
      <c r="F187" s="3">
        <f>VLOOKUP($E187,YieldData!$H:$R,10,FALSE)</f>
        <v>5</v>
      </c>
      <c r="G187" s="3">
        <f>VLOOKUP($E187,YieldData!$H:$R,11,FALSE)</f>
        <v>3</v>
      </c>
      <c r="H187">
        <v>73</v>
      </c>
      <c r="I187">
        <v>5.8814501970509997E-2</v>
      </c>
      <c r="J187">
        <v>0.246681827025277</v>
      </c>
      <c r="K187">
        <v>1.1645923982010699E-2</v>
      </c>
      <c r="L187">
        <v>0.98784226523335195</v>
      </c>
      <c r="M187">
        <v>5.2291815201984101E-2</v>
      </c>
      <c r="N187">
        <v>5.7165548338711202E-3</v>
      </c>
      <c r="O187">
        <v>-3.0993819206589501E-2</v>
      </c>
      <c r="P187">
        <v>1.21116713245975E-3</v>
      </c>
      <c r="Q187">
        <v>3182.9409645062701</v>
      </c>
      <c r="R187">
        <v>11530047.487797899</v>
      </c>
      <c r="S187">
        <v>16364.2389560344</v>
      </c>
      <c r="T187">
        <v>28969378.158603299</v>
      </c>
      <c r="U187">
        <f>VLOOKUP(C187,YieldData!F:AG,27,FALSE)</f>
        <v>1811</v>
      </c>
      <c r="V187">
        <f>_xlfn.MAXIFS(I:I,C:C,C187)</f>
        <v>0.51251822645926104</v>
      </c>
    </row>
    <row r="188" spans="1:22" hidden="1" x14ac:dyDescent="0.25">
      <c r="A188" s="3">
        <f>VLOOKUP(C188,YieldData!F:G,2,FALSE)</f>
        <v>24110</v>
      </c>
      <c r="B188">
        <v>27</v>
      </c>
      <c r="C188">
        <v>203</v>
      </c>
      <c r="D188">
        <v>203</v>
      </c>
      <c r="E188" s="3">
        <f t="shared" si="2"/>
        <v>241100203</v>
      </c>
      <c r="F188" s="3">
        <f>VLOOKUP($E188,YieldData!$H:$R,10,FALSE)</f>
        <v>2</v>
      </c>
      <c r="G188" s="3">
        <f>VLOOKUP($E188,YieldData!$H:$R,11,FALSE)</f>
        <v>4</v>
      </c>
      <c r="H188">
        <v>105</v>
      </c>
      <c r="I188">
        <v>0.10266169032068</v>
      </c>
      <c r="J188">
        <v>0.27445988490698697</v>
      </c>
      <c r="K188">
        <v>1.9741755580444099E-2</v>
      </c>
      <c r="L188">
        <v>0.99006592018526096</v>
      </c>
      <c r="M188">
        <v>7.7556959829687994E-2</v>
      </c>
      <c r="N188">
        <v>1.0154602919804899E-2</v>
      </c>
      <c r="O188">
        <v>-2.6069904386348701E-2</v>
      </c>
      <c r="P188">
        <v>1.2560767941050799E-3</v>
      </c>
      <c r="Q188">
        <v>3257.1645693168998</v>
      </c>
      <c r="R188">
        <v>13377092.2500924</v>
      </c>
      <c r="S188">
        <v>15688.143500594</v>
      </c>
      <c r="T188">
        <v>37689902.763932496</v>
      </c>
      <c r="U188">
        <f>VLOOKUP(C188,YieldData!F:AG,27,FALSE)</f>
        <v>1921</v>
      </c>
      <c r="V188">
        <f>_xlfn.MAXIFS(I:I,C:C,C188)</f>
        <v>0.56937542501438498</v>
      </c>
    </row>
    <row r="189" spans="1:22" hidden="1" x14ac:dyDescent="0.25">
      <c r="A189" s="3">
        <f>VLOOKUP(C189,YieldData!F:G,2,FALSE)</f>
        <v>24111</v>
      </c>
      <c r="B189">
        <v>27</v>
      </c>
      <c r="C189">
        <v>210</v>
      </c>
      <c r="D189">
        <v>210</v>
      </c>
      <c r="E189" s="3">
        <f t="shared" si="2"/>
        <v>241110210</v>
      </c>
      <c r="F189" s="3">
        <f>VLOOKUP($E189,YieldData!$H:$R,10,FALSE)</f>
        <v>2</v>
      </c>
      <c r="G189" s="3">
        <f>VLOOKUP($E189,YieldData!$H:$R,11,FALSE)</f>
        <v>2</v>
      </c>
      <c r="H189">
        <v>48</v>
      </c>
      <c r="I189">
        <v>0.28925366171072198</v>
      </c>
      <c r="J189">
        <v>0.36853023133784701</v>
      </c>
      <c r="K189">
        <v>4.5217722304011103E-2</v>
      </c>
      <c r="L189">
        <v>0.93506578947368402</v>
      </c>
      <c r="M189">
        <v>0.12973952525590199</v>
      </c>
      <c r="N189">
        <v>1.7655283021430698E-2</v>
      </c>
      <c r="O189">
        <v>-1.9518295161744002E-2</v>
      </c>
      <c r="P189">
        <v>2.3540709428899699E-3</v>
      </c>
      <c r="Q189">
        <v>7573.0296374507398</v>
      </c>
      <c r="R189">
        <v>87722305.202605098</v>
      </c>
      <c r="S189">
        <v>12609.3570862221</v>
      </c>
      <c r="T189">
        <v>65762605.862306997</v>
      </c>
      <c r="U189">
        <f>VLOOKUP(C189,YieldData!F:AG,27,FALSE)</f>
        <v>849</v>
      </c>
      <c r="V189">
        <f>_xlfn.MAXIFS(I:I,C:C,C189)</f>
        <v>0.61838939164094797</v>
      </c>
    </row>
    <row r="190" spans="1:22" hidden="1" x14ac:dyDescent="0.25">
      <c r="A190" s="3">
        <f>VLOOKUP(C190,YieldData!F:G,2,FALSE)</f>
        <v>24111</v>
      </c>
      <c r="B190">
        <v>27</v>
      </c>
      <c r="C190">
        <v>303</v>
      </c>
      <c r="D190">
        <v>303</v>
      </c>
      <c r="E190" s="3">
        <f t="shared" si="2"/>
        <v>241110303</v>
      </c>
      <c r="F190" s="3">
        <f>VLOOKUP($E190,YieldData!$H:$R,10,FALSE)</f>
        <v>3</v>
      </c>
      <c r="G190" s="3">
        <f>VLOOKUP($E190,YieldData!$H:$R,11,FALSE)</f>
        <v>3</v>
      </c>
      <c r="H190">
        <v>94</v>
      </c>
      <c r="I190">
        <v>0.18298005561591901</v>
      </c>
      <c r="J190">
        <v>0.31107238417392702</v>
      </c>
      <c r="K190">
        <v>3.3202072189786401E-2</v>
      </c>
      <c r="L190">
        <v>0.99476315789473702</v>
      </c>
      <c r="M190">
        <v>9.9957345841061696E-2</v>
      </c>
      <c r="N190">
        <v>1.44843749891185E-2</v>
      </c>
      <c r="O190">
        <v>-2.3894298821130401E-2</v>
      </c>
      <c r="P190">
        <v>2.06989217769999E-3</v>
      </c>
      <c r="Q190">
        <v>4999.2306096265902</v>
      </c>
      <c r="R190">
        <v>42554596.615554303</v>
      </c>
      <c r="S190">
        <v>14055.6003127931</v>
      </c>
      <c r="T190">
        <v>50689069.839042999</v>
      </c>
      <c r="U190">
        <f>VLOOKUP(C190,YieldData!F:AG,27,FALSE)</f>
        <v>546</v>
      </c>
      <c r="V190">
        <f>_xlfn.MAXIFS(I:I,C:C,C190)</f>
        <v>0.53846053251033099</v>
      </c>
    </row>
    <row r="191" spans="1:22" hidden="1" x14ac:dyDescent="0.25">
      <c r="A191" s="3">
        <f>VLOOKUP(C191,YieldData!F:G,2,FALSE)</f>
        <v>24111</v>
      </c>
      <c r="B191">
        <v>27</v>
      </c>
      <c r="C191">
        <v>310</v>
      </c>
      <c r="D191">
        <v>310</v>
      </c>
      <c r="E191" s="3">
        <f t="shared" si="2"/>
        <v>241110310</v>
      </c>
      <c r="F191" s="3">
        <f>VLOOKUP($E191,YieldData!$H:$R,10,FALSE)</f>
        <v>5</v>
      </c>
      <c r="G191" s="3">
        <f>VLOOKUP($E191,YieldData!$H:$R,11,FALSE)</f>
        <v>4</v>
      </c>
      <c r="H191">
        <v>62</v>
      </c>
      <c r="I191">
        <v>0.201457308950725</v>
      </c>
      <c r="J191">
        <v>0.31374261818161597</v>
      </c>
      <c r="K191">
        <v>3.7184291836343503E-2</v>
      </c>
      <c r="L191">
        <v>0.90786720877906302</v>
      </c>
      <c r="M191">
        <v>9.8730455434887204E-2</v>
      </c>
      <c r="N191">
        <v>1.5899812408952701E-2</v>
      </c>
      <c r="O191">
        <v>-2.1769639089933401E-2</v>
      </c>
      <c r="P191">
        <v>2.2553958848556301E-3</v>
      </c>
      <c r="Q191">
        <v>5626.3178394504703</v>
      </c>
      <c r="R191">
        <v>56037116.202207997</v>
      </c>
      <c r="S191">
        <v>14077.472727673599</v>
      </c>
      <c r="T191">
        <v>60833994.463229902</v>
      </c>
      <c r="U191">
        <f>VLOOKUP(C191,YieldData!F:AG,27,FALSE)</f>
        <v>586</v>
      </c>
      <c r="V191">
        <f>_xlfn.MAXIFS(I:I,C:C,C191)</f>
        <v>0.54465564251946896</v>
      </c>
    </row>
    <row r="192" spans="1:22" hidden="1" x14ac:dyDescent="0.25">
      <c r="A192" s="3">
        <f>VLOOKUP(C192,YieldData!F:G,2,FALSE)</f>
        <v>24112</v>
      </c>
      <c r="B192">
        <v>27</v>
      </c>
      <c r="C192">
        <v>403</v>
      </c>
      <c r="D192">
        <v>403</v>
      </c>
      <c r="E192" s="3">
        <f t="shared" si="2"/>
        <v>241120403</v>
      </c>
      <c r="F192" s="3">
        <f>VLOOKUP($E192,YieldData!$H:$R,10,FALSE)</f>
        <v>1</v>
      </c>
      <c r="G192" s="3">
        <f>VLOOKUP($E192,YieldData!$H:$R,11,FALSE)</f>
        <v>2</v>
      </c>
      <c r="H192">
        <v>46</v>
      </c>
      <c r="I192">
        <v>0.22882750153468401</v>
      </c>
      <c r="J192">
        <v>0.332291855757681</v>
      </c>
      <c r="K192">
        <v>4.0647429949446E-2</v>
      </c>
      <c r="L192">
        <v>0.92817105263157895</v>
      </c>
      <c r="M192">
        <v>0.10418155744291401</v>
      </c>
      <c r="N192">
        <v>1.44821867757531E-2</v>
      </c>
      <c r="O192">
        <v>-2.5048279716391699E-2</v>
      </c>
      <c r="P192">
        <v>2.73558424499126E-3</v>
      </c>
      <c r="Q192">
        <v>6928.1018723142997</v>
      </c>
      <c r="R192">
        <v>88478731.737596393</v>
      </c>
      <c r="S192">
        <v>13593.9038694753</v>
      </c>
      <c r="T192">
        <v>59346327.282589801</v>
      </c>
      <c r="U192">
        <f>VLOOKUP(C192,YieldData!F:AG,27,FALSE)</f>
        <v>562</v>
      </c>
      <c r="V192">
        <f>_xlfn.MAXIFS(I:I,C:C,C192)</f>
        <v>0.51879507516068502</v>
      </c>
    </row>
    <row r="193" spans="1:22" hidden="1" x14ac:dyDescent="0.25">
      <c r="A193" s="3">
        <f>VLOOKUP(C193,YieldData!F:G,2,FALSE)</f>
        <v>24112</v>
      </c>
      <c r="B193">
        <v>27</v>
      </c>
      <c r="C193">
        <v>410</v>
      </c>
      <c r="D193">
        <v>410</v>
      </c>
      <c r="E193" s="3">
        <f t="shared" si="2"/>
        <v>241120410</v>
      </c>
      <c r="F193" s="3">
        <f>VLOOKUP($E193,YieldData!$H:$R,10,FALSE)</f>
        <v>4</v>
      </c>
      <c r="G193" s="3">
        <f>VLOOKUP($E193,YieldData!$H:$R,11,FALSE)</f>
        <v>4</v>
      </c>
      <c r="H193">
        <v>36</v>
      </c>
      <c r="I193">
        <v>0.28212667738885999</v>
      </c>
      <c r="J193">
        <v>0.37037300302986498</v>
      </c>
      <c r="K193">
        <v>5.0102215395999801E-2</v>
      </c>
      <c r="L193">
        <v>0.90555387429112799</v>
      </c>
      <c r="M193">
        <v>0.124457059092966</v>
      </c>
      <c r="N193">
        <v>1.78241157930248E-2</v>
      </c>
      <c r="O193">
        <v>-2.0783286882898499E-2</v>
      </c>
      <c r="P193">
        <v>2.5376838021173801E-3</v>
      </c>
      <c r="Q193">
        <v>7814.5834305287799</v>
      </c>
      <c r="R193">
        <v>106375909.81274401</v>
      </c>
      <c r="S193">
        <v>12807.806477071201</v>
      </c>
      <c r="T193">
        <v>75408503.476304799</v>
      </c>
      <c r="U193">
        <f>VLOOKUP(C193,YieldData!F:AG,27,FALSE)</f>
        <v>780</v>
      </c>
      <c r="V193">
        <f>_xlfn.MAXIFS(I:I,C:C,C193)</f>
        <v>0.55470333607961597</v>
      </c>
    </row>
    <row r="194" spans="1:22" hidden="1" x14ac:dyDescent="0.25">
      <c r="A194" s="3">
        <f>VLOOKUP(C194,YieldData!F:G,2,FALSE)</f>
        <v>24112</v>
      </c>
      <c r="B194">
        <v>27</v>
      </c>
      <c r="C194">
        <v>411</v>
      </c>
      <c r="D194">
        <v>411</v>
      </c>
      <c r="E194" s="3">
        <f t="shared" si="2"/>
        <v>241120411</v>
      </c>
      <c r="F194" s="3">
        <f>VLOOKUP($E194,YieldData!$H:$R,10,FALSE)</f>
        <v>1</v>
      </c>
      <c r="G194" s="3">
        <f>VLOOKUP($E194,YieldData!$H:$R,11,FALSE)</f>
        <v>4</v>
      </c>
      <c r="H194">
        <v>74</v>
      </c>
      <c r="I194">
        <v>0.19713079029109501</v>
      </c>
      <c r="J194">
        <v>0.31746900746268902</v>
      </c>
      <c r="K194">
        <v>3.08140085920235E-2</v>
      </c>
      <c r="L194">
        <v>0.97779005815636399</v>
      </c>
      <c r="M194">
        <v>9.6161442500062894E-2</v>
      </c>
      <c r="N194">
        <v>1.07484533150427E-2</v>
      </c>
      <c r="O194">
        <v>-2.3527794884561401E-2</v>
      </c>
      <c r="P194">
        <v>2.2270529350705099E-3</v>
      </c>
      <c r="Q194">
        <v>6348.4256608267597</v>
      </c>
      <c r="R194">
        <v>78933701.121872693</v>
      </c>
      <c r="S194">
        <v>14404.922064344601</v>
      </c>
      <c r="T194">
        <v>52238164.874872297</v>
      </c>
      <c r="U194">
        <f>VLOOKUP(C194,YieldData!F:AG,27,FALSE)</f>
        <v>550</v>
      </c>
      <c r="V194">
        <f>_xlfn.MAXIFS(I:I,C:C,C194)</f>
        <v>0.511070134829404</v>
      </c>
    </row>
    <row r="195" spans="1:22" hidden="1" x14ac:dyDescent="0.25">
      <c r="A195" s="3">
        <f>VLOOKUP(C195,YieldData!F:G,2,FALSE)</f>
        <v>24112</v>
      </c>
      <c r="B195">
        <v>27</v>
      </c>
      <c r="C195">
        <v>404</v>
      </c>
      <c r="D195">
        <v>404</v>
      </c>
      <c r="E195" s="3">
        <f t="shared" ref="E195:E258" si="3">A195*10000+D195</f>
        <v>241120404</v>
      </c>
      <c r="F195" s="3">
        <f>VLOOKUP($E195,YieldData!$H:$R,10,FALSE)</f>
        <v>2</v>
      </c>
      <c r="G195" s="3">
        <f>VLOOKUP($E195,YieldData!$H:$R,11,FALSE)</f>
        <v>2</v>
      </c>
      <c r="H195">
        <v>32</v>
      </c>
      <c r="I195">
        <v>8.1017538044112006E-2</v>
      </c>
      <c r="J195">
        <v>0.23231700204432701</v>
      </c>
      <c r="K195">
        <v>1.9979571498149801E-2</v>
      </c>
      <c r="L195">
        <v>0.59932367531151698</v>
      </c>
      <c r="M195">
        <v>4.67502689459912E-2</v>
      </c>
      <c r="N195">
        <v>9.3808920809769908E-3</v>
      </c>
      <c r="O195">
        <v>-3.24459870115004E-2</v>
      </c>
      <c r="P195">
        <v>1.4829651760960799E-3</v>
      </c>
      <c r="Q195">
        <v>3189.3839953837601</v>
      </c>
      <c r="R195">
        <v>22071802.730788</v>
      </c>
      <c r="S195">
        <v>16533.248754885299</v>
      </c>
      <c r="T195">
        <v>35171369.233810998</v>
      </c>
      <c r="U195">
        <f>VLOOKUP(C195,YieldData!F:AG,27,FALSE)</f>
        <v>368</v>
      </c>
      <c r="V195">
        <f>_xlfn.MAXIFS(I:I,C:C,C195)</f>
        <v>0.273796057148462</v>
      </c>
    </row>
    <row r="196" spans="1:22" hidden="1" x14ac:dyDescent="0.25">
      <c r="A196" s="3">
        <f>VLOOKUP(C196,YieldData!F:G,2,FALSE)</f>
        <v>24111</v>
      </c>
      <c r="B196">
        <v>27</v>
      </c>
      <c r="C196">
        <v>311</v>
      </c>
      <c r="D196">
        <v>311</v>
      </c>
      <c r="E196" s="3">
        <f t="shared" si="3"/>
        <v>241110311</v>
      </c>
      <c r="F196" s="3">
        <f>VLOOKUP($E196,YieldData!$H:$R,10,FALSE)</f>
        <v>4</v>
      </c>
      <c r="G196" s="3">
        <f>VLOOKUP($E196,YieldData!$H:$R,11,FALSE)</f>
        <v>4</v>
      </c>
      <c r="H196">
        <v>86</v>
      </c>
      <c r="I196">
        <v>0.15398545164359601</v>
      </c>
      <c r="J196">
        <v>0.28048207424534199</v>
      </c>
      <c r="K196">
        <v>3.1257601451821097E-2</v>
      </c>
      <c r="L196">
        <v>0.93823765476770005</v>
      </c>
      <c r="M196">
        <v>7.7244065313430699E-2</v>
      </c>
      <c r="N196">
        <v>1.1361062916368901E-2</v>
      </c>
      <c r="O196">
        <v>-2.7054538297113101E-2</v>
      </c>
      <c r="P196">
        <v>1.929116871098E-3</v>
      </c>
      <c r="Q196">
        <v>4825.2451121819504</v>
      </c>
      <c r="R196">
        <v>49149750.0467932</v>
      </c>
      <c r="S196">
        <v>14711.380117877199</v>
      </c>
      <c r="T196">
        <v>48842261.925303496</v>
      </c>
      <c r="U196">
        <f>VLOOKUP(C196,YieldData!F:AG,27,FALSE)</f>
        <v>687</v>
      </c>
      <c r="V196">
        <f>_xlfn.MAXIFS(I:I,C:C,C196)</f>
        <v>0.39958152156144799</v>
      </c>
    </row>
    <row r="197" spans="1:22" hidden="1" x14ac:dyDescent="0.25">
      <c r="A197" s="3">
        <f>VLOOKUP(C197,YieldData!F:G,2,FALSE)</f>
        <v>24111</v>
      </c>
      <c r="B197">
        <v>27</v>
      </c>
      <c r="C197">
        <v>304</v>
      </c>
      <c r="D197">
        <v>304</v>
      </c>
      <c r="E197" s="3">
        <f t="shared" si="3"/>
        <v>241110304</v>
      </c>
      <c r="F197" s="3">
        <f>VLOOKUP($E197,YieldData!$H:$R,10,FALSE)</f>
        <v>5</v>
      </c>
      <c r="G197" s="3">
        <f>VLOOKUP($E197,YieldData!$H:$R,11,FALSE)</f>
        <v>3</v>
      </c>
      <c r="H197">
        <v>57</v>
      </c>
      <c r="I197">
        <v>0.17466329449607701</v>
      </c>
      <c r="J197">
        <v>0.29225536243608602</v>
      </c>
      <c r="K197">
        <v>3.8154691326791702E-2</v>
      </c>
      <c r="L197">
        <v>0.81110029211294998</v>
      </c>
      <c r="M197">
        <v>8.3813309995409299E-2</v>
      </c>
      <c r="N197">
        <v>1.7991412679338799E-2</v>
      </c>
      <c r="O197">
        <v>-2.8746182851611599E-2</v>
      </c>
      <c r="P197">
        <v>2.1024979345742999E-3</v>
      </c>
      <c r="Q197">
        <v>4591.7404574529501</v>
      </c>
      <c r="R197">
        <v>43951071.278942898</v>
      </c>
      <c r="S197">
        <v>14530.6931605178</v>
      </c>
      <c r="T197">
        <v>56380578.575682998</v>
      </c>
      <c r="U197">
        <f>VLOOKUP(C197,YieldData!F:AG,27,FALSE)</f>
        <v>718</v>
      </c>
      <c r="V197">
        <f>_xlfn.MAXIFS(I:I,C:C,C197)</f>
        <v>0.41874546369978999</v>
      </c>
    </row>
    <row r="198" spans="1:22" hidden="1" x14ac:dyDescent="0.25">
      <c r="A198" s="3">
        <f>VLOOKUP(C198,YieldData!F:G,2,FALSE)</f>
        <v>24111</v>
      </c>
      <c r="B198">
        <v>27</v>
      </c>
      <c r="C198">
        <v>211</v>
      </c>
      <c r="D198">
        <v>211</v>
      </c>
      <c r="E198" s="3">
        <f t="shared" si="3"/>
        <v>241110211</v>
      </c>
      <c r="F198" s="3">
        <f>VLOOKUP($E198,YieldData!$H:$R,10,FALSE)</f>
        <v>5</v>
      </c>
      <c r="G198" s="3">
        <f>VLOOKUP($E198,YieldData!$H:$R,11,FALSE)</f>
        <v>1</v>
      </c>
      <c r="H198">
        <v>47</v>
      </c>
      <c r="I198">
        <v>0.22159676864902</v>
      </c>
      <c r="J198">
        <v>0.33153200184223203</v>
      </c>
      <c r="K198">
        <v>3.7642136595775103E-2</v>
      </c>
      <c r="L198">
        <v>0.93944816515572205</v>
      </c>
      <c r="M198">
        <v>0.10745859801440601</v>
      </c>
      <c r="N198">
        <v>1.5368082993416399E-2</v>
      </c>
      <c r="O198">
        <v>-1.87613113846395E-2</v>
      </c>
      <c r="P198">
        <v>2.32834409489886E-3</v>
      </c>
      <c r="Q198">
        <v>6052.7145680891799</v>
      </c>
      <c r="R198">
        <v>70053342.594251797</v>
      </c>
      <c r="S198">
        <v>13571.7360699738</v>
      </c>
      <c r="T198">
        <v>59368754.670836903</v>
      </c>
      <c r="U198">
        <f>VLOOKUP(C198,YieldData!F:AG,27,FALSE)</f>
        <v>733</v>
      </c>
      <c r="V198">
        <f>_xlfn.MAXIFS(I:I,C:C,C198)</f>
        <v>0.54509075691792597</v>
      </c>
    </row>
    <row r="199" spans="1:22" hidden="1" x14ac:dyDescent="0.25">
      <c r="A199" s="3">
        <f>VLOOKUP(C199,YieldData!F:G,2,FALSE)</f>
        <v>24110</v>
      </c>
      <c r="B199">
        <v>27</v>
      </c>
      <c r="C199">
        <v>204</v>
      </c>
      <c r="D199">
        <v>204</v>
      </c>
      <c r="E199" s="3">
        <f t="shared" si="3"/>
        <v>241100204</v>
      </c>
      <c r="F199" s="3">
        <f>VLOOKUP($E199,YieldData!$H:$R,10,FALSE)</f>
        <v>3</v>
      </c>
      <c r="G199" s="3">
        <f>VLOOKUP($E199,YieldData!$H:$R,11,FALSE)</f>
        <v>4</v>
      </c>
      <c r="H199">
        <v>81</v>
      </c>
      <c r="I199">
        <v>7.6909383325353006E-2</v>
      </c>
      <c r="J199">
        <v>0.253355519303955</v>
      </c>
      <c r="K199">
        <v>1.5996905297061E-2</v>
      </c>
      <c r="L199">
        <v>0.97235562689964605</v>
      </c>
      <c r="M199">
        <v>6.0855000270119503E-2</v>
      </c>
      <c r="N199">
        <v>8.0168654864214896E-3</v>
      </c>
      <c r="O199">
        <v>-2.7933250243852001E-2</v>
      </c>
      <c r="P199">
        <v>1.1150548165718001E-3</v>
      </c>
      <c r="Q199">
        <v>3085.5382060820398</v>
      </c>
      <c r="R199">
        <v>18511080.679929499</v>
      </c>
      <c r="S199">
        <v>16242.0359956189</v>
      </c>
      <c r="T199">
        <v>33597035.9337622</v>
      </c>
      <c r="U199">
        <f>VLOOKUP(C199,YieldData!F:AG,27,FALSE)</f>
        <v>1553</v>
      </c>
      <c r="V199">
        <f>_xlfn.MAXIFS(I:I,C:C,C199)</f>
        <v>0.46833663534658099</v>
      </c>
    </row>
    <row r="200" spans="1:22" hidden="1" x14ac:dyDescent="0.25">
      <c r="A200" s="3">
        <f>VLOOKUP(C200,YieldData!F:G,2,FALSE)</f>
        <v>24110</v>
      </c>
      <c r="B200">
        <v>27</v>
      </c>
      <c r="C200">
        <v>111</v>
      </c>
      <c r="D200">
        <v>111</v>
      </c>
      <c r="E200" s="3">
        <f t="shared" si="3"/>
        <v>241100111</v>
      </c>
      <c r="F200" s="3">
        <f>VLOOKUP($E200,YieldData!$H:$R,10,FALSE)</f>
        <v>2</v>
      </c>
      <c r="G200" s="3">
        <f>VLOOKUP($E200,YieldData!$H:$R,11,FALSE)</f>
        <v>3</v>
      </c>
      <c r="H200">
        <v>78</v>
      </c>
      <c r="I200">
        <v>9.4822135600502996E-2</v>
      </c>
      <c r="J200">
        <v>0.26683913804877801</v>
      </c>
      <c r="K200">
        <v>1.7920921494026801E-2</v>
      </c>
      <c r="L200">
        <v>0.98982881353702001</v>
      </c>
      <c r="M200">
        <v>6.8102275062508294E-2</v>
      </c>
      <c r="N200">
        <v>9.1753248261824405E-3</v>
      </c>
      <c r="O200">
        <v>-2.5883824856236599E-2</v>
      </c>
      <c r="P200">
        <v>1.50068482179401E-3</v>
      </c>
      <c r="Q200">
        <v>3370.9976243823098</v>
      </c>
      <c r="R200">
        <v>15482560.314073101</v>
      </c>
      <c r="S200">
        <v>15443.3632310375</v>
      </c>
      <c r="T200">
        <v>36867533.360914499</v>
      </c>
      <c r="U200">
        <f>VLOOKUP(C200,YieldData!F:AG,27,FALSE)</f>
        <v>1957</v>
      </c>
      <c r="V200">
        <f>_xlfn.MAXIFS(I:I,C:C,C200)</f>
        <v>0.57165742532824204</v>
      </c>
    </row>
    <row r="201" spans="1:22" hidden="1" x14ac:dyDescent="0.25">
      <c r="A201" s="3">
        <f>VLOOKUP(C201,YieldData!F:G,2,FALSE)</f>
        <v>24110</v>
      </c>
      <c r="B201">
        <v>27</v>
      </c>
      <c r="C201">
        <v>104</v>
      </c>
      <c r="D201">
        <v>104</v>
      </c>
      <c r="E201" s="3">
        <f t="shared" si="3"/>
        <v>241100104</v>
      </c>
      <c r="F201" s="3">
        <f>VLOOKUP($E201,YieldData!$H:$R,10,FALSE)</f>
        <v>4</v>
      </c>
      <c r="G201" s="3">
        <f>VLOOKUP($E201,YieldData!$H:$R,11,FALSE)</f>
        <v>1</v>
      </c>
      <c r="H201">
        <v>85</v>
      </c>
      <c r="I201">
        <v>0.103031270334311</v>
      </c>
      <c r="J201">
        <v>0.276337617388141</v>
      </c>
      <c r="K201">
        <v>2.00793611368137E-2</v>
      </c>
      <c r="L201">
        <v>0.98959196831537299</v>
      </c>
      <c r="M201">
        <v>7.5545810083072401E-2</v>
      </c>
      <c r="N201">
        <v>1.1426979255352699E-2</v>
      </c>
      <c r="O201">
        <v>-2.5439165025017599E-2</v>
      </c>
      <c r="P201">
        <v>1.6478376118926801E-3</v>
      </c>
      <c r="Q201">
        <v>3077.4220942652601</v>
      </c>
      <c r="R201">
        <v>14888866.512325101</v>
      </c>
      <c r="S201">
        <v>15564.2304767893</v>
      </c>
      <c r="T201">
        <v>37004185.344414502</v>
      </c>
      <c r="U201">
        <f>VLOOKUP(C201,YieldData!F:AG,27,FALSE)</f>
        <v>1943</v>
      </c>
      <c r="V201">
        <f>_xlfn.MAXIFS(I:I,C:C,C201)</f>
        <v>0.58876799748917896</v>
      </c>
    </row>
    <row r="202" spans="1:22" hidden="1" x14ac:dyDescent="0.25">
      <c r="A202" s="3">
        <f>VLOOKUP(C202,YieldData!F:G,2,FALSE)</f>
        <v>24110</v>
      </c>
      <c r="B202">
        <v>27</v>
      </c>
      <c r="C202">
        <v>105</v>
      </c>
      <c r="D202">
        <v>105</v>
      </c>
      <c r="E202" s="3">
        <f t="shared" si="3"/>
        <v>241100105</v>
      </c>
      <c r="F202" s="3">
        <f>VLOOKUP($E202,YieldData!$H:$R,10,FALSE)</f>
        <v>5</v>
      </c>
      <c r="G202" s="3">
        <f>VLOOKUP($E202,YieldData!$H:$R,11,FALSE)</f>
        <v>1</v>
      </c>
      <c r="H202">
        <v>88</v>
      </c>
      <c r="I202">
        <v>6.8679750277775994E-2</v>
      </c>
      <c r="J202">
        <v>0.24838374788341899</v>
      </c>
      <c r="K202">
        <v>1.40874256102452E-2</v>
      </c>
      <c r="L202">
        <v>0.98817105263157901</v>
      </c>
      <c r="M202">
        <v>4.94220332046756E-2</v>
      </c>
      <c r="N202">
        <v>7.3597082813312001E-3</v>
      </c>
      <c r="O202">
        <v>-3.1391127433579601E-2</v>
      </c>
      <c r="P202">
        <v>1.0429082250093E-3</v>
      </c>
      <c r="Q202">
        <v>2976.47658393748</v>
      </c>
      <c r="R202">
        <v>11589079.550168101</v>
      </c>
      <c r="S202">
        <v>16305.696980209899</v>
      </c>
      <c r="T202">
        <v>30416060.908682</v>
      </c>
      <c r="U202">
        <f>VLOOKUP(C202,YieldData!F:AG,27,FALSE)</f>
        <v>1784</v>
      </c>
      <c r="V202">
        <f>_xlfn.MAXIFS(I:I,C:C,C202)</f>
        <v>0.52674286312100305</v>
      </c>
    </row>
    <row r="203" spans="1:22" hidden="1" x14ac:dyDescent="0.25">
      <c r="A203" s="3">
        <f>VLOOKUP(C203,YieldData!F:G,2,FALSE)</f>
        <v>24110</v>
      </c>
      <c r="B203">
        <v>27</v>
      </c>
      <c r="C203">
        <v>112</v>
      </c>
      <c r="D203">
        <v>112</v>
      </c>
      <c r="E203" s="3">
        <f t="shared" si="3"/>
        <v>241100112</v>
      </c>
      <c r="F203" s="3">
        <f>VLOOKUP($E203,YieldData!$H:$R,10,FALSE)</f>
        <v>1</v>
      </c>
      <c r="G203" s="3">
        <f>VLOOKUP($E203,YieldData!$H:$R,11,FALSE)</f>
        <v>2</v>
      </c>
      <c r="H203">
        <v>115</v>
      </c>
      <c r="I203">
        <v>4.7574615412948003E-2</v>
      </c>
      <c r="J203">
        <v>0.23833775626607101</v>
      </c>
      <c r="K203">
        <v>1.0878549699600301E-2</v>
      </c>
      <c r="L203">
        <v>0.99052656509039205</v>
      </c>
      <c r="M203">
        <v>4.6119314261086203E-2</v>
      </c>
      <c r="N203">
        <v>6.2009305321833802E-3</v>
      </c>
      <c r="O203">
        <v>-3.1400058666827199E-2</v>
      </c>
      <c r="P203">
        <v>1.2076004770297201E-3</v>
      </c>
      <c r="Q203">
        <v>2852.4085830744898</v>
      </c>
      <c r="R203">
        <v>9067005.3974667806</v>
      </c>
      <c r="S203">
        <v>16401.198722440298</v>
      </c>
      <c r="T203">
        <v>27215934.3552703</v>
      </c>
      <c r="U203">
        <f>VLOOKUP(C203,YieldData!F:AG,27,FALSE)</f>
        <v>1958</v>
      </c>
      <c r="V203">
        <f>_xlfn.MAXIFS(I:I,C:C,C203)</f>
        <v>0.51515349658351595</v>
      </c>
    </row>
    <row r="204" spans="1:22" hidden="1" x14ac:dyDescent="0.25">
      <c r="A204" s="3">
        <f>VLOOKUP(C204,YieldData!F:G,2,FALSE)</f>
        <v>24110</v>
      </c>
      <c r="B204">
        <v>27</v>
      </c>
      <c r="C204">
        <v>205</v>
      </c>
      <c r="D204">
        <v>205</v>
      </c>
      <c r="E204" s="3">
        <f t="shared" si="3"/>
        <v>241100205</v>
      </c>
      <c r="F204" s="3">
        <f>VLOOKUP($E204,YieldData!$H:$R,10,FALSE)</f>
        <v>5</v>
      </c>
      <c r="G204" s="3">
        <f>VLOOKUP($E204,YieldData!$H:$R,11,FALSE)</f>
        <v>4</v>
      </c>
      <c r="H204">
        <v>82</v>
      </c>
      <c r="I204">
        <v>8.2557318682667996E-2</v>
      </c>
      <c r="J204">
        <v>0.25079258339882099</v>
      </c>
      <c r="K204">
        <v>1.68329589242921E-2</v>
      </c>
      <c r="L204">
        <v>0.98972381942342902</v>
      </c>
      <c r="M204">
        <v>5.5032648040060798E-2</v>
      </c>
      <c r="N204">
        <v>8.0864078915276905E-3</v>
      </c>
      <c r="O204">
        <v>-2.92549655275871E-2</v>
      </c>
      <c r="P204">
        <v>1.0520628798148901E-3</v>
      </c>
      <c r="Q204">
        <v>3167.2598201405699</v>
      </c>
      <c r="R204">
        <v>13472407.5235068</v>
      </c>
      <c r="S204">
        <v>16296.3158248817</v>
      </c>
      <c r="T204">
        <v>32683567.981722001</v>
      </c>
      <c r="U204">
        <f>VLOOKUP(C204,YieldData!F:AG,27,FALSE)</f>
        <v>1772</v>
      </c>
      <c r="V204">
        <f>_xlfn.MAXIFS(I:I,C:C,C204)</f>
        <v>0.51783437408049204</v>
      </c>
    </row>
    <row r="205" spans="1:22" hidden="1" x14ac:dyDescent="0.25">
      <c r="A205" s="3">
        <f>VLOOKUP(C205,YieldData!F:G,2,FALSE)</f>
        <v>24111</v>
      </c>
      <c r="B205">
        <v>27</v>
      </c>
      <c r="C205">
        <v>212</v>
      </c>
      <c r="D205">
        <v>212</v>
      </c>
      <c r="E205" s="3">
        <f t="shared" si="3"/>
        <v>241110212</v>
      </c>
      <c r="F205" s="3">
        <f>VLOOKUP($E205,YieldData!$H:$R,10,FALSE)</f>
        <v>4</v>
      </c>
      <c r="G205" s="3">
        <f>VLOOKUP($E205,YieldData!$H:$R,11,FALSE)</f>
        <v>1</v>
      </c>
      <c r="H205">
        <v>65</v>
      </c>
      <c r="I205">
        <v>0.15373565864348701</v>
      </c>
      <c r="J205">
        <v>0.29026278516785498</v>
      </c>
      <c r="K205">
        <v>2.9752562342344899E-2</v>
      </c>
      <c r="L205">
        <v>0.98039447887472198</v>
      </c>
      <c r="M205">
        <v>8.1414852162378495E-2</v>
      </c>
      <c r="N205">
        <v>1.23836355893913E-2</v>
      </c>
      <c r="O205">
        <v>-2.49744789938528E-2</v>
      </c>
      <c r="P205">
        <v>2.0548123584888502E-3</v>
      </c>
      <c r="Q205">
        <v>5048.4577325156697</v>
      </c>
      <c r="R205">
        <v>47633709.797111101</v>
      </c>
      <c r="S205">
        <v>14894.910539333099</v>
      </c>
      <c r="T205">
        <v>47904036.8984484</v>
      </c>
      <c r="U205">
        <f>VLOOKUP(C205,YieldData!F:AG,27,FALSE)</f>
        <v>678</v>
      </c>
      <c r="V205">
        <f>_xlfn.MAXIFS(I:I,C:C,C205)</f>
        <v>0.50204989047634596</v>
      </c>
    </row>
    <row r="206" spans="1:22" hidden="1" x14ac:dyDescent="0.25">
      <c r="A206" s="3">
        <f>VLOOKUP(C206,YieldData!F:G,2,FALSE)</f>
        <v>24111</v>
      </c>
      <c r="B206">
        <v>27</v>
      </c>
      <c r="C206">
        <v>305</v>
      </c>
      <c r="D206">
        <v>305</v>
      </c>
      <c r="E206" s="3">
        <f t="shared" si="3"/>
        <v>241110305</v>
      </c>
      <c r="F206" s="3">
        <f>VLOOKUP($E206,YieldData!$H:$R,10,FALSE)</f>
        <v>4</v>
      </c>
      <c r="G206" s="3">
        <f>VLOOKUP($E206,YieldData!$H:$R,11,FALSE)</f>
        <v>3</v>
      </c>
      <c r="H206">
        <v>91</v>
      </c>
      <c r="I206">
        <v>0.18750038366860899</v>
      </c>
      <c r="J206">
        <v>0.302582520050033</v>
      </c>
      <c r="K206">
        <v>3.7697317830490698E-2</v>
      </c>
      <c r="L206">
        <v>0.99215799792107995</v>
      </c>
      <c r="M206">
        <v>9.0428014045587202E-2</v>
      </c>
      <c r="N206">
        <v>1.6636664769139501E-2</v>
      </c>
      <c r="O206">
        <v>-2.82160940223476E-2</v>
      </c>
      <c r="P206">
        <v>2.2604978789867699E-3</v>
      </c>
      <c r="Q206">
        <v>5184.15823107286</v>
      </c>
      <c r="R206">
        <v>47309378.299945697</v>
      </c>
      <c r="S206">
        <v>14542.616327904499</v>
      </c>
      <c r="T206">
        <v>54316269.234099902</v>
      </c>
      <c r="U206">
        <f>VLOOKUP(C206,YieldData!F:AG,27,FALSE)</f>
        <v>792</v>
      </c>
      <c r="V206">
        <f>_xlfn.MAXIFS(I:I,C:C,C206)</f>
        <v>0.51650679691637702</v>
      </c>
    </row>
    <row r="207" spans="1:22" hidden="1" x14ac:dyDescent="0.25">
      <c r="A207" s="3">
        <f>VLOOKUP(C207,YieldData!F:G,2,FALSE)</f>
        <v>24111</v>
      </c>
      <c r="B207">
        <v>27</v>
      </c>
      <c r="C207">
        <v>312</v>
      </c>
      <c r="D207">
        <v>312</v>
      </c>
      <c r="E207" s="3">
        <f t="shared" si="3"/>
        <v>241110312</v>
      </c>
      <c r="F207" s="3">
        <f>VLOOKUP($E207,YieldData!$H:$R,10,FALSE)</f>
        <v>2</v>
      </c>
      <c r="G207" s="3">
        <f>VLOOKUP($E207,YieldData!$H:$R,11,FALSE)</f>
        <v>4</v>
      </c>
      <c r="H207">
        <v>63</v>
      </c>
      <c r="I207">
        <v>0.31609576427255998</v>
      </c>
      <c r="J207">
        <v>0.37185906968274401</v>
      </c>
      <c r="K207">
        <v>5.5207027646715201E-2</v>
      </c>
      <c r="L207">
        <v>0.99660530782489698</v>
      </c>
      <c r="M207">
        <v>0.126158690396869</v>
      </c>
      <c r="N207">
        <v>1.9741292063401999E-2</v>
      </c>
      <c r="O207">
        <v>-2.5239371273391101E-2</v>
      </c>
      <c r="P207">
        <v>2.68737194131721E-3</v>
      </c>
      <c r="Q207">
        <v>8149.5631246163302</v>
      </c>
      <c r="R207">
        <v>101088613.896548</v>
      </c>
      <c r="S207">
        <v>12507.373886821701</v>
      </c>
      <c r="T207">
        <v>77479817.423954904</v>
      </c>
      <c r="U207">
        <f>VLOOKUP(C207,YieldData!F:AG,27,FALSE)</f>
        <v>689</v>
      </c>
      <c r="V207">
        <f>_xlfn.MAXIFS(I:I,C:C,C207)</f>
        <v>0.62473845268609096</v>
      </c>
    </row>
    <row r="208" spans="1:22" hidden="1" x14ac:dyDescent="0.25">
      <c r="A208" s="3">
        <f>VLOOKUP(C208,YieldData!F:G,2,FALSE)</f>
        <v>24112</v>
      </c>
      <c r="B208">
        <v>27</v>
      </c>
      <c r="C208">
        <v>405</v>
      </c>
      <c r="D208">
        <v>405</v>
      </c>
      <c r="E208" s="3">
        <f t="shared" si="3"/>
        <v>241120405</v>
      </c>
      <c r="F208" s="3">
        <f>VLOOKUP($E208,YieldData!$H:$R,10,FALSE)</f>
        <v>3</v>
      </c>
      <c r="G208" s="3">
        <f>VLOOKUP($E208,YieldData!$H:$R,11,FALSE)</f>
        <v>2</v>
      </c>
      <c r="H208">
        <v>71</v>
      </c>
      <c r="I208">
        <v>0.16021288873064801</v>
      </c>
      <c r="J208">
        <v>0.28952705547977398</v>
      </c>
      <c r="K208">
        <v>2.9132777766064901E-2</v>
      </c>
      <c r="L208">
        <v>0.96715789473684199</v>
      </c>
      <c r="M208">
        <v>8.0817623091421903E-2</v>
      </c>
      <c r="N208">
        <v>1.11136073541336E-2</v>
      </c>
      <c r="O208">
        <v>-2.4962873317908699E-2</v>
      </c>
      <c r="P208">
        <v>1.88411627201364E-3</v>
      </c>
      <c r="Q208">
        <v>5398.1448600999402</v>
      </c>
      <c r="R208">
        <v>56262492.449285202</v>
      </c>
      <c r="S208">
        <v>15041.3447515469</v>
      </c>
      <c r="T208">
        <v>47112660.704826303</v>
      </c>
      <c r="U208">
        <f>VLOOKUP(C208,YieldData!F:AG,27,FALSE)</f>
        <v>273</v>
      </c>
      <c r="V208">
        <f>_xlfn.MAXIFS(I:I,C:C,C208)</f>
        <v>0.53204608463671099</v>
      </c>
    </row>
    <row r="209" spans="1:22" hidden="1" x14ac:dyDescent="0.25">
      <c r="A209" s="3">
        <f>VLOOKUP(C209,YieldData!F:G,2,FALSE)</f>
        <v>24112</v>
      </c>
      <c r="B209">
        <v>27</v>
      </c>
      <c r="C209">
        <v>412</v>
      </c>
      <c r="D209">
        <v>412</v>
      </c>
      <c r="E209" s="3">
        <f t="shared" si="3"/>
        <v>241120412</v>
      </c>
      <c r="F209" s="3">
        <f>VLOOKUP($E209,YieldData!$H:$R,10,FALSE)</f>
        <v>3</v>
      </c>
      <c r="G209" s="3">
        <f>VLOOKUP($E209,YieldData!$H:$R,11,FALSE)</f>
        <v>3</v>
      </c>
      <c r="H209">
        <v>61</v>
      </c>
      <c r="I209">
        <v>0.13560133575602801</v>
      </c>
      <c r="J209">
        <v>0.28296585682515302</v>
      </c>
      <c r="K209">
        <v>2.41397511377687E-2</v>
      </c>
      <c r="L209">
        <v>0.95273559830521903</v>
      </c>
      <c r="M209">
        <v>7.6975726617834403E-2</v>
      </c>
      <c r="N209">
        <v>1.0295286482066001E-2</v>
      </c>
      <c r="O209">
        <v>-2.5755444539984601E-2</v>
      </c>
      <c r="P209">
        <v>1.9965804591530502E-3</v>
      </c>
      <c r="Q209">
        <v>4486.44129671463</v>
      </c>
      <c r="R209">
        <v>49939637.0299723</v>
      </c>
      <c r="S209">
        <v>15373.4129712141</v>
      </c>
      <c r="T209">
        <v>44656288.422001697</v>
      </c>
      <c r="U209">
        <f>VLOOKUP(C209,YieldData!F:AG,27,FALSE)</f>
        <v>475</v>
      </c>
      <c r="V209">
        <f>_xlfn.MAXIFS(I:I,C:C,C209)</f>
        <v>0.53409923105089696</v>
      </c>
    </row>
    <row r="210" spans="1:22" hidden="1" x14ac:dyDescent="0.25">
      <c r="A210" s="3">
        <f>VLOOKUP(C210,YieldData!F:G,2,FALSE)</f>
        <v>24112</v>
      </c>
      <c r="B210">
        <v>27</v>
      </c>
      <c r="C210">
        <v>413</v>
      </c>
      <c r="D210">
        <v>413</v>
      </c>
      <c r="E210" s="3">
        <f t="shared" si="3"/>
        <v>241120413</v>
      </c>
      <c r="F210" s="3">
        <f>VLOOKUP($E210,YieldData!$H:$R,10,FALSE)</f>
        <v>1</v>
      </c>
      <c r="G210" s="3">
        <f>VLOOKUP($E210,YieldData!$H:$R,11,FALSE)</f>
        <v>3</v>
      </c>
      <c r="H210">
        <v>56</v>
      </c>
      <c r="I210">
        <v>0.23963659801724899</v>
      </c>
      <c r="J210">
        <v>0.34627723318432102</v>
      </c>
      <c r="K210">
        <v>3.7665648329145401E-2</v>
      </c>
      <c r="L210">
        <v>0.91939473684210504</v>
      </c>
      <c r="M210">
        <v>0.115404304506773</v>
      </c>
      <c r="N210">
        <v>1.47819512660747E-2</v>
      </c>
      <c r="O210">
        <v>-1.8541694152617201E-2</v>
      </c>
      <c r="P210">
        <v>2.4797766655048101E-3</v>
      </c>
      <c r="Q210">
        <v>6429.4870077652604</v>
      </c>
      <c r="R210">
        <v>85769470.207965896</v>
      </c>
      <c r="S210">
        <v>13394.8999305663</v>
      </c>
      <c r="T210">
        <v>61973203.469486803</v>
      </c>
      <c r="U210">
        <f>VLOOKUP(C210,YieldData!F:AG,27,FALSE)</f>
        <v>902</v>
      </c>
      <c r="V210">
        <f>_xlfn.MAXIFS(I:I,C:C,C210)</f>
        <v>0.62748713522561606</v>
      </c>
    </row>
    <row r="211" spans="1:22" hidden="1" x14ac:dyDescent="0.25">
      <c r="A211" s="3">
        <f>VLOOKUP(C211,YieldData!F:G,2,FALSE)</f>
        <v>24112</v>
      </c>
      <c r="B211">
        <v>27</v>
      </c>
      <c r="C211">
        <v>406</v>
      </c>
      <c r="D211">
        <v>406</v>
      </c>
      <c r="E211" s="3">
        <f t="shared" si="3"/>
        <v>241120406</v>
      </c>
      <c r="F211" s="3">
        <f>VLOOKUP($E211,YieldData!$H:$R,10,FALSE)</f>
        <v>4</v>
      </c>
      <c r="G211" s="3">
        <f>VLOOKUP($E211,YieldData!$H:$R,11,FALSE)</f>
        <v>2</v>
      </c>
      <c r="H211">
        <v>32</v>
      </c>
      <c r="I211">
        <v>0.275284830329519</v>
      </c>
      <c r="J211">
        <v>0.360679065926097</v>
      </c>
      <c r="K211">
        <v>5.1311722611933203E-2</v>
      </c>
      <c r="L211">
        <v>0.86232532435064102</v>
      </c>
      <c r="M211">
        <v>0.123821403091139</v>
      </c>
      <c r="N211">
        <v>2.01774266454369E-2</v>
      </c>
      <c r="O211">
        <v>-1.8607428184162101E-2</v>
      </c>
      <c r="P211">
        <v>2.69974614594271E-3</v>
      </c>
      <c r="Q211">
        <v>7887.0573159652304</v>
      </c>
      <c r="R211">
        <v>110649514.609953</v>
      </c>
      <c r="S211">
        <v>12890.0933058189</v>
      </c>
      <c r="T211">
        <v>76303548.923844293</v>
      </c>
      <c r="U211">
        <f>VLOOKUP(C211,YieldData!F:AG,27,FALSE)</f>
        <v>830</v>
      </c>
      <c r="V211">
        <f>_xlfn.MAXIFS(I:I,C:C,C211)</f>
        <v>0.48466025003923202</v>
      </c>
    </row>
    <row r="212" spans="1:22" hidden="1" x14ac:dyDescent="0.25">
      <c r="A212" s="3">
        <f>VLOOKUP(C212,YieldData!F:G,2,FALSE)</f>
        <v>24111</v>
      </c>
      <c r="B212">
        <v>27</v>
      </c>
      <c r="C212">
        <v>313</v>
      </c>
      <c r="D212">
        <v>313</v>
      </c>
      <c r="E212" s="3">
        <f t="shared" si="3"/>
        <v>241110313</v>
      </c>
      <c r="F212" s="3">
        <f>VLOOKUP($E212,YieldData!$H:$R,10,FALSE)</f>
        <v>1</v>
      </c>
      <c r="G212" s="3">
        <f>VLOOKUP($E212,YieldData!$H:$R,11,FALSE)</f>
        <v>4</v>
      </c>
      <c r="H212">
        <v>77</v>
      </c>
      <c r="I212">
        <v>0.23292716613977499</v>
      </c>
      <c r="J212">
        <v>0.33086806277800801</v>
      </c>
      <c r="K212">
        <v>3.7580016250596503E-2</v>
      </c>
      <c r="L212">
        <v>0.97828975934527196</v>
      </c>
      <c r="M212">
        <v>0.112123091986571</v>
      </c>
      <c r="N212">
        <v>1.42585574046137E-2</v>
      </c>
      <c r="O212">
        <v>-2.1544291780980201E-2</v>
      </c>
      <c r="P212">
        <v>2.8347117149787799E-3</v>
      </c>
      <c r="Q212">
        <v>6581.3252140818304</v>
      </c>
      <c r="R212">
        <v>80084470.677973494</v>
      </c>
      <c r="S212">
        <v>13669.312468402801</v>
      </c>
      <c r="T212">
        <v>65687992.945815697</v>
      </c>
      <c r="U212">
        <f>VLOOKUP(C212,YieldData!F:AG,27,FALSE)</f>
        <v>726</v>
      </c>
      <c r="V212">
        <f>_xlfn.MAXIFS(I:I,C:C,C212)</f>
        <v>0.63875085002876997</v>
      </c>
    </row>
    <row r="213" spans="1:22" hidden="1" x14ac:dyDescent="0.25">
      <c r="A213" s="3">
        <f>VLOOKUP(C213,YieldData!F:G,2,FALSE)</f>
        <v>24111</v>
      </c>
      <c r="B213">
        <v>27</v>
      </c>
      <c r="C213">
        <v>306</v>
      </c>
      <c r="D213">
        <v>306</v>
      </c>
      <c r="E213" s="3">
        <f t="shared" si="3"/>
        <v>241110306</v>
      </c>
      <c r="F213" s="3">
        <f>VLOOKUP($E213,YieldData!$H:$R,10,FALSE)</f>
        <v>1</v>
      </c>
      <c r="G213" s="3">
        <f>VLOOKUP($E213,YieldData!$H:$R,11,FALSE)</f>
        <v>3</v>
      </c>
      <c r="H213">
        <v>89</v>
      </c>
      <c r="I213">
        <v>0.28206529078832698</v>
      </c>
      <c r="J213">
        <v>0.36254347397033798</v>
      </c>
      <c r="K213">
        <v>4.9685934925995101E-2</v>
      </c>
      <c r="L213">
        <v>0.99086842105263195</v>
      </c>
      <c r="M213">
        <v>0.13208885124033101</v>
      </c>
      <c r="N213">
        <v>1.9833042722169E-2</v>
      </c>
      <c r="O213">
        <v>-1.83996675901251E-2</v>
      </c>
      <c r="P213">
        <v>2.6915687289292499E-3</v>
      </c>
      <c r="Q213">
        <v>7071.7401075493199</v>
      </c>
      <c r="R213">
        <v>83360891.824395701</v>
      </c>
      <c r="S213">
        <v>12675.753068076299</v>
      </c>
      <c r="T213">
        <v>72516392.841711193</v>
      </c>
      <c r="U213">
        <f>VLOOKUP(C213,YieldData!F:AG,27,FALSE)</f>
        <v>862</v>
      </c>
      <c r="V213">
        <f>_xlfn.MAXIFS(I:I,C:C,C213)</f>
        <v>0.57260179027965796</v>
      </c>
    </row>
    <row r="214" spans="1:22" hidden="1" x14ac:dyDescent="0.25">
      <c r="A214" s="3">
        <f>VLOOKUP(C214,YieldData!F:G,2,FALSE)</f>
        <v>24111</v>
      </c>
      <c r="B214">
        <v>27</v>
      </c>
      <c r="C214">
        <v>213</v>
      </c>
      <c r="D214">
        <v>213</v>
      </c>
      <c r="E214" s="3">
        <f t="shared" si="3"/>
        <v>241110213</v>
      </c>
      <c r="F214" s="3">
        <f>VLOOKUP($E214,YieldData!$H:$R,10,FALSE)</f>
        <v>3</v>
      </c>
      <c r="G214" s="3">
        <f>VLOOKUP($E214,YieldData!$H:$R,11,FALSE)</f>
        <v>1</v>
      </c>
      <c r="H214">
        <v>46</v>
      </c>
      <c r="I214">
        <v>0.17865956219076501</v>
      </c>
      <c r="J214">
        <v>0.30189682716891802</v>
      </c>
      <c r="K214">
        <v>3.6949845805281399E-2</v>
      </c>
      <c r="L214">
        <v>0.87482894736842098</v>
      </c>
      <c r="M214">
        <v>9.2183844205149107E-2</v>
      </c>
      <c r="N214">
        <v>1.52412463886795E-2</v>
      </c>
      <c r="O214">
        <v>-2.32757939027016E-2</v>
      </c>
      <c r="P214">
        <v>2.3594606163612202E-3</v>
      </c>
      <c r="Q214">
        <v>4968.6316803968002</v>
      </c>
      <c r="R214">
        <v>54880698.847716503</v>
      </c>
      <c r="S214">
        <v>14616.1903981736</v>
      </c>
      <c r="T214">
        <v>56222685.430422299</v>
      </c>
      <c r="U214">
        <f>VLOOKUP(C214,YieldData!F:AG,27,FALSE)</f>
        <v>475</v>
      </c>
      <c r="V214">
        <f>_xlfn.MAXIFS(I:I,C:C,C214)</f>
        <v>0.50808835068263802</v>
      </c>
    </row>
    <row r="215" spans="1:22" hidden="1" x14ac:dyDescent="0.25">
      <c r="A215" s="3">
        <f>VLOOKUP(C215,YieldData!F:G,2,FALSE)</f>
        <v>24110</v>
      </c>
      <c r="B215">
        <v>27</v>
      </c>
      <c r="C215">
        <v>206</v>
      </c>
      <c r="D215">
        <v>206</v>
      </c>
      <c r="E215" s="3">
        <f t="shared" si="3"/>
        <v>241100206</v>
      </c>
      <c r="F215" s="3">
        <f>VLOOKUP($E215,YieldData!$H:$R,10,FALSE)</f>
        <v>4</v>
      </c>
      <c r="G215" s="3">
        <f>VLOOKUP($E215,YieldData!$H:$R,11,FALSE)</f>
        <v>4</v>
      </c>
      <c r="H215">
        <v>97</v>
      </c>
      <c r="I215">
        <v>0.110581143379803</v>
      </c>
      <c r="J215">
        <v>0.27644586176200298</v>
      </c>
      <c r="K215">
        <v>2.20124580010937E-2</v>
      </c>
      <c r="L215">
        <v>0.99292105263157904</v>
      </c>
      <c r="M215">
        <v>8.2584937164454905E-2</v>
      </c>
      <c r="N215">
        <v>1.1505769472139901E-2</v>
      </c>
      <c r="O215">
        <v>-2.5157314117454602E-2</v>
      </c>
      <c r="P215">
        <v>1.30649692806036E-3</v>
      </c>
      <c r="Q215">
        <v>3326.7065063258501</v>
      </c>
      <c r="R215">
        <v>17070809.707425501</v>
      </c>
      <c r="S215">
        <v>15768.5068125375</v>
      </c>
      <c r="T215">
        <v>41135332.2575939</v>
      </c>
      <c r="U215">
        <f>VLOOKUP(C215,YieldData!F:AG,27,FALSE)</f>
        <v>1549</v>
      </c>
      <c r="V215">
        <f>_xlfn.MAXIFS(I:I,C:C,C215)</f>
        <v>0.57408049171216502</v>
      </c>
    </row>
    <row r="216" spans="1:22" hidden="1" x14ac:dyDescent="0.25">
      <c r="A216" s="3">
        <f>VLOOKUP(C216,YieldData!F:G,2,FALSE)</f>
        <v>24110</v>
      </c>
      <c r="B216">
        <v>27</v>
      </c>
      <c r="C216">
        <v>113</v>
      </c>
      <c r="D216">
        <v>113</v>
      </c>
      <c r="E216" s="3">
        <f t="shared" si="3"/>
        <v>241100113</v>
      </c>
      <c r="F216" s="3">
        <f>VLOOKUP($E216,YieldData!$H:$R,10,FALSE)</f>
        <v>5</v>
      </c>
      <c r="G216" s="3">
        <f>VLOOKUP($E216,YieldData!$H:$R,11,FALSE)</f>
        <v>2</v>
      </c>
      <c r="H216">
        <v>86</v>
      </c>
      <c r="I216">
        <v>7.1945537473680002E-2</v>
      </c>
      <c r="J216">
        <v>0.24743961970173001</v>
      </c>
      <c r="K216">
        <v>1.49576115016712E-2</v>
      </c>
      <c r="L216">
        <v>0.98967132443883099</v>
      </c>
      <c r="M216">
        <v>4.8767550603537997E-2</v>
      </c>
      <c r="N216">
        <v>7.4760036072329204E-3</v>
      </c>
      <c r="O216">
        <v>-3.2338164912741697E-2</v>
      </c>
      <c r="P216">
        <v>1.28012493398837E-3</v>
      </c>
      <c r="Q216">
        <v>3132.9578394239402</v>
      </c>
      <c r="R216">
        <v>11898291.743073599</v>
      </c>
      <c r="S216">
        <v>16028.038406436201</v>
      </c>
      <c r="T216">
        <v>31898174.493960299</v>
      </c>
      <c r="U216">
        <f>VLOOKUP(C216,YieldData!F:AG,27,FALSE)</f>
        <v>1849</v>
      </c>
      <c r="V216">
        <f>_xlfn.MAXIFS(I:I,C:C,C216)</f>
        <v>0.56962761957694397</v>
      </c>
    </row>
    <row r="217" spans="1:22" hidden="1" x14ac:dyDescent="0.25">
      <c r="A217" s="3">
        <f>VLOOKUP(C217,YieldData!F:G,2,FALSE)</f>
        <v>24110</v>
      </c>
      <c r="B217">
        <v>27</v>
      </c>
      <c r="C217">
        <v>106</v>
      </c>
      <c r="D217">
        <v>106</v>
      </c>
      <c r="E217" s="3">
        <f t="shared" si="3"/>
        <v>241100106</v>
      </c>
      <c r="F217" s="3">
        <f>VLOOKUP($E217,YieldData!$H:$R,10,FALSE)</f>
        <v>2</v>
      </c>
      <c r="G217" s="3">
        <f>VLOOKUP($E217,YieldData!$H:$R,11,FALSE)</f>
        <v>2</v>
      </c>
      <c r="H217">
        <v>99</v>
      </c>
      <c r="I217">
        <v>0.134056881173228</v>
      </c>
      <c r="J217">
        <v>0.28974889434651602</v>
      </c>
      <c r="K217">
        <v>2.4119479171775701E-2</v>
      </c>
      <c r="L217">
        <v>0.99547374376652897</v>
      </c>
      <c r="M217">
        <v>8.2513193380621699E-2</v>
      </c>
      <c r="N217">
        <v>1.21672952150612E-2</v>
      </c>
      <c r="O217">
        <v>-2.1845847870100001E-2</v>
      </c>
      <c r="P217">
        <v>1.3116998878463101E-3</v>
      </c>
      <c r="Q217">
        <v>3360.1698945985599</v>
      </c>
      <c r="R217">
        <v>16173544.2032768</v>
      </c>
      <c r="S217">
        <v>14810.249759029401</v>
      </c>
      <c r="T217">
        <v>39510425.586916201</v>
      </c>
      <c r="U217">
        <f>VLOOKUP(C217,YieldData!F:AG,27,FALSE)</f>
        <v>2109</v>
      </c>
      <c r="V217">
        <f>_xlfn.MAXIFS(I:I,C:C,C217)</f>
        <v>0.66110006800230203</v>
      </c>
    </row>
    <row r="218" spans="1:22" hidden="1" x14ac:dyDescent="0.25">
      <c r="A218" s="3">
        <f>VLOOKUP(C218,YieldData!F:G,2,FALSE)</f>
        <v>24110</v>
      </c>
      <c r="B218">
        <v>27</v>
      </c>
      <c r="C218">
        <v>107</v>
      </c>
      <c r="D218">
        <v>107</v>
      </c>
      <c r="E218" s="3">
        <f t="shared" si="3"/>
        <v>241100107</v>
      </c>
      <c r="F218" s="3">
        <f>VLOOKUP($E218,YieldData!$H:$R,10,FALSE)</f>
        <v>4</v>
      </c>
      <c r="G218" s="3">
        <f>VLOOKUP($E218,YieldData!$H:$R,11,FALSE)</f>
        <v>2</v>
      </c>
      <c r="H218">
        <v>78</v>
      </c>
      <c r="I218">
        <v>0.13626513937742099</v>
      </c>
      <c r="J218">
        <v>0.28915267076651702</v>
      </c>
      <c r="K218">
        <v>2.7040369492600601E-2</v>
      </c>
      <c r="L218">
        <v>0.98660543940211298</v>
      </c>
      <c r="M218">
        <v>8.0000029539010795E-2</v>
      </c>
      <c r="N218">
        <v>1.38362113154787E-2</v>
      </c>
      <c r="O218">
        <v>-2.51227668909683E-2</v>
      </c>
      <c r="P218">
        <v>1.49332969243363E-3</v>
      </c>
      <c r="Q218">
        <v>3469.8810212212202</v>
      </c>
      <c r="R218">
        <v>20114383.892757799</v>
      </c>
      <c r="S218">
        <v>15276.2499710271</v>
      </c>
      <c r="T218">
        <v>42110760.783223003</v>
      </c>
      <c r="U218">
        <f>VLOOKUP(C218,YieldData!F:AG,27,FALSE)</f>
        <v>1767</v>
      </c>
      <c r="V218">
        <f>_xlfn.MAXIFS(I:I,C:C,C218)</f>
        <v>0.62568002301616399</v>
      </c>
    </row>
    <row r="219" spans="1:22" hidden="1" x14ac:dyDescent="0.25">
      <c r="A219" s="3">
        <f>VLOOKUP(C219,YieldData!F:G,2,FALSE)</f>
        <v>24110</v>
      </c>
      <c r="B219">
        <v>27</v>
      </c>
      <c r="C219">
        <v>114</v>
      </c>
      <c r="D219">
        <v>114</v>
      </c>
      <c r="E219" s="3">
        <f t="shared" si="3"/>
        <v>241100114</v>
      </c>
      <c r="F219" s="3">
        <f>VLOOKUP($E219,YieldData!$H:$R,10,FALSE)</f>
        <v>3</v>
      </c>
      <c r="G219" s="3">
        <f>VLOOKUP($E219,YieldData!$H:$R,11,FALSE)</f>
        <v>2</v>
      </c>
      <c r="H219">
        <v>61</v>
      </c>
      <c r="I219">
        <v>9.1071483379883994E-2</v>
      </c>
      <c r="J219">
        <v>0.26019532419535302</v>
      </c>
      <c r="K219">
        <v>1.8173391967286401E-2</v>
      </c>
      <c r="L219">
        <v>0.98635526315789501</v>
      </c>
      <c r="M219">
        <v>5.8799545182557603E-2</v>
      </c>
      <c r="N219">
        <v>8.6336617650861203E-3</v>
      </c>
      <c r="O219">
        <v>-3.14319476856212E-2</v>
      </c>
      <c r="P219">
        <v>1.4319178369902399E-3</v>
      </c>
      <c r="Q219">
        <v>3519.87551640527</v>
      </c>
      <c r="R219">
        <v>20695955.993521102</v>
      </c>
      <c r="S219">
        <v>16035.291269678901</v>
      </c>
      <c r="T219">
        <v>36643175.491460703</v>
      </c>
      <c r="U219">
        <f>VLOOKUP(C219,YieldData!F:AG,27,FALSE)</f>
        <v>1577</v>
      </c>
      <c r="V219">
        <f>_xlfn.MAXIFS(I:I,C:C,C219)</f>
        <v>0.55712193335774396</v>
      </c>
    </row>
    <row r="220" spans="1:22" hidden="1" x14ac:dyDescent="0.25">
      <c r="A220" s="3">
        <f>VLOOKUP(C220,YieldData!F:G,2,FALSE)</f>
        <v>24111</v>
      </c>
      <c r="B220">
        <v>27</v>
      </c>
      <c r="C220">
        <v>207</v>
      </c>
      <c r="D220">
        <v>207</v>
      </c>
      <c r="E220" s="3">
        <f t="shared" si="3"/>
        <v>241110207</v>
      </c>
      <c r="F220" s="3">
        <f>VLOOKUP($E220,YieldData!$H:$R,10,FALSE)</f>
        <v>1</v>
      </c>
      <c r="G220" s="3">
        <f>VLOOKUP($E220,YieldData!$H:$R,11,FALSE)</f>
        <v>1</v>
      </c>
      <c r="H220">
        <v>84</v>
      </c>
      <c r="I220">
        <v>0.25482191747185401</v>
      </c>
      <c r="J220">
        <v>0.35584585493719201</v>
      </c>
      <c r="K220">
        <v>4.1660098913674802E-2</v>
      </c>
      <c r="L220">
        <v>0.98222368421052597</v>
      </c>
      <c r="M220">
        <v>0.12884107150138599</v>
      </c>
      <c r="N220">
        <v>1.72300439931759E-2</v>
      </c>
      <c r="O220">
        <v>-1.84671367588383E-2</v>
      </c>
      <c r="P220">
        <v>2.17837653622031E-3</v>
      </c>
      <c r="Q220">
        <v>6667.5726019324502</v>
      </c>
      <c r="R220">
        <v>73487697.230105296</v>
      </c>
      <c r="S220">
        <v>13454.327067988101</v>
      </c>
      <c r="T220">
        <v>65658737.154749699</v>
      </c>
      <c r="U220">
        <f>VLOOKUP(C220,YieldData!F:AG,27,FALSE)</f>
        <v>1091</v>
      </c>
      <c r="V220">
        <f>_xlfn.MAXIFS(I:I,C:C,C220)</f>
        <v>0.70132409193448197</v>
      </c>
    </row>
    <row r="221" spans="1:22" hidden="1" x14ac:dyDescent="0.25">
      <c r="A221" s="3">
        <f>VLOOKUP(C221,YieldData!F:G,2,FALSE)</f>
        <v>24111</v>
      </c>
      <c r="B221">
        <v>27</v>
      </c>
      <c r="C221">
        <v>214</v>
      </c>
      <c r="D221">
        <v>214</v>
      </c>
      <c r="E221" s="3">
        <f t="shared" si="3"/>
        <v>241110214</v>
      </c>
      <c r="F221" s="3">
        <f>VLOOKUP($E221,YieldData!$H:$R,10,FALSE)</f>
        <v>2</v>
      </c>
      <c r="G221" s="3">
        <f>VLOOKUP($E221,YieldData!$H:$R,11,FALSE)</f>
        <v>1</v>
      </c>
      <c r="H221">
        <v>61</v>
      </c>
      <c r="I221">
        <v>0.30220066910162402</v>
      </c>
      <c r="J221">
        <v>0.37073212489778901</v>
      </c>
      <c r="K221">
        <v>4.7190284933407697E-2</v>
      </c>
      <c r="L221">
        <v>0.964539473684211</v>
      </c>
      <c r="M221">
        <v>0.13021104776953399</v>
      </c>
      <c r="N221">
        <v>1.7305371114630898E-2</v>
      </c>
      <c r="O221">
        <v>-1.88178434484263E-2</v>
      </c>
      <c r="P221">
        <v>2.3630049835678801E-3</v>
      </c>
      <c r="Q221">
        <v>8033.7338632945603</v>
      </c>
      <c r="R221">
        <v>99640808.900195405</v>
      </c>
      <c r="S221">
        <v>12503.990910209101</v>
      </c>
      <c r="T221">
        <v>72378693.751398206</v>
      </c>
      <c r="U221">
        <f>VLOOKUP(C221,YieldData!F:AG,27,FALSE)</f>
        <v>817</v>
      </c>
      <c r="V221">
        <f>_xlfn.MAXIFS(I:I,C:C,C221)</f>
        <v>0.63073442485745701</v>
      </c>
    </row>
    <row r="222" spans="1:22" hidden="1" x14ac:dyDescent="0.25">
      <c r="A222" s="3">
        <f>VLOOKUP(C222,YieldData!F:G,2,FALSE)</f>
        <v>24111</v>
      </c>
      <c r="B222">
        <v>27</v>
      </c>
      <c r="C222">
        <v>307</v>
      </c>
      <c r="D222">
        <v>307</v>
      </c>
      <c r="E222" s="3">
        <f t="shared" si="3"/>
        <v>241110307</v>
      </c>
      <c r="F222" s="3">
        <f>VLOOKUP($E222,YieldData!$H:$R,10,FALSE)</f>
        <v>2</v>
      </c>
      <c r="G222" s="3">
        <f>VLOOKUP($E222,YieldData!$H:$R,11,FALSE)</f>
        <v>3</v>
      </c>
      <c r="H222">
        <v>83</v>
      </c>
      <c r="I222">
        <v>0.29385512584407603</v>
      </c>
      <c r="J222">
        <v>0.36487423709314898</v>
      </c>
      <c r="K222">
        <v>4.8108044662012503E-2</v>
      </c>
      <c r="L222">
        <v>0.98603928999065804</v>
      </c>
      <c r="M222">
        <v>0.129292467154903</v>
      </c>
      <c r="N222">
        <v>1.7769664940597799E-2</v>
      </c>
      <c r="O222">
        <v>-2.18133374406498E-2</v>
      </c>
      <c r="P222">
        <v>2.3097719489723798E-3</v>
      </c>
      <c r="Q222">
        <v>7882.1877470841</v>
      </c>
      <c r="R222">
        <v>94967848.501779497</v>
      </c>
      <c r="S222">
        <v>12371.0419134562</v>
      </c>
      <c r="T222">
        <v>69867033.129571304</v>
      </c>
      <c r="U222">
        <f>VLOOKUP(C222,YieldData!F:AG,27,FALSE)</f>
        <v>856</v>
      </c>
      <c r="V222">
        <f>_xlfn.MAXIFS(I:I,C:C,C222)</f>
        <v>0.62418757928049295</v>
      </c>
    </row>
    <row r="223" spans="1:22" hidden="1" x14ac:dyDescent="0.25">
      <c r="A223" s="3">
        <f>VLOOKUP(C223,YieldData!F:G,2,FALSE)</f>
        <v>24111</v>
      </c>
      <c r="B223">
        <v>27</v>
      </c>
      <c r="C223">
        <v>314</v>
      </c>
      <c r="D223">
        <v>314</v>
      </c>
      <c r="E223" s="3">
        <f t="shared" si="3"/>
        <v>241110314</v>
      </c>
      <c r="F223" s="3">
        <f>VLOOKUP($E223,YieldData!$H:$R,10,FALSE)</f>
        <v>3</v>
      </c>
      <c r="G223" s="3">
        <f>VLOOKUP($E223,YieldData!$H:$R,11,FALSE)</f>
        <v>4</v>
      </c>
      <c r="H223">
        <v>72</v>
      </c>
      <c r="I223">
        <v>0.17853459706330099</v>
      </c>
      <c r="J223">
        <v>0.301313307344107</v>
      </c>
      <c r="K223">
        <v>3.3226397543086303E-2</v>
      </c>
      <c r="L223">
        <v>0.98860511322517397</v>
      </c>
      <c r="M223">
        <v>9.5864821824170804E-2</v>
      </c>
      <c r="N223">
        <v>1.30231686098638E-2</v>
      </c>
      <c r="O223">
        <v>-2.4529766227503799E-2</v>
      </c>
      <c r="P223">
        <v>2.22684294496518E-3</v>
      </c>
      <c r="Q223">
        <v>4919.4459006531497</v>
      </c>
      <c r="R223">
        <v>55922721.870961003</v>
      </c>
      <c r="S223">
        <v>14576.500143423</v>
      </c>
      <c r="T223">
        <v>57889802.408145301</v>
      </c>
      <c r="U223">
        <f>VLOOKUP(C223,YieldData!F:AG,27,FALSE)</f>
        <v>865</v>
      </c>
      <c r="V223">
        <f>_xlfn.MAXIFS(I:I,C:C,C223)</f>
        <v>0.69291982162239896</v>
      </c>
    </row>
    <row r="224" spans="1:22" hidden="1" x14ac:dyDescent="0.25">
      <c r="A224" s="3">
        <f>VLOOKUP(C224,YieldData!F:G,2,FALSE)</f>
        <v>24112</v>
      </c>
      <c r="B224">
        <v>27</v>
      </c>
      <c r="C224">
        <v>407</v>
      </c>
      <c r="D224">
        <v>407</v>
      </c>
      <c r="E224" s="3">
        <f t="shared" si="3"/>
        <v>241120407</v>
      </c>
      <c r="F224" s="3">
        <f>VLOOKUP($E224,YieldData!$H:$R,10,FALSE)</f>
        <v>4</v>
      </c>
      <c r="G224" s="3">
        <f>VLOOKUP($E224,YieldData!$H:$R,11,FALSE)</f>
        <v>3</v>
      </c>
      <c r="H224">
        <v>24</v>
      </c>
      <c r="I224">
        <v>0.25825481108621601</v>
      </c>
      <c r="J224">
        <v>0.35217988656537502</v>
      </c>
      <c r="K224">
        <v>4.8464023919452502E-2</v>
      </c>
      <c r="L224">
        <v>0.69281983131800895</v>
      </c>
      <c r="M224">
        <v>0.119293904808646</v>
      </c>
      <c r="N224">
        <v>1.8888303461622999E-2</v>
      </c>
      <c r="O224">
        <v>-2.0674250591478701E-2</v>
      </c>
      <c r="P224">
        <v>2.8795732803319502E-3</v>
      </c>
      <c r="Q224">
        <v>7409.1666861054</v>
      </c>
      <c r="R224">
        <v>96053551.553016096</v>
      </c>
      <c r="S224">
        <v>12991.815911244101</v>
      </c>
      <c r="T224">
        <v>67165340.693588898</v>
      </c>
      <c r="U224">
        <f>VLOOKUP(C224,YieldData!F:AG,27,FALSE)</f>
        <v>804</v>
      </c>
      <c r="V224">
        <f>_xlfn.MAXIFS(I:I,C:C,C224)</f>
        <v>0.459862557785232</v>
      </c>
    </row>
    <row r="225" spans="1:22" hidden="1" x14ac:dyDescent="0.25">
      <c r="A225" s="3">
        <f>VLOOKUP(C225,YieldData!F:G,2,FALSE)</f>
        <v>24112</v>
      </c>
      <c r="B225">
        <v>27</v>
      </c>
      <c r="C225">
        <v>414</v>
      </c>
      <c r="D225">
        <v>414</v>
      </c>
      <c r="E225" s="3">
        <f t="shared" si="3"/>
        <v>241120414</v>
      </c>
      <c r="F225" s="3">
        <f>VLOOKUP($E225,YieldData!$H:$R,10,FALSE)</f>
        <v>2</v>
      </c>
      <c r="G225" s="3">
        <f>VLOOKUP($E225,YieldData!$H:$R,11,FALSE)</f>
        <v>3</v>
      </c>
      <c r="H225">
        <v>37</v>
      </c>
      <c r="I225">
        <v>9.1784118253694993E-2</v>
      </c>
      <c r="J225">
        <v>0.258886279762293</v>
      </c>
      <c r="K225">
        <v>2.0024414206271102E-2</v>
      </c>
      <c r="L225">
        <v>0.70513253542844601</v>
      </c>
      <c r="M225">
        <v>6.4682568954877798E-2</v>
      </c>
      <c r="N225">
        <v>9.7172460305918907E-3</v>
      </c>
      <c r="O225">
        <v>-2.7108230443388202E-2</v>
      </c>
      <c r="P225">
        <v>1.48052954200556E-3</v>
      </c>
      <c r="Q225">
        <v>3285.29192039483</v>
      </c>
      <c r="R225">
        <v>25261685.2530616</v>
      </c>
      <c r="S225">
        <v>15875.7472831998</v>
      </c>
      <c r="T225">
        <v>36968366.737242498</v>
      </c>
      <c r="U225">
        <f>VLOOKUP(C225,YieldData!F:AG,27,FALSE)</f>
        <v>466</v>
      </c>
      <c r="V225">
        <f>_xlfn.MAXIFS(I:I,C:C,C225)</f>
        <v>0.31829891851600001</v>
      </c>
    </row>
    <row r="226" spans="1:22" hidden="1" x14ac:dyDescent="0.25">
      <c r="A226" s="3">
        <f>VLOOKUP(C226,YieldData!F:G,2,FALSE)</f>
        <v>24110</v>
      </c>
      <c r="B226">
        <v>35</v>
      </c>
      <c r="C226">
        <v>101</v>
      </c>
      <c r="D226">
        <v>101</v>
      </c>
      <c r="E226" s="3">
        <f t="shared" si="3"/>
        <v>241100101</v>
      </c>
      <c r="F226" s="3">
        <f>VLOOKUP($E226,YieldData!$H:$R,10,FALSE)</f>
        <v>1</v>
      </c>
      <c r="G226" s="3">
        <f>VLOOKUP($E226,YieldData!$H:$R,11,FALSE)</f>
        <v>1</v>
      </c>
      <c r="H226">
        <v>34</v>
      </c>
      <c r="I226">
        <v>0.26384852196365299</v>
      </c>
      <c r="J226">
        <v>0.30989557653263</v>
      </c>
      <c r="K226">
        <v>5.6533784092485398E-2</v>
      </c>
      <c r="L226">
        <v>0.89632894736842095</v>
      </c>
      <c r="M226">
        <v>9.4148943670882806E-2</v>
      </c>
      <c r="N226">
        <v>1.9562178033402801E-2</v>
      </c>
      <c r="O226">
        <v>-4.1060258922071699E-2</v>
      </c>
      <c r="P226">
        <v>1.16698421631278E-3</v>
      </c>
      <c r="Q226">
        <v>7633.7196001191696</v>
      </c>
      <c r="R226">
        <v>115457365.89037099</v>
      </c>
      <c r="S226">
        <v>10351.040356380399</v>
      </c>
      <c r="T226">
        <v>58781161.367917001</v>
      </c>
      <c r="U226">
        <f>VLOOKUP(C226,YieldData!F:AG,27,FALSE)</f>
        <v>1747</v>
      </c>
      <c r="V226">
        <f>_xlfn.MAXIFS(I:I,C:C,C226)</f>
        <v>0.46975165757777898</v>
      </c>
    </row>
    <row r="227" spans="1:22" hidden="1" x14ac:dyDescent="0.25">
      <c r="A227" s="3">
        <f>VLOOKUP(C227,YieldData!F:G,2,FALSE)</f>
        <v>24110</v>
      </c>
      <c r="B227">
        <v>35</v>
      </c>
      <c r="C227">
        <v>108</v>
      </c>
      <c r="D227">
        <v>108</v>
      </c>
      <c r="E227" s="3">
        <f t="shared" si="3"/>
        <v>241100108</v>
      </c>
      <c r="F227" s="3">
        <f>VLOOKUP($E227,YieldData!$H:$R,10,FALSE)</f>
        <v>1</v>
      </c>
      <c r="G227" s="3">
        <f>VLOOKUP($E227,YieldData!$H:$R,11,FALSE)</f>
        <v>3</v>
      </c>
      <c r="H227">
        <v>28</v>
      </c>
      <c r="I227">
        <v>0.34392171921136599</v>
      </c>
      <c r="J227">
        <v>0.34445647789663097</v>
      </c>
      <c r="K227">
        <v>7.1227551890969507E-2</v>
      </c>
      <c r="L227">
        <v>0.76757190600247405</v>
      </c>
      <c r="M227">
        <v>0.11597745295419</v>
      </c>
      <c r="N227">
        <v>2.4221595618202699E-2</v>
      </c>
      <c r="O227">
        <v>-4.1292439844742103E-2</v>
      </c>
      <c r="P227">
        <v>1.3867768625071301E-3</v>
      </c>
      <c r="Q227">
        <v>9490.9186406789995</v>
      </c>
      <c r="R227">
        <v>130392907.80502</v>
      </c>
      <c r="S227">
        <v>8318.0426785913205</v>
      </c>
      <c r="T227">
        <v>65589583.635775797</v>
      </c>
      <c r="U227">
        <f>VLOOKUP(C227,YieldData!F:AG,27,FALSE)</f>
        <v>1854</v>
      </c>
      <c r="V227">
        <f>_xlfn.MAXIFS(I:I,C:C,C227)</f>
        <v>0.60942342648655001</v>
      </c>
    </row>
    <row r="228" spans="1:22" hidden="1" x14ac:dyDescent="0.25">
      <c r="A228" s="3">
        <f>VLOOKUP(C228,YieldData!F:G,2,FALSE)</f>
        <v>24110</v>
      </c>
      <c r="B228">
        <v>35</v>
      </c>
      <c r="C228">
        <v>201</v>
      </c>
      <c r="D228">
        <v>201</v>
      </c>
      <c r="E228" s="3">
        <f t="shared" si="3"/>
        <v>241100201</v>
      </c>
      <c r="F228" s="3">
        <f>VLOOKUP($E228,YieldData!$H:$R,10,FALSE)</f>
        <v>4</v>
      </c>
      <c r="G228" s="3">
        <f>VLOOKUP($E228,YieldData!$H:$R,11,FALSE)</f>
        <v>3</v>
      </c>
      <c r="H228">
        <v>17</v>
      </c>
      <c r="I228">
        <v>0.32199888774132002</v>
      </c>
      <c r="J228">
        <v>0.33950844771544397</v>
      </c>
      <c r="K228">
        <v>7.1654504914145906E-2</v>
      </c>
      <c r="L228">
        <v>0.59768421052631604</v>
      </c>
      <c r="M228">
        <v>0.121312754612864</v>
      </c>
      <c r="N228">
        <v>2.3677530072883399E-2</v>
      </c>
      <c r="O228">
        <v>-3.8963071167934599E-2</v>
      </c>
      <c r="P228">
        <v>1.2769748298968101E-3</v>
      </c>
      <c r="Q228">
        <v>9303.9268756124002</v>
      </c>
      <c r="R228">
        <v>149428031.54774401</v>
      </c>
      <c r="S228">
        <v>8024.7969114500002</v>
      </c>
      <c r="T228">
        <v>67444604.330809101</v>
      </c>
      <c r="U228">
        <f>VLOOKUP(C228,YieldData!F:AG,27,FALSE)</f>
        <v>1884</v>
      </c>
      <c r="V228">
        <f>_xlfn.MAXIFS(I:I,C:C,C228)</f>
        <v>0.57447559763561196</v>
      </c>
    </row>
    <row r="229" spans="1:22" hidden="1" x14ac:dyDescent="0.25">
      <c r="A229" s="3">
        <f>VLOOKUP(C229,YieldData!F:G,2,FALSE)</f>
        <v>24111</v>
      </c>
      <c r="B229">
        <v>35</v>
      </c>
      <c r="C229">
        <v>208</v>
      </c>
      <c r="D229">
        <v>208</v>
      </c>
      <c r="E229" s="3">
        <f t="shared" si="3"/>
        <v>241110208</v>
      </c>
      <c r="F229" s="3">
        <f>VLOOKUP($E229,YieldData!$H:$R,10,FALSE)</f>
        <v>1</v>
      </c>
      <c r="G229" s="3">
        <f>VLOOKUP($E229,YieldData!$H:$R,11,FALSE)</f>
        <v>2</v>
      </c>
      <c r="H229">
        <v>8</v>
      </c>
      <c r="I229">
        <v>0.449643812399036</v>
      </c>
      <c r="J229">
        <v>0.43473274271248502</v>
      </c>
      <c r="K229">
        <v>7.22700635000528E-2</v>
      </c>
      <c r="L229">
        <v>0.29071817679412598</v>
      </c>
      <c r="M229">
        <v>0.165821266137719</v>
      </c>
      <c r="N229">
        <v>2.1423418227488999E-2</v>
      </c>
      <c r="O229">
        <v>-2.4502703914150901E-2</v>
      </c>
      <c r="P229">
        <v>1.40477257463766E-3</v>
      </c>
      <c r="Q229">
        <v>14295.3486401314</v>
      </c>
      <c r="R229">
        <v>213751197.24310699</v>
      </c>
      <c r="S229">
        <v>5611.1493297429997</v>
      </c>
      <c r="T229">
        <v>73048312.816983804</v>
      </c>
      <c r="U229">
        <f>VLOOKUP(C229,YieldData!F:AG,27,FALSE)</f>
        <v>1030</v>
      </c>
      <c r="V229">
        <f>_xlfn.MAXIFS(I:I,C:C,C229)</f>
        <v>0.61479815350011102</v>
      </c>
    </row>
    <row r="230" spans="1:22" hidden="1" x14ac:dyDescent="0.25">
      <c r="A230" s="3">
        <f>VLOOKUP(C230,YieldData!F:G,2,FALSE)</f>
        <v>24111</v>
      </c>
      <c r="B230">
        <v>35</v>
      </c>
      <c r="C230">
        <v>301</v>
      </c>
      <c r="D230">
        <v>301</v>
      </c>
      <c r="E230" s="3">
        <f t="shared" si="3"/>
        <v>241110301</v>
      </c>
      <c r="F230" s="3">
        <f>VLOOKUP($E230,YieldData!$H:$R,10,FALSE)</f>
        <v>5</v>
      </c>
      <c r="G230" s="3">
        <f>VLOOKUP($E230,YieldData!$H:$R,11,FALSE)</f>
        <v>2</v>
      </c>
      <c r="H230">
        <v>12</v>
      </c>
      <c r="I230">
        <v>0.28678870535270901</v>
      </c>
      <c r="J230">
        <v>0.30762149118808801</v>
      </c>
      <c r="K230">
        <v>7.2963482092980397E-2</v>
      </c>
      <c r="L230">
        <v>0.36028105632968899</v>
      </c>
      <c r="M230">
        <v>9.4463992060409202E-2</v>
      </c>
      <c r="N230">
        <v>2.3450527467084401E-2</v>
      </c>
      <c r="O230">
        <v>-3.4765882321447603E-2</v>
      </c>
      <c r="P230">
        <v>1.2798591036138E-3</v>
      </c>
      <c r="Q230">
        <v>9201.6318249528304</v>
      </c>
      <c r="R230">
        <v>169208372.128043</v>
      </c>
      <c r="S230">
        <v>9211.9997217213204</v>
      </c>
      <c r="T230">
        <v>72996267.870407403</v>
      </c>
      <c r="U230">
        <f>VLOOKUP(C230,YieldData!F:AG,27,FALSE)</f>
        <v>598</v>
      </c>
      <c r="V230">
        <f>_xlfn.MAXIFS(I:I,C:C,C230)</f>
        <v>0.38240428940399501</v>
      </c>
    </row>
    <row r="231" spans="1:22" hidden="1" x14ac:dyDescent="0.25">
      <c r="A231" s="3">
        <f>VLOOKUP(C231,YieldData!F:G,2,FALSE)</f>
        <v>24112</v>
      </c>
      <c r="B231">
        <v>35</v>
      </c>
      <c r="C231">
        <v>308</v>
      </c>
      <c r="D231">
        <v>308</v>
      </c>
      <c r="E231" s="3">
        <f t="shared" si="3"/>
        <v>241120308</v>
      </c>
      <c r="F231" s="3">
        <f>VLOOKUP($E231,YieldData!$H:$R,10,FALSE)</f>
        <v>2</v>
      </c>
      <c r="G231" s="3">
        <f>VLOOKUP($E231,YieldData!$H:$R,11,FALSE)</f>
        <v>1</v>
      </c>
      <c r="H231">
        <v>11</v>
      </c>
      <c r="I231">
        <v>0.20029925054950901</v>
      </c>
      <c r="J231">
        <v>0.24637067359791201</v>
      </c>
      <c r="K231">
        <v>5.2424975822318198E-2</v>
      </c>
      <c r="L231">
        <v>0.46047974315451501</v>
      </c>
      <c r="M231">
        <v>6.2314966131832301E-2</v>
      </c>
      <c r="N231">
        <v>1.42645210873598E-2</v>
      </c>
      <c r="O231">
        <v>-3.7879712348313103E-2</v>
      </c>
      <c r="P231">
        <v>1.2869913021933399E-3</v>
      </c>
      <c r="Q231">
        <v>7594.3495206694697</v>
      </c>
      <c r="R231">
        <v>154384298.055971</v>
      </c>
      <c r="S231">
        <v>10948.7460745178</v>
      </c>
      <c r="T231">
        <v>54500446.565060399</v>
      </c>
      <c r="U231">
        <f>VLOOKUP(C231,YieldData!F:AG,27,FALSE)</f>
        <v>465</v>
      </c>
      <c r="V231">
        <f>_xlfn.MAXIFS(I:I,C:C,C231)</f>
        <v>0.33378886455029899</v>
      </c>
    </row>
    <row r="232" spans="1:22" hidden="1" x14ac:dyDescent="0.25">
      <c r="A232" s="3">
        <f>VLOOKUP(C232,YieldData!F:G,2,FALSE)</f>
        <v>24112</v>
      </c>
      <c r="B232">
        <v>35</v>
      </c>
      <c r="C232">
        <v>401</v>
      </c>
      <c r="D232">
        <v>401</v>
      </c>
      <c r="E232" s="3">
        <f t="shared" si="3"/>
        <v>241120401</v>
      </c>
      <c r="F232" s="3">
        <f>VLOOKUP($E232,YieldData!$H:$R,10,FALSE)</f>
        <v>3</v>
      </c>
      <c r="G232" s="3">
        <f>VLOOKUP($E232,YieldData!$H:$R,11,FALSE)</f>
        <v>1</v>
      </c>
      <c r="H232">
        <v>26</v>
      </c>
      <c r="I232">
        <v>0.35333178853983899</v>
      </c>
      <c r="J232">
        <v>0.36104368384762803</v>
      </c>
      <c r="K232">
        <v>6.4346900803622098E-2</v>
      </c>
      <c r="L232">
        <v>0.679754730387642</v>
      </c>
      <c r="M232">
        <v>0.11574964529859399</v>
      </c>
      <c r="N232">
        <v>1.63755987772073E-2</v>
      </c>
      <c r="O232">
        <v>-4.1203667023020703E-2</v>
      </c>
      <c r="P232">
        <v>1.6128395530079301E-3</v>
      </c>
      <c r="Q232">
        <v>12677.612387036999</v>
      </c>
      <c r="R232">
        <v>228409162.35327899</v>
      </c>
      <c r="S232">
        <v>8598.6751938473008</v>
      </c>
      <c r="T232">
        <v>66140990.9544347</v>
      </c>
      <c r="U232">
        <f>VLOOKUP(C232,YieldData!F:AG,27,FALSE)</f>
        <v>186</v>
      </c>
      <c r="V232">
        <f>_xlfn.MAXIFS(I:I,C:C,C232)</f>
        <v>0.52861327614165399</v>
      </c>
    </row>
    <row r="233" spans="1:22" hidden="1" x14ac:dyDescent="0.25">
      <c r="A233" s="3">
        <f>VLOOKUP(C233,YieldData!F:G,2,FALSE)</f>
        <v>24112</v>
      </c>
      <c r="B233">
        <v>35</v>
      </c>
      <c r="C233">
        <v>408</v>
      </c>
      <c r="D233">
        <v>408</v>
      </c>
      <c r="E233" s="3">
        <f t="shared" si="3"/>
        <v>241120408</v>
      </c>
      <c r="F233" s="3">
        <f>VLOOKUP($E233,YieldData!$H:$R,10,FALSE)</f>
        <v>3</v>
      </c>
      <c r="G233" s="3">
        <f>VLOOKUP($E233,YieldData!$H:$R,11,FALSE)</f>
        <v>4</v>
      </c>
      <c r="H233">
        <v>32</v>
      </c>
      <c r="I233">
        <v>0.37158046661899802</v>
      </c>
      <c r="J233">
        <v>0.39267316639076599</v>
      </c>
      <c r="K233">
        <v>5.7292837066212202E-2</v>
      </c>
      <c r="L233">
        <v>0.79997631610110398</v>
      </c>
      <c r="M233">
        <v>0.13209626801815399</v>
      </c>
      <c r="N233">
        <v>1.38123587158139E-2</v>
      </c>
      <c r="O233">
        <v>-4.0002060364332799E-2</v>
      </c>
      <c r="P233">
        <v>1.6105688568750999E-3</v>
      </c>
      <c r="Q233">
        <v>13137.721379200801</v>
      </c>
      <c r="R233">
        <v>231631457.53384399</v>
      </c>
      <c r="S233">
        <v>8194.3428107340496</v>
      </c>
      <c r="T233">
        <v>60522853.415899098</v>
      </c>
      <c r="U233">
        <f>VLOOKUP(C233,YieldData!F:AG,27,FALSE)</f>
        <v>311</v>
      </c>
      <c r="V233">
        <f>_xlfn.MAXIFS(I:I,C:C,C233)</f>
        <v>0.59146576694979003</v>
      </c>
    </row>
    <row r="234" spans="1:22" hidden="1" x14ac:dyDescent="0.25">
      <c r="A234" s="3">
        <f>VLOOKUP(C234,YieldData!F:G,2,FALSE)</f>
        <v>24112</v>
      </c>
      <c r="B234">
        <v>35</v>
      </c>
      <c r="C234">
        <v>409</v>
      </c>
      <c r="D234">
        <v>409</v>
      </c>
      <c r="E234" s="3">
        <f t="shared" si="3"/>
        <v>241120409</v>
      </c>
      <c r="F234" s="3">
        <f>VLOOKUP($E234,YieldData!$H:$R,10,FALSE)</f>
        <v>2</v>
      </c>
      <c r="G234" s="3">
        <f>VLOOKUP($E234,YieldData!$H:$R,11,FALSE)</f>
        <v>4</v>
      </c>
      <c r="H234">
        <v>12</v>
      </c>
      <c r="I234">
        <v>0.158238658933821</v>
      </c>
      <c r="J234">
        <v>0.245322202495666</v>
      </c>
      <c r="K234">
        <v>4.2687681044869301E-2</v>
      </c>
      <c r="L234">
        <v>0.39765789473684199</v>
      </c>
      <c r="M234">
        <v>6.5402689102895095E-2</v>
      </c>
      <c r="N234">
        <v>1.2927070205978599E-2</v>
      </c>
      <c r="O234">
        <v>-4.1579540544660801E-2</v>
      </c>
      <c r="P234">
        <v>1.17192295712769E-3</v>
      </c>
      <c r="Q234">
        <v>5598.6673022430596</v>
      </c>
      <c r="R234">
        <v>118770982.582395</v>
      </c>
      <c r="S234">
        <v>12641.4651734691</v>
      </c>
      <c r="T234">
        <v>49101285.4287576</v>
      </c>
      <c r="U234">
        <f>VLOOKUP(C234,YieldData!F:AG,27,FALSE)</f>
        <v>366</v>
      </c>
      <c r="V234">
        <f>_xlfn.MAXIFS(I:I,C:C,C234)</f>
        <v>0.27571123127521402</v>
      </c>
    </row>
    <row r="235" spans="1:22" hidden="1" x14ac:dyDescent="0.25">
      <c r="A235" s="3">
        <f>VLOOKUP(C235,YieldData!F:G,2,FALSE)</f>
        <v>24112</v>
      </c>
      <c r="B235">
        <v>35</v>
      </c>
      <c r="C235">
        <v>402</v>
      </c>
      <c r="D235">
        <v>402</v>
      </c>
      <c r="E235" s="3">
        <f t="shared" si="3"/>
        <v>241120402</v>
      </c>
      <c r="F235" s="3">
        <f>VLOOKUP($E235,YieldData!$H:$R,10,FALSE)</f>
        <v>4</v>
      </c>
      <c r="G235" s="3">
        <f>VLOOKUP($E235,YieldData!$H:$R,11,FALSE)</f>
        <v>1</v>
      </c>
      <c r="H235">
        <v>4</v>
      </c>
      <c r="I235">
        <v>0.37222266359471401</v>
      </c>
      <c r="J235">
        <v>0.39593979634338899</v>
      </c>
      <c r="K235">
        <v>6.9148048224040998E-2</v>
      </c>
      <c r="L235">
        <v>0.26739121853659797</v>
      </c>
      <c r="M235">
        <v>0.15517109594522999</v>
      </c>
      <c r="N235">
        <v>1.8282856600101399E-2</v>
      </c>
      <c r="O235">
        <v>-2.73660257396348E-2</v>
      </c>
      <c r="P235">
        <v>1.4144342158882699E-3</v>
      </c>
      <c r="Q235">
        <v>13707.018378750599</v>
      </c>
      <c r="R235">
        <v>258726992.999908</v>
      </c>
      <c r="S235">
        <v>7190.0709114144602</v>
      </c>
      <c r="T235">
        <v>74503205.385788798</v>
      </c>
      <c r="U235">
        <f>VLOOKUP(C235,YieldData!F:AG,27,FALSE)</f>
        <v>897</v>
      </c>
      <c r="V235">
        <f>_xlfn.MAXIFS(I:I,C:C,C235)</f>
        <v>0.48018125228853897</v>
      </c>
    </row>
    <row r="236" spans="1:22" hidden="1" x14ac:dyDescent="0.25">
      <c r="A236" s="3">
        <f>VLOOKUP(C236,YieldData!F:G,2,FALSE)</f>
        <v>24112</v>
      </c>
      <c r="B236">
        <v>35</v>
      </c>
      <c r="C236">
        <v>309</v>
      </c>
      <c r="D236">
        <v>309</v>
      </c>
      <c r="E236" s="3">
        <f t="shared" si="3"/>
        <v>241120309</v>
      </c>
      <c r="F236" s="3">
        <f>VLOOKUP($E236,YieldData!$H:$R,10,FALSE)</f>
        <v>1</v>
      </c>
      <c r="G236" s="3">
        <f>VLOOKUP($E236,YieldData!$H:$R,11,FALSE)</f>
        <v>1</v>
      </c>
      <c r="H236">
        <v>14</v>
      </c>
      <c r="I236">
        <v>0.36856983965149698</v>
      </c>
      <c r="J236">
        <v>0.37123875469040402</v>
      </c>
      <c r="K236">
        <v>6.4515306801787603E-2</v>
      </c>
      <c r="L236">
        <v>0.67669736842105299</v>
      </c>
      <c r="M236">
        <v>0.12702665112728401</v>
      </c>
      <c r="N236">
        <v>1.50088271115815E-2</v>
      </c>
      <c r="O236">
        <v>-3.23758030149544E-2</v>
      </c>
      <c r="P236">
        <v>1.6005300809869599E-3</v>
      </c>
      <c r="Q236">
        <v>13974.027216874299</v>
      </c>
      <c r="R236">
        <v>253231335.08566499</v>
      </c>
      <c r="S236">
        <v>7470.1491001983704</v>
      </c>
      <c r="T236">
        <v>65094810.910909399</v>
      </c>
      <c r="U236">
        <f>VLOOKUP(C236,YieldData!F:AG,27,FALSE)</f>
        <v>953</v>
      </c>
      <c r="V236">
        <f>_xlfn.MAXIFS(I:I,C:C,C236)</f>
        <v>0.62382957577025699</v>
      </c>
    </row>
    <row r="237" spans="1:22" hidden="1" x14ac:dyDescent="0.25">
      <c r="A237" s="3">
        <f>VLOOKUP(C237,YieldData!F:G,2,FALSE)</f>
        <v>24111</v>
      </c>
      <c r="B237">
        <v>35</v>
      </c>
      <c r="C237">
        <v>302</v>
      </c>
      <c r="D237">
        <v>302</v>
      </c>
      <c r="E237" s="3">
        <f t="shared" si="3"/>
        <v>241110302</v>
      </c>
      <c r="F237" s="3">
        <f>VLOOKUP($E237,YieldData!$H:$R,10,FALSE)</f>
        <v>3</v>
      </c>
      <c r="G237" s="3">
        <f>VLOOKUP($E237,YieldData!$H:$R,11,FALSE)</f>
        <v>2</v>
      </c>
      <c r="H237">
        <v>15</v>
      </c>
      <c r="I237">
        <v>0.440832594044198</v>
      </c>
      <c r="J237">
        <v>0.41249349110300498</v>
      </c>
      <c r="K237">
        <v>7.5923932906912697E-2</v>
      </c>
      <c r="L237">
        <v>0.55488743569163601</v>
      </c>
      <c r="M237">
        <v>0.15199404043870199</v>
      </c>
      <c r="N237">
        <v>2.31318532650228E-2</v>
      </c>
      <c r="O237">
        <v>-3.0520325075494101E-2</v>
      </c>
      <c r="P237">
        <v>1.51321224754424E-3</v>
      </c>
      <c r="Q237">
        <v>14217.988089721001</v>
      </c>
      <c r="R237">
        <v>218248693.21664599</v>
      </c>
      <c r="S237">
        <v>6349.9994315429904</v>
      </c>
      <c r="T237">
        <v>83554518.760374606</v>
      </c>
      <c r="U237">
        <f>VLOOKUP(C237,YieldData!F:AG,27,FALSE)</f>
        <v>702</v>
      </c>
      <c r="V237">
        <f>_xlfn.MAXIFS(I:I,C:C,C237)</f>
        <v>0.59986530313333697</v>
      </c>
    </row>
    <row r="238" spans="1:22" hidden="1" x14ac:dyDescent="0.25">
      <c r="A238" s="3">
        <f>VLOOKUP(C238,YieldData!F:G,2,FALSE)</f>
        <v>24111</v>
      </c>
      <c r="B238">
        <v>35</v>
      </c>
      <c r="C238">
        <v>209</v>
      </c>
      <c r="D238">
        <v>209</v>
      </c>
      <c r="E238" s="3">
        <f t="shared" si="3"/>
        <v>241110209</v>
      </c>
      <c r="F238" s="3">
        <f>VLOOKUP($E238,YieldData!$H:$R,10,FALSE)</f>
        <v>4</v>
      </c>
      <c r="G238" s="3">
        <f>VLOOKUP($E238,YieldData!$H:$R,11,FALSE)</f>
        <v>2</v>
      </c>
      <c r="H238">
        <v>26</v>
      </c>
      <c r="I238">
        <v>0.33162079672675998</v>
      </c>
      <c r="J238">
        <v>0.338380918962852</v>
      </c>
      <c r="K238">
        <v>6.4864227512925601E-2</v>
      </c>
      <c r="L238">
        <v>0.77599273703323601</v>
      </c>
      <c r="M238">
        <v>9.7865812773311495E-2</v>
      </c>
      <c r="N238">
        <v>1.6876184649346399E-2</v>
      </c>
      <c r="O238">
        <v>-3.9604871706225099E-2</v>
      </c>
      <c r="P238">
        <v>1.41453636014614E-3</v>
      </c>
      <c r="Q238">
        <v>11422.978211502699</v>
      </c>
      <c r="R238">
        <v>205488286.743294</v>
      </c>
      <c r="S238">
        <v>8576.6188638495096</v>
      </c>
      <c r="T238">
        <v>68318059.852952003</v>
      </c>
      <c r="U238">
        <f>VLOOKUP(C238,YieldData!F:AG,27,FALSE)</f>
        <v>573</v>
      </c>
      <c r="V238">
        <f>_xlfn.MAXIFS(I:I,C:C,C238)</f>
        <v>0.488269602971177</v>
      </c>
    </row>
    <row r="239" spans="1:22" hidden="1" x14ac:dyDescent="0.25">
      <c r="A239" s="3">
        <f>VLOOKUP(C239,YieldData!F:G,2,FALSE)</f>
        <v>24110</v>
      </c>
      <c r="B239">
        <v>35</v>
      </c>
      <c r="C239">
        <v>202</v>
      </c>
      <c r="D239">
        <v>202</v>
      </c>
      <c r="E239" s="3">
        <f t="shared" si="3"/>
        <v>241100202</v>
      </c>
      <c r="F239" s="3">
        <f>VLOOKUP($E239,YieldData!$H:$R,10,FALSE)</f>
        <v>1</v>
      </c>
      <c r="G239" s="3">
        <f>VLOOKUP($E239,YieldData!$H:$R,11,FALSE)</f>
        <v>4</v>
      </c>
      <c r="H239">
        <v>66</v>
      </c>
      <c r="I239">
        <v>0.28263474639672098</v>
      </c>
      <c r="J239">
        <v>0.306907569245923</v>
      </c>
      <c r="K239">
        <v>6.3850985961113799E-2</v>
      </c>
      <c r="L239">
        <v>0.87217105263157901</v>
      </c>
      <c r="M239">
        <v>9.9491892193523307E-2</v>
      </c>
      <c r="N239">
        <v>2.18163876687196E-2</v>
      </c>
      <c r="O239">
        <v>-4.0848711360384302E-2</v>
      </c>
      <c r="P239">
        <v>1.2774787903419499E-3</v>
      </c>
      <c r="Q239">
        <v>8036.4855504723801</v>
      </c>
      <c r="R239">
        <v>115522596.836712</v>
      </c>
      <c r="S239">
        <v>9502.5777905769992</v>
      </c>
      <c r="T239">
        <v>56673625.504044197</v>
      </c>
      <c r="U239">
        <f>VLOOKUP(C239,YieldData!F:AG,27,FALSE)</f>
        <v>2029</v>
      </c>
      <c r="V239">
        <f>_xlfn.MAXIFS(I:I,C:C,C239)</f>
        <v>0.52363733849453398</v>
      </c>
    </row>
    <row r="240" spans="1:22" hidden="1" x14ac:dyDescent="0.25">
      <c r="A240" s="3">
        <f>VLOOKUP(C240,YieldData!F:G,2,FALSE)</f>
        <v>24110</v>
      </c>
      <c r="B240">
        <v>35</v>
      </c>
      <c r="C240">
        <v>109</v>
      </c>
      <c r="D240">
        <v>109</v>
      </c>
      <c r="E240" s="3">
        <f t="shared" si="3"/>
        <v>241100109</v>
      </c>
      <c r="F240" s="3">
        <f>VLOOKUP($E240,YieldData!$H:$R,10,FALSE)</f>
        <v>3</v>
      </c>
      <c r="G240" s="3">
        <f>VLOOKUP($E240,YieldData!$H:$R,11,FALSE)</f>
        <v>3</v>
      </c>
      <c r="H240">
        <v>24</v>
      </c>
      <c r="I240">
        <v>0.30528190461057703</v>
      </c>
      <c r="J240">
        <v>0.31839208059945301</v>
      </c>
      <c r="K240">
        <v>6.72649750136073E-2</v>
      </c>
      <c r="L240">
        <v>0.54257894736842105</v>
      </c>
      <c r="M240">
        <v>9.1430297358393503E-2</v>
      </c>
      <c r="N240">
        <v>1.8845270362135399E-2</v>
      </c>
      <c r="O240">
        <v>-3.9643230523646697E-2</v>
      </c>
      <c r="P240">
        <v>1.36924969070945E-3</v>
      </c>
      <c r="Q240">
        <v>9975.0895566854706</v>
      </c>
      <c r="R240">
        <v>174832833.537361</v>
      </c>
      <c r="S240">
        <v>8816.9227525647693</v>
      </c>
      <c r="T240">
        <v>69614024.364040405</v>
      </c>
      <c r="U240">
        <f>VLOOKUP(C240,YieldData!F:AG,27,FALSE)</f>
        <v>1852</v>
      </c>
      <c r="V240">
        <f>_xlfn.MAXIFS(I:I,C:C,C240)</f>
        <v>0.58023512796035004</v>
      </c>
    </row>
    <row r="241" spans="1:22" hidden="1" x14ac:dyDescent="0.25">
      <c r="A241" s="3">
        <f>VLOOKUP(C241,YieldData!F:G,2,FALSE)</f>
        <v>24110</v>
      </c>
      <c r="B241">
        <v>35</v>
      </c>
      <c r="C241">
        <v>102</v>
      </c>
      <c r="D241">
        <v>102</v>
      </c>
      <c r="E241" s="3">
        <f t="shared" si="3"/>
        <v>241100102</v>
      </c>
      <c r="F241" s="3">
        <f>VLOOKUP($E241,YieldData!$H:$R,10,FALSE)</f>
        <v>2</v>
      </c>
      <c r="G241" s="3">
        <f>VLOOKUP($E241,YieldData!$H:$R,11,FALSE)</f>
        <v>1</v>
      </c>
      <c r="H241">
        <v>10</v>
      </c>
      <c r="I241">
        <v>0.328862259591512</v>
      </c>
      <c r="J241">
        <v>0.35441334840988797</v>
      </c>
      <c r="K241">
        <v>7.16545630097188E-2</v>
      </c>
      <c r="L241">
        <v>0.46360526315789502</v>
      </c>
      <c r="M241">
        <v>0.125547172722385</v>
      </c>
      <c r="N241">
        <v>2.6791163883973401E-2</v>
      </c>
      <c r="O241">
        <v>-3.0819617111031001E-2</v>
      </c>
      <c r="P241">
        <v>1.29710033004811E-3</v>
      </c>
      <c r="Q241">
        <v>9484.3292065278602</v>
      </c>
      <c r="R241">
        <v>132603547.09533501</v>
      </c>
      <c r="S241">
        <v>8682.86105259328</v>
      </c>
      <c r="T241">
        <v>75756711.506487995</v>
      </c>
      <c r="U241">
        <f>VLOOKUP(C241,YieldData!F:AG,27,FALSE)</f>
        <v>2083</v>
      </c>
      <c r="V241">
        <f>_xlfn.MAXIFS(I:I,C:C,C241)</f>
        <v>0.57049727008206097</v>
      </c>
    </row>
    <row r="242" spans="1:22" hidden="1" x14ac:dyDescent="0.25">
      <c r="A242" s="3">
        <f>VLOOKUP(C242,YieldData!F:G,2,FALSE)</f>
        <v>24110</v>
      </c>
      <c r="B242">
        <v>35</v>
      </c>
      <c r="C242">
        <v>103</v>
      </c>
      <c r="D242">
        <v>103</v>
      </c>
      <c r="E242" s="3">
        <f t="shared" si="3"/>
        <v>241100103</v>
      </c>
      <c r="F242" s="3">
        <f>VLOOKUP($E242,YieldData!$H:$R,10,FALSE)</f>
        <v>3</v>
      </c>
      <c r="G242" s="3">
        <f>VLOOKUP($E242,YieldData!$H:$R,11,FALSE)</f>
        <v>1</v>
      </c>
      <c r="H242">
        <v>15</v>
      </c>
      <c r="I242">
        <v>0.30571683935251098</v>
      </c>
      <c r="J242">
        <v>0.331592834481714</v>
      </c>
      <c r="K242">
        <v>6.8421812116992095E-2</v>
      </c>
      <c r="L242">
        <v>0.55298096027579302</v>
      </c>
      <c r="M242">
        <v>0.101844272486456</v>
      </c>
      <c r="N242">
        <v>2.2349490641169499E-2</v>
      </c>
      <c r="O242">
        <v>-3.6106879111570497E-2</v>
      </c>
      <c r="P242">
        <v>1.1562913097929201E-3</v>
      </c>
      <c r="Q242">
        <v>9790.4827369326995</v>
      </c>
      <c r="R242">
        <v>158966202.38391399</v>
      </c>
      <c r="S242">
        <v>8956.9793835937708</v>
      </c>
      <c r="T242">
        <v>73890090.313087806</v>
      </c>
      <c r="U242">
        <f>VLOOKUP(C242,YieldData!F:AG,27,FALSE)</f>
        <v>1595</v>
      </c>
      <c r="V242">
        <f>_xlfn.MAXIFS(I:I,C:C,C242)</f>
        <v>0.57597295600774201</v>
      </c>
    </row>
    <row r="243" spans="1:22" hidden="1" x14ac:dyDescent="0.25">
      <c r="A243" s="3">
        <f>VLOOKUP(C243,YieldData!F:G,2,FALSE)</f>
        <v>24110</v>
      </c>
      <c r="B243">
        <v>35</v>
      </c>
      <c r="C243">
        <v>110</v>
      </c>
      <c r="D243">
        <v>110</v>
      </c>
      <c r="E243" s="3">
        <f t="shared" si="3"/>
        <v>241100110</v>
      </c>
      <c r="F243" s="3">
        <f>VLOOKUP($E243,YieldData!$H:$R,10,FALSE)</f>
        <v>5</v>
      </c>
      <c r="G243" s="3">
        <f>VLOOKUP($E243,YieldData!$H:$R,11,FALSE)</f>
        <v>3</v>
      </c>
      <c r="H243">
        <v>27</v>
      </c>
      <c r="I243">
        <v>0.27612300969909598</v>
      </c>
      <c r="J243">
        <v>0.28747372704855201</v>
      </c>
      <c r="K243">
        <v>6.6712106305075305E-2</v>
      </c>
      <c r="L243">
        <v>0.68587744575586496</v>
      </c>
      <c r="M243">
        <v>7.4118910554090395E-2</v>
      </c>
      <c r="N243">
        <v>1.9946755003271199E-2</v>
      </c>
      <c r="O243">
        <v>-3.8143391657010001E-2</v>
      </c>
      <c r="P243">
        <v>1.2967506594322999E-3</v>
      </c>
      <c r="Q243">
        <v>8571.4011188718596</v>
      </c>
      <c r="R243">
        <v>140436301.85126701</v>
      </c>
      <c r="S243">
        <v>9798.6767874329398</v>
      </c>
      <c r="T243">
        <v>65172223.975633003</v>
      </c>
      <c r="U243">
        <f>VLOOKUP(C243,YieldData!F:AG,27,FALSE)</f>
        <v>1811</v>
      </c>
      <c r="V243">
        <f>_xlfn.MAXIFS(I:I,C:C,C243)</f>
        <v>0.51251822645926104</v>
      </c>
    </row>
    <row r="244" spans="1:22" hidden="1" x14ac:dyDescent="0.25">
      <c r="A244" s="3">
        <f>VLOOKUP(C244,YieldData!F:G,2,FALSE)</f>
        <v>24110</v>
      </c>
      <c r="B244">
        <v>35</v>
      </c>
      <c r="C244">
        <v>203</v>
      </c>
      <c r="D244">
        <v>203</v>
      </c>
      <c r="E244" s="3">
        <f t="shared" si="3"/>
        <v>241100203</v>
      </c>
      <c r="F244" s="3">
        <f>VLOOKUP($E244,YieldData!$H:$R,10,FALSE)</f>
        <v>2</v>
      </c>
      <c r="G244" s="3">
        <f>VLOOKUP($E244,YieldData!$H:$R,11,FALSE)</f>
        <v>4</v>
      </c>
      <c r="H244">
        <v>18</v>
      </c>
      <c r="I244">
        <v>0.340448352113982</v>
      </c>
      <c r="J244">
        <v>0.341104014506589</v>
      </c>
      <c r="K244">
        <v>7.6773315598180403E-2</v>
      </c>
      <c r="L244">
        <v>0.56679517374771404</v>
      </c>
      <c r="M244">
        <v>0.117602783649274</v>
      </c>
      <c r="N244">
        <v>2.6881992656380301E-2</v>
      </c>
      <c r="O244">
        <v>-3.62831253742174E-2</v>
      </c>
      <c r="P244">
        <v>1.3063700466077401E-3</v>
      </c>
      <c r="Q244">
        <v>9789.5100435640397</v>
      </c>
      <c r="R244">
        <v>146363821.34521699</v>
      </c>
      <c r="S244">
        <v>8010.6064032373397</v>
      </c>
      <c r="T244">
        <v>71376857.4401021</v>
      </c>
      <c r="U244">
        <f>VLOOKUP(C244,YieldData!F:AG,27,FALSE)</f>
        <v>1921</v>
      </c>
      <c r="V244">
        <f>_xlfn.MAXIFS(I:I,C:C,C244)</f>
        <v>0.56937542501438498</v>
      </c>
    </row>
    <row r="245" spans="1:22" hidden="1" x14ac:dyDescent="0.25">
      <c r="A245" s="3">
        <f>VLOOKUP(C245,YieldData!F:G,2,FALSE)</f>
        <v>24111</v>
      </c>
      <c r="B245">
        <v>35</v>
      </c>
      <c r="C245">
        <v>210</v>
      </c>
      <c r="D245">
        <v>210</v>
      </c>
      <c r="E245" s="3">
        <f t="shared" si="3"/>
        <v>241110210</v>
      </c>
      <c r="F245" s="3">
        <f>VLOOKUP($E245,YieldData!$H:$R,10,FALSE)</f>
        <v>2</v>
      </c>
      <c r="G245" s="3">
        <f>VLOOKUP($E245,YieldData!$H:$R,11,FALSE)</f>
        <v>2</v>
      </c>
      <c r="H245">
        <v>8</v>
      </c>
      <c r="I245">
        <v>0.42815433708936401</v>
      </c>
      <c r="J245">
        <v>0.39871803961948799</v>
      </c>
      <c r="K245">
        <v>7.6287460811031493E-2</v>
      </c>
      <c r="L245">
        <v>0.35080263157894698</v>
      </c>
      <c r="M245">
        <v>0.13138514014979399</v>
      </c>
      <c r="N245">
        <v>2.1074376261965601E-2</v>
      </c>
      <c r="O245">
        <v>-4.0999012631910199E-2</v>
      </c>
      <c r="P245">
        <v>1.4488789226769301E-3</v>
      </c>
      <c r="Q245">
        <v>14425.1061861949</v>
      </c>
      <c r="R245">
        <v>226811605.877799</v>
      </c>
      <c r="S245">
        <v>6237.7372810942597</v>
      </c>
      <c r="T245">
        <v>78740074.428850099</v>
      </c>
      <c r="U245">
        <f>VLOOKUP(C245,YieldData!F:AG,27,FALSE)</f>
        <v>849</v>
      </c>
      <c r="V245">
        <f>_xlfn.MAXIFS(I:I,C:C,C245)</f>
        <v>0.61838939164094797</v>
      </c>
    </row>
    <row r="246" spans="1:22" hidden="1" x14ac:dyDescent="0.25">
      <c r="A246" s="3">
        <f>VLOOKUP(C246,YieldData!F:G,2,FALSE)</f>
        <v>24111</v>
      </c>
      <c r="B246">
        <v>35</v>
      </c>
      <c r="C246">
        <v>303</v>
      </c>
      <c r="D246">
        <v>303</v>
      </c>
      <c r="E246" s="3">
        <f t="shared" si="3"/>
        <v>241110303</v>
      </c>
      <c r="F246" s="3">
        <f>VLOOKUP($E246,YieldData!$H:$R,10,FALSE)</f>
        <v>3</v>
      </c>
      <c r="G246" s="3">
        <f>VLOOKUP($E246,YieldData!$H:$R,11,FALSE)</f>
        <v>3</v>
      </c>
      <c r="H246">
        <v>28</v>
      </c>
      <c r="I246">
        <v>0.37906835094409602</v>
      </c>
      <c r="J246">
        <v>0.36516071926356403</v>
      </c>
      <c r="K246">
        <v>7.1947964053133695E-2</v>
      </c>
      <c r="L246">
        <v>0.75536170100786804</v>
      </c>
      <c r="M246">
        <v>0.122018887400454</v>
      </c>
      <c r="N246">
        <v>2.0102023370746801E-2</v>
      </c>
      <c r="O246">
        <v>-3.6712657768919001E-2</v>
      </c>
      <c r="P246">
        <v>1.59093059194103E-3</v>
      </c>
      <c r="Q246">
        <v>12836.241955986299</v>
      </c>
      <c r="R246">
        <v>216202892.01772401</v>
      </c>
      <c r="S246">
        <v>7568.6634407156398</v>
      </c>
      <c r="T246">
        <v>75560486.912275597</v>
      </c>
      <c r="U246">
        <f>VLOOKUP(C246,YieldData!F:AG,27,FALSE)</f>
        <v>546</v>
      </c>
      <c r="V246">
        <f>_xlfn.MAXIFS(I:I,C:C,C246)</f>
        <v>0.53846053251033099</v>
      </c>
    </row>
    <row r="247" spans="1:22" hidden="1" x14ac:dyDescent="0.25">
      <c r="A247" s="3">
        <f>VLOOKUP(C247,YieldData!F:G,2,FALSE)</f>
        <v>24111</v>
      </c>
      <c r="B247">
        <v>35</v>
      </c>
      <c r="C247">
        <v>310</v>
      </c>
      <c r="D247">
        <v>310</v>
      </c>
      <c r="E247" s="3">
        <f t="shared" si="3"/>
        <v>241110310</v>
      </c>
      <c r="F247" s="3">
        <f>VLOOKUP($E247,YieldData!$H:$R,10,FALSE)</f>
        <v>5</v>
      </c>
      <c r="G247" s="3">
        <f>VLOOKUP($E247,YieldData!$H:$R,11,FALSE)</f>
        <v>4</v>
      </c>
      <c r="H247">
        <v>10</v>
      </c>
      <c r="I247">
        <v>0.37726093058976201</v>
      </c>
      <c r="J247">
        <v>0.36423097448215402</v>
      </c>
      <c r="K247">
        <v>7.8754968045518306E-2</v>
      </c>
      <c r="L247">
        <v>0.37701315789473699</v>
      </c>
      <c r="M247">
        <v>0.133380942774914</v>
      </c>
      <c r="N247">
        <v>2.3498838696372301E-2</v>
      </c>
      <c r="O247">
        <v>-3.3165915967327098E-2</v>
      </c>
      <c r="P247">
        <v>1.38908168267114E-3</v>
      </c>
      <c r="Q247">
        <v>12378.490115463001</v>
      </c>
      <c r="R247">
        <v>201203630.98975399</v>
      </c>
      <c r="S247">
        <v>7373.5664798253101</v>
      </c>
      <c r="T247">
        <v>81979271.588055998</v>
      </c>
      <c r="U247">
        <f>VLOOKUP(C247,YieldData!F:AG,27,FALSE)</f>
        <v>586</v>
      </c>
      <c r="V247">
        <f>_xlfn.MAXIFS(I:I,C:C,C247)</f>
        <v>0.54465564251946896</v>
      </c>
    </row>
    <row r="248" spans="1:22" hidden="1" x14ac:dyDescent="0.25">
      <c r="A248" s="3">
        <f>VLOOKUP(C248,YieldData!F:G,2,FALSE)</f>
        <v>24112</v>
      </c>
      <c r="B248">
        <v>35</v>
      </c>
      <c r="C248">
        <v>403</v>
      </c>
      <c r="D248">
        <v>403</v>
      </c>
      <c r="E248" s="3">
        <f t="shared" si="3"/>
        <v>241120403</v>
      </c>
      <c r="F248" s="3">
        <f>VLOOKUP($E248,YieldData!$H:$R,10,FALSE)</f>
        <v>1</v>
      </c>
      <c r="G248" s="3">
        <f>VLOOKUP($E248,YieldData!$H:$R,11,FALSE)</f>
        <v>2</v>
      </c>
      <c r="H248">
        <v>10</v>
      </c>
      <c r="I248">
        <v>0.35592086969187398</v>
      </c>
      <c r="J248">
        <v>0.367799799916461</v>
      </c>
      <c r="K248">
        <v>6.5587360063147804E-2</v>
      </c>
      <c r="L248">
        <v>0.51777584800400001</v>
      </c>
      <c r="M248">
        <v>0.130179477971093</v>
      </c>
      <c r="N248">
        <v>1.6086295229033602E-2</v>
      </c>
      <c r="O248">
        <v>-3.20119810202249E-2</v>
      </c>
      <c r="P248">
        <v>1.2809183638407399E-3</v>
      </c>
      <c r="Q248">
        <v>13632.167172044899</v>
      </c>
      <c r="R248">
        <v>251585149.219302</v>
      </c>
      <c r="S248">
        <v>7931.7088259316397</v>
      </c>
      <c r="T248">
        <v>63212965.726314403</v>
      </c>
      <c r="U248">
        <f>VLOOKUP(C248,YieldData!F:AG,27,FALSE)</f>
        <v>562</v>
      </c>
      <c r="V248">
        <f>_xlfn.MAXIFS(I:I,C:C,C248)</f>
        <v>0.51879507516068502</v>
      </c>
    </row>
    <row r="249" spans="1:22" hidden="1" x14ac:dyDescent="0.25">
      <c r="A249" s="3">
        <f>VLOOKUP(C249,YieldData!F:G,2,FALSE)</f>
        <v>24112</v>
      </c>
      <c r="B249">
        <v>35</v>
      </c>
      <c r="C249">
        <v>410</v>
      </c>
      <c r="D249">
        <v>410</v>
      </c>
      <c r="E249" s="3">
        <f t="shared" si="3"/>
        <v>241120410</v>
      </c>
      <c r="F249" s="3">
        <f>VLOOKUP($E249,YieldData!$H:$R,10,FALSE)</f>
        <v>4</v>
      </c>
      <c r="G249" s="3">
        <f>VLOOKUP($E249,YieldData!$H:$R,11,FALSE)</f>
        <v>4</v>
      </c>
      <c r="H249">
        <v>13</v>
      </c>
      <c r="I249">
        <v>0.382173406424618</v>
      </c>
      <c r="J249">
        <v>0.41975271064673503</v>
      </c>
      <c r="K249">
        <v>6.6900032499012801E-2</v>
      </c>
      <c r="L249">
        <v>0.49609220809978699</v>
      </c>
      <c r="M249">
        <v>0.169870223845244</v>
      </c>
      <c r="N249">
        <v>1.9452197699448E-2</v>
      </c>
      <c r="O249">
        <v>-2.3263348919322299E-2</v>
      </c>
      <c r="P249">
        <v>1.20896284277792E-3</v>
      </c>
      <c r="Q249">
        <v>13583.3552143746</v>
      </c>
      <c r="R249">
        <v>240048156.79596901</v>
      </c>
      <c r="S249">
        <v>6812.4003358254304</v>
      </c>
      <c r="T249">
        <v>71996367.093309596</v>
      </c>
      <c r="U249">
        <f>VLOOKUP(C249,YieldData!F:AG,27,FALSE)</f>
        <v>780</v>
      </c>
      <c r="V249">
        <f>_xlfn.MAXIFS(I:I,C:C,C249)</f>
        <v>0.55470333607961597</v>
      </c>
    </row>
    <row r="250" spans="1:22" hidden="1" x14ac:dyDescent="0.25">
      <c r="A250" s="3">
        <f>VLOOKUP(C250,YieldData!F:G,2,FALSE)</f>
        <v>24112</v>
      </c>
      <c r="B250">
        <v>35</v>
      </c>
      <c r="C250">
        <v>411</v>
      </c>
      <c r="D250">
        <v>411</v>
      </c>
      <c r="E250" s="3">
        <f t="shared" si="3"/>
        <v>241120411</v>
      </c>
      <c r="F250" s="3">
        <f>VLOOKUP($E250,YieldData!$H:$R,10,FALSE)</f>
        <v>1</v>
      </c>
      <c r="G250" s="3">
        <f>VLOOKUP($E250,YieldData!$H:$R,11,FALSE)</f>
        <v>4</v>
      </c>
      <c r="H250">
        <v>21</v>
      </c>
      <c r="I250">
        <v>0.30551620036280303</v>
      </c>
      <c r="J250">
        <v>0.35610500690374802</v>
      </c>
      <c r="K250">
        <v>5.4581042870954902E-2</v>
      </c>
      <c r="L250">
        <v>0.50190129077249002</v>
      </c>
      <c r="M250">
        <v>0.12754868612043499</v>
      </c>
      <c r="N250">
        <v>1.2924023343097699E-2</v>
      </c>
      <c r="O250">
        <v>-2.87488221712703E-2</v>
      </c>
      <c r="P250">
        <v>1.4379059958488901E-3</v>
      </c>
      <c r="Q250">
        <v>11919.813944096501</v>
      </c>
      <c r="R250">
        <v>237322669.83486101</v>
      </c>
      <c r="S250">
        <v>9312.3452421528109</v>
      </c>
      <c r="T250">
        <v>57811669.1314601</v>
      </c>
      <c r="U250">
        <f>VLOOKUP(C250,YieldData!F:AG,27,FALSE)</f>
        <v>550</v>
      </c>
      <c r="V250">
        <f>_xlfn.MAXIFS(I:I,C:C,C250)</f>
        <v>0.511070134829404</v>
      </c>
    </row>
    <row r="251" spans="1:22" hidden="1" x14ac:dyDescent="0.25">
      <c r="A251" s="3">
        <f>VLOOKUP(C251,YieldData!F:G,2,FALSE)</f>
        <v>24112</v>
      </c>
      <c r="B251">
        <v>35</v>
      </c>
      <c r="C251">
        <v>404</v>
      </c>
      <c r="D251">
        <v>404</v>
      </c>
      <c r="E251" s="3">
        <f t="shared" si="3"/>
        <v>241120404</v>
      </c>
      <c r="F251" s="3">
        <f>VLOOKUP($E251,YieldData!$H:$R,10,FALSE)</f>
        <v>2</v>
      </c>
      <c r="G251" s="3">
        <f>VLOOKUP($E251,YieldData!$H:$R,11,FALSE)</f>
        <v>2</v>
      </c>
      <c r="H251">
        <v>4</v>
      </c>
      <c r="I251">
        <v>0.18495150451852099</v>
      </c>
      <c r="J251">
        <v>0.22790201557436199</v>
      </c>
      <c r="K251">
        <v>5.5985915152473698E-2</v>
      </c>
      <c r="L251">
        <v>0.18684456374426001</v>
      </c>
      <c r="M251">
        <v>5.7043220840801198E-2</v>
      </c>
      <c r="N251">
        <v>1.7226872250324699E-2</v>
      </c>
      <c r="O251">
        <v>-3.9452464640081203E-2</v>
      </c>
      <c r="P251">
        <v>1.37037290182798E-3</v>
      </c>
      <c r="Q251">
        <v>7020.9510344599303</v>
      </c>
      <c r="R251">
        <v>146378930.723032</v>
      </c>
      <c r="S251">
        <v>11787.8998305646</v>
      </c>
      <c r="T251">
        <v>59540166.790275797</v>
      </c>
      <c r="U251">
        <f>VLOOKUP(C251,YieldData!F:AG,27,FALSE)</f>
        <v>368</v>
      </c>
      <c r="V251">
        <f>_xlfn.MAXIFS(I:I,C:C,C251)</f>
        <v>0.273796057148462</v>
      </c>
    </row>
    <row r="252" spans="1:22" hidden="1" x14ac:dyDescent="0.25">
      <c r="A252" s="3">
        <f>VLOOKUP(C252,YieldData!F:G,2,FALSE)</f>
        <v>24111</v>
      </c>
      <c r="B252">
        <v>35</v>
      </c>
      <c r="C252">
        <v>311</v>
      </c>
      <c r="D252">
        <v>311</v>
      </c>
      <c r="E252" s="3">
        <f t="shared" si="3"/>
        <v>241110311</v>
      </c>
      <c r="F252" s="3">
        <f>VLOOKUP($E252,YieldData!$H:$R,10,FALSE)</f>
        <v>4</v>
      </c>
      <c r="G252" s="3">
        <f>VLOOKUP($E252,YieldData!$H:$R,11,FALSE)</f>
        <v>4</v>
      </c>
      <c r="H252">
        <v>57</v>
      </c>
      <c r="I252">
        <v>0.29253727390694101</v>
      </c>
      <c r="J252">
        <v>0.298320438452992</v>
      </c>
      <c r="K252">
        <v>6.29920591014453E-2</v>
      </c>
      <c r="L252">
        <v>0.846278338442915</v>
      </c>
      <c r="M252">
        <v>8.8580324355157405E-2</v>
      </c>
      <c r="N252">
        <v>1.58671741548971E-2</v>
      </c>
      <c r="O252">
        <v>-4.01013977264877E-2</v>
      </c>
      <c r="P252">
        <v>1.4336238637812199E-3</v>
      </c>
      <c r="Q252">
        <v>10625.7195386775</v>
      </c>
      <c r="R252">
        <v>196478136.91506499</v>
      </c>
      <c r="S252">
        <v>9265.4528565655692</v>
      </c>
      <c r="T252">
        <v>63943466.211885899</v>
      </c>
      <c r="U252">
        <f>VLOOKUP(C252,YieldData!F:AG,27,FALSE)</f>
        <v>687</v>
      </c>
      <c r="V252">
        <f>_xlfn.MAXIFS(I:I,C:C,C252)</f>
        <v>0.39958152156144799</v>
      </c>
    </row>
    <row r="253" spans="1:22" hidden="1" x14ac:dyDescent="0.25">
      <c r="A253" s="3">
        <f>VLOOKUP(C253,YieldData!F:G,2,FALSE)</f>
        <v>24111</v>
      </c>
      <c r="B253">
        <v>35</v>
      </c>
      <c r="C253">
        <v>304</v>
      </c>
      <c r="D253">
        <v>304</v>
      </c>
      <c r="E253" s="3">
        <f t="shared" si="3"/>
        <v>241110304</v>
      </c>
      <c r="F253" s="3">
        <f>VLOOKUP($E253,YieldData!$H:$R,10,FALSE)</f>
        <v>5</v>
      </c>
      <c r="G253" s="3">
        <f>VLOOKUP($E253,YieldData!$H:$R,11,FALSE)</f>
        <v>3</v>
      </c>
      <c r="H253">
        <v>9</v>
      </c>
      <c r="I253">
        <v>0.296224941076772</v>
      </c>
      <c r="J253">
        <v>0.28662061455474902</v>
      </c>
      <c r="K253">
        <v>8.1612232983293995E-2</v>
      </c>
      <c r="L253">
        <v>0.43276885222174</v>
      </c>
      <c r="M253">
        <v>7.9991290082162797E-2</v>
      </c>
      <c r="N253">
        <v>2.67074766531647E-2</v>
      </c>
      <c r="O253">
        <v>-4.6282406189914402E-2</v>
      </c>
      <c r="P253">
        <v>1.30177221655231E-3</v>
      </c>
      <c r="Q253">
        <v>9698.1000635576402</v>
      </c>
      <c r="R253">
        <v>176795937.78011701</v>
      </c>
      <c r="S253">
        <v>9388.1857702192392</v>
      </c>
      <c r="T253">
        <v>83027332.792988002</v>
      </c>
      <c r="U253">
        <f>VLOOKUP(C253,YieldData!F:AG,27,FALSE)</f>
        <v>718</v>
      </c>
      <c r="V253">
        <f>_xlfn.MAXIFS(I:I,C:C,C253)</f>
        <v>0.41874546369978999</v>
      </c>
    </row>
    <row r="254" spans="1:22" hidden="1" x14ac:dyDescent="0.25">
      <c r="A254" s="3">
        <f>VLOOKUP(C254,YieldData!F:G,2,FALSE)</f>
        <v>24111</v>
      </c>
      <c r="B254">
        <v>35</v>
      </c>
      <c r="C254">
        <v>211</v>
      </c>
      <c r="D254">
        <v>211</v>
      </c>
      <c r="E254" s="3">
        <f t="shared" si="3"/>
        <v>241110211</v>
      </c>
      <c r="F254" s="3">
        <f>VLOOKUP($E254,YieldData!$H:$R,10,FALSE)</f>
        <v>5</v>
      </c>
      <c r="G254" s="3">
        <f>VLOOKUP($E254,YieldData!$H:$R,11,FALSE)</f>
        <v>1</v>
      </c>
      <c r="H254">
        <v>9</v>
      </c>
      <c r="I254">
        <v>0.36827435532457198</v>
      </c>
      <c r="J254">
        <v>0.35265102187689301</v>
      </c>
      <c r="K254">
        <v>7.8514820196988896E-2</v>
      </c>
      <c r="L254">
        <v>0.46633508335635998</v>
      </c>
      <c r="M254">
        <v>0.10873236283027</v>
      </c>
      <c r="N254">
        <v>2.16454612477502E-2</v>
      </c>
      <c r="O254">
        <v>-4.21286282839562E-2</v>
      </c>
      <c r="P254">
        <v>1.3657027091851699E-3</v>
      </c>
      <c r="Q254">
        <v>12740.7507166738</v>
      </c>
      <c r="R254">
        <v>224917287.92952299</v>
      </c>
      <c r="S254">
        <v>7551.1328033753398</v>
      </c>
      <c r="T254">
        <v>78776148.055185303</v>
      </c>
      <c r="U254">
        <f>VLOOKUP(C254,YieldData!F:AG,27,FALSE)</f>
        <v>733</v>
      </c>
      <c r="V254">
        <f>_xlfn.MAXIFS(I:I,C:C,C254)</f>
        <v>0.54509075691792597</v>
      </c>
    </row>
    <row r="255" spans="1:22" hidden="1" x14ac:dyDescent="0.25">
      <c r="A255" s="3">
        <f>VLOOKUP(C255,YieldData!F:G,2,FALSE)</f>
        <v>24110</v>
      </c>
      <c r="B255">
        <v>35</v>
      </c>
      <c r="C255">
        <v>204</v>
      </c>
      <c r="D255">
        <v>204</v>
      </c>
      <c r="E255" s="3">
        <f t="shared" si="3"/>
        <v>241100204</v>
      </c>
      <c r="F255" s="3">
        <f>VLOOKUP($E255,YieldData!$H:$R,10,FALSE)</f>
        <v>3</v>
      </c>
      <c r="G255" s="3">
        <f>VLOOKUP($E255,YieldData!$H:$R,11,FALSE)</f>
        <v>4</v>
      </c>
      <c r="H255">
        <v>31</v>
      </c>
      <c r="I255">
        <v>0.25560932979350298</v>
      </c>
      <c r="J255">
        <v>0.27063780905823798</v>
      </c>
      <c r="K255">
        <v>6.5308493471946505E-2</v>
      </c>
      <c r="L255">
        <v>0.77209810268150803</v>
      </c>
      <c r="M255">
        <v>6.9885409168109494E-2</v>
      </c>
      <c r="N255">
        <v>1.8550541675261701E-2</v>
      </c>
      <c r="O255">
        <v>-4.2458694624316402E-2</v>
      </c>
      <c r="P255">
        <v>1.18947077906243E-3</v>
      </c>
      <c r="Q255">
        <v>8454.3727878816007</v>
      </c>
      <c r="R255">
        <v>153605622.819585</v>
      </c>
      <c r="S255">
        <v>9820.3052254973409</v>
      </c>
      <c r="T255">
        <v>63386504.607053101</v>
      </c>
      <c r="U255">
        <f>VLOOKUP(C255,YieldData!F:AG,27,FALSE)</f>
        <v>1553</v>
      </c>
      <c r="V255">
        <f>_xlfn.MAXIFS(I:I,C:C,C255)</f>
        <v>0.46833663534658099</v>
      </c>
    </row>
    <row r="256" spans="1:22" hidden="1" x14ac:dyDescent="0.25">
      <c r="A256" s="3">
        <f>VLOOKUP(C256,YieldData!F:G,2,FALSE)</f>
        <v>24110</v>
      </c>
      <c r="B256">
        <v>35</v>
      </c>
      <c r="C256">
        <v>111</v>
      </c>
      <c r="D256">
        <v>111</v>
      </c>
      <c r="E256" s="3">
        <f t="shared" si="3"/>
        <v>241100111</v>
      </c>
      <c r="F256" s="3">
        <f>VLOOKUP($E256,YieldData!$H:$R,10,FALSE)</f>
        <v>2</v>
      </c>
      <c r="G256" s="3">
        <f>VLOOKUP($E256,YieldData!$H:$R,11,FALSE)</f>
        <v>3</v>
      </c>
      <c r="H256">
        <v>20</v>
      </c>
      <c r="I256">
        <v>0.32964566616350199</v>
      </c>
      <c r="J256">
        <v>0.334630716703056</v>
      </c>
      <c r="K256">
        <v>7.81532642981356E-2</v>
      </c>
      <c r="L256">
        <v>0.56331578947368399</v>
      </c>
      <c r="M256">
        <v>0.11325884471816999</v>
      </c>
      <c r="N256">
        <v>2.59576949310165E-2</v>
      </c>
      <c r="O256">
        <v>-3.1514351647600497E-2</v>
      </c>
      <c r="P256">
        <v>1.4124451610371899E-3</v>
      </c>
      <c r="Q256">
        <v>9633.1869256640493</v>
      </c>
      <c r="R256">
        <v>144463063.74645001</v>
      </c>
      <c r="S256">
        <v>8190.9893690438303</v>
      </c>
      <c r="T256">
        <v>72658876.593728304</v>
      </c>
      <c r="U256">
        <f>VLOOKUP(C256,YieldData!F:AG,27,FALSE)</f>
        <v>1957</v>
      </c>
      <c r="V256">
        <f>_xlfn.MAXIFS(I:I,C:C,C256)</f>
        <v>0.57165742532824204</v>
      </c>
    </row>
    <row r="257" spans="1:22" hidden="1" x14ac:dyDescent="0.25">
      <c r="A257" s="3">
        <f>VLOOKUP(C257,YieldData!F:G,2,FALSE)</f>
        <v>24110</v>
      </c>
      <c r="B257">
        <v>35</v>
      </c>
      <c r="C257">
        <v>104</v>
      </c>
      <c r="D257">
        <v>104</v>
      </c>
      <c r="E257" s="3">
        <f t="shared" si="3"/>
        <v>241100104</v>
      </c>
      <c r="F257" s="3">
        <f>VLOOKUP($E257,YieldData!$H:$R,10,FALSE)</f>
        <v>4</v>
      </c>
      <c r="G257" s="3">
        <f>VLOOKUP($E257,YieldData!$H:$R,11,FALSE)</f>
        <v>1</v>
      </c>
      <c r="H257">
        <v>17</v>
      </c>
      <c r="I257">
        <v>0.32382831379143701</v>
      </c>
      <c r="J257">
        <v>0.34949864877094799</v>
      </c>
      <c r="K257">
        <v>7.1028636853286295E-2</v>
      </c>
      <c r="L257">
        <v>0.59049461177120799</v>
      </c>
      <c r="M257">
        <v>0.12574186006878399</v>
      </c>
      <c r="N257">
        <v>2.5535312226009198E-2</v>
      </c>
      <c r="O257">
        <v>-2.9783102813276001E-2</v>
      </c>
      <c r="P257">
        <v>1.2587885030579599E-3</v>
      </c>
      <c r="Q257">
        <v>9192.6927762292908</v>
      </c>
      <c r="R257">
        <v>135585279.858448</v>
      </c>
      <c r="S257">
        <v>8672.2798376163901</v>
      </c>
      <c r="T257">
        <v>71848204.213300899</v>
      </c>
      <c r="U257">
        <f>VLOOKUP(C257,YieldData!F:AG,27,FALSE)</f>
        <v>1943</v>
      </c>
      <c r="V257">
        <f>_xlfn.MAXIFS(I:I,C:C,C257)</f>
        <v>0.58876799748917896</v>
      </c>
    </row>
    <row r="258" spans="1:22" hidden="1" x14ac:dyDescent="0.25">
      <c r="A258" s="3">
        <f>VLOOKUP(C258,YieldData!F:G,2,FALSE)</f>
        <v>24110</v>
      </c>
      <c r="B258">
        <v>35</v>
      </c>
      <c r="C258">
        <v>105</v>
      </c>
      <c r="D258">
        <v>105</v>
      </c>
      <c r="E258" s="3">
        <f t="shared" si="3"/>
        <v>241100105</v>
      </c>
      <c r="F258" s="3">
        <f>VLOOKUP($E258,YieldData!$H:$R,10,FALSE)</f>
        <v>5</v>
      </c>
      <c r="G258" s="3">
        <f>VLOOKUP($E258,YieldData!$H:$R,11,FALSE)</f>
        <v>1</v>
      </c>
      <c r="H258">
        <v>21</v>
      </c>
      <c r="I258">
        <v>0.290515220931926</v>
      </c>
      <c r="J258">
        <v>0.31651403800695599</v>
      </c>
      <c r="K258">
        <v>6.7202295477388402E-2</v>
      </c>
      <c r="L258">
        <v>0.62797368421052602</v>
      </c>
      <c r="M258">
        <v>9.5926367810745594E-2</v>
      </c>
      <c r="N258">
        <v>2.21785926505133E-2</v>
      </c>
      <c r="O258">
        <v>-3.5916252716112998E-2</v>
      </c>
      <c r="P258">
        <v>1.1899588226562E-3</v>
      </c>
      <c r="Q258">
        <v>8904.4373551727294</v>
      </c>
      <c r="R258">
        <v>144541974.312998</v>
      </c>
      <c r="S258">
        <v>9720.8885269502207</v>
      </c>
      <c r="T258">
        <v>73436548.145017803</v>
      </c>
      <c r="U258">
        <f>VLOOKUP(C258,YieldData!F:AG,27,FALSE)</f>
        <v>1784</v>
      </c>
      <c r="V258">
        <f>_xlfn.MAXIFS(I:I,C:C,C258)</f>
        <v>0.52674286312100305</v>
      </c>
    </row>
    <row r="259" spans="1:22" hidden="1" x14ac:dyDescent="0.25">
      <c r="A259" s="3">
        <f>VLOOKUP(C259,YieldData!F:G,2,FALSE)</f>
        <v>24110</v>
      </c>
      <c r="B259">
        <v>35</v>
      </c>
      <c r="C259">
        <v>112</v>
      </c>
      <c r="D259">
        <v>112</v>
      </c>
      <c r="E259" s="3">
        <f t="shared" ref="E259:E322" si="4">A259*10000+D259</f>
        <v>241100112</v>
      </c>
      <c r="F259" s="3">
        <f>VLOOKUP($E259,YieldData!$H:$R,10,FALSE)</f>
        <v>1</v>
      </c>
      <c r="G259" s="3">
        <f>VLOOKUP($E259,YieldData!$H:$R,11,FALSE)</f>
        <v>2</v>
      </c>
      <c r="H259">
        <v>63</v>
      </c>
      <c r="I259">
        <v>0.26945306965566101</v>
      </c>
      <c r="J259">
        <v>0.28141332989296602</v>
      </c>
      <c r="K259">
        <v>6.1371154957354797E-2</v>
      </c>
      <c r="L259">
        <v>0.91844844146787497</v>
      </c>
      <c r="M259">
        <v>7.4466293122021299E-2</v>
      </c>
      <c r="N259">
        <v>1.9522495108599498E-2</v>
      </c>
      <c r="O259">
        <v>-4.3948698611952899E-2</v>
      </c>
      <c r="P259">
        <v>1.2591953753920699E-3</v>
      </c>
      <c r="Q259">
        <v>8192.5482346086901</v>
      </c>
      <c r="R259">
        <v>119641742.79741301</v>
      </c>
      <c r="S259">
        <v>9898.26482792762</v>
      </c>
      <c r="T259">
        <v>56449942.124471799</v>
      </c>
      <c r="U259">
        <f>VLOOKUP(C259,YieldData!F:AG,27,FALSE)</f>
        <v>1958</v>
      </c>
      <c r="V259">
        <f>_xlfn.MAXIFS(I:I,C:C,C259)</f>
        <v>0.51515349658351595</v>
      </c>
    </row>
    <row r="260" spans="1:22" hidden="1" x14ac:dyDescent="0.25">
      <c r="A260" s="3">
        <f>VLOOKUP(C260,YieldData!F:G,2,FALSE)</f>
        <v>24110</v>
      </c>
      <c r="B260">
        <v>35</v>
      </c>
      <c r="C260">
        <v>205</v>
      </c>
      <c r="D260">
        <v>205</v>
      </c>
      <c r="E260" s="3">
        <f t="shared" si="4"/>
        <v>241100205</v>
      </c>
      <c r="F260" s="3">
        <f>VLOOKUP($E260,YieldData!$H:$R,10,FALSE)</f>
        <v>5</v>
      </c>
      <c r="G260" s="3">
        <f>VLOOKUP($E260,YieldData!$H:$R,11,FALSE)</f>
        <v>4</v>
      </c>
      <c r="H260">
        <v>29</v>
      </c>
      <c r="I260">
        <v>0.29539541196332197</v>
      </c>
      <c r="J260">
        <v>0.293788745496111</v>
      </c>
      <c r="K260">
        <v>7.1893117295781198E-2</v>
      </c>
      <c r="L260">
        <v>0.77962867932472801</v>
      </c>
      <c r="M260">
        <v>7.8655064427314E-2</v>
      </c>
      <c r="N260">
        <v>2.1542800046754001E-2</v>
      </c>
      <c r="O260">
        <v>-4.6491312299801898E-2</v>
      </c>
      <c r="P260">
        <v>1.2517079572494101E-3</v>
      </c>
      <c r="Q260">
        <v>9062.3733456916798</v>
      </c>
      <c r="R260">
        <v>149211166.43040401</v>
      </c>
      <c r="S260">
        <v>9155.0958839904506</v>
      </c>
      <c r="T260">
        <v>67148724.739903897</v>
      </c>
      <c r="U260">
        <f>VLOOKUP(C260,YieldData!F:AG,27,FALSE)</f>
        <v>1772</v>
      </c>
      <c r="V260">
        <f>_xlfn.MAXIFS(I:I,C:C,C260)</f>
        <v>0.51783437408049204</v>
      </c>
    </row>
    <row r="261" spans="1:22" hidden="1" x14ac:dyDescent="0.25">
      <c r="A261" s="3">
        <f>VLOOKUP(C261,YieldData!F:G,2,FALSE)</f>
        <v>24111</v>
      </c>
      <c r="B261">
        <v>35</v>
      </c>
      <c r="C261">
        <v>212</v>
      </c>
      <c r="D261">
        <v>212</v>
      </c>
      <c r="E261" s="3">
        <f t="shared" si="4"/>
        <v>241110212</v>
      </c>
      <c r="F261" s="3">
        <f>VLOOKUP($E261,YieldData!$H:$R,10,FALSE)</f>
        <v>4</v>
      </c>
      <c r="G261" s="3">
        <f>VLOOKUP($E261,YieldData!$H:$R,11,FALSE)</f>
        <v>1</v>
      </c>
      <c r="H261">
        <v>21</v>
      </c>
      <c r="I261">
        <v>0.30391403943169598</v>
      </c>
      <c r="J261">
        <v>0.306842462476833</v>
      </c>
      <c r="K261">
        <v>6.8089082990376498E-2</v>
      </c>
      <c r="L261">
        <v>0.72234210526315801</v>
      </c>
      <c r="M261">
        <v>8.5254583236566497E-2</v>
      </c>
      <c r="N261">
        <v>1.77653162056629E-2</v>
      </c>
      <c r="O261">
        <v>-4.6982378393213203E-2</v>
      </c>
      <c r="P261">
        <v>1.27908692885865E-3</v>
      </c>
      <c r="Q261">
        <v>10926.1105160017</v>
      </c>
      <c r="R261">
        <v>196281363.048545</v>
      </c>
      <c r="S261">
        <v>8861.2694914949698</v>
      </c>
      <c r="T261">
        <v>70896086.532280907</v>
      </c>
      <c r="U261">
        <f>VLOOKUP(C261,YieldData!F:AG,27,FALSE)</f>
        <v>678</v>
      </c>
      <c r="V261">
        <f>_xlfn.MAXIFS(I:I,C:C,C261)</f>
        <v>0.50204989047634596</v>
      </c>
    </row>
    <row r="262" spans="1:22" hidden="1" x14ac:dyDescent="0.25">
      <c r="A262" s="3">
        <f>VLOOKUP(C262,YieldData!F:G,2,FALSE)</f>
        <v>24111</v>
      </c>
      <c r="B262">
        <v>35</v>
      </c>
      <c r="C262">
        <v>305</v>
      </c>
      <c r="D262">
        <v>305</v>
      </c>
      <c r="E262" s="3">
        <f t="shared" si="4"/>
        <v>241110305</v>
      </c>
      <c r="F262" s="3">
        <f>VLOOKUP($E262,YieldData!$H:$R,10,FALSE)</f>
        <v>4</v>
      </c>
      <c r="G262" s="3">
        <f>VLOOKUP($E262,YieldData!$H:$R,11,FALSE)</f>
        <v>3</v>
      </c>
      <c r="H262">
        <v>76</v>
      </c>
      <c r="I262">
        <v>0.36299537889119898</v>
      </c>
      <c r="J262">
        <v>0.33934461065690102</v>
      </c>
      <c r="K262">
        <v>7.4888627597483007E-2</v>
      </c>
      <c r="L262">
        <v>0.96055263157894699</v>
      </c>
      <c r="M262">
        <v>0.111186909744834</v>
      </c>
      <c r="N262">
        <v>2.1204672778700001E-2</v>
      </c>
      <c r="O262">
        <v>-4.2051313347195501E-2</v>
      </c>
      <c r="P262">
        <v>1.24218520206995E-3</v>
      </c>
      <c r="Q262">
        <v>11957.0191067622</v>
      </c>
      <c r="R262">
        <v>188792812.327351</v>
      </c>
      <c r="S262">
        <v>7990.4337322996098</v>
      </c>
      <c r="T262">
        <v>72872179.638292193</v>
      </c>
      <c r="U262">
        <f>VLOOKUP(C262,YieldData!F:AG,27,FALSE)</f>
        <v>792</v>
      </c>
      <c r="V262">
        <f>_xlfn.MAXIFS(I:I,C:C,C262)</f>
        <v>0.51650679691637702</v>
      </c>
    </row>
    <row r="263" spans="1:22" hidden="1" x14ac:dyDescent="0.25">
      <c r="A263" s="3">
        <f>VLOOKUP(C263,YieldData!F:G,2,FALSE)</f>
        <v>24111</v>
      </c>
      <c r="B263">
        <v>35</v>
      </c>
      <c r="C263">
        <v>312</v>
      </c>
      <c r="D263">
        <v>312</v>
      </c>
      <c r="E263" s="3">
        <f t="shared" si="4"/>
        <v>241110312</v>
      </c>
      <c r="F263" s="3">
        <f>VLOOKUP($E263,YieldData!$H:$R,10,FALSE)</f>
        <v>2</v>
      </c>
      <c r="G263" s="3">
        <f>VLOOKUP($E263,YieldData!$H:$R,11,FALSE)</f>
        <v>4</v>
      </c>
      <c r="H263">
        <v>14</v>
      </c>
      <c r="I263">
        <v>0.45988586107359403</v>
      </c>
      <c r="J263">
        <v>0.415463847595677</v>
      </c>
      <c r="K263">
        <v>7.9420152640749905E-2</v>
      </c>
      <c r="L263">
        <v>0.57459770266180699</v>
      </c>
      <c r="M263">
        <v>0.15531475773390099</v>
      </c>
      <c r="N263">
        <v>2.1872442093316201E-2</v>
      </c>
      <c r="O263">
        <v>-3.3399893571357198E-2</v>
      </c>
      <c r="P263">
        <v>1.3177476493290499E-3</v>
      </c>
      <c r="Q263">
        <v>15726.564822171</v>
      </c>
      <c r="R263">
        <v>235799906.36542299</v>
      </c>
      <c r="S263">
        <v>5526.7842494529996</v>
      </c>
      <c r="T263">
        <v>80108079.681089699</v>
      </c>
      <c r="U263">
        <f>VLOOKUP(C263,YieldData!F:AG,27,FALSE)</f>
        <v>689</v>
      </c>
      <c r="V263">
        <f>_xlfn.MAXIFS(I:I,C:C,C263)</f>
        <v>0.62473845268609096</v>
      </c>
    </row>
    <row r="264" spans="1:22" hidden="1" x14ac:dyDescent="0.25">
      <c r="A264" s="3">
        <f>VLOOKUP(C264,YieldData!F:G,2,FALSE)</f>
        <v>24112</v>
      </c>
      <c r="B264">
        <v>35</v>
      </c>
      <c r="C264">
        <v>405</v>
      </c>
      <c r="D264">
        <v>405</v>
      </c>
      <c r="E264" s="3">
        <f t="shared" si="4"/>
        <v>241120405</v>
      </c>
      <c r="F264" s="3">
        <f>VLOOKUP($E264,YieldData!$H:$R,10,FALSE)</f>
        <v>3</v>
      </c>
      <c r="G264" s="3">
        <f>VLOOKUP($E264,YieldData!$H:$R,11,FALSE)</f>
        <v>2</v>
      </c>
      <c r="H264">
        <v>33</v>
      </c>
      <c r="I264">
        <v>0.34420205898904299</v>
      </c>
      <c r="J264">
        <v>0.34694416834034503</v>
      </c>
      <c r="K264">
        <v>6.2317645696363097E-2</v>
      </c>
      <c r="L264">
        <v>0.84260526315789497</v>
      </c>
      <c r="M264">
        <v>0.112306203646731</v>
      </c>
      <c r="N264">
        <v>1.4420620239168E-2</v>
      </c>
      <c r="O264">
        <v>-3.1865407839641799E-2</v>
      </c>
      <c r="P264">
        <v>1.63542323487899E-3</v>
      </c>
      <c r="Q264">
        <v>13112.2828561025</v>
      </c>
      <c r="R264">
        <v>246173203.11942399</v>
      </c>
      <c r="S264">
        <v>8554.4816061931597</v>
      </c>
      <c r="T264">
        <v>60740305.863329999</v>
      </c>
      <c r="U264">
        <f>VLOOKUP(C264,YieldData!F:AG,27,FALSE)</f>
        <v>273</v>
      </c>
      <c r="V264">
        <f>_xlfn.MAXIFS(I:I,C:C,C264)</f>
        <v>0.53204608463671099</v>
      </c>
    </row>
    <row r="265" spans="1:22" hidden="1" x14ac:dyDescent="0.25">
      <c r="A265" s="3">
        <f>VLOOKUP(C265,YieldData!F:G,2,FALSE)</f>
        <v>24112</v>
      </c>
      <c r="B265">
        <v>35</v>
      </c>
      <c r="C265">
        <v>412</v>
      </c>
      <c r="D265">
        <v>412</v>
      </c>
      <c r="E265" s="3">
        <f t="shared" si="4"/>
        <v>241120412</v>
      </c>
      <c r="F265" s="3">
        <f>VLOOKUP($E265,YieldData!$H:$R,10,FALSE)</f>
        <v>3</v>
      </c>
      <c r="G265" s="3">
        <f>VLOOKUP($E265,YieldData!$H:$R,11,FALSE)</f>
        <v>3</v>
      </c>
      <c r="H265">
        <v>25</v>
      </c>
      <c r="I265">
        <v>0.33138688064405097</v>
      </c>
      <c r="J265">
        <v>0.360956001788451</v>
      </c>
      <c r="K265">
        <v>5.7900302447085703E-2</v>
      </c>
      <c r="L265">
        <v>0.74141765023224004</v>
      </c>
      <c r="M265">
        <v>0.122637904539174</v>
      </c>
      <c r="N265">
        <v>1.4792983919980201E-2</v>
      </c>
      <c r="O265">
        <v>-3.1265881447415003E-2</v>
      </c>
      <c r="P265">
        <v>1.54522377652525E-3</v>
      </c>
      <c r="Q265">
        <v>11883.740439871801</v>
      </c>
      <c r="R265">
        <v>225146659.86915299</v>
      </c>
      <c r="S265">
        <v>9323.7128610460095</v>
      </c>
      <c r="T265">
        <v>64955619.533346198</v>
      </c>
      <c r="U265">
        <f>VLOOKUP(C265,YieldData!F:AG,27,FALSE)</f>
        <v>475</v>
      </c>
      <c r="V265">
        <f>_xlfn.MAXIFS(I:I,C:C,C265)</f>
        <v>0.53409923105089696</v>
      </c>
    </row>
    <row r="266" spans="1:22" hidden="1" x14ac:dyDescent="0.25">
      <c r="A266" s="3">
        <f>VLOOKUP(C266,YieldData!F:G,2,FALSE)</f>
        <v>24112</v>
      </c>
      <c r="B266">
        <v>35</v>
      </c>
      <c r="C266">
        <v>413</v>
      </c>
      <c r="D266">
        <v>413</v>
      </c>
      <c r="E266" s="3">
        <f t="shared" si="4"/>
        <v>241120413</v>
      </c>
      <c r="F266" s="3">
        <f>VLOOKUP($E266,YieldData!$H:$R,10,FALSE)</f>
        <v>1</v>
      </c>
      <c r="G266" s="3">
        <f>VLOOKUP($E266,YieldData!$H:$R,11,FALSE)</f>
        <v>3</v>
      </c>
      <c r="H266">
        <v>5</v>
      </c>
      <c r="I266">
        <v>0.367323428934615</v>
      </c>
      <c r="J266">
        <v>0.40256136524500202</v>
      </c>
      <c r="K266">
        <v>6.0000264796764798E-2</v>
      </c>
      <c r="L266">
        <v>0.285930448283575</v>
      </c>
      <c r="M266">
        <v>0.157106676006873</v>
      </c>
      <c r="N266">
        <v>1.6419369656369399E-2</v>
      </c>
      <c r="O266">
        <v>-2.0728328357425801E-2</v>
      </c>
      <c r="P266">
        <v>1.41273393976756E-3</v>
      </c>
      <c r="Q266">
        <v>13066.3331016128</v>
      </c>
      <c r="R266">
        <v>235918680.602972</v>
      </c>
      <c r="S266">
        <v>7363.5646232680201</v>
      </c>
      <c r="T266">
        <v>63730111.701928303</v>
      </c>
      <c r="U266">
        <f>VLOOKUP(C266,YieldData!F:AG,27,FALSE)</f>
        <v>902</v>
      </c>
      <c r="V266">
        <f>_xlfn.MAXIFS(I:I,C:C,C266)</f>
        <v>0.62748713522561606</v>
      </c>
    </row>
    <row r="267" spans="1:22" hidden="1" x14ac:dyDescent="0.25">
      <c r="A267" s="3">
        <f>VLOOKUP(C267,YieldData!F:G,2,FALSE)</f>
        <v>24112</v>
      </c>
      <c r="B267">
        <v>35</v>
      </c>
      <c r="C267">
        <v>406</v>
      </c>
      <c r="D267">
        <v>406</v>
      </c>
      <c r="E267" s="3">
        <f t="shared" si="4"/>
        <v>241120406</v>
      </c>
      <c r="F267" s="3">
        <f>VLOOKUP($E267,YieldData!$H:$R,10,FALSE)</f>
        <v>4</v>
      </c>
      <c r="G267" s="3">
        <f>VLOOKUP($E267,YieldData!$H:$R,11,FALSE)</f>
        <v>2</v>
      </c>
      <c r="H267">
        <v>6</v>
      </c>
      <c r="I267">
        <v>0.381686009944188</v>
      </c>
      <c r="J267">
        <v>0.39591302678762202</v>
      </c>
      <c r="K267">
        <v>7.1881393613936695E-2</v>
      </c>
      <c r="L267">
        <v>0.25847368421052602</v>
      </c>
      <c r="M267">
        <v>0.15322905819252999</v>
      </c>
      <c r="N267">
        <v>2.0070768433824299E-2</v>
      </c>
      <c r="O267">
        <v>-1.91483950898832E-2</v>
      </c>
      <c r="P267">
        <v>1.5221011422093401E-3</v>
      </c>
      <c r="Q267">
        <v>14159.5514985799</v>
      </c>
      <c r="R267">
        <v>265014905.07016701</v>
      </c>
      <c r="S267">
        <v>6472.5906766983999</v>
      </c>
      <c r="T267">
        <v>77316500.543122798</v>
      </c>
      <c r="U267">
        <f>VLOOKUP(C267,YieldData!F:AG,27,FALSE)</f>
        <v>830</v>
      </c>
      <c r="V267">
        <f>_xlfn.MAXIFS(I:I,C:C,C267)</f>
        <v>0.48466025003923202</v>
      </c>
    </row>
    <row r="268" spans="1:22" hidden="1" x14ac:dyDescent="0.25">
      <c r="A268" s="3">
        <f>VLOOKUP(C268,YieldData!F:G,2,FALSE)</f>
        <v>24111</v>
      </c>
      <c r="B268">
        <v>35</v>
      </c>
      <c r="C268">
        <v>313</v>
      </c>
      <c r="D268">
        <v>313</v>
      </c>
      <c r="E268" s="3">
        <f t="shared" si="4"/>
        <v>241110313</v>
      </c>
      <c r="F268" s="3">
        <f>VLOOKUP($E268,YieldData!$H:$R,10,FALSE)</f>
        <v>1</v>
      </c>
      <c r="G268" s="3">
        <f>VLOOKUP($E268,YieldData!$H:$R,11,FALSE)</f>
        <v>4</v>
      </c>
      <c r="H268">
        <v>37</v>
      </c>
      <c r="I268">
        <v>0.39573236937581102</v>
      </c>
      <c r="J268">
        <v>0.38240674758931498</v>
      </c>
      <c r="K268">
        <v>7.0856861921761397E-2</v>
      </c>
      <c r="L268">
        <v>0.82896052631578898</v>
      </c>
      <c r="M268">
        <v>0.14306016710582101</v>
      </c>
      <c r="N268">
        <v>1.7858732695518999E-2</v>
      </c>
      <c r="O268">
        <v>-2.6467798061770499E-2</v>
      </c>
      <c r="P268">
        <v>1.4068509464918999E-3</v>
      </c>
      <c r="Q268">
        <v>13876.472776144699</v>
      </c>
      <c r="R268">
        <v>236524739.96484599</v>
      </c>
      <c r="S268">
        <v>6751.1267491313101</v>
      </c>
      <c r="T268">
        <v>72945467.111769497</v>
      </c>
      <c r="U268">
        <f>VLOOKUP(C268,YieldData!F:AG,27,FALSE)</f>
        <v>726</v>
      </c>
      <c r="V268">
        <f>_xlfn.MAXIFS(I:I,C:C,C268)</f>
        <v>0.63875085002876997</v>
      </c>
    </row>
    <row r="269" spans="1:22" hidden="1" x14ac:dyDescent="0.25">
      <c r="A269" s="3">
        <f>VLOOKUP(C269,YieldData!F:G,2,FALSE)</f>
        <v>24111</v>
      </c>
      <c r="B269">
        <v>35</v>
      </c>
      <c r="C269">
        <v>306</v>
      </c>
      <c r="D269">
        <v>306</v>
      </c>
      <c r="E269" s="3">
        <f t="shared" si="4"/>
        <v>241110306</v>
      </c>
      <c r="F269" s="3">
        <f>VLOOKUP($E269,YieldData!$H:$R,10,FALSE)</f>
        <v>1</v>
      </c>
      <c r="G269" s="3">
        <f>VLOOKUP($E269,YieldData!$H:$R,11,FALSE)</f>
        <v>3</v>
      </c>
      <c r="H269">
        <v>43</v>
      </c>
      <c r="I269">
        <v>0.42690492111517903</v>
      </c>
      <c r="J269">
        <v>0.39808258608248498</v>
      </c>
      <c r="K269">
        <v>7.3111414286017806E-2</v>
      </c>
      <c r="L269">
        <v>0.88980118159449495</v>
      </c>
      <c r="M269">
        <v>0.14579755185517501</v>
      </c>
      <c r="N269">
        <v>1.9109790272798601E-2</v>
      </c>
      <c r="O269">
        <v>-3.6490278735727903E-2</v>
      </c>
      <c r="P269">
        <v>1.4739931537180401E-3</v>
      </c>
      <c r="Q269">
        <v>14278.0778453818</v>
      </c>
      <c r="R269">
        <v>221813619.340675</v>
      </c>
      <c r="S269">
        <v>6333.6862780318597</v>
      </c>
      <c r="T269">
        <v>72291626.609787405</v>
      </c>
      <c r="U269">
        <f>VLOOKUP(C269,YieldData!F:AG,27,FALSE)</f>
        <v>862</v>
      </c>
      <c r="V269">
        <f>_xlfn.MAXIFS(I:I,C:C,C269)</f>
        <v>0.57260179027965796</v>
      </c>
    </row>
    <row r="270" spans="1:22" hidden="1" x14ac:dyDescent="0.25">
      <c r="A270" s="3">
        <f>VLOOKUP(C270,YieldData!F:G,2,FALSE)</f>
        <v>24111</v>
      </c>
      <c r="B270">
        <v>35</v>
      </c>
      <c r="C270">
        <v>213</v>
      </c>
      <c r="D270">
        <v>213</v>
      </c>
      <c r="E270" s="3">
        <f t="shared" si="4"/>
        <v>241110213</v>
      </c>
      <c r="F270" s="3">
        <f>VLOOKUP($E270,YieldData!$H:$R,10,FALSE)</f>
        <v>3</v>
      </c>
      <c r="G270" s="3">
        <f>VLOOKUP($E270,YieldData!$H:$R,11,FALSE)</f>
        <v>1</v>
      </c>
      <c r="H270">
        <v>15</v>
      </c>
      <c r="I270">
        <v>0.34868185850667999</v>
      </c>
      <c r="J270">
        <v>0.33414537073976702</v>
      </c>
      <c r="K270">
        <v>7.7180465002607904E-2</v>
      </c>
      <c r="L270">
        <v>0.461947368421053</v>
      </c>
      <c r="M270">
        <v>0.100245269980303</v>
      </c>
      <c r="N270">
        <v>2.2160068524725001E-2</v>
      </c>
      <c r="O270">
        <v>-5.2621331353266201E-2</v>
      </c>
      <c r="P270">
        <v>1.43250136724095E-3</v>
      </c>
      <c r="Q270">
        <v>11664.0162136038</v>
      </c>
      <c r="R270">
        <v>207587748.01235801</v>
      </c>
      <c r="S270">
        <v>8201.8957034706</v>
      </c>
      <c r="T270">
        <v>80503138.242252693</v>
      </c>
      <c r="U270">
        <f>VLOOKUP(C270,YieldData!F:AG,27,FALSE)</f>
        <v>475</v>
      </c>
      <c r="V270">
        <f>_xlfn.MAXIFS(I:I,C:C,C270)</f>
        <v>0.50808835068263802</v>
      </c>
    </row>
    <row r="271" spans="1:22" hidden="1" x14ac:dyDescent="0.25">
      <c r="A271" s="3">
        <f>VLOOKUP(C271,YieldData!F:G,2,FALSE)</f>
        <v>24110</v>
      </c>
      <c r="B271">
        <v>35</v>
      </c>
      <c r="C271">
        <v>206</v>
      </c>
      <c r="D271">
        <v>206</v>
      </c>
      <c r="E271" s="3">
        <f t="shared" si="4"/>
        <v>241100206</v>
      </c>
      <c r="F271" s="3">
        <f>VLOOKUP($E271,YieldData!$H:$R,10,FALSE)</f>
        <v>4</v>
      </c>
      <c r="G271" s="3">
        <f>VLOOKUP($E271,YieldData!$H:$R,11,FALSE)</f>
        <v>4</v>
      </c>
      <c r="H271">
        <v>17</v>
      </c>
      <c r="I271">
        <v>0.32619418054222199</v>
      </c>
      <c r="J271">
        <v>0.33238210215277603</v>
      </c>
      <c r="K271">
        <v>7.5027945673024898E-2</v>
      </c>
      <c r="L271">
        <v>0.61244736842105296</v>
      </c>
      <c r="M271">
        <v>0.113183546977174</v>
      </c>
      <c r="N271">
        <v>2.4408302203812699E-2</v>
      </c>
      <c r="O271">
        <v>-4.5137668534006199E-2</v>
      </c>
      <c r="P271">
        <v>1.2597249069781001E-3</v>
      </c>
      <c r="Q271">
        <v>9670.1871826276893</v>
      </c>
      <c r="R271">
        <v>155331819.61679</v>
      </c>
      <c r="S271">
        <v>8263.1775271552797</v>
      </c>
      <c r="T271">
        <v>73402829.633565903</v>
      </c>
      <c r="U271">
        <f>VLOOKUP(C271,YieldData!F:AG,27,FALSE)</f>
        <v>1549</v>
      </c>
      <c r="V271">
        <f>_xlfn.MAXIFS(I:I,C:C,C271)</f>
        <v>0.57408049171216502</v>
      </c>
    </row>
    <row r="272" spans="1:22" hidden="1" x14ac:dyDescent="0.25">
      <c r="A272" s="3">
        <f>VLOOKUP(C272,YieldData!F:G,2,FALSE)</f>
        <v>24110</v>
      </c>
      <c r="B272">
        <v>35</v>
      </c>
      <c r="C272">
        <v>113</v>
      </c>
      <c r="D272">
        <v>113</v>
      </c>
      <c r="E272" s="3">
        <f t="shared" si="4"/>
        <v>241100113</v>
      </c>
      <c r="F272" s="3">
        <f>VLOOKUP($E272,YieldData!$H:$R,10,FALSE)</f>
        <v>5</v>
      </c>
      <c r="G272" s="3">
        <f>VLOOKUP($E272,YieldData!$H:$R,11,FALSE)</f>
        <v>2</v>
      </c>
      <c r="H272">
        <v>28</v>
      </c>
      <c r="I272">
        <v>0.30529716703190501</v>
      </c>
      <c r="J272">
        <v>0.303017953594516</v>
      </c>
      <c r="K272">
        <v>7.3573689411640497E-2</v>
      </c>
      <c r="L272">
        <v>0.66836399042130501</v>
      </c>
      <c r="M272">
        <v>7.9159760713988295E-2</v>
      </c>
      <c r="N272">
        <v>2.3280560986742301E-2</v>
      </c>
      <c r="O272">
        <v>-4.7495191930332498E-2</v>
      </c>
      <c r="P272">
        <v>1.3837503158625399E-3</v>
      </c>
      <c r="Q272">
        <v>9647.1648470965192</v>
      </c>
      <c r="R272">
        <v>151454896.95917201</v>
      </c>
      <c r="S272">
        <v>8926.0424469169193</v>
      </c>
      <c r="T272">
        <v>72850321.708875</v>
      </c>
      <c r="U272">
        <f>VLOOKUP(C272,YieldData!F:AG,27,FALSE)</f>
        <v>1849</v>
      </c>
      <c r="V272">
        <f>_xlfn.MAXIFS(I:I,C:C,C272)</f>
        <v>0.56962761957694397</v>
      </c>
    </row>
    <row r="273" spans="1:22" hidden="1" x14ac:dyDescent="0.25">
      <c r="A273" s="3">
        <f>VLOOKUP(C273,YieldData!F:G,2,FALSE)</f>
        <v>24110</v>
      </c>
      <c r="B273">
        <v>35</v>
      </c>
      <c r="C273">
        <v>106</v>
      </c>
      <c r="D273">
        <v>106</v>
      </c>
      <c r="E273" s="3">
        <f t="shared" si="4"/>
        <v>241100106</v>
      </c>
      <c r="F273" s="3">
        <f>VLOOKUP($E273,YieldData!$H:$R,10,FALSE)</f>
        <v>2</v>
      </c>
      <c r="G273" s="3">
        <f>VLOOKUP($E273,YieldData!$H:$R,11,FALSE)</f>
        <v>2</v>
      </c>
      <c r="H273">
        <v>10</v>
      </c>
      <c r="I273">
        <v>0.387079261672096</v>
      </c>
      <c r="J273">
        <v>0.39900987942602201</v>
      </c>
      <c r="K273">
        <v>7.7720771134394295E-2</v>
      </c>
      <c r="L273">
        <v>0.410455125590453</v>
      </c>
      <c r="M273">
        <v>0.16112245189046401</v>
      </c>
      <c r="N273">
        <v>2.7997178329052599E-2</v>
      </c>
      <c r="O273">
        <v>-2.35308402679421E-2</v>
      </c>
      <c r="P273">
        <v>1.25681524997656E-3</v>
      </c>
      <c r="Q273">
        <v>11269.9671155425</v>
      </c>
      <c r="R273">
        <v>162419799.628371</v>
      </c>
      <c r="S273">
        <v>6926.7970842298801</v>
      </c>
      <c r="T273">
        <v>82519341.276217699</v>
      </c>
      <c r="U273">
        <f>VLOOKUP(C273,YieldData!F:AG,27,FALSE)</f>
        <v>2109</v>
      </c>
      <c r="V273">
        <f>_xlfn.MAXIFS(I:I,C:C,C273)</f>
        <v>0.66110006800230203</v>
      </c>
    </row>
    <row r="274" spans="1:22" hidden="1" x14ac:dyDescent="0.25">
      <c r="A274" s="3">
        <f>VLOOKUP(C274,YieldData!F:G,2,FALSE)</f>
        <v>24110</v>
      </c>
      <c r="B274">
        <v>35</v>
      </c>
      <c r="C274">
        <v>107</v>
      </c>
      <c r="D274">
        <v>107</v>
      </c>
      <c r="E274" s="3">
        <f t="shared" si="4"/>
        <v>241100107</v>
      </c>
      <c r="F274" s="3">
        <f>VLOOKUP($E274,YieldData!$H:$R,10,FALSE)</f>
        <v>4</v>
      </c>
      <c r="G274" s="3">
        <f>VLOOKUP($E274,YieldData!$H:$R,11,FALSE)</f>
        <v>2</v>
      </c>
      <c r="H274">
        <v>16</v>
      </c>
      <c r="I274">
        <v>0.33942864709192599</v>
      </c>
      <c r="J274">
        <v>0.363830241905781</v>
      </c>
      <c r="K274">
        <v>7.3049624301381594E-2</v>
      </c>
      <c r="L274">
        <v>0.503210526315789</v>
      </c>
      <c r="M274">
        <v>0.14341879052012299</v>
      </c>
      <c r="N274">
        <v>2.6261235866710701E-2</v>
      </c>
      <c r="O274">
        <v>-3.14404001823382E-2</v>
      </c>
      <c r="P274">
        <v>1.2247915901577801E-3</v>
      </c>
      <c r="Q274">
        <v>9819.6676222317892</v>
      </c>
      <c r="R274">
        <v>138744425.274995</v>
      </c>
      <c r="S274">
        <v>8190.3159296377698</v>
      </c>
      <c r="T274">
        <v>74302304.681517199</v>
      </c>
      <c r="U274">
        <f>VLOOKUP(C274,YieldData!F:AG,27,FALSE)</f>
        <v>1767</v>
      </c>
      <c r="V274">
        <f>_xlfn.MAXIFS(I:I,C:C,C274)</f>
        <v>0.62568002301616399</v>
      </c>
    </row>
    <row r="275" spans="1:22" hidden="1" x14ac:dyDescent="0.25">
      <c r="A275" s="3">
        <f>VLOOKUP(C275,YieldData!F:G,2,FALSE)</f>
        <v>24110</v>
      </c>
      <c r="B275">
        <v>35</v>
      </c>
      <c r="C275">
        <v>114</v>
      </c>
      <c r="D275">
        <v>114</v>
      </c>
      <c r="E275" s="3">
        <f t="shared" si="4"/>
        <v>241100114</v>
      </c>
      <c r="F275" s="3">
        <f>VLOOKUP($E275,YieldData!$H:$R,10,FALSE)</f>
        <v>3</v>
      </c>
      <c r="G275" s="3">
        <f>VLOOKUP($E275,YieldData!$H:$R,11,FALSE)</f>
        <v>2</v>
      </c>
      <c r="H275">
        <v>26</v>
      </c>
      <c r="I275">
        <v>0.28508722566122702</v>
      </c>
      <c r="J275">
        <v>0.29181433823390301</v>
      </c>
      <c r="K275">
        <v>6.9455021131506506E-2</v>
      </c>
      <c r="L275">
        <v>0.66824563481098398</v>
      </c>
      <c r="M275">
        <v>7.3191600545670504E-2</v>
      </c>
      <c r="N275">
        <v>2.0359675905311701E-2</v>
      </c>
      <c r="O275">
        <v>-5.08518476191454E-2</v>
      </c>
      <c r="P275">
        <v>1.2786887006640899E-3</v>
      </c>
      <c r="Q275">
        <v>9499.4961435333807</v>
      </c>
      <c r="R275">
        <v>157055688.837107</v>
      </c>
      <c r="S275">
        <v>9226.8934982202609</v>
      </c>
      <c r="T275">
        <v>68772071.4706247</v>
      </c>
      <c r="U275">
        <f>VLOOKUP(C275,YieldData!F:AG,27,FALSE)</f>
        <v>1577</v>
      </c>
      <c r="V275">
        <f>_xlfn.MAXIFS(I:I,C:C,C275)</f>
        <v>0.55712193335774396</v>
      </c>
    </row>
    <row r="276" spans="1:22" hidden="1" x14ac:dyDescent="0.25">
      <c r="A276" s="3">
        <f>VLOOKUP(C276,YieldData!F:G,2,FALSE)</f>
        <v>24111</v>
      </c>
      <c r="B276">
        <v>35</v>
      </c>
      <c r="C276">
        <v>207</v>
      </c>
      <c r="D276">
        <v>207</v>
      </c>
      <c r="E276" s="3">
        <f t="shared" si="4"/>
        <v>241110207</v>
      </c>
      <c r="F276" s="3">
        <f>VLOOKUP($E276,YieldData!$H:$R,10,FALSE)</f>
        <v>1</v>
      </c>
      <c r="G276" s="3">
        <f>VLOOKUP($E276,YieldData!$H:$R,11,FALSE)</f>
        <v>1</v>
      </c>
      <c r="H276">
        <v>18</v>
      </c>
      <c r="I276">
        <v>0.45134530335531398</v>
      </c>
      <c r="J276">
        <v>0.424854124079381</v>
      </c>
      <c r="K276">
        <v>7.6217750048282101E-2</v>
      </c>
      <c r="L276">
        <v>0.54088869590389299</v>
      </c>
      <c r="M276">
        <v>0.16379683165189399</v>
      </c>
      <c r="N276">
        <v>2.3391799725456301E-2</v>
      </c>
      <c r="O276">
        <v>-3.8916547519582199E-2</v>
      </c>
      <c r="P276">
        <v>1.35736330450777E-3</v>
      </c>
      <c r="Q276">
        <v>13694.22249808</v>
      </c>
      <c r="R276">
        <v>195928094.477516</v>
      </c>
      <c r="S276">
        <v>5493.2238632273602</v>
      </c>
      <c r="T276">
        <v>75178426.562193498</v>
      </c>
      <c r="U276">
        <f>VLOOKUP(C276,YieldData!F:AG,27,FALSE)</f>
        <v>1091</v>
      </c>
      <c r="V276">
        <f>_xlfn.MAXIFS(I:I,C:C,C276)</f>
        <v>0.70132409193448197</v>
      </c>
    </row>
    <row r="277" spans="1:22" hidden="1" x14ac:dyDescent="0.25">
      <c r="A277" s="3">
        <f>VLOOKUP(C277,YieldData!F:G,2,FALSE)</f>
        <v>24111</v>
      </c>
      <c r="B277">
        <v>35</v>
      </c>
      <c r="C277">
        <v>214</v>
      </c>
      <c r="D277">
        <v>214</v>
      </c>
      <c r="E277" s="3">
        <f t="shared" si="4"/>
        <v>241110214</v>
      </c>
      <c r="F277" s="3">
        <f>VLOOKUP($E277,YieldData!$H:$R,10,FALSE)</f>
        <v>2</v>
      </c>
      <c r="G277" s="3">
        <f>VLOOKUP($E277,YieldData!$H:$R,11,FALSE)</f>
        <v>1</v>
      </c>
      <c r="H277">
        <v>16</v>
      </c>
      <c r="I277">
        <v>0.43637988678870498</v>
      </c>
      <c r="J277">
        <v>0.40398554118130597</v>
      </c>
      <c r="K277">
        <v>7.6154164288532999E-2</v>
      </c>
      <c r="L277">
        <v>0.57714473684210499</v>
      </c>
      <c r="M277">
        <v>0.14456910066342499</v>
      </c>
      <c r="N277">
        <v>2.2492089818760899E-2</v>
      </c>
      <c r="O277">
        <v>-4.5394531870384398E-2</v>
      </c>
      <c r="P277">
        <v>1.53070871045667E-3</v>
      </c>
      <c r="Q277">
        <v>14157.138230328699</v>
      </c>
      <c r="R277">
        <v>215553465.47251999</v>
      </c>
      <c r="S277">
        <v>6192.4466999402102</v>
      </c>
      <c r="T277">
        <v>80901057.528444096</v>
      </c>
      <c r="U277">
        <f>VLOOKUP(C277,YieldData!F:AG,27,FALSE)</f>
        <v>817</v>
      </c>
      <c r="V277">
        <f>_xlfn.MAXIFS(I:I,C:C,C277)</f>
        <v>0.63073442485745701</v>
      </c>
    </row>
    <row r="278" spans="1:22" hidden="1" x14ac:dyDescent="0.25">
      <c r="A278" s="3">
        <f>VLOOKUP(C278,YieldData!F:G,2,FALSE)</f>
        <v>24111</v>
      </c>
      <c r="B278">
        <v>35</v>
      </c>
      <c r="C278">
        <v>307</v>
      </c>
      <c r="D278">
        <v>307</v>
      </c>
      <c r="E278" s="3">
        <f t="shared" si="4"/>
        <v>241110307</v>
      </c>
      <c r="F278" s="3">
        <f>VLOOKUP($E278,YieldData!$H:$R,10,FALSE)</f>
        <v>2</v>
      </c>
      <c r="G278" s="3">
        <f>VLOOKUP($E278,YieldData!$H:$R,11,FALSE)</f>
        <v>3</v>
      </c>
      <c r="H278">
        <v>18</v>
      </c>
      <c r="I278">
        <v>0.43132841206263001</v>
      </c>
      <c r="J278">
        <v>0.39868539594504798</v>
      </c>
      <c r="K278">
        <v>7.6687461064049001E-2</v>
      </c>
      <c r="L278">
        <v>0.67299569731180697</v>
      </c>
      <c r="M278">
        <v>0.145870030898092</v>
      </c>
      <c r="N278">
        <v>2.2348492728464599E-2</v>
      </c>
      <c r="O278">
        <v>-3.3772702440341702E-2</v>
      </c>
      <c r="P278">
        <v>1.4216677877417201E-3</v>
      </c>
      <c r="Q278">
        <v>13914.9777417326</v>
      </c>
      <c r="R278">
        <v>209938593.93427801</v>
      </c>
      <c r="S278">
        <v>5998.5835585894602</v>
      </c>
      <c r="T278">
        <v>78301492.690282002</v>
      </c>
      <c r="U278">
        <f>VLOOKUP(C278,YieldData!F:AG,27,FALSE)</f>
        <v>856</v>
      </c>
      <c r="V278">
        <f>_xlfn.MAXIFS(I:I,C:C,C278)</f>
        <v>0.62418757928049295</v>
      </c>
    </row>
    <row r="279" spans="1:22" hidden="1" x14ac:dyDescent="0.25">
      <c r="A279" s="3">
        <f>VLOOKUP(C279,YieldData!F:G,2,FALSE)</f>
        <v>24111</v>
      </c>
      <c r="B279">
        <v>35</v>
      </c>
      <c r="C279">
        <v>314</v>
      </c>
      <c r="D279">
        <v>314</v>
      </c>
      <c r="E279" s="3">
        <f t="shared" si="4"/>
        <v>241110314</v>
      </c>
      <c r="F279" s="3">
        <f>VLOOKUP($E279,YieldData!$H:$R,10,FALSE)</f>
        <v>3</v>
      </c>
      <c r="G279" s="3">
        <f>VLOOKUP($E279,YieldData!$H:$R,11,FALSE)</f>
        <v>4</v>
      </c>
      <c r="H279">
        <v>15</v>
      </c>
      <c r="I279">
        <v>0.394342046026323</v>
      </c>
      <c r="J279">
        <v>0.37734780658542899</v>
      </c>
      <c r="K279">
        <v>7.3341930620280493E-2</v>
      </c>
      <c r="L279">
        <v>0.57284964275845696</v>
      </c>
      <c r="M279">
        <v>0.134090369857187</v>
      </c>
      <c r="N279">
        <v>1.9891955753005602E-2</v>
      </c>
      <c r="O279">
        <v>-3.0753624667202599E-2</v>
      </c>
      <c r="P279">
        <v>1.56351005163303E-3</v>
      </c>
      <c r="Q279">
        <v>13043.429477503199</v>
      </c>
      <c r="R279">
        <v>208304336.685489</v>
      </c>
      <c r="S279">
        <v>6809.04442580256</v>
      </c>
      <c r="T279">
        <v>73714778.3905911</v>
      </c>
      <c r="U279">
        <f>VLOOKUP(C279,YieldData!F:AG,27,FALSE)</f>
        <v>865</v>
      </c>
      <c r="V279">
        <f>_xlfn.MAXIFS(I:I,C:C,C279)</f>
        <v>0.69291982162239896</v>
      </c>
    </row>
    <row r="280" spans="1:22" hidden="1" x14ac:dyDescent="0.25">
      <c r="A280" s="3">
        <f>VLOOKUP(C280,YieldData!F:G,2,FALSE)</f>
        <v>24112</v>
      </c>
      <c r="B280">
        <v>35</v>
      </c>
      <c r="C280">
        <v>407</v>
      </c>
      <c r="D280">
        <v>407</v>
      </c>
      <c r="E280" s="3">
        <f t="shared" si="4"/>
        <v>241120407</v>
      </c>
      <c r="F280" s="3">
        <f>VLOOKUP($E280,YieldData!$H:$R,10,FALSE)</f>
        <v>4</v>
      </c>
      <c r="G280" s="3">
        <f>VLOOKUP($E280,YieldData!$H:$R,11,FALSE)</f>
        <v>3</v>
      </c>
      <c r="H280">
        <v>6</v>
      </c>
      <c r="I280">
        <v>0.35324143958052001</v>
      </c>
      <c r="J280">
        <v>0.37608336102665502</v>
      </c>
      <c r="K280">
        <v>7.1458940470033996E-2</v>
      </c>
      <c r="L280">
        <v>0.38501822392399898</v>
      </c>
      <c r="M280">
        <v>0.143350229158827</v>
      </c>
      <c r="N280">
        <v>2.0575422697499401E-2</v>
      </c>
      <c r="O280">
        <v>-2.47676422292188E-2</v>
      </c>
      <c r="P280">
        <v>1.4030297030733199E-3</v>
      </c>
      <c r="Q280">
        <v>12869.677444982901</v>
      </c>
      <c r="R280">
        <v>239008818.133733</v>
      </c>
      <c r="S280">
        <v>6890.3328518791204</v>
      </c>
      <c r="T280">
        <v>71785630.315678805</v>
      </c>
      <c r="U280">
        <f>VLOOKUP(C280,YieldData!F:AG,27,FALSE)</f>
        <v>804</v>
      </c>
      <c r="V280">
        <f>_xlfn.MAXIFS(I:I,C:C,C280)</f>
        <v>0.459862557785232</v>
      </c>
    </row>
    <row r="281" spans="1:22" hidden="1" x14ac:dyDescent="0.25">
      <c r="A281" s="3">
        <f>VLOOKUP(C281,YieldData!F:G,2,FALSE)</f>
        <v>24112</v>
      </c>
      <c r="B281">
        <v>35</v>
      </c>
      <c r="C281">
        <v>414</v>
      </c>
      <c r="D281">
        <v>414</v>
      </c>
      <c r="E281" s="3">
        <f t="shared" si="4"/>
        <v>241120414</v>
      </c>
      <c r="F281" s="3">
        <f>VLOOKUP($E281,YieldData!$H:$R,10,FALSE)</f>
        <v>2</v>
      </c>
      <c r="G281" s="3">
        <f>VLOOKUP($E281,YieldData!$H:$R,11,FALSE)</f>
        <v>3</v>
      </c>
      <c r="H281">
        <v>13</v>
      </c>
      <c r="I281">
        <v>0.18740234633616701</v>
      </c>
      <c r="J281">
        <v>0.25485985958852803</v>
      </c>
      <c r="K281">
        <v>5.1701114442181902E-2</v>
      </c>
      <c r="L281">
        <v>0.41580263157894698</v>
      </c>
      <c r="M281">
        <v>7.3446571607088701E-2</v>
      </c>
      <c r="N281">
        <v>1.68262617144193E-2</v>
      </c>
      <c r="O281">
        <v>-3.3298174899203802E-2</v>
      </c>
      <c r="P281">
        <v>1.2318308262993299E-3</v>
      </c>
      <c r="Q281">
        <v>6440.0537922724498</v>
      </c>
      <c r="R281">
        <v>121852102.021386</v>
      </c>
      <c r="S281">
        <v>11413.6959195124</v>
      </c>
      <c r="T281">
        <v>53465212.106753603</v>
      </c>
      <c r="U281">
        <f>VLOOKUP(C281,YieldData!F:AG,27,FALSE)</f>
        <v>466</v>
      </c>
      <c r="V281">
        <f>_xlfn.MAXIFS(I:I,C:C,C281)</f>
        <v>0.31829891851600001</v>
      </c>
    </row>
    <row r="282" spans="1:22" hidden="1" x14ac:dyDescent="0.25">
      <c r="A282" s="3">
        <f>VLOOKUP(C282,YieldData!F:G,2,FALSE)</f>
        <v>24110</v>
      </c>
      <c r="B282">
        <v>40</v>
      </c>
      <c r="C282">
        <v>101</v>
      </c>
      <c r="D282">
        <v>101</v>
      </c>
      <c r="E282" s="3">
        <f t="shared" si="4"/>
        <v>241100101</v>
      </c>
      <c r="F282" s="3">
        <f>VLOOKUP($E282,YieldData!$H:$R,10,FALSE)</f>
        <v>1</v>
      </c>
      <c r="G282" s="3">
        <f>VLOOKUP($E282,YieldData!$H:$R,11,FALSE)</f>
        <v>1</v>
      </c>
      <c r="H282">
        <v>131</v>
      </c>
      <c r="I282">
        <v>0.46975165757777898</v>
      </c>
      <c r="J282">
        <v>0.52731835583658004</v>
      </c>
      <c r="K282">
        <v>5.8714147466610599E-2</v>
      </c>
      <c r="L282">
        <v>0.96019736842105297</v>
      </c>
      <c r="M282">
        <v>0.53581296640573395</v>
      </c>
      <c r="N282">
        <v>1.9734229641530199E-2</v>
      </c>
      <c r="O282">
        <v>0.127228670384544</v>
      </c>
      <c r="P282">
        <v>2.5870454581857299E-3</v>
      </c>
      <c r="Q282">
        <v>9174.3139655014602</v>
      </c>
      <c r="R282">
        <v>104576184.695958</v>
      </c>
      <c r="S282">
        <v>8286.2275932303492</v>
      </c>
      <c r="T282">
        <v>94563137.263477996</v>
      </c>
      <c r="U282">
        <f>VLOOKUP(C282,YieldData!F:AG,27,FALSE)</f>
        <v>1747</v>
      </c>
      <c r="V282">
        <f>_xlfn.MAXIFS(I:I,C:C,C282)</f>
        <v>0.46975165757777898</v>
      </c>
    </row>
    <row r="283" spans="1:22" hidden="1" x14ac:dyDescent="0.25">
      <c r="A283" s="3">
        <f>VLOOKUP(C283,YieldData!F:G,2,FALSE)</f>
        <v>24110</v>
      </c>
      <c r="B283">
        <v>40</v>
      </c>
      <c r="C283">
        <v>108</v>
      </c>
      <c r="D283">
        <v>108</v>
      </c>
      <c r="E283" s="3">
        <f t="shared" si="4"/>
        <v>241100108</v>
      </c>
      <c r="F283" s="3">
        <f>VLOOKUP($E283,YieldData!$H:$R,10,FALSE)</f>
        <v>1</v>
      </c>
      <c r="G283" s="3">
        <f>VLOOKUP($E283,YieldData!$H:$R,11,FALSE)</f>
        <v>3</v>
      </c>
      <c r="H283">
        <v>73</v>
      </c>
      <c r="I283">
        <v>0.60942342648655001</v>
      </c>
      <c r="J283">
        <v>0.61267219180968202</v>
      </c>
      <c r="K283">
        <v>5.7726836255360597E-2</v>
      </c>
      <c r="L283">
        <v>0.96735612220731004</v>
      </c>
      <c r="M283">
        <v>0.57944418049913005</v>
      </c>
      <c r="N283">
        <v>2.1035902368585501E-2</v>
      </c>
      <c r="O283">
        <v>0.135660024106523</v>
      </c>
      <c r="P283">
        <v>3.24255690560449E-3</v>
      </c>
      <c r="Q283">
        <v>12012.919437942201</v>
      </c>
      <c r="R283">
        <v>119463774.82729299</v>
      </c>
      <c r="S283">
        <v>6654.8944196581697</v>
      </c>
      <c r="T283">
        <v>113930110.465177</v>
      </c>
      <c r="U283">
        <f>VLOOKUP(C283,YieldData!F:AG,27,FALSE)</f>
        <v>1854</v>
      </c>
      <c r="V283">
        <f>_xlfn.MAXIFS(I:I,C:C,C283)</f>
        <v>0.60942342648655001</v>
      </c>
    </row>
    <row r="284" spans="1:22" hidden="1" x14ac:dyDescent="0.25">
      <c r="A284" s="3">
        <f>VLOOKUP(C284,YieldData!F:G,2,FALSE)</f>
        <v>24110</v>
      </c>
      <c r="B284">
        <v>40</v>
      </c>
      <c r="C284">
        <v>201</v>
      </c>
      <c r="D284">
        <v>201</v>
      </c>
      <c r="E284" s="3">
        <f t="shared" si="4"/>
        <v>241100201</v>
      </c>
      <c r="F284" s="3">
        <f>VLOOKUP($E284,YieldData!$H:$R,10,FALSE)</f>
        <v>4</v>
      </c>
      <c r="G284" s="3">
        <f>VLOOKUP($E284,YieldData!$H:$R,11,FALSE)</f>
        <v>3</v>
      </c>
      <c r="H284">
        <v>138</v>
      </c>
      <c r="I284">
        <v>0.57447559763561196</v>
      </c>
      <c r="J284">
        <v>0.59207317483452504</v>
      </c>
      <c r="K284">
        <v>6.1402806445817498E-2</v>
      </c>
      <c r="L284">
        <v>0.99930263157894705</v>
      </c>
      <c r="M284">
        <v>0.56448543991387101</v>
      </c>
      <c r="N284">
        <v>2.0736815931331899E-2</v>
      </c>
      <c r="O284">
        <v>0.14161998861792599</v>
      </c>
      <c r="P284">
        <v>3.3055988773905902E-3</v>
      </c>
      <c r="Q284">
        <v>12065.403423654299</v>
      </c>
      <c r="R284">
        <v>153763289.705771</v>
      </c>
      <c r="S284">
        <v>6998.6739209044099</v>
      </c>
      <c r="T284">
        <v>119935163.901701</v>
      </c>
      <c r="U284">
        <f>VLOOKUP(C284,YieldData!F:AG,27,FALSE)</f>
        <v>1884</v>
      </c>
      <c r="V284">
        <f>_xlfn.MAXIFS(I:I,C:C,C284)</f>
        <v>0.57447559763561196</v>
      </c>
    </row>
    <row r="285" spans="1:22" hidden="1" x14ac:dyDescent="0.25">
      <c r="A285" s="3">
        <f>VLOOKUP(C285,YieldData!F:G,2,FALSE)</f>
        <v>24111</v>
      </c>
      <c r="B285">
        <v>40</v>
      </c>
      <c r="C285">
        <v>208</v>
      </c>
      <c r="D285">
        <v>208</v>
      </c>
      <c r="E285" s="3">
        <f t="shared" si="4"/>
        <v>241110208</v>
      </c>
      <c r="F285" s="3">
        <f>VLOOKUP($E285,YieldData!$H:$R,10,FALSE)</f>
        <v>1</v>
      </c>
      <c r="G285" s="3">
        <f>VLOOKUP($E285,YieldData!$H:$R,11,FALSE)</f>
        <v>2</v>
      </c>
      <c r="H285">
        <v>100</v>
      </c>
      <c r="I285">
        <v>0.61479815350011102</v>
      </c>
      <c r="J285">
        <v>0.58681423498073604</v>
      </c>
      <c r="K285">
        <v>5.4666978898870698E-2</v>
      </c>
      <c r="L285">
        <v>0.93774999999999997</v>
      </c>
      <c r="M285">
        <v>0.53886537661154499</v>
      </c>
      <c r="N285">
        <v>1.33095931819788E-2</v>
      </c>
      <c r="O285">
        <v>0.139963811649324</v>
      </c>
      <c r="P285">
        <v>2.5898488412563901E-3</v>
      </c>
      <c r="Q285">
        <v>15344.559887013</v>
      </c>
      <c r="R285">
        <v>205187435.323607</v>
      </c>
      <c r="S285">
        <v>5908.9346456166904</v>
      </c>
      <c r="T285">
        <v>99162619.593063802</v>
      </c>
      <c r="U285">
        <f>VLOOKUP(C285,YieldData!F:AG,27,FALSE)</f>
        <v>1030</v>
      </c>
      <c r="V285">
        <f>_xlfn.MAXIFS(I:I,C:C,C285)</f>
        <v>0.61479815350011102</v>
      </c>
    </row>
    <row r="286" spans="1:22" hidden="1" x14ac:dyDescent="0.25">
      <c r="A286" s="3">
        <f>VLOOKUP(C286,YieldData!F:G,2,FALSE)</f>
        <v>24111</v>
      </c>
      <c r="B286">
        <v>40</v>
      </c>
      <c r="C286">
        <v>301</v>
      </c>
      <c r="D286">
        <v>301</v>
      </c>
      <c r="E286" s="3">
        <f t="shared" si="4"/>
        <v>241110301</v>
      </c>
      <c r="F286" s="3">
        <f>VLOOKUP($E286,YieldData!$H:$R,10,FALSE)</f>
        <v>5</v>
      </c>
      <c r="G286" s="3">
        <f>VLOOKUP($E286,YieldData!$H:$R,11,FALSE)</f>
        <v>2</v>
      </c>
      <c r="H286">
        <v>20</v>
      </c>
      <c r="I286">
        <v>0.38240428940399501</v>
      </c>
      <c r="J286">
        <v>0.479115730973529</v>
      </c>
      <c r="K286">
        <v>5.78938017663128E-2</v>
      </c>
      <c r="L286">
        <v>0.54553947368421096</v>
      </c>
      <c r="M286">
        <v>0.48206221858054699</v>
      </c>
      <c r="N286">
        <v>1.62167782012336E-2</v>
      </c>
      <c r="O286">
        <v>0.13903211034648</v>
      </c>
      <c r="P286">
        <v>1.6741860101133501E-3</v>
      </c>
      <c r="Q286">
        <v>10254.529577925299</v>
      </c>
      <c r="R286">
        <v>189411655.08269101</v>
      </c>
      <c r="S286">
        <v>7872.9829296445696</v>
      </c>
      <c r="T286">
        <v>92173701.299188703</v>
      </c>
      <c r="U286">
        <f>VLOOKUP(C286,YieldData!F:AG,27,FALSE)</f>
        <v>598</v>
      </c>
      <c r="V286">
        <f>_xlfn.MAXIFS(I:I,C:C,C286)</f>
        <v>0.38240428940399501</v>
      </c>
    </row>
    <row r="287" spans="1:22" hidden="1" x14ac:dyDescent="0.25">
      <c r="A287" s="3">
        <f>VLOOKUP(C287,YieldData!F:G,2,FALSE)</f>
        <v>24112</v>
      </c>
      <c r="B287">
        <v>40</v>
      </c>
      <c r="C287">
        <v>308</v>
      </c>
      <c r="D287">
        <v>308</v>
      </c>
      <c r="E287" s="3">
        <f t="shared" si="4"/>
        <v>241120308</v>
      </c>
      <c r="F287" s="3">
        <f>VLOOKUP($E287,YieldData!$H:$R,10,FALSE)</f>
        <v>2</v>
      </c>
      <c r="G287" s="3">
        <f>VLOOKUP($E287,YieldData!$H:$R,11,FALSE)</f>
        <v>1</v>
      </c>
      <c r="H287">
        <v>90</v>
      </c>
      <c r="I287">
        <v>0.33378886455029899</v>
      </c>
      <c r="J287">
        <v>0.45038798685651599</v>
      </c>
      <c r="K287">
        <v>4.8421299491726903E-2</v>
      </c>
      <c r="L287">
        <v>0.85698496032842497</v>
      </c>
      <c r="M287">
        <v>0.45815029928428602</v>
      </c>
      <c r="N287">
        <v>1.37666085166887E-2</v>
      </c>
      <c r="O287">
        <v>0.14420874328230701</v>
      </c>
      <c r="P287">
        <v>1.88571767581764E-3</v>
      </c>
      <c r="Q287">
        <v>8252.1954359695301</v>
      </c>
      <c r="R287">
        <v>130682044.22525699</v>
      </c>
      <c r="S287">
        <v>10726.3137381579</v>
      </c>
      <c r="T287">
        <v>79333060.835618407</v>
      </c>
      <c r="U287">
        <f>VLOOKUP(C287,YieldData!F:AG,27,FALSE)</f>
        <v>465</v>
      </c>
      <c r="V287">
        <f>_xlfn.MAXIFS(I:I,C:C,C287)</f>
        <v>0.33378886455029899</v>
      </c>
    </row>
    <row r="288" spans="1:22" hidden="1" x14ac:dyDescent="0.25">
      <c r="A288" s="3">
        <f>VLOOKUP(C288,YieldData!F:G,2,FALSE)</f>
        <v>24112</v>
      </c>
      <c r="B288">
        <v>40</v>
      </c>
      <c r="C288">
        <v>401</v>
      </c>
      <c r="D288">
        <v>401</v>
      </c>
      <c r="E288" s="3">
        <f t="shared" si="4"/>
        <v>241120401</v>
      </c>
      <c r="F288" s="3">
        <f>VLOOKUP($E288,YieldData!$H:$R,10,FALSE)</f>
        <v>3</v>
      </c>
      <c r="G288" s="3">
        <f>VLOOKUP($E288,YieldData!$H:$R,11,FALSE)</f>
        <v>1</v>
      </c>
      <c r="H288">
        <v>36</v>
      </c>
      <c r="I288">
        <v>0.52861327614165399</v>
      </c>
      <c r="J288">
        <v>0.55016466445989798</v>
      </c>
      <c r="K288">
        <v>5.1860973180160697E-2</v>
      </c>
      <c r="L288">
        <v>0.79489473684210499</v>
      </c>
      <c r="M288">
        <v>0.47500696650702801</v>
      </c>
      <c r="N288">
        <v>1.25602394999456E-2</v>
      </c>
      <c r="O288">
        <v>0.124351908260365</v>
      </c>
      <c r="P288">
        <v>1.71868607097425E-3</v>
      </c>
      <c r="Q288">
        <v>14754.7600434169</v>
      </c>
      <c r="R288">
        <v>221093102.87440401</v>
      </c>
      <c r="S288">
        <v>5525.7193849636697</v>
      </c>
      <c r="T288">
        <v>76397217.927987099</v>
      </c>
      <c r="U288">
        <f>VLOOKUP(C288,YieldData!F:AG,27,FALSE)</f>
        <v>186</v>
      </c>
      <c r="V288">
        <f>_xlfn.MAXIFS(I:I,C:C,C288)</f>
        <v>0.52861327614165399</v>
      </c>
    </row>
    <row r="289" spans="1:22" hidden="1" x14ac:dyDescent="0.25">
      <c r="A289" s="3">
        <f>VLOOKUP(C289,YieldData!F:G,2,FALSE)</f>
        <v>24112</v>
      </c>
      <c r="B289">
        <v>40</v>
      </c>
      <c r="C289">
        <v>408</v>
      </c>
      <c r="D289">
        <v>408</v>
      </c>
      <c r="E289" s="3">
        <f t="shared" si="4"/>
        <v>241120408</v>
      </c>
      <c r="F289" s="3">
        <f>VLOOKUP($E289,YieldData!$H:$R,10,FALSE)</f>
        <v>3</v>
      </c>
      <c r="G289" s="3">
        <f>VLOOKUP($E289,YieldData!$H:$R,11,FALSE)</f>
        <v>4</v>
      </c>
      <c r="H289">
        <v>180</v>
      </c>
      <c r="I289">
        <v>0.59146576694979003</v>
      </c>
      <c r="J289">
        <v>0.57652644696494604</v>
      </c>
      <c r="K289">
        <v>4.6466941145207899E-2</v>
      </c>
      <c r="L289">
        <v>0.99718432167151305</v>
      </c>
      <c r="M289">
        <v>0.51489816092802498</v>
      </c>
      <c r="N289">
        <v>1.0647779031838001E-2</v>
      </c>
      <c r="O289">
        <v>0.107276087004714</v>
      </c>
      <c r="P289">
        <v>3.30330779126817E-3</v>
      </c>
      <c r="Q289">
        <v>14864.818552737401</v>
      </c>
      <c r="R289">
        <v>200136384.71797299</v>
      </c>
      <c r="S289">
        <v>6739.3612078555097</v>
      </c>
      <c r="T289">
        <v>85424015.445362404</v>
      </c>
      <c r="U289">
        <f>VLOOKUP(C289,YieldData!F:AG,27,FALSE)</f>
        <v>311</v>
      </c>
      <c r="V289">
        <f>_xlfn.MAXIFS(I:I,C:C,C289)</f>
        <v>0.59146576694979003</v>
      </c>
    </row>
    <row r="290" spans="1:22" hidden="1" x14ac:dyDescent="0.25">
      <c r="A290" s="3">
        <f>VLOOKUP(C290,YieldData!F:G,2,FALSE)</f>
        <v>24112</v>
      </c>
      <c r="B290">
        <v>40</v>
      </c>
      <c r="C290">
        <v>409</v>
      </c>
      <c r="D290">
        <v>409</v>
      </c>
      <c r="E290" s="3">
        <f t="shared" si="4"/>
        <v>241120409</v>
      </c>
      <c r="F290" s="3">
        <f>VLOOKUP($E290,YieldData!$H:$R,10,FALSE)</f>
        <v>2</v>
      </c>
      <c r="G290" s="3">
        <f>VLOOKUP($E290,YieldData!$H:$R,11,FALSE)</f>
        <v>4</v>
      </c>
      <c r="H290">
        <v>74</v>
      </c>
      <c r="I290">
        <v>0.27571123127521402</v>
      </c>
      <c r="J290">
        <v>0.40898783839431802</v>
      </c>
      <c r="K290">
        <v>4.9839368550725398E-2</v>
      </c>
      <c r="L290">
        <v>0.67454803820952103</v>
      </c>
      <c r="M290">
        <v>0.44020798514509102</v>
      </c>
      <c r="N290">
        <v>1.46992817134709E-2</v>
      </c>
      <c r="O290">
        <v>0.102159019474294</v>
      </c>
      <c r="P290">
        <v>2.2943273721462102E-3</v>
      </c>
      <c r="Q290">
        <v>6676.52254166694</v>
      </c>
      <c r="R290">
        <v>108811902.32246201</v>
      </c>
      <c r="S290">
        <v>12664.599783613699</v>
      </c>
      <c r="T290">
        <v>80979985.892848402</v>
      </c>
      <c r="U290">
        <f>VLOOKUP(C290,YieldData!F:AG,27,FALSE)</f>
        <v>366</v>
      </c>
      <c r="V290">
        <f>_xlfn.MAXIFS(I:I,C:C,C290)</f>
        <v>0.27571123127521402</v>
      </c>
    </row>
    <row r="291" spans="1:22" hidden="1" x14ac:dyDescent="0.25">
      <c r="A291" s="3">
        <f>VLOOKUP(C291,YieldData!F:G,2,FALSE)</f>
        <v>24112</v>
      </c>
      <c r="B291">
        <v>40</v>
      </c>
      <c r="C291">
        <v>402</v>
      </c>
      <c r="D291">
        <v>402</v>
      </c>
      <c r="E291" s="3">
        <f t="shared" si="4"/>
        <v>241120402</v>
      </c>
      <c r="F291" s="3">
        <f>VLOOKUP($E291,YieldData!$H:$R,10,FALSE)</f>
        <v>4</v>
      </c>
      <c r="G291" s="3">
        <f>VLOOKUP($E291,YieldData!$H:$R,11,FALSE)</f>
        <v>1</v>
      </c>
      <c r="H291">
        <v>43</v>
      </c>
      <c r="I291">
        <v>0.48018125228853897</v>
      </c>
      <c r="J291">
        <v>0.55016517063091597</v>
      </c>
      <c r="K291">
        <v>5.2280849359926398E-2</v>
      </c>
      <c r="L291">
        <v>0.85396244786252795</v>
      </c>
      <c r="M291">
        <v>0.487292725111236</v>
      </c>
      <c r="N291">
        <v>1.4059031647808E-2</v>
      </c>
      <c r="O291">
        <v>0.138586967288471</v>
      </c>
      <c r="P291">
        <v>1.5650075429636801E-3</v>
      </c>
      <c r="Q291">
        <v>13282.3883846838</v>
      </c>
      <c r="R291">
        <v>215600723.220489</v>
      </c>
      <c r="S291">
        <v>5498.4884727315302</v>
      </c>
      <c r="T291">
        <v>77293523.499885693</v>
      </c>
      <c r="U291">
        <f>VLOOKUP(C291,YieldData!F:AG,27,FALSE)</f>
        <v>897</v>
      </c>
      <c r="V291">
        <f>_xlfn.MAXIFS(I:I,C:C,C291)</f>
        <v>0.48018125228853897</v>
      </c>
    </row>
    <row r="292" spans="1:22" hidden="1" x14ac:dyDescent="0.25">
      <c r="A292" s="3">
        <f>VLOOKUP(C292,YieldData!F:G,2,FALSE)</f>
        <v>24112</v>
      </c>
      <c r="B292">
        <v>40</v>
      </c>
      <c r="C292">
        <v>309</v>
      </c>
      <c r="D292">
        <v>309</v>
      </c>
      <c r="E292" s="3">
        <f t="shared" si="4"/>
        <v>241120309</v>
      </c>
      <c r="F292" s="3">
        <f>VLOOKUP($E292,YieldData!$H:$R,10,FALSE)</f>
        <v>1</v>
      </c>
      <c r="G292" s="3">
        <f>VLOOKUP($E292,YieldData!$H:$R,11,FALSE)</f>
        <v>1</v>
      </c>
      <c r="H292">
        <v>170</v>
      </c>
      <c r="I292">
        <v>0.62382957577025699</v>
      </c>
      <c r="J292">
        <v>0.59209329562808599</v>
      </c>
      <c r="K292">
        <v>3.8453422274184502E-2</v>
      </c>
      <c r="L292">
        <v>0.99809208015894901</v>
      </c>
      <c r="M292">
        <v>0.51070150070153197</v>
      </c>
      <c r="N292">
        <v>8.7438968551462291E-3</v>
      </c>
      <c r="O292">
        <v>0.124617986924503</v>
      </c>
      <c r="P292">
        <v>1.6602378224071499E-3</v>
      </c>
      <c r="Q292">
        <v>16205.952764555101</v>
      </c>
      <c r="R292">
        <v>232071018.56139299</v>
      </c>
      <c r="S292">
        <v>5564.9350424928398</v>
      </c>
      <c r="T292">
        <v>83021904.283765703</v>
      </c>
      <c r="U292">
        <f>VLOOKUP(C292,YieldData!F:AG,27,FALSE)</f>
        <v>953</v>
      </c>
      <c r="V292">
        <f>_xlfn.MAXIFS(I:I,C:C,C292)</f>
        <v>0.62382957577025699</v>
      </c>
    </row>
    <row r="293" spans="1:22" hidden="1" x14ac:dyDescent="0.25">
      <c r="A293" s="3">
        <f>VLOOKUP(C293,YieldData!F:G,2,FALSE)</f>
        <v>24111</v>
      </c>
      <c r="B293">
        <v>40</v>
      </c>
      <c r="C293">
        <v>302</v>
      </c>
      <c r="D293">
        <v>302</v>
      </c>
      <c r="E293" s="3">
        <f t="shared" si="4"/>
        <v>241110302</v>
      </c>
      <c r="F293" s="3">
        <f>VLOOKUP($E293,YieldData!$H:$R,10,FALSE)</f>
        <v>3</v>
      </c>
      <c r="G293" s="3">
        <f>VLOOKUP($E293,YieldData!$H:$R,11,FALSE)</f>
        <v>2</v>
      </c>
      <c r="H293">
        <v>38</v>
      </c>
      <c r="I293">
        <v>0.59986530313333697</v>
      </c>
      <c r="J293">
        <v>0.60389064501242395</v>
      </c>
      <c r="K293">
        <v>4.9385644714940398E-2</v>
      </c>
      <c r="L293">
        <v>0.77048684210526297</v>
      </c>
      <c r="M293">
        <v>0.52775490402884195</v>
      </c>
      <c r="N293">
        <v>1.21446466053566E-2</v>
      </c>
      <c r="O293">
        <v>0.13579853545467699</v>
      </c>
      <c r="P293">
        <v>1.5985490362758501E-3</v>
      </c>
      <c r="Q293">
        <v>16602.690334519</v>
      </c>
      <c r="R293">
        <v>220908864.00669</v>
      </c>
      <c r="S293">
        <v>3235.1473598300499</v>
      </c>
      <c r="T293">
        <v>87014671.373869404</v>
      </c>
      <c r="U293">
        <f>VLOOKUP(C293,YieldData!F:AG,27,FALSE)</f>
        <v>702</v>
      </c>
      <c r="V293">
        <f>_xlfn.MAXIFS(I:I,C:C,C293)</f>
        <v>0.59986530313333697</v>
      </c>
    </row>
    <row r="294" spans="1:22" hidden="1" x14ac:dyDescent="0.25">
      <c r="A294" s="3">
        <f>VLOOKUP(C294,YieldData!F:G,2,FALSE)</f>
        <v>24111</v>
      </c>
      <c r="B294">
        <v>40</v>
      </c>
      <c r="C294">
        <v>209</v>
      </c>
      <c r="D294">
        <v>209</v>
      </c>
      <c r="E294" s="3">
        <f t="shared" si="4"/>
        <v>241110209</v>
      </c>
      <c r="F294" s="3">
        <f>VLOOKUP($E294,YieldData!$H:$R,10,FALSE)</f>
        <v>4</v>
      </c>
      <c r="G294" s="3">
        <f>VLOOKUP($E294,YieldData!$H:$R,11,FALSE)</f>
        <v>2</v>
      </c>
      <c r="H294">
        <v>140</v>
      </c>
      <c r="I294">
        <v>0.488269602971177</v>
      </c>
      <c r="J294">
        <v>0.52202784441648797</v>
      </c>
      <c r="K294">
        <v>5.3287222039434701E-2</v>
      </c>
      <c r="L294">
        <v>0.87431413571231198</v>
      </c>
      <c r="M294">
        <v>0.48872917740938798</v>
      </c>
      <c r="N294">
        <v>1.28954685624328E-2</v>
      </c>
      <c r="O294">
        <v>0.120133114330677</v>
      </c>
      <c r="P294">
        <v>3.21293341221973E-3</v>
      </c>
      <c r="Q294">
        <v>12833.577856096699</v>
      </c>
      <c r="R294">
        <v>203883373.16159999</v>
      </c>
      <c r="S294">
        <v>8792.9043805500405</v>
      </c>
      <c r="T294">
        <v>100198258.54541899</v>
      </c>
      <c r="U294">
        <f>VLOOKUP(C294,YieldData!F:AG,27,FALSE)</f>
        <v>573</v>
      </c>
      <c r="V294">
        <f>_xlfn.MAXIFS(I:I,C:C,C294)</f>
        <v>0.488269602971177</v>
      </c>
    </row>
    <row r="295" spans="1:22" hidden="1" x14ac:dyDescent="0.25">
      <c r="A295" s="3">
        <f>VLOOKUP(C295,YieldData!F:G,2,FALSE)</f>
        <v>24110</v>
      </c>
      <c r="B295">
        <v>40</v>
      </c>
      <c r="C295">
        <v>202</v>
      </c>
      <c r="D295">
        <v>202</v>
      </c>
      <c r="E295" s="3">
        <f t="shared" si="4"/>
        <v>241100202</v>
      </c>
      <c r="F295" s="3">
        <f>VLOOKUP($E295,YieldData!$H:$R,10,FALSE)</f>
        <v>1</v>
      </c>
      <c r="G295" s="3">
        <f>VLOOKUP($E295,YieldData!$H:$R,11,FALSE)</f>
        <v>4</v>
      </c>
      <c r="H295">
        <v>216</v>
      </c>
      <c r="I295">
        <v>0.52363733849453398</v>
      </c>
      <c r="J295">
        <v>0.553646208171096</v>
      </c>
      <c r="K295">
        <v>5.4437805312475503E-2</v>
      </c>
      <c r="L295">
        <v>0.99931578947368405</v>
      </c>
      <c r="M295">
        <v>0.52866243403524804</v>
      </c>
      <c r="N295">
        <v>1.98836613417742E-2</v>
      </c>
      <c r="O295">
        <v>0.12237141607206201</v>
      </c>
      <c r="P295">
        <v>2.4872862590711998E-3</v>
      </c>
      <c r="Q295">
        <v>10194.290310979801</v>
      </c>
      <c r="R295">
        <v>106966393.37720001</v>
      </c>
      <c r="S295">
        <v>9295.4290215914098</v>
      </c>
      <c r="T295">
        <v>102430958.902101</v>
      </c>
      <c r="U295">
        <f>VLOOKUP(C295,YieldData!F:AG,27,FALSE)</f>
        <v>2029</v>
      </c>
      <c r="V295">
        <f>_xlfn.MAXIFS(I:I,C:C,C295)</f>
        <v>0.52363733849453398</v>
      </c>
    </row>
    <row r="296" spans="1:22" hidden="1" x14ac:dyDescent="0.25">
      <c r="A296" s="3">
        <f>VLOOKUP(C296,YieldData!F:G,2,FALSE)</f>
        <v>24110</v>
      </c>
      <c r="B296">
        <v>40</v>
      </c>
      <c r="C296">
        <v>109</v>
      </c>
      <c r="D296">
        <v>109</v>
      </c>
      <c r="E296" s="3">
        <f t="shared" si="4"/>
        <v>241100109</v>
      </c>
      <c r="F296" s="3">
        <f>VLOOKUP($E296,YieldData!$H:$R,10,FALSE)</f>
        <v>3</v>
      </c>
      <c r="G296" s="3">
        <f>VLOOKUP($E296,YieldData!$H:$R,11,FALSE)</f>
        <v>3</v>
      </c>
      <c r="H296">
        <v>76</v>
      </c>
      <c r="I296">
        <v>0.58023512796035004</v>
      </c>
      <c r="J296">
        <v>0.60021508802792201</v>
      </c>
      <c r="K296">
        <v>5.9388029649637998E-2</v>
      </c>
      <c r="L296">
        <v>0.98475020065525498</v>
      </c>
      <c r="M296">
        <v>0.55410421676856303</v>
      </c>
      <c r="N296">
        <v>1.9522578977266201E-2</v>
      </c>
      <c r="O296">
        <v>0.132709274922965</v>
      </c>
      <c r="P296">
        <v>3.4951096196712602E-3</v>
      </c>
      <c r="Q296">
        <v>12820.2845336019</v>
      </c>
      <c r="R296">
        <v>167699467.74680001</v>
      </c>
      <c r="S296">
        <v>7133.5429243437402</v>
      </c>
      <c r="T296">
        <v>123160866.064273</v>
      </c>
      <c r="U296">
        <f>VLOOKUP(C296,YieldData!F:AG,27,FALSE)</f>
        <v>1852</v>
      </c>
      <c r="V296">
        <f>_xlfn.MAXIFS(I:I,C:C,C296)</f>
        <v>0.58023512796035004</v>
      </c>
    </row>
    <row r="297" spans="1:22" hidden="1" x14ac:dyDescent="0.25">
      <c r="A297" s="3">
        <f>VLOOKUP(C297,YieldData!F:G,2,FALSE)</f>
        <v>24110</v>
      </c>
      <c r="B297">
        <v>40</v>
      </c>
      <c r="C297">
        <v>102</v>
      </c>
      <c r="D297">
        <v>102</v>
      </c>
      <c r="E297" s="3">
        <f t="shared" si="4"/>
        <v>241100102</v>
      </c>
      <c r="F297" s="3">
        <f>VLOOKUP($E297,YieldData!$H:$R,10,FALSE)</f>
        <v>2</v>
      </c>
      <c r="G297" s="3">
        <f>VLOOKUP($E297,YieldData!$H:$R,11,FALSE)</f>
        <v>1</v>
      </c>
      <c r="H297">
        <v>96</v>
      </c>
      <c r="I297">
        <v>0.57049727008206097</v>
      </c>
      <c r="J297">
        <v>0.59868604577513895</v>
      </c>
      <c r="K297">
        <v>6.7015635470500504E-2</v>
      </c>
      <c r="L297">
        <v>0.93957894736842096</v>
      </c>
      <c r="M297">
        <v>0.573023251010773</v>
      </c>
      <c r="N297">
        <v>2.1950830019994799E-2</v>
      </c>
      <c r="O297">
        <v>0.14839282597733899</v>
      </c>
      <c r="P297">
        <v>3.5458388115937301E-3</v>
      </c>
      <c r="Q297">
        <v>11335.4211396999</v>
      </c>
      <c r="R297">
        <v>125592868.901392</v>
      </c>
      <c r="S297">
        <v>6047.6231522601702</v>
      </c>
      <c r="T297">
        <v>115351497.724346</v>
      </c>
      <c r="U297">
        <f>VLOOKUP(C297,YieldData!F:AG,27,FALSE)</f>
        <v>2083</v>
      </c>
      <c r="V297">
        <f>_xlfn.MAXIFS(I:I,C:C,C297)</f>
        <v>0.57049727008206097</v>
      </c>
    </row>
    <row r="298" spans="1:22" hidden="1" x14ac:dyDescent="0.25">
      <c r="A298" s="3">
        <f>VLOOKUP(C298,YieldData!F:G,2,FALSE)</f>
        <v>24110</v>
      </c>
      <c r="B298">
        <v>40</v>
      </c>
      <c r="C298">
        <v>103</v>
      </c>
      <c r="D298">
        <v>103</v>
      </c>
      <c r="E298" s="3">
        <f t="shared" si="4"/>
        <v>241100103</v>
      </c>
      <c r="F298" s="3">
        <f>VLOOKUP($E298,YieldData!$H:$R,10,FALSE)</f>
        <v>3</v>
      </c>
      <c r="G298" s="3">
        <f>VLOOKUP($E298,YieldData!$H:$R,11,FALSE)</f>
        <v>1</v>
      </c>
      <c r="H298">
        <v>85</v>
      </c>
      <c r="I298">
        <v>0.57597295600774201</v>
      </c>
      <c r="J298">
        <v>0.597559704317567</v>
      </c>
      <c r="K298">
        <v>5.7886584834193802E-2</v>
      </c>
      <c r="L298">
        <v>0.93338157894736795</v>
      </c>
      <c r="M298">
        <v>0.56068316700896004</v>
      </c>
      <c r="N298">
        <v>2.2107098000850402E-2</v>
      </c>
      <c r="O298">
        <v>0.137173805165551</v>
      </c>
      <c r="P298">
        <v>3.5280652974968101E-3</v>
      </c>
      <c r="Q298">
        <v>13238.409269236799</v>
      </c>
      <c r="R298">
        <v>172475315.928395</v>
      </c>
      <c r="S298">
        <v>5801.74713711</v>
      </c>
      <c r="T298">
        <v>120185057.804416</v>
      </c>
      <c r="U298">
        <f>VLOOKUP(C298,YieldData!F:AG,27,FALSE)</f>
        <v>1595</v>
      </c>
      <c r="V298">
        <f>_xlfn.MAXIFS(I:I,C:C,C298)</f>
        <v>0.57597295600774201</v>
      </c>
    </row>
    <row r="299" spans="1:22" hidden="1" x14ac:dyDescent="0.25">
      <c r="A299" s="3">
        <f>VLOOKUP(C299,YieldData!F:G,2,FALSE)</f>
        <v>24110</v>
      </c>
      <c r="B299">
        <v>40</v>
      </c>
      <c r="C299">
        <v>110</v>
      </c>
      <c r="D299">
        <v>110</v>
      </c>
      <c r="E299" s="3">
        <f t="shared" si="4"/>
        <v>241100110</v>
      </c>
      <c r="F299" s="3">
        <f>VLOOKUP($E299,YieldData!$H:$R,10,FALSE)</f>
        <v>5</v>
      </c>
      <c r="G299" s="3">
        <f>VLOOKUP($E299,YieldData!$H:$R,11,FALSE)</f>
        <v>3</v>
      </c>
      <c r="H299">
        <v>76</v>
      </c>
      <c r="I299">
        <v>0.51251822645926104</v>
      </c>
      <c r="J299">
        <v>0.55716888114826602</v>
      </c>
      <c r="K299">
        <v>5.8649271170288501E-2</v>
      </c>
      <c r="L299">
        <v>0.97642105263157897</v>
      </c>
      <c r="M299">
        <v>0.52795018821162498</v>
      </c>
      <c r="N299">
        <v>2.2340482476277498E-2</v>
      </c>
      <c r="O299">
        <v>0.11632609249996501</v>
      </c>
      <c r="P299">
        <v>3.17646154917551E-3</v>
      </c>
      <c r="Q299">
        <v>10725.373539431301</v>
      </c>
      <c r="R299">
        <v>124096251.223763</v>
      </c>
      <c r="S299">
        <v>9160.1461773909905</v>
      </c>
      <c r="T299">
        <v>114813960.849897</v>
      </c>
      <c r="U299">
        <f>VLOOKUP(C299,YieldData!F:AG,27,FALSE)</f>
        <v>1811</v>
      </c>
      <c r="V299">
        <f>_xlfn.MAXIFS(I:I,C:C,C299)</f>
        <v>0.51251822645926104</v>
      </c>
    </row>
    <row r="300" spans="1:22" hidden="1" x14ac:dyDescent="0.25">
      <c r="A300" s="3">
        <f>VLOOKUP(C300,YieldData!F:G,2,FALSE)</f>
        <v>24110</v>
      </c>
      <c r="B300">
        <v>40</v>
      </c>
      <c r="C300">
        <v>203</v>
      </c>
      <c r="D300">
        <v>203</v>
      </c>
      <c r="E300" s="3">
        <f t="shared" si="4"/>
        <v>241100203</v>
      </c>
      <c r="F300" s="3">
        <f>VLOOKUP($E300,YieldData!$H:$R,10,FALSE)</f>
        <v>2</v>
      </c>
      <c r="G300" s="3">
        <f>VLOOKUP($E300,YieldData!$H:$R,11,FALSE)</f>
        <v>4</v>
      </c>
      <c r="H300">
        <v>181</v>
      </c>
      <c r="I300">
        <v>0.56937542501438498</v>
      </c>
      <c r="J300">
        <v>0.58917048105790304</v>
      </c>
      <c r="K300">
        <v>5.9554466830010297E-2</v>
      </c>
      <c r="L300">
        <v>0.99860528150945405</v>
      </c>
      <c r="M300">
        <v>0.55450988830911796</v>
      </c>
      <c r="N300">
        <v>2.3219348554867101E-2</v>
      </c>
      <c r="O300">
        <v>0.120965345989972</v>
      </c>
      <c r="P300">
        <v>3.1080894156475798E-3</v>
      </c>
      <c r="Q300">
        <v>11259.4986661087</v>
      </c>
      <c r="R300">
        <v>118880827.475283</v>
      </c>
      <c r="S300">
        <v>7840.3502793043999</v>
      </c>
      <c r="T300">
        <v>106977174.916881</v>
      </c>
      <c r="U300">
        <f>VLOOKUP(C300,YieldData!F:AG,27,FALSE)</f>
        <v>1921</v>
      </c>
      <c r="V300">
        <f>_xlfn.MAXIFS(I:I,C:C,C300)</f>
        <v>0.56937542501438498</v>
      </c>
    </row>
    <row r="301" spans="1:22" hidden="1" x14ac:dyDescent="0.25">
      <c r="A301" s="3">
        <f>VLOOKUP(C301,YieldData!F:G,2,FALSE)</f>
        <v>24111</v>
      </c>
      <c r="B301">
        <v>40</v>
      </c>
      <c r="C301">
        <v>210</v>
      </c>
      <c r="D301">
        <v>210</v>
      </c>
      <c r="E301" s="3">
        <f t="shared" si="4"/>
        <v>241110210</v>
      </c>
      <c r="F301" s="3">
        <f>VLOOKUP($E301,YieldData!$H:$R,10,FALSE)</f>
        <v>2</v>
      </c>
      <c r="G301" s="3">
        <f>VLOOKUP($E301,YieldData!$H:$R,11,FALSE)</f>
        <v>2</v>
      </c>
      <c r="H301">
        <v>116</v>
      </c>
      <c r="I301">
        <v>0.61838939164094797</v>
      </c>
      <c r="J301">
        <v>0.59813212390612802</v>
      </c>
      <c r="K301">
        <v>5.0371739289839797E-2</v>
      </c>
      <c r="L301">
        <v>0.89778812879116798</v>
      </c>
      <c r="M301">
        <v>0.522289260888808</v>
      </c>
      <c r="N301">
        <v>1.39504271913913E-2</v>
      </c>
      <c r="O301">
        <v>0.111620057678723</v>
      </c>
      <c r="P301">
        <v>4.2425098084031901E-3</v>
      </c>
      <c r="Q301">
        <v>17040.5559842025</v>
      </c>
      <c r="R301">
        <v>229773139.901402</v>
      </c>
      <c r="S301">
        <v>5905.2716281100502</v>
      </c>
      <c r="T301">
        <v>101475648.150218</v>
      </c>
      <c r="U301">
        <f>VLOOKUP(C301,YieldData!F:AG,27,FALSE)</f>
        <v>849</v>
      </c>
      <c r="V301">
        <f>_xlfn.MAXIFS(I:I,C:C,C301)</f>
        <v>0.61838939164094797</v>
      </c>
    </row>
    <row r="302" spans="1:22" hidden="1" x14ac:dyDescent="0.25">
      <c r="A302" s="3">
        <f>VLOOKUP(C302,YieldData!F:G,2,FALSE)</f>
        <v>24111</v>
      </c>
      <c r="B302">
        <v>40</v>
      </c>
      <c r="C302">
        <v>303</v>
      </c>
      <c r="D302">
        <v>303</v>
      </c>
      <c r="E302" s="3">
        <f t="shared" si="4"/>
        <v>241110303</v>
      </c>
      <c r="F302" s="3">
        <f>VLOOKUP($E302,YieldData!$H:$R,10,FALSE)</f>
        <v>3</v>
      </c>
      <c r="G302" s="3">
        <f>VLOOKUP($E302,YieldData!$H:$R,11,FALSE)</f>
        <v>3</v>
      </c>
      <c r="H302">
        <v>50</v>
      </c>
      <c r="I302">
        <v>0.53846053251033099</v>
      </c>
      <c r="J302">
        <v>0.56430317705314303</v>
      </c>
      <c r="K302">
        <v>5.0425814038388403E-2</v>
      </c>
      <c r="L302">
        <v>0.88353947368421004</v>
      </c>
      <c r="M302">
        <v>0.506469671898098</v>
      </c>
      <c r="N302">
        <v>1.1886549567093001E-2</v>
      </c>
      <c r="O302">
        <v>0.128911862554144</v>
      </c>
      <c r="P302">
        <v>1.53938707272783E-3</v>
      </c>
      <c r="Q302">
        <v>15071.256107129801</v>
      </c>
      <c r="R302">
        <v>214896325.29729</v>
      </c>
      <c r="S302">
        <v>4502.1823106576903</v>
      </c>
      <c r="T302">
        <v>85441843.710639104</v>
      </c>
      <c r="U302">
        <f>VLOOKUP(C302,YieldData!F:AG,27,FALSE)</f>
        <v>546</v>
      </c>
      <c r="V302">
        <f>_xlfn.MAXIFS(I:I,C:C,C302)</f>
        <v>0.53846053251033099</v>
      </c>
    </row>
    <row r="303" spans="1:22" hidden="1" x14ac:dyDescent="0.25">
      <c r="A303" s="3">
        <f>VLOOKUP(C303,YieldData!F:G,2,FALSE)</f>
        <v>24111</v>
      </c>
      <c r="B303">
        <v>40</v>
      </c>
      <c r="C303">
        <v>310</v>
      </c>
      <c r="D303">
        <v>310</v>
      </c>
      <c r="E303" s="3">
        <f t="shared" si="4"/>
        <v>241110310</v>
      </c>
      <c r="F303" s="3">
        <f>VLOOKUP($E303,YieldData!$H:$R,10,FALSE)</f>
        <v>5</v>
      </c>
      <c r="G303" s="3">
        <f>VLOOKUP($E303,YieldData!$H:$R,11,FALSE)</f>
        <v>4</v>
      </c>
      <c r="H303">
        <v>79</v>
      </c>
      <c r="I303">
        <v>0.54465564251946896</v>
      </c>
      <c r="J303">
        <v>0.58037178086102603</v>
      </c>
      <c r="K303">
        <v>7.26802216246097E-2</v>
      </c>
      <c r="L303">
        <v>0.87852791410639297</v>
      </c>
      <c r="M303">
        <v>0.52752378000135003</v>
      </c>
      <c r="N303">
        <v>2.44327214777324E-2</v>
      </c>
      <c r="O303">
        <v>0.14031897011605199</v>
      </c>
      <c r="P303">
        <v>8.5877974574351708E-3</v>
      </c>
      <c r="Q303">
        <v>12466.4413516677</v>
      </c>
      <c r="R303">
        <v>169823057.82875499</v>
      </c>
      <c r="S303">
        <v>6740.8794807315098</v>
      </c>
      <c r="T303">
        <v>97754138.390682906</v>
      </c>
      <c r="U303">
        <f>VLOOKUP(C303,YieldData!F:AG,27,FALSE)</f>
        <v>586</v>
      </c>
      <c r="V303">
        <f>_xlfn.MAXIFS(I:I,C:C,C303)</f>
        <v>0.54465564251946896</v>
      </c>
    </row>
    <row r="304" spans="1:22" hidden="1" x14ac:dyDescent="0.25">
      <c r="A304" s="3">
        <f>VLOOKUP(C304,YieldData!F:G,2,FALSE)</f>
        <v>24112</v>
      </c>
      <c r="B304">
        <v>40</v>
      </c>
      <c r="C304">
        <v>403</v>
      </c>
      <c r="D304">
        <v>403</v>
      </c>
      <c r="E304" s="3">
        <f t="shared" si="4"/>
        <v>241120403</v>
      </c>
      <c r="F304" s="3">
        <f>VLOOKUP($E304,YieldData!$H:$R,10,FALSE)</f>
        <v>1</v>
      </c>
      <c r="G304" s="3">
        <f>VLOOKUP($E304,YieldData!$H:$R,11,FALSE)</f>
        <v>2</v>
      </c>
      <c r="H304">
        <v>31</v>
      </c>
      <c r="I304">
        <v>0.51879507516068502</v>
      </c>
      <c r="J304">
        <v>0.565937327587831</v>
      </c>
      <c r="K304">
        <v>4.8510832691169403E-2</v>
      </c>
      <c r="L304">
        <v>0.73468421052631605</v>
      </c>
      <c r="M304">
        <v>0.48635259381380103</v>
      </c>
      <c r="N304">
        <v>1.1213938973815099E-2</v>
      </c>
      <c r="O304">
        <v>0.13365648375731201</v>
      </c>
      <c r="P304">
        <v>1.33206471617223E-3</v>
      </c>
      <c r="Q304">
        <v>15745.597806968801</v>
      </c>
      <c r="R304">
        <v>253703711.96426499</v>
      </c>
      <c r="S304">
        <v>4617.6999922098303</v>
      </c>
      <c r="T304">
        <v>71444959.551423505</v>
      </c>
      <c r="U304">
        <f>VLOOKUP(C304,YieldData!F:AG,27,FALSE)</f>
        <v>562</v>
      </c>
      <c r="V304">
        <f>_xlfn.MAXIFS(I:I,C:C,C304)</f>
        <v>0.51879507516068502</v>
      </c>
    </row>
    <row r="305" spans="1:22" hidden="1" x14ac:dyDescent="0.25">
      <c r="A305" s="3">
        <f>VLOOKUP(C305,YieldData!F:G,2,FALSE)</f>
        <v>24112</v>
      </c>
      <c r="B305">
        <v>40</v>
      </c>
      <c r="C305">
        <v>410</v>
      </c>
      <c r="D305">
        <v>410</v>
      </c>
      <c r="E305" s="3">
        <f t="shared" si="4"/>
        <v>241120410</v>
      </c>
      <c r="F305" s="3">
        <f>VLOOKUP($E305,YieldData!$H:$R,10,FALSE)</f>
        <v>4</v>
      </c>
      <c r="G305" s="3">
        <f>VLOOKUP($E305,YieldData!$H:$R,11,FALSE)</f>
        <v>4</v>
      </c>
      <c r="H305">
        <v>151</v>
      </c>
      <c r="I305">
        <v>0.55470333607961597</v>
      </c>
      <c r="J305">
        <v>0.56684598233551997</v>
      </c>
      <c r="K305">
        <v>5.5303246018807199E-2</v>
      </c>
      <c r="L305">
        <v>0.956368995144801</v>
      </c>
      <c r="M305">
        <v>0.522850014328885</v>
      </c>
      <c r="N305">
        <v>1.52506884088425E-2</v>
      </c>
      <c r="O305">
        <v>0.13462131599663099</v>
      </c>
      <c r="P305">
        <v>3.6732059539327502E-3</v>
      </c>
      <c r="Q305">
        <v>13307.537859468801</v>
      </c>
      <c r="R305">
        <v>200317849.80553699</v>
      </c>
      <c r="S305">
        <v>6720.6423430661398</v>
      </c>
      <c r="T305">
        <v>100363616.670204</v>
      </c>
      <c r="U305">
        <f>VLOOKUP(C305,YieldData!F:AG,27,FALSE)</f>
        <v>780</v>
      </c>
      <c r="V305">
        <f>_xlfn.MAXIFS(I:I,C:C,C305)</f>
        <v>0.55470333607961597</v>
      </c>
    </row>
    <row r="306" spans="1:22" hidden="1" x14ac:dyDescent="0.25">
      <c r="A306" s="3">
        <f>VLOOKUP(C306,YieldData!F:G,2,FALSE)</f>
        <v>24112</v>
      </c>
      <c r="B306">
        <v>40</v>
      </c>
      <c r="C306">
        <v>411</v>
      </c>
      <c r="D306">
        <v>411</v>
      </c>
      <c r="E306" s="3">
        <f t="shared" si="4"/>
        <v>241120411</v>
      </c>
      <c r="F306" s="3">
        <f>VLOOKUP($E306,YieldData!$H:$R,10,FALSE)</f>
        <v>1</v>
      </c>
      <c r="G306" s="3">
        <f>VLOOKUP($E306,YieldData!$H:$R,11,FALSE)</f>
        <v>4</v>
      </c>
      <c r="H306">
        <v>215</v>
      </c>
      <c r="I306">
        <v>0.511070134829404</v>
      </c>
      <c r="J306">
        <v>0.53236437181004903</v>
      </c>
      <c r="K306">
        <v>4.6778459231190603E-2</v>
      </c>
      <c r="L306">
        <v>0.99809215546959296</v>
      </c>
      <c r="M306">
        <v>0.497173000271872</v>
      </c>
      <c r="N306">
        <v>1.1138288179219099E-2</v>
      </c>
      <c r="O306">
        <v>0.119827126659886</v>
      </c>
      <c r="P306">
        <v>2.2665679246770898E-3</v>
      </c>
      <c r="Q306">
        <v>12620.348974067199</v>
      </c>
      <c r="R306">
        <v>201648762.84634599</v>
      </c>
      <c r="S306">
        <v>8388.3851918092296</v>
      </c>
      <c r="T306">
        <v>86051743.274434805</v>
      </c>
      <c r="U306">
        <f>VLOOKUP(C306,YieldData!F:AG,27,FALSE)</f>
        <v>550</v>
      </c>
      <c r="V306">
        <f>_xlfn.MAXIFS(I:I,C:C,C306)</f>
        <v>0.511070134829404</v>
      </c>
    </row>
    <row r="307" spans="1:22" hidden="1" x14ac:dyDescent="0.25">
      <c r="A307" s="3">
        <f>VLOOKUP(C307,YieldData!F:G,2,FALSE)</f>
        <v>24112</v>
      </c>
      <c r="B307">
        <v>40</v>
      </c>
      <c r="C307">
        <v>404</v>
      </c>
      <c r="D307">
        <v>404</v>
      </c>
      <c r="E307" s="3">
        <f t="shared" si="4"/>
        <v>241120404</v>
      </c>
      <c r="F307" s="3">
        <f>VLOOKUP($E307,YieldData!$H:$R,10,FALSE)</f>
        <v>2</v>
      </c>
      <c r="G307" s="3">
        <f>VLOOKUP($E307,YieldData!$H:$R,11,FALSE)</f>
        <v>2</v>
      </c>
      <c r="H307">
        <v>22</v>
      </c>
      <c r="I307">
        <v>0.273796057148462</v>
      </c>
      <c r="J307">
        <v>0.41350574806957602</v>
      </c>
      <c r="K307">
        <v>5.1531695535809899E-2</v>
      </c>
      <c r="L307">
        <v>0.53200615781371297</v>
      </c>
      <c r="M307">
        <v>0.41539222743594501</v>
      </c>
      <c r="N307">
        <v>1.5910675837695301E-2</v>
      </c>
      <c r="O307">
        <v>0.124672510231185</v>
      </c>
      <c r="P307">
        <v>1.48067885849094E-3</v>
      </c>
      <c r="Q307">
        <v>7332.6952888482001</v>
      </c>
      <c r="R307">
        <v>137420614.264999</v>
      </c>
      <c r="S307">
        <v>10199.333014038</v>
      </c>
      <c r="T307">
        <v>70233126.858153298</v>
      </c>
      <c r="U307">
        <f>VLOOKUP(C307,YieldData!F:AG,27,FALSE)</f>
        <v>368</v>
      </c>
      <c r="V307">
        <f>_xlfn.MAXIFS(I:I,C:C,C307)</f>
        <v>0.273796057148462</v>
      </c>
    </row>
    <row r="308" spans="1:22" hidden="1" x14ac:dyDescent="0.25">
      <c r="A308" s="3">
        <f>VLOOKUP(C308,YieldData!F:G,2,FALSE)</f>
        <v>24111</v>
      </c>
      <c r="B308">
        <v>40</v>
      </c>
      <c r="C308">
        <v>311</v>
      </c>
      <c r="D308">
        <v>311</v>
      </c>
      <c r="E308" s="3">
        <f t="shared" si="4"/>
        <v>241110311</v>
      </c>
      <c r="F308" s="3">
        <f>VLOOKUP($E308,YieldData!$H:$R,10,FALSE)</f>
        <v>4</v>
      </c>
      <c r="G308" s="3">
        <f>VLOOKUP($E308,YieldData!$H:$R,11,FALSE)</f>
        <v>4</v>
      </c>
      <c r="H308">
        <v>65</v>
      </c>
      <c r="I308">
        <v>0.39958152156144799</v>
      </c>
      <c r="J308">
        <v>0.48681803659843498</v>
      </c>
      <c r="K308">
        <v>3.9903901793139601E-2</v>
      </c>
      <c r="L308">
        <v>0.91067105263157899</v>
      </c>
      <c r="M308">
        <v>0.47629100615693698</v>
      </c>
      <c r="N308">
        <v>9.5344219939284408E-3</v>
      </c>
      <c r="O308">
        <v>0.13537736673224501</v>
      </c>
      <c r="P308">
        <v>9.9439346860404304E-4</v>
      </c>
      <c r="Q308">
        <v>9838.8398927648996</v>
      </c>
      <c r="R308">
        <v>147558575.58353299</v>
      </c>
      <c r="S308">
        <v>9561.6366416429992</v>
      </c>
      <c r="T308">
        <v>67223724.322182804</v>
      </c>
      <c r="U308">
        <f>VLOOKUP(C308,YieldData!F:AG,27,FALSE)</f>
        <v>687</v>
      </c>
      <c r="V308">
        <f>_xlfn.MAXIFS(I:I,C:C,C308)</f>
        <v>0.39958152156144799</v>
      </c>
    </row>
    <row r="309" spans="1:22" hidden="1" x14ac:dyDescent="0.25">
      <c r="A309" s="3">
        <f>VLOOKUP(C309,YieldData!F:G,2,FALSE)</f>
        <v>24111</v>
      </c>
      <c r="B309">
        <v>40</v>
      </c>
      <c r="C309">
        <v>304</v>
      </c>
      <c r="D309">
        <v>304</v>
      </c>
      <c r="E309" s="3">
        <f t="shared" si="4"/>
        <v>241110304</v>
      </c>
      <c r="F309" s="3">
        <f>VLOOKUP($E309,YieldData!$H:$R,10,FALSE)</f>
        <v>5</v>
      </c>
      <c r="G309" s="3">
        <f>VLOOKUP($E309,YieldData!$H:$R,11,FALSE)</f>
        <v>3</v>
      </c>
      <c r="H309">
        <v>28</v>
      </c>
      <c r="I309">
        <v>0.41874546369978999</v>
      </c>
      <c r="J309">
        <v>0.480383957062468</v>
      </c>
      <c r="K309">
        <v>7.0204924182941997E-2</v>
      </c>
      <c r="L309">
        <v>0.68068000894748604</v>
      </c>
      <c r="M309">
        <v>0.468119305714638</v>
      </c>
      <c r="N309">
        <v>1.98400376564274E-2</v>
      </c>
      <c r="O309">
        <v>0.127655791635606</v>
      </c>
      <c r="P309">
        <v>1.6474837201208301E-3</v>
      </c>
      <c r="Q309">
        <v>10915.391602858799</v>
      </c>
      <c r="R309">
        <v>182111774.64970401</v>
      </c>
      <c r="S309">
        <v>7547.7243619829696</v>
      </c>
      <c r="T309">
        <v>96096875.118635595</v>
      </c>
      <c r="U309">
        <f>VLOOKUP(C309,YieldData!F:AG,27,FALSE)</f>
        <v>718</v>
      </c>
      <c r="V309">
        <f>_xlfn.MAXIFS(I:I,C:C,C309)</f>
        <v>0.41874546369978999</v>
      </c>
    </row>
    <row r="310" spans="1:22" hidden="1" x14ac:dyDescent="0.25">
      <c r="A310" s="3">
        <f>VLOOKUP(C310,YieldData!F:G,2,FALSE)</f>
        <v>24111</v>
      </c>
      <c r="B310">
        <v>40</v>
      </c>
      <c r="C310">
        <v>211</v>
      </c>
      <c r="D310">
        <v>211</v>
      </c>
      <c r="E310" s="3">
        <f t="shared" si="4"/>
        <v>241110211</v>
      </c>
      <c r="F310" s="3">
        <f>VLOOKUP($E310,YieldData!$H:$R,10,FALSE)</f>
        <v>5</v>
      </c>
      <c r="G310" s="3">
        <f>VLOOKUP($E310,YieldData!$H:$R,11,FALSE)</f>
        <v>1</v>
      </c>
      <c r="H310">
        <v>89</v>
      </c>
      <c r="I310">
        <v>0.54509075691792597</v>
      </c>
      <c r="J310">
        <v>0.55847776579566</v>
      </c>
      <c r="K310">
        <v>5.9760134124246099E-2</v>
      </c>
      <c r="L310">
        <v>0.90327631578947398</v>
      </c>
      <c r="M310">
        <v>0.508079376723793</v>
      </c>
      <c r="N310">
        <v>1.68746436480934E-2</v>
      </c>
      <c r="O310">
        <v>0.11199501570100399</v>
      </c>
      <c r="P310">
        <v>4.1256788098019996E-3</v>
      </c>
      <c r="Q310">
        <v>14109.963749542299</v>
      </c>
      <c r="R310">
        <v>230117728.19920501</v>
      </c>
      <c r="S310">
        <v>7487.0652685061104</v>
      </c>
      <c r="T310">
        <v>111942112.41042</v>
      </c>
      <c r="U310">
        <f>VLOOKUP(C310,YieldData!F:AG,27,FALSE)</f>
        <v>733</v>
      </c>
      <c r="V310">
        <f>_xlfn.MAXIFS(I:I,C:C,C310)</f>
        <v>0.54509075691792597</v>
      </c>
    </row>
    <row r="311" spans="1:22" hidden="1" x14ac:dyDescent="0.25">
      <c r="A311" s="3">
        <f>VLOOKUP(C311,YieldData!F:G,2,FALSE)</f>
        <v>24110</v>
      </c>
      <c r="B311">
        <v>40</v>
      </c>
      <c r="C311">
        <v>204</v>
      </c>
      <c r="D311">
        <v>204</v>
      </c>
      <c r="E311" s="3">
        <f t="shared" si="4"/>
        <v>241100204</v>
      </c>
      <c r="F311" s="3">
        <f>VLOOKUP($E311,YieldData!$H:$R,10,FALSE)</f>
        <v>3</v>
      </c>
      <c r="G311" s="3">
        <f>VLOOKUP($E311,YieldData!$H:$R,11,FALSE)</f>
        <v>4</v>
      </c>
      <c r="H311">
        <v>152</v>
      </c>
      <c r="I311">
        <v>0.46833663534658099</v>
      </c>
      <c r="J311">
        <v>0.52119884907295</v>
      </c>
      <c r="K311">
        <v>5.8724457243314002E-2</v>
      </c>
      <c r="L311">
        <v>0.98965775865471906</v>
      </c>
      <c r="M311">
        <v>0.50616628812397002</v>
      </c>
      <c r="N311">
        <v>1.68055111556797E-2</v>
      </c>
      <c r="O311">
        <v>9.13800205266313E-2</v>
      </c>
      <c r="P311">
        <v>2.8524239583152498E-3</v>
      </c>
      <c r="Q311">
        <v>10446.361841804101</v>
      </c>
      <c r="R311">
        <v>151631828.93024999</v>
      </c>
      <c r="S311">
        <v>10134.676244597</v>
      </c>
      <c r="T311">
        <v>114393308.26578</v>
      </c>
      <c r="U311">
        <f>VLOOKUP(C311,YieldData!F:AG,27,FALSE)</f>
        <v>1553</v>
      </c>
      <c r="V311">
        <f>_xlfn.MAXIFS(I:I,C:C,C311)</f>
        <v>0.46833663534658099</v>
      </c>
    </row>
    <row r="312" spans="1:22" hidden="1" x14ac:dyDescent="0.25">
      <c r="A312" s="3">
        <f>VLOOKUP(C312,YieldData!F:G,2,FALSE)</f>
        <v>24110</v>
      </c>
      <c r="B312">
        <v>40</v>
      </c>
      <c r="C312">
        <v>111</v>
      </c>
      <c r="D312">
        <v>111</v>
      </c>
      <c r="E312" s="3">
        <f t="shared" si="4"/>
        <v>241100111</v>
      </c>
      <c r="F312" s="3">
        <f>VLOOKUP($E312,YieldData!$H:$R,10,FALSE)</f>
        <v>2</v>
      </c>
      <c r="G312" s="3">
        <f>VLOOKUP($E312,YieldData!$H:$R,11,FALSE)</f>
        <v>3</v>
      </c>
      <c r="H312">
        <v>109</v>
      </c>
      <c r="I312">
        <v>0.57165742532824204</v>
      </c>
      <c r="J312">
        <v>0.59500627877923795</v>
      </c>
      <c r="K312">
        <v>6.2744250461252496E-2</v>
      </c>
      <c r="L312">
        <v>0.99046052631578996</v>
      </c>
      <c r="M312">
        <v>0.56149478345630399</v>
      </c>
      <c r="N312">
        <v>2.2161763030354199E-2</v>
      </c>
      <c r="O312">
        <v>0.118671882265173</v>
      </c>
      <c r="P312">
        <v>4.17000539439527E-3</v>
      </c>
      <c r="Q312">
        <v>11270.8811529006</v>
      </c>
      <c r="R312">
        <v>125688196.42285401</v>
      </c>
      <c r="S312">
        <v>7425.68188403556</v>
      </c>
      <c r="T312">
        <v>123441114.81590401</v>
      </c>
      <c r="U312">
        <f>VLOOKUP(C312,YieldData!F:AG,27,FALSE)</f>
        <v>1957</v>
      </c>
      <c r="V312">
        <f>_xlfn.MAXIFS(I:I,C:C,C312)</f>
        <v>0.57165742532824204</v>
      </c>
    </row>
    <row r="313" spans="1:22" hidden="1" x14ac:dyDescent="0.25">
      <c r="A313" s="3">
        <f>VLOOKUP(C313,YieldData!F:G,2,FALSE)</f>
        <v>24110</v>
      </c>
      <c r="B313">
        <v>40</v>
      </c>
      <c r="C313">
        <v>104</v>
      </c>
      <c r="D313">
        <v>104</v>
      </c>
      <c r="E313" s="3">
        <f t="shared" si="4"/>
        <v>241100104</v>
      </c>
      <c r="F313" s="3">
        <f>VLOOKUP($E313,YieldData!$H:$R,10,FALSE)</f>
        <v>4</v>
      </c>
      <c r="G313" s="3">
        <f>VLOOKUP($E313,YieldData!$H:$R,11,FALSE)</f>
        <v>1</v>
      </c>
      <c r="H313">
        <v>104</v>
      </c>
      <c r="I313">
        <v>0.58876799748917896</v>
      </c>
      <c r="J313">
        <v>0.61269829596688696</v>
      </c>
      <c r="K313">
        <v>5.8417879394648799E-2</v>
      </c>
      <c r="L313">
        <v>0.90636718904196101</v>
      </c>
      <c r="M313">
        <v>0.56807393180380195</v>
      </c>
      <c r="N313">
        <v>2.2034096268902702E-2</v>
      </c>
      <c r="O313">
        <v>0.136812373217892</v>
      </c>
      <c r="P313">
        <v>3.7540760082253898E-3</v>
      </c>
      <c r="Q313">
        <v>12431.2685728857</v>
      </c>
      <c r="R313">
        <v>155102772.48069701</v>
      </c>
      <c r="S313">
        <v>5613.3787669847798</v>
      </c>
      <c r="T313">
        <v>119094050.656358</v>
      </c>
      <c r="U313">
        <f>VLOOKUP(C313,YieldData!F:AG,27,FALSE)</f>
        <v>1943</v>
      </c>
      <c r="V313">
        <f>_xlfn.MAXIFS(I:I,C:C,C313)</f>
        <v>0.58876799748917896</v>
      </c>
    </row>
    <row r="314" spans="1:22" hidden="1" x14ac:dyDescent="0.25">
      <c r="A314" s="3">
        <f>VLOOKUP(C314,YieldData!F:G,2,FALSE)</f>
        <v>24110</v>
      </c>
      <c r="B314">
        <v>40</v>
      </c>
      <c r="C314">
        <v>105</v>
      </c>
      <c r="D314">
        <v>105</v>
      </c>
      <c r="E314" s="3">
        <f t="shared" si="4"/>
        <v>241100105</v>
      </c>
      <c r="F314" s="3">
        <f>VLOOKUP($E314,YieldData!$H:$R,10,FALSE)</f>
        <v>5</v>
      </c>
      <c r="G314" s="3">
        <f>VLOOKUP($E314,YieldData!$H:$R,11,FALSE)</f>
        <v>1</v>
      </c>
      <c r="H314">
        <v>113</v>
      </c>
      <c r="I314">
        <v>0.52674286312100305</v>
      </c>
      <c r="J314">
        <v>0.56916085507076497</v>
      </c>
      <c r="K314">
        <v>5.9318291831537202E-2</v>
      </c>
      <c r="L314">
        <v>0.96001263174515405</v>
      </c>
      <c r="M314">
        <v>0.53497896271566703</v>
      </c>
      <c r="N314">
        <v>2.1324707767325399E-2</v>
      </c>
      <c r="O314">
        <v>0.117540647344811</v>
      </c>
      <c r="P314">
        <v>3.4297843425961298E-3</v>
      </c>
      <c r="Q314">
        <v>11220.355503537399</v>
      </c>
      <c r="R314">
        <v>144414601.36031201</v>
      </c>
      <c r="S314">
        <v>7939.98746112347</v>
      </c>
      <c r="T314">
        <v>121207667.885067</v>
      </c>
      <c r="U314">
        <f>VLOOKUP(C314,YieldData!F:AG,27,FALSE)</f>
        <v>1784</v>
      </c>
      <c r="V314">
        <f>_xlfn.MAXIFS(I:I,C:C,C314)</f>
        <v>0.52674286312100305</v>
      </c>
    </row>
    <row r="315" spans="1:22" hidden="1" x14ac:dyDescent="0.25">
      <c r="A315" s="3">
        <f>VLOOKUP(C315,YieldData!F:G,2,FALSE)</f>
        <v>24110</v>
      </c>
      <c r="B315">
        <v>40</v>
      </c>
      <c r="C315">
        <v>112</v>
      </c>
      <c r="D315">
        <v>112</v>
      </c>
      <c r="E315" s="3">
        <f t="shared" si="4"/>
        <v>241100112</v>
      </c>
      <c r="F315" s="3">
        <f>VLOOKUP($E315,YieldData!$H:$R,10,FALSE)</f>
        <v>1</v>
      </c>
      <c r="G315" s="3">
        <f>VLOOKUP($E315,YieldData!$H:$R,11,FALSE)</f>
        <v>2</v>
      </c>
      <c r="H315">
        <v>91</v>
      </c>
      <c r="I315">
        <v>0.51515349658351595</v>
      </c>
      <c r="J315">
        <v>0.54575534767743195</v>
      </c>
      <c r="K315">
        <v>5.8671582899402497E-2</v>
      </c>
      <c r="L315">
        <v>0.96786884383100202</v>
      </c>
      <c r="M315">
        <v>0.52656274231649902</v>
      </c>
      <c r="N315">
        <v>2.0815427019892599E-2</v>
      </c>
      <c r="O315">
        <v>9.2592179455316101E-2</v>
      </c>
      <c r="P315">
        <v>3.4167517551726102E-3</v>
      </c>
      <c r="Q315">
        <v>9801.8637198809993</v>
      </c>
      <c r="R315">
        <v>108181415.343601</v>
      </c>
      <c r="S315">
        <v>9603.1172955343209</v>
      </c>
      <c r="T315">
        <v>106703739.359072</v>
      </c>
      <c r="U315">
        <f>VLOOKUP(C315,YieldData!F:AG,27,FALSE)</f>
        <v>1958</v>
      </c>
      <c r="V315">
        <f>_xlfn.MAXIFS(I:I,C:C,C315)</f>
        <v>0.51515349658351595</v>
      </c>
    </row>
    <row r="316" spans="1:22" hidden="1" x14ac:dyDescent="0.25">
      <c r="A316" s="3">
        <f>VLOOKUP(C316,YieldData!F:G,2,FALSE)</f>
        <v>24110</v>
      </c>
      <c r="B316">
        <v>40</v>
      </c>
      <c r="C316">
        <v>205</v>
      </c>
      <c r="D316">
        <v>205</v>
      </c>
      <c r="E316" s="3">
        <f t="shared" si="4"/>
        <v>241100205</v>
      </c>
      <c r="F316" s="3">
        <f>VLOOKUP($E316,YieldData!$H:$R,10,FALSE)</f>
        <v>5</v>
      </c>
      <c r="G316" s="3">
        <f>VLOOKUP($E316,YieldData!$H:$R,11,FALSE)</f>
        <v>4</v>
      </c>
      <c r="H316">
        <v>104</v>
      </c>
      <c r="I316">
        <v>0.51783437408049204</v>
      </c>
      <c r="J316">
        <v>0.54953482694573896</v>
      </c>
      <c r="K316">
        <v>6.6091653811096496E-2</v>
      </c>
      <c r="L316">
        <v>0.98868421052631605</v>
      </c>
      <c r="M316">
        <v>0.52707441851445402</v>
      </c>
      <c r="N316">
        <v>1.9989509844062801E-2</v>
      </c>
      <c r="O316">
        <v>9.4300362588533304E-2</v>
      </c>
      <c r="P316">
        <v>2.8966993531281899E-3</v>
      </c>
      <c r="Q316">
        <v>11275.6783666263</v>
      </c>
      <c r="R316">
        <v>147223668.50893801</v>
      </c>
      <c r="S316">
        <v>8795.9274606230701</v>
      </c>
      <c r="T316">
        <v>110197346.842788</v>
      </c>
      <c r="U316">
        <f>VLOOKUP(C316,YieldData!F:AG,27,FALSE)</f>
        <v>1772</v>
      </c>
      <c r="V316">
        <f>_xlfn.MAXIFS(I:I,C:C,C316)</f>
        <v>0.51783437408049204</v>
      </c>
    </row>
    <row r="317" spans="1:22" hidden="1" x14ac:dyDescent="0.25">
      <c r="A317" s="3">
        <f>VLOOKUP(C317,YieldData!F:G,2,FALSE)</f>
        <v>24111</v>
      </c>
      <c r="B317">
        <v>40</v>
      </c>
      <c r="C317">
        <v>212</v>
      </c>
      <c r="D317">
        <v>212</v>
      </c>
      <c r="E317" s="3">
        <f t="shared" si="4"/>
        <v>241110212</v>
      </c>
      <c r="F317" s="3">
        <f>VLOOKUP($E317,YieldData!$H:$R,10,FALSE)</f>
        <v>4</v>
      </c>
      <c r="G317" s="3">
        <f>VLOOKUP($E317,YieldData!$H:$R,11,FALSE)</f>
        <v>1</v>
      </c>
      <c r="H317">
        <v>129</v>
      </c>
      <c r="I317">
        <v>0.50204989047634596</v>
      </c>
      <c r="J317">
        <v>0.53090126446820096</v>
      </c>
      <c r="K317">
        <v>5.5250732897878803E-2</v>
      </c>
      <c r="L317">
        <v>0.99132894736842103</v>
      </c>
      <c r="M317">
        <v>0.49792486705519501</v>
      </c>
      <c r="N317">
        <v>1.45542101844508E-2</v>
      </c>
      <c r="O317">
        <v>0.109426441682479</v>
      </c>
      <c r="P317">
        <v>2.4927537316933898E-3</v>
      </c>
      <c r="Q317">
        <v>12816.908542845</v>
      </c>
      <c r="R317">
        <v>204797508.038495</v>
      </c>
      <c r="S317">
        <v>7979.0499054290703</v>
      </c>
      <c r="T317">
        <v>99075217.791331604</v>
      </c>
      <c r="U317">
        <f>VLOOKUP(C317,YieldData!F:AG,27,FALSE)</f>
        <v>678</v>
      </c>
      <c r="V317">
        <f>_xlfn.MAXIFS(I:I,C:C,C317)</f>
        <v>0.50204989047634596</v>
      </c>
    </row>
    <row r="318" spans="1:22" hidden="1" x14ac:dyDescent="0.25">
      <c r="A318" s="3">
        <f>VLOOKUP(C318,YieldData!F:G,2,FALSE)</f>
        <v>24111</v>
      </c>
      <c r="B318">
        <v>40</v>
      </c>
      <c r="C318">
        <v>305</v>
      </c>
      <c r="D318">
        <v>305</v>
      </c>
      <c r="E318" s="3">
        <f t="shared" si="4"/>
        <v>241110305</v>
      </c>
      <c r="F318" s="3">
        <f>VLOOKUP($E318,YieldData!$H:$R,10,FALSE)</f>
        <v>4</v>
      </c>
      <c r="G318" s="3">
        <f>VLOOKUP($E318,YieldData!$H:$R,11,FALSE)</f>
        <v>3</v>
      </c>
      <c r="H318">
        <v>34</v>
      </c>
      <c r="I318">
        <v>0.51650679691637702</v>
      </c>
      <c r="J318">
        <v>0.54983453188529896</v>
      </c>
      <c r="K318">
        <v>5.5308429265281803E-2</v>
      </c>
      <c r="L318">
        <v>0.80446052631578902</v>
      </c>
      <c r="M318">
        <v>0.50671935343246299</v>
      </c>
      <c r="N318">
        <v>1.2574866807924899E-2</v>
      </c>
      <c r="O318">
        <v>0.138513148469467</v>
      </c>
      <c r="P318">
        <v>1.5259557062261501E-3</v>
      </c>
      <c r="Q318">
        <v>13838.052413739</v>
      </c>
      <c r="R318">
        <v>200716014.30037999</v>
      </c>
      <c r="S318">
        <v>5567.6741160546298</v>
      </c>
      <c r="T318">
        <v>81017416.43603</v>
      </c>
      <c r="U318">
        <f>VLOOKUP(C318,YieldData!F:AG,27,FALSE)</f>
        <v>792</v>
      </c>
      <c r="V318">
        <f>_xlfn.MAXIFS(I:I,C:C,C318)</f>
        <v>0.51650679691637702</v>
      </c>
    </row>
    <row r="319" spans="1:22" hidden="1" x14ac:dyDescent="0.25">
      <c r="A319" s="3">
        <f>VLOOKUP(C319,YieldData!F:G,2,FALSE)</f>
        <v>24111</v>
      </c>
      <c r="B319">
        <v>40</v>
      </c>
      <c r="C319">
        <v>312</v>
      </c>
      <c r="D319">
        <v>312</v>
      </c>
      <c r="E319" s="3">
        <f t="shared" si="4"/>
        <v>241110312</v>
      </c>
      <c r="F319" s="3">
        <f>VLOOKUP($E319,YieldData!$H:$R,10,FALSE)</f>
        <v>2</v>
      </c>
      <c r="G319" s="3">
        <f>VLOOKUP($E319,YieldData!$H:$R,11,FALSE)</f>
        <v>4</v>
      </c>
      <c r="H319">
        <v>77</v>
      </c>
      <c r="I319">
        <v>0.62473845268609096</v>
      </c>
      <c r="J319">
        <v>0.61279216976085304</v>
      </c>
      <c r="K319">
        <v>5.6431079386058798E-2</v>
      </c>
      <c r="L319">
        <v>0.99193410439611096</v>
      </c>
      <c r="M319">
        <v>0.54777930208062897</v>
      </c>
      <c r="N319">
        <v>1.40949213510788E-2</v>
      </c>
      <c r="O319">
        <v>0.14872981312102501</v>
      </c>
      <c r="P319">
        <v>2.9826198274692599E-3</v>
      </c>
      <c r="Q319">
        <v>16447.500948108998</v>
      </c>
      <c r="R319">
        <v>214516696.24887601</v>
      </c>
      <c r="S319">
        <v>5214.3852225972096</v>
      </c>
      <c r="T319">
        <v>104554228.682724</v>
      </c>
      <c r="U319">
        <f>VLOOKUP(C319,YieldData!F:AG,27,FALSE)</f>
        <v>689</v>
      </c>
      <c r="V319">
        <f>_xlfn.MAXIFS(I:I,C:C,C319)</f>
        <v>0.62473845268609096</v>
      </c>
    </row>
    <row r="320" spans="1:22" hidden="1" x14ac:dyDescent="0.25">
      <c r="A320" s="3">
        <f>VLOOKUP(C320,YieldData!F:G,2,FALSE)</f>
        <v>24112</v>
      </c>
      <c r="B320">
        <v>40</v>
      </c>
      <c r="C320">
        <v>405</v>
      </c>
      <c r="D320">
        <v>405</v>
      </c>
      <c r="E320" s="3">
        <f t="shared" si="4"/>
        <v>241120405</v>
      </c>
      <c r="F320" s="3">
        <f>VLOOKUP($E320,YieldData!$H:$R,10,FALSE)</f>
        <v>3</v>
      </c>
      <c r="G320" s="3">
        <f>VLOOKUP($E320,YieldData!$H:$R,11,FALSE)</f>
        <v>2</v>
      </c>
      <c r="H320">
        <v>24</v>
      </c>
      <c r="I320">
        <v>0.53204608463671099</v>
      </c>
      <c r="J320">
        <v>0.550753103129625</v>
      </c>
      <c r="K320">
        <v>4.8549805598709798E-2</v>
      </c>
      <c r="L320">
        <v>0.79483940578165502</v>
      </c>
      <c r="M320">
        <v>0.48956189091287799</v>
      </c>
      <c r="N320">
        <v>1.06693008072745E-2</v>
      </c>
      <c r="O320">
        <v>0.13156403604936401</v>
      </c>
      <c r="P320">
        <v>1.7298991156346399E-3</v>
      </c>
      <c r="Q320">
        <v>15510.4233077889</v>
      </c>
      <c r="R320">
        <v>230055265.80076799</v>
      </c>
      <c r="S320">
        <v>5326.1180971309695</v>
      </c>
      <c r="T320">
        <v>68998746.680502102</v>
      </c>
      <c r="U320">
        <f>VLOOKUP(C320,YieldData!F:AG,27,FALSE)</f>
        <v>273</v>
      </c>
      <c r="V320">
        <f>_xlfn.MAXIFS(I:I,C:C,C320)</f>
        <v>0.53204608463671099</v>
      </c>
    </row>
    <row r="321" spans="1:22" hidden="1" x14ac:dyDescent="0.25">
      <c r="A321" s="3">
        <f>VLOOKUP(C321,YieldData!F:G,2,FALSE)</f>
        <v>24112</v>
      </c>
      <c r="B321">
        <v>40</v>
      </c>
      <c r="C321">
        <v>412</v>
      </c>
      <c r="D321">
        <v>412</v>
      </c>
      <c r="E321" s="3">
        <f t="shared" si="4"/>
        <v>241120412</v>
      </c>
      <c r="F321" s="3">
        <f>VLOOKUP($E321,YieldData!$H:$R,10,FALSE)</f>
        <v>3</v>
      </c>
      <c r="G321" s="3">
        <f>VLOOKUP($E321,YieldData!$H:$R,11,FALSE)</f>
        <v>3</v>
      </c>
      <c r="H321">
        <v>163</v>
      </c>
      <c r="I321">
        <v>0.53409923105089696</v>
      </c>
      <c r="J321">
        <v>0.54677653734294496</v>
      </c>
      <c r="K321">
        <v>5.0104820175687001E-2</v>
      </c>
      <c r="L321">
        <v>0.99024999999999996</v>
      </c>
      <c r="M321">
        <v>0.50439867647592196</v>
      </c>
      <c r="N321">
        <v>1.26423162218626E-2</v>
      </c>
      <c r="O321">
        <v>0.109299490434906</v>
      </c>
      <c r="P321">
        <v>2.9548075442304899E-3</v>
      </c>
      <c r="Q321">
        <v>13764.769648742</v>
      </c>
      <c r="R321">
        <v>196735200.17649099</v>
      </c>
      <c r="S321">
        <v>7896.9489401748497</v>
      </c>
      <c r="T321">
        <v>95108887.997870907</v>
      </c>
      <c r="U321">
        <f>VLOOKUP(C321,YieldData!F:AG,27,FALSE)</f>
        <v>475</v>
      </c>
      <c r="V321">
        <f>_xlfn.MAXIFS(I:I,C:C,C321)</f>
        <v>0.53409923105089696</v>
      </c>
    </row>
    <row r="322" spans="1:22" hidden="1" x14ac:dyDescent="0.25">
      <c r="A322" s="3">
        <f>VLOOKUP(C322,YieldData!F:G,2,FALSE)</f>
        <v>24112</v>
      </c>
      <c r="B322">
        <v>40</v>
      </c>
      <c r="C322">
        <v>413</v>
      </c>
      <c r="D322">
        <v>413</v>
      </c>
      <c r="E322" s="3">
        <f t="shared" si="4"/>
        <v>241120413</v>
      </c>
      <c r="F322" s="3">
        <f>VLOOKUP($E322,YieldData!$H:$R,10,FALSE)</f>
        <v>1</v>
      </c>
      <c r="G322" s="3">
        <f>VLOOKUP($E322,YieldData!$H:$R,11,FALSE)</f>
        <v>3</v>
      </c>
      <c r="H322">
        <v>146</v>
      </c>
      <c r="I322">
        <v>0.62748713522561606</v>
      </c>
      <c r="J322">
        <v>0.600637270479768</v>
      </c>
      <c r="K322">
        <v>5.0586226873153999E-2</v>
      </c>
      <c r="L322">
        <v>0.99394744805989399</v>
      </c>
      <c r="M322">
        <v>0.54308632301008797</v>
      </c>
      <c r="N322">
        <v>1.28007920014336E-2</v>
      </c>
      <c r="O322">
        <v>0.117876401136809</v>
      </c>
      <c r="P322">
        <v>3.9582734451159103E-3</v>
      </c>
      <c r="Q322">
        <v>15320.029103487101</v>
      </c>
      <c r="R322">
        <v>210245875.251728</v>
      </c>
      <c r="S322">
        <v>5413.4692080876102</v>
      </c>
      <c r="T322">
        <v>90131727.556230798</v>
      </c>
      <c r="U322">
        <f>VLOOKUP(C322,YieldData!F:AG,27,FALSE)</f>
        <v>902</v>
      </c>
      <c r="V322">
        <f>_xlfn.MAXIFS(I:I,C:C,C322)</f>
        <v>0.62748713522561606</v>
      </c>
    </row>
    <row r="323" spans="1:22" hidden="1" x14ac:dyDescent="0.25">
      <c r="A323" s="3">
        <f>VLOOKUP(C323,YieldData!F:G,2,FALSE)</f>
        <v>24112</v>
      </c>
      <c r="B323">
        <v>40</v>
      </c>
      <c r="C323">
        <v>406</v>
      </c>
      <c r="D323">
        <v>406</v>
      </c>
      <c r="E323" s="3">
        <f t="shared" ref="E323:E386" si="5">A323*10000+D323</f>
        <v>241120406</v>
      </c>
      <c r="F323" s="3">
        <f>VLOOKUP($E323,YieldData!$H:$R,10,FALSE)</f>
        <v>4</v>
      </c>
      <c r="G323" s="3">
        <f>VLOOKUP($E323,YieldData!$H:$R,11,FALSE)</f>
        <v>2</v>
      </c>
      <c r="H323">
        <v>25</v>
      </c>
      <c r="I323">
        <v>0.48466025003923202</v>
      </c>
      <c r="J323">
        <v>0.54131598294463501</v>
      </c>
      <c r="K323">
        <v>5.8292532715499903E-2</v>
      </c>
      <c r="L323">
        <v>0.67379833945183498</v>
      </c>
      <c r="M323">
        <v>0.520847932292685</v>
      </c>
      <c r="N323">
        <v>1.44811544298793E-2</v>
      </c>
      <c r="O323">
        <v>0.139302588176998</v>
      </c>
      <c r="P323">
        <v>1.4759311495761099E-3</v>
      </c>
      <c r="Q323">
        <v>14090.261338076099</v>
      </c>
      <c r="R323">
        <v>220803156.23815799</v>
      </c>
      <c r="S323">
        <v>5038.2363865997004</v>
      </c>
      <c r="T323">
        <v>80355832.547600105</v>
      </c>
      <c r="U323">
        <f>VLOOKUP(C323,YieldData!F:AG,27,FALSE)</f>
        <v>830</v>
      </c>
      <c r="V323">
        <f>_xlfn.MAXIFS(I:I,C:C,C323)</f>
        <v>0.48466025003923202</v>
      </c>
    </row>
    <row r="324" spans="1:22" hidden="1" x14ac:dyDescent="0.25">
      <c r="A324" s="3">
        <f>VLOOKUP(C324,YieldData!F:G,2,FALSE)</f>
        <v>24111</v>
      </c>
      <c r="B324">
        <v>40</v>
      </c>
      <c r="C324">
        <v>313</v>
      </c>
      <c r="D324">
        <v>313</v>
      </c>
      <c r="E324" s="3">
        <f t="shared" si="5"/>
        <v>241110313</v>
      </c>
      <c r="F324" s="3">
        <f>VLOOKUP($E324,YieldData!$H:$R,10,FALSE)</f>
        <v>1</v>
      </c>
      <c r="G324" s="3">
        <f>VLOOKUP($E324,YieldData!$H:$R,11,FALSE)</f>
        <v>4</v>
      </c>
      <c r="H324">
        <v>134</v>
      </c>
      <c r="I324">
        <v>0.63875085002876997</v>
      </c>
      <c r="J324">
        <v>0.60301980283835999</v>
      </c>
      <c r="K324">
        <v>4.7577987054704299E-2</v>
      </c>
      <c r="L324">
        <v>0.99767102198713098</v>
      </c>
      <c r="M324">
        <v>0.56467922882434096</v>
      </c>
      <c r="N324">
        <v>1.18474250022965E-2</v>
      </c>
      <c r="O324">
        <v>0.149592922665228</v>
      </c>
      <c r="P324">
        <v>2.98626764123718E-3</v>
      </c>
      <c r="Q324">
        <v>15101.4856279751</v>
      </c>
      <c r="R324">
        <v>222696327.63692099</v>
      </c>
      <c r="S324">
        <v>6286.7355939017498</v>
      </c>
      <c r="T324">
        <v>101288695.89208899</v>
      </c>
      <c r="U324">
        <f>VLOOKUP(C324,YieldData!F:AG,27,FALSE)</f>
        <v>726</v>
      </c>
      <c r="V324">
        <f>_xlfn.MAXIFS(I:I,C:C,C324)</f>
        <v>0.63875085002876997</v>
      </c>
    </row>
    <row r="325" spans="1:22" hidden="1" x14ac:dyDescent="0.25">
      <c r="A325" s="3">
        <f>VLOOKUP(C325,YieldData!F:G,2,FALSE)</f>
        <v>24111</v>
      </c>
      <c r="B325">
        <v>40</v>
      </c>
      <c r="C325">
        <v>306</v>
      </c>
      <c r="D325">
        <v>306</v>
      </c>
      <c r="E325" s="3">
        <f t="shared" si="5"/>
        <v>241110306</v>
      </c>
      <c r="F325" s="3">
        <f>VLOOKUP($E325,YieldData!$H:$R,10,FALSE)</f>
        <v>1</v>
      </c>
      <c r="G325" s="3">
        <f>VLOOKUP($E325,YieldData!$H:$R,11,FALSE)</f>
        <v>3</v>
      </c>
      <c r="H325">
        <v>65</v>
      </c>
      <c r="I325">
        <v>0.57260179027965796</v>
      </c>
      <c r="J325">
        <v>0.59040842152550199</v>
      </c>
      <c r="K325">
        <v>4.6018834929424997E-2</v>
      </c>
      <c r="L325">
        <v>0.88311688311688297</v>
      </c>
      <c r="M325">
        <v>0.53087365335271397</v>
      </c>
      <c r="N325">
        <v>1.12153219553727E-2</v>
      </c>
      <c r="O325">
        <v>0.13989332823362599</v>
      </c>
      <c r="P325">
        <v>1.4636512432425299E-3</v>
      </c>
      <c r="Q325">
        <v>16075.4883514127</v>
      </c>
      <c r="R325">
        <v>230466928.894104</v>
      </c>
      <c r="S325">
        <v>4331.7616382605802</v>
      </c>
      <c r="T325">
        <v>83563334.090381205</v>
      </c>
      <c r="U325">
        <f>VLOOKUP(C325,YieldData!F:AG,27,FALSE)</f>
        <v>862</v>
      </c>
      <c r="V325">
        <f>_xlfn.MAXIFS(I:I,C:C,C325)</f>
        <v>0.57260179027965796</v>
      </c>
    </row>
    <row r="326" spans="1:22" hidden="1" x14ac:dyDescent="0.25">
      <c r="A326" s="3">
        <f>VLOOKUP(C326,YieldData!F:G,2,FALSE)</f>
        <v>24111</v>
      </c>
      <c r="B326">
        <v>40</v>
      </c>
      <c r="C326">
        <v>213</v>
      </c>
      <c r="D326">
        <v>213</v>
      </c>
      <c r="E326" s="3">
        <f t="shared" si="5"/>
        <v>241110213</v>
      </c>
      <c r="F326" s="3">
        <f>VLOOKUP($E326,YieldData!$H:$R,10,FALSE)</f>
        <v>3</v>
      </c>
      <c r="G326" s="3">
        <f>VLOOKUP($E326,YieldData!$H:$R,11,FALSE)</f>
        <v>1</v>
      </c>
      <c r="H326">
        <v>102</v>
      </c>
      <c r="I326">
        <v>0.50808835068263802</v>
      </c>
      <c r="J326">
        <v>0.53985182261318998</v>
      </c>
      <c r="K326">
        <v>6.1188308510155401E-2</v>
      </c>
      <c r="L326">
        <v>0.83777845028354903</v>
      </c>
      <c r="M326">
        <v>0.50660938895431995</v>
      </c>
      <c r="N326">
        <v>1.5551604385579501E-2</v>
      </c>
      <c r="O326">
        <v>0.117401589769107</v>
      </c>
      <c r="P326">
        <v>2.47607546839918E-3</v>
      </c>
      <c r="Q326">
        <v>13128.3523892347</v>
      </c>
      <c r="R326">
        <v>209748601.436452</v>
      </c>
      <c r="S326">
        <v>6822.6418766268298</v>
      </c>
      <c r="T326">
        <v>108001181.55048101</v>
      </c>
      <c r="U326">
        <f>VLOOKUP(C326,YieldData!F:AG,27,FALSE)</f>
        <v>475</v>
      </c>
      <c r="V326">
        <f>_xlfn.MAXIFS(I:I,C:C,C326)</f>
        <v>0.50808835068263802</v>
      </c>
    </row>
    <row r="327" spans="1:22" hidden="1" x14ac:dyDescent="0.25">
      <c r="A327" s="3">
        <f>VLOOKUP(C327,YieldData!F:G,2,FALSE)</f>
        <v>24110</v>
      </c>
      <c r="B327">
        <v>40</v>
      </c>
      <c r="C327">
        <v>206</v>
      </c>
      <c r="D327">
        <v>206</v>
      </c>
      <c r="E327" s="3">
        <f t="shared" si="5"/>
        <v>241100206</v>
      </c>
      <c r="F327" s="3">
        <f>VLOOKUP($E327,YieldData!$H:$R,10,FALSE)</f>
        <v>4</v>
      </c>
      <c r="G327" s="3">
        <f>VLOOKUP($E327,YieldData!$H:$R,11,FALSE)</f>
        <v>4</v>
      </c>
      <c r="H327">
        <v>165</v>
      </c>
      <c r="I327">
        <v>0.57408049171216502</v>
      </c>
      <c r="J327">
        <v>0.58682211639793402</v>
      </c>
      <c r="K327">
        <v>6.2143885442904702E-2</v>
      </c>
      <c r="L327">
        <v>0.99215789473684202</v>
      </c>
      <c r="M327">
        <v>0.55871972436454398</v>
      </c>
      <c r="N327">
        <v>1.92718405439622E-2</v>
      </c>
      <c r="O327">
        <v>0.111082278284604</v>
      </c>
      <c r="P327">
        <v>3.2127368822865402E-3</v>
      </c>
      <c r="Q327">
        <v>12202.4728414032</v>
      </c>
      <c r="R327">
        <v>163306192.02848801</v>
      </c>
      <c r="S327">
        <v>6634.3213801560696</v>
      </c>
      <c r="T327">
        <v>113206470.03118899</v>
      </c>
      <c r="U327">
        <f>VLOOKUP(C327,YieldData!F:AG,27,FALSE)</f>
        <v>1549</v>
      </c>
      <c r="V327">
        <f>_xlfn.MAXIFS(I:I,C:C,C327)</f>
        <v>0.57408049171216502</v>
      </c>
    </row>
    <row r="328" spans="1:22" hidden="1" x14ac:dyDescent="0.25">
      <c r="A328" s="3">
        <f>VLOOKUP(C328,YieldData!F:G,2,FALSE)</f>
        <v>24110</v>
      </c>
      <c r="B328">
        <v>40</v>
      </c>
      <c r="C328">
        <v>113</v>
      </c>
      <c r="D328">
        <v>113</v>
      </c>
      <c r="E328" s="3">
        <f t="shared" si="5"/>
        <v>241100113</v>
      </c>
      <c r="F328" s="3">
        <f>VLOOKUP($E328,YieldData!$H:$R,10,FALSE)</f>
        <v>5</v>
      </c>
      <c r="G328" s="3">
        <f>VLOOKUP($E328,YieldData!$H:$R,11,FALSE)</f>
        <v>2</v>
      </c>
      <c r="H328">
        <v>84</v>
      </c>
      <c r="I328">
        <v>0.56962761957694397</v>
      </c>
      <c r="J328">
        <v>0.58792981252663201</v>
      </c>
      <c r="K328">
        <v>6.0793298443443597E-2</v>
      </c>
      <c r="L328">
        <v>0.95497486908239304</v>
      </c>
      <c r="M328">
        <v>0.53926701843828695</v>
      </c>
      <c r="N328">
        <v>2.17977964953797E-2</v>
      </c>
      <c r="O328">
        <v>9.7761186044518097E-2</v>
      </c>
      <c r="P328">
        <v>3.7516389412676101E-3</v>
      </c>
      <c r="Q328">
        <v>12134.523411906999</v>
      </c>
      <c r="R328">
        <v>137684722.544687</v>
      </c>
      <c r="S328">
        <v>7783.2294199467997</v>
      </c>
      <c r="T328">
        <v>117155002.23059499</v>
      </c>
      <c r="U328">
        <f>VLOOKUP(C328,YieldData!F:AG,27,FALSE)</f>
        <v>1849</v>
      </c>
      <c r="V328">
        <f>_xlfn.MAXIFS(I:I,C:C,C328)</f>
        <v>0.56962761957694397</v>
      </c>
    </row>
    <row r="329" spans="1:22" hidden="1" x14ac:dyDescent="0.25">
      <c r="A329" s="3">
        <f>VLOOKUP(C329,YieldData!F:G,2,FALSE)</f>
        <v>24110</v>
      </c>
      <c r="B329">
        <v>40</v>
      </c>
      <c r="C329">
        <v>106</v>
      </c>
      <c r="D329">
        <v>106</v>
      </c>
      <c r="E329" s="3">
        <f t="shared" si="5"/>
        <v>241100106</v>
      </c>
      <c r="F329" s="3">
        <f>VLOOKUP($E329,YieldData!$H:$R,10,FALSE)</f>
        <v>2</v>
      </c>
      <c r="G329" s="3">
        <f>VLOOKUP($E329,YieldData!$H:$R,11,FALSE)</f>
        <v>2</v>
      </c>
      <c r="H329">
        <v>105</v>
      </c>
      <c r="I329">
        <v>0.66110006800230203</v>
      </c>
      <c r="J329">
        <v>0.65908707391029098</v>
      </c>
      <c r="K329">
        <v>5.5329885387290001E-2</v>
      </c>
      <c r="L329">
        <v>0.97805263157894695</v>
      </c>
      <c r="M329">
        <v>0.606701318372733</v>
      </c>
      <c r="N329">
        <v>2.1965544551498701E-2</v>
      </c>
      <c r="O329">
        <v>0.146263717092222</v>
      </c>
      <c r="P329">
        <v>4.0907479356872703E-3</v>
      </c>
      <c r="Q329">
        <v>13512.5964324946</v>
      </c>
      <c r="R329">
        <v>144041331.26031601</v>
      </c>
      <c r="S329">
        <v>4165.0213809284196</v>
      </c>
      <c r="T329">
        <v>116303402.01682299</v>
      </c>
      <c r="U329">
        <f>VLOOKUP(C329,YieldData!F:AG,27,FALSE)</f>
        <v>2109</v>
      </c>
      <c r="V329">
        <f>_xlfn.MAXIFS(I:I,C:C,C329)</f>
        <v>0.66110006800230203</v>
      </c>
    </row>
    <row r="330" spans="1:22" hidden="1" x14ac:dyDescent="0.25">
      <c r="A330" s="3">
        <f>VLOOKUP(C330,YieldData!F:G,2,FALSE)</f>
        <v>24110</v>
      </c>
      <c r="B330">
        <v>40</v>
      </c>
      <c r="C330">
        <v>107</v>
      </c>
      <c r="D330">
        <v>107</v>
      </c>
      <c r="E330" s="3">
        <f t="shared" si="5"/>
        <v>241100107</v>
      </c>
      <c r="F330" s="3">
        <f>VLOOKUP($E330,YieldData!$H:$R,10,FALSE)</f>
        <v>4</v>
      </c>
      <c r="G330" s="3">
        <f>VLOOKUP($E330,YieldData!$H:$R,11,FALSE)</f>
        <v>2</v>
      </c>
      <c r="H330">
        <v>85</v>
      </c>
      <c r="I330">
        <v>0.62568002301616399</v>
      </c>
      <c r="J330">
        <v>0.63273773452300897</v>
      </c>
      <c r="K330">
        <v>5.7823571440966101E-2</v>
      </c>
      <c r="L330">
        <v>0.96451315789473702</v>
      </c>
      <c r="M330">
        <v>0.58929912677700103</v>
      </c>
      <c r="N330">
        <v>2.2096492111248599E-2</v>
      </c>
      <c r="O330">
        <v>0.13881204530865501</v>
      </c>
      <c r="P330">
        <v>4.16472525557541E-3</v>
      </c>
      <c r="Q330">
        <v>12588.0124758069</v>
      </c>
      <c r="R330">
        <v>147238410.490771</v>
      </c>
      <c r="S330">
        <v>5116.6338287990102</v>
      </c>
      <c r="T330">
        <v>121706038.039129</v>
      </c>
      <c r="U330">
        <f>VLOOKUP(C330,YieldData!F:AG,27,FALSE)</f>
        <v>1767</v>
      </c>
      <c r="V330">
        <f>_xlfn.MAXIFS(I:I,C:C,C330)</f>
        <v>0.62568002301616399</v>
      </c>
    </row>
    <row r="331" spans="1:22" hidden="1" x14ac:dyDescent="0.25">
      <c r="A331" s="3">
        <f>VLOOKUP(C331,YieldData!F:G,2,FALSE)</f>
        <v>24110</v>
      </c>
      <c r="B331">
        <v>40</v>
      </c>
      <c r="C331">
        <v>114</v>
      </c>
      <c r="D331">
        <v>114</v>
      </c>
      <c r="E331" s="3">
        <f t="shared" si="5"/>
        <v>241100114</v>
      </c>
      <c r="F331" s="3">
        <f>VLOOKUP($E331,YieldData!$H:$R,10,FALSE)</f>
        <v>3</v>
      </c>
      <c r="G331" s="3">
        <f>VLOOKUP($E331,YieldData!$H:$R,11,FALSE)</f>
        <v>2</v>
      </c>
      <c r="H331">
        <v>61</v>
      </c>
      <c r="I331">
        <v>0.55712193335774396</v>
      </c>
      <c r="J331">
        <v>0.57881178522714705</v>
      </c>
      <c r="K331">
        <v>6.1972638135711799E-2</v>
      </c>
      <c r="L331">
        <v>0.93996052631578997</v>
      </c>
      <c r="M331">
        <v>0.53456415115092903</v>
      </c>
      <c r="N331">
        <v>2.243528556234E-2</v>
      </c>
      <c r="O331">
        <v>9.8138080494857505E-2</v>
      </c>
      <c r="P331">
        <v>3.8831883340401099E-3</v>
      </c>
      <c r="Q331">
        <v>11895.610529894901</v>
      </c>
      <c r="R331">
        <v>152288918.748716</v>
      </c>
      <c r="S331">
        <v>7807.6556188489203</v>
      </c>
      <c r="T331">
        <v>125051881.037229</v>
      </c>
      <c r="U331">
        <f>VLOOKUP(C331,YieldData!F:AG,27,FALSE)</f>
        <v>1577</v>
      </c>
      <c r="V331">
        <f>_xlfn.MAXIFS(I:I,C:C,C331)</f>
        <v>0.55712193335774396</v>
      </c>
    </row>
    <row r="332" spans="1:22" hidden="1" x14ac:dyDescent="0.25">
      <c r="A332" s="3">
        <f>VLOOKUP(C332,YieldData!F:G,2,FALSE)</f>
        <v>24111</v>
      </c>
      <c r="B332">
        <v>40</v>
      </c>
      <c r="C332">
        <v>207</v>
      </c>
      <c r="D332">
        <v>207</v>
      </c>
      <c r="E332" s="3">
        <f t="shared" si="5"/>
        <v>241110207</v>
      </c>
      <c r="F332" s="3">
        <f>VLOOKUP($E332,YieldData!$H:$R,10,FALSE)</f>
        <v>1</v>
      </c>
      <c r="G332" s="3">
        <f>VLOOKUP($E332,YieldData!$H:$R,11,FALSE)</f>
        <v>1</v>
      </c>
      <c r="H332">
        <v>169</v>
      </c>
      <c r="I332">
        <v>0.70132409193448197</v>
      </c>
      <c r="J332">
        <v>0.65730685734071004</v>
      </c>
      <c r="K332">
        <v>4.8755864675355198E-2</v>
      </c>
      <c r="L332">
        <v>0.99763161011039303</v>
      </c>
      <c r="M332">
        <v>0.58375034148391902</v>
      </c>
      <c r="N332">
        <v>1.52197336426636E-2</v>
      </c>
      <c r="O332">
        <v>0.12845065076784001</v>
      </c>
      <c r="P332">
        <v>4.2781109681405997E-3</v>
      </c>
      <c r="Q332">
        <v>15805.998044921</v>
      </c>
      <c r="R332">
        <v>198260715.327618</v>
      </c>
      <c r="S332">
        <v>4146.7325495902096</v>
      </c>
      <c r="T332">
        <v>90609061.948053405</v>
      </c>
      <c r="U332">
        <f>VLOOKUP(C332,YieldData!F:AG,27,FALSE)</f>
        <v>1091</v>
      </c>
      <c r="V332">
        <f>_xlfn.MAXIFS(I:I,C:C,C332)</f>
        <v>0.70132409193448197</v>
      </c>
    </row>
    <row r="333" spans="1:22" hidden="1" x14ac:dyDescent="0.25">
      <c r="A333" s="3">
        <f>VLOOKUP(C333,YieldData!F:G,2,FALSE)</f>
        <v>24111</v>
      </c>
      <c r="B333">
        <v>40</v>
      </c>
      <c r="C333">
        <v>214</v>
      </c>
      <c r="D333">
        <v>214</v>
      </c>
      <c r="E333" s="3">
        <f t="shared" si="5"/>
        <v>241110214</v>
      </c>
      <c r="F333" s="3">
        <f>VLOOKUP($E333,YieldData!$H:$R,10,FALSE)</f>
        <v>2</v>
      </c>
      <c r="G333" s="3">
        <f>VLOOKUP($E333,YieldData!$H:$R,11,FALSE)</f>
        <v>1</v>
      </c>
      <c r="H333">
        <v>109</v>
      </c>
      <c r="I333">
        <v>0.63073442485745701</v>
      </c>
      <c r="J333">
        <v>0.620538469437938</v>
      </c>
      <c r="K333">
        <v>5.47518257643103E-2</v>
      </c>
      <c r="L333">
        <v>0.85628569172873004</v>
      </c>
      <c r="M333">
        <v>0.54896264970470199</v>
      </c>
      <c r="N333">
        <v>1.5171819854956E-2</v>
      </c>
      <c r="O333">
        <v>0.13794649428664499</v>
      </c>
      <c r="P333">
        <v>3.0131838294598502E-3</v>
      </c>
      <c r="Q333">
        <v>15475.6252615473</v>
      </c>
      <c r="R333">
        <v>197045039.207425</v>
      </c>
      <c r="S333">
        <v>3633.5531338816099</v>
      </c>
      <c r="T333">
        <v>99232485.720613107</v>
      </c>
      <c r="U333">
        <f>VLOOKUP(C333,YieldData!F:AG,27,FALSE)</f>
        <v>817</v>
      </c>
      <c r="V333">
        <f>_xlfn.MAXIFS(I:I,C:C,C333)</f>
        <v>0.63073442485745701</v>
      </c>
    </row>
    <row r="334" spans="1:22" hidden="1" x14ac:dyDescent="0.25">
      <c r="A334" s="3">
        <f>VLOOKUP(C334,YieldData!F:G,2,FALSE)</f>
        <v>24111</v>
      </c>
      <c r="B334">
        <v>40</v>
      </c>
      <c r="C334">
        <v>307</v>
      </c>
      <c r="D334">
        <v>307</v>
      </c>
      <c r="E334" s="3">
        <f t="shared" si="5"/>
        <v>241110307</v>
      </c>
      <c r="F334" s="3">
        <f>VLOOKUP($E334,YieldData!$H:$R,10,FALSE)</f>
        <v>2</v>
      </c>
      <c r="G334" s="3">
        <f>VLOOKUP($E334,YieldData!$H:$R,11,FALSE)</f>
        <v>3</v>
      </c>
      <c r="H334">
        <v>53</v>
      </c>
      <c r="I334">
        <v>0.62418757928049295</v>
      </c>
      <c r="J334">
        <v>0.62109048202095796</v>
      </c>
      <c r="K334">
        <v>4.55682868233757E-2</v>
      </c>
      <c r="L334">
        <v>0.886764647833581</v>
      </c>
      <c r="M334">
        <v>0.55909734044947101</v>
      </c>
      <c r="N334">
        <v>1.2757520484312499E-2</v>
      </c>
      <c r="O334">
        <v>0.14748943349820801</v>
      </c>
      <c r="P334">
        <v>1.5694614852181201E-3</v>
      </c>
      <c r="Q334">
        <v>15647.9541317397</v>
      </c>
      <c r="R334">
        <v>187160271.41152301</v>
      </c>
      <c r="S334">
        <v>3244.89277927491</v>
      </c>
      <c r="T334">
        <v>91431780.970814496</v>
      </c>
      <c r="U334">
        <f>VLOOKUP(C334,YieldData!F:AG,27,FALSE)</f>
        <v>856</v>
      </c>
      <c r="V334">
        <f>_xlfn.MAXIFS(I:I,C:C,C334)</f>
        <v>0.62418757928049295</v>
      </c>
    </row>
    <row r="335" spans="1:22" hidden="1" x14ac:dyDescent="0.25">
      <c r="A335" s="3">
        <f>VLOOKUP(C335,YieldData!F:G,2,FALSE)</f>
        <v>24111</v>
      </c>
      <c r="B335">
        <v>40</v>
      </c>
      <c r="C335">
        <v>314</v>
      </c>
      <c r="D335">
        <v>314</v>
      </c>
      <c r="E335" s="3">
        <f t="shared" si="5"/>
        <v>241110314</v>
      </c>
      <c r="F335" s="3">
        <f>VLOOKUP($E335,YieldData!$H:$R,10,FALSE)</f>
        <v>3</v>
      </c>
      <c r="G335" s="3">
        <f>VLOOKUP($E335,YieldData!$H:$R,11,FALSE)</f>
        <v>4</v>
      </c>
      <c r="H335">
        <v>120</v>
      </c>
      <c r="I335">
        <v>0.69291982162239896</v>
      </c>
      <c r="J335">
        <v>0.65005925801672204</v>
      </c>
      <c r="K335">
        <v>4.4376468946842898E-2</v>
      </c>
      <c r="L335">
        <v>0.98118445809923505</v>
      </c>
      <c r="M335">
        <v>0.60953000812657798</v>
      </c>
      <c r="N335">
        <v>1.2584612219807801E-2</v>
      </c>
      <c r="O335">
        <v>0.167943814252385</v>
      </c>
      <c r="P335">
        <v>4.7258153759929099E-3</v>
      </c>
      <c r="Q335">
        <v>15905.3117292427</v>
      </c>
      <c r="R335">
        <v>183546689.38139901</v>
      </c>
      <c r="S335">
        <v>3959.64023018945</v>
      </c>
      <c r="T335">
        <v>101842376.57413</v>
      </c>
      <c r="U335">
        <f>VLOOKUP(C335,YieldData!F:AG,27,FALSE)</f>
        <v>865</v>
      </c>
      <c r="V335">
        <f>_xlfn.MAXIFS(I:I,C:C,C335)</f>
        <v>0.69291982162239896</v>
      </c>
    </row>
    <row r="336" spans="1:22" hidden="1" x14ac:dyDescent="0.25">
      <c r="A336" s="3">
        <f>VLOOKUP(C336,YieldData!F:G,2,FALSE)</f>
        <v>24112</v>
      </c>
      <c r="B336">
        <v>40</v>
      </c>
      <c r="C336">
        <v>407</v>
      </c>
      <c r="D336">
        <v>407</v>
      </c>
      <c r="E336" s="3">
        <f t="shared" si="5"/>
        <v>241120407</v>
      </c>
      <c r="F336" s="3">
        <f>VLOOKUP($E336,YieldData!$H:$R,10,FALSE)</f>
        <v>4</v>
      </c>
      <c r="G336" s="3">
        <f>VLOOKUP($E336,YieldData!$H:$R,11,FALSE)</f>
        <v>3</v>
      </c>
      <c r="H336">
        <v>18</v>
      </c>
      <c r="I336">
        <v>0.459862557785232</v>
      </c>
      <c r="J336">
        <v>0.52146322290126201</v>
      </c>
      <c r="K336">
        <v>5.8469488461904598E-2</v>
      </c>
      <c r="L336">
        <v>0.65770602244766396</v>
      </c>
      <c r="M336">
        <v>0.52986119773863705</v>
      </c>
      <c r="N336">
        <v>1.38149193316603E-2</v>
      </c>
      <c r="O336">
        <v>0.139249932157747</v>
      </c>
      <c r="P336">
        <v>1.4999478849282901E-3</v>
      </c>
      <c r="Q336">
        <v>12594.878629762599</v>
      </c>
      <c r="R336">
        <v>191392024.900956</v>
      </c>
      <c r="S336">
        <v>5524.5379982957502</v>
      </c>
      <c r="T336">
        <v>76053423.124828905</v>
      </c>
      <c r="U336">
        <f>VLOOKUP(C336,YieldData!F:AG,27,FALSE)</f>
        <v>804</v>
      </c>
      <c r="V336">
        <f>_xlfn.MAXIFS(I:I,C:C,C336)</f>
        <v>0.459862557785232</v>
      </c>
    </row>
    <row r="337" spans="1:22" hidden="1" x14ac:dyDescent="0.25">
      <c r="A337" s="3">
        <f>VLOOKUP(C337,YieldData!F:G,2,FALSE)</f>
        <v>24112</v>
      </c>
      <c r="B337">
        <v>40</v>
      </c>
      <c r="C337">
        <v>414</v>
      </c>
      <c r="D337">
        <v>414</v>
      </c>
      <c r="E337" s="3">
        <f t="shared" si="5"/>
        <v>241120414</v>
      </c>
      <c r="F337" s="3">
        <f>VLOOKUP($E337,YieldData!$H:$R,10,FALSE)</f>
        <v>2</v>
      </c>
      <c r="G337" s="3">
        <f>VLOOKUP($E337,YieldData!$H:$R,11,FALSE)</f>
        <v>3</v>
      </c>
      <c r="H337">
        <v>86</v>
      </c>
      <c r="I337">
        <v>0.31829891851600001</v>
      </c>
      <c r="J337">
        <v>0.42083331555065701</v>
      </c>
      <c r="K337">
        <v>5.5240599303163801E-2</v>
      </c>
      <c r="L337">
        <v>0.77047368421052598</v>
      </c>
      <c r="M337">
        <v>0.45720265171631802</v>
      </c>
      <c r="N337">
        <v>1.83920272290873E-2</v>
      </c>
      <c r="O337">
        <v>9.3820924629397201E-2</v>
      </c>
      <c r="P337">
        <v>2.9188785773851598E-3</v>
      </c>
      <c r="Q337">
        <v>7368.5831317265802</v>
      </c>
      <c r="R337">
        <v>121491929.31192701</v>
      </c>
      <c r="S337">
        <v>11520.365258261299</v>
      </c>
      <c r="T337">
        <v>95515217.499718398</v>
      </c>
      <c r="U337">
        <f>VLOOKUP(C337,YieldData!F:AG,27,FALSE)</f>
        <v>466</v>
      </c>
      <c r="V337">
        <f>_xlfn.MAXIFS(I:I,C:C,C337)</f>
        <v>0.31829891851600001</v>
      </c>
    </row>
    <row r="338" spans="1:22" x14ac:dyDescent="0.25">
      <c r="A338">
        <v>24101</v>
      </c>
      <c r="B338">
        <v>13</v>
      </c>
      <c r="C338">
        <v>1001</v>
      </c>
      <c r="D338">
        <v>1001</v>
      </c>
      <c r="E338" s="3">
        <f>$A338*10000+$C338</f>
        <v>241011001</v>
      </c>
      <c r="F338" s="3">
        <f>VLOOKUP($E338,AgronomyYieldData!H:N,7,FALSE)</f>
        <v>68</v>
      </c>
      <c r="G338" s="3">
        <f>VLOOKUP($E338,AgronomyYieldData!$H:O,3,FALSE)</f>
        <v>1</v>
      </c>
      <c r="H338" s="9">
        <v>63</v>
      </c>
      <c r="I338">
        <v>0.36373147112863402</v>
      </c>
      <c r="J338">
        <v>0.23340913145992201</v>
      </c>
      <c r="K338" s="7">
        <v>2.7674691851128199E-3</v>
      </c>
      <c r="L338" s="7">
        <v>0.90265917553716402</v>
      </c>
      <c r="M338">
        <v>0.34386464358376401</v>
      </c>
      <c r="N338">
        <v>2.4845222218662401E-3</v>
      </c>
      <c r="O338">
        <v>0</v>
      </c>
      <c r="P338">
        <v>0</v>
      </c>
      <c r="Q338">
        <v>2411.1740195392299</v>
      </c>
      <c r="R338">
        <v>2487952.1203204398</v>
      </c>
      <c r="S338">
        <v>16146.088004757201</v>
      </c>
      <c r="T338">
        <v>13854818.3764263</v>
      </c>
      <c r="U338" s="3">
        <v>2280</v>
      </c>
      <c r="V338">
        <v>0.96128626557310004</v>
      </c>
    </row>
    <row r="339" spans="1:22" x14ac:dyDescent="0.25">
      <c r="A339">
        <v>24101</v>
      </c>
      <c r="B339">
        <v>13</v>
      </c>
      <c r="C339">
        <v>1002</v>
      </c>
      <c r="D339">
        <v>1002</v>
      </c>
      <c r="E339" s="3">
        <f t="shared" ref="E339:E402" si="6">$A339*10000+$C339</f>
        <v>241011002</v>
      </c>
      <c r="F339" s="3">
        <f>VLOOKUP($E339,AgronomyYieldData!H:N,7,FALSE)</f>
        <v>81</v>
      </c>
      <c r="G339" s="3">
        <f>VLOOKUP($E339,AgronomyYieldData!$H:O,3,FALSE)</f>
        <v>1</v>
      </c>
      <c r="H339" s="9">
        <v>60</v>
      </c>
      <c r="I339">
        <v>0.51927578495861004</v>
      </c>
      <c r="J339">
        <v>0.25561849308731499</v>
      </c>
      <c r="K339" s="7">
        <v>7.8549335301384294E-3</v>
      </c>
      <c r="L339" s="7">
        <v>0.94638157894736796</v>
      </c>
      <c r="M339">
        <v>0.363267057160306</v>
      </c>
      <c r="N339">
        <v>3.3349622499310801E-3</v>
      </c>
      <c r="O339">
        <v>0</v>
      </c>
      <c r="P339">
        <v>0</v>
      </c>
      <c r="Q339">
        <v>2496.47735352574</v>
      </c>
      <c r="R339">
        <v>2066755.8328507999</v>
      </c>
      <c r="S339">
        <v>15636.3245522489</v>
      </c>
      <c r="T339">
        <v>17793178.187415302</v>
      </c>
      <c r="U339" s="3">
        <v>2550</v>
      </c>
      <c r="V339">
        <v>0.44960173709273399</v>
      </c>
    </row>
    <row r="340" spans="1:22" x14ac:dyDescent="0.25">
      <c r="A340">
        <v>24101</v>
      </c>
      <c r="B340">
        <v>13</v>
      </c>
      <c r="C340">
        <v>1005</v>
      </c>
      <c r="D340">
        <v>1005</v>
      </c>
      <c r="E340" s="3">
        <f t="shared" si="6"/>
        <v>241011005</v>
      </c>
      <c r="F340" s="3">
        <f>VLOOKUP($E340,AgronomyYieldData!H:N,7,FALSE)</f>
        <v>8</v>
      </c>
      <c r="G340" s="3">
        <f>VLOOKUP($E340,AgronomyYieldData!$H:O,3,FALSE)</f>
        <v>1</v>
      </c>
      <c r="H340" s="9">
        <v>54</v>
      </c>
      <c r="I340">
        <v>0.45493447691967898</v>
      </c>
      <c r="J340">
        <v>0.24123308047355799</v>
      </c>
      <c r="K340" s="7">
        <v>2.7985804663915601E-3</v>
      </c>
      <c r="L340" s="7">
        <v>0.96062890053519501</v>
      </c>
      <c r="M340">
        <v>0.387879892767443</v>
      </c>
      <c r="N340">
        <v>2.1613910752844201E-3</v>
      </c>
      <c r="O340">
        <v>0</v>
      </c>
      <c r="P340">
        <v>0</v>
      </c>
      <c r="Q340">
        <v>2237.41964936472</v>
      </c>
      <c r="R340">
        <v>1175209.8584950401</v>
      </c>
      <c r="S340">
        <v>15688.4695272223</v>
      </c>
      <c r="T340">
        <v>14047032.803415401</v>
      </c>
      <c r="U340" s="3">
        <v>640</v>
      </c>
      <c r="V340">
        <v>0.96999266268787598</v>
      </c>
    </row>
    <row r="341" spans="1:22" x14ac:dyDescent="0.25">
      <c r="A341">
        <v>24101</v>
      </c>
      <c r="B341">
        <v>13</v>
      </c>
      <c r="C341">
        <v>1006</v>
      </c>
      <c r="D341">
        <v>1006</v>
      </c>
      <c r="E341" s="3">
        <f t="shared" si="6"/>
        <v>241011006</v>
      </c>
      <c r="F341" s="3">
        <f>VLOOKUP($E341,AgronomyYieldData!H:N,7,FALSE)</f>
        <v>18</v>
      </c>
      <c r="G341" s="3">
        <f>VLOOKUP($E341,AgronomyYieldData!$H:O,3,FALSE)</f>
        <v>1</v>
      </c>
      <c r="H341" s="9">
        <v>62</v>
      </c>
      <c r="I341">
        <v>0.57268669764873603</v>
      </c>
      <c r="J341">
        <v>0.23944592023990199</v>
      </c>
      <c r="K341" s="7">
        <v>4.7722279897580103E-3</v>
      </c>
      <c r="L341" s="7">
        <v>0.99907405692698004</v>
      </c>
      <c r="M341">
        <v>0.39157905976732899</v>
      </c>
      <c r="N341">
        <v>3.1892865558791001E-3</v>
      </c>
      <c r="O341">
        <v>0</v>
      </c>
      <c r="P341">
        <v>0</v>
      </c>
      <c r="Q341">
        <v>2213.7361790980099</v>
      </c>
      <c r="R341">
        <v>1142922.8655415501</v>
      </c>
      <c r="S341">
        <v>15660.081518716501</v>
      </c>
      <c r="T341">
        <v>15856584.3279188</v>
      </c>
      <c r="U341" s="3">
        <v>2565</v>
      </c>
      <c r="V341">
        <v>0.99232974530820905</v>
      </c>
    </row>
    <row r="342" spans="1:22" x14ac:dyDescent="0.25">
      <c r="A342">
        <v>24101</v>
      </c>
      <c r="B342">
        <v>13</v>
      </c>
      <c r="C342">
        <v>1007</v>
      </c>
      <c r="D342">
        <v>1007</v>
      </c>
      <c r="E342" s="3">
        <f t="shared" si="6"/>
        <v>241011007</v>
      </c>
      <c r="F342" s="3">
        <f>VLOOKUP($E342,AgronomyYieldData!H:N,7,FALSE)</f>
        <v>10</v>
      </c>
      <c r="G342" s="3">
        <f>VLOOKUP($E342,AgronomyYieldData!$H:O,3,FALSE)</f>
        <v>2</v>
      </c>
      <c r="H342" s="9">
        <v>57</v>
      </c>
      <c r="I342">
        <v>0.56682065817565996</v>
      </c>
      <c r="J342">
        <v>0.23344179395745099</v>
      </c>
      <c r="K342" s="7">
        <v>3.7067808496954401E-3</v>
      </c>
      <c r="L342" s="7">
        <v>1</v>
      </c>
      <c r="M342">
        <v>0.38602248063290601</v>
      </c>
      <c r="N342">
        <v>2.3599874737051099E-3</v>
      </c>
      <c r="O342">
        <v>0</v>
      </c>
      <c r="P342">
        <v>0</v>
      </c>
      <c r="Q342">
        <v>2216.7374003998798</v>
      </c>
      <c r="R342">
        <v>1274537.0275932399</v>
      </c>
      <c r="S342">
        <v>15931.256862386799</v>
      </c>
      <c r="T342">
        <v>14631296.868674001</v>
      </c>
      <c r="U342" s="3">
        <v>846</v>
      </c>
      <c r="V342">
        <v>0.77271317594910804</v>
      </c>
    </row>
    <row r="343" spans="1:22" x14ac:dyDescent="0.25">
      <c r="A343">
        <v>24101</v>
      </c>
      <c r="B343">
        <v>13</v>
      </c>
      <c r="C343">
        <v>1008</v>
      </c>
      <c r="D343">
        <v>1008</v>
      </c>
      <c r="E343" s="3">
        <f t="shared" si="6"/>
        <v>241011008</v>
      </c>
      <c r="F343" s="3">
        <f>VLOOKUP($E343,AgronomyYieldData!H:N,7,FALSE)</f>
        <v>38</v>
      </c>
      <c r="G343" s="3">
        <f>VLOOKUP($E343,AgronomyYieldData!$H:O,3,FALSE)</f>
        <v>2</v>
      </c>
      <c r="H343" s="9">
        <v>88</v>
      </c>
      <c r="I343">
        <v>0.566611758859635</v>
      </c>
      <c r="J343">
        <v>0.247542753588126</v>
      </c>
      <c r="K343" s="7">
        <v>5.7057276028160703E-3</v>
      </c>
      <c r="L343" s="7">
        <v>1</v>
      </c>
      <c r="M343">
        <v>0.39278793660157002</v>
      </c>
      <c r="N343">
        <v>2.7541933733342401E-3</v>
      </c>
      <c r="O343">
        <v>0</v>
      </c>
      <c r="P343">
        <v>0</v>
      </c>
      <c r="Q343">
        <v>2456.1615317941901</v>
      </c>
      <c r="R343">
        <v>3704944.4051776598</v>
      </c>
      <c r="S343">
        <v>15405.558641212399</v>
      </c>
      <c r="T343">
        <v>17316034.335781202</v>
      </c>
      <c r="U343" s="3">
        <v>2344</v>
      </c>
      <c r="V343">
        <v>0.99713315330443797</v>
      </c>
    </row>
    <row r="344" spans="1:22" x14ac:dyDescent="0.25">
      <c r="A344">
        <v>24101</v>
      </c>
      <c r="B344">
        <v>13</v>
      </c>
      <c r="C344">
        <v>1009</v>
      </c>
      <c r="D344">
        <v>1009</v>
      </c>
      <c r="E344" s="3">
        <f t="shared" si="6"/>
        <v>241011009</v>
      </c>
      <c r="F344" s="3">
        <f>VLOOKUP($E344,AgronomyYieldData!H:N,7,FALSE)</f>
        <v>17</v>
      </c>
      <c r="G344" s="3">
        <f>VLOOKUP($E344,AgronomyYieldData!$H:O,3,FALSE)</f>
        <v>2</v>
      </c>
      <c r="H344" s="9">
        <v>68</v>
      </c>
      <c r="I344">
        <v>0.51787160421114597</v>
      </c>
      <c r="J344">
        <v>0.238284201100183</v>
      </c>
      <c r="K344" s="7">
        <v>3.5113552930727799E-3</v>
      </c>
      <c r="L344" s="7">
        <v>0.97529675376381897</v>
      </c>
      <c r="M344">
        <v>0.38632196111273098</v>
      </c>
      <c r="N344">
        <v>2.4086972461382101E-3</v>
      </c>
      <c r="O344">
        <v>0</v>
      </c>
      <c r="P344">
        <v>0</v>
      </c>
      <c r="Q344">
        <v>2141.7536294691199</v>
      </c>
      <c r="R344">
        <v>1320664.8246162401</v>
      </c>
      <c r="S344">
        <v>15812.5004721763</v>
      </c>
      <c r="T344">
        <v>16950728.431809802</v>
      </c>
      <c r="U344" s="3">
        <v>2448</v>
      </c>
      <c r="V344">
        <v>0.98394099848714001</v>
      </c>
    </row>
    <row r="345" spans="1:22" x14ac:dyDescent="0.25">
      <c r="A345">
        <v>24101</v>
      </c>
      <c r="B345">
        <v>13</v>
      </c>
      <c r="C345">
        <v>1010</v>
      </c>
      <c r="D345">
        <v>1010</v>
      </c>
      <c r="E345" s="3">
        <f t="shared" si="6"/>
        <v>241011010</v>
      </c>
      <c r="F345" s="3">
        <f>VLOOKUP($E345,AgronomyYieldData!H:N,7,FALSE)</f>
        <v>62</v>
      </c>
      <c r="G345" s="3">
        <f>VLOOKUP($E345,AgronomyYieldData!$H:O,3,FALSE)</f>
        <v>2</v>
      </c>
      <c r="H345" s="9">
        <v>82</v>
      </c>
      <c r="I345">
        <v>0.32632831604964102</v>
      </c>
      <c r="J345">
        <v>0.23452372158927201</v>
      </c>
      <c r="K345" s="7">
        <v>4.0757012310410502E-3</v>
      </c>
      <c r="L345" s="7">
        <v>0.99468435041183101</v>
      </c>
      <c r="M345">
        <v>0.37726598382711501</v>
      </c>
      <c r="N345">
        <v>2.89610119460687E-3</v>
      </c>
      <c r="O345">
        <v>0</v>
      </c>
      <c r="P345">
        <v>0</v>
      </c>
      <c r="Q345">
        <v>2202.8935994513399</v>
      </c>
      <c r="R345">
        <v>1019397.33583136</v>
      </c>
      <c r="S345">
        <v>16151.071097952499</v>
      </c>
      <c r="T345">
        <v>14203005.6242842</v>
      </c>
      <c r="U345" s="3">
        <v>2913</v>
      </c>
      <c r="V345">
        <v>0.98246792684040996</v>
      </c>
    </row>
    <row r="346" spans="1:22" x14ac:dyDescent="0.25">
      <c r="A346">
        <v>24101</v>
      </c>
      <c r="B346">
        <v>13</v>
      </c>
      <c r="C346">
        <v>1011</v>
      </c>
      <c r="D346">
        <v>1011</v>
      </c>
      <c r="E346" s="3">
        <f t="shared" si="6"/>
        <v>241011011</v>
      </c>
      <c r="F346" s="3">
        <f>VLOOKUP($E346,AgronomyYieldData!H:N,7,FALSE)</f>
        <v>56</v>
      </c>
      <c r="G346" s="3">
        <f>VLOOKUP($E346,AgronomyYieldData!$H:O,3,FALSE)</f>
        <v>2</v>
      </c>
      <c r="H346" s="9">
        <v>71</v>
      </c>
      <c r="I346">
        <v>0.48913924778992501</v>
      </c>
      <c r="J346">
        <v>0.23382133042831099</v>
      </c>
      <c r="K346" s="7">
        <v>3.5364325295813999E-3</v>
      </c>
      <c r="L346" s="7">
        <v>0.90794615718627902</v>
      </c>
      <c r="M346">
        <v>0.37441349899516702</v>
      </c>
      <c r="N346">
        <v>2.46244333047832E-3</v>
      </c>
      <c r="O346">
        <v>0</v>
      </c>
      <c r="P346">
        <v>0</v>
      </c>
      <c r="Q346">
        <v>2234.94282515134</v>
      </c>
      <c r="R346">
        <v>1290680.3249720801</v>
      </c>
      <c r="S346">
        <v>16280.833198566001</v>
      </c>
      <c r="T346">
        <v>14260379.4523922</v>
      </c>
      <c r="U346" s="3">
        <v>395</v>
      </c>
      <c r="V346">
        <v>0.417169637914447</v>
      </c>
    </row>
    <row r="347" spans="1:22" x14ac:dyDescent="0.25">
      <c r="A347">
        <v>24101</v>
      </c>
      <c r="B347">
        <v>13</v>
      </c>
      <c r="C347">
        <v>1012</v>
      </c>
      <c r="D347">
        <v>1012</v>
      </c>
      <c r="E347" s="3">
        <f t="shared" si="6"/>
        <v>241011012</v>
      </c>
      <c r="F347" s="3">
        <f>VLOOKUP($E347,AgronomyYieldData!H:N,7,FALSE)</f>
        <v>87</v>
      </c>
      <c r="G347" s="3">
        <f>VLOOKUP($E347,AgronomyYieldData!$H:O,3,FALSE)</f>
        <v>2</v>
      </c>
      <c r="H347" s="9">
        <v>71</v>
      </c>
      <c r="I347">
        <v>0.48323797691829801</v>
      </c>
      <c r="J347">
        <v>0.242774055646372</v>
      </c>
      <c r="K347" s="7">
        <v>5.1561966241664798E-3</v>
      </c>
      <c r="L347" s="7">
        <v>0.99707894736842095</v>
      </c>
      <c r="M347">
        <v>0.38017119257160098</v>
      </c>
      <c r="N347">
        <v>2.8351806908797901E-3</v>
      </c>
      <c r="O347">
        <v>0</v>
      </c>
      <c r="P347">
        <v>0</v>
      </c>
      <c r="Q347">
        <v>2430.3622876018298</v>
      </c>
      <c r="R347">
        <v>2672459.7884913101</v>
      </c>
      <c r="S347">
        <v>15920.0972094478</v>
      </c>
      <c r="T347">
        <v>16913268.701274201</v>
      </c>
      <c r="U347" s="3">
        <v>1081</v>
      </c>
      <c r="V347">
        <v>0.94629689347522306</v>
      </c>
    </row>
    <row r="348" spans="1:22" x14ac:dyDescent="0.25">
      <c r="A348">
        <v>24101</v>
      </c>
      <c r="B348">
        <v>13</v>
      </c>
      <c r="C348">
        <v>1013</v>
      </c>
      <c r="D348">
        <v>1013</v>
      </c>
      <c r="E348" s="3">
        <f t="shared" si="6"/>
        <v>241011013</v>
      </c>
      <c r="F348" s="3">
        <f>VLOOKUP($E348,AgronomyYieldData!H:N,7,FALSE)</f>
        <v>40</v>
      </c>
      <c r="G348" s="3">
        <f>VLOOKUP($E348,AgronomyYieldData!$H:O,3,FALSE)</f>
        <v>3</v>
      </c>
      <c r="H348" s="9">
        <v>77</v>
      </c>
      <c r="I348">
        <v>0.54471499825152303</v>
      </c>
      <c r="J348">
        <v>0.24483594630373401</v>
      </c>
      <c r="K348" s="7">
        <v>6.7094168178817304E-3</v>
      </c>
      <c r="L348" s="7">
        <v>0.99994444444444397</v>
      </c>
      <c r="M348">
        <v>0.384206889162374</v>
      </c>
      <c r="N348">
        <v>3.89229832129822E-3</v>
      </c>
      <c r="O348">
        <v>0</v>
      </c>
      <c r="P348">
        <v>0</v>
      </c>
      <c r="Q348">
        <v>2408.68749753772</v>
      </c>
      <c r="R348">
        <v>2199916.2963165301</v>
      </c>
      <c r="S348">
        <v>15835.3237164026</v>
      </c>
      <c r="T348">
        <v>21501595.305189501</v>
      </c>
      <c r="U348" s="3">
        <v>581</v>
      </c>
      <c r="V348">
        <v>0.78006051437216295</v>
      </c>
    </row>
    <row r="349" spans="1:22" x14ac:dyDescent="0.25">
      <c r="A349">
        <v>24101</v>
      </c>
      <c r="B349">
        <v>13</v>
      </c>
      <c r="C349">
        <v>1014</v>
      </c>
      <c r="D349">
        <v>1014</v>
      </c>
      <c r="E349" s="3">
        <f t="shared" si="6"/>
        <v>241011014</v>
      </c>
      <c r="F349" s="3">
        <f>VLOOKUP($E349,AgronomyYieldData!H:N,7,FALSE)</f>
        <v>8</v>
      </c>
      <c r="G349" s="3">
        <f>VLOOKUP($E349,AgronomyYieldData!$H:O,3,FALSE)</f>
        <v>3</v>
      </c>
      <c r="H349" s="9">
        <v>68</v>
      </c>
      <c r="I349">
        <v>0.46458316078149797</v>
      </c>
      <c r="J349">
        <v>0.22925281535623299</v>
      </c>
      <c r="K349" s="7">
        <v>3.8113416147910798E-3</v>
      </c>
      <c r="L349" s="7">
        <v>0.996426058294137</v>
      </c>
      <c r="M349">
        <v>0.37048300559581399</v>
      </c>
      <c r="N349">
        <v>2.5765484182616299E-3</v>
      </c>
      <c r="O349">
        <v>0</v>
      </c>
      <c r="P349">
        <v>0</v>
      </c>
      <c r="Q349">
        <v>2417.12549985226</v>
      </c>
      <c r="R349">
        <v>2536399.2720071399</v>
      </c>
      <c r="S349">
        <v>16454.276980045601</v>
      </c>
      <c r="T349">
        <v>15366378.566599101</v>
      </c>
      <c r="U349" s="3">
        <v>1932</v>
      </c>
      <c r="V349">
        <v>0.988078668683812</v>
      </c>
    </row>
    <row r="350" spans="1:22" x14ac:dyDescent="0.25">
      <c r="A350">
        <v>24101</v>
      </c>
      <c r="B350">
        <v>13</v>
      </c>
      <c r="C350">
        <v>1015</v>
      </c>
      <c r="D350">
        <v>1015</v>
      </c>
      <c r="E350" s="3">
        <f t="shared" si="6"/>
        <v>241011015</v>
      </c>
      <c r="F350" s="3">
        <f>VLOOKUP($E350,AgronomyYieldData!H:N,7,FALSE)</f>
        <v>19</v>
      </c>
      <c r="G350" s="3">
        <f>VLOOKUP($E350,AgronomyYieldData!$H:O,3,FALSE)</f>
        <v>3</v>
      </c>
      <c r="H350" s="9">
        <v>77</v>
      </c>
      <c r="I350">
        <v>0.60114298335219896</v>
      </c>
      <c r="J350">
        <v>0.23736266295285399</v>
      </c>
      <c r="K350" s="7">
        <v>3.9038137102593001E-3</v>
      </c>
      <c r="L350" s="7">
        <v>0.99953704561026602</v>
      </c>
      <c r="M350">
        <v>0.378225123140288</v>
      </c>
      <c r="N350">
        <v>2.8409544392356601E-3</v>
      </c>
      <c r="O350">
        <v>0</v>
      </c>
      <c r="P350">
        <v>0</v>
      </c>
      <c r="Q350">
        <v>2266.7038076665499</v>
      </c>
      <c r="R350">
        <v>1620815.4732065799</v>
      </c>
      <c r="S350">
        <v>16691.885205365201</v>
      </c>
      <c r="T350">
        <v>17029436.499904599</v>
      </c>
      <c r="U350" s="3">
        <v>798</v>
      </c>
      <c r="V350">
        <v>0.95311684480450198</v>
      </c>
    </row>
    <row r="351" spans="1:22" x14ac:dyDescent="0.25">
      <c r="A351">
        <v>24101</v>
      </c>
      <c r="B351">
        <v>13</v>
      </c>
      <c r="C351">
        <v>1016</v>
      </c>
      <c r="D351">
        <v>1016</v>
      </c>
      <c r="E351" s="3">
        <f t="shared" si="6"/>
        <v>241011016</v>
      </c>
      <c r="F351" s="3">
        <f>VLOOKUP($E351,AgronomyYieldData!H:N,7,FALSE)</f>
        <v>62</v>
      </c>
      <c r="G351" s="3">
        <f>VLOOKUP($E351,AgronomyYieldData!$H:O,3,FALSE)</f>
        <v>3</v>
      </c>
      <c r="H351" s="9">
        <v>73</v>
      </c>
      <c r="I351">
        <v>0.294545359436096</v>
      </c>
      <c r="J351">
        <v>0.234140967993827</v>
      </c>
      <c r="K351" s="7">
        <v>3.60829864058373E-3</v>
      </c>
      <c r="L351" s="7">
        <v>0.98677614179133899</v>
      </c>
      <c r="M351">
        <v>0.37050614113444802</v>
      </c>
      <c r="N351">
        <v>2.5576153548825201E-3</v>
      </c>
      <c r="O351">
        <v>0</v>
      </c>
      <c r="P351">
        <v>0</v>
      </c>
      <c r="Q351">
        <v>2302.0431158760998</v>
      </c>
      <c r="R351">
        <v>1077118.0013671999</v>
      </c>
      <c r="S351">
        <v>16522.556536292799</v>
      </c>
      <c r="T351">
        <v>13497612.340785099</v>
      </c>
      <c r="U351" s="3">
        <v>2432</v>
      </c>
      <c r="V351">
        <v>0.97636284484287506</v>
      </c>
    </row>
    <row r="352" spans="1:22" x14ac:dyDescent="0.25">
      <c r="A352">
        <v>24101</v>
      </c>
      <c r="B352">
        <v>13</v>
      </c>
      <c r="C352">
        <v>1017</v>
      </c>
      <c r="D352">
        <v>1017</v>
      </c>
      <c r="E352" s="3">
        <f t="shared" si="6"/>
        <v>241011017</v>
      </c>
      <c r="F352" s="3">
        <f>VLOOKUP($E352,AgronomyYieldData!H:N,7,FALSE)</f>
        <v>76</v>
      </c>
      <c r="G352" s="3">
        <f>VLOOKUP($E352,AgronomyYieldData!$H:O,3,FALSE)</f>
        <v>3</v>
      </c>
      <c r="H352" s="9">
        <v>72</v>
      </c>
      <c r="I352">
        <v>0.40460590843108701</v>
      </c>
      <c r="J352">
        <v>0.247587519978996</v>
      </c>
      <c r="K352" s="7">
        <v>6.36250732357551E-3</v>
      </c>
      <c r="L352" s="7">
        <v>0.96482894736842095</v>
      </c>
      <c r="M352">
        <v>0.38023237626551598</v>
      </c>
      <c r="N352">
        <v>3.3902092341584799E-3</v>
      </c>
      <c r="O352">
        <v>0</v>
      </c>
      <c r="P352">
        <v>0</v>
      </c>
      <c r="Q352">
        <v>2568.0733905789598</v>
      </c>
      <c r="R352">
        <v>4033204.38746027</v>
      </c>
      <c r="S352">
        <v>16244.506775059999</v>
      </c>
      <c r="T352">
        <v>19988063.702366401</v>
      </c>
      <c r="U352" s="3">
        <v>2641</v>
      </c>
      <c r="V352">
        <v>0.97120821240459998</v>
      </c>
    </row>
    <row r="353" spans="1:22" x14ac:dyDescent="0.25">
      <c r="A353">
        <v>24101</v>
      </c>
      <c r="B353">
        <v>13</v>
      </c>
      <c r="C353">
        <v>1018</v>
      </c>
      <c r="D353">
        <v>1018</v>
      </c>
      <c r="E353" s="3">
        <f t="shared" si="6"/>
        <v>241011018</v>
      </c>
      <c r="F353" s="3">
        <f>VLOOKUP($E353,AgronomyYieldData!H:N,7,FALSE)</f>
        <v>50</v>
      </c>
      <c r="G353" s="3">
        <f>VLOOKUP($E353,AgronomyYieldData!$H:O,3,FALSE)</f>
        <v>3</v>
      </c>
      <c r="H353" s="9">
        <v>81</v>
      </c>
      <c r="I353">
        <v>0.393253431151389</v>
      </c>
      <c r="J353">
        <v>0.22744125867745901</v>
      </c>
      <c r="K353" s="7">
        <v>2.9540242221277502E-3</v>
      </c>
      <c r="L353" s="7">
        <v>0.91736842105263205</v>
      </c>
      <c r="M353">
        <v>0.36942309912438398</v>
      </c>
      <c r="N353">
        <v>2.6876704108452598E-3</v>
      </c>
      <c r="O353">
        <v>0</v>
      </c>
      <c r="P353">
        <v>0</v>
      </c>
      <c r="Q353">
        <v>2210.7926869379598</v>
      </c>
      <c r="R353">
        <v>1127729.3957000501</v>
      </c>
      <c r="S353">
        <v>16736.0157867134</v>
      </c>
      <c r="T353">
        <v>14639748.464870701</v>
      </c>
      <c r="U353" s="3">
        <v>1865</v>
      </c>
      <c r="V353">
        <v>0.79066967644845698</v>
      </c>
    </row>
    <row r="354" spans="1:22" x14ac:dyDescent="0.25">
      <c r="A354">
        <v>24101</v>
      </c>
      <c r="B354">
        <v>13</v>
      </c>
      <c r="C354">
        <v>1019</v>
      </c>
      <c r="D354">
        <v>1019</v>
      </c>
      <c r="E354" s="3">
        <f t="shared" si="6"/>
        <v>241011019</v>
      </c>
      <c r="F354" s="3">
        <f>VLOOKUP($E354,AgronomyYieldData!H:N,7,FALSE)</f>
        <v>12</v>
      </c>
      <c r="G354" s="3">
        <f>VLOOKUP($E354,AgronomyYieldData!$H:O,3,FALSE)</f>
        <v>4</v>
      </c>
      <c r="H354" s="9">
        <v>46</v>
      </c>
      <c r="I354">
        <v>0.224520783678577</v>
      </c>
      <c r="J354">
        <v>0.22616915412458199</v>
      </c>
      <c r="K354" s="7">
        <v>2.9201847782329899E-3</v>
      </c>
      <c r="L354" s="7">
        <v>0.99327765328987605</v>
      </c>
      <c r="M354">
        <v>0.36206854415191903</v>
      </c>
      <c r="N354">
        <v>2.5338215420086302E-3</v>
      </c>
      <c r="O354">
        <v>0</v>
      </c>
      <c r="P354">
        <v>0</v>
      </c>
      <c r="Q354">
        <v>2402.3961548689599</v>
      </c>
      <c r="R354">
        <v>1436855.0740942101</v>
      </c>
      <c r="S354">
        <v>16445.255252419902</v>
      </c>
      <c r="T354">
        <v>14642972.890055699</v>
      </c>
      <c r="U354" s="3">
        <v>264</v>
      </c>
      <c r="V354">
        <v>0.73751891074130105</v>
      </c>
    </row>
    <row r="355" spans="1:22" x14ac:dyDescent="0.25">
      <c r="A355">
        <v>24101</v>
      </c>
      <c r="B355">
        <v>13</v>
      </c>
      <c r="C355">
        <v>1020</v>
      </c>
      <c r="D355">
        <v>1020</v>
      </c>
      <c r="E355" s="3">
        <f t="shared" si="6"/>
        <v>241011020</v>
      </c>
      <c r="F355" s="3">
        <f>VLOOKUP($E355,AgronomyYieldData!H:N,7,FALSE)</f>
        <v>28</v>
      </c>
      <c r="G355" s="3">
        <f>VLOOKUP($E355,AgronomyYieldData!$H:O,3,FALSE)</f>
        <v>4</v>
      </c>
      <c r="H355" s="9">
        <v>68</v>
      </c>
      <c r="I355">
        <v>0.30505401873631099</v>
      </c>
      <c r="J355">
        <v>0.23577737460492601</v>
      </c>
      <c r="K355" s="7">
        <v>2.4325605257403799E-3</v>
      </c>
      <c r="L355" s="7">
        <v>0.99901851851851897</v>
      </c>
      <c r="M355">
        <v>0.36406477325699199</v>
      </c>
      <c r="N355">
        <v>2.3623388985821499E-3</v>
      </c>
      <c r="O355">
        <v>0</v>
      </c>
      <c r="P355">
        <v>0</v>
      </c>
      <c r="Q355">
        <v>2359.2744777457101</v>
      </c>
      <c r="R355">
        <v>1168721.0519630001</v>
      </c>
      <c r="S355">
        <v>16296.343930938299</v>
      </c>
      <c r="T355">
        <v>13865936.200730801</v>
      </c>
      <c r="U355" s="3">
        <v>1548</v>
      </c>
      <c r="V355">
        <v>0.95976581115120096</v>
      </c>
    </row>
    <row r="356" spans="1:22" x14ac:dyDescent="0.25">
      <c r="A356">
        <v>24101</v>
      </c>
      <c r="B356">
        <v>13</v>
      </c>
      <c r="C356">
        <v>1021</v>
      </c>
      <c r="D356">
        <v>1021</v>
      </c>
      <c r="E356" s="3">
        <f t="shared" si="6"/>
        <v>241011021</v>
      </c>
      <c r="F356" s="3">
        <f>VLOOKUP($E356,AgronomyYieldData!H:N,7,FALSE)</f>
        <v>38</v>
      </c>
      <c r="G356" s="3">
        <f>VLOOKUP($E356,AgronomyYieldData!$H:O,3,FALSE)</f>
        <v>4</v>
      </c>
      <c r="H356" s="9">
        <v>78</v>
      </c>
      <c r="I356">
        <v>0.33979974968710802</v>
      </c>
      <c r="J356">
        <v>0.24511394105863901</v>
      </c>
      <c r="K356" s="7">
        <v>5.7011828743357097E-3</v>
      </c>
      <c r="L356" s="7">
        <v>0.99896294375821804</v>
      </c>
      <c r="M356">
        <v>0.36646230233164201</v>
      </c>
      <c r="N356">
        <v>2.8219304754857899E-3</v>
      </c>
      <c r="O356">
        <v>0</v>
      </c>
      <c r="P356">
        <v>0</v>
      </c>
      <c r="Q356">
        <v>2742.4363580848799</v>
      </c>
      <c r="R356">
        <v>3955695.0484986999</v>
      </c>
      <c r="S356">
        <v>15980.0330886469</v>
      </c>
      <c r="T356">
        <v>16432089.856164699</v>
      </c>
      <c r="U356" s="3">
        <v>1249</v>
      </c>
      <c r="V356">
        <v>0.80807255618338703</v>
      </c>
    </row>
    <row r="357" spans="1:22" x14ac:dyDescent="0.25">
      <c r="A357">
        <v>24101</v>
      </c>
      <c r="B357">
        <v>13</v>
      </c>
      <c r="C357">
        <v>1023</v>
      </c>
      <c r="D357">
        <v>1023</v>
      </c>
      <c r="E357" s="3">
        <f t="shared" si="6"/>
        <v>241011023</v>
      </c>
      <c r="F357" s="3">
        <f>VLOOKUP($E357,AgronomyYieldData!H:N,7,FALSE)</f>
        <v>71</v>
      </c>
      <c r="G357" s="3">
        <f>VLOOKUP($E357,AgronomyYieldData!$H:O,3,FALSE)</f>
        <v>4</v>
      </c>
      <c r="H357" s="9">
        <v>73</v>
      </c>
      <c r="I357">
        <v>0.21707119317884599</v>
      </c>
      <c r="J357">
        <v>0.228210234556222</v>
      </c>
      <c r="K357" s="7">
        <v>3.7961365307245202E-3</v>
      </c>
      <c r="L357" s="7">
        <v>0.84078528382325801</v>
      </c>
      <c r="M357">
        <v>0.368791622191808</v>
      </c>
      <c r="N357">
        <v>2.6440315080566699E-3</v>
      </c>
      <c r="O357">
        <v>0</v>
      </c>
      <c r="P357">
        <v>0</v>
      </c>
      <c r="Q357">
        <v>2338.159750021</v>
      </c>
      <c r="R357">
        <v>1352224.6310247199</v>
      </c>
      <c r="S357">
        <v>16044.370315931499</v>
      </c>
      <c r="T357">
        <v>16326846.9538658</v>
      </c>
      <c r="U357" s="3">
        <v>89</v>
      </c>
      <c r="V357">
        <v>0.11635619000526699</v>
      </c>
    </row>
    <row r="358" spans="1:22" x14ac:dyDescent="0.25">
      <c r="A358">
        <v>24101</v>
      </c>
      <c r="B358">
        <v>13</v>
      </c>
      <c r="C358">
        <v>2001</v>
      </c>
      <c r="D358">
        <v>2001</v>
      </c>
      <c r="E358" s="3">
        <f t="shared" si="6"/>
        <v>241012001</v>
      </c>
      <c r="F358" s="3">
        <f>VLOOKUP($E358,AgronomyYieldData!H:N,7,FALSE)</f>
        <v>64</v>
      </c>
      <c r="G358" s="3">
        <f>VLOOKUP($E358,AgronomyYieldData!$H:O,3,FALSE)</f>
        <v>1</v>
      </c>
      <c r="H358" s="9">
        <v>79</v>
      </c>
      <c r="I358">
        <v>0.49579886880047003</v>
      </c>
      <c r="J358">
        <v>0.23661498097429001</v>
      </c>
      <c r="K358" s="7">
        <v>3.3496707156312699E-3</v>
      </c>
      <c r="L358" s="7">
        <v>0.99703943472940404</v>
      </c>
      <c r="M358">
        <v>0.36089171198208803</v>
      </c>
      <c r="N358">
        <v>2.6374651254589998E-3</v>
      </c>
      <c r="O358">
        <v>0</v>
      </c>
      <c r="P358">
        <v>0</v>
      </c>
      <c r="Q358">
        <v>2594.86725824737</v>
      </c>
      <c r="R358">
        <v>1927753.7192754999</v>
      </c>
      <c r="S358">
        <v>16244.403952942799</v>
      </c>
      <c r="T358">
        <v>17479032.235831302</v>
      </c>
      <c r="U358" s="3">
        <v>776</v>
      </c>
      <c r="V358">
        <v>0.97067628358441504</v>
      </c>
    </row>
    <row r="359" spans="1:22" x14ac:dyDescent="0.25">
      <c r="A359">
        <v>24101</v>
      </c>
      <c r="B359">
        <v>13</v>
      </c>
      <c r="C359">
        <v>2003</v>
      </c>
      <c r="D359">
        <v>2003</v>
      </c>
      <c r="E359" s="3">
        <f t="shared" si="6"/>
        <v>241012003</v>
      </c>
      <c r="F359" s="3">
        <f>VLOOKUP($E359,AgronomyYieldData!H:N,7,FALSE)</f>
        <v>58</v>
      </c>
      <c r="G359" s="3">
        <f>VLOOKUP($E359,AgronomyYieldData!$H:O,3,FALSE)</f>
        <v>1</v>
      </c>
      <c r="H359" s="9">
        <v>53</v>
      </c>
      <c r="I359">
        <v>0.45771733089220901</v>
      </c>
      <c r="J359">
        <v>0.22814892395309899</v>
      </c>
      <c r="K359" s="7">
        <v>2.0110848168324101E-3</v>
      </c>
      <c r="L359" s="7">
        <v>0.97796110628667698</v>
      </c>
      <c r="M359">
        <v>0.36260635414821102</v>
      </c>
      <c r="N359">
        <v>2.0543599875626102E-3</v>
      </c>
      <c r="O359">
        <v>0</v>
      </c>
      <c r="P359">
        <v>0</v>
      </c>
      <c r="Q359">
        <v>2564.0912608993799</v>
      </c>
      <c r="R359">
        <v>1228275.8155528801</v>
      </c>
      <c r="S359">
        <v>16515.802562227</v>
      </c>
      <c r="T359">
        <v>14974608.7984345</v>
      </c>
      <c r="U359" s="3">
        <v>2075</v>
      </c>
      <c r="V359">
        <v>0.98117801342584798</v>
      </c>
    </row>
    <row r="360" spans="1:22" x14ac:dyDescent="0.25">
      <c r="A360">
        <v>24101</v>
      </c>
      <c r="B360">
        <v>13</v>
      </c>
      <c r="C360">
        <v>2004</v>
      </c>
      <c r="D360">
        <v>2004</v>
      </c>
      <c r="E360" s="3">
        <f t="shared" si="6"/>
        <v>241012004</v>
      </c>
      <c r="F360" s="3">
        <f>VLOOKUP($E360,AgronomyYieldData!H:N,7,FALSE)</f>
        <v>36</v>
      </c>
      <c r="G360" s="3">
        <f>VLOOKUP($E360,AgronomyYieldData!$H:O,3,FALSE)</f>
        <v>1</v>
      </c>
      <c r="H360" s="9">
        <v>12</v>
      </c>
      <c r="I360">
        <v>0.34951777957741198</v>
      </c>
      <c r="J360">
        <v>0.23581318269742099</v>
      </c>
      <c r="K360" s="7">
        <v>3.9945258395771999E-3</v>
      </c>
      <c r="L360" s="7">
        <v>0.50275915706825702</v>
      </c>
      <c r="M360">
        <v>0.372549633057358</v>
      </c>
      <c r="N360">
        <v>2.5000474872207898E-3</v>
      </c>
      <c r="O360">
        <v>0.112081175519989</v>
      </c>
      <c r="P360">
        <v>8.9400752769505903E-4</v>
      </c>
      <c r="Q360">
        <v>2451.13653107456</v>
      </c>
      <c r="R360">
        <v>1970058.8295223899</v>
      </c>
      <c r="S360">
        <v>16091.417076255901</v>
      </c>
      <c r="T360">
        <v>15964356.4472623</v>
      </c>
      <c r="U360" s="3">
        <v>246</v>
      </c>
      <c r="V360">
        <v>0.25106656580937903</v>
      </c>
    </row>
    <row r="361" spans="1:22" x14ac:dyDescent="0.25">
      <c r="A361">
        <v>24101</v>
      </c>
      <c r="B361">
        <v>13</v>
      </c>
      <c r="C361">
        <v>2005</v>
      </c>
      <c r="D361">
        <v>2005</v>
      </c>
      <c r="E361" s="3">
        <f t="shared" si="6"/>
        <v>241012005</v>
      </c>
      <c r="F361" s="3">
        <f>VLOOKUP($E361,AgronomyYieldData!H:N,7,FALSE)</f>
        <v>7</v>
      </c>
      <c r="G361" s="3">
        <f>VLOOKUP($E361,AgronomyYieldData!$H:O,3,FALSE)</f>
        <v>1</v>
      </c>
      <c r="H361" s="9">
        <v>27</v>
      </c>
      <c r="I361">
        <v>0.40045275934736302</v>
      </c>
      <c r="J361">
        <v>0.22723889937893199</v>
      </c>
      <c r="K361" s="7">
        <v>1.94604774308484E-3</v>
      </c>
      <c r="L361" s="7">
        <v>0.87178252657308997</v>
      </c>
      <c r="M361">
        <v>0.364453669134092</v>
      </c>
      <c r="N361">
        <v>2.1239679553952599E-3</v>
      </c>
      <c r="O361">
        <v>0.10455132394219099</v>
      </c>
      <c r="P361">
        <v>9.9505154427514996E-4</v>
      </c>
      <c r="Q361">
        <v>2411.8851832517498</v>
      </c>
      <c r="R361">
        <v>1132512.8502229301</v>
      </c>
      <c r="S361">
        <v>16434.6058468257</v>
      </c>
      <c r="T361">
        <v>14549168.822275599</v>
      </c>
      <c r="U361" s="3">
        <v>1184</v>
      </c>
      <c r="V361">
        <v>0.85873783103002199</v>
      </c>
    </row>
    <row r="362" spans="1:22" x14ac:dyDescent="0.25">
      <c r="A362">
        <v>24101</v>
      </c>
      <c r="B362">
        <v>13</v>
      </c>
      <c r="C362">
        <v>2006</v>
      </c>
      <c r="D362">
        <v>2006</v>
      </c>
      <c r="E362" s="3">
        <f t="shared" si="6"/>
        <v>241012006</v>
      </c>
      <c r="F362" s="3">
        <f>VLOOKUP($E362,AgronomyYieldData!H:N,7,FALSE)</f>
        <v>29</v>
      </c>
      <c r="G362" s="3">
        <f>VLOOKUP($E362,AgronomyYieldData!$H:O,3,FALSE)</f>
        <v>1</v>
      </c>
      <c r="H362" s="9">
        <v>59</v>
      </c>
      <c r="I362">
        <v>0.65531679933741305</v>
      </c>
      <c r="J362">
        <v>0.23257015928486899</v>
      </c>
      <c r="K362" s="7">
        <v>3.07280041319979E-3</v>
      </c>
      <c r="L362" s="7">
        <v>1</v>
      </c>
      <c r="M362">
        <v>0.36655855640368301</v>
      </c>
      <c r="N362">
        <v>2.2420786697211698E-3</v>
      </c>
      <c r="O362">
        <v>0.10455132394219099</v>
      </c>
      <c r="P362">
        <v>9.9505154427514996E-4</v>
      </c>
      <c r="Q362">
        <v>2583.4074362257502</v>
      </c>
      <c r="R362">
        <v>1740556.8147206199</v>
      </c>
      <c r="S362">
        <v>15882.3940097875</v>
      </c>
      <c r="T362">
        <v>14486629.6947369</v>
      </c>
      <c r="U362" s="3">
        <v>1723</v>
      </c>
      <c r="V362">
        <v>0.88429564520155202</v>
      </c>
    </row>
    <row r="363" spans="1:22" x14ac:dyDescent="0.25">
      <c r="A363">
        <v>24101</v>
      </c>
      <c r="B363">
        <v>13</v>
      </c>
      <c r="C363">
        <v>2007</v>
      </c>
      <c r="D363">
        <v>2007</v>
      </c>
      <c r="E363" s="3">
        <f t="shared" si="6"/>
        <v>241012007</v>
      </c>
      <c r="F363" s="3">
        <f>VLOOKUP($E363,AgronomyYieldData!H:N,7,FALSE)</f>
        <v>15</v>
      </c>
      <c r="G363" s="3">
        <f>VLOOKUP($E363,AgronomyYieldData!$H:O,3,FALSE)</f>
        <v>2</v>
      </c>
      <c r="H363" s="9">
        <v>53</v>
      </c>
      <c r="I363">
        <v>0.42139070897445302</v>
      </c>
      <c r="J363">
        <v>0.229155405986018</v>
      </c>
      <c r="K363" s="7">
        <v>2.4327764618039399E-3</v>
      </c>
      <c r="L363" s="7">
        <v>0.97494305239180001</v>
      </c>
      <c r="M363">
        <v>0.366069349341971</v>
      </c>
      <c r="N363">
        <v>2.2378007958965798E-3</v>
      </c>
      <c r="O363">
        <v>0.10455132394219099</v>
      </c>
      <c r="P363">
        <v>9.9505154427514996E-4</v>
      </c>
      <c r="Q363">
        <v>2335.32454101332</v>
      </c>
      <c r="R363">
        <v>1162827.10998322</v>
      </c>
      <c r="S363">
        <v>16161.8031506679</v>
      </c>
      <c r="T363">
        <v>14820125.455642199</v>
      </c>
      <c r="U363" s="3">
        <v>2007</v>
      </c>
      <c r="V363">
        <v>0.93973570547877805</v>
      </c>
    </row>
    <row r="364" spans="1:22" x14ac:dyDescent="0.25">
      <c r="A364">
        <v>24101</v>
      </c>
      <c r="B364">
        <v>13</v>
      </c>
      <c r="C364">
        <v>2008</v>
      </c>
      <c r="D364">
        <v>2008</v>
      </c>
      <c r="E364" s="3">
        <f t="shared" si="6"/>
        <v>241012008</v>
      </c>
      <c r="F364" s="3">
        <f>VLOOKUP($E364,AgronomyYieldData!H:N,7,FALSE)</f>
        <v>37</v>
      </c>
      <c r="G364" s="3">
        <f>VLOOKUP($E364,AgronomyYieldData!$H:O,3,FALSE)</f>
        <v>2</v>
      </c>
      <c r="H364" s="9">
        <v>37</v>
      </c>
      <c r="I364">
        <v>0.49819169005659503</v>
      </c>
      <c r="J364">
        <v>0.22663083286424901</v>
      </c>
      <c r="K364" s="7">
        <v>2.2590396469285901E-3</v>
      </c>
      <c r="L364" s="7">
        <v>0.90253703703703703</v>
      </c>
      <c r="M364">
        <v>0.36279977649856798</v>
      </c>
      <c r="N364">
        <v>2.2943075021975199E-3</v>
      </c>
      <c r="O364">
        <v>0.10455132394219099</v>
      </c>
      <c r="P364">
        <v>9.9505154427514996E-4</v>
      </c>
      <c r="Q364">
        <v>2134.87147641091</v>
      </c>
      <c r="R364">
        <v>948777.00874515797</v>
      </c>
      <c r="S364">
        <v>15745.689050728201</v>
      </c>
      <c r="T364">
        <v>16564864.7990079</v>
      </c>
      <c r="U364" s="3">
        <v>1672</v>
      </c>
      <c r="V364">
        <v>0.90759455370650499</v>
      </c>
    </row>
    <row r="365" spans="1:22" x14ac:dyDescent="0.25">
      <c r="A365">
        <v>24101</v>
      </c>
      <c r="B365">
        <v>13</v>
      </c>
      <c r="C365">
        <v>2009</v>
      </c>
      <c r="D365">
        <v>2009</v>
      </c>
      <c r="E365" s="3">
        <f t="shared" si="6"/>
        <v>241012009</v>
      </c>
      <c r="F365" s="3">
        <f>VLOOKUP($E365,AgronomyYieldData!H:N,7,FALSE)</f>
        <v>22</v>
      </c>
      <c r="G365" s="3">
        <f>VLOOKUP($E365,AgronomyYieldData!$H:O,3,FALSE)</f>
        <v>2</v>
      </c>
      <c r="H365" s="9">
        <v>49</v>
      </c>
      <c r="I365">
        <v>0.41509225601619598</v>
      </c>
      <c r="J365">
        <v>0.22383679939147</v>
      </c>
      <c r="K365" s="7">
        <v>2.6282841531173398E-3</v>
      </c>
      <c r="L365" s="7">
        <v>0.97879511824731003</v>
      </c>
      <c r="M365">
        <v>0.357754046245228</v>
      </c>
      <c r="N365">
        <v>2.4657022078607201E-3</v>
      </c>
      <c r="O365">
        <v>0.10455132394219099</v>
      </c>
      <c r="P365">
        <v>9.9505154427514996E-4</v>
      </c>
      <c r="Q365">
        <v>2183.6359401162199</v>
      </c>
      <c r="R365">
        <v>961139.95164242096</v>
      </c>
      <c r="S365">
        <v>15813.014479614199</v>
      </c>
      <c r="T365">
        <v>14171383.1788786</v>
      </c>
      <c r="U365" s="3">
        <v>1742</v>
      </c>
      <c r="V365">
        <v>0.96166443521607203</v>
      </c>
    </row>
    <row r="366" spans="1:22" x14ac:dyDescent="0.25">
      <c r="A366">
        <v>24101</v>
      </c>
      <c r="B366">
        <v>13</v>
      </c>
      <c r="C366">
        <v>2010</v>
      </c>
      <c r="D366">
        <v>2010</v>
      </c>
      <c r="E366" s="3">
        <f t="shared" si="6"/>
        <v>241012010</v>
      </c>
      <c r="F366" s="3">
        <f>VLOOKUP($E366,AgronomyYieldData!H:N,7,FALSE)</f>
        <v>70</v>
      </c>
      <c r="G366" s="3">
        <f>VLOOKUP($E366,AgronomyYieldData!$H:O,3,FALSE)</f>
        <v>2</v>
      </c>
      <c r="H366" s="9">
        <v>97</v>
      </c>
      <c r="I366">
        <v>0.45045934547356697</v>
      </c>
      <c r="J366">
        <v>0.23798392157135101</v>
      </c>
      <c r="K366" s="7">
        <v>5.8213879483646098E-3</v>
      </c>
      <c r="L366" s="7">
        <v>1</v>
      </c>
      <c r="M366">
        <v>0.36439918797555299</v>
      </c>
      <c r="N366">
        <v>3.0889928412048298E-3</v>
      </c>
      <c r="O366">
        <v>0.10455132394219099</v>
      </c>
      <c r="P366">
        <v>9.9505154427514996E-4</v>
      </c>
      <c r="Q366">
        <v>2423.4780500094498</v>
      </c>
      <c r="R366">
        <v>1685348.8750352</v>
      </c>
      <c r="S366">
        <v>15717.558385075299</v>
      </c>
      <c r="T366">
        <v>18007926.866026301</v>
      </c>
      <c r="U366" s="3">
        <v>862</v>
      </c>
      <c r="V366">
        <v>0.651212787341649</v>
      </c>
    </row>
    <row r="367" spans="1:22" x14ac:dyDescent="0.25">
      <c r="A367">
        <v>24101</v>
      </c>
      <c r="B367">
        <v>13</v>
      </c>
      <c r="C367">
        <v>2011</v>
      </c>
      <c r="D367">
        <v>2011</v>
      </c>
      <c r="E367" s="3">
        <f t="shared" si="6"/>
        <v>241012011</v>
      </c>
      <c r="F367" s="3">
        <f>VLOOKUP($E367,AgronomyYieldData!H:N,7,FALSE)</f>
        <v>51</v>
      </c>
      <c r="G367" s="3">
        <f>VLOOKUP($E367,AgronomyYieldData!$H:O,3,FALSE)</f>
        <v>2</v>
      </c>
      <c r="H367" s="9">
        <v>76</v>
      </c>
      <c r="I367">
        <v>0.51220437173476596</v>
      </c>
      <c r="J367">
        <v>0.223480966222626</v>
      </c>
      <c r="K367" s="7">
        <v>3.3575486544600301E-3</v>
      </c>
      <c r="L367" s="7">
        <v>0.97569768818831304</v>
      </c>
      <c r="M367">
        <v>0.35467928725811698</v>
      </c>
      <c r="N367">
        <v>2.3373708965954399E-3</v>
      </c>
      <c r="O367">
        <v>0.10455132394219099</v>
      </c>
      <c r="P367">
        <v>9.9505154427514996E-4</v>
      </c>
      <c r="Q367">
        <v>2308.78969872984</v>
      </c>
      <c r="R367">
        <v>1075526.1980141799</v>
      </c>
      <c r="S367">
        <v>16330.696301895299</v>
      </c>
      <c r="T367">
        <v>14950290.141319299</v>
      </c>
      <c r="U367" s="3">
        <v>676</v>
      </c>
      <c r="V367">
        <v>0.47056009717452102</v>
      </c>
    </row>
    <row r="368" spans="1:22" x14ac:dyDescent="0.25">
      <c r="A368">
        <v>24101</v>
      </c>
      <c r="B368">
        <v>13</v>
      </c>
      <c r="C368">
        <v>2012</v>
      </c>
      <c r="D368">
        <v>2012</v>
      </c>
      <c r="E368" s="3">
        <f t="shared" si="6"/>
        <v>241012012</v>
      </c>
      <c r="F368" s="3">
        <f>VLOOKUP($E368,AgronomyYieldData!H:N,7,FALSE)</f>
        <v>80</v>
      </c>
      <c r="G368" s="3">
        <f>VLOOKUP($E368,AgronomyYieldData!$H:O,3,FALSE)</f>
        <v>2</v>
      </c>
      <c r="H368" s="9">
        <v>98</v>
      </c>
      <c r="I368">
        <v>0.51045841806210301</v>
      </c>
      <c r="J368">
        <v>0.23846800555734499</v>
      </c>
      <c r="K368" s="7">
        <v>6.1561673196877604E-3</v>
      </c>
      <c r="L368" s="7">
        <v>1</v>
      </c>
      <c r="M368">
        <v>0.36351780633705899</v>
      </c>
      <c r="N368">
        <v>3.8212127677175098E-3</v>
      </c>
      <c r="O368">
        <v>0.10455132394219099</v>
      </c>
      <c r="P368">
        <v>9.9505154427514996E-4</v>
      </c>
      <c r="Q368">
        <v>2429.00338008062</v>
      </c>
      <c r="R368">
        <v>1400542.5879756699</v>
      </c>
      <c r="S368">
        <v>15676.732817100001</v>
      </c>
      <c r="T368">
        <v>17135354.669226099</v>
      </c>
      <c r="U368" s="3">
        <v>2586</v>
      </c>
      <c r="V368">
        <v>0.85820089326503901</v>
      </c>
    </row>
    <row r="369" spans="1:22" x14ac:dyDescent="0.25">
      <c r="A369">
        <v>24101</v>
      </c>
      <c r="B369">
        <v>13</v>
      </c>
      <c r="C369">
        <v>2013</v>
      </c>
      <c r="D369">
        <v>2013</v>
      </c>
      <c r="E369" s="3">
        <f t="shared" si="6"/>
        <v>241012013</v>
      </c>
      <c r="F369" s="3">
        <f>VLOOKUP($E369,AgronomyYieldData!H:N,7,FALSE)</f>
        <v>45</v>
      </c>
      <c r="G369" s="3">
        <f>VLOOKUP($E369,AgronomyYieldData!$H:O,3,FALSE)</f>
        <v>3</v>
      </c>
      <c r="H369" s="9">
        <v>69</v>
      </c>
      <c r="I369">
        <v>0.59284241911142199</v>
      </c>
      <c r="J369">
        <v>0.23091100686882199</v>
      </c>
      <c r="K369" s="7">
        <v>5.19966101265271E-3</v>
      </c>
      <c r="L369" s="7">
        <v>0.99629622770792003</v>
      </c>
      <c r="M369">
        <v>0.356247648417581</v>
      </c>
      <c r="N369">
        <v>2.9483156073972401E-3</v>
      </c>
      <c r="O369">
        <v>0.10455132394219099</v>
      </c>
      <c r="P369">
        <v>9.9505154427514996E-4</v>
      </c>
      <c r="Q369">
        <v>2578.46274007682</v>
      </c>
      <c r="R369">
        <v>2228329.7139125899</v>
      </c>
      <c r="S369">
        <v>15908.514524325101</v>
      </c>
      <c r="T369">
        <v>16704657.5869521</v>
      </c>
      <c r="U369" s="3">
        <v>1967</v>
      </c>
      <c r="V369">
        <v>0.95940272766469203</v>
      </c>
    </row>
    <row r="370" spans="1:22" x14ac:dyDescent="0.25">
      <c r="A370">
        <v>24101</v>
      </c>
      <c r="B370">
        <v>13</v>
      </c>
      <c r="C370">
        <v>2014</v>
      </c>
      <c r="D370">
        <v>2014</v>
      </c>
      <c r="E370" s="3">
        <f t="shared" si="6"/>
        <v>241012014</v>
      </c>
      <c r="F370" s="3">
        <f>VLOOKUP($E370,AgronomyYieldData!H:N,7,FALSE)</f>
        <v>12</v>
      </c>
      <c r="G370" s="3">
        <f>VLOOKUP($E370,AgronomyYieldData!$H:O,3,FALSE)</f>
        <v>3</v>
      </c>
      <c r="H370" s="9">
        <v>48</v>
      </c>
      <c r="I370">
        <v>0.52512331590959205</v>
      </c>
      <c r="J370">
        <v>0.22198481529212</v>
      </c>
      <c r="K370" s="7">
        <v>2.7790286504136901E-3</v>
      </c>
      <c r="L370" s="7">
        <v>0.98370340191484995</v>
      </c>
      <c r="M370">
        <v>0.353220837468319</v>
      </c>
      <c r="N370">
        <v>2.28227760821899E-3</v>
      </c>
      <c r="O370">
        <v>0.10455132394219099</v>
      </c>
      <c r="P370">
        <v>9.9505154427514996E-4</v>
      </c>
      <c r="Q370">
        <v>2446.7781443908202</v>
      </c>
      <c r="R370">
        <v>1674324.1121807599</v>
      </c>
      <c r="S370">
        <v>16473.2637902182</v>
      </c>
      <c r="T370">
        <v>16323454.4062801</v>
      </c>
      <c r="U370" s="3">
        <v>728</v>
      </c>
      <c r="V370">
        <v>0.87397316228196198</v>
      </c>
    </row>
    <row r="371" spans="1:22" x14ac:dyDescent="0.25">
      <c r="A371">
        <v>24101</v>
      </c>
      <c r="B371">
        <v>13</v>
      </c>
      <c r="C371">
        <v>2015</v>
      </c>
      <c r="D371">
        <v>2015</v>
      </c>
      <c r="E371" s="3">
        <f t="shared" si="6"/>
        <v>241012015</v>
      </c>
      <c r="F371" s="3">
        <f>VLOOKUP($E371,AgronomyYieldData!H:N,7,FALSE)</f>
        <v>23</v>
      </c>
      <c r="G371" s="3">
        <f>VLOOKUP($E371,AgronomyYieldData!$H:O,3,FALSE)</f>
        <v>3</v>
      </c>
      <c r="H371" s="9">
        <v>79</v>
      </c>
      <c r="I371">
        <v>0.40328903776779801</v>
      </c>
      <c r="J371">
        <v>0.22060070963148501</v>
      </c>
      <c r="K371" s="7">
        <v>2.6482974413073301E-3</v>
      </c>
      <c r="L371" s="7">
        <v>0.99996296227707904</v>
      </c>
      <c r="M371">
        <v>0.34796363978373501</v>
      </c>
      <c r="N371">
        <v>2.0216884453714301E-3</v>
      </c>
      <c r="O371">
        <v>0.10455132394219099</v>
      </c>
      <c r="P371">
        <v>9.9505154427514996E-4</v>
      </c>
      <c r="Q371">
        <v>2546.7393454087</v>
      </c>
      <c r="R371">
        <v>1811841.7373168401</v>
      </c>
      <c r="S371">
        <v>16516.380810955201</v>
      </c>
      <c r="T371">
        <v>14575459.825031999</v>
      </c>
      <c r="U371" s="3">
        <v>2081</v>
      </c>
      <c r="V371">
        <v>0.96178546304490797</v>
      </c>
    </row>
    <row r="372" spans="1:22" x14ac:dyDescent="0.25">
      <c r="A372">
        <v>24101</v>
      </c>
      <c r="B372">
        <v>13</v>
      </c>
      <c r="C372">
        <v>2016</v>
      </c>
      <c r="D372">
        <v>2016</v>
      </c>
      <c r="E372" s="3">
        <f t="shared" si="6"/>
        <v>241012016</v>
      </c>
      <c r="F372" s="3">
        <f>VLOOKUP($E372,AgronomyYieldData!H:N,7,FALSE)</f>
        <v>71</v>
      </c>
      <c r="G372" s="3">
        <f>VLOOKUP($E372,AgronomyYieldData!$H:O,3,FALSE)</f>
        <v>3</v>
      </c>
      <c r="H372" s="9">
        <v>58</v>
      </c>
      <c r="I372">
        <v>0.30868467855835102</v>
      </c>
      <c r="J372">
        <v>0.22309645367832501</v>
      </c>
      <c r="K372" s="7">
        <v>2.68788942191246E-3</v>
      </c>
      <c r="L372" s="7">
        <v>0.96703903998736795</v>
      </c>
      <c r="M372">
        <v>0.35055429441008001</v>
      </c>
      <c r="N372">
        <v>2.3373394968749898E-3</v>
      </c>
      <c r="O372">
        <v>0.10455132394219099</v>
      </c>
      <c r="P372">
        <v>9.9505154427514996E-4</v>
      </c>
      <c r="Q372">
        <v>2616.4241414784701</v>
      </c>
      <c r="R372">
        <v>1330340.6376082499</v>
      </c>
      <c r="S372">
        <v>16895.023821166498</v>
      </c>
      <c r="T372">
        <v>15256487.974995101</v>
      </c>
      <c r="U372" s="3">
        <v>467</v>
      </c>
      <c r="V372">
        <v>0.48581640331075998</v>
      </c>
    </row>
    <row r="373" spans="1:22" x14ac:dyDescent="0.25">
      <c r="A373">
        <v>24101</v>
      </c>
      <c r="B373">
        <v>13</v>
      </c>
      <c r="C373">
        <v>2017</v>
      </c>
      <c r="D373">
        <v>2017</v>
      </c>
      <c r="E373" s="3">
        <f t="shared" si="6"/>
        <v>241012017</v>
      </c>
      <c r="F373" s="3">
        <f>VLOOKUP($E373,AgronomyYieldData!H:N,7,FALSE)</f>
        <v>84</v>
      </c>
      <c r="G373" s="3">
        <f>VLOOKUP($E373,AgronomyYieldData!$H:O,3,FALSE)</f>
        <v>3</v>
      </c>
      <c r="H373" s="9">
        <v>80</v>
      </c>
      <c r="I373">
        <v>0.57275776616820995</v>
      </c>
      <c r="J373">
        <v>0.23655318295734301</v>
      </c>
      <c r="K373" s="7">
        <v>6.5384699514347304E-3</v>
      </c>
      <c r="L373" s="7">
        <v>0.99889473684210495</v>
      </c>
      <c r="M373">
        <v>0.356153855958938</v>
      </c>
      <c r="N373">
        <v>3.4463212558397201E-3</v>
      </c>
      <c r="O373">
        <v>0.10455132394219099</v>
      </c>
      <c r="P373">
        <v>9.9505154427514996E-4</v>
      </c>
      <c r="Q373">
        <v>2959.11524088122</v>
      </c>
      <c r="R373">
        <v>2750285.2092442601</v>
      </c>
      <c r="S373">
        <v>16614.302851628301</v>
      </c>
      <c r="T373">
        <v>19103161.6578178</v>
      </c>
      <c r="U373" s="3">
        <v>466</v>
      </c>
      <c r="V373">
        <v>0.26784908094163101</v>
      </c>
    </row>
    <row r="374" spans="1:22" x14ac:dyDescent="0.25">
      <c r="A374">
        <v>24101</v>
      </c>
      <c r="B374">
        <v>13</v>
      </c>
      <c r="C374">
        <v>2018</v>
      </c>
      <c r="D374">
        <v>2018</v>
      </c>
      <c r="E374" s="3">
        <f t="shared" si="6"/>
        <v>241012018</v>
      </c>
      <c r="F374" s="3">
        <f>VLOOKUP($E374,AgronomyYieldData!H:N,7,FALSE)</f>
        <v>49</v>
      </c>
      <c r="G374" s="3">
        <f>VLOOKUP($E374,AgronomyYieldData!$H:O,3,FALSE)</f>
        <v>3</v>
      </c>
      <c r="H374" s="9">
        <v>77</v>
      </c>
      <c r="I374">
        <v>0.46138304410937703</v>
      </c>
      <c r="J374">
        <v>0.21963377597832101</v>
      </c>
      <c r="K374" s="7">
        <v>2.5310522592657098E-3</v>
      </c>
      <c r="L374" s="7">
        <v>0.88963012671219399</v>
      </c>
      <c r="M374">
        <v>0.34722295216909699</v>
      </c>
      <c r="N374">
        <v>2.0661374838974798E-3</v>
      </c>
      <c r="O374">
        <v>0.10455132394219099</v>
      </c>
      <c r="P374">
        <v>9.9505154427514996E-4</v>
      </c>
      <c r="Q374">
        <v>2650.2706220738601</v>
      </c>
      <c r="R374">
        <v>1669575.74696469</v>
      </c>
      <c r="S374">
        <v>16945.266989133801</v>
      </c>
      <c r="T374">
        <v>15058858.2827274</v>
      </c>
      <c r="U374" s="3">
        <v>902</v>
      </c>
      <c r="V374">
        <v>0.815432904969982</v>
      </c>
    </row>
    <row r="375" spans="1:22" x14ac:dyDescent="0.25">
      <c r="A375">
        <v>24101</v>
      </c>
      <c r="B375">
        <v>13</v>
      </c>
      <c r="C375">
        <v>2019</v>
      </c>
      <c r="D375">
        <v>2019</v>
      </c>
      <c r="E375" s="3">
        <f t="shared" si="6"/>
        <v>241012019</v>
      </c>
      <c r="F375" s="3">
        <f>VLOOKUP($E375,AgronomyYieldData!H:N,7,FALSE)</f>
        <v>4</v>
      </c>
      <c r="G375" s="3">
        <f>VLOOKUP($E375,AgronomyYieldData!$H:O,3,FALSE)</f>
        <v>4</v>
      </c>
      <c r="H375" s="9">
        <v>57</v>
      </c>
      <c r="I375">
        <v>0.45658175660752398</v>
      </c>
      <c r="J375">
        <v>0.21560463395169099</v>
      </c>
      <c r="K375" s="7">
        <v>2.56566126678679E-3</v>
      </c>
      <c r="L375" s="7">
        <v>0.999907409122053</v>
      </c>
      <c r="M375">
        <v>0.34851804900262101</v>
      </c>
      <c r="N375">
        <v>2.16839585862265E-3</v>
      </c>
      <c r="O375">
        <v>0.10455132394219099</v>
      </c>
      <c r="P375">
        <v>9.9505154427514996E-4</v>
      </c>
      <c r="Q375">
        <v>2540.0881512853298</v>
      </c>
      <c r="R375">
        <v>1374224.6730724899</v>
      </c>
      <c r="S375">
        <v>16590.453415000298</v>
      </c>
      <c r="T375">
        <v>15067644.266548701</v>
      </c>
      <c r="U375" s="3">
        <v>813</v>
      </c>
      <c r="V375">
        <v>0.905197388824592</v>
      </c>
    </row>
    <row r="376" spans="1:22" x14ac:dyDescent="0.25">
      <c r="A376">
        <v>24101</v>
      </c>
      <c r="B376">
        <v>13</v>
      </c>
      <c r="C376">
        <v>2020</v>
      </c>
      <c r="D376">
        <v>2020</v>
      </c>
      <c r="E376" s="3">
        <f t="shared" si="6"/>
        <v>241012020</v>
      </c>
      <c r="F376" s="3">
        <f>VLOOKUP($E376,AgronomyYieldData!H:N,7,FALSE)</f>
        <v>22</v>
      </c>
      <c r="G376" s="3">
        <f>VLOOKUP($E376,AgronomyYieldData!$H:O,3,FALSE)</f>
        <v>4</v>
      </c>
      <c r="H376" s="9">
        <v>40</v>
      </c>
      <c r="I376">
        <v>0.31269842730543701</v>
      </c>
      <c r="J376">
        <v>0.220168793943573</v>
      </c>
      <c r="K376" s="7">
        <v>2.14195190135352E-3</v>
      </c>
      <c r="L376" s="7">
        <v>0.976981055204726</v>
      </c>
      <c r="M376">
        <v>0.349566488157871</v>
      </c>
      <c r="N376">
        <v>2.05682082151487E-3</v>
      </c>
      <c r="O376">
        <v>0.10455132394219099</v>
      </c>
      <c r="P376">
        <v>9.9505154427514996E-4</v>
      </c>
      <c r="Q376">
        <v>2425.5005860394599</v>
      </c>
      <c r="R376">
        <v>1022194.4590631</v>
      </c>
      <c r="S376">
        <v>16605.867540715099</v>
      </c>
      <c r="T376">
        <v>12786777.4989882</v>
      </c>
      <c r="U376" s="3">
        <v>1146</v>
      </c>
      <c r="V376">
        <v>0.90558930097807</v>
      </c>
    </row>
    <row r="377" spans="1:22" x14ac:dyDescent="0.25">
      <c r="A377">
        <v>24101</v>
      </c>
      <c r="B377">
        <v>13</v>
      </c>
      <c r="C377">
        <v>2021</v>
      </c>
      <c r="D377">
        <v>2021</v>
      </c>
      <c r="E377" s="3">
        <f t="shared" si="6"/>
        <v>241012021</v>
      </c>
      <c r="F377" s="3">
        <f>VLOOKUP($E377,AgronomyYieldData!H:N,7,FALSE)</f>
        <v>42</v>
      </c>
      <c r="G377" s="3">
        <f>VLOOKUP($E377,AgronomyYieldData!$H:O,3,FALSE)</f>
        <v>4</v>
      </c>
      <c r="H377" s="9">
        <v>78</v>
      </c>
      <c r="I377">
        <v>0.26272730619156298</v>
      </c>
      <c r="J377">
        <v>0.24372686992818601</v>
      </c>
      <c r="K377" s="7">
        <v>4.70936452140348E-3</v>
      </c>
      <c r="L377" s="7">
        <v>1</v>
      </c>
      <c r="M377">
        <v>0.36803370779668498</v>
      </c>
      <c r="N377">
        <v>2.7651628210880498E-3</v>
      </c>
      <c r="O377">
        <v>0.10455132394219099</v>
      </c>
      <c r="P377">
        <v>9.9505154427514996E-4</v>
      </c>
      <c r="Q377">
        <v>2600.8739596773398</v>
      </c>
      <c r="R377">
        <v>2017572.4653165599</v>
      </c>
      <c r="S377">
        <v>16033.7630508562</v>
      </c>
      <c r="T377">
        <v>16564505.247231901</v>
      </c>
      <c r="U377" s="3">
        <v>323</v>
      </c>
      <c r="V377">
        <v>0.631982632769301</v>
      </c>
    </row>
    <row r="378" spans="1:22" x14ac:dyDescent="0.25">
      <c r="A378">
        <v>24101</v>
      </c>
      <c r="B378">
        <v>13</v>
      </c>
      <c r="C378">
        <v>2022</v>
      </c>
      <c r="D378">
        <v>2022</v>
      </c>
      <c r="E378" s="3">
        <f t="shared" si="6"/>
        <v>241012022</v>
      </c>
      <c r="F378" s="3">
        <f>VLOOKUP($E378,AgronomyYieldData!H:N,7,FALSE)</f>
        <v>88</v>
      </c>
      <c r="G378" s="3">
        <f>VLOOKUP($E378,AgronomyYieldData!$H:O,3,FALSE)</f>
        <v>4</v>
      </c>
      <c r="H378" s="9">
        <v>101</v>
      </c>
      <c r="I378">
        <v>0.10726125478144299</v>
      </c>
      <c r="J378">
        <v>0.23766200763360101</v>
      </c>
      <c r="K378" s="7">
        <v>3.57349988115877E-3</v>
      </c>
      <c r="L378" s="7">
        <v>0.99986842278391097</v>
      </c>
      <c r="M378">
        <v>0.36964234104698401</v>
      </c>
      <c r="N378">
        <v>2.5122017437555801E-3</v>
      </c>
      <c r="O378">
        <v>0.10455132394219099</v>
      </c>
      <c r="P378">
        <v>9.9505154427514996E-4</v>
      </c>
      <c r="Q378">
        <v>2472.1519878510499</v>
      </c>
      <c r="R378">
        <v>1329585.02207344</v>
      </c>
      <c r="S378">
        <v>16506.371046312001</v>
      </c>
      <c r="T378">
        <v>14655067.674047399</v>
      </c>
      <c r="U378" s="3">
        <v>781</v>
      </c>
      <c r="V378">
        <v>0.61028700419219595</v>
      </c>
    </row>
    <row r="379" spans="1:22" x14ac:dyDescent="0.25">
      <c r="A379">
        <v>24101</v>
      </c>
      <c r="B379">
        <v>13</v>
      </c>
      <c r="C379">
        <v>2024</v>
      </c>
      <c r="D379">
        <v>2024</v>
      </c>
      <c r="E379" s="3">
        <f t="shared" si="6"/>
        <v>241012024</v>
      </c>
      <c r="F379" s="3">
        <f>VLOOKUP($E379,AgronomyYieldData!H:N,7,FALSE)</f>
        <v>50</v>
      </c>
      <c r="G379" s="3">
        <f>VLOOKUP($E379,AgronomyYieldData!$H:O,3,FALSE)</f>
        <v>4</v>
      </c>
      <c r="H379" s="9">
        <v>111</v>
      </c>
      <c r="I379">
        <v>0.180164511109076</v>
      </c>
      <c r="J379">
        <v>0.24032166500713401</v>
      </c>
      <c r="K379" s="7">
        <v>3.6190655512953899E-3</v>
      </c>
      <c r="L379" s="7">
        <v>1</v>
      </c>
      <c r="M379">
        <v>0.37851622769708798</v>
      </c>
      <c r="N379">
        <v>2.51205475131888E-3</v>
      </c>
      <c r="O379">
        <v>0.10455132394219099</v>
      </c>
      <c r="P379">
        <v>9.9505154427514996E-4</v>
      </c>
      <c r="Q379">
        <v>2358.9106902922399</v>
      </c>
      <c r="R379">
        <v>1026934.33865372</v>
      </c>
      <c r="S379">
        <v>15756.5629489981</v>
      </c>
      <c r="T379">
        <v>16985064.850313701</v>
      </c>
      <c r="U379" s="3">
        <v>283</v>
      </c>
      <c r="V379">
        <v>0.34214585539151099</v>
      </c>
    </row>
    <row r="380" spans="1:22" x14ac:dyDescent="0.25">
      <c r="A380">
        <v>24101</v>
      </c>
      <c r="B380">
        <v>13</v>
      </c>
      <c r="C380">
        <v>3001</v>
      </c>
      <c r="D380">
        <v>3001</v>
      </c>
      <c r="E380" s="3">
        <f t="shared" si="6"/>
        <v>241013001</v>
      </c>
      <c r="F380" s="3">
        <f>VLOOKUP($E380,AgronomyYieldData!H:N,7,FALSE)</f>
        <v>74</v>
      </c>
      <c r="G380" s="3">
        <f>VLOOKUP($E380,AgronomyYieldData!$H:O,3,FALSE)</f>
        <v>1</v>
      </c>
      <c r="H380" s="9">
        <v>63</v>
      </c>
      <c r="I380">
        <v>0.61374038813621301</v>
      </c>
      <c r="J380">
        <v>0.232736481682732</v>
      </c>
      <c r="K380" s="7">
        <v>4.1276065132596698E-3</v>
      </c>
      <c r="L380" s="7">
        <v>0.99182883985315595</v>
      </c>
      <c r="M380">
        <v>0.35507554617491099</v>
      </c>
      <c r="N380">
        <v>2.77772175313431E-3</v>
      </c>
      <c r="O380">
        <v>0.10455132394219099</v>
      </c>
      <c r="P380">
        <v>9.9505154427514996E-4</v>
      </c>
      <c r="Q380">
        <v>2814.6209131116302</v>
      </c>
      <c r="R380">
        <v>2074104.61449491</v>
      </c>
      <c r="S380">
        <v>16696.6867883573</v>
      </c>
      <c r="T380">
        <v>16205378.178427599</v>
      </c>
      <c r="U380" s="3">
        <v>2005</v>
      </c>
      <c r="V380">
        <v>0.87855937395865802</v>
      </c>
    </row>
    <row r="381" spans="1:22" x14ac:dyDescent="0.25">
      <c r="A381">
        <v>24101</v>
      </c>
      <c r="B381">
        <v>13</v>
      </c>
      <c r="C381">
        <v>3002</v>
      </c>
      <c r="D381">
        <v>3002</v>
      </c>
      <c r="E381" s="3">
        <f t="shared" si="6"/>
        <v>241013002</v>
      </c>
      <c r="F381" s="3">
        <f>VLOOKUP($E381,AgronomyYieldData!H:N,7,FALSE)</f>
        <v>90</v>
      </c>
      <c r="G381" s="3">
        <f>VLOOKUP($E381,AgronomyYieldData!$H:O,3,FALSE)</f>
        <v>1</v>
      </c>
      <c r="H381" s="9">
        <v>76</v>
      </c>
      <c r="I381">
        <v>0.71301067113040695</v>
      </c>
      <c r="J381">
        <v>0.249291658034971</v>
      </c>
      <c r="K381" s="7">
        <v>8.0620897982781794E-3</v>
      </c>
      <c r="L381" s="7">
        <v>0.999486828600753</v>
      </c>
      <c r="M381">
        <v>0.36491563952165101</v>
      </c>
      <c r="N381">
        <v>4.1691269137601704E-3</v>
      </c>
      <c r="O381">
        <v>0.10455132394219099</v>
      </c>
      <c r="P381">
        <v>9.9505154427514996E-4</v>
      </c>
      <c r="Q381">
        <v>2971.6749478634501</v>
      </c>
      <c r="R381">
        <v>3042534.2786119599</v>
      </c>
      <c r="S381">
        <v>15924.340167263201</v>
      </c>
      <c r="T381">
        <v>20898014.0008795</v>
      </c>
      <c r="U381" s="3">
        <v>2678</v>
      </c>
      <c r="V381">
        <v>0.97980221433946002</v>
      </c>
    </row>
    <row r="382" spans="1:22" x14ac:dyDescent="0.25">
      <c r="A382">
        <v>24101</v>
      </c>
      <c r="B382">
        <v>13</v>
      </c>
      <c r="C382">
        <v>3003</v>
      </c>
      <c r="D382">
        <v>3003</v>
      </c>
      <c r="E382" s="3">
        <f t="shared" si="6"/>
        <v>241013003</v>
      </c>
      <c r="F382" s="3">
        <f>VLOOKUP($E382,AgronomyYieldData!H:N,7,FALSE)</f>
        <v>47</v>
      </c>
      <c r="G382" s="3">
        <f>VLOOKUP($E382,AgronomyYieldData!$H:O,3,FALSE)</f>
        <v>1</v>
      </c>
      <c r="H382" s="9">
        <v>66</v>
      </c>
      <c r="I382">
        <v>0.46263445254519803</v>
      </c>
      <c r="J382">
        <v>0.22921250285233499</v>
      </c>
      <c r="K382" s="7">
        <v>3.27882662101079E-3</v>
      </c>
      <c r="L382" s="7">
        <v>0.91740898146076999</v>
      </c>
      <c r="M382">
        <v>0.35543136264549502</v>
      </c>
      <c r="N382">
        <v>2.8933175658750498E-3</v>
      </c>
      <c r="O382">
        <v>0.10455132394219099</v>
      </c>
      <c r="P382">
        <v>9.9505154427514996E-4</v>
      </c>
      <c r="Q382">
        <v>2660.6275228844202</v>
      </c>
      <c r="R382">
        <v>1268064.25740616</v>
      </c>
      <c r="S382">
        <v>16758.3415357786</v>
      </c>
      <c r="T382">
        <v>15943531.735920601</v>
      </c>
      <c r="U382" s="3">
        <v>2307</v>
      </c>
      <c r="V382">
        <v>0.96188285373378102</v>
      </c>
    </row>
    <row r="383" spans="1:22" x14ac:dyDescent="0.25">
      <c r="A383">
        <v>24101</v>
      </c>
      <c r="B383">
        <v>13</v>
      </c>
      <c r="C383">
        <v>3004</v>
      </c>
      <c r="D383">
        <v>3004</v>
      </c>
      <c r="E383" s="3">
        <f t="shared" si="6"/>
        <v>241013004</v>
      </c>
      <c r="F383" s="3">
        <f>VLOOKUP($E383,AgronomyYieldData!H:N,7,FALSE)</f>
        <v>31</v>
      </c>
      <c r="G383" s="3">
        <f>VLOOKUP($E383,AgronomyYieldData!$H:O,3,FALSE)</f>
        <v>1</v>
      </c>
      <c r="H383" s="9">
        <v>84</v>
      </c>
      <c r="I383">
        <v>0.62852226087276597</v>
      </c>
      <c r="J383">
        <v>0.243686050595429</v>
      </c>
      <c r="K383" s="7">
        <v>6.6725625249548903E-3</v>
      </c>
      <c r="L383" s="7">
        <v>1</v>
      </c>
      <c r="M383">
        <v>0.36419508095061898</v>
      </c>
      <c r="N383">
        <v>3.4112521342724001E-3</v>
      </c>
      <c r="O383">
        <v>0.10455132394219099</v>
      </c>
      <c r="P383">
        <v>9.9505154427514996E-4</v>
      </c>
      <c r="Q383">
        <v>2911.3660064413798</v>
      </c>
      <c r="R383">
        <v>2691614.9519834998</v>
      </c>
      <c r="S383">
        <v>15834.8732199674</v>
      </c>
      <c r="T383">
        <v>18238242.569875401</v>
      </c>
      <c r="U383" s="3">
        <v>2070</v>
      </c>
      <c r="V383">
        <v>0.98635400907715498</v>
      </c>
    </row>
    <row r="384" spans="1:22" x14ac:dyDescent="0.25">
      <c r="A384">
        <v>24101</v>
      </c>
      <c r="B384">
        <v>13</v>
      </c>
      <c r="C384">
        <v>3005</v>
      </c>
      <c r="D384">
        <v>3005</v>
      </c>
      <c r="E384" s="3">
        <f t="shared" si="6"/>
        <v>241013005</v>
      </c>
      <c r="F384" s="3">
        <f>VLOOKUP($E384,AgronomyYieldData!H:N,7,FALSE)</f>
        <v>1</v>
      </c>
      <c r="G384" s="3">
        <f>VLOOKUP($E384,AgronomyYieldData!$H:O,3,FALSE)</f>
        <v>1</v>
      </c>
      <c r="H384" s="9">
        <v>54</v>
      </c>
      <c r="I384">
        <v>0.45919681967092402</v>
      </c>
      <c r="J384">
        <v>0.229940762970051</v>
      </c>
      <c r="K384" s="7">
        <v>3.0752664066439899E-3</v>
      </c>
      <c r="L384" s="7">
        <v>0.99996296296296305</v>
      </c>
      <c r="M384">
        <v>0.35989719562100803</v>
      </c>
      <c r="N384">
        <v>2.5177146625877502E-3</v>
      </c>
      <c r="O384">
        <v>9.4957034091235501E-2</v>
      </c>
      <c r="P384">
        <v>8.4252624967331795E-4</v>
      </c>
      <c r="Q384">
        <v>2651.6107888231199</v>
      </c>
      <c r="R384">
        <v>1845620.3696067401</v>
      </c>
      <c r="S384">
        <v>16364.801387900899</v>
      </c>
      <c r="T384">
        <v>15204823.1613017</v>
      </c>
      <c r="U384" s="3">
        <v>1880</v>
      </c>
      <c r="V384">
        <v>0.99536308623297998</v>
      </c>
    </row>
    <row r="385" spans="1:22" x14ac:dyDescent="0.25">
      <c r="A385">
        <v>24101</v>
      </c>
      <c r="B385">
        <v>13</v>
      </c>
      <c r="C385">
        <v>3006</v>
      </c>
      <c r="D385">
        <v>3006</v>
      </c>
      <c r="E385" s="3">
        <f t="shared" si="6"/>
        <v>241013006</v>
      </c>
      <c r="F385" s="3">
        <f>VLOOKUP($E385,AgronomyYieldData!H:N,7,FALSE)</f>
        <v>30</v>
      </c>
      <c r="G385" s="3">
        <f>VLOOKUP($E385,AgronomyYieldData!$H:O,3,FALSE)</f>
        <v>1</v>
      </c>
      <c r="H385" s="9">
        <v>75</v>
      </c>
      <c r="I385">
        <v>0.66721573968417502</v>
      </c>
      <c r="J385">
        <v>0.23622583560401</v>
      </c>
      <c r="K385" s="7">
        <v>4.2344543947057198E-3</v>
      </c>
      <c r="L385" s="7">
        <v>0.96546360252587904</v>
      </c>
      <c r="M385">
        <v>0.36205413708093998</v>
      </c>
      <c r="N385">
        <v>3.1856865445214801E-3</v>
      </c>
      <c r="O385">
        <v>9.4957034091235501E-2</v>
      </c>
      <c r="P385">
        <v>8.4252624967331795E-4</v>
      </c>
      <c r="Q385">
        <v>2668.8447832638899</v>
      </c>
      <c r="R385">
        <v>1880593.0596276899</v>
      </c>
      <c r="S385">
        <v>15797.1912955146</v>
      </c>
      <c r="T385">
        <v>17407628.1248192</v>
      </c>
      <c r="U385" s="3">
        <v>1680</v>
      </c>
      <c r="V385">
        <v>0.87182008668880495</v>
      </c>
    </row>
    <row r="386" spans="1:22" x14ac:dyDescent="0.25">
      <c r="A386">
        <v>24101</v>
      </c>
      <c r="B386">
        <v>13</v>
      </c>
      <c r="C386">
        <v>3007</v>
      </c>
      <c r="D386">
        <v>3007</v>
      </c>
      <c r="E386" s="3">
        <f t="shared" si="6"/>
        <v>241013007</v>
      </c>
      <c r="F386" s="3">
        <f>VLOOKUP($E386,AgronomyYieldData!H:N,7,FALSE)</f>
        <v>6</v>
      </c>
      <c r="G386" s="3">
        <f>VLOOKUP($E386,AgronomyYieldData!$H:O,3,FALSE)</f>
        <v>2</v>
      </c>
      <c r="H386" s="9">
        <v>61</v>
      </c>
      <c r="I386">
        <v>0.53380082086393099</v>
      </c>
      <c r="J386">
        <v>0.23520506737479799</v>
      </c>
      <c r="K386" s="7">
        <v>3.39223339805677E-3</v>
      </c>
      <c r="L386" s="7">
        <v>0.99872215123062402</v>
      </c>
      <c r="M386">
        <v>0.36510511116550998</v>
      </c>
      <c r="N386">
        <v>2.7244365347939802E-3</v>
      </c>
      <c r="O386">
        <v>9.4957034091235501E-2</v>
      </c>
      <c r="P386">
        <v>8.4252624967331795E-4</v>
      </c>
      <c r="Q386">
        <v>2461.3017985186402</v>
      </c>
      <c r="R386">
        <v>1273372.92561255</v>
      </c>
      <c r="S386">
        <v>15929.6510252017</v>
      </c>
      <c r="T386">
        <v>16134043.8316739</v>
      </c>
      <c r="U386" s="3">
        <v>882</v>
      </c>
      <c r="V386">
        <v>0.728335854765506</v>
      </c>
    </row>
    <row r="387" spans="1:22" x14ac:dyDescent="0.25">
      <c r="A387">
        <v>24101</v>
      </c>
      <c r="B387">
        <v>13</v>
      </c>
      <c r="C387">
        <v>3008</v>
      </c>
      <c r="D387">
        <v>3008</v>
      </c>
      <c r="E387" s="3">
        <f t="shared" si="6"/>
        <v>241013008</v>
      </c>
      <c r="F387" s="3">
        <f>VLOOKUP($E387,AgronomyYieldData!H:N,7,FALSE)</f>
        <v>42</v>
      </c>
      <c r="G387" s="3">
        <f>VLOOKUP($E387,AgronomyYieldData!$H:O,3,FALSE)</f>
        <v>2</v>
      </c>
      <c r="H387" s="9">
        <v>68</v>
      </c>
      <c r="I387">
        <v>0.61993502848255599</v>
      </c>
      <c r="J387">
        <v>0.24417020269956499</v>
      </c>
      <c r="K387" s="7">
        <v>6.3944059077561998E-3</v>
      </c>
      <c r="L387" s="7">
        <v>1</v>
      </c>
      <c r="M387">
        <v>0.36397781261850998</v>
      </c>
      <c r="N387">
        <v>3.2474303551215402E-3</v>
      </c>
      <c r="O387">
        <v>9.4957034091235501E-2</v>
      </c>
      <c r="P387">
        <v>8.4252624967331795E-4</v>
      </c>
      <c r="Q387">
        <v>2745.2425167689398</v>
      </c>
      <c r="R387">
        <v>3042196.3177356599</v>
      </c>
      <c r="S387">
        <v>15475.813606945299</v>
      </c>
      <c r="T387">
        <v>19155214.120208699</v>
      </c>
      <c r="U387" s="3">
        <v>991</v>
      </c>
      <c r="V387">
        <v>0.96590823134294401</v>
      </c>
    </row>
    <row r="388" spans="1:22" x14ac:dyDescent="0.25">
      <c r="A388">
        <v>24101</v>
      </c>
      <c r="B388">
        <v>13</v>
      </c>
      <c r="C388">
        <v>3009</v>
      </c>
      <c r="D388">
        <v>3009</v>
      </c>
      <c r="E388" s="3">
        <f t="shared" si="6"/>
        <v>241013009</v>
      </c>
      <c r="F388" s="3">
        <f>VLOOKUP($E388,AgronomyYieldData!H:N,7,FALSE)</f>
        <v>19</v>
      </c>
      <c r="G388" s="3">
        <f>VLOOKUP($E388,AgronomyYieldData!$H:O,3,FALSE)</f>
        <v>2</v>
      </c>
      <c r="H388" s="9">
        <v>74</v>
      </c>
      <c r="I388">
        <v>0.67062980822321105</v>
      </c>
      <c r="J388">
        <v>0.230365734458262</v>
      </c>
      <c r="K388" s="7">
        <v>4.2116258486018703E-3</v>
      </c>
      <c r="L388" s="7">
        <v>1</v>
      </c>
      <c r="M388">
        <v>0.35751756041659399</v>
      </c>
      <c r="N388">
        <v>2.8837500709563602E-3</v>
      </c>
      <c r="O388">
        <v>9.4957034091235501E-2</v>
      </c>
      <c r="P388">
        <v>8.4252624967331795E-4</v>
      </c>
      <c r="Q388">
        <v>2596.8706983157699</v>
      </c>
      <c r="R388">
        <v>1665263.27820865</v>
      </c>
      <c r="S388">
        <v>15629.748760349799</v>
      </c>
      <c r="T388">
        <v>16641153.953411501</v>
      </c>
      <c r="U388" s="3">
        <v>893</v>
      </c>
      <c r="V388">
        <v>0.99075649957262002</v>
      </c>
    </row>
    <row r="389" spans="1:22" x14ac:dyDescent="0.25">
      <c r="A389">
        <v>24101</v>
      </c>
      <c r="B389">
        <v>13</v>
      </c>
      <c r="C389">
        <v>3010</v>
      </c>
      <c r="D389">
        <v>3010</v>
      </c>
      <c r="E389" s="3">
        <f t="shared" si="6"/>
        <v>241013010</v>
      </c>
      <c r="F389" s="3">
        <f>VLOOKUP($E389,AgronomyYieldData!H:N,7,FALSE)</f>
        <v>73</v>
      </c>
      <c r="G389" s="3">
        <f>VLOOKUP($E389,AgronomyYieldData!$H:O,3,FALSE)</f>
        <v>2</v>
      </c>
      <c r="H389" s="9">
        <v>74</v>
      </c>
      <c r="I389">
        <v>0.35681358990957002</v>
      </c>
      <c r="J389">
        <v>0.226175873777545</v>
      </c>
      <c r="K389" s="7">
        <v>2.8943301793375202E-3</v>
      </c>
      <c r="L389" s="7">
        <v>0.98614455453361205</v>
      </c>
      <c r="M389">
        <v>0.35612990428434999</v>
      </c>
      <c r="N389">
        <v>2.4729122343967801E-3</v>
      </c>
      <c r="O389">
        <v>9.4957034091235501E-2</v>
      </c>
      <c r="P389">
        <v>8.4252624967331795E-4</v>
      </c>
      <c r="Q389">
        <v>2474.3437163211902</v>
      </c>
      <c r="R389">
        <v>1086017.7513077799</v>
      </c>
      <c r="S389">
        <v>16010.0840555205</v>
      </c>
      <c r="T389">
        <v>14986777.9572499</v>
      </c>
      <c r="U389" s="3">
        <v>2416</v>
      </c>
      <c r="V389">
        <v>0.95436906771006802</v>
      </c>
    </row>
    <row r="390" spans="1:22" x14ac:dyDescent="0.25">
      <c r="A390">
        <v>24101</v>
      </c>
      <c r="B390">
        <v>13</v>
      </c>
      <c r="C390">
        <v>3011</v>
      </c>
      <c r="D390">
        <v>3011</v>
      </c>
      <c r="E390" s="3">
        <f t="shared" si="6"/>
        <v>241013011</v>
      </c>
      <c r="F390" s="3">
        <f>VLOOKUP($E390,AgronomyYieldData!H:N,7,FALSE)</f>
        <v>53</v>
      </c>
      <c r="G390" s="3">
        <f>VLOOKUP($E390,AgronomyYieldData!$H:O,3,FALSE)</f>
        <v>2</v>
      </c>
      <c r="H390" s="9">
        <v>68</v>
      </c>
      <c r="I390">
        <v>0.40516170374148303</v>
      </c>
      <c r="J390">
        <v>0.222675891378777</v>
      </c>
      <c r="K390" s="7">
        <v>2.65420062078485E-3</v>
      </c>
      <c r="L390" s="7">
        <v>0.93959131041197896</v>
      </c>
      <c r="M390">
        <v>0.34970178514834899</v>
      </c>
      <c r="N390">
        <v>2.3700721626508901E-3</v>
      </c>
      <c r="O390">
        <v>9.4957034091235501E-2</v>
      </c>
      <c r="P390">
        <v>8.4252624967331795E-4</v>
      </c>
      <c r="Q390">
        <v>2598.51721555839</v>
      </c>
      <c r="R390">
        <v>1441178.6215876001</v>
      </c>
      <c r="S390">
        <v>16363.180502450101</v>
      </c>
      <c r="T390">
        <v>13633734.287847299</v>
      </c>
      <c r="U390" s="3">
        <v>2167</v>
      </c>
      <c r="V390">
        <v>0.930538535956143</v>
      </c>
    </row>
    <row r="391" spans="1:22" x14ac:dyDescent="0.25">
      <c r="A391">
        <v>24101</v>
      </c>
      <c r="B391">
        <v>13</v>
      </c>
      <c r="C391">
        <v>3012</v>
      </c>
      <c r="D391">
        <v>3012</v>
      </c>
      <c r="E391" s="3">
        <f t="shared" si="6"/>
        <v>241013012</v>
      </c>
      <c r="F391" s="3">
        <f>VLOOKUP($E391,AgronomyYieldData!H:N,7,FALSE)</f>
        <v>89</v>
      </c>
      <c r="G391" s="3">
        <f>VLOOKUP($E391,AgronomyYieldData!$H:O,3,FALSE)</f>
        <v>2</v>
      </c>
      <c r="H391" s="9">
        <v>84</v>
      </c>
      <c r="I391">
        <v>0.74431134592247705</v>
      </c>
      <c r="J391">
        <v>0.24346520250075901</v>
      </c>
      <c r="K391" s="7">
        <v>7.4719154282043903E-3</v>
      </c>
      <c r="L391" s="7">
        <v>0.99832894736842104</v>
      </c>
      <c r="M391">
        <v>0.36525630586328101</v>
      </c>
      <c r="N391">
        <v>3.7795116696246601E-3</v>
      </c>
      <c r="O391">
        <v>9.4957034091235501E-2</v>
      </c>
      <c r="P391">
        <v>8.4252624967331795E-4</v>
      </c>
      <c r="Q391">
        <v>2731.9447274864901</v>
      </c>
      <c r="R391">
        <v>2820395.65499443</v>
      </c>
      <c r="S391">
        <v>15782.838640886501</v>
      </c>
      <c r="T391">
        <v>19502742.1552338</v>
      </c>
      <c r="U391" s="3">
        <v>2098</v>
      </c>
      <c r="V391">
        <v>0.81192524951762601</v>
      </c>
    </row>
    <row r="392" spans="1:22" x14ac:dyDescent="0.25">
      <c r="A392">
        <v>24101</v>
      </c>
      <c r="B392">
        <v>13</v>
      </c>
      <c r="C392">
        <v>3013</v>
      </c>
      <c r="D392">
        <v>3013</v>
      </c>
      <c r="E392" s="3">
        <f t="shared" si="6"/>
        <v>241013013</v>
      </c>
      <c r="F392" s="3">
        <f>VLOOKUP($E392,AgronomyYieldData!H:N,7,FALSE)</f>
        <v>31</v>
      </c>
      <c r="G392" s="3">
        <f>VLOOKUP($E392,AgronomyYieldData!$H:O,3,FALSE)</f>
        <v>3</v>
      </c>
      <c r="H392" s="9">
        <v>78</v>
      </c>
      <c r="I392">
        <v>0.76076013435788803</v>
      </c>
      <c r="J392">
        <v>0.23384969580619799</v>
      </c>
      <c r="K392" s="7">
        <v>6.1697759376025197E-3</v>
      </c>
      <c r="L392" s="7">
        <v>0.99279629629629595</v>
      </c>
      <c r="M392">
        <v>0.35236681002834602</v>
      </c>
      <c r="N392">
        <v>2.9668417240846798E-3</v>
      </c>
      <c r="O392">
        <v>9.4957034091235501E-2</v>
      </c>
      <c r="P392">
        <v>8.4252624967331795E-4</v>
      </c>
      <c r="Q392">
        <v>2881.94838862186</v>
      </c>
      <c r="R392">
        <v>2677962.7384716999</v>
      </c>
      <c r="S392">
        <v>15778.6792832965</v>
      </c>
      <c r="T392">
        <v>15868350.899597101</v>
      </c>
      <c r="U392" s="3">
        <v>2729</v>
      </c>
      <c r="V392">
        <v>0.99358547655067997</v>
      </c>
    </row>
    <row r="393" spans="1:22" x14ac:dyDescent="0.25">
      <c r="A393">
        <v>24101</v>
      </c>
      <c r="B393">
        <v>13</v>
      </c>
      <c r="C393">
        <v>3014</v>
      </c>
      <c r="D393">
        <v>3014</v>
      </c>
      <c r="E393" s="3">
        <f t="shared" si="6"/>
        <v>241013014</v>
      </c>
      <c r="F393" s="3">
        <f>VLOOKUP($E393,AgronomyYieldData!H:N,7,FALSE)</f>
        <v>14</v>
      </c>
      <c r="G393" s="3">
        <f>VLOOKUP($E393,AgronomyYieldData!$H:O,3,FALSE)</f>
        <v>3</v>
      </c>
      <c r="H393" s="9">
        <v>39</v>
      </c>
      <c r="I393">
        <v>0.63676102481042396</v>
      </c>
      <c r="J393">
        <v>0.22388766801121501</v>
      </c>
      <c r="K393" s="7">
        <v>2.9616642058565498E-3</v>
      </c>
      <c r="L393" s="7">
        <v>0.96829512204155699</v>
      </c>
      <c r="M393">
        <v>0.35352111459510699</v>
      </c>
      <c r="N393">
        <v>2.35603557965724E-3</v>
      </c>
      <c r="O393">
        <v>9.4957034091235501E-2</v>
      </c>
      <c r="P393">
        <v>8.4252624967331795E-4</v>
      </c>
      <c r="Q393">
        <v>2563.0889992021998</v>
      </c>
      <c r="R393">
        <v>1551254.67023018</v>
      </c>
      <c r="S393">
        <v>16238.418687592601</v>
      </c>
      <c r="T393">
        <v>15338486.429685799</v>
      </c>
      <c r="U393" s="3">
        <v>1211</v>
      </c>
      <c r="V393">
        <v>0.84769814974507895</v>
      </c>
    </row>
    <row r="394" spans="1:22" x14ac:dyDescent="0.25">
      <c r="A394">
        <v>24101</v>
      </c>
      <c r="B394">
        <v>13</v>
      </c>
      <c r="C394">
        <v>3015</v>
      </c>
      <c r="D394">
        <v>3015</v>
      </c>
      <c r="E394" s="3">
        <f t="shared" si="6"/>
        <v>241013015</v>
      </c>
      <c r="F394" s="3">
        <f>VLOOKUP($E394,AgronomyYieldData!H:N,7,FALSE)</f>
        <v>25</v>
      </c>
      <c r="G394" s="3">
        <f>VLOOKUP($E394,AgronomyYieldData!$H:O,3,FALSE)</f>
        <v>3</v>
      </c>
      <c r="H394" s="9">
        <v>73</v>
      </c>
      <c r="I394">
        <v>0.74224005447835995</v>
      </c>
      <c r="J394">
        <v>0.23366366758808599</v>
      </c>
      <c r="K394" s="7">
        <v>4.1742887719378599E-3</v>
      </c>
      <c r="L394" s="7">
        <v>0.97385185185185197</v>
      </c>
      <c r="M394">
        <v>0.35746198693708697</v>
      </c>
      <c r="N394">
        <v>3.0190483458175598E-3</v>
      </c>
      <c r="O394">
        <v>9.4957034091235501E-2</v>
      </c>
      <c r="P394">
        <v>8.4252624967331795E-4</v>
      </c>
      <c r="Q394">
        <v>2565.0558658117402</v>
      </c>
      <c r="R394">
        <v>1641817.6811072</v>
      </c>
      <c r="S394">
        <v>16217.443622766001</v>
      </c>
      <c r="T394">
        <v>17044673.852669101</v>
      </c>
      <c r="U394" s="3">
        <v>821</v>
      </c>
      <c r="V394">
        <v>0.71722390317700402</v>
      </c>
    </row>
    <row r="395" spans="1:22" x14ac:dyDescent="0.25">
      <c r="A395">
        <v>24101</v>
      </c>
      <c r="B395">
        <v>13</v>
      </c>
      <c r="C395">
        <v>3016</v>
      </c>
      <c r="D395">
        <v>3016</v>
      </c>
      <c r="E395" s="3">
        <f t="shared" si="6"/>
        <v>241013016</v>
      </c>
      <c r="F395" s="3">
        <f>VLOOKUP($E395,AgronomyYieldData!H:N,7,FALSE)</f>
        <v>63</v>
      </c>
      <c r="G395" s="3">
        <f>VLOOKUP($E395,AgronomyYieldData!$H:O,3,FALSE)</f>
        <v>3</v>
      </c>
      <c r="H395" s="9">
        <v>73</v>
      </c>
      <c r="I395">
        <v>0.41981128991126798</v>
      </c>
      <c r="J395">
        <v>0.236951639632732</v>
      </c>
      <c r="K395" s="7">
        <v>4.07328196964992E-3</v>
      </c>
      <c r="L395" s="7">
        <v>0.979000552617036</v>
      </c>
      <c r="M395">
        <v>0.36064341986406001</v>
      </c>
      <c r="N395">
        <v>2.97927435701041E-3</v>
      </c>
      <c r="O395">
        <v>9.4957034091235501E-2</v>
      </c>
      <c r="P395">
        <v>8.4252624967331795E-4</v>
      </c>
      <c r="Q395">
        <v>2467.1152960606901</v>
      </c>
      <c r="R395">
        <v>1265925.22807623</v>
      </c>
      <c r="S395">
        <v>16384.62832697</v>
      </c>
      <c r="T395">
        <v>15315623.1664376</v>
      </c>
      <c r="U395" s="3">
        <v>1726</v>
      </c>
      <c r="V395">
        <v>0.977684617865204</v>
      </c>
    </row>
    <row r="396" spans="1:22" x14ac:dyDescent="0.25">
      <c r="A396">
        <v>24101</v>
      </c>
      <c r="B396">
        <v>13</v>
      </c>
      <c r="C396">
        <v>3017</v>
      </c>
      <c r="D396">
        <v>3017</v>
      </c>
      <c r="E396" s="3">
        <f t="shared" si="6"/>
        <v>241013017</v>
      </c>
      <c r="F396" s="3">
        <f>VLOOKUP($E396,AgronomyYieldData!H:N,7,FALSE)</f>
        <v>83</v>
      </c>
      <c r="G396" s="3">
        <f>VLOOKUP($E396,AgronomyYieldData!$H:O,3,FALSE)</f>
        <v>3</v>
      </c>
      <c r="H396" s="9">
        <v>71</v>
      </c>
      <c r="I396">
        <v>0.56100591096929397</v>
      </c>
      <c r="J396">
        <v>0.23720684841078599</v>
      </c>
      <c r="K396" s="7">
        <v>4.3741390732621802E-3</v>
      </c>
      <c r="L396" s="7">
        <v>0.97532862274503596</v>
      </c>
      <c r="M396">
        <v>0.36121616624467301</v>
      </c>
      <c r="N396">
        <v>2.9596239782182301E-3</v>
      </c>
      <c r="O396">
        <v>9.4957034091235501E-2</v>
      </c>
      <c r="P396">
        <v>8.4252624967331795E-4</v>
      </c>
      <c r="Q396">
        <v>2545.66545131356</v>
      </c>
      <c r="R396">
        <v>1521971.5151784001</v>
      </c>
      <c r="S396">
        <v>16454.6148959573</v>
      </c>
      <c r="T396">
        <v>15668673.6367217</v>
      </c>
      <c r="U396" s="3">
        <v>1034</v>
      </c>
      <c r="V396">
        <v>0.93536961592621604</v>
      </c>
    </row>
    <row r="397" spans="1:22" x14ac:dyDescent="0.25">
      <c r="A397">
        <v>24101</v>
      </c>
      <c r="B397">
        <v>13</v>
      </c>
      <c r="C397">
        <v>3018</v>
      </c>
      <c r="D397">
        <v>3018</v>
      </c>
      <c r="E397" s="3">
        <f t="shared" si="6"/>
        <v>241013018</v>
      </c>
      <c r="F397" s="3">
        <f>VLOOKUP($E397,AgronomyYieldData!H:N,7,FALSE)</f>
        <v>46</v>
      </c>
      <c r="G397" s="3">
        <f>VLOOKUP($E397,AgronomyYieldData!$H:O,3,FALSE)</f>
        <v>3</v>
      </c>
      <c r="H397" s="9">
        <v>75</v>
      </c>
      <c r="I397">
        <v>0.48083486994389701</v>
      </c>
      <c r="J397">
        <v>0.23436633570314899</v>
      </c>
      <c r="K397" s="7">
        <v>3.0224351502979199E-3</v>
      </c>
      <c r="L397" s="7">
        <v>0.957699038195861</v>
      </c>
      <c r="M397">
        <v>0.36021927653970398</v>
      </c>
      <c r="N397">
        <v>2.38257515262361E-3</v>
      </c>
      <c r="O397">
        <v>9.4957034091235501E-2</v>
      </c>
      <c r="P397">
        <v>8.4252624967331795E-4</v>
      </c>
      <c r="Q397">
        <v>2488.2684087505399</v>
      </c>
      <c r="R397">
        <v>1656815.0295845401</v>
      </c>
      <c r="S397">
        <v>16671.8344142356</v>
      </c>
      <c r="T397">
        <v>15721906.9434069</v>
      </c>
      <c r="U397" s="3">
        <v>2345</v>
      </c>
      <c r="V397">
        <v>0.97927539113936901</v>
      </c>
    </row>
    <row r="398" spans="1:22" x14ac:dyDescent="0.25">
      <c r="A398">
        <v>24101</v>
      </c>
      <c r="B398">
        <v>13</v>
      </c>
      <c r="C398">
        <v>3019</v>
      </c>
      <c r="D398">
        <v>3019</v>
      </c>
      <c r="E398" s="3">
        <f t="shared" si="6"/>
        <v>241013019</v>
      </c>
      <c r="F398" s="3">
        <f>VLOOKUP($E398,AgronomyYieldData!H:N,7,FALSE)</f>
        <v>2</v>
      </c>
      <c r="G398" s="3">
        <f>VLOOKUP($E398,AgronomyYieldData!$H:O,3,FALSE)</f>
        <v>4</v>
      </c>
      <c r="H398" s="9">
        <v>40</v>
      </c>
      <c r="I398">
        <v>0.45347125082824102</v>
      </c>
      <c r="J398">
        <v>0.23552192482308601</v>
      </c>
      <c r="K398" s="7">
        <v>2.6982826474074599E-3</v>
      </c>
      <c r="L398" s="7">
        <v>0.89431872893596498</v>
      </c>
      <c r="M398">
        <v>0.36111618754267</v>
      </c>
      <c r="N398">
        <v>2.6209076588053302E-3</v>
      </c>
      <c r="O398">
        <v>9.4957034091235501E-2</v>
      </c>
      <c r="P398">
        <v>8.4252624967331795E-4</v>
      </c>
      <c r="Q398">
        <v>2335.2927422611401</v>
      </c>
      <c r="R398">
        <v>1266504.63480663</v>
      </c>
      <c r="S398">
        <v>16477.646038288702</v>
      </c>
      <c r="T398">
        <v>15965437.6341612</v>
      </c>
      <c r="U398" s="3">
        <v>1885</v>
      </c>
      <c r="V398">
        <v>0.97352476191196602</v>
      </c>
    </row>
    <row r="399" spans="1:22" x14ac:dyDescent="0.25">
      <c r="A399">
        <v>24101</v>
      </c>
      <c r="B399">
        <v>13</v>
      </c>
      <c r="C399">
        <v>3020</v>
      </c>
      <c r="D399">
        <v>3020</v>
      </c>
      <c r="E399" s="3">
        <f t="shared" si="6"/>
        <v>241013020</v>
      </c>
      <c r="F399" s="3">
        <f>VLOOKUP($E399,AgronomyYieldData!H:N,7,FALSE)</f>
        <v>21</v>
      </c>
      <c r="G399" s="3">
        <f>VLOOKUP($E399,AgronomyYieldData!$H:O,3,FALSE)</f>
        <v>4</v>
      </c>
      <c r="H399" s="9">
        <v>62</v>
      </c>
      <c r="I399">
        <v>0.61299406432614001</v>
      </c>
      <c r="J399">
        <v>0.239115800563379</v>
      </c>
      <c r="K399" s="7">
        <v>3.8352213061417402E-3</v>
      </c>
      <c r="L399" s="7">
        <v>0.99829626474564304</v>
      </c>
      <c r="M399">
        <v>0.36191945049365398</v>
      </c>
      <c r="N399">
        <v>2.7475025328773002E-3</v>
      </c>
      <c r="O399">
        <v>9.4957034091235501E-2</v>
      </c>
      <c r="P399">
        <v>8.4252624967331795E-4</v>
      </c>
      <c r="Q399">
        <v>2340.53334974884</v>
      </c>
      <c r="R399">
        <v>1077673.7331584699</v>
      </c>
      <c r="S399">
        <v>15910.979118099</v>
      </c>
      <c r="T399">
        <v>15548971.6450026</v>
      </c>
      <c r="U399" s="3">
        <v>505</v>
      </c>
      <c r="V399">
        <v>0.524281391830559</v>
      </c>
    </row>
    <row r="400" spans="1:22" x14ac:dyDescent="0.25">
      <c r="A400">
        <v>24101</v>
      </c>
      <c r="B400">
        <v>13</v>
      </c>
      <c r="C400">
        <v>3021</v>
      </c>
      <c r="D400">
        <v>3021</v>
      </c>
      <c r="E400" s="3">
        <f t="shared" si="6"/>
        <v>241013021</v>
      </c>
      <c r="F400" s="3">
        <f>VLOOKUP($E400,AgronomyYieldData!H:N,7,FALSE)</f>
        <v>35</v>
      </c>
      <c r="G400" s="3">
        <f>VLOOKUP($E400,AgronomyYieldData!$H:O,3,FALSE)</f>
        <v>4</v>
      </c>
      <c r="H400" s="9">
        <v>102</v>
      </c>
      <c r="I400">
        <v>0.46837586387771801</v>
      </c>
      <c r="J400">
        <v>0.24880343218097301</v>
      </c>
      <c r="K400" s="7">
        <v>5.5059431828547696E-3</v>
      </c>
      <c r="L400" s="7">
        <v>1</v>
      </c>
      <c r="M400">
        <v>0.37476120912559102</v>
      </c>
      <c r="N400">
        <v>3.6170732100783099E-3</v>
      </c>
      <c r="O400">
        <v>9.4957034091235501E-2</v>
      </c>
      <c r="P400">
        <v>8.4252624967331795E-4</v>
      </c>
      <c r="Q400">
        <v>2278.12472052871</v>
      </c>
      <c r="R400">
        <v>1225353.9795300299</v>
      </c>
      <c r="S400">
        <v>15538.066255767</v>
      </c>
      <c r="T400">
        <v>16303648.9706377</v>
      </c>
      <c r="U400" s="3">
        <v>1542</v>
      </c>
      <c r="V400">
        <v>0.74509640768840901</v>
      </c>
    </row>
    <row r="401" spans="1:22" x14ac:dyDescent="0.25">
      <c r="A401">
        <v>24101</v>
      </c>
      <c r="B401">
        <v>13</v>
      </c>
      <c r="C401">
        <v>3023</v>
      </c>
      <c r="D401">
        <v>3023</v>
      </c>
      <c r="E401" s="3">
        <f t="shared" si="6"/>
        <v>241013023</v>
      </c>
      <c r="F401" s="3">
        <f>VLOOKUP($E401,AgronomyYieldData!H:N,7,FALSE)</f>
        <v>67</v>
      </c>
      <c r="G401" s="3">
        <f>VLOOKUP($E401,AgronomyYieldData!$H:O,3,FALSE)</f>
        <v>4</v>
      </c>
      <c r="H401" s="9">
        <v>55</v>
      </c>
      <c r="I401">
        <v>0.18147104401101</v>
      </c>
      <c r="J401">
        <v>0.23472223649145099</v>
      </c>
      <c r="K401" s="7">
        <v>3.2609302151967098E-3</v>
      </c>
      <c r="L401" s="7">
        <v>0.872654543540619</v>
      </c>
      <c r="M401">
        <v>0.37541918109332001</v>
      </c>
      <c r="N401">
        <v>2.4834591092530501E-3</v>
      </c>
      <c r="O401">
        <v>9.4957034091235501E-2</v>
      </c>
      <c r="P401">
        <v>8.4252624967331795E-4</v>
      </c>
      <c r="Q401">
        <v>2042.6539228653601</v>
      </c>
      <c r="R401">
        <v>857835.91431207</v>
      </c>
      <c r="S401">
        <v>15813.514870197299</v>
      </c>
      <c r="T401">
        <v>15434355.173033301</v>
      </c>
      <c r="U401" s="3">
        <v>652</v>
      </c>
      <c r="V401">
        <v>0.60002257360607902</v>
      </c>
    </row>
    <row r="402" spans="1:22" x14ac:dyDescent="0.25">
      <c r="A402">
        <v>24101</v>
      </c>
      <c r="B402">
        <v>13</v>
      </c>
      <c r="C402">
        <v>4001</v>
      </c>
      <c r="D402">
        <v>4001</v>
      </c>
      <c r="E402" s="3">
        <f t="shared" si="6"/>
        <v>241014001</v>
      </c>
      <c r="F402" s="3">
        <f>VLOOKUP($E402,AgronomyYieldData!H:N,7,FALSE)</f>
        <v>75</v>
      </c>
      <c r="G402" s="3">
        <f>VLOOKUP($E402,AgronomyYieldData!$H:O,3,FALSE)</f>
        <v>1</v>
      </c>
      <c r="H402" s="9">
        <v>78</v>
      </c>
      <c r="I402">
        <v>0.45436356146648599</v>
      </c>
      <c r="J402">
        <v>0.230348215312699</v>
      </c>
      <c r="K402" s="7">
        <v>3.5062330306620299E-3</v>
      </c>
      <c r="L402" s="7">
        <v>0.96130314074814804</v>
      </c>
      <c r="M402">
        <v>0.349696126872238</v>
      </c>
      <c r="N402">
        <v>2.80086344859479E-3</v>
      </c>
      <c r="O402">
        <v>9.4957034091235501E-2</v>
      </c>
      <c r="P402">
        <v>8.4252624967331795E-4</v>
      </c>
      <c r="Q402">
        <v>2786.4274917071398</v>
      </c>
      <c r="R402">
        <v>1745368.84466978</v>
      </c>
      <c r="S402">
        <v>16887.359356163299</v>
      </c>
      <c r="T402">
        <v>17461896.691082101</v>
      </c>
      <c r="U402" s="3">
        <v>1913</v>
      </c>
      <c r="V402">
        <v>0.93687016623580399</v>
      </c>
    </row>
    <row r="403" spans="1:22" x14ac:dyDescent="0.25">
      <c r="A403">
        <v>24101</v>
      </c>
      <c r="B403">
        <v>13</v>
      </c>
      <c r="C403">
        <v>4002</v>
      </c>
      <c r="D403">
        <v>4002</v>
      </c>
      <c r="E403" s="3">
        <f t="shared" ref="E403:E466" si="7">$A403*10000+$C403</f>
        <v>241014002</v>
      </c>
      <c r="F403" s="3">
        <f>VLOOKUP($E403,AgronomyYieldData!H:N,7,FALSE)</f>
        <v>82</v>
      </c>
      <c r="G403" s="3">
        <f>VLOOKUP($E403,AgronomyYieldData!$H:O,3,FALSE)</f>
        <v>1</v>
      </c>
      <c r="H403" s="9">
        <v>76</v>
      </c>
      <c r="I403">
        <v>0.57960846367107799</v>
      </c>
      <c r="J403">
        <v>0.234430674493146</v>
      </c>
      <c r="K403" s="7">
        <v>4.3667750943472399E-3</v>
      </c>
      <c r="L403" s="7">
        <v>0.98051290148554604</v>
      </c>
      <c r="M403">
        <v>0.35255341624478598</v>
      </c>
      <c r="N403">
        <v>3.1781044912875E-3</v>
      </c>
      <c r="O403">
        <v>9.4957034091235501E-2</v>
      </c>
      <c r="P403">
        <v>8.4252624967331795E-4</v>
      </c>
      <c r="Q403">
        <v>2732.2321613526301</v>
      </c>
      <c r="R403">
        <v>1325496.5619228401</v>
      </c>
      <c r="S403">
        <v>16511.592463145898</v>
      </c>
      <c r="T403">
        <v>18065598.052874301</v>
      </c>
      <c r="U403" s="3">
        <v>1796</v>
      </c>
      <c r="V403">
        <v>0.99222293883693402</v>
      </c>
    </row>
    <row r="404" spans="1:22" x14ac:dyDescent="0.25">
      <c r="A404">
        <v>24101</v>
      </c>
      <c r="B404">
        <v>13</v>
      </c>
      <c r="C404">
        <v>4003</v>
      </c>
      <c r="D404">
        <v>4003</v>
      </c>
      <c r="E404" s="3">
        <f t="shared" si="7"/>
        <v>241014003</v>
      </c>
      <c r="F404" s="3">
        <f>VLOOKUP($E404,AgronomyYieldData!H:N,7,FALSE)</f>
        <v>60</v>
      </c>
      <c r="G404" s="3">
        <f>VLOOKUP($E404,AgronomyYieldData!$H:O,3,FALSE)</f>
        <v>1</v>
      </c>
      <c r="H404" s="9">
        <v>50</v>
      </c>
      <c r="I404">
        <v>0.33999189203326802</v>
      </c>
      <c r="J404">
        <v>0.225292857297028</v>
      </c>
      <c r="K404" s="7">
        <v>2.6163107223631699E-3</v>
      </c>
      <c r="L404" s="7">
        <v>0.75641784760325803</v>
      </c>
      <c r="M404">
        <v>0.34925850697972299</v>
      </c>
      <c r="N404">
        <v>2.4294305036310498E-3</v>
      </c>
      <c r="O404">
        <v>9.4957034091235501E-2</v>
      </c>
      <c r="P404">
        <v>8.4252624967331795E-4</v>
      </c>
      <c r="Q404">
        <v>2688.3139525932402</v>
      </c>
      <c r="R404">
        <v>1262849.0703037099</v>
      </c>
      <c r="S404">
        <v>16974.067712989501</v>
      </c>
      <c r="T404">
        <v>15830824.3925745</v>
      </c>
      <c r="U404" s="3">
        <v>1703</v>
      </c>
      <c r="V404">
        <v>0.84963210199024997</v>
      </c>
    </row>
    <row r="405" spans="1:22" x14ac:dyDescent="0.25">
      <c r="A405">
        <v>24101</v>
      </c>
      <c r="B405">
        <v>13</v>
      </c>
      <c r="C405">
        <v>4004</v>
      </c>
      <c r="D405">
        <v>4004</v>
      </c>
      <c r="E405" s="3">
        <f t="shared" si="7"/>
        <v>241014004</v>
      </c>
      <c r="F405" s="3">
        <f>VLOOKUP($E405,AgronomyYieldData!H:N,7,FALSE)</f>
        <v>37</v>
      </c>
      <c r="G405" s="3">
        <f>VLOOKUP($E405,AgronomyYieldData!$H:O,3,FALSE)</f>
        <v>1</v>
      </c>
      <c r="H405" s="9">
        <v>55</v>
      </c>
      <c r="I405">
        <v>0.57510836255210995</v>
      </c>
      <c r="J405">
        <v>0.22588639118825901</v>
      </c>
      <c r="K405" s="7">
        <v>3.0994080151781501E-3</v>
      </c>
      <c r="L405" s="7">
        <v>0.99931481481481499</v>
      </c>
      <c r="M405">
        <v>0.35062413006292897</v>
      </c>
      <c r="N405">
        <v>2.5761498576273301E-3</v>
      </c>
      <c r="O405">
        <v>9.4957034091235501E-2</v>
      </c>
      <c r="P405">
        <v>8.4252624967331795E-4</v>
      </c>
      <c r="Q405">
        <v>2580.4686844412099</v>
      </c>
      <c r="R405">
        <v>1069805.3382827099</v>
      </c>
      <c r="S405">
        <v>16611.2610090491</v>
      </c>
      <c r="T405">
        <v>14939708.2409788</v>
      </c>
      <c r="U405" s="3">
        <v>2033</v>
      </c>
      <c r="V405">
        <v>0.97112708018154303</v>
      </c>
    </row>
    <row r="406" spans="1:22" x14ac:dyDescent="0.25">
      <c r="A406">
        <v>24101</v>
      </c>
      <c r="B406">
        <v>13</v>
      </c>
      <c r="C406">
        <v>4005</v>
      </c>
      <c r="D406">
        <v>4005</v>
      </c>
      <c r="E406" s="3">
        <f t="shared" si="7"/>
        <v>241014005</v>
      </c>
      <c r="F406" s="3">
        <f>VLOOKUP($E406,AgronomyYieldData!H:N,7,FALSE)</f>
        <v>2</v>
      </c>
      <c r="G406" s="3">
        <f>VLOOKUP($E406,AgronomyYieldData!$H:O,3,FALSE)</f>
        <v>1</v>
      </c>
      <c r="H406" s="9">
        <v>46</v>
      </c>
      <c r="I406">
        <v>0.46965876463225997</v>
      </c>
      <c r="J406">
        <v>0.223673703299375</v>
      </c>
      <c r="K406" s="7">
        <v>2.2868216772495699E-3</v>
      </c>
      <c r="L406" s="7">
        <v>0.98840719272579103</v>
      </c>
      <c r="M406">
        <v>0.35111245618033199</v>
      </c>
      <c r="N406">
        <v>2.2829024374058202E-3</v>
      </c>
      <c r="O406">
        <v>9.0307155243878806E-2</v>
      </c>
      <c r="P406">
        <v>9.5910824056944801E-4</v>
      </c>
      <c r="Q406">
        <v>2670.0617656039199</v>
      </c>
      <c r="R406">
        <v>1094762.10225319</v>
      </c>
      <c r="S406">
        <v>16892.044081874399</v>
      </c>
      <c r="T406">
        <v>14610821.389558099</v>
      </c>
      <c r="U406" s="3">
        <v>2013</v>
      </c>
      <c r="V406">
        <v>0.97990953238226297</v>
      </c>
    </row>
    <row r="407" spans="1:22" x14ac:dyDescent="0.25">
      <c r="A407">
        <v>24101</v>
      </c>
      <c r="B407">
        <v>13</v>
      </c>
      <c r="C407">
        <v>4006</v>
      </c>
      <c r="D407">
        <v>4006</v>
      </c>
      <c r="E407" s="3">
        <f t="shared" si="7"/>
        <v>241014006</v>
      </c>
      <c r="F407" s="3">
        <f>VLOOKUP($E407,AgronomyYieldData!H:N,7,FALSE)</f>
        <v>20</v>
      </c>
      <c r="G407" s="3">
        <f>VLOOKUP($E407,AgronomyYieldData!$H:O,3,FALSE)</f>
        <v>1</v>
      </c>
      <c r="H407" s="9">
        <v>66</v>
      </c>
      <c r="I407">
        <v>0.56783295295589997</v>
      </c>
      <c r="J407">
        <v>0.23027782598923699</v>
      </c>
      <c r="K407" s="7">
        <v>2.54277880468463E-3</v>
      </c>
      <c r="L407" s="7">
        <v>1</v>
      </c>
      <c r="M407">
        <v>0.36218944152110599</v>
      </c>
      <c r="N407">
        <v>2.5100616655824299E-3</v>
      </c>
      <c r="O407">
        <v>9.0307155243878806E-2</v>
      </c>
      <c r="P407">
        <v>9.5910824056944801E-4</v>
      </c>
      <c r="Q407">
        <v>2594.58481404145</v>
      </c>
      <c r="R407">
        <v>1218314.7904781401</v>
      </c>
      <c r="S407">
        <v>16764.062886804499</v>
      </c>
      <c r="T407">
        <v>16678903.5104321</v>
      </c>
      <c r="U407" s="3">
        <v>2481</v>
      </c>
      <c r="V407">
        <v>0.96436432953350604</v>
      </c>
    </row>
    <row r="408" spans="1:22" x14ac:dyDescent="0.25">
      <c r="A408">
        <v>24101</v>
      </c>
      <c r="B408">
        <v>13</v>
      </c>
      <c r="C408">
        <v>4007</v>
      </c>
      <c r="D408">
        <v>4007</v>
      </c>
      <c r="E408" s="3">
        <f t="shared" si="7"/>
        <v>241014007</v>
      </c>
      <c r="F408" s="3">
        <f>VLOOKUP($E408,AgronomyYieldData!H:N,7,FALSE)</f>
        <v>1</v>
      </c>
      <c r="G408" s="3">
        <f>VLOOKUP($E408,AgronomyYieldData!$H:O,3,FALSE)</f>
        <v>2</v>
      </c>
      <c r="H408" s="9">
        <v>45</v>
      </c>
      <c r="I408">
        <v>0.44356100344173799</v>
      </c>
      <c r="J408">
        <v>0.229993091317205</v>
      </c>
      <c r="K408" s="7">
        <v>2.7953395963775801E-3</v>
      </c>
      <c r="L408" s="7">
        <v>0.96390874412058802</v>
      </c>
      <c r="M408">
        <v>0.36085705268263202</v>
      </c>
      <c r="N408">
        <v>2.3373381093374601E-3</v>
      </c>
      <c r="O408">
        <v>9.0307155243878806E-2</v>
      </c>
      <c r="P408">
        <v>9.5910824056944801E-4</v>
      </c>
      <c r="Q408">
        <v>2762.6340221416799</v>
      </c>
      <c r="R408">
        <v>1930144.5050858799</v>
      </c>
      <c r="S408">
        <v>16998.6927313011</v>
      </c>
      <c r="T408">
        <v>17094582.686925799</v>
      </c>
      <c r="U408" s="3">
        <v>2140</v>
      </c>
      <c r="V408">
        <v>0.97328270259230398</v>
      </c>
    </row>
    <row r="409" spans="1:22" x14ac:dyDescent="0.25">
      <c r="A409">
        <v>24101</v>
      </c>
      <c r="B409">
        <v>13</v>
      </c>
      <c r="C409">
        <v>4008</v>
      </c>
      <c r="D409">
        <v>4008</v>
      </c>
      <c r="E409" s="3">
        <f t="shared" si="7"/>
        <v>241014008</v>
      </c>
      <c r="F409" s="3">
        <f>VLOOKUP($E409,AgronomyYieldData!H:N,7,FALSE)</f>
        <v>39</v>
      </c>
      <c r="G409" s="3">
        <f>VLOOKUP($E409,AgronomyYieldData!$H:O,3,FALSE)</f>
        <v>2</v>
      </c>
      <c r="H409" s="9">
        <v>65</v>
      </c>
      <c r="I409">
        <v>0.46320410060091799</v>
      </c>
      <c r="J409">
        <v>0.243530689261206</v>
      </c>
      <c r="K409" s="7">
        <v>6.6593745921487597E-3</v>
      </c>
      <c r="L409" s="7">
        <v>1</v>
      </c>
      <c r="M409">
        <v>0.36672128972291601</v>
      </c>
      <c r="N409">
        <v>3.1924874597832999E-3</v>
      </c>
      <c r="O409">
        <v>9.0307155243878806E-2</v>
      </c>
      <c r="P409">
        <v>9.5910824056944801E-4</v>
      </c>
      <c r="Q409">
        <v>3024.3901370024901</v>
      </c>
      <c r="R409">
        <v>3588103.5136196199</v>
      </c>
      <c r="S409">
        <v>16093.276654388899</v>
      </c>
      <c r="T409">
        <v>19682720.068003301</v>
      </c>
      <c r="U409" s="3">
        <v>741</v>
      </c>
      <c r="V409">
        <v>0.40470193115029302</v>
      </c>
    </row>
    <row r="410" spans="1:22" x14ac:dyDescent="0.25">
      <c r="A410">
        <v>24101</v>
      </c>
      <c r="B410">
        <v>13</v>
      </c>
      <c r="C410">
        <v>4009</v>
      </c>
      <c r="D410">
        <v>4009</v>
      </c>
      <c r="E410" s="3">
        <f t="shared" si="7"/>
        <v>241014009</v>
      </c>
      <c r="F410" s="3">
        <f>VLOOKUP($E410,AgronomyYieldData!H:N,7,FALSE)</f>
        <v>27</v>
      </c>
      <c r="G410" s="3">
        <f>VLOOKUP($E410,AgronomyYieldData!$H:O,3,FALSE)</f>
        <v>2</v>
      </c>
      <c r="H410" s="9">
        <v>62</v>
      </c>
      <c r="I410">
        <v>0.56776728691586997</v>
      </c>
      <c r="J410">
        <v>0.23259066607792001</v>
      </c>
      <c r="K410" s="7">
        <v>4.2236956681663803E-3</v>
      </c>
      <c r="L410" s="7">
        <v>1</v>
      </c>
      <c r="M410">
        <v>0.36159161452823901</v>
      </c>
      <c r="N410">
        <v>2.6462466070841699E-3</v>
      </c>
      <c r="O410">
        <v>9.0307155243878806E-2</v>
      </c>
      <c r="P410">
        <v>9.5910824056944801E-4</v>
      </c>
      <c r="Q410">
        <v>2875.3127314632402</v>
      </c>
      <c r="R410">
        <v>2971954.3110616198</v>
      </c>
      <c r="S410">
        <v>16659.873732032102</v>
      </c>
      <c r="T410">
        <v>18778040.455788601</v>
      </c>
      <c r="U410" s="3">
        <v>987</v>
      </c>
      <c r="V410">
        <v>0.951989773148463</v>
      </c>
    </row>
    <row r="411" spans="1:22" x14ac:dyDescent="0.25">
      <c r="A411">
        <v>24101</v>
      </c>
      <c r="B411">
        <v>13</v>
      </c>
      <c r="C411">
        <v>4010</v>
      </c>
      <c r="D411">
        <v>4010</v>
      </c>
      <c r="E411" s="3">
        <f t="shared" si="7"/>
        <v>241014010</v>
      </c>
      <c r="F411" s="3">
        <f>VLOOKUP($E411,AgronomyYieldData!H:N,7,FALSE)</f>
        <v>61</v>
      </c>
      <c r="G411" s="3">
        <f>VLOOKUP($E411,AgronomyYieldData!$H:O,3,FALSE)</f>
        <v>2</v>
      </c>
      <c r="H411" s="9">
        <v>80</v>
      </c>
      <c r="I411">
        <v>0.38626971464441701</v>
      </c>
      <c r="J411">
        <v>0.233363783385658</v>
      </c>
      <c r="K411" s="7">
        <v>4.1419311964360998E-3</v>
      </c>
      <c r="L411" s="7">
        <v>0.99847374445745596</v>
      </c>
      <c r="M411">
        <v>0.360273096327205</v>
      </c>
      <c r="N411">
        <v>2.6899289438099801E-3</v>
      </c>
      <c r="O411">
        <v>9.0307155243878806E-2</v>
      </c>
      <c r="P411">
        <v>9.5910824056944801E-4</v>
      </c>
      <c r="Q411">
        <v>2865.8458206197702</v>
      </c>
      <c r="R411">
        <v>2467847.0950527498</v>
      </c>
      <c r="S411">
        <v>16705.355045267101</v>
      </c>
      <c r="T411">
        <v>17902099.573956799</v>
      </c>
      <c r="U411" s="3">
        <v>2540</v>
      </c>
      <c r="V411">
        <v>0.97472293585870995</v>
      </c>
    </row>
    <row r="412" spans="1:22" x14ac:dyDescent="0.25">
      <c r="A412">
        <v>24101</v>
      </c>
      <c r="B412">
        <v>13</v>
      </c>
      <c r="C412">
        <v>4011</v>
      </c>
      <c r="D412">
        <v>4011</v>
      </c>
      <c r="E412" s="3">
        <f t="shared" si="7"/>
        <v>241014011</v>
      </c>
      <c r="F412" s="3">
        <f>VLOOKUP($E412,AgronomyYieldData!H:N,7,FALSE)</f>
        <v>55</v>
      </c>
      <c r="G412" s="3">
        <f>VLOOKUP($E412,AgronomyYieldData!$H:O,3,FALSE)</f>
        <v>2</v>
      </c>
      <c r="H412" s="9">
        <v>72</v>
      </c>
      <c r="I412">
        <v>0.51833446670502603</v>
      </c>
      <c r="J412">
        <v>0.23007164545102199</v>
      </c>
      <c r="K412" s="7">
        <v>3.1228082603907102E-3</v>
      </c>
      <c r="L412" s="7">
        <v>0.97102631578947396</v>
      </c>
      <c r="M412">
        <v>0.35423875757397599</v>
      </c>
      <c r="N412">
        <v>2.4693354459495798E-3</v>
      </c>
      <c r="O412">
        <v>9.0307155243878806E-2</v>
      </c>
      <c r="P412">
        <v>9.5910824056944801E-4</v>
      </c>
      <c r="Q412">
        <v>2692.3665565602</v>
      </c>
      <c r="R412">
        <v>1528011.5328114701</v>
      </c>
      <c r="S412">
        <v>16849.656559154399</v>
      </c>
      <c r="T412">
        <v>16732215.9069557</v>
      </c>
      <c r="U412" s="3">
        <v>862</v>
      </c>
      <c r="V412">
        <v>0.55706461859282697</v>
      </c>
    </row>
    <row r="413" spans="1:22" x14ac:dyDescent="0.25">
      <c r="A413">
        <v>24101</v>
      </c>
      <c r="B413">
        <v>13</v>
      </c>
      <c r="C413">
        <v>4012</v>
      </c>
      <c r="D413">
        <v>4012</v>
      </c>
      <c r="E413" s="3">
        <f t="shared" si="7"/>
        <v>241014012</v>
      </c>
      <c r="F413" s="3">
        <f>VLOOKUP($E413,AgronomyYieldData!H:N,7,FALSE)</f>
        <v>79</v>
      </c>
      <c r="G413" s="3">
        <f>VLOOKUP($E413,AgronomyYieldData!$H:O,3,FALSE)</f>
        <v>2</v>
      </c>
      <c r="H413" s="9">
        <v>70</v>
      </c>
      <c r="I413">
        <v>0.68055918815713701</v>
      </c>
      <c r="J413">
        <v>0.243692337801106</v>
      </c>
      <c r="K413" s="7">
        <v>6.04463335006816E-3</v>
      </c>
      <c r="L413" s="7">
        <v>0.998802631578947</v>
      </c>
      <c r="M413">
        <v>0.36311558242795899</v>
      </c>
      <c r="N413">
        <v>3.1672894810773899E-3</v>
      </c>
      <c r="O413">
        <v>9.0307155243878806E-2</v>
      </c>
      <c r="P413">
        <v>9.5910824056944801E-4</v>
      </c>
      <c r="Q413">
        <v>2850.2505773510402</v>
      </c>
      <c r="R413">
        <v>3185422.9735735902</v>
      </c>
      <c r="S413">
        <v>16245.1238858828</v>
      </c>
      <c r="T413">
        <v>21355448.8720062</v>
      </c>
      <c r="U413" s="3">
        <v>1454</v>
      </c>
      <c r="V413">
        <v>0.96434963478933799</v>
      </c>
    </row>
    <row r="414" spans="1:22" x14ac:dyDescent="0.25">
      <c r="A414">
        <v>24101</v>
      </c>
      <c r="B414">
        <v>13</v>
      </c>
      <c r="C414">
        <v>4013</v>
      </c>
      <c r="D414">
        <v>4013</v>
      </c>
      <c r="E414" s="3">
        <f t="shared" si="7"/>
        <v>241014013</v>
      </c>
      <c r="F414" s="3">
        <f>VLOOKUP($E414,AgronomyYieldData!H:N,7,FALSE)</f>
        <v>37</v>
      </c>
      <c r="G414" s="3">
        <f>VLOOKUP($E414,AgronomyYieldData!$H:O,3,FALSE)</f>
        <v>3</v>
      </c>
      <c r="H414" s="9">
        <v>44</v>
      </c>
      <c r="I414">
        <v>0.59084174588421501</v>
      </c>
      <c r="J414">
        <v>0.22485857806472401</v>
      </c>
      <c r="K414" s="7">
        <v>2.2737086544115399E-3</v>
      </c>
      <c r="L414" s="7">
        <v>0.91457091003370505</v>
      </c>
      <c r="M414">
        <v>0.35517836444789502</v>
      </c>
      <c r="N414">
        <v>2.2290723203999899E-3</v>
      </c>
      <c r="O414">
        <v>9.0307155243878806E-2</v>
      </c>
      <c r="P414">
        <v>9.5910824056944801E-4</v>
      </c>
      <c r="Q414">
        <v>2695.2886043533899</v>
      </c>
      <c r="R414">
        <v>1010818.64468944</v>
      </c>
      <c r="S414">
        <v>16844.588799540899</v>
      </c>
      <c r="T414">
        <v>14467334.889359299</v>
      </c>
      <c r="U414" s="3">
        <v>1973</v>
      </c>
      <c r="V414">
        <v>0.99102124794820001</v>
      </c>
    </row>
    <row r="415" spans="1:22" x14ac:dyDescent="0.25">
      <c r="A415">
        <v>24101</v>
      </c>
      <c r="B415">
        <v>13</v>
      </c>
      <c r="C415">
        <v>4014</v>
      </c>
      <c r="D415">
        <v>4014</v>
      </c>
      <c r="E415" s="3">
        <f t="shared" si="7"/>
        <v>241014014</v>
      </c>
      <c r="F415" s="3">
        <f>VLOOKUP($E415,AgronomyYieldData!H:N,7,FALSE)</f>
        <v>10</v>
      </c>
      <c r="G415" s="3">
        <f>VLOOKUP($E415,AgronomyYieldData!$H:O,3,FALSE)</f>
        <v>3</v>
      </c>
      <c r="H415" s="9">
        <v>27</v>
      </c>
      <c r="I415">
        <v>0.73546220034049603</v>
      </c>
      <c r="J415">
        <v>0.230748556057432</v>
      </c>
      <c r="K415" s="7">
        <v>4.5443431205589796E-3</v>
      </c>
      <c r="L415" s="7">
        <v>0.77105131576510699</v>
      </c>
      <c r="M415">
        <v>0.35793835537553798</v>
      </c>
      <c r="N415">
        <v>2.8643862601270401E-3</v>
      </c>
      <c r="O415">
        <v>9.0307155243878806E-2</v>
      </c>
      <c r="P415">
        <v>9.5910824056944801E-4</v>
      </c>
      <c r="Q415">
        <v>2704.3619297139699</v>
      </c>
      <c r="R415">
        <v>2755819.9341909098</v>
      </c>
      <c r="S415">
        <v>16656.417283239301</v>
      </c>
      <c r="T415">
        <v>17498824.4891789</v>
      </c>
      <c r="U415" s="3">
        <v>688</v>
      </c>
      <c r="V415">
        <v>0.50911126407915297</v>
      </c>
    </row>
    <row r="416" spans="1:22" x14ac:dyDescent="0.25">
      <c r="A416">
        <v>24101</v>
      </c>
      <c r="B416">
        <v>13</v>
      </c>
      <c r="C416">
        <v>4015</v>
      </c>
      <c r="D416">
        <v>4015</v>
      </c>
      <c r="E416" s="3">
        <f t="shared" si="7"/>
        <v>241014015</v>
      </c>
      <c r="F416" s="3">
        <f>VLOOKUP($E416,AgronomyYieldData!H:N,7,FALSE)</f>
        <v>24</v>
      </c>
      <c r="G416" s="3">
        <f>VLOOKUP($E416,AgronomyYieldData!$H:O,3,FALSE)</f>
        <v>3</v>
      </c>
      <c r="H416" s="9">
        <v>58</v>
      </c>
      <c r="I416">
        <v>0.69627673280082403</v>
      </c>
      <c r="J416">
        <v>0.23675136918566</v>
      </c>
      <c r="K416" s="7">
        <v>4.3519115038791302E-3</v>
      </c>
      <c r="L416" s="7">
        <v>0.98599948146227601</v>
      </c>
      <c r="M416">
        <v>0.36295083995641902</v>
      </c>
      <c r="N416">
        <v>2.6569791135507802E-3</v>
      </c>
      <c r="O416">
        <v>9.0307155243878806E-2</v>
      </c>
      <c r="P416">
        <v>9.5910824056944801E-4</v>
      </c>
      <c r="Q416">
        <v>2727.4803407859699</v>
      </c>
      <c r="R416">
        <v>2672822.65124853</v>
      </c>
      <c r="S416">
        <v>16269.0705788045</v>
      </c>
      <c r="T416">
        <v>19152693.5877418</v>
      </c>
      <c r="U416" s="3">
        <v>633</v>
      </c>
      <c r="V416">
        <v>0.46006399443263502</v>
      </c>
    </row>
    <row r="417" spans="1:22" x14ac:dyDescent="0.25">
      <c r="A417">
        <v>24101</v>
      </c>
      <c r="B417">
        <v>13</v>
      </c>
      <c r="C417">
        <v>4016</v>
      </c>
      <c r="D417">
        <v>4016</v>
      </c>
      <c r="E417" s="3">
        <f t="shared" si="7"/>
        <v>241014016</v>
      </c>
      <c r="F417" s="3">
        <f>VLOOKUP($E417,AgronomyYieldData!H:N,7,FALSE)</f>
        <v>61</v>
      </c>
      <c r="G417" s="3">
        <f>VLOOKUP($E417,AgronomyYieldData!$H:O,3,FALSE)</f>
        <v>3</v>
      </c>
      <c r="H417" s="9">
        <v>77</v>
      </c>
      <c r="I417">
        <v>0.34949031300470101</v>
      </c>
      <c r="J417">
        <v>0.232920853990704</v>
      </c>
      <c r="K417" s="7">
        <v>3.2512921631031098E-3</v>
      </c>
      <c r="L417" s="7">
        <v>0.98443400571060102</v>
      </c>
      <c r="M417">
        <v>0.359627976953247</v>
      </c>
      <c r="N417">
        <v>2.5350281247648299E-3</v>
      </c>
      <c r="O417">
        <v>9.0307155243878806E-2</v>
      </c>
      <c r="P417">
        <v>9.5910824056944801E-4</v>
      </c>
      <c r="Q417">
        <v>2485.41184950872</v>
      </c>
      <c r="R417">
        <v>1971999.8171532201</v>
      </c>
      <c r="S417">
        <v>16836.0334468193</v>
      </c>
      <c r="T417">
        <v>16545476.6018159</v>
      </c>
      <c r="U417" s="3">
        <v>2547</v>
      </c>
      <c r="V417">
        <v>0.99683433749509498</v>
      </c>
    </row>
    <row r="418" spans="1:22" x14ac:dyDescent="0.25">
      <c r="A418">
        <v>24101</v>
      </c>
      <c r="B418">
        <v>13</v>
      </c>
      <c r="C418">
        <v>4017</v>
      </c>
      <c r="D418">
        <v>4017</v>
      </c>
      <c r="E418" s="3">
        <f t="shared" si="7"/>
        <v>241014017</v>
      </c>
      <c r="F418" s="3">
        <f>VLOOKUP($E418,AgronomyYieldData!H:N,7,FALSE)</f>
        <v>89</v>
      </c>
      <c r="G418" s="3">
        <f>VLOOKUP($E418,AgronomyYieldData!$H:O,3,FALSE)</f>
        <v>3</v>
      </c>
      <c r="H418" s="9">
        <v>63</v>
      </c>
      <c r="I418">
        <v>0.68777135533818001</v>
      </c>
      <c r="J418">
        <v>0.245000278053145</v>
      </c>
      <c r="K418" s="7">
        <v>6.8503206970669502E-3</v>
      </c>
      <c r="L418" s="7">
        <v>0.99365797818449797</v>
      </c>
      <c r="M418">
        <v>0.36479487331607102</v>
      </c>
      <c r="N418">
        <v>3.3955016571231402E-3</v>
      </c>
      <c r="O418">
        <v>9.0307155243878806E-2</v>
      </c>
      <c r="P418">
        <v>9.5910824056944801E-4</v>
      </c>
      <c r="Q418">
        <v>2778.4010441452301</v>
      </c>
      <c r="R418">
        <v>3070199.7750032502</v>
      </c>
      <c r="S418">
        <v>16424.641556106799</v>
      </c>
      <c r="T418">
        <v>19422621.069579698</v>
      </c>
      <c r="U418" s="3">
        <v>2280</v>
      </c>
      <c r="V418">
        <v>0.72933708843478895</v>
      </c>
    </row>
    <row r="419" spans="1:22" x14ac:dyDescent="0.25">
      <c r="A419">
        <v>24101</v>
      </c>
      <c r="B419">
        <v>13</v>
      </c>
      <c r="C419">
        <v>4018</v>
      </c>
      <c r="D419">
        <v>4018</v>
      </c>
      <c r="E419" s="3">
        <f t="shared" si="7"/>
        <v>241014018</v>
      </c>
      <c r="F419" s="3">
        <f>VLOOKUP($E419,AgronomyYieldData!H:N,7,FALSE)</f>
        <v>54</v>
      </c>
      <c r="G419" s="3">
        <f>VLOOKUP($E419,AgronomyYieldData!$H:O,3,FALSE)</f>
        <v>3</v>
      </c>
      <c r="H419" s="9">
        <v>75</v>
      </c>
      <c r="I419">
        <v>0.42951019047058497</v>
      </c>
      <c r="J419">
        <v>0.234321197979172</v>
      </c>
      <c r="K419" s="7">
        <v>3.6605846275741599E-3</v>
      </c>
      <c r="L419" s="7">
        <v>0.98714456769168002</v>
      </c>
      <c r="M419">
        <v>0.36000956252437299</v>
      </c>
      <c r="N419">
        <v>2.4836647271962299E-3</v>
      </c>
      <c r="O419">
        <v>9.0307155243878806E-2</v>
      </c>
      <c r="P419">
        <v>9.5910824056944801E-4</v>
      </c>
      <c r="Q419">
        <v>2590.31726092585</v>
      </c>
      <c r="R419">
        <v>2108601.73895502</v>
      </c>
      <c r="S419">
        <v>16394.147639246599</v>
      </c>
      <c r="T419">
        <v>15866597.314425901</v>
      </c>
      <c r="U419" s="3">
        <v>813</v>
      </c>
      <c r="V419">
        <v>0.240744920993228</v>
      </c>
    </row>
    <row r="420" spans="1:22" x14ac:dyDescent="0.25">
      <c r="A420">
        <v>24101</v>
      </c>
      <c r="B420">
        <v>13</v>
      </c>
      <c r="C420">
        <v>4019</v>
      </c>
      <c r="D420">
        <v>4019</v>
      </c>
      <c r="E420" s="3">
        <f t="shared" si="7"/>
        <v>241014019</v>
      </c>
      <c r="F420" s="3">
        <f>VLOOKUP($E420,AgronomyYieldData!H:N,7,FALSE)</f>
        <v>8</v>
      </c>
      <c r="G420" s="3">
        <f>VLOOKUP($E420,AgronomyYieldData!$H:O,3,FALSE)</f>
        <v>4</v>
      </c>
      <c r="H420" s="9">
        <v>57</v>
      </c>
      <c r="I420">
        <v>0.367815139970183</v>
      </c>
      <c r="J420">
        <v>0.22996858032449399</v>
      </c>
      <c r="K420" s="7">
        <v>2.8832136785004402E-3</v>
      </c>
      <c r="L420" s="7">
        <v>0.97212911350210196</v>
      </c>
      <c r="M420">
        <v>0.35603410600630397</v>
      </c>
      <c r="N420">
        <v>2.2194766800408502E-3</v>
      </c>
      <c r="O420">
        <v>9.0307155243878806E-2</v>
      </c>
      <c r="P420">
        <v>9.5910824056944801E-4</v>
      </c>
      <c r="Q420">
        <v>2583.6896218888801</v>
      </c>
      <c r="R420">
        <v>1983192.65580018</v>
      </c>
      <c r="S420">
        <v>16414.971614911701</v>
      </c>
      <c r="T420">
        <v>14437091.1851459</v>
      </c>
      <c r="U420" s="3">
        <v>2206</v>
      </c>
      <c r="V420">
        <v>0.94885779122541603</v>
      </c>
    </row>
    <row r="421" spans="1:22" x14ac:dyDescent="0.25">
      <c r="A421">
        <v>24101</v>
      </c>
      <c r="B421">
        <v>13</v>
      </c>
      <c r="C421">
        <v>4020</v>
      </c>
      <c r="D421">
        <v>4020</v>
      </c>
      <c r="E421" s="3">
        <f t="shared" si="7"/>
        <v>241014020</v>
      </c>
      <c r="F421" s="3">
        <f>VLOOKUP($E421,AgronomyYieldData!H:N,7,FALSE)</f>
        <v>26</v>
      </c>
      <c r="G421" s="3">
        <f>VLOOKUP($E421,AgronomyYieldData!$H:O,3,FALSE)</f>
        <v>4</v>
      </c>
      <c r="H421" s="9">
        <v>83</v>
      </c>
      <c r="I421">
        <v>0.66054091858613895</v>
      </c>
      <c r="J421">
        <v>0.236070599617418</v>
      </c>
      <c r="K421" s="7">
        <v>4.7366864211992399E-3</v>
      </c>
      <c r="L421" s="7">
        <v>1</v>
      </c>
      <c r="M421">
        <v>0.35810848654739103</v>
      </c>
      <c r="N421">
        <v>3.03281260260037E-3</v>
      </c>
      <c r="O421">
        <v>9.0307155243878806E-2</v>
      </c>
      <c r="P421">
        <v>9.5910824056944801E-4</v>
      </c>
      <c r="Q421">
        <v>2449.3140420167201</v>
      </c>
      <c r="R421">
        <v>1651690.4865486899</v>
      </c>
      <c r="S421">
        <v>15875.8496597623</v>
      </c>
      <c r="T421">
        <v>18593696.477593001</v>
      </c>
      <c r="U421" s="3">
        <v>392</v>
      </c>
      <c r="V421">
        <v>0.48961422087745798</v>
      </c>
    </row>
    <row r="422" spans="1:22" x14ac:dyDescent="0.25">
      <c r="A422">
        <v>24101</v>
      </c>
      <c r="B422">
        <v>13</v>
      </c>
      <c r="C422">
        <v>4021</v>
      </c>
      <c r="D422">
        <v>4021</v>
      </c>
      <c r="E422" s="3">
        <f t="shared" si="7"/>
        <v>241014021</v>
      </c>
      <c r="F422" s="3">
        <f>VLOOKUP($E422,AgronomyYieldData!H:N,7,FALSE)</f>
        <v>32</v>
      </c>
      <c r="G422" s="3">
        <f>VLOOKUP($E422,AgronomyYieldData!$H:O,3,FALSE)</f>
        <v>4</v>
      </c>
      <c r="H422" s="9">
        <v>80</v>
      </c>
      <c r="I422">
        <v>0.64607087969225896</v>
      </c>
      <c r="J422">
        <v>0.236241482210961</v>
      </c>
      <c r="K422" s="7">
        <v>5.5062305685263198E-3</v>
      </c>
      <c r="L422" s="7">
        <v>1</v>
      </c>
      <c r="M422">
        <v>0.360949410241302</v>
      </c>
      <c r="N422">
        <v>3.66192824537203E-3</v>
      </c>
      <c r="O422">
        <v>9.0307155243878806E-2</v>
      </c>
      <c r="P422">
        <v>9.5910824056944801E-4</v>
      </c>
      <c r="Q422">
        <v>2301.01930463902</v>
      </c>
      <c r="R422">
        <v>1503724.5613923201</v>
      </c>
      <c r="S422">
        <v>16239.315864374999</v>
      </c>
      <c r="T422">
        <v>19064933.735064</v>
      </c>
      <c r="U422" s="3">
        <v>2488</v>
      </c>
      <c r="V422">
        <v>0.96388832157094095</v>
      </c>
    </row>
    <row r="423" spans="1:22" x14ac:dyDescent="0.25">
      <c r="A423">
        <v>24101</v>
      </c>
      <c r="B423">
        <v>13</v>
      </c>
      <c r="C423">
        <v>4022</v>
      </c>
      <c r="D423">
        <v>4022</v>
      </c>
      <c r="E423" s="3">
        <f t="shared" si="7"/>
        <v>241014022</v>
      </c>
      <c r="F423" s="3">
        <f>VLOOKUP($E423,AgronomyYieldData!H:N,7,FALSE)</f>
        <v>82</v>
      </c>
      <c r="G423" s="3">
        <f>VLOOKUP($E423,AgronomyYieldData!$H:O,3,FALSE)</f>
        <v>4</v>
      </c>
      <c r="H423" s="9">
        <v>54</v>
      </c>
      <c r="I423">
        <v>0.27165256509173602</v>
      </c>
      <c r="J423">
        <v>0.229197882506674</v>
      </c>
      <c r="K423" s="7">
        <v>3.3359696359377602E-3</v>
      </c>
      <c r="L423" s="7">
        <v>0.92621052631578904</v>
      </c>
      <c r="M423">
        <v>0.35571999656869202</v>
      </c>
      <c r="N423">
        <v>2.56237202853813E-3</v>
      </c>
      <c r="O423">
        <v>9.0307155243878806E-2</v>
      </c>
      <c r="P423">
        <v>9.5910824056944801E-4</v>
      </c>
      <c r="Q423">
        <v>2177.9915671756698</v>
      </c>
      <c r="R423">
        <v>870007.06262570794</v>
      </c>
      <c r="S423">
        <v>16133.101338744</v>
      </c>
      <c r="T423">
        <v>12909810.334776901</v>
      </c>
      <c r="U423" s="3">
        <v>1453</v>
      </c>
      <c r="V423">
        <v>0.80747277789123995</v>
      </c>
    </row>
    <row r="424" spans="1:22" x14ac:dyDescent="0.25">
      <c r="A424">
        <v>24101</v>
      </c>
      <c r="B424">
        <v>13</v>
      </c>
      <c r="C424">
        <v>5001</v>
      </c>
      <c r="D424">
        <v>5001</v>
      </c>
      <c r="E424" s="3">
        <f t="shared" si="7"/>
        <v>241015001</v>
      </c>
      <c r="F424" s="3">
        <f>VLOOKUP($E424,AgronomyYieldData!H:N,7,FALSE)</f>
        <v>65</v>
      </c>
      <c r="G424" s="3">
        <f>VLOOKUP($E424,AgronomyYieldData!$H:O,3,FALSE)</f>
        <v>1</v>
      </c>
      <c r="H424" s="9">
        <v>108</v>
      </c>
      <c r="I424">
        <v>0.45795327487789</v>
      </c>
      <c r="J424">
        <v>0.231025346903137</v>
      </c>
      <c r="K424" s="7">
        <v>3.9185550505906096E-3</v>
      </c>
      <c r="L424" s="7">
        <v>0.99001302648719103</v>
      </c>
      <c r="M424">
        <v>0.34983492777770397</v>
      </c>
      <c r="N424">
        <v>2.9709517905242501E-3</v>
      </c>
      <c r="O424">
        <v>9.0307155243878806E-2</v>
      </c>
      <c r="P424">
        <v>9.5910824056944801E-4</v>
      </c>
      <c r="Q424">
        <v>2724.32837387677</v>
      </c>
      <c r="R424">
        <v>1475827.8139996701</v>
      </c>
      <c r="S424">
        <v>16592.242145963199</v>
      </c>
      <c r="T424">
        <v>16509074.822987201</v>
      </c>
      <c r="U424" s="3">
        <v>1984</v>
      </c>
      <c r="V424">
        <v>0.87918756080125904</v>
      </c>
    </row>
    <row r="425" spans="1:22" x14ac:dyDescent="0.25">
      <c r="A425">
        <v>24101</v>
      </c>
      <c r="B425">
        <v>13</v>
      </c>
      <c r="C425">
        <v>5002</v>
      </c>
      <c r="D425">
        <v>5002</v>
      </c>
      <c r="E425" s="3">
        <f t="shared" si="7"/>
        <v>241015002</v>
      </c>
      <c r="F425" s="3">
        <f>VLOOKUP($E425,AgronomyYieldData!H:N,7,FALSE)</f>
        <v>83</v>
      </c>
      <c r="G425" s="3">
        <f>VLOOKUP($E425,AgronomyYieldData!$H:O,3,FALSE)</f>
        <v>1</v>
      </c>
      <c r="H425" s="9">
        <v>88</v>
      </c>
      <c r="I425">
        <v>0.61994965181286099</v>
      </c>
      <c r="J425">
        <v>0.23933741340033399</v>
      </c>
      <c r="K425" s="7">
        <v>6.9535334144790496E-3</v>
      </c>
      <c r="L425" s="7">
        <v>0.999</v>
      </c>
      <c r="M425">
        <v>0.35374826326311998</v>
      </c>
      <c r="N425">
        <v>3.23515882082744E-3</v>
      </c>
      <c r="O425">
        <v>9.0307155243878806E-2</v>
      </c>
      <c r="P425">
        <v>9.5910824056944801E-4</v>
      </c>
      <c r="Q425">
        <v>3052.2344691482399</v>
      </c>
      <c r="R425">
        <v>4604092.0697609996</v>
      </c>
      <c r="S425">
        <v>16355.105956400401</v>
      </c>
      <c r="T425">
        <v>19227013.179416001</v>
      </c>
      <c r="U425" s="3">
        <v>2219</v>
      </c>
      <c r="V425">
        <v>0.92708187769405204</v>
      </c>
    </row>
    <row r="426" spans="1:22" x14ac:dyDescent="0.25">
      <c r="A426">
        <v>24101</v>
      </c>
      <c r="B426">
        <v>13</v>
      </c>
      <c r="C426">
        <v>5003</v>
      </c>
      <c r="D426">
        <v>5003</v>
      </c>
      <c r="E426" s="3">
        <f t="shared" si="7"/>
        <v>241015003</v>
      </c>
      <c r="F426" s="3">
        <f>VLOOKUP($E426,AgronomyYieldData!H:N,7,FALSE)</f>
        <v>57</v>
      </c>
      <c r="G426" s="3">
        <f>VLOOKUP($E426,AgronomyYieldData!$H:O,3,FALSE)</f>
        <v>1</v>
      </c>
      <c r="H426" s="9">
        <v>60</v>
      </c>
      <c r="I426">
        <v>0.51570591620023998</v>
      </c>
      <c r="J426">
        <v>0.223213221192506</v>
      </c>
      <c r="K426" s="7">
        <v>3.25742624875449E-3</v>
      </c>
      <c r="L426" s="7">
        <v>0.99475000000000002</v>
      </c>
      <c r="M426">
        <v>0.35042354753746402</v>
      </c>
      <c r="N426">
        <v>2.6407840847863101E-3</v>
      </c>
      <c r="O426">
        <v>9.0307155243878806E-2</v>
      </c>
      <c r="P426">
        <v>9.5910824056944801E-4</v>
      </c>
      <c r="Q426">
        <v>2729.8496518422598</v>
      </c>
      <c r="R426">
        <v>1995027.3190099499</v>
      </c>
      <c r="S426">
        <v>16872.936272147101</v>
      </c>
      <c r="T426">
        <v>16446372.2253263</v>
      </c>
      <c r="U426" s="3">
        <v>867</v>
      </c>
      <c r="V426">
        <v>0.89122267667782795</v>
      </c>
    </row>
    <row r="427" spans="1:22" x14ac:dyDescent="0.25">
      <c r="A427">
        <v>24101</v>
      </c>
      <c r="B427">
        <v>13</v>
      </c>
      <c r="C427">
        <v>5004</v>
      </c>
      <c r="D427">
        <v>5004</v>
      </c>
      <c r="E427" s="3">
        <f t="shared" si="7"/>
        <v>241015004</v>
      </c>
      <c r="F427" s="3">
        <f>VLOOKUP($E427,AgronomyYieldData!H:N,7,FALSE)</f>
        <v>42</v>
      </c>
      <c r="G427" s="3">
        <f>VLOOKUP($E427,AgronomyYieldData!$H:O,3,FALSE)</f>
        <v>1</v>
      </c>
      <c r="H427" s="9">
        <v>73</v>
      </c>
      <c r="I427">
        <v>0.70771255302897795</v>
      </c>
      <c r="J427">
        <v>0.23395861493600301</v>
      </c>
      <c r="K427" s="7">
        <v>5.5424891953478302E-3</v>
      </c>
      <c r="L427" s="7">
        <v>0.99990741083663603</v>
      </c>
      <c r="M427">
        <v>0.35419234978215502</v>
      </c>
      <c r="N427">
        <v>3.0469032141964901E-3</v>
      </c>
      <c r="O427">
        <v>9.0307155243878806E-2</v>
      </c>
      <c r="P427">
        <v>9.5910824056944801E-4</v>
      </c>
      <c r="Q427">
        <v>2967.8137674949999</v>
      </c>
      <c r="R427">
        <v>3274480.2860533502</v>
      </c>
      <c r="S427">
        <v>16174.7912277993</v>
      </c>
      <c r="T427">
        <v>18347065.811328501</v>
      </c>
      <c r="U427" s="3">
        <v>988</v>
      </c>
      <c r="V427">
        <v>0.96975037821482601</v>
      </c>
    </row>
    <row r="428" spans="1:22" x14ac:dyDescent="0.25">
      <c r="A428">
        <v>24101</v>
      </c>
      <c r="B428">
        <v>13</v>
      </c>
      <c r="C428">
        <v>5005</v>
      </c>
      <c r="D428">
        <v>5005</v>
      </c>
      <c r="E428" s="3">
        <f t="shared" si="7"/>
        <v>241015005</v>
      </c>
      <c r="F428" s="3">
        <f>VLOOKUP($E428,AgronomyYieldData!H:N,7,FALSE)</f>
        <v>6</v>
      </c>
      <c r="G428" s="3">
        <f>VLOOKUP($E428,AgronomyYieldData!$H:O,3,FALSE)</f>
        <v>1</v>
      </c>
      <c r="H428" s="9">
        <v>57</v>
      </c>
      <c r="I428">
        <v>0.62132241292044299</v>
      </c>
      <c r="J428">
        <v>0.22488630054001801</v>
      </c>
      <c r="K428" s="7">
        <v>3.76892874103579E-3</v>
      </c>
      <c r="L428" s="7">
        <v>0.99901855486833802</v>
      </c>
      <c r="M428">
        <v>0.354242031610842</v>
      </c>
      <c r="N428">
        <v>2.8467606146477401E-3</v>
      </c>
      <c r="O428">
        <v>8.5872909838574096E-2</v>
      </c>
      <c r="P428">
        <v>8.7433742098954204E-4</v>
      </c>
      <c r="Q428">
        <v>2838.8236302213099</v>
      </c>
      <c r="R428">
        <v>1447736.8302364999</v>
      </c>
      <c r="S428">
        <v>16616.6954918886</v>
      </c>
      <c r="T428">
        <v>15188649.1316672</v>
      </c>
      <c r="U428" s="3">
        <v>963</v>
      </c>
      <c r="V428">
        <v>0.57959909228441697</v>
      </c>
    </row>
    <row r="429" spans="1:22" x14ac:dyDescent="0.25">
      <c r="A429">
        <v>24101</v>
      </c>
      <c r="B429">
        <v>13</v>
      </c>
      <c r="C429">
        <v>5006</v>
      </c>
      <c r="D429">
        <v>5006</v>
      </c>
      <c r="E429" s="3">
        <f t="shared" si="7"/>
        <v>241015006</v>
      </c>
      <c r="F429" s="3">
        <f>VLOOKUP($E429,AgronomyYieldData!H:N,7,FALSE)</f>
        <v>22</v>
      </c>
      <c r="G429" s="3">
        <f>VLOOKUP($E429,AgronomyYieldData!$H:O,3,FALSE)</f>
        <v>1</v>
      </c>
      <c r="H429" s="9">
        <v>30</v>
      </c>
      <c r="I429">
        <v>0.29562144553033998</v>
      </c>
      <c r="J429">
        <v>0.22227156836096301</v>
      </c>
      <c r="K429" s="7">
        <v>2.3830292136966698E-3</v>
      </c>
      <c r="L429" s="7">
        <v>0.87122460695172299</v>
      </c>
      <c r="M429">
        <v>0.35678272039439501</v>
      </c>
      <c r="N429">
        <v>2.4354349884160198E-3</v>
      </c>
      <c r="O429">
        <v>8.5872909838574096E-2</v>
      </c>
      <c r="P429">
        <v>8.7433742098954204E-4</v>
      </c>
      <c r="Q429">
        <v>2651.8055511779999</v>
      </c>
      <c r="R429">
        <v>1173299.68421707</v>
      </c>
      <c r="S429">
        <v>16733.821839648601</v>
      </c>
      <c r="T429">
        <v>14728187.7361506</v>
      </c>
      <c r="U429" s="3">
        <v>1218</v>
      </c>
      <c r="V429">
        <v>0.88614479247823397</v>
      </c>
    </row>
    <row r="430" spans="1:22" x14ac:dyDescent="0.25">
      <c r="A430">
        <v>24101</v>
      </c>
      <c r="B430">
        <v>13</v>
      </c>
      <c r="C430">
        <v>5007</v>
      </c>
      <c r="D430">
        <v>5007</v>
      </c>
      <c r="E430" s="3">
        <f t="shared" si="7"/>
        <v>241015007</v>
      </c>
      <c r="F430" s="3">
        <f>VLOOKUP($E430,AgronomyYieldData!H:N,7,FALSE)</f>
        <v>9</v>
      </c>
      <c r="G430" s="3">
        <f>VLOOKUP($E430,AgronomyYieldData!$H:O,3,FALSE)</f>
        <v>2</v>
      </c>
      <c r="H430" s="9">
        <v>45</v>
      </c>
      <c r="I430">
        <v>0.49740946947039</v>
      </c>
      <c r="J430">
        <v>0.225525127033055</v>
      </c>
      <c r="K430" s="7">
        <v>3.0475748238117301E-3</v>
      </c>
      <c r="L430" s="7">
        <v>0.99866669135756703</v>
      </c>
      <c r="M430">
        <v>0.35882362820619002</v>
      </c>
      <c r="N430">
        <v>2.3752409133590102E-3</v>
      </c>
      <c r="O430">
        <v>8.5872909838574096E-2</v>
      </c>
      <c r="P430">
        <v>8.7433742098954204E-4</v>
      </c>
      <c r="Q430">
        <v>2718.76955883657</v>
      </c>
      <c r="R430">
        <v>1684463.83437509</v>
      </c>
      <c r="S430">
        <v>16772.1296815895</v>
      </c>
      <c r="T430">
        <v>15078937.330860499</v>
      </c>
      <c r="U430" s="3">
        <v>486</v>
      </c>
      <c r="V430">
        <v>0.32832072617246499</v>
      </c>
    </row>
    <row r="431" spans="1:22" x14ac:dyDescent="0.25">
      <c r="A431">
        <v>24101</v>
      </c>
      <c r="B431">
        <v>13</v>
      </c>
      <c r="C431">
        <v>5008</v>
      </c>
      <c r="D431">
        <v>5008</v>
      </c>
      <c r="E431" s="3">
        <f t="shared" si="7"/>
        <v>241015008</v>
      </c>
      <c r="F431" s="3">
        <f>VLOOKUP($E431,AgronomyYieldData!H:N,7,FALSE)</f>
        <v>34</v>
      </c>
      <c r="G431" s="3">
        <f>VLOOKUP($E431,AgronomyYieldData!$H:O,3,FALSE)</f>
        <v>2</v>
      </c>
      <c r="H431" s="9">
        <v>84</v>
      </c>
      <c r="I431">
        <v>0.56504854368932</v>
      </c>
      <c r="J431">
        <v>0.24173182916970401</v>
      </c>
      <c r="K431" s="7">
        <v>6.6712011122630399E-3</v>
      </c>
      <c r="L431" s="7">
        <v>1</v>
      </c>
      <c r="M431">
        <v>0.36579327673354101</v>
      </c>
      <c r="N431">
        <v>3.1060725712020502E-3</v>
      </c>
      <c r="O431">
        <v>8.5872909838574096E-2</v>
      </c>
      <c r="P431">
        <v>8.7433742098954204E-4</v>
      </c>
      <c r="Q431">
        <v>3047.67162076981</v>
      </c>
      <c r="R431">
        <v>2984034.2707571299</v>
      </c>
      <c r="S431">
        <v>16102.0515787975</v>
      </c>
      <c r="T431">
        <v>18924779.1742188</v>
      </c>
      <c r="U431" s="3">
        <v>1081</v>
      </c>
      <c r="V431">
        <v>0.98277609682299505</v>
      </c>
    </row>
    <row r="432" spans="1:22" x14ac:dyDescent="0.25">
      <c r="A432">
        <v>24101</v>
      </c>
      <c r="B432">
        <v>13</v>
      </c>
      <c r="C432">
        <v>5009</v>
      </c>
      <c r="D432">
        <v>5009</v>
      </c>
      <c r="E432" s="3">
        <f t="shared" si="7"/>
        <v>241015009</v>
      </c>
      <c r="F432" s="3">
        <f>VLOOKUP($E432,AgronomyYieldData!H:N,7,FALSE)</f>
        <v>26</v>
      </c>
      <c r="G432" s="3">
        <f>VLOOKUP($E432,AgronomyYieldData!$H:O,3,FALSE)</f>
        <v>2</v>
      </c>
      <c r="H432" s="9">
        <v>88</v>
      </c>
      <c r="I432">
        <v>0.70418154378473796</v>
      </c>
      <c r="J432">
        <v>0.24355834123787801</v>
      </c>
      <c r="K432" s="7">
        <v>5.4132456322016301E-3</v>
      </c>
      <c r="L432" s="7">
        <v>1</v>
      </c>
      <c r="M432">
        <v>0.370992033780981</v>
      </c>
      <c r="N432">
        <v>3.2768027177289098E-3</v>
      </c>
      <c r="O432">
        <v>8.5872909838574096E-2</v>
      </c>
      <c r="P432">
        <v>8.7433742098954204E-4</v>
      </c>
      <c r="Q432">
        <v>2905.2997833152799</v>
      </c>
      <c r="R432">
        <v>2171494.2952870699</v>
      </c>
      <c r="S432">
        <v>16354.5800212754</v>
      </c>
      <c r="T432">
        <v>18277694.1562576</v>
      </c>
      <c r="U432" s="3">
        <v>854</v>
      </c>
      <c r="V432">
        <v>0.46213662735724098</v>
      </c>
    </row>
    <row r="433" spans="1:22" x14ac:dyDescent="0.25">
      <c r="A433">
        <v>24101</v>
      </c>
      <c r="B433">
        <v>13</v>
      </c>
      <c r="C433">
        <v>5010</v>
      </c>
      <c r="D433">
        <v>5010</v>
      </c>
      <c r="E433" s="3">
        <f t="shared" si="7"/>
        <v>241015010</v>
      </c>
      <c r="F433" s="3">
        <f>VLOOKUP($E433,AgronomyYieldData!H:N,7,FALSE)</f>
        <v>69</v>
      </c>
      <c r="G433" s="3">
        <f>VLOOKUP($E433,AgronomyYieldData!$H:O,3,FALSE)</f>
        <v>2</v>
      </c>
      <c r="H433" s="9">
        <v>80</v>
      </c>
      <c r="I433">
        <v>0.368193231155516</v>
      </c>
      <c r="J433">
        <v>0.23595536592340199</v>
      </c>
      <c r="K433" s="7">
        <v>4.7058697130512497E-3</v>
      </c>
      <c r="L433" s="7">
        <v>0.99928947368421095</v>
      </c>
      <c r="M433">
        <v>0.359121574678536</v>
      </c>
      <c r="N433">
        <v>2.7000669208164401E-3</v>
      </c>
      <c r="O433">
        <v>8.5872909838574096E-2</v>
      </c>
      <c r="P433">
        <v>8.7433742098954204E-4</v>
      </c>
      <c r="Q433">
        <v>2948.3081439698799</v>
      </c>
      <c r="R433">
        <v>2793860.1531735598</v>
      </c>
      <c r="S433">
        <v>16767.910784304298</v>
      </c>
      <c r="T433">
        <v>16689235.8357333</v>
      </c>
      <c r="U433" s="3">
        <v>686</v>
      </c>
      <c r="V433">
        <v>0.36792772262860002</v>
      </c>
    </row>
    <row r="434" spans="1:22" x14ac:dyDescent="0.25">
      <c r="A434">
        <v>24101</v>
      </c>
      <c r="B434">
        <v>13</v>
      </c>
      <c r="C434">
        <v>5011</v>
      </c>
      <c r="D434">
        <v>5011</v>
      </c>
      <c r="E434" s="3">
        <f t="shared" si="7"/>
        <v>241015011</v>
      </c>
      <c r="F434" s="3">
        <f>VLOOKUP($E434,AgronomyYieldData!H:N,7,FALSE)</f>
        <v>47</v>
      </c>
      <c r="G434" s="3">
        <f>VLOOKUP($E434,AgronomyYieldData!$H:O,3,FALSE)</f>
        <v>2</v>
      </c>
      <c r="H434" s="9">
        <v>66</v>
      </c>
      <c r="I434">
        <v>0.475068002301616</v>
      </c>
      <c r="J434">
        <v>0.23189694252823501</v>
      </c>
      <c r="K434" s="7">
        <v>3.0709840806894002E-3</v>
      </c>
      <c r="L434" s="7">
        <v>0.98838142607139601</v>
      </c>
      <c r="M434">
        <v>0.35660427841329301</v>
      </c>
      <c r="N434">
        <v>2.62795627986174E-3</v>
      </c>
      <c r="O434">
        <v>8.5872909838574096E-2</v>
      </c>
      <c r="P434">
        <v>8.7433742098954204E-4</v>
      </c>
      <c r="Q434">
        <v>2725.7753952313301</v>
      </c>
      <c r="R434">
        <v>1312459.8960853899</v>
      </c>
      <c r="S434">
        <v>16674.2737342785</v>
      </c>
      <c r="T434">
        <v>15603125.507946201</v>
      </c>
      <c r="U434" s="3">
        <v>2224</v>
      </c>
      <c r="V434">
        <v>0.99073954638288697</v>
      </c>
    </row>
    <row r="435" spans="1:22" x14ac:dyDescent="0.25">
      <c r="A435">
        <v>24101</v>
      </c>
      <c r="B435">
        <v>13</v>
      </c>
      <c r="C435">
        <v>5012</v>
      </c>
      <c r="D435">
        <v>5012</v>
      </c>
      <c r="E435" s="3">
        <f t="shared" si="7"/>
        <v>241015012</v>
      </c>
      <c r="F435" s="3">
        <f>VLOOKUP($E435,AgronomyYieldData!H:N,7,FALSE)</f>
        <v>86</v>
      </c>
      <c r="G435" s="3">
        <f>VLOOKUP($E435,AgronomyYieldData!$H:O,3,FALSE)</f>
        <v>2</v>
      </c>
      <c r="H435" s="9">
        <v>73</v>
      </c>
      <c r="I435">
        <v>0.57673421081883303</v>
      </c>
      <c r="J435">
        <v>0.23635732000836701</v>
      </c>
      <c r="K435" s="7">
        <v>4.0586578987527001E-3</v>
      </c>
      <c r="L435" s="7">
        <v>0.99763154778352303</v>
      </c>
      <c r="M435">
        <v>0.36075011132504398</v>
      </c>
      <c r="N435">
        <v>2.9475683999067E-3</v>
      </c>
      <c r="O435">
        <v>8.5872909838574096E-2</v>
      </c>
      <c r="P435">
        <v>8.7433742098954204E-4</v>
      </c>
      <c r="Q435">
        <v>2889.99245599916</v>
      </c>
      <c r="R435">
        <v>1828683.4367603001</v>
      </c>
      <c r="S435">
        <v>16756.163318552401</v>
      </c>
      <c r="T435">
        <v>17436711.397465698</v>
      </c>
      <c r="U435" s="3">
        <v>1113</v>
      </c>
      <c r="V435">
        <v>0.72509795279991796</v>
      </c>
    </row>
    <row r="436" spans="1:22" x14ac:dyDescent="0.25">
      <c r="A436">
        <v>24101</v>
      </c>
      <c r="B436">
        <v>13</v>
      </c>
      <c r="C436">
        <v>5013</v>
      </c>
      <c r="D436">
        <v>5013</v>
      </c>
      <c r="E436" s="3">
        <f t="shared" si="7"/>
        <v>241015013</v>
      </c>
      <c r="F436" s="3">
        <f>VLOOKUP($E436,AgronomyYieldData!H:N,7,FALSE)</f>
        <v>39</v>
      </c>
      <c r="G436" s="3">
        <f>VLOOKUP($E436,AgronomyYieldData!$H:O,3,FALSE)</f>
        <v>3</v>
      </c>
      <c r="H436" s="9">
        <v>74</v>
      </c>
      <c r="I436">
        <v>0.63379776190826698</v>
      </c>
      <c r="J436">
        <v>0.247407051361311</v>
      </c>
      <c r="K436" s="7">
        <v>6.4326427782592102E-3</v>
      </c>
      <c r="L436" s="7">
        <v>0.99727787859708905</v>
      </c>
      <c r="M436">
        <v>0.37166829978890598</v>
      </c>
      <c r="N436">
        <v>3.3586343894537801E-3</v>
      </c>
      <c r="O436">
        <v>8.5872909838574096E-2</v>
      </c>
      <c r="P436">
        <v>8.7433742098954204E-4</v>
      </c>
      <c r="Q436">
        <v>2917.3852358908698</v>
      </c>
      <c r="R436">
        <v>3029015.9150917898</v>
      </c>
      <c r="S436">
        <v>16225.6832395172</v>
      </c>
      <c r="T436">
        <v>20018446.321919799</v>
      </c>
      <c r="U436" s="3">
        <v>580</v>
      </c>
      <c r="V436">
        <v>0.45984054221697701</v>
      </c>
    </row>
    <row r="437" spans="1:22" x14ac:dyDescent="0.25">
      <c r="A437">
        <v>24101</v>
      </c>
      <c r="B437">
        <v>13</v>
      </c>
      <c r="C437">
        <v>5014</v>
      </c>
      <c r="D437">
        <v>5014</v>
      </c>
      <c r="E437" s="3">
        <f t="shared" si="7"/>
        <v>241015014</v>
      </c>
      <c r="F437" s="3">
        <f>VLOOKUP($E437,AgronomyYieldData!H:N,7,FALSE)</f>
        <v>11</v>
      </c>
      <c r="G437" s="3">
        <f>VLOOKUP($E437,AgronomyYieldData!$H:O,3,FALSE)</f>
        <v>3</v>
      </c>
      <c r="H437" s="9">
        <v>52</v>
      </c>
      <c r="I437">
        <v>0.711682694519854</v>
      </c>
      <c r="J437">
        <v>0.22742097099410899</v>
      </c>
      <c r="K437" s="7">
        <v>3.6521961573555799E-3</v>
      </c>
      <c r="L437" s="7">
        <v>0.82561111111111096</v>
      </c>
      <c r="M437">
        <v>0.35701728860672999</v>
      </c>
      <c r="N437">
        <v>2.7422550719414201E-3</v>
      </c>
      <c r="O437">
        <v>8.5872909838574096E-2</v>
      </c>
      <c r="P437">
        <v>8.7433742098954204E-4</v>
      </c>
      <c r="Q437">
        <v>2724.3917796885598</v>
      </c>
      <c r="R437">
        <v>1758711.2170629201</v>
      </c>
      <c r="S437">
        <v>16578.442664860198</v>
      </c>
      <c r="T437">
        <v>16218597.973613</v>
      </c>
      <c r="U437" s="3">
        <v>626</v>
      </c>
      <c r="V437">
        <v>0.56624482787313002</v>
      </c>
    </row>
    <row r="438" spans="1:22" x14ac:dyDescent="0.25">
      <c r="A438">
        <v>24101</v>
      </c>
      <c r="B438">
        <v>13</v>
      </c>
      <c r="C438">
        <v>5015</v>
      </c>
      <c r="D438">
        <v>5015</v>
      </c>
      <c r="E438" s="3">
        <f t="shared" si="7"/>
        <v>241015015</v>
      </c>
      <c r="F438" s="3">
        <f>VLOOKUP($E438,AgronomyYieldData!H:N,7,FALSE)</f>
        <v>30</v>
      </c>
      <c r="G438" s="3">
        <f>VLOOKUP($E438,AgronomyYieldData!$H:O,3,FALSE)</f>
        <v>3</v>
      </c>
      <c r="H438" s="9">
        <v>60</v>
      </c>
      <c r="I438">
        <v>0.60300735273818096</v>
      </c>
      <c r="J438">
        <v>0.22436651392446499</v>
      </c>
      <c r="K438" s="7">
        <v>3.0908263650503802E-3</v>
      </c>
      <c r="L438" s="7">
        <v>0.90555380655197304</v>
      </c>
      <c r="M438">
        <v>0.35806404814468401</v>
      </c>
      <c r="N438">
        <v>2.5413581420047999E-3</v>
      </c>
      <c r="O438">
        <v>8.5872909838574096E-2</v>
      </c>
      <c r="P438">
        <v>8.7433742098954204E-4</v>
      </c>
      <c r="Q438">
        <v>2743.3960838775101</v>
      </c>
      <c r="R438">
        <v>1591810.0089223899</v>
      </c>
      <c r="S438">
        <v>16913.102097486601</v>
      </c>
      <c r="T438">
        <v>15484586.673693901</v>
      </c>
      <c r="U438" s="3">
        <v>1813</v>
      </c>
      <c r="V438">
        <v>0.94831394381325496</v>
      </c>
    </row>
    <row r="439" spans="1:22" x14ac:dyDescent="0.25">
      <c r="A439">
        <v>24101</v>
      </c>
      <c r="B439">
        <v>13</v>
      </c>
      <c r="C439">
        <v>5017</v>
      </c>
      <c r="D439">
        <v>5017</v>
      </c>
      <c r="E439" s="3">
        <f t="shared" si="7"/>
        <v>241015017</v>
      </c>
      <c r="F439" s="3">
        <f>VLOOKUP($E439,AgronomyYieldData!H:N,7,FALSE)</f>
        <v>80</v>
      </c>
      <c r="G439" s="3">
        <f>VLOOKUP($E439,AgronomyYieldData!$H:O,3,FALSE)</f>
        <v>3</v>
      </c>
      <c r="H439" s="9">
        <v>102</v>
      </c>
      <c r="I439">
        <v>0.52697206674687402</v>
      </c>
      <c r="J439">
        <v>0.24017120586151899</v>
      </c>
      <c r="K439" s="7">
        <v>6.76616039352317E-3</v>
      </c>
      <c r="L439" s="7">
        <v>0.99957894736842101</v>
      </c>
      <c r="M439">
        <v>0.37020664656378099</v>
      </c>
      <c r="N439">
        <v>3.9239244280707096E-3</v>
      </c>
      <c r="O439">
        <v>8.5872909838574096E-2</v>
      </c>
      <c r="P439">
        <v>8.7433742098954204E-4</v>
      </c>
      <c r="Q439">
        <v>2785.95199938416</v>
      </c>
      <c r="R439">
        <v>1578384.4821599701</v>
      </c>
      <c r="S439">
        <v>16422.888367879299</v>
      </c>
      <c r="T439">
        <v>18203373.986266099</v>
      </c>
      <c r="U439" s="3">
        <v>2599</v>
      </c>
      <c r="V439">
        <v>0.834923330771422</v>
      </c>
    </row>
    <row r="440" spans="1:22" x14ac:dyDescent="0.25">
      <c r="A440">
        <v>24101</v>
      </c>
      <c r="B440">
        <v>13</v>
      </c>
      <c r="C440">
        <v>5018</v>
      </c>
      <c r="D440">
        <v>5018</v>
      </c>
      <c r="E440" s="3">
        <f t="shared" si="7"/>
        <v>241015018</v>
      </c>
      <c r="F440" s="3">
        <f>VLOOKUP($E440,AgronomyYieldData!H:N,7,FALSE)</f>
        <v>60</v>
      </c>
      <c r="G440" s="3">
        <f>VLOOKUP($E440,AgronomyYieldData!$H:O,3,FALSE)</f>
        <v>3</v>
      </c>
      <c r="H440" s="9">
        <v>77</v>
      </c>
      <c r="I440">
        <v>0.41672987393419397</v>
      </c>
      <c r="J440">
        <v>0.221113329113753</v>
      </c>
      <c r="K440" s="7">
        <v>3.4682567536375801E-3</v>
      </c>
      <c r="L440" s="7">
        <v>0.85886470696597295</v>
      </c>
      <c r="M440">
        <v>0.35519929854170301</v>
      </c>
      <c r="N440">
        <v>2.46518892464704E-3</v>
      </c>
      <c r="O440">
        <v>8.5872909838574096E-2</v>
      </c>
      <c r="P440">
        <v>8.7433742098954204E-4</v>
      </c>
      <c r="Q440">
        <v>2761.2356975401499</v>
      </c>
      <c r="R440">
        <v>1541325.65051057</v>
      </c>
      <c r="S440">
        <v>16810.9830296603</v>
      </c>
      <c r="T440">
        <v>13504376.991740501</v>
      </c>
      <c r="U440" s="3">
        <v>2213</v>
      </c>
      <c r="V440">
        <v>0.82712917477345704</v>
      </c>
    </row>
    <row r="441" spans="1:22" x14ac:dyDescent="0.25">
      <c r="A441">
        <v>24101</v>
      </c>
      <c r="B441">
        <v>13</v>
      </c>
      <c r="C441">
        <v>5019</v>
      </c>
      <c r="D441">
        <v>5019</v>
      </c>
      <c r="E441" s="3">
        <f t="shared" si="7"/>
        <v>241015019</v>
      </c>
      <c r="F441" s="3">
        <f>VLOOKUP($E441,AgronomyYieldData!H:N,7,FALSE)</f>
        <v>6</v>
      </c>
      <c r="G441" s="3">
        <f>VLOOKUP($E441,AgronomyYieldData!$H:O,3,FALSE)</f>
        <v>4</v>
      </c>
      <c r="H441" s="9">
        <v>56</v>
      </c>
      <c r="I441">
        <v>0.448824839416192</v>
      </c>
      <c r="J441">
        <v>0.22388893828856299</v>
      </c>
      <c r="K441" s="7">
        <v>3.3964955206928801E-3</v>
      </c>
      <c r="L441" s="7">
        <v>0.98329722422828403</v>
      </c>
      <c r="M441">
        <v>0.35888521596824502</v>
      </c>
      <c r="N441">
        <v>2.7507262836343302E-3</v>
      </c>
      <c r="O441">
        <v>8.5872909838574096E-2</v>
      </c>
      <c r="P441">
        <v>8.7433742098954204E-4</v>
      </c>
      <c r="Q441">
        <v>2491.6992347164901</v>
      </c>
      <c r="R441">
        <v>1371116.80821161</v>
      </c>
      <c r="S441">
        <v>16221.142780660701</v>
      </c>
      <c r="T441">
        <v>16086427.7281336</v>
      </c>
      <c r="U441" s="3">
        <v>771</v>
      </c>
      <c r="V441">
        <v>0.48528766584469202</v>
      </c>
    </row>
    <row r="442" spans="1:22" x14ac:dyDescent="0.25">
      <c r="A442">
        <v>24101</v>
      </c>
      <c r="B442">
        <v>13</v>
      </c>
      <c r="C442">
        <v>5020</v>
      </c>
      <c r="D442">
        <v>5020</v>
      </c>
      <c r="E442" s="3">
        <f t="shared" si="7"/>
        <v>241015020</v>
      </c>
      <c r="F442" s="3">
        <f>VLOOKUP($E442,AgronomyYieldData!H:N,7,FALSE)</f>
        <v>17</v>
      </c>
      <c r="G442" s="3">
        <f>VLOOKUP($E442,AgronomyYieldData!$H:O,3,FALSE)</f>
        <v>4</v>
      </c>
      <c r="H442" s="9">
        <v>58</v>
      </c>
      <c r="I442">
        <v>0.50992030625954698</v>
      </c>
      <c r="J442">
        <v>0.22839286427560301</v>
      </c>
      <c r="K442" s="7">
        <v>3.6980094906788699E-3</v>
      </c>
      <c r="L442" s="7">
        <v>0.99924075480083696</v>
      </c>
      <c r="M442">
        <v>0.357257449615556</v>
      </c>
      <c r="N442">
        <v>2.9091677261630601E-3</v>
      </c>
      <c r="O442">
        <v>8.5872909838574096E-2</v>
      </c>
      <c r="P442">
        <v>8.7433742098954204E-4</v>
      </c>
      <c r="Q442">
        <v>2262.24804002679</v>
      </c>
      <c r="R442">
        <v>1149965.4640444701</v>
      </c>
      <c r="S442">
        <v>16110.380281420201</v>
      </c>
      <c r="T442">
        <v>16292037.671863699</v>
      </c>
      <c r="U442" s="3">
        <v>2311</v>
      </c>
      <c r="V442">
        <v>0.97987125469935399</v>
      </c>
    </row>
    <row r="443" spans="1:22" x14ac:dyDescent="0.25">
      <c r="A443">
        <v>24101</v>
      </c>
      <c r="B443">
        <v>13</v>
      </c>
      <c r="C443">
        <v>5021</v>
      </c>
      <c r="D443">
        <v>5021</v>
      </c>
      <c r="E443" s="3">
        <f t="shared" si="7"/>
        <v>241015021</v>
      </c>
      <c r="F443" s="3">
        <f>VLOOKUP($E443,AgronomyYieldData!H:N,7,FALSE)</f>
        <v>37</v>
      </c>
      <c r="G443" s="3">
        <f>VLOOKUP($E443,AgronomyYieldData!$H:O,3,FALSE)</f>
        <v>4</v>
      </c>
      <c r="H443" s="9">
        <v>52</v>
      </c>
      <c r="I443">
        <v>0.47257601413531602</v>
      </c>
      <c r="J443">
        <v>0.226947229426752</v>
      </c>
      <c r="K443" s="7">
        <v>2.8169162568582899E-3</v>
      </c>
      <c r="L443" s="7">
        <v>0.99412941220045203</v>
      </c>
      <c r="M443">
        <v>0.35485635618635902</v>
      </c>
      <c r="N443">
        <v>2.5638311154071599E-3</v>
      </c>
      <c r="O443">
        <v>8.5872909838574096E-2</v>
      </c>
      <c r="P443">
        <v>8.7433742098954204E-4</v>
      </c>
      <c r="Q443">
        <v>2183.4556378535999</v>
      </c>
      <c r="R443">
        <v>973913.437103034</v>
      </c>
      <c r="S443">
        <v>16127.9264490225</v>
      </c>
      <c r="T443">
        <v>15008839.8917123</v>
      </c>
      <c r="U443" s="3">
        <v>1744</v>
      </c>
      <c r="V443">
        <v>0.93499950831700696</v>
      </c>
    </row>
    <row r="444" spans="1:22" x14ac:dyDescent="0.25">
      <c r="A444">
        <v>24101</v>
      </c>
      <c r="B444">
        <v>13</v>
      </c>
      <c r="C444">
        <v>5022</v>
      </c>
      <c r="D444">
        <v>5022</v>
      </c>
      <c r="E444" s="3">
        <f t="shared" si="7"/>
        <v>241015022</v>
      </c>
      <c r="F444" s="3">
        <f>VLOOKUP($E444,AgronomyYieldData!H:N,7,FALSE)</f>
        <v>90</v>
      </c>
      <c r="G444" s="3">
        <f>VLOOKUP($E444,AgronomyYieldData!$H:O,3,FALSE)</f>
        <v>4</v>
      </c>
      <c r="H444" s="9">
        <v>72</v>
      </c>
      <c r="I444">
        <v>0.45180336872940302</v>
      </c>
      <c r="J444">
        <v>0.25237238915342702</v>
      </c>
      <c r="K444" s="7">
        <v>7.6459603123398097E-3</v>
      </c>
      <c r="L444" s="7">
        <v>0.99996052735454299</v>
      </c>
      <c r="M444">
        <v>0.36597730729642503</v>
      </c>
      <c r="N444">
        <v>3.89131575307285E-3</v>
      </c>
      <c r="O444">
        <v>8.5872909838574096E-2</v>
      </c>
      <c r="P444">
        <v>8.7433742098954204E-4</v>
      </c>
      <c r="Q444">
        <v>2431.0137303614501</v>
      </c>
      <c r="R444">
        <v>2612663.0677984701</v>
      </c>
      <c r="S444">
        <v>15407.6816448105</v>
      </c>
      <c r="T444">
        <v>17017630.562106699</v>
      </c>
      <c r="U444" s="3">
        <v>2424</v>
      </c>
      <c r="V444">
        <v>0.90917494800092402</v>
      </c>
    </row>
    <row r="445" spans="1:22" x14ac:dyDescent="0.25">
      <c r="A445">
        <v>24101</v>
      </c>
      <c r="B445">
        <v>13</v>
      </c>
      <c r="C445">
        <v>5023</v>
      </c>
      <c r="D445">
        <v>5023</v>
      </c>
      <c r="E445" s="3">
        <f t="shared" si="7"/>
        <v>241015023</v>
      </c>
      <c r="F445" s="3">
        <f>VLOOKUP($E445,AgronomyYieldData!H:N,7,FALSE)</f>
        <v>61</v>
      </c>
      <c r="G445" s="3">
        <f>VLOOKUP($E445,AgronomyYieldData!$H:O,3,FALSE)</f>
        <v>4</v>
      </c>
      <c r="H445" s="9">
        <v>99</v>
      </c>
      <c r="I445">
        <v>0.469859744335828</v>
      </c>
      <c r="J445">
        <v>0.25656820415328202</v>
      </c>
      <c r="K445" s="7">
        <v>4.4625625326670396E-3</v>
      </c>
      <c r="L445" s="7">
        <v>0.99697368421052601</v>
      </c>
      <c r="M445">
        <v>0.377969043331365</v>
      </c>
      <c r="N445">
        <v>2.62444018901664E-3</v>
      </c>
      <c r="O445">
        <v>8.5872909838574096E-2</v>
      </c>
      <c r="P445">
        <v>8.7433742098954204E-4</v>
      </c>
      <c r="Q445">
        <v>2238.4236147074098</v>
      </c>
      <c r="R445">
        <v>1956591.6011012299</v>
      </c>
      <c r="S445">
        <v>15529.169558141601</v>
      </c>
      <c r="T445">
        <v>16964202.192407601</v>
      </c>
      <c r="U445" s="3">
        <v>1813</v>
      </c>
      <c r="V445">
        <v>0.97939878639341704</v>
      </c>
    </row>
    <row r="446" spans="1:22" x14ac:dyDescent="0.25">
      <c r="A446">
        <v>24101</v>
      </c>
      <c r="B446">
        <v>13</v>
      </c>
      <c r="C446">
        <v>5024</v>
      </c>
      <c r="D446">
        <v>5024</v>
      </c>
      <c r="E446" s="3">
        <f t="shared" si="7"/>
        <v>241015024</v>
      </c>
      <c r="F446" s="3">
        <f>VLOOKUP($E446,AgronomyYieldData!H:N,7,FALSE)</f>
        <v>54</v>
      </c>
      <c r="G446" s="3">
        <f>VLOOKUP($E446,AgronomyYieldData!$H:O,3,FALSE)</f>
        <v>4</v>
      </c>
      <c r="H446" s="9">
        <v>113</v>
      </c>
      <c r="I446">
        <v>0.31026095371357199</v>
      </c>
      <c r="J446">
        <v>0.26355365467208403</v>
      </c>
      <c r="K446" s="7">
        <v>4.5023111936306802E-3</v>
      </c>
      <c r="L446" s="7">
        <v>0.99846052631578996</v>
      </c>
      <c r="M446">
        <v>0.38558026423904002</v>
      </c>
      <c r="N446">
        <v>2.81964844867384E-3</v>
      </c>
      <c r="O446">
        <v>8.5872909838574096E-2</v>
      </c>
      <c r="P446">
        <v>8.7433742098954204E-4</v>
      </c>
      <c r="Q446">
        <v>2221.2882326183599</v>
      </c>
      <c r="R446">
        <v>1508669.06813791</v>
      </c>
      <c r="S446">
        <v>15336.931677873599</v>
      </c>
      <c r="T446">
        <v>18605152.856090602</v>
      </c>
      <c r="U446" s="3">
        <v>73</v>
      </c>
      <c r="V446">
        <v>0.190671726020918</v>
      </c>
    </row>
    <row r="447" spans="1:22" x14ac:dyDescent="0.25">
      <c r="A447">
        <v>24101</v>
      </c>
      <c r="B447">
        <v>13</v>
      </c>
      <c r="C447">
        <v>6001</v>
      </c>
      <c r="D447">
        <v>6001</v>
      </c>
      <c r="E447" s="3">
        <f t="shared" si="7"/>
        <v>241016001</v>
      </c>
      <c r="F447" s="3">
        <f>VLOOKUP($E447,AgronomyYieldData!H:N,7,FALSE)</f>
        <v>61</v>
      </c>
      <c r="G447" s="3">
        <f>VLOOKUP($E447,AgronomyYieldData!$H:O,3,FALSE)</f>
        <v>1</v>
      </c>
      <c r="H447" s="9">
        <v>39</v>
      </c>
      <c r="I447">
        <v>0.25909191960140698</v>
      </c>
      <c r="J447">
        <v>0.22160355429901901</v>
      </c>
      <c r="K447" s="7">
        <v>3.3862619906520701E-3</v>
      </c>
      <c r="L447" s="7">
        <v>0.71987789313017303</v>
      </c>
      <c r="M447">
        <v>0.34733271428218598</v>
      </c>
      <c r="N447">
        <v>2.6890194685377298E-3</v>
      </c>
      <c r="O447">
        <v>8.5872909838574096E-2</v>
      </c>
      <c r="P447">
        <v>8.7433742098954204E-4</v>
      </c>
      <c r="Q447">
        <v>2619.4042563614498</v>
      </c>
      <c r="R447">
        <v>1990040.4191496701</v>
      </c>
      <c r="S447">
        <v>16807.6255004425</v>
      </c>
      <c r="T447">
        <v>18531402.361303002</v>
      </c>
      <c r="U447" s="3">
        <v>1692</v>
      </c>
      <c r="V447">
        <v>0.92113296785983001</v>
      </c>
    </row>
    <row r="448" spans="1:22" x14ac:dyDescent="0.25">
      <c r="A448">
        <v>24101</v>
      </c>
      <c r="B448">
        <v>13</v>
      </c>
      <c r="C448">
        <v>6002</v>
      </c>
      <c r="D448">
        <v>6002</v>
      </c>
      <c r="E448" s="3">
        <f t="shared" si="7"/>
        <v>241016002</v>
      </c>
      <c r="F448" s="3">
        <f>VLOOKUP($E448,AgronomyYieldData!H:N,7,FALSE)</f>
        <v>80</v>
      </c>
      <c r="G448" s="3">
        <f>VLOOKUP($E448,AgronomyYieldData!$H:O,3,FALSE)</f>
        <v>1</v>
      </c>
      <c r="H448" s="9">
        <v>96</v>
      </c>
      <c r="I448">
        <v>0.61531067942120699</v>
      </c>
      <c r="J448">
        <v>0.23166374059309899</v>
      </c>
      <c r="K448" s="7">
        <v>5.8310824330235099E-3</v>
      </c>
      <c r="L448" s="7">
        <v>1</v>
      </c>
      <c r="M448">
        <v>0.35804074474561498</v>
      </c>
      <c r="N448">
        <v>3.7604567931353301E-3</v>
      </c>
      <c r="O448">
        <v>8.5872909838574096E-2</v>
      </c>
      <c r="P448">
        <v>8.7433742098954204E-4</v>
      </c>
      <c r="Q448">
        <v>2753.3982042633002</v>
      </c>
      <c r="R448">
        <v>1426931.5805196699</v>
      </c>
      <c r="S448">
        <v>16283.274793255199</v>
      </c>
      <c r="T448">
        <v>19469736.3530767</v>
      </c>
      <c r="U448" s="3">
        <v>3041</v>
      </c>
      <c r="V448">
        <v>0.96709645865021299</v>
      </c>
    </row>
    <row r="449" spans="1:22" x14ac:dyDescent="0.25">
      <c r="A449">
        <v>24101</v>
      </c>
      <c r="B449">
        <v>13</v>
      </c>
      <c r="C449">
        <v>6003</v>
      </c>
      <c r="D449">
        <v>6003</v>
      </c>
      <c r="E449" s="3">
        <f t="shared" si="7"/>
        <v>241016003</v>
      </c>
      <c r="F449" s="3">
        <f>VLOOKUP($E449,AgronomyYieldData!H:N,7,FALSE)</f>
        <v>51</v>
      </c>
      <c r="G449" s="3">
        <f>VLOOKUP($E449,AgronomyYieldData!$H:O,3,FALSE)</f>
        <v>1</v>
      </c>
      <c r="H449" s="9">
        <v>66</v>
      </c>
      <c r="I449">
        <v>0.58413485114980401</v>
      </c>
      <c r="J449">
        <v>0.221871931928729</v>
      </c>
      <c r="K449" s="7">
        <v>3.3374542194004901E-3</v>
      </c>
      <c r="L449" s="7">
        <v>0.98928947368421005</v>
      </c>
      <c r="M449">
        <v>0.35238067375667598</v>
      </c>
      <c r="N449">
        <v>2.59454818229952E-3</v>
      </c>
      <c r="O449">
        <v>8.5872909838574096E-2</v>
      </c>
      <c r="P449">
        <v>8.7433742098954204E-4</v>
      </c>
      <c r="Q449">
        <v>2700.67858692457</v>
      </c>
      <c r="R449">
        <v>1712050.8613527301</v>
      </c>
      <c r="S449">
        <v>16751.5792698558</v>
      </c>
      <c r="T449">
        <v>16511423.2399325</v>
      </c>
      <c r="U449" s="3">
        <v>1023</v>
      </c>
      <c r="V449">
        <v>0.54443238130045402</v>
      </c>
    </row>
    <row r="450" spans="1:22" x14ac:dyDescent="0.25">
      <c r="A450">
        <v>24101</v>
      </c>
      <c r="B450">
        <v>13</v>
      </c>
      <c r="C450">
        <v>6004</v>
      </c>
      <c r="D450">
        <v>6004</v>
      </c>
      <c r="E450" s="3">
        <f t="shared" si="7"/>
        <v>241016004</v>
      </c>
      <c r="F450" s="3">
        <f>VLOOKUP($E450,AgronomyYieldData!H:N,7,FALSE)</f>
        <v>43</v>
      </c>
      <c r="G450" s="3">
        <f>VLOOKUP($E450,AgronomyYieldData!$H:O,3,FALSE)</f>
        <v>1</v>
      </c>
      <c r="H450" s="9">
        <v>61</v>
      </c>
      <c r="I450">
        <v>0.57213060443201003</v>
      </c>
      <c r="J450">
        <v>0.22171642758900101</v>
      </c>
      <c r="K450" s="7">
        <v>3.1122489533833E-3</v>
      </c>
      <c r="L450" s="7">
        <v>0.99727782818836697</v>
      </c>
      <c r="M450">
        <v>0.35720250528827102</v>
      </c>
      <c r="N450">
        <v>2.5329642122400402E-3</v>
      </c>
      <c r="O450">
        <v>8.5872909838574096E-2</v>
      </c>
      <c r="P450">
        <v>8.7433742098954204E-4</v>
      </c>
      <c r="Q450">
        <v>2608.43077771649</v>
      </c>
      <c r="R450">
        <v>1315844.32150251</v>
      </c>
      <c r="S450">
        <v>16185.3417661855</v>
      </c>
      <c r="T450">
        <v>15835865.717137599</v>
      </c>
      <c r="U450" s="3">
        <v>2396</v>
      </c>
      <c r="V450">
        <v>0.98085505514288696</v>
      </c>
    </row>
    <row r="451" spans="1:22" x14ac:dyDescent="0.25">
      <c r="A451">
        <v>24101</v>
      </c>
      <c r="B451">
        <v>13</v>
      </c>
      <c r="C451">
        <v>6005</v>
      </c>
      <c r="D451">
        <v>6005</v>
      </c>
      <c r="E451" s="3">
        <f t="shared" si="7"/>
        <v>241016005</v>
      </c>
      <c r="F451" s="3">
        <f>VLOOKUP($E451,AgronomyYieldData!H:N,7,FALSE)</f>
        <v>15</v>
      </c>
      <c r="G451" s="3">
        <f>VLOOKUP($E451,AgronomyYieldData!$H:O,3,FALSE)</f>
        <v>1</v>
      </c>
      <c r="H451" s="9">
        <v>46</v>
      </c>
      <c r="I451">
        <v>0.60522707403487697</v>
      </c>
      <c r="J451">
        <v>0.215125088981068</v>
      </c>
      <c r="K451" s="7">
        <v>2.67505675033626E-3</v>
      </c>
      <c r="L451" s="7">
        <v>0.95044260898551802</v>
      </c>
      <c r="M451">
        <v>0.35315363061486199</v>
      </c>
      <c r="N451">
        <v>2.5099680127324301E-3</v>
      </c>
      <c r="O451">
        <v>9.0332477784697399E-2</v>
      </c>
      <c r="P451">
        <v>1.02611903384868E-3</v>
      </c>
      <c r="Q451">
        <v>2635.11745296957</v>
      </c>
      <c r="R451">
        <v>1318860.7837523101</v>
      </c>
      <c r="S451">
        <v>16598.2032533981</v>
      </c>
      <c r="T451">
        <v>17528508.449444901</v>
      </c>
      <c r="U451" s="3">
        <v>2134</v>
      </c>
      <c r="V451">
        <v>0.97701984099968897</v>
      </c>
    </row>
    <row r="452" spans="1:22" x14ac:dyDescent="0.25">
      <c r="A452">
        <v>24101</v>
      </c>
      <c r="B452">
        <v>13</v>
      </c>
      <c r="C452">
        <v>6006</v>
      </c>
      <c r="D452">
        <v>6006</v>
      </c>
      <c r="E452" s="3">
        <f t="shared" si="7"/>
        <v>241016006</v>
      </c>
      <c r="F452" s="3">
        <f>VLOOKUP($E452,AgronomyYieldData!H:N,7,FALSE)</f>
        <v>25</v>
      </c>
      <c r="G452" s="3">
        <f>VLOOKUP($E452,AgronomyYieldData!$H:O,3,FALSE)</f>
        <v>1</v>
      </c>
      <c r="H452" s="9">
        <v>67</v>
      </c>
      <c r="I452">
        <v>0.69410931043685498</v>
      </c>
      <c r="J452">
        <v>0.22130406185447599</v>
      </c>
      <c r="K452" s="7">
        <v>3.9608409409822003E-3</v>
      </c>
      <c r="L452" s="7">
        <v>1</v>
      </c>
      <c r="M452">
        <v>0.35745540286794703</v>
      </c>
      <c r="N452">
        <v>2.8265302444976902E-3</v>
      </c>
      <c r="O452">
        <v>9.0332477784697399E-2</v>
      </c>
      <c r="P452">
        <v>1.02611903384868E-3</v>
      </c>
      <c r="Q452">
        <v>2664.5495956899899</v>
      </c>
      <c r="R452">
        <v>1909330.32201996</v>
      </c>
      <c r="S452">
        <v>16232.4257447808</v>
      </c>
      <c r="T452">
        <v>20057180.985476401</v>
      </c>
      <c r="U452" s="3">
        <v>1080</v>
      </c>
      <c r="V452">
        <v>0.72791225416036298</v>
      </c>
    </row>
    <row r="453" spans="1:22" x14ac:dyDescent="0.25">
      <c r="A453">
        <v>24101</v>
      </c>
      <c r="B453">
        <v>13</v>
      </c>
      <c r="C453">
        <v>6007</v>
      </c>
      <c r="D453">
        <v>6007</v>
      </c>
      <c r="E453" s="3">
        <f t="shared" si="7"/>
        <v>241016007</v>
      </c>
      <c r="F453" s="3">
        <f>VLOOKUP($E453,AgronomyYieldData!H:N,7,FALSE)</f>
        <v>13</v>
      </c>
      <c r="G453" s="3">
        <f>VLOOKUP($E453,AgronomyYieldData!$H:O,3,FALSE)</f>
        <v>2</v>
      </c>
      <c r="H453" s="9">
        <v>29</v>
      </c>
      <c r="I453">
        <v>0.40522707403487701</v>
      </c>
      <c r="J453">
        <v>0.20934598571863799</v>
      </c>
      <c r="K453" s="7">
        <v>1.9434568633929399E-3</v>
      </c>
      <c r="L453" s="7">
        <v>0.82524074074074105</v>
      </c>
      <c r="M453">
        <v>0.34625028561523702</v>
      </c>
      <c r="N453">
        <v>2.3280321114958302E-3</v>
      </c>
      <c r="O453">
        <v>9.0332477784697399E-2</v>
      </c>
      <c r="P453">
        <v>1.02611903384868E-3</v>
      </c>
      <c r="Q453">
        <v>2526.7340562794898</v>
      </c>
      <c r="R453">
        <v>1127402.3100222901</v>
      </c>
      <c r="S453">
        <v>16823.0154885511</v>
      </c>
      <c r="T453">
        <v>14917112.592116401</v>
      </c>
      <c r="U453" s="3">
        <v>2005</v>
      </c>
      <c r="V453">
        <v>0.85465204236005998</v>
      </c>
    </row>
    <row r="454" spans="1:22" x14ac:dyDescent="0.25">
      <c r="A454">
        <v>24101</v>
      </c>
      <c r="B454">
        <v>13</v>
      </c>
      <c r="C454">
        <v>6008</v>
      </c>
      <c r="D454">
        <v>6008</v>
      </c>
      <c r="E454" s="3">
        <f t="shared" si="7"/>
        <v>241016008</v>
      </c>
      <c r="F454" s="3">
        <f>VLOOKUP($E454,AgronomyYieldData!H:N,7,FALSE)</f>
        <v>43</v>
      </c>
      <c r="G454" s="3">
        <f>VLOOKUP($E454,AgronomyYieldData!$H:O,3,FALSE)</f>
        <v>2</v>
      </c>
      <c r="H454" s="9">
        <v>72</v>
      </c>
      <c r="I454">
        <v>0.48859359327118601</v>
      </c>
      <c r="J454">
        <v>0.21770671973887201</v>
      </c>
      <c r="K454" s="7">
        <v>2.7461690546228602E-3</v>
      </c>
      <c r="L454" s="7">
        <v>0.99875928223551402</v>
      </c>
      <c r="M454">
        <v>0.350699681768393</v>
      </c>
      <c r="N454">
        <v>2.36456210003209E-3</v>
      </c>
      <c r="O454">
        <v>9.0332477784697399E-2</v>
      </c>
      <c r="P454">
        <v>1.02611903384868E-3</v>
      </c>
      <c r="Q454">
        <v>2726.6898355165999</v>
      </c>
      <c r="R454">
        <v>1346077.6497548299</v>
      </c>
      <c r="S454">
        <v>16560.935030609999</v>
      </c>
      <c r="T454">
        <v>15842425.855199501</v>
      </c>
      <c r="U454" s="3">
        <v>2690</v>
      </c>
      <c r="V454">
        <v>0.96865355521936403</v>
      </c>
    </row>
    <row r="455" spans="1:22" x14ac:dyDescent="0.25">
      <c r="A455">
        <v>24101</v>
      </c>
      <c r="B455">
        <v>13</v>
      </c>
      <c r="C455">
        <v>6009</v>
      </c>
      <c r="D455">
        <v>6009</v>
      </c>
      <c r="E455" s="3">
        <f t="shared" si="7"/>
        <v>241016009</v>
      </c>
      <c r="F455" s="3">
        <f>VLOOKUP($E455,AgronomyYieldData!H:N,7,FALSE)</f>
        <v>21</v>
      </c>
      <c r="G455" s="3">
        <f>VLOOKUP($E455,AgronomyYieldData!$H:O,3,FALSE)</f>
        <v>2</v>
      </c>
      <c r="H455" s="9">
        <v>68</v>
      </c>
      <c r="I455">
        <v>0.57976736053595401</v>
      </c>
      <c r="J455">
        <v>0.22385982210062599</v>
      </c>
      <c r="K455" s="7">
        <v>4.1392368634559302E-3</v>
      </c>
      <c r="L455" s="7">
        <v>0.99994444341561906</v>
      </c>
      <c r="M455">
        <v>0.35096883909820997</v>
      </c>
      <c r="N455">
        <v>2.7908456857875701E-3</v>
      </c>
      <c r="O455">
        <v>9.0332477784697399E-2</v>
      </c>
      <c r="P455">
        <v>1.02611903384868E-3</v>
      </c>
      <c r="Q455">
        <v>2682.13339899537</v>
      </c>
      <c r="R455">
        <v>1478625.9619939299</v>
      </c>
      <c r="S455">
        <v>16177.141439302</v>
      </c>
      <c r="T455">
        <v>17110208.773600101</v>
      </c>
      <c r="U455" s="3">
        <v>1089</v>
      </c>
      <c r="V455">
        <v>0.54167107910621604</v>
      </c>
    </row>
    <row r="456" spans="1:22" x14ac:dyDescent="0.25">
      <c r="A456">
        <v>24101</v>
      </c>
      <c r="B456">
        <v>13</v>
      </c>
      <c r="C456">
        <v>6010</v>
      </c>
      <c r="D456">
        <v>6010</v>
      </c>
      <c r="E456" s="3">
        <f t="shared" si="7"/>
        <v>241016010</v>
      </c>
      <c r="F456" s="3">
        <f>VLOOKUP($E456,AgronomyYieldData!H:N,7,FALSE)</f>
        <v>63</v>
      </c>
      <c r="G456" s="3">
        <f>VLOOKUP($E456,AgronomyYieldData!$H:O,3,FALSE)</f>
        <v>2</v>
      </c>
      <c r="H456" s="9">
        <v>75</v>
      </c>
      <c r="I456">
        <v>0.35259193388083898</v>
      </c>
      <c r="J456">
        <v>0.22487992282918801</v>
      </c>
      <c r="K456" s="7">
        <v>4.2975861064421502E-3</v>
      </c>
      <c r="L456" s="7">
        <v>0.99426323337850797</v>
      </c>
      <c r="M456">
        <v>0.35165578851221302</v>
      </c>
      <c r="N456">
        <v>3.2106639189070402E-3</v>
      </c>
      <c r="O456">
        <v>9.0332477784697399E-2</v>
      </c>
      <c r="P456">
        <v>1.02611903384868E-3</v>
      </c>
      <c r="Q456">
        <v>2692.6298445001198</v>
      </c>
      <c r="R456">
        <v>1373512.16175877</v>
      </c>
      <c r="S456">
        <v>16705.4119066776</v>
      </c>
      <c r="T456">
        <v>18393355.533466201</v>
      </c>
      <c r="U456" s="3">
        <v>2617</v>
      </c>
      <c r="V456">
        <v>0.95312777129835102</v>
      </c>
    </row>
    <row r="457" spans="1:22" x14ac:dyDescent="0.25">
      <c r="A457">
        <v>24101</v>
      </c>
      <c r="B457">
        <v>13</v>
      </c>
      <c r="C457">
        <v>6011</v>
      </c>
      <c r="D457">
        <v>6011</v>
      </c>
      <c r="E457" s="3">
        <f t="shared" si="7"/>
        <v>241016011</v>
      </c>
      <c r="F457" s="3">
        <f>VLOOKUP($E457,AgronomyYieldData!H:N,7,FALSE)</f>
        <v>52</v>
      </c>
      <c r="G457" s="3">
        <f>VLOOKUP($E457,AgronomyYieldData!$H:O,3,FALSE)</f>
        <v>2</v>
      </c>
      <c r="H457" s="9">
        <v>36</v>
      </c>
      <c r="I457">
        <v>0.34652830904228499</v>
      </c>
      <c r="J457">
        <v>0.21864137507121301</v>
      </c>
      <c r="K457" s="7">
        <v>2.0323300133385201E-3</v>
      </c>
      <c r="L457" s="7">
        <v>0.87461842105263199</v>
      </c>
      <c r="M457">
        <v>0.34885416937047298</v>
      </c>
      <c r="N457">
        <v>2.3238072574215799E-3</v>
      </c>
      <c r="O457">
        <v>9.0332477784697399E-2</v>
      </c>
      <c r="P457">
        <v>1.02611903384868E-3</v>
      </c>
      <c r="Q457">
        <v>2643.8345090135499</v>
      </c>
      <c r="R457">
        <v>1345118.06407786</v>
      </c>
      <c r="S457">
        <v>17195.5827136097</v>
      </c>
      <c r="T457">
        <v>15606079.4877191</v>
      </c>
      <c r="U457" s="3">
        <v>1635</v>
      </c>
      <c r="V457">
        <v>0.95869052289864998</v>
      </c>
    </row>
    <row r="458" spans="1:22" x14ac:dyDescent="0.25">
      <c r="A458">
        <v>24101</v>
      </c>
      <c r="B458">
        <v>13</v>
      </c>
      <c r="C458">
        <v>6012</v>
      </c>
      <c r="D458">
        <v>6012</v>
      </c>
      <c r="E458" s="3">
        <f t="shared" si="7"/>
        <v>241016012</v>
      </c>
      <c r="F458" s="3">
        <f>VLOOKUP($E458,AgronomyYieldData!H:N,7,FALSE)</f>
        <v>84</v>
      </c>
      <c r="G458" s="3">
        <f>VLOOKUP($E458,AgronomyYieldData!$H:O,3,FALSE)</f>
        <v>2</v>
      </c>
      <c r="H458" s="9">
        <v>75</v>
      </c>
      <c r="I458">
        <v>0.49270282994193598</v>
      </c>
      <c r="J458">
        <v>0.238104285657048</v>
      </c>
      <c r="K458" s="7">
        <v>6.2564404728726502E-3</v>
      </c>
      <c r="L458" s="7">
        <v>0.99986842451514402</v>
      </c>
      <c r="M458">
        <v>0.35982666875607</v>
      </c>
      <c r="N458">
        <v>3.39701524319342E-3</v>
      </c>
      <c r="O458">
        <v>9.0332477784697399E-2</v>
      </c>
      <c r="P458">
        <v>1.02611903384868E-3</v>
      </c>
      <c r="Q458">
        <v>2806.0095735300301</v>
      </c>
      <c r="R458">
        <v>3012382.4240828902</v>
      </c>
      <c r="S458">
        <v>16484.664891901601</v>
      </c>
      <c r="T458">
        <v>20475395.0894536</v>
      </c>
      <c r="U458" s="3">
        <v>987</v>
      </c>
      <c r="V458">
        <v>0.40689362342520502</v>
      </c>
    </row>
    <row r="459" spans="1:22" x14ac:dyDescent="0.25">
      <c r="A459">
        <v>24101</v>
      </c>
      <c r="B459">
        <v>13</v>
      </c>
      <c r="C459">
        <v>6013</v>
      </c>
      <c r="D459">
        <v>6013</v>
      </c>
      <c r="E459" s="3">
        <f t="shared" si="7"/>
        <v>241016013</v>
      </c>
      <c r="F459" s="3">
        <f>VLOOKUP($E459,AgronomyYieldData!H:N,7,FALSE)</f>
        <v>41</v>
      </c>
      <c r="G459" s="3">
        <f>VLOOKUP($E459,AgronomyYieldData!$H:O,3,FALSE)</f>
        <v>3</v>
      </c>
      <c r="H459" s="9">
        <v>57</v>
      </c>
      <c r="I459">
        <v>0.65779229742787404</v>
      </c>
      <c r="J459">
        <v>0.22013033662411199</v>
      </c>
      <c r="K459" s="7">
        <v>2.7265554961383499E-3</v>
      </c>
      <c r="L459" s="7">
        <v>0.99509259259259297</v>
      </c>
      <c r="M459">
        <v>0.34835977152740399</v>
      </c>
      <c r="N459">
        <v>2.2807588607471601E-3</v>
      </c>
      <c r="O459">
        <v>9.0332477784697399E-2</v>
      </c>
      <c r="P459">
        <v>1.02611903384868E-3</v>
      </c>
      <c r="Q459">
        <v>2720.4754658629799</v>
      </c>
      <c r="R459">
        <v>1508716.9210089999</v>
      </c>
      <c r="S459">
        <v>16778.557367244699</v>
      </c>
      <c r="T459">
        <v>15098144.755975099</v>
      </c>
      <c r="U459" s="3">
        <v>742</v>
      </c>
      <c r="V459">
        <v>0.64022965030521695</v>
      </c>
    </row>
    <row r="460" spans="1:22" x14ac:dyDescent="0.25">
      <c r="A460">
        <v>24101</v>
      </c>
      <c r="B460">
        <v>13</v>
      </c>
      <c r="C460">
        <v>6014</v>
      </c>
      <c r="D460">
        <v>6014</v>
      </c>
      <c r="E460" s="3">
        <f t="shared" si="7"/>
        <v>241016014</v>
      </c>
      <c r="F460" s="3">
        <f>VLOOKUP($E460,AgronomyYieldData!H:N,7,FALSE)</f>
        <v>15</v>
      </c>
      <c r="G460" s="3">
        <f>VLOOKUP($E460,AgronomyYieldData!$H:O,3,FALSE)</f>
        <v>3</v>
      </c>
      <c r="H460" s="9">
        <v>60</v>
      </c>
      <c r="I460">
        <v>0.65417885999300596</v>
      </c>
      <c r="J460">
        <v>0.22155591038636199</v>
      </c>
      <c r="K460" s="7">
        <v>2.7493535445477098E-3</v>
      </c>
      <c r="L460" s="7">
        <v>0.94312962962962998</v>
      </c>
      <c r="M460">
        <v>0.350899054811872</v>
      </c>
      <c r="N460">
        <v>2.37114514638497E-3</v>
      </c>
      <c r="O460">
        <v>9.0332477784697399E-2</v>
      </c>
      <c r="P460">
        <v>1.02611903384868E-3</v>
      </c>
      <c r="Q460">
        <v>2717.5350378694602</v>
      </c>
      <c r="R460">
        <v>1455563.44785048</v>
      </c>
      <c r="S460">
        <v>16541.124369868699</v>
      </c>
      <c r="T460">
        <v>15873830.271241499</v>
      </c>
      <c r="U460" s="3">
        <v>2039</v>
      </c>
      <c r="V460">
        <v>0.96757210611114897</v>
      </c>
    </row>
    <row r="461" spans="1:22" x14ac:dyDescent="0.25">
      <c r="A461">
        <v>24101</v>
      </c>
      <c r="B461">
        <v>13</v>
      </c>
      <c r="C461">
        <v>6015</v>
      </c>
      <c r="D461">
        <v>6015</v>
      </c>
      <c r="E461" s="3">
        <f t="shared" si="7"/>
        <v>241016015</v>
      </c>
      <c r="F461" s="3">
        <f>VLOOKUP($E461,AgronomyYieldData!H:N,7,FALSE)</f>
        <v>16</v>
      </c>
      <c r="G461" s="3">
        <f>VLOOKUP($E461,AgronomyYieldData!$H:O,3,FALSE)</f>
        <v>3</v>
      </c>
      <c r="H461" s="9">
        <v>37</v>
      </c>
      <c r="I461">
        <v>0.28004159534721002</v>
      </c>
      <c r="J461">
        <v>0.218710339676885</v>
      </c>
      <c r="K461" s="7">
        <v>2.2736155270873001E-3</v>
      </c>
      <c r="L461" s="7">
        <v>0.74446769504268395</v>
      </c>
      <c r="M461">
        <v>0.35332997093225998</v>
      </c>
      <c r="N461">
        <v>2.0957033257304101E-3</v>
      </c>
      <c r="O461">
        <v>9.3056265944980301E-2</v>
      </c>
      <c r="P461">
        <v>9.3336123640364304E-4</v>
      </c>
      <c r="Q461">
        <v>2761.1995725485599</v>
      </c>
      <c r="R461">
        <v>1320665.78567407</v>
      </c>
      <c r="S461">
        <v>16847.4078076718</v>
      </c>
      <c r="T461">
        <v>15295567.282615799</v>
      </c>
      <c r="U461" s="3">
        <v>1669</v>
      </c>
      <c r="V461">
        <v>0.99725418113327402</v>
      </c>
    </row>
    <row r="462" spans="1:22" x14ac:dyDescent="0.25">
      <c r="A462">
        <v>24101</v>
      </c>
      <c r="B462">
        <v>13</v>
      </c>
      <c r="C462">
        <v>6016</v>
      </c>
      <c r="D462">
        <v>6016</v>
      </c>
      <c r="E462" s="3">
        <f t="shared" si="7"/>
        <v>241016016</v>
      </c>
      <c r="F462" s="3">
        <f>VLOOKUP($E462,AgronomyYieldData!H:N,7,FALSE)</f>
        <v>66</v>
      </c>
      <c r="G462" s="3">
        <f>VLOOKUP($E462,AgronomyYieldData!$H:O,3,FALSE)</f>
        <v>3</v>
      </c>
      <c r="H462" s="9">
        <v>75</v>
      </c>
      <c r="I462">
        <v>0.37030110831398899</v>
      </c>
      <c r="J462">
        <v>0.22655570559386401</v>
      </c>
      <c r="K462" s="7">
        <v>4.73406831015069E-3</v>
      </c>
      <c r="L462" s="7">
        <v>0.98584229154879499</v>
      </c>
      <c r="M462">
        <v>0.36117171080881599</v>
      </c>
      <c r="N462">
        <v>2.8613383588447601E-3</v>
      </c>
      <c r="O462">
        <v>9.3056265944980301E-2</v>
      </c>
      <c r="P462">
        <v>9.3336123640364304E-4</v>
      </c>
      <c r="Q462">
        <v>2792.5064173443302</v>
      </c>
      <c r="R462">
        <v>1610020.1248311</v>
      </c>
      <c r="S462">
        <v>16761.929814838801</v>
      </c>
      <c r="T462">
        <v>17068841.619444601</v>
      </c>
      <c r="U462" s="3">
        <v>1294</v>
      </c>
      <c r="V462">
        <v>0.58211955411753302</v>
      </c>
    </row>
    <row r="463" spans="1:22" x14ac:dyDescent="0.25">
      <c r="A463">
        <v>24101</v>
      </c>
      <c r="B463">
        <v>13</v>
      </c>
      <c r="C463">
        <v>6017</v>
      </c>
      <c r="D463">
        <v>6017</v>
      </c>
      <c r="E463" s="3">
        <f t="shared" si="7"/>
        <v>241016017</v>
      </c>
      <c r="F463" s="3">
        <f>VLOOKUP($E463,AgronomyYieldData!H:N,7,FALSE)</f>
        <v>77</v>
      </c>
      <c r="G463" s="3">
        <f>VLOOKUP($E463,AgronomyYieldData!$H:O,3,FALSE)</f>
        <v>3</v>
      </c>
      <c r="H463" s="9">
        <v>101</v>
      </c>
      <c r="I463">
        <v>0.569852748862269</v>
      </c>
      <c r="J463">
        <v>0.23088324722217701</v>
      </c>
      <c r="K463" s="7">
        <v>5.7549372051457102E-3</v>
      </c>
      <c r="L463" s="7">
        <v>0.99997368559549504</v>
      </c>
      <c r="M463">
        <v>0.36549517001439902</v>
      </c>
      <c r="N463">
        <v>3.5910946899788401E-3</v>
      </c>
      <c r="O463">
        <v>9.3056265944980301E-2</v>
      </c>
      <c r="P463">
        <v>9.3336123640364304E-4</v>
      </c>
      <c r="Q463">
        <v>2646.8979663246901</v>
      </c>
      <c r="R463">
        <v>1807018.6704994701</v>
      </c>
      <c r="S463">
        <v>16782.337498549801</v>
      </c>
      <c r="T463">
        <v>19326367.148447499</v>
      </c>
      <c r="U463" s="3">
        <v>2793</v>
      </c>
      <c r="V463">
        <v>0.99521659679673202</v>
      </c>
    </row>
    <row r="464" spans="1:22" x14ac:dyDescent="0.25">
      <c r="A464">
        <v>24101</v>
      </c>
      <c r="B464">
        <v>13</v>
      </c>
      <c r="C464">
        <v>6018</v>
      </c>
      <c r="D464">
        <v>6018</v>
      </c>
      <c r="E464" s="3">
        <f t="shared" si="7"/>
        <v>241016018</v>
      </c>
      <c r="F464" s="3">
        <f>VLOOKUP($E464,AgronomyYieldData!H:N,7,FALSE)</f>
        <v>48</v>
      </c>
      <c r="G464" s="3">
        <f>VLOOKUP($E464,AgronomyYieldData!$H:O,3,FALSE)</f>
        <v>3</v>
      </c>
      <c r="H464" s="9">
        <v>60</v>
      </c>
      <c r="I464">
        <v>0.426803193471821</v>
      </c>
      <c r="J464">
        <v>0.21158526120052901</v>
      </c>
      <c r="K464" s="7">
        <v>2.81518664117727E-3</v>
      </c>
      <c r="L464" s="7">
        <v>0.95563157894736805</v>
      </c>
      <c r="M464">
        <v>0.35060138819868603</v>
      </c>
      <c r="N464">
        <v>2.51580597392515E-3</v>
      </c>
      <c r="O464">
        <v>9.3056265944980301E-2</v>
      </c>
      <c r="P464">
        <v>9.3336123640364304E-4</v>
      </c>
      <c r="Q464">
        <v>2562.88060913137</v>
      </c>
      <c r="R464">
        <v>1364508.51810577</v>
      </c>
      <c r="S464">
        <v>17194.948587717899</v>
      </c>
      <c r="T464">
        <v>16211351.2409114</v>
      </c>
      <c r="U464" s="3">
        <v>2911</v>
      </c>
      <c r="V464">
        <v>0.96050693869653503</v>
      </c>
    </row>
    <row r="465" spans="1:22" x14ac:dyDescent="0.25">
      <c r="A465">
        <v>24101</v>
      </c>
      <c r="B465">
        <v>13</v>
      </c>
      <c r="C465">
        <v>6019</v>
      </c>
      <c r="D465">
        <v>6019</v>
      </c>
      <c r="E465" s="3">
        <f t="shared" si="7"/>
        <v>241016019</v>
      </c>
      <c r="F465" s="3">
        <f>VLOOKUP($E465,AgronomyYieldData!H:N,7,FALSE)</f>
        <v>7</v>
      </c>
      <c r="G465" s="3">
        <f>VLOOKUP($E465,AgronomyYieldData!$H:O,3,FALSE)</f>
        <v>4</v>
      </c>
      <c r="H465" s="9">
        <v>31</v>
      </c>
      <c r="I465">
        <v>0.324486734703267</v>
      </c>
      <c r="J465">
        <v>0.21159937251066499</v>
      </c>
      <c r="K465" s="7">
        <v>2.0804696183129201E-3</v>
      </c>
      <c r="L465" s="7">
        <v>0.88712962962963005</v>
      </c>
      <c r="M465">
        <v>0.34947980759634401</v>
      </c>
      <c r="N465">
        <v>2.45734469728498E-3</v>
      </c>
      <c r="O465">
        <v>9.3056265944980301E-2</v>
      </c>
      <c r="P465">
        <v>9.3336123640364304E-4</v>
      </c>
      <c r="Q465">
        <v>2324.9121039308998</v>
      </c>
      <c r="R465">
        <v>1115944.1086941999</v>
      </c>
      <c r="S465">
        <v>16997.3664855233</v>
      </c>
      <c r="T465">
        <v>16214035.3829052</v>
      </c>
      <c r="U465" s="3">
        <v>1326</v>
      </c>
      <c r="V465">
        <v>0.908607478120106</v>
      </c>
    </row>
    <row r="466" spans="1:22" x14ac:dyDescent="0.25">
      <c r="A466">
        <v>24101</v>
      </c>
      <c r="B466">
        <v>13</v>
      </c>
      <c r="C466">
        <v>6020</v>
      </c>
      <c r="D466">
        <v>6020</v>
      </c>
      <c r="E466" s="3">
        <f t="shared" si="7"/>
        <v>241016020</v>
      </c>
      <c r="F466" s="3">
        <f>VLOOKUP($E466,AgronomyYieldData!H:N,7,FALSE)</f>
        <v>24</v>
      </c>
      <c r="G466" s="3">
        <f>VLOOKUP($E466,AgronomyYieldData!$H:O,3,FALSE)</f>
        <v>4</v>
      </c>
      <c r="H466" s="9">
        <v>56</v>
      </c>
      <c r="I466">
        <v>0.496567463604071</v>
      </c>
      <c r="J466">
        <v>0.22630553239287299</v>
      </c>
      <c r="K466" s="7">
        <v>3.00739214492009E-3</v>
      </c>
      <c r="L466" s="7">
        <v>1</v>
      </c>
      <c r="M466">
        <v>0.35557709751310801</v>
      </c>
      <c r="N466">
        <v>2.59689629857441E-3</v>
      </c>
      <c r="O466">
        <v>9.3056265944980301E-2</v>
      </c>
      <c r="P466">
        <v>9.3336123640364304E-4</v>
      </c>
      <c r="Q466">
        <v>2318.3255424558502</v>
      </c>
      <c r="R466">
        <v>1585205.9745113801</v>
      </c>
      <c r="S466">
        <v>16305.67459224</v>
      </c>
      <c r="T466">
        <v>17424294.606550299</v>
      </c>
      <c r="U466" s="3">
        <v>610</v>
      </c>
      <c r="V466">
        <v>0.28960128291439402</v>
      </c>
    </row>
    <row r="467" spans="1:22" x14ac:dyDescent="0.25">
      <c r="A467">
        <v>24101</v>
      </c>
      <c r="B467">
        <v>13</v>
      </c>
      <c r="C467">
        <v>6022</v>
      </c>
      <c r="D467">
        <v>6022</v>
      </c>
      <c r="E467" s="3">
        <f t="shared" ref="E467:E530" si="8">$A467*10000+$C467</f>
        <v>241016022</v>
      </c>
      <c r="F467" s="3">
        <f>VLOOKUP($E467,AgronomyYieldData!H:N,7,FALSE)</f>
        <v>76</v>
      </c>
      <c r="G467" s="3">
        <f>VLOOKUP($E467,AgronomyYieldData!$H:O,3,FALSE)</f>
        <v>4</v>
      </c>
      <c r="H467" s="9">
        <v>87</v>
      </c>
      <c r="I467">
        <v>0.36241957420097298</v>
      </c>
      <c r="J467">
        <v>0.25040999713155299</v>
      </c>
      <c r="K467" s="7">
        <v>5.0683436899706998E-3</v>
      </c>
      <c r="L467" s="7">
        <v>0.99394736842105302</v>
      </c>
      <c r="M467">
        <v>0.371953958862968</v>
      </c>
      <c r="N467">
        <v>2.9985885639441999E-3</v>
      </c>
      <c r="O467">
        <v>9.3056265944980301E-2</v>
      </c>
      <c r="P467">
        <v>9.3336123640364304E-4</v>
      </c>
      <c r="Q467">
        <v>2559.6140355788202</v>
      </c>
      <c r="R467">
        <v>2808462.5395138199</v>
      </c>
      <c r="S467">
        <v>16633.887798465901</v>
      </c>
      <c r="T467">
        <v>18126111.415396001</v>
      </c>
      <c r="U467" s="3">
        <v>2398</v>
      </c>
      <c r="V467">
        <v>0.93213443047635403</v>
      </c>
    </row>
    <row r="468" spans="1:22" x14ac:dyDescent="0.25">
      <c r="A468">
        <v>24101</v>
      </c>
      <c r="B468">
        <v>13</v>
      </c>
      <c r="C468">
        <v>6023</v>
      </c>
      <c r="D468">
        <v>6023</v>
      </c>
      <c r="E468" s="3">
        <f t="shared" si="8"/>
        <v>241016023</v>
      </c>
      <c r="F468" s="3">
        <f>VLOOKUP($E468,AgronomyYieldData!H:N,7,FALSE)</f>
        <v>64</v>
      </c>
      <c r="G468" s="3">
        <f>VLOOKUP($E468,AgronomyYieldData!$H:O,3,FALSE)</f>
        <v>4</v>
      </c>
      <c r="H468" s="9">
        <v>97</v>
      </c>
      <c r="I468">
        <v>0.38955765521299901</v>
      </c>
      <c r="J468">
        <v>0.251148805839635</v>
      </c>
      <c r="K468" s="7">
        <v>2.99993438077985E-3</v>
      </c>
      <c r="L468" s="7">
        <v>0.98946052631578996</v>
      </c>
      <c r="M468">
        <v>0.37801769678962199</v>
      </c>
      <c r="N468">
        <v>2.7106430507406799E-3</v>
      </c>
      <c r="O468">
        <v>9.3056265944980301E-2</v>
      </c>
      <c r="P468">
        <v>9.3336123640364304E-4</v>
      </c>
      <c r="Q468">
        <v>2268.73280893529</v>
      </c>
      <c r="R468">
        <v>1523851.6878150699</v>
      </c>
      <c r="S468">
        <v>16283.105441808801</v>
      </c>
      <c r="T468">
        <v>17339792.561317701</v>
      </c>
      <c r="U468" s="3">
        <v>502</v>
      </c>
      <c r="V468">
        <v>0.88737443499105095</v>
      </c>
    </row>
    <row r="469" spans="1:22" x14ac:dyDescent="0.25">
      <c r="A469">
        <v>24101</v>
      </c>
      <c r="B469">
        <v>13</v>
      </c>
      <c r="C469">
        <v>6024</v>
      </c>
      <c r="D469">
        <v>6024</v>
      </c>
      <c r="E469" s="3">
        <f t="shared" si="8"/>
        <v>241016024</v>
      </c>
      <c r="F469" s="3">
        <f>VLOOKUP($E469,AgronomyYieldData!H:N,7,FALSE)</f>
        <v>56</v>
      </c>
      <c r="G469" s="3">
        <f>VLOOKUP($E469,AgronomyYieldData!$H:O,3,FALSE)</f>
        <v>4</v>
      </c>
      <c r="H469" s="9">
        <v>81</v>
      </c>
      <c r="I469">
        <v>0.37749617482051001</v>
      </c>
      <c r="J469">
        <v>0.25626736459188199</v>
      </c>
      <c r="K469" s="7">
        <v>3.93901744338026E-3</v>
      </c>
      <c r="L469" s="7">
        <v>0.95157894736842097</v>
      </c>
      <c r="M469">
        <v>0.38264062353933498</v>
      </c>
      <c r="N469">
        <v>2.99534666905501E-3</v>
      </c>
      <c r="O469">
        <v>9.3056265944980301E-2</v>
      </c>
      <c r="P469">
        <v>9.3336123640364304E-4</v>
      </c>
      <c r="Q469">
        <v>2425.1358158609301</v>
      </c>
      <c r="R469">
        <v>1417932.4866418</v>
      </c>
      <c r="S469">
        <v>16004.080811263701</v>
      </c>
      <c r="T469">
        <v>18425346.6183093</v>
      </c>
      <c r="U469" s="3">
        <v>441</v>
      </c>
      <c r="V469">
        <v>0.45074464826051602</v>
      </c>
    </row>
    <row r="470" spans="1:22" x14ac:dyDescent="0.25">
      <c r="A470">
        <v>24101</v>
      </c>
      <c r="B470">
        <v>13</v>
      </c>
      <c r="C470">
        <v>7002</v>
      </c>
      <c r="D470">
        <v>7002</v>
      </c>
      <c r="E470" s="3">
        <f t="shared" si="8"/>
        <v>241017002</v>
      </c>
      <c r="F470" s="3">
        <f>VLOOKUP($E470,AgronomyYieldData!H:N,7,FALSE)</f>
        <v>88</v>
      </c>
      <c r="G470" s="3">
        <f>VLOOKUP($E470,AgronomyYieldData!$H:O,3,FALSE)</f>
        <v>1</v>
      </c>
      <c r="H470" s="9">
        <v>80</v>
      </c>
      <c r="I470">
        <v>0.42265944786639897</v>
      </c>
      <c r="J470">
        <v>0.224993419203731</v>
      </c>
      <c r="K470" s="7">
        <v>3.8035963161394499E-3</v>
      </c>
      <c r="L470" s="7">
        <v>0.92990789473684199</v>
      </c>
      <c r="M470">
        <v>0.35188574630966302</v>
      </c>
      <c r="N470">
        <v>3.0045618251979202E-3</v>
      </c>
      <c r="O470">
        <v>9.3056265944980301E-2</v>
      </c>
      <c r="P470">
        <v>9.3336123640364304E-4</v>
      </c>
      <c r="Q470">
        <v>2791.89886138579</v>
      </c>
      <c r="R470">
        <v>1856144.7268539499</v>
      </c>
      <c r="S470">
        <v>16750.387669642099</v>
      </c>
      <c r="T470">
        <v>16624756.8907384</v>
      </c>
      <c r="U470" s="3">
        <v>2569</v>
      </c>
      <c r="V470">
        <v>0.86863914866172198</v>
      </c>
    </row>
    <row r="471" spans="1:22" x14ac:dyDescent="0.25">
      <c r="A471">
        <v>24101</v>
      </c>
      <c r="B471">
        <v>13</v>
      </c>
      <c r="C471">
        <v>7003</v>
      </c>
      <c r="D471">
        <v>7003</v>
      </c>
      <c r="E471" s="3">
        <f t="shared" si="8"/>
        <v>241017003</v>
      </c>
      <c r="F471" s="3">
        <f>VLOOKUP($E471,AgronomyYieldData!H:N,7,FALSE)</f>
        <v>54</v>
      </c>
      <c r="G471" s="3">
        <f>VLOOKUP($E471,AgronomyYieldData!$H:O,3,FALSE)</f>
        <v>1</v>
      </c>
      <c r="H471" s="9">
        <v>69</v>
      </c>
      <c r="I471">
        <v>0.33355782811110501</v>
      </c>
      <c r="J471">
        <v>0.23171099806769299</v>
      </c>
      <c r="K471" s="7">
        <v>3.8565638030786998E-3</v>
      </c>
      <c r="L471" s="7">
        <v>0.98967132443883099</v>
      </c>
      <c r="M471">
        <v>0.36119748846542599</v>
      </c>
      <c r="N471">
        <v>2.9632964347192699E-3</v>
      </c>
      <c r="O471">
        <v>9.3056265944980301E-2</v>
      </c>
      <c r="P471">
        <v>9.3336123640364304E-4</v>
      </c>
      <c r="Q471">
        <v>2764.4324373499799</v>
      </c>
      <c r="R471">
        <v>2329744.4550268101</v>
      </c>
      <c r="S471">
        <v>16810.5413778086</v>
      </c>
      <c r="T471">
        <v>17214228.382116899</v>
      </c>
      <c r="U471" s="3">
        <v>705</v>
      </c>
      <c r="V471">
        <v>0.327301164153113</v>
      </c>
    </row>
    <row r="472" spans="1:22" x14ac:dyDescent="0.25">
      <c r="A472">
        <v>24101</v>
      </c>
      <c r="B472">
        <v>13</v>
      </c>
      <c r="C472">
        <v>7004</v>
      </c>
      <c r="D472">
        <v>7004</v>
      </c>
      <c r="E472" s="3">
        <f t="shared" si="8"/>
        <v>241017004</v>
      </c>
      <c r="F472" s="3">
        <f>VLOOKUP($E472,AgronomyYieldData!H:N,7,FALSE)</f>
        <v>39</v>
      </c>
      <c r="G472" s="3">
        <f>VLOOKUP($E472,AgronomyYieldData!$H:O,3,FALSE)</f>
        <v>1</v>
      </c>
      <c r="H472" s="9">
        <v>63</v>
      </c>
      <c r="I472">
        <v>0.60827313302351205</v>
      </c>
      <c r="J472">
        <v>0.234247318105095</v>
      </c>
      <c r="K472" s="7">
        <v>5.6627158690716996E-3</v>
      </c>
      <c r="L472" s="7">
        <v>0.96777837447454695</v>
      </c>
      <c r="M472">
        <v>0.356100632858324</v>
      </c>
      <c r="N472">
        <v>3.1595106906389201E-3</v>
      </c>
      <c r="O472">
        <v>9.3056265944980301E-2</v>
      </c>
      <c r="P472">
        <v>9.3336123640364304E-4</v>
      </c>
      <c r="Q472">
        <v>2865.1413769329301</v>
      </c>
      <c r="R472">
        <v>2889643.9659674</v>
      </c>
      <c r="S472">
        <v>16264.2039438263</v>
      </c>
      <c r="T472">
        <v>18243754.737572499</v>
      </c>
      <c r="U472" s="3">
        <v>700</v>
      </c>
      <c r="V472">
        <v>0.410854765506807</v>
      </c>
    </row>
    <row r="473" spans="1:22" x14ac:dyDescent="0.25">
      <c r="A473">
        <v>24101</v>
      </c>
      <c r="B473">
        <v>13</v>
      </c>
      <c r="C473">
        <v>7005</v>
      </c>
      <c r="D473">
        <v>7005</v>
      </c>
      <c r="E473" s="3">
        <f t="shared" si="8"/>
        <v>241017005</v>
      </c>
      <c r="F473" s="3">
        <f>VLOOKUP($E473,AgronomyYieldData!H:N,7,FALSE)</f>
        <v>13</v>
      </c>
      <c r="G473" s="3">
        <f>VLOOKUP($E473,AgronomyYieldData!$H:O,3,FALSE)</f>
        <v>1</v>
      </c>
      <c r="H473" s="9">
        <v>35</v>
      </c>
      <c r="I473">
        <v>0.35723816798107899</v>
      </c>
      <c r="J473">
        <v>0.217300146624264</v>
      </c>
      <c r="K473" s="7">
        <v>2.2032491916505201E-3</v>
      </c>
      <c r="L473" s="7">
        <v>0.93288764606751995</v>
      </c>
      <c r="M473">
        <v>0.34378481285991203</v>
      </c>
      <c r="N473">
        <v>2.2949064602243198E-3</v>
      </c>
      <c r="O473">
        <v>9.3056265944980301E-2</v>
      </c>
      <c r="P473">
        <v>9.3336123640364304E-4</v>
      </c>
      <c r="Q473">
        <v>2624.5203096682699</v>
      </c>
      <c r="R473">
        <v>1323450.72157556</v>
      </c>
      <c r="S473">
        <v>16796.0141230222</v>
      </c>
      <c r="T473">
        <v>15726107.920138</v>
      </c>
      <c r="U473" s="3">
        <v>1669</v>
      </c>
      <c r="V473">
        <v>0.93587794343461805</v>
      </c>
    </row>
    <row r="474" spans="1:22" x14ac:dyDescent="0.25">
      <c r="A474">
        <v>24101</v>
      </c>
      <c r="B474">
        <v>13</v>
      </c>
      <c r="C474">
        <v>7006</v>
      </c>
      <c r="D474">
        <v>7006</v>
      </c>
      <c r="E474" s="3">
        <f t="shared" si="8"/>
        <v>241017006</v>
      </c>
      <c r="F474" s="3">
        <f>VLOOKUP($E474,AgronomyYieldData!H:N,7,FALSE)</f>
        <v>17</v>
      </c>
      <c r="G474" s="3">
        <f>VLOOKUP($E474,AgronomyYieldData!$H:O,3,FALSE)</f>
        <v>1</v>
      </c>
      <c r="H474" s="9">
        <v>71</v>
      </c>
      <c r="I474">
        <v>0.51780242028251899</v>
      </c>
      <c r="J474">
        <v>0.223201954693412</v>
      </c>
      <c r="K474" s="7">
        <v>3.5505936461770501E-3</v>
      </c>
      <c r="L474" s="7">
        <v>0.98885185185185198</v>
      </c>
      <c r="M474">
        <v>0.347524481657558</v>
      </c>
      <c r="N474">
        <v>3.0445254198936001E-3</v>
      </c>
      <c r="O474">
        <v>9.3056265944980301E-2</v>
      </c>
      <c r="P474">
        <v>9.3336123640364304E-4</v>
      </c>
      <c r="Q474">
        <v>2649.9653307856702</v>
      </c>
      <c r="R474">
        <v>1551601.77015853</v>
      </c>
      <c r="S474">
        <v>16676.4536234142</v>
      </c>
      <c r="T474">
        <v>17848856.695725799</v>
      </c>
      <c r="U474" s="3">
        <v>2485</v>
      </c>
      <c r="V474">
        <v>0.99165658093797204</v>
      </c>
    </row>
    <row r="475" spans="1:22" x14ac:dyDescent="0.25">
      <c r="A475">
        <v>24101</v>
      </c>
      <c r="B475">
        <v>13</v>
      </c>
      <c r="C475">
        <v>7007</v>
      </c>
      <c r="D475">
        <v>7007</v>
      </c>
      <c r="E475" s="3">
        <f t="shared" si="8"/>
        <v>241017007</v>
      </c>
      <c r="F475" s="3">
        <f>VLOOKUP($E475,AgronomyYieldData!H:N,7,FALSE)</f>
        <v>14</v>
      </c>
      <c r="G475" s="3">
        <f>VLOOKUP($E475,AgronomyYieldData!$H:O,3,FALSE)</f>
        <v>2</v>
      </c>
      <c r="H475" s="9">
        <v>47</v>
      </c>
      <c r="I475">
        <v>0.53426649365469303</v>
      </c>
      <c r="J475">
        <v>0.22132912988533601</v>
      </c>
      <c r="K475" s="7">
        <v>3.2499989633269998E-3</v>
      </c>
      <c r="L475" s="7">
        <v>0.99031463545621201</v>
      </c>
      <c r="M475">
        <v>0.33733079615277001</v>
      </c>
      <c r="N475">
        <v>2.37506748815026E-3</v>
      </c>
      <c r="O475">
        <v>9.3056265944980301E-2</v>
      </c>
      <c r="P475">
        <v>9.3336123640364304E-4</v>
      </c>
      <c r="Q475">
        <v>2748.5476903378299</v>
      </c>
      <c r="R475">
        <v>1781263.64063414</v>
      </c>
      <c r="S475">
        <v>16432.6447600293</v>
      </c>
      <c r="T475">
        <v>14101836.996407799</v>
      </c>
      <c r="U475" s="3">
        <v>2037</v>
      </c>
      <c r="V475">
        <v>0.89800225417741397</v>
      </c>
    </row>
    <row r="476" spans="1:22" x14ac:dyDescent="0.25">
      <c r="A476">
        <v>24101</v>
      </c>
      <c r="B476">
        <v>13</v>
      </c>
      <c r="C476">
        <v>7008</v>
      </c>
      <c r="D476">
        <v>7008</v>
      </c>
      <c r="E476" s="3">
        <f t="shared" si="8"/>
        <v>241017008</v>
      </c>
      <c r="F476" s="3">
        <f>VLOOKUP($E476,AgronomyYieldData!H:N,7,FALSE)</f>
        <v>35</v>
      </c>
      <c r="G476" s="3">
        <f>VLOOKUP($E476,AgronomyYieldData!$H:O,3,FALSE)</f>
        <v>2</v>
      </c>
      <c r="H476" s="9">
        <v>111</v>
      </c>
      <c r="I476">
        <v>0.49821929784199098</v>
      </c>
      <c r="J476">
        <v>0.22918190091480001</v>
      </c>
      <c r="K476" s="7">
        <v>5.3039167516865902E-3</v>
      </c>
      <c r="L476" s="7">
        <v>1</v>
      </c>
      <c r="M476">
        <v>0.34308589790141197</v>
      </c>
      <c r="N476">
        <v>3.5191541460044798E-3</v>
      </c>
      <c r="O476">
        <v>9.3056265944980301E-2</v>
      </c>
      <c r="P476">
        <v>9.3336123640364304E-4</v>
      </c>
      <c r="Q476">
        <v>2859.0440165468299</v>
      </c>
      <c r="R476">
        <v>1293345.29487134</v>
      </c>
      <c r="S476">
        <v>16168.8458572164</v>
      </c>
      <c r="T476">
        <v>15768861.3245444</v>
      </c>
      <c r="U476" s="3">
        <v>2113</v>
      </c>
      <c r="V476">
        <v>0.87459719511641598</v>
      </c>
    </row>
    <row r="477" spans="1:22" x14ac:dyDescent="0.25">
      <c r="A477">
        <v>24101</v>
      </c>
      <c r="B477">
        <v>13</v>
      </c>
      <c r="C477">
        <v>7009</v>
      </c>
      <c r="D477">
        <v>7009</v>
      </c>
      <c r="E477" s="3">
        <f t="shared" si="8"/>
        <v>241017009</v>
      </c>
      <c r="F477" s="3">
        <f>VLOOKUP($E477,AgronomyYieldData!H:N,7,FALSE)</f>
        <v>18</v>
      </c>
      <c r="G477" s="3">
        <f>VLOOKUP($E477,AgronomyYieldData!$H:O,3,FALSE)</f>
        <v>2</v>
      </c>
      <c r="H477" s="9">
        <v>71</v>
      </c>
      <c r="I477">
        <v>0.62615145352314805</v>
      </c>
      <c r="J477">
        <v>0.22664522425467201</v>
      </c>
      <c r="K477" s="7">
        <v>4.1300981264904097E-3</v>
      </c>
      <c r="L477" s="7">
        <v>1</v>
      </c>
      <c r="M477">
        <v>0.343610793036213</v>
      </c>
      <c r="N477">
        <v>3.07934171735887E-3</v>
      </c>
      <c r="O477">
        <v>9.3056265944980301E-2</v>
      </c>
      <c r="P477">
        <v>9.3336123640364304E-4</v>
      </c>
      <c r="Q477">
        <v>2613.6580912045702</v>
      </c>
      <c r="R477">
        <v>1354721.27202775</v>
      </c>
      <c r="S477">
        <v>16494.074631242602</v>
      </c>
      <c r="T477">
        <v>17554691.757476401</v>
      </c>
      <c r="U477" s="3">
        <v>2726</v>
      </c>
      <c r="V477">
        <v>0.95380449171324999</v>
      </c>
    </row>
    <row r="478" spans="1:22" x14ac:dyDescent="0.25">
      <c r="A478">
        <v>24101</v>
      </c>
      <c r="B478">
        <v>13</v>
      </c>
      <c r="C478">
        <v>7010</v>
      </c>
      <c r="D478">
        <v>7010</v>
      </c>
      <c r="E478" s="3">
        <f t="shared" si="8"/>
        <v>241017010</v>
      </c>
      <c r="F478" s="3">
        <f>VLOOKUP($E478,AgronomyYieldData!H:N,7,FALSE)</f>
        <v>74</v>
      </c>
      <c r="G478" s="3">
        <f>VLOOKUP($E478,AgronomyYieldData!$H:O,3,FALSE)</f>
        <v>2</v>
      </c>
      <c r="H478" s="9">
        <v>75</v>
      </c>
      <c r="I478">
        <v>0.454114493085297</v>
      </c>
      <c r="J478">
        <v>0.23031163965101301</v>
      </c>
      <c r="K478" s="7">
        <v>4.4927006574004801E-3</v>
      </c>
      <c r="L478" s="7">
        <v>0.99047380955513697</v>
      </c>
      <c r="M478">
        <v>0.34261245663666401</v>
      </c>
      <c r="N478">
        <v>2.90881554518428E-3</v>
      </c>
      <c r="O478">
        <v>9.3056265944980301E-2</v>
      </c>
      <c r="P478">
        <v>9.3336123640364304E-4</v>
      </c>
      <c r="Q478">
        <v>2835.24500850287</v>
      </c>
      <c r="R478">
        <v>2613383.6611748701</v>
      </c>
      <c r="S478">
        <v>16513.3571072704</v>
      </c>
      <c r="T478">
        <v>18379166.480671901</v>
      </c>
      <c r="U478" s="3">
        <v>2042</v>
      </c>
      <c r="V478">
        <v>0.76905299365795898</v>
      </c>
    </row>
    <row r="479" spans="1:22" x14ac:dyDescent="0.25">
      <c r="A479">
        <v>24101</v>
      </c>
      <c r="B479">
        <v>13</v>
      </c>
      <c r="C479">
        <v>7011</v>
      </c>
      <c r="D479">
        <v>7011</v>
      </c>
      <c r="E479" s="3">
        <f t="shared" si="8"/>
        <v>241017011</v>
      </c>
      <c r="F479" s="3">
        <f>VLOOKUP($E479,AgronomyYieldData!H:N,7,FALSE)</f>
        <v>50</v>
      </c>
      <c r="G479" s="3">
        <f>VLOOKUP($E479,AgronomyYieldData!$H:O,3,FALSE)</f>
        <v>2</v>
      </c>
      <c r="H479" s="9">
        <v>93</v>
      </c>
      <c r="I479">
        <v>0.42758783028305702</v>
      </c>
      <c r="J479">
        <v>0.22669374101972301</v>
      </c>
      <c r="K479" s="7">
        <v>3.0949151640655599E-3</v>
      </c>
      <c r="L479" s="7">
        <v>0.99681570567646505</v>
      </c>
      <c r="M479">
        <v>0.34613860676406799</v>
      </c>
      <c r="N479">
        <v>2.72414439724717E-3</v>
      </c>
      <c r="O479">
        <v>9.3056265944980301E-2</v>
      </c>
      <c r="P479">
        <v>9.3336123640364304E-4</v>
      </c>
      <c r="Q479">
        <v>2626.97009650578</v>
      </c>
      <c r="R479">
        <v>1471817.9694682001</v>
      </c>
      <c r="S479">
        <v>16891.593480085801</v>
      </c>
      <c r="T479">
        <v>15385320.732942199</v>
      </c>
      <c r="U479" s="3">
        <v>2345</v>
      </c>
      <c r="V479">
        <v>0.92148769214231896</v>
      </c>
    </row>
    <row r="480" spans="1:22" x14ac:dyDescent="0.25">
      <c r="A480">
        <v>24101</v>
      </c>
      <c r="B480">
        <v>13</v>
      </c>
      <c r="C480">
        <v>7012</v>
      </c>
      <c r="D480">
        <v>7012</v>
      </c>
      <c r="E480" s="3">
        <f t="shared" si="8"/>
        <v>241017012</v>
      </c>
      <c r="F480" s="3">
        <f>VLOOKUP($E480,AgronomyYieldData!H:N,7,FALSE)</f>
        <v>77</v>
      </c>
      <c r="G480" s="3">
        <f>VLOOKUP($E480,AgronomyYieldData!$H:O,3,FALSE)</f>
        <v>2</v>
      </c>
      <c r="H480" s="9">
        <v>118</v>
      </c>
      <c r="I480">
        <v>0.53466201106359601</v>
      </c>
      <c r="J480">
        <v>0.24352221588061701</v>
      </c>
      <c r="K480" s="7">
        <v>6.1182008732235896E-3</v>
      </c>
      <c r="L480" s="7">
        <v>0.99998684227839096</v>
      </c>
      <c r="M480">
        <v>0.36488994844767197</v>
      </c>
      <c r="N480">
        <v>3.9217295337918697E-3</v>
      </c>
      <c r="O480">
        <v>9.3056265944980301E-2</v>
      </c>
      <c r="P480">
        <v>9.3336123640364304E-4</v>
      </c>
      <c r="Q480">
        <v>2699.1607124112102</v>
      </c>
      <c r="R480">
        <v>1651148.40092542</v>
      </c>
      <c r="S480">
        <v>16449.925600772</v>
      </c>
      <c r="T480">
        <v>19389058.418091901</v>
      </c>
      <c r="U480" s="3">
        <v>3133</v>
      </c>
      <c r="V480">
        <v>0.98536485738394797</v>
      </c>
    </row>
    <row r="481" spans="1:22" x14ac:dyDescent="0.25">
      <c r="A481">
        <v>24101</v>
      </c>
      <c r="B481">
        <v>13</v>
      </c>
      <c r="C481">
        <v>7013</v>
      </c>
      <c r="D481">
        <v>7013</v>
      </c>
      <c r="E481" s="3">
        <f t="shared" si="8"/>
        <v>241017013</v>
      </c>
      <c r="F481" s="3">
        <f>VLOOKUP($E481,AgronomyYieldData!H:N,7,FALSE)</f>
        <v>34</v>
      </c>
      <c r="G481" s="3">
        <f>VLOOKUP($E481,AgronomyYieldData!$H:O,3,FALSE)</f>
        <v>3</v>
      </c>
      <c r="H481" s="9">
        <v>78</v>
      </c>
      <c r="I481">
        <v>0.78227580177610001</v>
      </c>
      <c r="J481">
        <v>0.24404395497878101</v>
      </c>
      <c r="K481" s="7">
        <v>5.4739616966924098E-3</v>
      </c>
      <c r="L481" s="7">
        <v>0.99874071742069304</v>
      </c>
      <c r="M481">
        <v>0.36546951674709599</v>
      </c>
      <c r="N481">
        <v>3.3775935449825499E-3</v>
      </c>
      <c r="O481">
        <v>9.3056265944980301E-2</v>
      </c>
      <c r="P481">
        <v>9.3336123640364304E-4</v>
      </c>
      <c r="Q481">
        <v>2881.05749096317</v>
      </c>
      <c r="R481">
        <v>2516717.5001765601</v>
      </c>
      <c r="S481">
        <v>16224.801973383201</v>
      </c>
      <c r="T481">
        <v>20950584.020392299</v>
      </c>
      <c r="U481" s="3">
        <v>1203</v>
      </c>
      <c r="V481">
        <v>0.98823004364566003</v>
      </c>
    </row>
    <row r="482" spans="1:22" x14ac:dyDescent="0.25">
      <c r="A482">
        <v>24101</v>
      </c>
      <c r="B482">
        <v>13</v>
      </c>
      <c r="C482">
        <v>7014</v>
      </c>
      <c r="D482">
        <v>7014</v>
      </c>
      <c r="E482" s="3">
        <f t="shared" si="8"/>
        <v>241017014</v>
      </c>
      <c r="F482" s="3">
        <f>VLOOKUP($E482,AgronomyYieldData!H:N,7,FALSE)</f>
        <v>13</v>
      </c>
      <c r="G482" s="3">
        <f>VLOOKUP($E482,AgronomyYieldData!$H:O,3,FALSE)</f>
        <v>3</v>
      </c>
      <c r="H482" s="9">
        <v>33</v>
      </c>
      <c r="I482">
        <v>0.42218213943900401</v>
      </c>
      <c r="J482">
        <v>0.22722559935134201</v>
      </c>
      <c r="K482" s="7">
        <v>2.15363221190002E-3</v>
      </c>
      <c r="L482" s="7">
        <v>0.97559259259259301</v>
      </c>
      <c r="M482">
        <v>0.34529613332963699</v>
      </c>
      <c r="N482">
        <v>2.2356253436609502E-3</v>
      </c>
      <c r="O482">
        <v>9.3056265944980301E-2</v>
      </c>
      <c r="P482">
        <v>9.3336123640364304E-4</v>
      </c>
      <c r="Q482">
        <v>2828.8528287763002</v>
      </c>
      <c r="R482">
        <v>1384189.29496268</v>
      </c>
      <c r="S482">
        <v>16782.431031357901</v>
      </c>
      <c r="T482">
        <v>15416186.6900796</v>
      </c>
      <c r="U482" s="3">
        <v>1717</v>
      </c>
      <c r="V482">
        <v>0.885589149690996</v>
      </c>
    </row>
    <row r="483" spans="1:22" x14ac:dyDescent="0.25">
      <c r="A483">
        <v>24101</v>
      </c>
      <c r="B483">
        <v>13</v>
      </c>
      <c r="C483">
        <v>7015</v>
      </c>
      <c r="D483">
        <v>7015</v>
      </c>
      <c r="E483" s="3">
        <f t="shared" si="8"/>
        <v>241017015</v>
      </c>
      <c r="F483" s="3">
        <f>VLOOKUP($E483,AgronomyYieldData!H:N,7,FALSE)</f>
        <v>28</v>
      </c>
      <c r="G483" s="3">
        <f>VLOOKUP($E483,AgronomyYieldData!$H:O,3,FALSE)</f>
        <v>3</v>
      </c>
      <c r="H483" s="9">
        <v>41</v>
      </c>
      <c r="I483">
        <v>0.29191552017668898</v>
      </c>
      <c r="J483">
        <v>0.22750107062088501</v>
      </c>
      <c r="K483" s="7">
        <v>2.4021737943984698E-3</v>
      </c>
      <c r="L483" s="7">
        <v>0.85207407407407398</v>
      </c>
      <c r="M483">
        <v>0.34877820755014999</v>
      </c>
      <c r="N483">
        <v>2.4842631266787699E-3</v>
      </c>
      <c r="O483">
        <v>9.8175988430529396E-2</v>
      </c>
      <c r="P483">
        <v>1.0032233712173801E-3</v>
      </c>
      <c r="Q483">
        <v>2735.5379940706598</v>
      </c>
      <c r="R483">
        <v>1833555.5305152701</v>
      </c>
      <c r="S483">
        <v>17091.411397031901</v>
      </c>
      <c r="T483">
        <v>17231127.167114399</v>
      </c>
      <c r="U483" s="3">
        <v>2064</v>
      </c>
      <c r="V483">
        <v>0.93689911574042495</v>
      </c>
    </row>
    <row r="484" spans="1:22" x14ac:dyDescent="0.25">
      <c r="A484">
        <v>24101</v>
      </c>
      <c r="B484">
        <v>13</v>
      </c>
      <c r="C484">
        <v>7016</v>
      </c>
      <c r="D484">
        <v>7016</v>
      </c>
      <c r="E484" s="3">
        <f t="shared" si="8"/>
        <v>241017016</v>
      </c>
      <c r="F484" s="3">
        <f>VLOOKUP($E484,AgronomyYieldData!H:N,7,FALSE)</f>
        <v>64</v>
      </c>
      <c r="G484" s="3">
        <f>VLOOKUP($E484,AgronomyYieldData!$H:O,3,FALSE)</f>
        <v>3</v>
      </c>
      <c r="H484" s="9">
        <v>86</v>
      </c>
      <c r="I484">
        <v>0.39897995880602799</v>
      </c>
      <c r="J484">
        <v>0.22705913123509899</v>
      </c>
      <c r="K484" s="7">
        <v>4.54758573671707E-3</v>
      </c>
      <c r="L484" s="7">
        <v>0.99536842105263201</v>
      </c>
      <c r="M484">
        <v>0.34409892156998501</v>
      </c>
      <c r="N484">
        <v>2.78646911331E-3</v>
      </c>
      <c r="O484">
        <v>9.8175988430529396E-2</v>
      </c>
      <c r="P484">
        <v>1.0032233712173801E-3</v>
      </c>
      <c r="Q484">
        <v>2812.1822679748602</v>
      </c>
      <c r="R484">
        <v>1934878.43667219</v>
      </c>
      <c r="S484">
        <v>16694.085511329002</v>
      </c>
      <c r="T484">
        <v>16221842.3913264</v>
      </c>
      <c r="U484" s="3">
        <v>1132</v>
      </c>
      <c r="V484">
        <v>0.95434781440295802</v>
      </c>
    </row>
    <row r="485" spans="1:22" x14ac:dyDescent="0.25">
      <c r="A485">
        <v>24101</v>
      </c>
      <c r="B485">
        <v>13</v>
      </c>
      <c r="C485">
        <v>7017</v>
      </c>
      <c r="D485">
        <v>7017</v>
      </c>
      <c r="E485" s="3">
        <f t="shared" si="8"/>
        <v>241017017</v>
      </c>
      <c r="F485" s="3">
        <f>VLOOKUP($E485,AgronomyYieldData!H:N,7,FALSE)</f>
        <v>82</v>
      </c>
      <c r="G485" s="3">
        <f>VLOOKUP($E485,AgronomyYieldData!$H:O,3,FALSE)</f>
        <v>3</v>
      </c>
      <c r="H485" s="9">
        <v>78</v>
      </c>
      <c r="I485">
        <v>0.51165831905739501</v>
      </c>
      <c r="J485">
        <v>0.22662991556515399</v>
      </c>
      <c r="K485" s="7">
        <v>3.6460026969370998E-3</v>
      </c>
      <c r="L485" s="7">
        <v>0.97338192918514199</v>
      </c>
      <c r="M485">
        <v>0.34998322029483298</v>
      </c>
      <c r="N485">
        <v>3.01094378290049E-3</v>
      </c>
      <c r="O485">
        <v>9.8175988430529396E-2</v>
      </c>
      <c r="P485">
        <v>1.0032233712173801E-3</v>
      </c>
      <c r="Q485">
        <v>2612.4950942656801</v>
      </c>
      <c r="R485">
        <v>1357467.7724751499</v>
      </c>
      <c r="S485">
        <v>16932.342559567602</v>
      </c>
      <c r="T485">
        <v>17422681.581379801</v>
      </c>
      <c r="U485" s="3">
        <v>1958</v>
      </c>
      <c r="V485">
        <v>0.96075996990218204</v>
      </c>
    </row>
    <row r="486" spans="1:22" x14ac:dyDescent="0.25">
      <c r="A486">
        <v>24101</v>
      </c>
      <c r="B486">
        <v>13</v>
      </c>
      <c r="C486">
        <v>7018</v>
      </c>
      <c r="D486">
        <v>7018</v>
      </c>
      <c r="E486" s="3">
        <f t="shared" si="8"/>
        <v>241017018</v>
      </c>
      <c r="F486" s="3">
        <f>VLOOKUP($E486,AgronomyYieldData!H:N,7,FALSE)</f>
        <v>55</v>
      </c>
      <c r="G486" s="3">
        <f>VLOOKUP($E486,AgronomyYieldData!$H:O,3,FALSE)</f>
        <v>3</v>
      </c>
      <c r="H486" s="9">
        <v>82</v>
      </c>
      <c r="I486">
        <v>0.47615996233718599</v>
      </c>
      <c r="J486">
        <v>0.22539441375757299</v>
      </c>
      <c r="K486" s="7">
        <v>3.6405642585151899E-3</v>
      </c>
      <c r="L486" s="7">
        <v>0.99340798147392795</v>
      </c>
      <c r="M486">
        <v>0.34514990774986998</v>
      </c>
      <c r="N486">
        <v>2.7232352572009598E-3</v>
      </c>
      <c r="O486">
        <v>9.8175988430529396E-2</v>
      </c>
      <c r="P486">
        <v>1.0032233712173801E-3</v>
      </c>
      <c r="Q486">
        <v>2597.2446428821399</v>
      </c>
      <c r="R486">
        <v>1749070.86707468</v>
      </c>
      <c r="S486">
        <v>16633.823813896499</v>
      </c>
      <c r="T486">
        <v>17765133.852329101</v>
      </c>
      <c r="U486" s="3">
        <v>686</v>
      </c>
      <c r="V486">
        <v>0.46881617560115602</v>
      </c>
    </row>
    <row r="487" spans="1:22" x14ac:dyDescent="0.25">
      <c r="A487">
        <v>24101</v>
      </c>
      <c r="B487">
        <v>13</v>
      </c>
      <c r="C487">
        <v>7020</v>
      </c>
      <c r="D487">
        <v>7020</v>
      </c>
      <c r="E487" s="3">
        <f t="shared" si="8"/>
        <v>241017020</v>
      </c>
      <c r="F487" s="3">
        <f>VLOOKUP($E487,AgronomyYieldData!H:N,7,FALSE)</f>
        <v>23</v>
      </c>
      <c r="G487" s="3">
        <f>VLOOKUP($E487,AgronomyYieldData!$H:O,3,FALSE)</f>
        <v>4</v>
      </c>
      <c r="H487" s="9">
        <v>62</v>
      </c>
      <c r="I487">
        <v>0.48635242582639998</v>
      </c>
      <c r="J487">
        <v>0.22205947539569801</v>
      </c>
      <c r="K487" s="7">
        <v>2.83901352581024E-3</v>
      </c>
      <c r="L487" s="7">
        <v>0.98383273454572395</v>
      </c>
      <c r="M487">
        <v>0.33658260760300801</v>
      </c>
      <c r="N487">
        <v>2.3291298972091899E-3</v>
      </c>
      <c r="O487">
        <v>9.6373351045459299E-2</v>
      </c>
      <c r="P487">
        <v>9.1612187112057898E-4</v>
      </c>
      <c r="Q487">
        <v>2385.4398022298401</v>
      </c>
      <c r="R487">
        <v>1425404.12483822</v>
      </c>
      <c r="S487">
        <v>16327.484497637801</v>
      </c>
      <c r="T487">
        <v>13679721.1310982</v>
      </c>
      <c r="U487" s="3">
        <v>1954</v>
      </c>
      <c r="V487">
        <v>0.96697428139182995</v>
      </c>
    </row>
    <row r="488" spans="1:22" x14ac:dyDescent="0.25">
      <c r="A488">
        <v>24101</v>
      </c>
      <c r="B488">
        <v>13</v>
      </c>
      <c r="C488">
        <v>7021</v>
      </c>
      <c r="D488">
        <v>7021</v>
      </c>
      <c r="E488" s="3">
        <f t="shared" si="8"/>
        <v>241017021</v>
      </c>
      <c r="F488" s="3">
        <f>VLOOKUP($E488,AgronomyYieldData!H:N,7,FALSE)</f>
        <v>33</v>
      </c>
      <c r="G488" s="3">
        <f>VLOOKUP($E488,AgronomyYieldData!$H:O,3,FALSE)</f>
        <v>4</v>
      </c>
      <c r="H488" s="9">
        <v>86</v>
      </c>
      <c r="I488">
        <v>0.57387775385124995</v>
      </c>
      <c r="J488">
        <v>0.241933313793706</v>
      </c>
      <c r="K488" s="7">
        <v>5.9379230279963903E-3</v>
      </c>
      <c r="L488" s="7">
        <v>1</v>
      </c>
      <c r="M488">
        <v>0.35645134727024302</v>
      </c>
      <c r="N488">
        <v>3.7526631790096299E-3</v>
      </c>
      <c r="O488">
        <v>9.6373351045459299E-2</v>
      </c>
      <c r="P488">
        <v>9.1612187112057898E-4</v>
      </c>
      <c r="Q488">
        <v>2406.3325289813001</v>
      </c>
      <c r="R488">
        <v>1245521.06536089</v>
      </c>
      <c r="S488">
        <v>15894.9138010399</v>
      </c>
      <c r="T488">
        <v>15530847.2269821</v>
      </c>
      <c r="U488" s="3">
        <v>2989</v>
      </c>
      <c r="V488">
        <v>0.97231488415367495</v>
      </c>
    </row>
    <row r="489" spans="1:22" x14ac:dyDescent="0.25">
      <c r="A489">
        <v>24101</v>
      </c>
      <c r="B489">
        <v>13</v>
      </c>
      <c r="C489">
        <v>7022</v>
      </c>
      <c r="D489">
        <v>7022</v>
      </c>
      <c r="E489" s="3">
        <f t="shared" si="8"/>
        <v>241017022</v>
      </c>
      <c r="F489" s="3">
        <f>VLOOKUP($E489,AgronomyYieldData!H:N,7,FALSE)</f>
        <v>79</v>
      </c>
      <c r="G489" s="3">
        <f>VLOOKUP($E489,AgronomyYieldData!$H:O,3,FALSE)</f>
        <v>4</v>
      </c>
      <c r="H489" s="9">
        <v>84</v>
      </c>
      <c r="I489">
        <v>0.38899023781033998</v>
      </c>
      <c r="J489">
        <v>0.247185329508878</v>
      </c>
      <c r="K489" s="7">
        <v>5.4054692777068796E-3</v>
      </c>
      <c r="L489" s="7">
        <v>0.99876314162028401</v>
      </c>
      <c r="M489">
        <v>0.36839226258776497</v>
      </c>
      <c r="N489">
        <v>3.2887235105980802E-3</v>
      </c>
      <c r="O489">
        <v>9.6373351045459299E-2</v>
      </c>
      <c r="P489">
        <v>9.1612187112057898E-4</v>
      </c>
      <c r="Q489">
        <v>2507.83109975856</v>
      </c>
      <c r="R489">
        <v>2127857.74136667</v>
      </c>
      <c r="S489">
        <v>16288.7096526528</v>
      </c>
      <c r="T489">
        <v>19766529.962939501</v>
      </c>
      <c r="U489" s="3">
        <v>1062</v>
      </c>
      <c r="V489">
        <v>0.98072664731806902</v>
      </c>
    </row>
    <row r="490" spans="1:22" x14ac:dyDescent="0.25">
      <c r="A490">
        <v>24101</v>
      </c>
      <c r="B490">
        <v>13</v>
      </c>
      <c r="C490">
        <v>7023</v>
      </c>
      <c r="D490">
        <v>7023</v>
      </c>
      <c r="E490" s="3">
        <f t="shared" si="8"/>
        <v>241017023</v>
      </c>
      <c r="F490" s="3">
        <f>VLOOKUP($E490,AgronomyYieldData!H:N,7,FALSE)</f>
        <v>66</v>
      </c>
      <c r="G490" s="3">
        <f>VLOOKUP($E490,AgronomyYieldData!$H:O,3,FALSE)</f>
        <v>4</v>
      </c>
      <c r="H490" s="9">
        <v>85</v>
      </c>
      <c r="I490">
        <v>0.38128771978004</v>
      </c>
      <c r="J490">
        <v>0.250847491595172</v>
      </c>
      <c r="K490" s="7">
        <v>4.7612033117943797E-3</v>
      </c>
      <c r="L490" s="7">
        <v>0.97086957093798898</v>
      </c>
      <c r="M490">
        <v>0.37546274165176602</v>
      </c>
      <c r="N490">
        <v>3.1088960371985401E-3</v>
      </c>
      <c r="O490">
        <v>9.6373351045459299E-2</v>
      </c>
      <c r="P490">
        <v>9.1612187112057898E-4</v>
      </c>
      <c r="Q490">
        <v>2319.6975422685</v>
      </c>
      <c r="R490">
        <v>1430121.8580070799</v>
      </c>
      <c r="S490">
        <v>16067.761560303799</v>
      </c>
      <c r="T490">
        <v>17062592.1298704</v>
      </c>
      <c r="U490" s="3">
        <v>835</v>
      </c>
      <c r="V490">
        <v>0.46139706870327402</v>
      </c>
    </row>
    <row r="491" spans="1:22" x14ac:dyDescent="0.25">
      <c r="A491">
        <v>24101</v>
      </c>
      <c r="B491">
        <v>13</v>
      </c>
      <c r="C491">
        <v>7024</v>
      </c>
      <c r="D491">
        <v>7024</v>
      </c>
      <c r="E491" s="3">
        <f t="shared" si="8"/>
        <v>241017024</v>
      </c>
      <c r="F491" s="3">
        <f>VLOOKUP($E491,AgronomyYieldData!H:N,7,FALSE)</f>
        <v>48</v>
      </c>
      <c r="G491" s="3">
        <f>VLOOKUP($E491,AgronomyYieldData!$H:O,3,FALSE)</f>
        <v>4</v>
      </c>
      <c r="H491" s="9">
        <v>81</v>
      </c>
      <c r="I491">
        <v>0.48289164819500802</v>
      </c>
      <c r="J491">
        <v>0.252951823078294</v>
      </c>
      <c r="K491" s="7">
        <v>3.8273636327249799E-3</v>
      </c>
      <c r="L491" s="7">
        <v>0.975737480592616</v>
      </c>
      <c r="M491">
        <v>0.37702544782840097</v>
      </c>
      <c r="N491">
        <v>2.6422687286858301E-3</v>
      </c>
      <c r="O491">
        <v>9.6373351045459299E-2</v>
      </c>
      <c r="P491">
        <v>9.1612187112057898E-4</v>
      </c>
      <c r="Q491">
        <v>2363.8526379878599</v>
      </c>
      <c r="R491">
        <v>907335.07256480097</v>
      </c>
      <c r="S491">
        <v>15675.9036201162</v>
      </c>
      <c r="T491">
        <v>16097712.756498899</v>
      </c>
      <c r="U491" s="3">
        <v>2337</v>
      </c>
      <c r="V491">
        <v>0.92322782803119396</v>
      </c>
    </row>
    <row r="492" spans="1:22" x14ac:dyDescent="0.25">
      <c r="A492">
        <v>24101</v>
      </c>
      <c r="B492">
        <v>13</v>
      </c>
      <c r="C492">
        <v>8001</v>
      </c>
      <c r="D492">
        <v>8001</v>
      </c>
      <c r="E492" s="3">
        <f t="shared" si="8"/>
        <v>241018001</v>
      </c>
      <c r="F492" s="3">
        <f>VLOOKUP($E492,AgronomyYieldData!H:N,7,FALSE)</f>
        <v>66</v>
      </c>
      <c r="G492" s="3">
        <f>VLOOKUP($E492,AgronomyYieldData!$H:O,3,FALSE)</f>
        <v>1</v>
      </c>
      <c r="H492" s="9">
        <v>80</v>
      </c>
      <c r="I492">
        <v>0.45936455833600298</v>
      </c>
      <c r="J492">
        <v>0.23465017437876801</v>
      </c>
      <c r="K492" s="7">
        <v>4.1783552393146201E-3</v>
      </c>
      <c r="L492" s="7">
        <v>0.97614442295293402</v>
      </c>
      <c r="M492">
        <v>0.36658644386289202</v>
      </c>
      <c r="N492">
        <v>3.0229094794060902E-3</v>
      </c>
      <c r="O492">
        <v>9.6373351045459299E-2</v>
      </c>
      <c r="P492">
        <v>9.1612187112057898E-4</v>
      </c>
      <c r="Q492">
        <v>2667.0385387872202</v>
      </c>
      <c r="R492">
        <v>1883733.99031991</v>
      </c>
      <c r="S492">
        <v>16902.0509986818</v>
      </c>
      <c r="T492">
        <v>17403095.6276564</v>
      </c>
      <c r="U492" s="3">
        <v>1117</v>
      </c>
      <c r="V492">
        <v>0.38846697517427398</v>
      </c>
    </row>
    <row r="493" spans="1:22" x14ac:dyDescent="0.25">
      <c r="A493">
        <v>24101</v>
      </c>
      <c r="B493">
        <v>13</v>
      </c>
      <c r="C493">
        <v>8002</v>
      </c>
      <c r="D493">
        <v>8002</v>
      </c>
      <c r="E493" s="3">
        <f t="shared" si="8"/>
        <v>241018002</v>
      </c>
      <c r="F493" s="3">
        <f>VLOOKUP($E493,AgronomyYieldData!H:N,7,FALSE)</f>
        <v>77</v>
      </c>
      <c r="G493" s="3">
        <f>VLOOKUP($E493,AgronomyYieldData!$H:O,3,FALSE)</f>
        <v>1</v>
      </c>
      <c r="H493" s="9">
        <v>91</v>
      </c>
      <c r="I493">
        <v>0.60816147719991098</v>
      </c>
      <c r="J493">
        <v>0.23920183638065901</v>
      </c>
      <c r="K493" s="7">
        <v>5.3310829044282302E-3</v>
      </c>
      <c r="L493" s="7">
        <v>0.99953947974368795</v>
      </c>
      <c r="M493">
        <v>0.37328052614399099</v>
      </c>
      <c r="N493">
        <v>3.6918183326716501E-3</v>
      </c>
      <c r="O493">
        <v>9.6373351045459299E-2</v>
      </c>
      <c r="P493">
        <v>9.1612187112057898E-4</v>
      </c>
      <c r="Q493">
        <v>2636.7104147129999</v>
      </c>
      <c r="R493">
        <v>1591920.7235220601</v>
      </c>
      <c r="S493">
        <v>16520.6292402812</v>
      </c>
      <c r="T493">
        <v>19110948.552666899</v>
      </c>
      <c r="U493" s="3">
        <v>2450</v>
      </c>
      <c r="V493">
        <v>0.98017865012737604</v>
      </c>
    </row>
    <row r="494" spans="1:22" x14ac:dyDescent="0.25">
      <c r="A494">
        <v>24101</v>
      </c>
      <c r="B494">
        <v>13</v>
      </c>
      <c r="C494">
        <v>8003</v>
      </c>
      <c r="D494">
        <v>8003</v>
      </c>
      <c r="E494" s="3">
        <f t="shared" si="8"/>
        <v>241018003</v>
      </c>
      <c r="F494" s="3">
        <f>VLOOKUP($E494,AgronomyYieldData!H:N,7,FALSE)</f>
        <v>49</v>
      </c>
      <c r="G494" s="3">
        <f>VLOOKUP($E494,AgronomyYieldData!$H:O,3,FALSE)</f>
        <v>1</v>
      </c>
      <c r="H494" s="9">
        <v>69</v>
      </c>
      <c r="I494">
        <v>0.65701544457086003</v>
      </c>
      <c r="J494">
        <v>0.22804460042516</v>
      </c>
      <c r="K494" s="7">
        <v>3.25824257610423E-3</v>
      </c>
      <c r="L494" s="7">
        <v>0.99807892209107996</v>
      </c>
      <c r="M494">
        <v>0.36538304999522397</v>
      </c>
      <c r="N494">
        <v>2.7034445582499399E-3</v>
      </c>
      <c r="O494">
        <v>9.6373351045459299E-2</v>
      </c>
      <c r="P494">
        <v>9.1612187112057898E-4</v>
      </c>
      <c r="Q494">
        <v>2854.4960740129</v>
      </c>
      <c r="R494">
        <v>2223926.7490538401</v>
      </c>
      <c r="S494">
        <v>16878.864251245301</v>
      </c>
      <c r="T494">
        <v>18821703.6872136</v>
      </c>
      <c r="U494" s="3">
        <v>892</v>
      </c>
      <c r="V494">
        <v>0.941034833036832</v>
      </c>
    </row>
    <row r="495" spans="1:22" x14ac:dyDescent="0.25">
      <c r="A495">
        <v>24101</v>
      </c>
      <c r="B495">
        <v>13</v>
      </c>
      <c r="C495">
        <v>8004</v>
      </c>
      <c r="D495">
        <v>8004</v>
      </c>
      <c r="E495" s="3">
        <f t="shared" si="8"/>
        <v>241018004</v>
      </c>
      <c r="F495" s="3">
        <f>VLOOKUP($E495,AgronomyYieldData!H:N,7,FALSE)</f>
        <v>40</v>
      </c>
      <c r="G495" s="3">
        <f>VLOOKUP($E495,AgronomyYieldData!$H:O,3,FALSE)</f>
        <v>1</v>
      </c>
      <c r="H495" s="9">
        <v>84</v>
      </c>
      <c r="I495">
        <v>0.90578296399911595</v>
      </c>
      <c r="J495">
        <v>0.243279586425798</v>
      </c>
      <c r="K495" s="7">
        <v>6.5227014039953698E-3</v>
      </c>
      <c r="L495" s="7">
        <v>0.99994444547323202</v>
      </c>
      <c r="M495">
        <v>0.37344470214822301</v>
      </c>
      <c r="N495">
        <v>3.9762759391805801E-3</v>
      </c>
      <c r="O495">
        <v>9.6373351045459299E-2</v>
      </c>
      <c r="P495">
        <v>9.1612187112057898E-4</v>
      </c>
      <c r="Q495">
        <v>2734.6440263961399</v>
      </c>
      <c r="R495">
        <v>2977435.5304087801</v>
      </c>
      <c r="S495">
        <v>16039.587720720499</v>
      </c>
      <c r="T495">
        <v>24524406.680318199</v>
      </c>
      <c r="U495" s="3">
        <v>994</v>
      </c>
      <c r="V495">
        <v>0.82888048411497695</v>
      </c>
    </row>
    <row r="496" spans="1:22" x14ac:dyDescent="0.25">
      <c r="A496">
        <v>24101</v>
      </c>
      <c r="B496">
        <v>13</v>
      </c>
      <c r="C496">
        <v>8005</v>
      </c>
      <c r="D496">
        <v>8005</v>
      </c>
      <c r="E496" s="3">
        <f t="shared" si="8"/>
        <v>241018005</v>
      </c>
      <c r="F496" s="3">
        <f>VLOOKUP($E496,AgronomyYieldData!H:N,7,FALSE)</f>
        <v>3</v>
      </c>
      <c r="G496" s="3">
        <f>VLOOKUP($E496,AgronomyYieldData!$H:O,3,FALSE)</f>
        <v>1</v>
      </c>
      <c r="H496" s="9">
        <v>24</v>
      </c>
      <c r="I496">
        <v>0.49033285173971802</v>
      </c>
      <c r="J496">
        <v>0.221481832004264</v>
      </c>
      <c r="K496" s="7">
        <v>2.1966474750835601E-3</v>
      </c>
      <c r="L496" s="7">
        <v>0.63462962962962999</v>
      </c>
      <c r="M496">
        <v>0.34912363483766201</v>
      </c>
      <c r="N496">
        <v>2.3396693774228698E-3</v>
      </c>
      <c r="O496">
        <v>9.6373351045459299E-2</v>
      </c>
      <c r="P496">
        <v>9.1612187112057898E-4</v>
      </c>
      <c r="Q496">
        <v>2526.5495277211398</v>
      </c>
      <c r="R496">
        <v>1373333.1705739</v>
      </c>
      <c r="S496">
        <v>16894.058491338801</v>
      </c>
      <c r="T496">
        <v>16752141.622140501</v>
      </c>
      <c r="U496" s="3">
        <v>1947</v>
      </c>
      <c r="V496">
        <v>0.86338124054462895</v>
      </c>
    </row>
    <row r="497" spans="1:22" x14ac:dyDescent="0.25">
      <c r="A497">
        <v>24101</v>
      </c>
      <c r="B497">
        <v>13</v>
      </c>
      <c r="C497">
        <v>8006</v>
      </c>
      <c r="D497">
        <v>8006</v>
      </c>
      <c r="E497" s="3">
        <f t="shared" si="8"/>
        <v>241018006</v>
      </c>
      <c r="F497" s="3">
        <f>VLOOKUP($E497,AgronomyYieldData!H:N,7,FALSE)</f>
        <v>16</v>
      </c>
      <c r="G497" s="3">
        <f>VLOOKUP($E497,AgronomyYieldData!$H:O,3,FALSE)</f>
        <v>1</v>
      </c>
      <c r="H497" s="9">
        <v>76</v>
      </c>
      <c r="I497">
        <v>0.63116918971149805</v>
      </c>
      <c r="J497">
        <v>0.22845216361437301</v>
      </c>
      <c r="K497" s="7">
        <v>3.69822647308406E-3</v>
      </c>
      <c r="L497" s="7">
        <v>0.99827771398940701</v>
      </c>
      <c r="M497">
        <v>0.33358958351818102</v>
      </c>
      <c r="N497">
        <v>3.51351011056068E-3</v>
      </c>
      <c r="O497">
        <v>9.6373351045459299E-2</v>
      </c>
      <c r="P497">
        <v>9.1612187112057898E-4</v>
      </c>
      <c r="Q497">
        <v>2805.8814612717701</v>
      </c>
      <c r="R497">
        <v>2218086.9324756199</v>
      </c>
      <c r="S497">
        <v>16668.2675985081</v>
      </c>
      <c r="T497">
        <v>16877565.702316701</v>
      </c>
      <c r="U497" s="3">
        <v>1921</v>
      </c>
      <c r="V497">
        <v>0.98597600641442595</v>
      </c>
    </row>
    <row r="498" spans="1:22" x14ac:dyDescent="0.25">
      <c r="A498">
        <v>24101</v>
      </c>
      <c r="B498">
        <v>13</v>
      </c>
      <c r="C498">
        <v>8007</v>
      </c>
      <c r="D498">
        <v>8007</v>
      </c>
      <c r="E498" s="3">
        <f t="shared" si="8"/>
        <v>241018007</v>
      </c>
      <c r="F498" s="3">
        <f>VLOOKUP($E498,AgronomyYieldData!H:N,7,FALSE)</f>
        <v>8</v>
      </c>
      <c r="G498" s="3">
        <f>VLOOKUP($E498,AgronomyYieldData!$H:O,3,FALSE)</f>
        <v>2</v>
      </c>
      <c r="H498" s="9">
        <v>70</v>
      </c>
      <c r="I498">
        <v>0.60976036221747698</v>
      </c>
      <c r="J498">
        <v>0.226590956391756</v>
      </c>
      <c r="K498" s="7">
        <v>3.39851058668381E-3</v>
      </c>
      <c r="L498" s="7">
        <v>0.992647875847254</v>
      </c>
      <c r="M498">
        <v>0.32159400039788999</v>
      </c>
      <c r="N498">
        <v>3.0617173590914799E-3</v>
      </c>
      <c r="O498">
        <v>9.6373351045459299E-2</v>
      </c>
      <c r="P498">
        <v>9.1612187112057898E-4</v>
      </c>
      <c r="Q498">
        <v>2842.1904518010001</v>
      </c>
      <c r="R498">
        <v>2037683.4060045399</v>
      </c>
      <c r="S498">
        <v>17066.6023843906</v>
      </c>
      <c r="T498">
        <v>16197114.2922362</v>
      </c>
      <c r="U498" s="3">
        <v>2316</v>
      </c>
      <c r="V498">
        <v>0.92612540375348895</v>
      </c>
    </row>
    <row r="499" spans="1:22" x14ac:dyDescent="0.25">
      <c r="A499">
        <v>24101</v>
      </c>
      <c r="B499">
        <v>13</v>
      </c>
      <c r="C499">
        <v>8008</v>
      </c>
      <c r="D499">
        <v>8008</v>
      </c>
      <c r="E499" s="3">
        <f t="shared" si="8"/>
        <v>241018008</v>
      </c>
      <c r="F499" s="3">
        <f>VLOOKUP($E499,AgronomyYieldData!H:N,7,FALSE)</f>
        <v>32</v>
      </c>
      <c r="G499" s="3">
        <f>VLOOKUP($E499,AgronomyYieldData!$H:O,3,FALSE)</f>
        <v>2</v>
      </c>
      <c r="H499" s="9">
        <v>89</v>
      </c>
      <c r="I499">
        <v>0.60037178142197101</v>
      </c>
      <c r="J499">
        <v>0.234957914701061</v>
      </c>
      <c r="K499" s="7">
        <v>4.6124172871329699E-3</v>
      </c>
      <c r="L499" s="7">
        <v>1</v>
      </c>
      <c r="M499">
        <v>0.32278798193979302</v>
      </c>
      <c r="N499">
        <v>3.9985791790172398E-3</v>
      </c>
      <c r="O499">
        <v>9.6373351045459299E-2</v>
      </c>
      <c r="P499">
        <v>9.1612187112057898E-4</v>
      </c>
      <c r="Q499">
        <v>2687.64179060376</v>
      </c>
      <c r="R499">
        <v>1766277.85544452</v>
      </c>
      <c r="S499">
        <v>16526.1640947333</v>
      </c>
      <c r="T499">
        <v>20729807.876128402</v>
      </c>
      <c r="U499" s="3">
        <v>2266</v>
      </c>
      <c r="V499">
        <v>0.971081256902525</v>
      </c>
    </row>
    <row r="500" spans="1:22" x14ac:dyDescent="0.25">
      <c r="A500">
        <v>24101</v>
      </c>
      <c r="B500">
        <v>13</v>
      </c>
      <c r="C500">
        <v>8009</v>
      </c>
      <c r="D500">
        <v>8009</v>
      </c>
      <c r="E500" s="3">
        <f t="shared" si="8"/>
        <v>241018009</v>
      </c>
      <c r="F500" s="3">
        <f>VLOOKUP($E500,AgronomyYieldData!H:N,7,FALSE)</f>
        <v>25</v>
      </c>
      <c r="G500" s="3">
        <f>VLOOKUP($E500,AgronomyYieldData!$H:O,3,FALSE)</f>
        <v>2</v>
      </c>
      <c r="H500" s="9">
        <v>65</v>
      </c>
      <c r="I500">
        <v>0.73881434855428496</v>
      </c>
      <c r="J500">
        <v>0.22917213291031199</v>
      </c>
      <c r="K500" s="7">
        <v>4.2064860535885699E-3</v>
      </c>
      <c r="L500" s="7">
        <v>1</v>
      </c>
      <c r="M500">
        <v>0.32144867278169797</v>
      </c>
      <c r="N500">
        <v>3.65303391841544E-3</v>
      </c>
      <c r="O500">
        <v>9.6373351045459299E-2</v>
      </c>
      <c r="P500">
        <v>9.1612187112057898E-4</v>
      </c>
      <c r="Q500">
        <v>2697.6135033980099</v>
      </c>
      <c r="R500">
        <v>2252523.5886781001</v>
      </c>
      <c r="S500">
        <v>16804.3763019117</v>
      </c>
      <c r="T500">
        <v>19652211.905896101</v>
      </c>
      <c r="U500" s="3">
        <v>1163</v>
      </c>
      <c r="V500">
        <v>0.57454936044356697</v>
      </c>
    </row>
    <row r="501" spans="1:22" x14ac:dyDescent="0.25">
      <c r="A501">
        <v>24101</v>
      </c>
      <c r="B501">
        <v>13</v>
      </c>
      <c r="C501">
        <v>8010</v>
      </c>
      <c r="D501">
        <v>8010</v>
      </c>
      <c r="E501" s="3">
        <f t="shared" si="8"/>
        <v>241018010</v>
      </c>
      <c r="F501" s="3">
        <f>VLOOKUP($E501,AgronomyYieldData!H:N,7,FALSE)</f>
        <v>64</v>
      </c>
      <c r="G501" s="3">
        <f>VLOOKUP($E501,AgronomyYieldData!$H:O,3,FALSE)</f>
        <v>2</v>
      </c>
      <c r="H501" s="9">
        <v>82</v>
      </c>
      <c r="I501">
        <v>0.55421292845279602</v>
      </c>
      <c r="J501">
        <v>0.230136582243573</v>
      </c>
      <c r="K501" s="7">
        <v>3.48408623445176E-3</v>
      </c>
      <c r="L501" s="7">
        <v>0.99880264733358803</v>
      </c>
      <c r="M501">
        <v>0.32227677351405598</v>
      </c>
      <c r="N501">
        <v>3.0813975722679601E-3</v>
      </c>
      <c r="O501">
        <v>9.6373351045459299E-2</v>
      </c>
      <c r="P501">
        <v>9.1612187112057898E-4</v>
      </c>
      <c r="Q501">
        <v>2633.1987207300499</v>
      </c>
      <c r="R501">
        <v>1943843.5121357699</v>
      </c>
      <c r="S501">
        <v>16817.664088688802</v>
      </c>
      <c r="T501">
        <v>17604600.451078299</v>
      </c>
      <c r="U501" s="3">
        <v>1277</v>
      </c>
      <c r="V501">
        <v>0.93939117068503997</v>
      </c>
    </row>
    <row r="502" spans="1:22" x14ac:dyDescent="0.25">
      <c r="A502">
        <v>24101</v>
      </c>
      <c r="B502">
        <v>13</v>
      </c>
      <c r="C502">
        <v>8011</v>
      </c>
      <c r="D502">
        <v>8011</v>
      </c>
      <c r="E502" s="3">
        <f t="shared" si="8"/>
        <v>241018011</v>
      </c>
      <c r="F502" s="3">
        <f>VLOOKUP($E502,AgronomyYieldData!H:N,7,FALSE)</f>
        <v>57</v>
      </c>
      <c r="G502" s="3">
        <f>VLOOKUP($E502,AgronomyYieldData!$H:O,3,FALSE)</f>
        <v>2</v>
      </c>
      <c r="H502" s="9">
        <v>63</v>
      </c>
      <c r="I502">
        <v>0.57463530734877699</v>
      </c>
      <c r="J502">
        <v>0.23015326057089</v>
      </c>
      <c r="K502" s="7">
        <v>3.3094162712413301E-3</v>
      </c>
      <c r="L502" s="7">
        <v>0.98948684210526305</v>
      </c>
      <c r="M502">
        <v>0.32499902788736601</v>
      </c>
      <c r="N502">
        <v>3.1184460256420301E-3</v>
      </c>
      <c r="O502">
        <v>9.6373351045459299E-2</v>
      </c>
      <c r="P502">
        <v>9.1612187112057898E-4</v>
      </c>
      <c r="Q502">
        <v>2611.0325420597401</v>
      </c>
      <c r="R502">
        <v>2358563.5459834998</v>
      </c>
      <c r="S502">
        <v>16938.612836821401</v>
      </c>
      <c r="T502">
        <v>17166301.2914728</v>
      </c>
      <c r="U502" s="3">
        <v>1503</v>
      </c>
      <c r="V502">
        <v>0.91519220019778902</v>
      </c>
    </row>
    <row r="503" spans="1:22" x14ac:dyDescent="0.25">
      <c r="A503">
        <v>24101</v>
      </c>
      <c r="B503">
        <v>13</v>
      </c>
      <c r="C503">
        <v>8012</v>
      </c>
      <c r="D503">
        <v>8012</v>
      </c>
      <c r="E503" s="3">
        <f t="shared" si="8"/>
        <v>241018012</v>
      </c>
      <c r="F503" s="3">
        <f>VLOOKUP($E503,AgronomyYieldData!H:N,7,FALSE)</f>
        <v>83</v>
      </c>
      <c r="G503" s="3">
        <f>VLOOKUP($E503,AgronomyYieldData!$H:O,3,FALSE)</f>
        <v>2</v>
      </c>
      <c r="H503" s="9">
        <v>109</v>
      </c>
      <c r="I503">
        <v>0.64688728038342502</v>
      </c>
      <c r="J503">
        <v>0.23371831423612999</v>
      </c>
      <c r="K503" s="7">
        <v>4.4870127490834102E-3</v>
      </c>
      <c r="L503" s="7">
        <v>0.998105288088315</v>
      </c>
      <c r="M503">
        <v>0.33926739860383398</v>
      </c>
      <c r="N503">
        <v>3.4096253854872002E-3</v>
      </c>
      <c r="O503">
        <v>9.6373351045459299E-2</v>
      </c>
      <c r="P503">
        <v>9.1612187112057898E-4</v>
      </c>
      <c r="Q503">
        <v>2827.0608068861802</v>
      </c>
      <c r="R503">
        <v>3115295.22710136</v>
      </c>
      <c r="S503">
        <v>16862.971324839498</v>
      </c>
      <c r="T503">
        <v>19499440.460096098</v>
      </c>
      <c r="U503" s="3">
        <v>2694</v>
      </c>
      <c r="V503">
        <v>0.93388225430232896</v>
      </c>
    </row>
    <row r="504" spans="1:22" x14ac:dyDescent="0.25">
      <c r="A504">
        <v>24101</v>
      </c>
      <c r="B504">
        <v>13</v>
      </c>
      <c r="C504">
        <v>8013</v>
      </c>
      <c r="D504">
        <v>8013</v>
      </c>
      <c r="E504" s="3">
        <f t="shared" si="8"/>
        <v>241018013</v>
      </c>
      <c r="F504" s="3">
        <f>VLOOKUP($E504,AgronomyYieldData!H:N,7,FALSE)</f>
        <v>42</v>
      </c>
      <c r="G504" s="3">
        <f>VLOOKUP($E504,AgronomyYieldData!$H:O,3,FALSE)</f>
        <v>3</v>
      </c>
      <c r="H504" s="9">
        <v>69</v>
      </c>
      <c r="I504">
        <v>0.78149760276808899</v>
      </c>
      <c r="J504">
        <v>0.231247532110367</v>
      </c>
      <c r="K504" s="7">
        <v>5.2487889071083302E-3</v>
      </c>
      <c r="L504" s="7">
        <v>0.99050035183882101</v>
      </c>
      <c r="M504">
        <v>0.33834237825992503</v>
      </c>
      <c r="N504">
        <v>2.8501362058202199E-3</v>
      </c>
      <c r="O504">
        <v>9.6373351045459299E-2</v>
      </c>
      <c r="P504">
        <v>9.1612187112057898E-4</v>
      </c>
      <c r="Q504">
        <v>2869.8709150004902</v>
      </c>
      <c r="R504">
        <v>2934658.3017060901</v>
      </c>
      <c r="S504">
        <v>16394.504938956401</v>
      </c>
      <c r="T504">
        <v>22117944.422577199</v>
      </c>
      <c r="U504" s="3">
        <v>1041</v>
      </c>
      <c r="V504">
        <v>0.97737501796533999</v>
      </c>
    </row>
    <row r="505" spans="1:22" x14ac:dyDescent="0.25">
      <c r="A505">
        <v>24101</v>
      </c>
      <c r="B505">
        <v>13</v>
      </c>
      <c r="C505">
        <v>8014</v>
      </c>
      <c r="D505">
        <v>8014</v>
      </c>
      <c r="E505" s="3">
        <f t="shared" si="8"/>
        <v>241018014</v>
      </c>
      <c r="F505" s="3">
        <f>VLOOKUP($E505,AgronomyYieldData!H:N,7,FALSE)</f>
        <v>9</v>
      </c>
      <c r="G505" s="3">
        <f>VLOOKUP($E505,AgronomyYieldData!$H:O,3,FALSE)</f>
        <v>3</v>
      </c>
      <c r="H505" s="9">
        <v>46</v>
      </c>
      <c r="I505">
        <v>0.66585682338974606</v>
      </c>
      <c r="J505">
        <v>0.22074516886746801</v>
      </c>
      <c r="K505" s="7">
        <v>3.6785726976834099E-3</v>
      </c>
      <c r="L505" s="7">
        <v>0.99881485870893705</v>
      </c>
      <c r="M505">
        <v>0.32028130088649798</v>
      </c>
      <c r="N505">
        <v>3.5266773478259301E-3</v>
      </c>
      <c r="O505">
        <v>9.6373351045459299E-2</v>
      </c>
      <c r="P505">
        <v>9.1612187112057898E-4</v>
      </c>
      <c r="Q505">
        <v>2810.7397517975</v>
      </c>
      <c r="R505">
        <v>2355502.7378751501</v>
      </c>
      <c r="S505">
        <v>16707.441670428099</v>
      </c>
      <c r="T505">
        <v>17789737.633511402</v>
      </c>
      <c r="U505" s="3">
        <v>622</v>
      </c>
      <c r="V505">
        <v>0.27950620645834701</v>
      </c>
    </row>
    <row r="506" spans="1:22" x14ac:dyDescent="0.25">
      <c r="A506">
        <v>24101</v>
      </c>
      <c r="B506">
        <v>13</v>
      </c>
      <c r="C506">
        <v>8015</v>
      </c>
      <c r="D506">
        <v>8015</v>
      </c>
      <c r="E506" s="3">
        <f t="shared" si="8"/>
        <v>241018015</v>
      </c>
      <c r="F506" s="3">
        <f>VLOOKUP($E506,AgronomyYieldData!H:N,7,FALSE)</f>
        <v>27</v>
      </c>
      <c r="G506" s="3">
        <f>VLOOKUP($E506,AgronomyYieldData!$H:O,3,FALSE)</f>
        <v>3</v>
      </c>
      <c r="H506" s="9">
        <v>58</v>
      </c>
      <c r="I506">
        <v>0.73410511010702395</v>
      </c>
      <c r="J506">
        <v>0.222704709385115</v>
      </c>
      <c r="K506" s="7">
        <v>4.1747766552526801E-3</v>
      </c>
      <c r="L506" s="7">
        <v>0.99996296296296305</v>
      </c>
      <c r="M506">
        <v>0.31136624977079902</v>
      </c>
      <c r="N506">
        <v>3.3462597102899699E-3</v>
      </c>
      <c r="O506">
        <v>9.6373351045459299E-2</v>
      </c>
      <c r="P506">
        <v>9.1612187112057898E-4</v>
      </c>
      <c r="Q506">
        <v>2822.76158535985</v>
      </c>
      <c r="R506">
        <v>2401048.89013915</v>
      </c>
      <c r="S506">
        <v>16752.969429533601</v>
      </c>
      <c r="T506">
        <v>17903739.590939399</v>
      </c>
      <c r="U506" s="3">
        <v>769</v>
      </c>
      <c r="V506">
        <v>0.94544629349470499</v>
      </c>
    </row>
    <row r="507" spans="1:22" x14ac:dyDescent="0.25">
      <c r="A507">
        <v>24101</v>
      </c>
      <c r="B507">
        <v>13</v>
      </c>
      <c r="C507">
        <v>8016</v>
      </c>
      <c r="D507">
        <v>8016</v>
      </c>
      <c r="E507" s="3">
        <f t="shared" si="8"/>
        <v>241018016</v>
      </c>
      <c r="F507" s="3">
        <f>VLOOKUP($E507,AgronomyYieldData!H:N,7,FALSE)</f>
        <v>70</v>
      </c>
      <c r="G507" s="3">
        <f>VLOOKUP($E507,AgronomyYieldData!$H:O,3,FALSE)</f>
        <v>3</v>
      </c>
      <c r="H507" s="9">
        <v>80</v>
      </c>
      <c r="I507">
        <v>0.42413443619838398</v>
      </c>
      <c r="J507">
        <v>0.224072756773843</v>
      </c>
      <c r="K507" s="7">
        <v>4.0987913608840302E-3</v>
      </c>
      <c r="L507" s="7">
        <v>0.96071000934222806</v>
      </c>
      <c r="M507">
        <v>0.31575157956407701</v>
      </c>
      <c r="N507">
        <v>3.8229344753885701E-3</v>
      </c>
      <c r="O507">
        <v>9.6373351045459299E-2</v>
      </c>
      <c r="P507">
        <v>9.1612187112057898E-4</v>
      </c>
      <c r="Q507">
        <v>2783.6620851820198</v>
      </c>
      <c r="R507">
        <v>1958360.8848897801</v>
      </c>
      <c r="S507">
        <v>17001.8141518763</v>
      </c>
      <c r="T507">
        <v>20647248.2965369</v>
      </c>
      <c r="U507" s="3">
        <v>1085</v>
      </c>
      <c r="V507">
        <v>0.61380407500765799</v>
      </c>
    </row>
    <row r="508" spans="1:22" x14ac:dyDescent="0.25">
      <c r="A508">
        <v>24101</v>
      </c>
      <c r="B508">
        <v>13</v>
      </c>
      <c r="C508">
        <v>8017</v>
      </c>
      <c r="D508">
        <v>8017</v>
      </c>
      <c r="E508" s="3">
        <f t="shared" si="8"/>
        <v>241018017</v>
      </c>
      <c r="F508" s="3">
        <f>VLOOKUP($E508,AgronomyYieldData!H:N,7,FALSE)</f>
        <v>79</v>
      </c>
      <c r="G508" s="3">
        <f>VLOOKUP($E508,AgronomyYieldData!$H:O,3,FALSE)</f>
        <v>3</v>
      </c>
      <c r="H508" s="9">
        <v>62</v>
      </c>
      <c r="I508">
        <v>0.41834112531467599</v>
      </c>
      <c r="J508">
        <v>0.22281931785166401</v>
      </c>
      <c r="K508" s="7">
        <v>3.5954018996959798E-3</v>
      </c>
      <c r="L508" s="7">
        <v>0.84714674806910395</v>
      </c>
      <c r="M508">
        <v>0.31364390226272998</v>
      </c>
      <c r="N508">
        <v>3.3223995074468E-3</v>
      </c>
      <c r="O508">
        <v>9.6373351045459299E-2</v>
      </c>
      <c r="P508">
        <v>9.1612187112057898E-4</v>
      </c>
      <c r="Q508">
        <v>2625.07965289198</v>
      </c>
      <c r="R508">
        <v>1921710.19702153</v>
      </c>
      <c r="S508">
        <v>16701.043279675101</v>
      </c>
      <c r="T508">
        <v>19448182.984968401</v>
      </c>
      <c r="U508" s="3">
        <v>1216</v>
      </c>
      <c r="V508">
        <v>0.97595923873609902</v>
      </c>
    </row>
    <row r="509" spans="1:22" x14ac:dyDescent="0.25">
      <c r="A509">
        <v>24101</v>
      </c>
      <c r="B509">
        <v>13</v>
      </c>
      <c r="C509">
        <v>8018</v>
      </c>
      <c r="D509">
        <v>8018</v>
      </c>
      <c r="E509" s="3">
        <f t="shared" si="8"/>
        <v>241018018</v>
      </c>
      <c r="F509" s="3">
        <f>VLOOKUP($E509,AgronomyYieldData!H:N,7,FALSE)</f>
        <v>58</v>
      </c>
      <c r="G509" s="3">
        <f>VLOOKUP($E509,AgronomyYieldData!$H:O,3,FALSE)</f>
        <v>3</v>
      </c>
      <c r="H509" s="9">
        <v>39</v>
      </c>
      <c r="I509">
        <v>0.46174568613219802</v>
      </c>
      <c r="J509">
        <v>0.21245929750669201</v>
      </c>
      <c r="K509" s="7">
        <v>2.0821125577215201E-3</v>
      </c>
      <c r="L509" s="7">
        <v>0.93818258375220398</v>
      </c>
      <c r="M509">
        <v>0.303041355305191</v>
      </c>
      <c r="N509">
        <v>2.83980674990341E-3</v>
      </c>
      <c r="O509">
        <v>9.6373351045459299E-2</v>
      </c>
      <c r="P509">
        <v>9.1612187112057898E-4</v>
      </c>
      <c r="Q509">
        <v>2629.9283104958899</v>
      </c>
      <c r="R509">
        <v>1313371.71806807</v>
      </c>
      <c r="S509">
        <v>16988.0726871603</v>
      </c>
      <c r="T509">
        <v>15236473.6743879</v>
      </c>
      <c r="U509" s="3">
        <v>2449</v>
      </c>
      <c r="V509">
        <v>0.91407656628739997</v>
      </c>
    </row>
    <row r="510" spans="1:22" x14ac:dyDescent="0.25">
      <c r="A510">
        <v>24101</v>
      </c>
      <c r="B510">
        <v>13</v>
      </c>
      <c r="C510">
        <v>8019</v>
      </c>
      <c r="D510">
        <v>8019</v>
      </c>
      <c r="E510" s="3">
        <f t="shared" si="8"/>
        <v>241018019</v>
      </c>
      <c r="F510" s="3">
        <f>VLOOKUP($E510,AgronomyYieldData!H:N,7,FALSE)</f>
        <v>1</v>
      </c>
      <c r="G510" s="3">
        <f>VLOOKUP($E510,AgronomyYieldData!$H:O,3,FALSE)</f>
        <v>4</v>
      </c>
      <c r="H510" s="9">
        <v>58</v>
      </c>
      <c r="I510">
        <v>0.42797982772583298</v>
      </c>
      <c r="J510">
        <v>0.22309613284798899</v>
      </c>
      <c r="K510" s="7">
        <v>3.1895656327224301E-3</v>
      </c>
      <c r="L510" s="7">
        <v>1</v>
      </c>
      <c r="M510">
        <v>0.31332903539454499</v>
      </c>
      <c r="N510">
        <v>3.1598029563339402E-3</v>
      </c>
      <c r="O510">
        <v>0.104655448633582</v>
      </c>
      <c r="P510">
        <v>1.06484887967563E-3</v>
      </c>
      <c r="Q510">
        <v>2548.3652785438499</v>
      </c>
      <c r="R510">
        <v>1799391.0696288999</v>
      </c>
      <c r="S510">
        <v>16277.976881173199</v>
      </c>
      <c r="T510">
        <v>17052244.9781304</v>
      </c>
      <c r="U510" s="3">
        <v>2415</v>
      </c>
      <c r="V510">
        <v>0.97782165036573099</v>
      </c>
    </row>
    <row r="511" spans="1:22" x14ac:dyDescent="0.25">
      <c r="A511">
        <v>24101</v>
      </c>
      <c r="B511">
        <v>13</v>
      </c>
      <c r="C511">
        <v>8020</v>
      </c>
      <c r="D511">
        <v>8020</v>
      </c>
      <c r="E511" s="3">
        <f t="shared" si="8"/>
        <v>241018020</v>
      </c>
      <c r="F511" s="3">
        <f>VLOOKUP($E511,AgronomyYieldData!H:N,7,FALSE)</f>
        <v>30</v>
      </c>
      <c r="G511" s="3">
        <f>VLOOKUP($E511,AgronomyYieldData!$H:O,3,FALSE)</f>
        <v>4</v>
      </c>
      <c r="H511" s="9">
        <v>71</v>
      </c>
      <c r="I511">
        <v>0.555191548492182</v>
      </c>
      <c r="J511">
        <v>0.22755920781359801</v>
      </c>
      <c r="K511" s="7">
        <v>3.4399196368818399E-3</v>
      </c>
      <c r="L511" s="7">
        <v>0.98762940054445403</v>
      </c>
      <c r="M511">
        <v>0.31894361558106898</v>
      </c>
      <c r="N511">
        <v>3.3149819604298501E-3</v>
      </c>
      <c r="O511">
        <v>0.10428446869046901</v>
      </c>
      <c r="P511">
        <v>9.4628342672458201E-4</v>
      </c>
      <c r="Q511">
        <v>2400.9949768541301</v>
      </c>
      <c r="R511">
        <v>1549574.28769267</v>
      </c>
      <c r="S511">
        <v>16261.6562468518</v>
      </c>
      <c r="T511">
        <v>15853229.310953001</v>
      </c>
      <c r="U511" s="3">
        <v>1752</v>
      </c>
      <c r="V511">
        <v>0.94086944681881102</v>
      </c>
    </row>
    <row r="512" spans="1:22" x14ac:dyDescent="0.25">
      <c r="A512">
        <v>24101</v>
      </c>
      <c r="B512">
        <v>13</v>
      </c>
      <c r="C512">
        <v>8021</v>
      </c>
      <c r="D512">
        <v>8021</v>
      </c>
      <c r="E512" s="3">
        <f t="shared" si="8"/>
        <v>241018021</v>
      </c>
      <c r="F512" s="3">
        <f>VLOOKUP($E512,AgronomyYieldData!H:N,7,FALSE)</f>
        <v>40</v>
      </c>
      <c r="G512" s="3">
        <f>VLOOKUP($E512,AgronomyYieldData!$H:O,3,FALSE)</f>
        <v>4</v>
      </c>
      <c r="H512" s="9">
        <v>82</v>
      </c>
      <c r="I512">
        <v>0.64742693072222601</v>
      </c>
      <c r="J512">
        <v>0.246497407009933</v>
      </c>
      <c r="K512" s="7">
        <v>6.4192419294742797E-3</v>
      </c>
      <c r="L512" s="7">
        <v>1</v>
      </c>
      <c r="M512">
        <v>0.35474116532556899</v>
      </c>
      <c r="N512">
        <v>4.4882904220290201E-3</v>
      </c>
      <c r="O512">
        <v>0.107804401875876</v>
      </c>
      <c r="P512">
        <v>1.1746046050085601E-3</v>
      </c>
      <c r="Q512">
        <v>2533.7018476933399</v>
      </c>
      <c r="R512">
        <v>2413526.5513565498</v>
      </c>
      <c r="S512">
        <v>15816.8225117699</v>
      </c>
      <c r="T512">
        <v>23225236.3259059</v>
      </c>
      <c r="U512" s="3">
        <v>705</v>
      </c>
      <c r="V512">
        <v>0.76376523271734198</v>
      </c>
    </row>
    <row r="513" spans="1:22" x14ac:dyDescent="0.25">
      <c r="A513">
        <v>24101</v>
      </c>
      <c r="B513">
        <v>13</v>
      </c>
      <c r="C513">
        <v>8022</v>
      </c>
      <c r="D513">
        <v>8022</v>
      </c>
      <c r="E513" s="3">
        <f t="shared" si="8"/>
        <v>241018022</v>
      </c>
      <c r="F513" s="3">
        <f>VLOOKUP($E513,AgronomyYieldData!H:N,7,FALSE)</f>
        <v>81</v>
      </c>
      <c r="G513" s="3">
        <f>VLOOKUP($E513,AgronomyYieldData!$H:O,3,FALSE)</f>
        <v>4</v>
      </c>
      <c r="H513" s="9">
        <v>100</v>
      </c>
      <c r="I513">
        <v>0.373747016706443</v>
      </c>
      <c r="J513">
        <v>0.247608102259119</v>
      </c>
      <c r="K513" s="7">
        <v>6.2847661390560998E-3</v>
      </c>
      <c r="L513" s="7">
        <v>0.99915789473684202</v>
      </c>
      <c r="M513">
        <v>0.37034291289099402</v>
      </c>
      <c r="N513">
        <v>3.7164763056646002E-3</v>
      </c>
      <c r="O513">
        <v>0.107804401875876</v>
      </c>
      <c r="P513">
        <v>1.1746046050085601E-3</v>
      </c>
      <c r="Q513">
        <v>2379.56336865089</v>
      </c>
      <c r="R513">
        <v>2119291.4709344301</v>
      </c>
      <c r="S513">
        <v>16018.9931051679</v>
      </c>
      <c r="T513">
        <v>23982190.874065399</v>
      </c>
      <c r="U513" s="3">
        <v>506</v>
      </c>
      <c r="V513">
        <v>0.27411734987288899</v>
      </c>
    </row>
    <row r="514" spans="1:22" x14ac:dyDescent="0.25">
      <c r="A514">
        <v>24101</v>
      </c>
      <c r="B514">
        <v>13</v>
      </c>
      <c r="C514">
        <v>8024</v>
      </c>
      <c r="D514">
        <v>8024</v>
      </c>
      <c r="E514" s="3">
        <f t="shared" si="8"/>
        <v>241018024</v>
      </c>
      <c r="F514" s="3">
        <f>VLOOKUP($E514,AgronomyYieldData!H:N,7,FALSE)</f>
        <v>46</v>
      </c>
      <c r="G514" s="3">
        <f>VLOOKUP($E514,AgronomyYieldData!$H:O,3,FALSE)</f>
        <v>4</v>
      </c>
      <c r="H514" s="9">
        <v>86</v>
      </c>
      <c r="I514">
        <v>0.35845293752247598</v>
      </c>
      <c r="J514">
        <v>0.235895933842343</v>
      </c>
      <c r="K514" s="7">
        <v>4.1121956466450699E-3</v>
      </c>
      <c r="L514" s="7">
        <v>0.95439413676495699</v>
      </c>
      <c r="M514">
        <v>0.36958519396450801</v>
      </c>
      <c r="N514">
        <v>3.0818381355259702E-3</v>
      </c>
      <c r="O514">
        <v>0.107804401875876</v>
      </c>
      <c r="P514">
        <v>1.1746046050085601E-3</v>
      </c>
      <c r="Q514">
        <v>2304.6234621467702</v>
      </c>
      <c r="R514">
        <v>1830840.246822</v>
      </c>
      <c r="S514">
        <v>15656.7414023279</v>
      </c>
      <c r="T514">
        <v>18631744.567221701</v>
      </c>
      <c r="U514" s="3">
        <v>1720</v>
      </c>
      <c r="V514">
        <v>0.90019187668295197</v>
      </c>
    </row>
    <row r="515" spans="1:22" x14ac:dyDescent="0.25">
      <c r="A515">
        <v>24101</v>
      </c>
      <c r="B515">
        <v>13</v>
      </c>
      <c r="C515">
        <v>9001</v>
      </c>
      <c r="D515">
        <v>9001</v>
      </c>
      <c r="E515" s="3">
        <f t="shared" si="8"/>
        <v>241019001</v>
      </c>
      <c r="F515" s="3">
        <f>VLOOKUP($E515,AgronomyYieldData!H:N,7,FALSE)</f>
        <v>62</v>
      </c>
      <c r="G515" s="3">
        <f>VLOOKUP($E515,AgronomyYieldData!$H:O,3,FALSE)</f>
        <v>1</v>
      </c>
      <c r="H515" s="9">
        <v>71</v>
      </c>
      <c r="I515">
        <v>0.51815768481345303</v>
      </c>
      <c r="J515">
        <v>0.23596388296250301</v>
      </c>
      <c r="K515" s="7">
        <v>3.3610329657260398E-3</v>
      </c>
      <c r="L515" s="7">
        <v>0.993223773371403</v>
      </c>
      <c r="M515">
        <v>0.36594714368843601</v>
      </c>
      <c r="N515">
        <v>2.66990056049757E-3</v>
      </c>
      <c r="O515">
        <v>0.10110541394801099</v>
      </c>
      <c r="P515">
        <v>9.53161722864121E-4</v>
      </c>
      <c r="Q515">
        <v>2589.7650496172</v>
      </c>
      <c r="R515">
        <v>1356530.5344451801</v>
      </c>
      <c r="S515">
        <v>16717.914889139502</v>
      </c>
      <c r="T515">
        <v>15731340.600480899</v>
      </c>
      <c r="U515" s="3">
        <v>2107</v>
      </c>
      <c r="V515">
        <v>0.981188762704303</v>
      </c>
    </row>
    <row r="516" spans="1:22" x14ac:dyDescent="0.25">
      <c r="A516">
        <v>24101</v>
      </c>
      <c r="B516">
        <v>13</v>
      </c>
      <c r="C516">
        <v>9002</v>
      </c>
      <c r="D516">
        <v>9002</v>
      </c>
      <c r="E516" s="3">
        <f t="shared" si="8"/>
        <v>241019002</v>
      </c>
      <c r="F516" s="3">
        <f>VLOOKUP($E516,AgronomyYieldData!H:N,7,FALSE)</f>
        <v>76</v>
      </c>
      <c r="G516" s="3">
        <f>VLOOKUP($E516,AgronomyYieldData!$H:O,3,FALSE)</f>
        <v>1</v>
      </c>
      <c r="H516" s="9">
        <v>78</v>
      </c>
      <c r="I516">
        <v>0.64710921050910797</v>
      </c>
      <c r="J516">
        <v>0.24185143102789899</v>
      </c>
      <c r="K516" s="7">
        <v>6.2040450361086196E-3</v>
      </c>
      <c r="L516" s="7">
        <v>0.96371148127680895</v>
      </c>
      <c r="M516">
        <v>0.36988002409370502</v>
      </c>
      <c r="N516">
        <v>3.2891078873095599E-3</v>
      </c>
      <c r="O516">
        <v>0.101769034626651</v>
      </c>
      <c r="P516">
        <v>1.07860569148198E-3</v>
      </c>
      <c r="Q516">
        <v>2927.90801002127</v>
      </c>
      <c r="R516">
        <v>4184547.12736391</v>
      </c>
      <c r="S516">
        <v>16544.0248907766</v>
      </c>
      <c r="T516">
        <v>19881292.815750901</v>
      </c>
      <c r="U516" s="3">
        <v>2839</v>
      </c>
      <c r="V516">
        <v>0.98969670584820701</v>
      </c>
    </row>
    <row r="517" spans="1:22" x14ac:dyDescent="0.25">
      <c r="A517">
        <v>24101</v>
      </c>
      <c r="B517">
        <v>13</v>
      </c>
      <c r="C517">
        <v>9003</v>
      </c>
      <c r="D517">
        <v>9003</v>
      </c>
      <c r="E517" s="3">
        <f t="shared" si="8"/>
        <v>241019003</v>
      </c>
      <c r="F517" s="3">
        <f>VLOOKUP($E517,AgronomyYieldData!H:N,7,FALSE)</f>
        <v>59</v>
      </c>
      <c r="G517" s="3">
        <f>VLOOKUP($E517,AgronomyYieldData!$H:O,3,FALSE)</f>
        <v>1</v>
      </c>
      <c r="H517" s="9">
        <v>57</v>
      </c>
      <c r="I517">
        <v>0.62842459035687603</v>
      </c>
      <c r="J517">
        <v>0.22597435202890601</v>
      </c>
      <c r="K517" s="7">
        <v>2.9908644130638802E-3</v>
      </c>
      <c r="L517" s="7">
        <v>0.96717062066606097</v>
      </c>
      <c r="M517">
        <v>0.35949418850675702</v>
      </c>
      <c r="N517">
        <v>2.3115467596285201E-3</v>
      </c>
      <c r="O517">
        <v>0.10209411788841601</v>
      </c>
      <c r="P517">
        <v>8.5563714117808899E-4</v>
      </c>
      <c r="Q517">
        <v>2737.0009377646202</v>
      </c>
      <c r="R517">
        <v>1766511.5561285501</v>
      </c>
      <c r="S517">
        <v>16913.135540857798</v>
      </c>
      <c r="T517">
        <v>14548459.3069831</v>
      </c>
      <c r="U517" s="3">
        <v>1912</v>
      </c>
      <c r="V517">
        <v>0.86581819940772098</v>
      </c>
    </row>
    <row r="518" spans="1:22" x14ac:dyDescent="0.25">
      <c r="A518">
        <v>24101</v>
      </c>
      <c r="B518">
        <v>13</v>
      </c>
      <c r="C518">
        <v>9004</v>
      </c>
      <c r="D518">
        <v>9004</v>
      </c>
      <c r="E518" s="3">
        <f t="shared" si="8"/>
        <v>241019004</v>
      </c>
      <c r="F518" s="3">
        <f>VLOOKUP($E518,AgronomyYieldData!H:N,7,FALSE)</f>
        <v>34</v>
      </c>
      <c r="G518" s="3">
        <f>VLOOKUP($E518,AgronomyYieldData!$H:O,3,FALSE)</f>
        <v>1</v>
      </c>
      <c r="H518" s="9">
        <v>84</v>
      </c>
      <c r="I518">
        <v>0.90202177293934604</v>
      </c>
      <c r="J518">
        <v>0.239340292204862</v>
      </c>
      <c r="K518" s="7">
        <v>4.9820970271545898E-3</v>
      </c>
      <c r="L518" s="7">
        <v>1</v>
      </c>
      <c r="M518">
        <v>0.37081626613527602</v>
      </c>
      <c r="N518">
        <v>2.9562069546528501E-3</v>
      </c>
      <c r="O518">
        <v>0.10209411788841601</v>
      </c>
      <c r="P518">
        <v>8.5563714117808899E-4</v>
      </c>
      <c r="Q518">
        <v>2883.1387556509799</v>
      </c>
      <c r="R518">
        <v>2522768.3576367302</v>
      </c>
      <c r="S518">
        <v>16075.220897937799</v>
      </c>
      <c r="T518">
        <v>19682199.7336253</v>
      </c>
      <c r="U518" s="3">
        <v>839</v>
      </c>
      <c r="V518">
        <v>0.99216327024614503</v>
      </c>
    </row>
    <row r="519" spans="1:22" x14ac:dyDescent="0.25">
      <c r="A519">
        <v>24101</v>
      </c>
      <c r="B519">
        <v>13</v>
      </c>
      <c r="C519">
        <v>9005</v>
      </c>
      <c r="D519">
        <v>9005</v>
      </c>
      <c r="E519" s="3">
        <f t="shared" si="8"/>
        <v>241019005</v>
      </c>
      <c r="F519" s="3">
        <f>VLOOKUP($E519,AgronomyYieldData!H:N,7,FALSE)</f>
        <v>9</v>
      </c>
      <c r="G519" s="3">
        <f>VLOOKUP($E519,AgronomyYieldData!$H:O,3,FALSE)</f>
        <v>1</v>
      </c>
      <c r="H519" s="9">
        <v>47</v>
      </c>
      <c r="I519">
        <v>0.59929140017484905</v>
      </c>
      <c r="J519">
        <v>0.22493584199295899</v>
      </c>
      <c r="K519" s="7">
        <v>3.10948293024182E-3</v>
      </c>
      <c r="L519" s="7">
        <v>0.99388888888888904</v>
      </c>
      <c r="M519">
        <v>0.359767415338755</v>
      </c>
      <c r="N519">
        <v>2.5731049085547701E-3</v>
      </c>
      <c r="O519">
        <v>0.10209411788841601</v>
      </c>
      <c r="P519">
        <v>8.5563714117808899E-4</v>
      </c>
      <c r="Q519">
        <v>2677.9108745112298</v>
      </c>
      <c r="R519">
        <v>1833547.9408702599</v>
      </c>
      <c r="S519">
        <v>16503.495043800602</v>
      </c>
      <c r="T519">
        <v>17487104.131034199</v>
      </c>
      <c r="U519" s="3">
        <v>667</v>
      </c>
      <c r="V519">
        <v>0.27974826211602</v>
      </c>
    </row>
    <row r="520" spans="1:22" x14ac:dyDescent="0.25">
      <c r="A520">
        <v>24101</v>
      </c>
      <c r="B520">
        <v>13</v>
      </c>
      <c r="C520">
        <v>9006</v>
      </c>
      <c r="D520">
        <v>9006</v>
      </c>
      <c r="E520" s="3">
        <f t="shared" si="8"/>
        <v>241019006</v>
      </c>
      <c r="F520" s="3">
        <f>VLOOKUP($E520,AgronomyYieldData!H:N,7,FALSE)</f>
        <v>19</v>
      </c>
      <c r="G520" s="3">
        <f>VLOOKUP($E520,AgronomyYieldData!$H:O,3,FALSE)</f>
        <v>1</v>
      </c>
      <c r="H520" s="9">
        <v>78</v>
      </c>
      <c r="I520">
        <v>0.76528292857997304</v>
      </c>
      <c r="J520">
        <v>0.22733956074742701</v>
      </c>
      <c r="K520" s="7">
        <v>3.51935767644335E-3</v>
      </c>
      <c r="L520" s="7">
        <v>1</v>
      </c>
      <c r="M520">
        <v>0.35398000989315298</v>
      </c>
      <c r="N520">
        <v>2.6082266432843702E-3</v>
      </c>
      <c r="O520">
        <v>0.10209411788841601</v>
      </c>
      <c r="P520">
        <v>8.5563714117808899E-4</v>
      </c>
      <c r="Q520">
        <v>2827.3130466472298</v>
      </c>
      <c r="R520">
        <v>1732656.2277937101</v>
      </c>
      <c r="S520">
        <v>16277.549039818899</v>
      </c>
      <c r="T520">
        <v>17284174.915730301</v>
      </c>
      <c r="U520" s="3">
        <v>527</v>
      </c>
      <c r="V520">
        <v>0.98473524962178505</v>
      </c>
    </row>
    <row r="521" spans="1:22" x14ac:dyDescent="0.25">
      <c r="A521">
        <v>24101</v>
      </c>
      <c r="B521">
        <v>13</v>
      </c>
      <c r="C521">
        <v>9007</v>
      </c>
      <c r="D521">
        <v>9007</v>
      </c>
      <c r="E521" s="3">
        <f t="shared" si="8"/>
        <v>241019007</v>
      </c>
      <c r="F521" s="3">
        <f>VLOOKUP($E521,AgronomyYieldData!H:N,7,FALSE)</f>
        <v>7</v>
      </c>
      <c r="G521" s="3">
        <f>VLOOKUP($E521,AgronomyYieldData!$H:O,3,FALSE)</f>
        <v>2</v>
      </c>
      <c r="H521" s="9">
        <v>35</v>
      </c>
      <c r="I521">
        <v>0.452499930979266</v>
      </c>
      <c r="J521">
        <v>0.21376703858139201</v>
      </c>
      <c r="K521" s="7">
        <v>1.9055658351735099E-3</v>
      </c>
      <c r="L521" s="7">
        <v>0.95614896020444096</v>
      </c>
      <c r="M521">
        <v>0.34218085359897099</v>
      </c>
      <c r="N521">
        <v>2.0437678241728499E-3</v>
      </c>
      <c r="O521">
        <v>0.10209411788841601</v>
      </c>
      <c r="P521">
        <v>8.5563714117808899E-4</v>
      </c>
      <c r="Q521">
        <v>2673.6143170916698</v>
      </c>
      <c r="R521">
        <v>1063243.4891649501</v>
      </c>
      <c r="S521">
        <v>16911.406371455902</v>
      </c>
      <c r="T521">
        <v>12103023.713466899</v>
      </c>
      <c r="U521" s="3">
        <v>1482</v>
      </c>
      <c r="V521">
        <v>0.92879781544768902</v>
      </c>
    </row>
    <row r="522" spans="1:22" x14ac:dyDescent="0.25">
      <c r="A522">
        <v>24101</v>
      </c>
      <c r="B522">
        <v>13</v>
      </c>
      <c r="C522">
        <v>9008</v>
      </c>
      <c r="D522">
        <v>9008</v>
      </c>
      <c r="E522" s="3">
        <f t="shared" si="8"/>
        <v>241019008</v>
      </c>
      <c r="F522" s="3">
        <f>VLOOKUP($E522,AgronomyYieldData!H:N,7,FALSE)</f>
        <v>45</v>
      </c>
      <c r="G522" s="3">
        <f>VLOOKUP($E522,AgronomyYieldData!$H:O,3,FALSE)</f>
        <v>2</v>
      </c>
      <c r="H522" s="9">
        <v>96</v>
      </c>
      <c r="I522">
        <v>0.50837896286752804</v>
      </c>
      <c r="J522">
        <v>0.24221883428121599</v>
      </c>
      <c r="K522" s="7">
        <v>7.1156064783209896E-3</v>
      </c>
      <c r="L522" s="7">
        <v>1</v>
      </c>
      <c r="M522">
        <v>0.36651520456296499</v>
      </c>
      <c r="N522">
        <v>4.0269257716301996E-3</v>
      </c>
      <c r="O522">
        <v>0.10209411788841601</v>
      </c>
      <c r="P522">
        <v>8.5563714117808899E-4</v>
      </c>
      <c r="Q522">
        <v>2933.2705604254902</v>
      </c>
      <c r="R522">
        <v>2953666.3644411298</v>
      </c>
      <c r="S522">
        <v>15980.6732429612</v>
      </c>
      <c r="T522">
        <v>20740895.613627099</v>
      </c>
      <c r="U522" s="3">
        <v>1911</v>
      </c>
      <c r="V522">
        <v>0.93888002178533803</v>
      </c>
    </row>
    <row r="523" spans="1:22" x14ac:dyDescent="0.25">
      <c r="A523">
        <v>24101</v>
      </c>
      <c r="B523">
        <v>13</v>
      </c>
      <c r="C523">
        <v>9009</v>
      </c>
      <c r="D523">
        <v>9009</v>
      </c>
      <c r="E523" s="3">
        <f t="shared" si="8"/>
        <v>241019009</v>
      </c>
      <c r="F523" s="3">
        <f>VLOOKUP($E523,AgronomyYieldData!H:N,7,FALSE)</f>
        <v>16</v>
      </c>
      <c r="G523" s="3">
        <f>VLOOKUP($E523,AgronomyYieldData!$H:O,3,FALSE)</f>
        <v>2</v>
      </c>
      <c r="H523" s="9">
        <v>78</v>
      </c>
      <c r="I523">
        <v>0.64946669979661797</v>
      </c>
      <c r="J523">
        <v>0.22878283182697001</v>
      </c>
      <c r="K523" s="7">
        <v>3.5898801538709799E-3</v>
      </c>
      <c r="L523" s="7">
        <v>0.99972222222222196</v>
      </c>
      <c r="M523">
        <v>0.35609428943719601</v>
      </c>
      <c r="N523">
        <v>2.4898857382072599E-3</v>
      </c>
      <c r="O523">
        <v>0.10209411788841601</v>
      </c>
      <c r="P523">
        <v>8.5563714117808899E-4</v>
      </c>
      <c r="Q523">
        <v>2824.1872352999098</v>
      </c>
      <c r="R523">
        <v>1962483.2785251001</v>
      </c>
      <c r="S523">
        <v>16152.8035289297</v>
      </c>
      <c r="T523">
        <v>17095845.310910799</v>
      </c>
      <c r="U523" s="3">
        <v>1876</v>
      </c>
      <c r="V523">
        <v>0.96459152798789705</v>
      </c>
    </row>
    <row r="524" spans="1:22" x14ac:dyDescent="0.25">
      <c r="A524">
        <v>24101</v>
      </c>
      <c r="B524">
        <v>13</v>
      </c>
      <c r="C524">
        <v>9010</v>
      </c>
      <c r="D524">
        <v>9010</v>
      </c>
      <c r="E524" s="3">
        <f t="shared" si="8"/>
        <v>241019010</v>
      </c>
      <c r="F524" s="3">
        <f>VLOOKUP($E524,AgronomyYieldData!H:N,7,FALSE)</f>
        <v>67</v>
      </c>
      <c r="G524" s="3">
        <f>VLOOKUP($E524,AgronomyYieldData!$H:O,3,FALSE)</f>
        <v>2</v>
      </c>
      <c r="H524" s="9">
        <v>45</v>
      </c>
      <c r="I524">
        <v>0.31895249615849802</v>
      </c>
      <c r="J524">
        <v>0.22162280917080801</v>
      </c>
      <c r="K524" s="7">
        <v>2.1130582626901202E-3</v>
      </c>
      <c r="L524" s="7">
        <v>0.90356705832817996</v>
      </c>
      <c r="M524">
        <v>0.35288168876610398</v>
      </c>
      <c r="N524">
        <v>2.2660146232842001E-3</v>
      </c>
      <c r="O524">
        <v>0.10209411788841601</v>
      </c>
      <c r="P524">
        <v>8.5563714117808899E-4</v>
      </c>
      <c r="Q524">
        <v>2563.93577057119</v>
      </c>
      <c r="R524">
        <v>1178638.73968463</v>
      </c>
      <c r="S524">
        <v>16932.7926786803</v>
      </c>
      <c r="T524">
        <v>14782081.924373399</v>
      </c>
      <c r="U524" s="3">
        <v>2074</v>
      </c>
      <c r="V524">
        <v>0.96978394066430096</v>
      </c>
    </row>
    <row r="525" spans="1:22" x14ac:dyDescent="0.25">
      <c r="A525">
        <v>24101</v>
      </c>
      <c r="B525">
        <v>13</v>
      </c>
      <c r="C525">
        <v>9011</v>
      </c>
      <c r="D525">
        <v>9011</v>
      </c>
      <c r="E525" s="3">
        <f t="shared" si="8"/>
        <v>241019011</v>
      </c>
      <c r="F525" s="3">
        <f>VLOOKUP($E525,AgronomyYieldData!H:N,7,FALSE)</f>
        <v>60</v>
      </c>
      <c r="G525" s="3">
        <f>VLOOKUP($E525,AgronomyYieldData!$H:O,3,FALSE)</f>
        <v>2</v>
      </c>
      <c r="H525" s="9">
        <v>39</v>
      </c>
      <c r="I525">
        <v>0.345761271128257</v>
      </c>
      <c r="J525">
        <v>0.224985713326845</v>
      </c>
      <c r="K525" s="7">
        <v>2.3605131107489398E-3</v>
      </c>
      <c r="L525" s="7">
        <v>0.76070366569300796</v>
      </c>
      <c r="M525">
        <v>0.35790252353455798</v>
      </c>
      <c r="N525">
        <v>2.5648749304760499E-3</v>
      </c>
      <c r="O525">
        <v>0.10209411788841601</v>
      </c>
      <c r="P525">
        <v>8.5563714117808899E-4</v>
      </c>
      <c r="Q525">
        <v>2589.9275476927</v>
      </c>
      <c r="R525">
        <v>1462856.4565545099</v>
      </c>
      <c r="S525">
        <v>16961.273073499098</v>
      </c>
      <c r="T525">
        <v>15544241.0636795</v>
      </c>
      <c r="U525" s="3">
        <v>1594</v>
      </c>
      <c r="V525">
        <v>0.74113726754810205</v>
      </c>
    </row>
    <row r="526" spans="1:22" x14ac:dyDescent="0.25">
      <c r="A526">
        <v>24101</v>
      </c>
      <c r="B526">
        <v>13</v>
      </c>
      <c r="C526">
        <v>9012</v>
      </c>
      <c r="D526">
        <v>9012</v>
      </c>
      <c r="E526" s="3">
        <f t="shared" si="8"/>
        <v>241019012</v>
      </c>
      <c r="F526" s="3">
        <f>VLOOKUP($E526,AgronomyYieldData!H:N,7,FALSE)</f>
        <v>88</v>
      </c>
      <c r="G526" s="3">
        <f>VLOOKUP($E526,AgronomyYieldData!$H:O,3,FALSE)</f>
        <v>2</v>
      </c>
      <c r="H526" s="9">
        <v>66</v>
      </c>
      <c r="I526">
        <v>0.42643702962657798</v>
      </c>
      <c r="J526">
        <v>0.22699601083215701</v>
      </c>
      <c r="K526" s="7">
        <v>3.5740292856979599E-3</v>
      </c>
      <c r="L526" s="7">
        <v>0.86392105263157903</v>
      </c>
      <c r="M526">
        <v>0.35776117472760199</v>
      </c>
      <c r="N526">
        <v>2.9240427146923599E-3</v>
      </c>
      <c r="O526">
        <v>0.10209411788841601</v>
      </c>
      <c r="P526">
        <v>8.5563714117808899E-4</v>
      </c>
      <c r="Q526">
        <v>2690.2986290441099</v>
      </c>
      <c r="R526">
        <v>1624820.0504497399</v>
      </c>
      <c r="S526">
        <v>16669.0736190102</v>
      </c>
      <c r="T526">
        <v>17627603.009174</v>
      </c>
      <c r="U526" s="3">
        <v>2503</v>
      </c>
      <c r="V526">
        <v>0.93066678132625302</v>
      </c>
    </row>
    <row r="527" spans="1:22" x14ac:dyDescent="0.25">
      <c r="A527">
        <v>24101</v>
      </c>
      <c r="B527">
        <v>13</v>
      </c>
      <c r="C527">
        <v>9013</v>
      </c>
      <c r="D527">
        <v>9013</v>
      </c>
      <c r="E527" s="3">
        <f t="shared" si="8"/>
        <v>241019013</v>
      </c>
      <c r="F527" s="3">
        <f>VLOOKUP($E527,AgronomyYieldData!H:N,7,FALSE)</f>
        <v>33</v>
      </c>
      <c r="G527" s="3">
        <f>VLOOKUP($E527,AgronomyYieldData!$H:O,3,FALSE)</f>
        <v>3</v>
      </c>
      <c r="H527" s="9">
        <v>68</v>
      </c>
      <c r="I527">
        <v>0.72476625193256194</v>
      </c>
      <c r="J527">
        <v>0.23298842968925501</v>
      </c>
      <c r="K527" s="7">
        <v>5.0009695785296297E-3</v>
      </c>
      <c r="L527" s="7">
        <v>0.85951851851851901</v>
      </c>
      <c r="M527">
        <v>0.35704281394606802</v>
      </c>
      <c r="N527">
        <v>3.4289516194775499E-3</v>
      </c>
      <c r="O527">
        <v>0.10209411788841601</v>
      </c>
      <c r="P527">
        <v>8.5563714117808899E-4</v>
      </c>
      <c r="Q527">
        <v>2652.9759085984401</v>
      </c>
      <c r="R527">
        <v>1572126.64023513</v>
      </c>
      <c r="S527">
        <v>16195.178450232699</v>
      </c>
      <c r="T527">
        <v>19482984.149204001</v>
      </c>
      <c r="U527" s="3">
        <v>2973</v>
      </c>
      <c r="V527">
        <v>0.87218608169440204</v>
      </c>
    </row>
    <row r="528" spans="1:22" x14ac:dyDescent="0.25">
      <c r="A528">
        <v>24101</v>
      </c>
      <c r="B528">
        <v>13</v>
      </c>
      <c r="C528">
        <v>9014</v>
      </c>
      <c r="D528">
        <v>9014</v>
      </c>
      <c r="E528" s="3">
        <f t="shared" si="8"/>
        <v>241019014</v>
      </c>
      <c r="F528" s="3">
        <f>VLOOKUP($E528,AgronomyYieldData!H:N,7,FALSE)</f>
        <v>2</v>
      </c>
      <c r="G528" s="3">
        <f>VLOOKUP($E528,AgronomyYieldData!$H:O,3,FALSE)</f>
        <v>3</v>
      </c>
      <c r="H528" s="9">
        <v>48</v>
      </c>
      <c r="I528">
        <v>0.60512027681151404</v>
      </c>
      <c r="J528">
        <v>0.23121811900177699</v>
      </c>
      <c r="K528" s="7">
        <v>2.96264142414625E-3</v>
      </c>
      <c r="L528" s="7">
        <v>0.97151904594359395</v>
      </c>
      <c r="M528">
        <v>0.35239144555433599</v>
      </c>
      <c r="N528">
        <v>3.04682633061776E-3</v>
      </c>
      <c r="O528">
        <v>0.10209411788841601</v>
      </c>
      <c r="P528">
        <v>8.5563714117808899E-4</v>
      </c>
      <c r="Q528">
        <v>2643.7194890129899</v>
      </c>
      <c r="R528">
        <v>1410068.97971069</v>
      </c>
      <c r="S528">
        <v>16661.862120088099</v>
      </c>
      <c r="T528">
        <v>18428029.871332299</v>
      </c>
      <c r="U528" s="3">
        <v>2009</v>
      </c>
      <c r="V528">
        <v>0.91347266662128102</v>
      </c>
    </row>
    <row r="529" spans="1:22" x14ac:dyDescent="0.25">
      <c r="A529">
        <v>24101</v>
      </c>
      <c r="B529">
        <v>13</v>
      </c>
      <c r="C529">
        <v>9015</v>
      </c>
      <c r="D529">
        <v>9015</v>
      </c>
      <c r="E529" s="3">
        <f t="shared" si="8"/>
        <v>241019015</v>
      </c>
      <c r="F529" s="3">
        <f>VLOOKUP($E529,AgronomyYieldData!H:N,7,FALSE)</f>
        <v>20</v>
      </c>
      <c r="G529" s="3">
        <f>VLOOKUP($E529,AgronomyYieldData!$H:O,3,FALSE)</f>
        <v>3</v>
      </c>
      <c r="H529" s="9">
        <v>82</v>
      </c>
      <c r="I529">
        <v>0.62618482321977398</v>
      </c>
      <c r="J529">
        <v>0.23989250980934201</v>
      </c>
      <c r="K529" s="7">
        <v>2.9314908692182301E-3</v>
      </c>
      <c r="L529" s="7">
        <v>0.99474083813262704</v>
      </c>
      <c r="M529">
        <v>0.360042442909495</v>
      </c>
      <c r="N529">
        <v>2.7138996825653802E-3</v>
      </c>
      <c r="O529">
        <v>0.10209411788841601</v>
      </c>
      <c r="P529">
        <v>8.5563714117808899E-4</v>
      </c>
      <c r="Q529">
        <v>2597.2915041563301</v>
      </c>
      <c r="R529">
        <v>1527692.2631224601</v>
      </c>
      <c r="S529">
        <v>16263.5688233653</v>
      </c>
      <c r="T529">
        <v>17053873.5462461</v>
      </c>
      <c r="U529" s="3">
        <v>2041</v>
      </c>
      <c r="V529">
        <v>0.919682299546142</v>
      </c>
    </row>
    <row r="530" spans="1:22" x14ac:dyDescent="0.25">
      <c r="A530">
        <v>24101</v>
      </c>
      <c r="B530">
        <v>13</v>
      </c>
      <c r="C530">
        <v>9016</v>
      </c>
      <c r="D530">
        <v>9016</v>
      </c>
      <c r="E530" s="3">
        <f t="shared" si="8"/>
        <v>241019016</v>
      </c>
      <c r="F530" s="3">
        <f>VLOOKUP($E530,AgronomyYieldData!H:N,7,FALSE)</f>
        <v>72</v>
      </c>
      <c r="G530" s="3">
        <f>VLOOKUP($E530,AgronomyYieldData!$H:O,3,FALSE)</f>
        <v>3</v>
      </c>
      <c r="H530" s="9">
        <v>88</v>
      </c>
      <c r="I530">
        <v>0.41031928179577198</v>
      </c>
      <c r="J530">
        <v>0.24190253818173299</v>
      </c>
      <c r="K530" s="7">
        <v>4.5184510125717298E-3</v>
      </c>
      <c r="L530" s="7">
        <v>0.99053947368421102</v>
      </c>
      <c r="M530">
        <v>0.36342720616681501</v>
      </c>
      <c r="N530">
        <v>2.7787132927681699E-3</v>
      </c>
      <c r="O530">
        <v>0.10209411788841601</v>
      </c>
      <c r="P530">
        <v>8.5563714117808899E-4</v>
      </c>
      <c r="Q530">
        <v>2804.2746371436201</v>
      </c>
      <c r="R530">
        <v>2127417.8049752801</v>
      </c>
      <c r="S530">
        <v>16196.321017545701</v>
      </c>
      <c r="T530">
        <v>17128937.1580147</v>
      </c>
      <c r="U530" s="3">
        <v>933</v>
      </c>
      <c r="V530">
        <v>0.89946145825495205</v>
      </c>
    </row>
    <row r="531" spans="1:22" x14ac:dyDescent="0.25">
      <c r="A531">
        <v>24101</v>
      </c>
      <c r="B531">
        <v>13</v>
      </c>
      <c r="C531">
        <v>9017</v>
      </c>
      <c r="D531">
        <v>9017</v>
      </c>
      <c r="E531" s="3">
        <f t="shared" ref="E531:E594" si="9">$A531*10000+$C531</f>
        <v>241019017</v>
      </c>
      <c r="F531" s="3">
        <f>VLOOKUP($E531,AgronomyYieldData!H:N,7,FALSE)</f>
        <v>87</v>
      </c>
      <c r="G531" s="3">
        <f>VLOOKUP($E531,AgronomyYieldData!$H:O,3,FALSE)</f>
        <v>3</v>
      </c>
      <c r="H531" s="9">
        <v>82</v>
      </c>
      <c r="I531">
        <v>0.60910701792241195</v>
      </c>
      <c r="J531">
        <v>0.243945565931141</v>
      </c>
      <c r="K531" s="7">
        <v>5.7028941031379904E-3</v>
      </c>
      <c r="L531" s="7">
        <v>0.99960525796392097</v>
      </c>
      <c r="M531">
        <v>0.36517012587715397</v>
      </c>
      <c r="N531">
        <v>3.0723310076748401E-3</v>
      </c>
      <c r="O531">
        <v>0.10209411788841601</v>
      </c>
      <c r="P531">
        <v>8.5563714117808899E-4</v>
      </c>
      <c r="Q531">
        <v>2733.4503961033502</v>
      </c>
      <c r="R531">
        <v>2136650.7951699202</v>
      </c>
      <c r="S531">
        <v>15971.876279787601</v>
      </c>
      <c r="T531">
        <v>17653712.5945081</v>
      </c>
      <c r="U531" s="3">
        <v>1266</v>
      </c>
      <c r="V531">
        <v>0.93196134497140604</v>
      </c>
    </row>
    <row r="532" spans="1:22" x14ac:dyDescent="0.25">
      <c r="A532">
        <v>24101</v>
      </c>
      <c r="B532">
        <v>13</v>
      </c>
      <c r="C532">
        <v>9018</v>
      </c>
      <c r="D532">
        <v>9018</v>
      </c>
      <c r="E532" s="3">
        <f t="shared" si="9"/>
        <v>241019018</v>
      </c>
      <c r="F532" s="3">
        <f>VLOOKUP($E532,AgronomyYieldData!H:N,7,FALSE)</f>
        <v>59</v>
      </c>
      <c r="G532" s="3">
        <f>VLOOKUP($E532,AgronomyYieldData!$H:O,3,FALSE)</f>
        <v>3</v>
      </c>
      <c r="H532" s="9">
        <v>71</v>
      </c>
      <c r="I532">
        <v>0.54984078411371995</v>
      </c>
      <c r="J532">
        <v>0.237427026893581</v>
      </c>
      <c r="K532" s="7">
        <v>3.1156437273741002E-3</v>
      </c>
      <c r="L532" s="7">
        <v>0.99775000000000003</v>
      </c>
      <c r="M532">
        <v>0.36268029283182501</v>
      </c>
      <c r="N532">
        <v>2.52499702713488E-3</v>
      </c>
      <c r="O532">
        <v>0.10209411788841601</v>
      </c>
      <c r="P532">
        <v>8.5563714117808899E-4</v>
      </c>
      <c r="Q532">
        <v>2578.0601486395699</v>
      </c>
      <c r="R532">
        <v>1915848.13502146</v>
      </c>
      <c r="S532">
        <v>16458.522355049401</v>
      </c>
      <c r="T532">
        <v>16928085.0782637</v>
      </c>
      <c r="U532" s="3">
        <v>1609</v>
      </c>
      <c r="V532">
        <v>0.76133096135138401</v>
      </c>
    </row>
    <row r="533" spans="1:22" x14ac:dyDescent="0.25">
      <c r="A533">
        <v>24101</v>
      </c>
      <c r="B533">
        <v>13</v>
      </c>
      <c r="C533">
        <v>9019</v>
      </c>
      <c r="D533">
        <v>9019</v>
      </c>
      <c r="E533" s="3">
        <f t="shared" si="9"/>
        <v>241019019</v>
      </c>
      <c r="F533" s="3">
        <f>VLOOKUP($E533,AgronomyYieldData!H:N,7,FALSE)</f>
        <v>10</v>
      </c>
      <c r="G533" s="3">
        <f>VLOOKUP($E533,AgronomyYieldData!$H:O,3,FALSE)</f>
        <v>4</v>
      </c>
      <c r="H533" s="9">
        <v>70</v>
      </c>
      <c r="I533">
        <v>0.45636589518244097</v>
      </c>
      <c r="J533">
        <v>0.23717227400456001</v>
      </c>
      <c r="K533" s="7">
        <v>3.7159137250901801E-3</v>
      </c>
      <c r="L533" s="7">
        <v>1</v>
      </c>
      <c r="M533">
        <v>0.35845134735883799</v>
      </c>
      <c r="N533">
        <v>2.60459484484926E-3</v>
      </c>
      <c r="O533">
        <v>0.10209411788841601</v>
      </c>
      <c r="P533">
        <v>8.5563714117808899E-4</v>
      </c>
      <c r="Q533">
        <v>2525.1131291244001</v>
      </c>
      <c r="R533">
        <v>1353297.7096877501</v>
      </c>
      <c r="S533">
        <v>15802.110494983701</v>
      </c>
      <c r="T533">
        <v>16078526.157420101</v>
      </c>
      <c r="U533" s="3">
        <v>476</v>
      </c>
      <c r="V533">
        <v>0.44889144395948499</v>
      </c>
    </row>
    <row r="534" spans="1:22" x14ac:dyDescent="0.25">
      <c r="A534">
        <v>24101</v>
      </c>
      <c r="B534">
        <v>13</v>
      </c>
      <c r="C534">
        <v>9021</v>
      </c>
      <c r="D534">
        <v>9021</v>
      </c>
      <c r="E534" s="3">
        <f t="shared" si="9"/>
        <v>241019021</v>
      </c>
      <c r="F534" s="3">
        <f>VLOOKUP($E534,AgronomyYieldData!H:N,7,FALSE)</f>
        <v>45</v>
      </c>
      <c r="G534" s="3">
        <f>VLOOKUP($E534,AgronomyYieldData!$H:O,3,FALSE)</f>
        <v>4</v>
      </c>
      <c r="H534" s="9">
        <v>81</v>
      </c>
      <c r="I534">
        <v>0.51797250289879004</v>
      </c>
      <c r="J534">
        <v>0.22689219849400699</v>
      </c>
      <c r="K534" s="7">
        <v>5.2921735170899098E-3</v>
      </c>
      <c r="L534" s="7">
        <v>0.97888967075293498</v>
      </c>
      <c r="M534">
        <v>0.34557046870531599</v>
      </c>
      <c r="N534">
        <v>3.1366424898158101E-3</v>
      </c>
      <c r="O534">
        <v>0.10209411788841601</v>
      </c>
      <c r="P534">
        <v>8.5563714117808899E-4</v>
      </c>
      <c r="Q534">
        <v>2520.6928001575902</v>
      </c>
      <c r="R534">
        <v>1840569.22947344</v>
      </c>
      <c r="S534">
        <v>15669.0626906784</v>
      </c>
      <c r="T534">
        <v>15834108.3415647</v>
      </c>
      <c r="U534" s="3">
        <v>1887</v>
      </c>
      <c r="V534">
        <v>0.88995461422087696</v>
      </c>
    </row>
    <row r="535" spans="1:22" x14ac:dyDescent="0.25">
      <c r="A535">
        <v>24101</v>
      </c>
      <c r="B535">
        <v>13</v>
      </c>
      <c r="C535">
        <v>9022</v>
      </c>
      <c r="D535">
        <v>9022</v>
      </c>
      <c r="E535" s="3">
        <f t="shared" si="9"/>
        <v>241019022</v>
      </c>
      <c r="F535" s="3">
        <f>VLOOKUP($E535,AgronomyYieldData!H:N,7,FALSE)</f>
        <v>80</v>
      </c>
      <c r="G535" s="3">
        <f>VLOOKUP($E535,AgronomyYieldData!$H:O,3,FALSE)</f>
        <v>4</v>
      </c>
      <c r="H535" s="9">
        <v>136</v>
      </c>
      <c r="I535">
        <v>0.39433764875114402</v>
      </c>
      <c r="J535">
        <v>0.23318592662953799</v>
      </c>
      <c r="K535" s="7">
        <v>6.4860132847327596E-3</v>
      </c>
      <c r="L535" s="7">
        <v>0.99997368490302896</v>
      </c>
      <c r="M535">
        <v>0.35835543159514899</v>
      </c>
      <c r="N535">
        <v>4.0995572110878002E-3</v>
      </c>
      <c r="O535">
        <v>0.10209411788841601</v>
      </c>
      <c r="P535">
        <v>8.5563714117808899E-4</v>
      </c>
      <c r="Q535">
        <v>2339.9596131371</v>
      </c>
      <c r="R535">
        <v>1386157.7996118099</v>
      </c>
      <c r="S535">
        <v>15834.4342534566</v>
      </c>
      <c r="T535">
        <v>20520651.267336302</v>
      </c>
      <c r="U535" s="3">
        <v>2317</v>
      </c>
      <c r="V535">
        <v>0.87261636031387702</v>
      </c>
    </row>
    <row r="536" spans="1:22" x14ac:dyDescent="0.25">
      <c r="A536">
        <v>24101</v>
      </c>
      <c r="B536">
        <v>13</v>
      </c>
      <c r="C536">
        <v>9023</v>
      </c>
      <c r="D536">
        <v>9023</v>
      </c>
      <c r="E536" s="3">
        <f t="shared" si="9"/>
        <v>241019023</v>
      </c>
      <c r="F536" s="3">
        <f>VLOOKUP($E536,AgronomyYieldData!H:N,7,FALSE)</f>
        <v>75</v>
      </c>
      <c r="G536" s="3">
        <f>VLOOKUP($E536,AgronomyYieldData!$H:O,3,FALSE)</f>
        <v>4</v>
      </c>
      <c r="H536" s="9">
        <v>89</v>
      </c>
      <c r="I536">
        <v>0.44283883454516898</v>
      </c>
      <c r="J536">
        <v>0.219388202071366</v>
      </c>
      <c r="K536" s="7">
        <v>4.2941831823207002E-3</v>
      </c>
      <c r="L536" s="7">
        <v>0.95355263157894699</v>
      </c>
      <c r="M536">
        <v>0.351079186673733</v>
      </c>
      <c r="N536">
        <v>2.9927391215913298E-3</v>
      </c>
      <c r="O536">
        <v>0.10209411788841601</v>
      </c>
      <c r="P536">
        <v>8.5563714117808899E-4</v>
      </c>
      <c r="Q536">
        <v>2267.0593932607899</v>
      </c>
      <c r="R536">
        <v>1728552.1376180099</v>
      </c>
      <c r="S536">
        <v>15844.115578929899</v>
      </c>
      <c r="T536">
        <v>17033556.731662601</v>
      </c>
      <c r="U536" s="3">
        <v>2008</v>
      </c>
      <c r="V536">
        <v>0.83816147305736799</v>
      </c>
    </row>
    <row r="537" spans="1:22" x14ac:dyDescent="0.25">
      <c r="A537">
        <v>24101</v>
      </c>
      <c r="B537">
        <v>13</v>
      </c>
      <c r="C537">
        <v>9024</v>
      </c>
      <c r="D537">
        <v>9024</v>
      </c>
      <c r="E537" s="3">
        <f t="shared" si="9"/>
        <v>241019024</v>
      </c>
      <c r="F537" s="3">
        <f>VLOOKUP($E537,AgronomyYieldData!H:N,7,FALSE)</f>
        <v>58</v>
      </c>
      <c r="G537" s="3">
        <f>VLOOKUP($E537,AgronomyYieldData!$H:O,3,FALSE)</f>
        <v>4</v>
      </c>
      <c r="H537" s="9">
        <v>82</v>
      </c>
      <c r="I537">
        <v>0.31410730048713498</v>
      </c>
      <c r="J537">
        <v>0.21376207089854299</v>
      </c>
      <c r="K537" s="7">
        <v>2.93440961479392E-3</v>
      </c>
      <c r="L537" s="7">
        <v>0.98589473684210505</v>
      </c>
      <c r="M537">
        <v>0.34656083210755301</v>
      </c>
      <c r="N537">
        <v>2.4155819009896102E-3</v>
      </c>
      <c r="O537">
        <v>0.10209411788841601</v>
      </c>
      <c r="P537">
        <v>8.5563714117808899E-4</v>
      </c>
      <c r="Q537">
        <v>2261.5177409195899</v>
      </c>
      <c r="R537">
        <v>1139017.4036638299</v>
      </c>
      <c r="S537">
        <v>15619.3863916316</v>
      </c>
      <c r="T537">
        <v>16473809.563107399</v>
      </c>
      <c r="U537" s="3">
        <v>1797</v>
      </c>
      <c r="V537">
        <v>0.90560673323945695</v>
      </c>
    </row>
    <row r="538" spans="1:22" x14ac:dyDescent="0.25">
      <c r="A538">
        <v>24101</v>
      </c>
      <c r="B538">
        <v>13</v>
      </c>
      <c r="C538">
        <v>10001</v>
      </c>
      <c r="D538">
        <v>10001</v>
      </c>
      <c r="E538" s="3">
        <f t="shared" si="9"/>
        <v>241020001</v>
      </c>
      <c r="F538" s="3">
        <f>VLOOKUP($E538,AgronomyYieldData!H:N,7,FALSE)</f>
        <v>72</v>
      </c>
      <c r="G538" s="3">
        <f>VLOOKUP($E538,AgronomyYieldData!$H:O,3,FALSE)</f>
        <v>1</v>
      </c>
      <c r="H538" s="9">
        <v>60</v>
      </c>
      <c r="I538">
        <v>0.37745447412299299</v>
      </c>
      <c r="J538">
        <v>0.234080924410597</v>
      </c>
      <c r="K538" s="7">
        <v>3.4885035633173702E-3</v>
      </c>
      <c r="L538" s="7">
        <v>0.99593421052631603</v>
      </c>
      <c r="M538">
        <v>0.34924345380722499</v>
      </c>
      <c r="N538">
        <v>3.1592550568724201E-3</v>
      </c>
      <c r="O538">
        <v>0.10209411788841601</v>
      </c>
      <c r="P538">
        <v>8.5563714117808899E-4</v>
      </c>
      <c r="Q538">
        <v>2297.8439041800498</v>
      </c>
      <c r="R538">
        <v>1825325.0665972601</v>
      </c>
      <c r="S538">
        <v>16424.643469443799</v>
      </c>
      <c r="T538">
        <v>16823702.438114401</v>
      </c>
      <c r="U538" s="3">
        <v>729</v>
      </c>
      <c r="V538">
        <v>0.94934375302325003</v>
      </c>
    </row>
    <row r="539" spans="1:22" x14ac:dyDescent="0.25">
      <c r="A539">
        <v>24101</v>
      </c>
      <c r="B539">
        <v>13</v>
      </c>
      <c r="C539">
        <v>10002</v>
      </c>
      <c r="D539">
        <v>10002</v>
      </c>
      <c r="E539" s="3">
        <f t="shared" si="9"/>
        <v>241020002</v>
      </c>
      <c r="F539" s="3">
        <f>VLOOKUP($E539,AgronomyYieldData!H:N,7,FALSE)</f>
        <v>89</v>
      </c>
      <c r="G539" s="3">
        <f>VLOOKUP($E539,AgronomyYieldData!$H:O,3,FALSE)</f>
        <v>1</v>
      </c>
      <c r="H539" s="9">
        <v>77</v>
      </c>
      <c r="I539">
        <v>0.788047209598849</v>
      </c>
      <c r="J539">
        <v>0.227837361865107</v>
      </c>
      <c r="K539" s="7">
        <v>7.5564206826441004E-3</v>
      </c>
      <c r="L539" s="7">
        <v>0.99993421139195504</v>
      </c>
      <c r="M539">
        <v>0.35947180321994898</v>
      </c>
      <c r="N539">
        <v>3.5813070604053501E-3</v>
      </c>
      <c r="O539">
        <v>0.10209411788841601</v>
      </c>
      <c r="P539">
        <v>8.5563714117808899E-4</v>
      </c>
      <c r="Q539">
        <v>2516.8138454217201</v>
      </c>
      <c r="R539">
        <v>2286369.3027201402</v>
      </c>
      <c r="S539">
        <v>15618.3566082711</v>
      </c>
      <c r="T539">
        <v>17400850.772950798</v>
      </c>
      <c r="U539" s="3">
        <v>1849</v>
      </c>
      <c r="V539">
        <v>0.89308882570769799</v>
      </c>
    </row>
    <row r="540" spans="1:22" x14ac:dyDescent="0.25">
      <c r="A540">
        <v>24101</v>
      </c>
      <c r="B540">
        <v>13</v>
      </c>
      <c r="C540">
        <v>10003</v>
      </c>
      <c r="D540">
        <v>10003</v>
      </c>
      <c r="E540" s="3">
        <f t="shared" si="9"/>
        <v>241020003</v>
      </c>
      <c r="F540" s="3">
        <f>VLOOKUP($E540,AgronomyYieldData!H:N,7,FALSE)</f>
        <v>56</v>
      </c>
      <c r="G540" s="3">
        <f>VLOOKUP($E540,AgronomyYieldData!$H:O,3,FALSE)</f>
        <v>1</v>
      </c>
      <c r="H540" s="9">
        <v>39</v>
      </c>
      <c r="I540">
        <v>0.298307788879008</v>
      </c>
      <c r="J540">
        <v>0.20999783145284201</v>
      </c>
      <c r="K540" s="7">
        <v>3.0358600991804E-3</v>
      </c>
      <c r="L540" s="7">
        <v>0.67135526315789495</v>
      </c>
      <c r="M540">
        <v>0.36371086119187301</v>
      </c>
      <c r="N540">
        <v>2.6337260774678202E-3</v>
      </c>
      <c r="O540">
        <v>7.7678776515304901E-2</v>
      </c>
      <c r="P540">
        <v>1.12397102936487E-3</v>
      </c>
      <c r="Q540">
        <v>2323.86906894718</v>
      </c>
      <c r="R540">
        <v>1060776.3252904899</v>
      </c>
      <c r="S540">
        <v>16483.713338184301</v>
      </c>
      <c r="T540">
        <v>15077193.324445199</v>
      </c>
      <c r="U540" s="3">
        <v>457</v>
      </c>
      <c r="V540">
        <v>0.44721000978189501</v>
      </c>
    </row>
    <row r="541" spans="1:22" x14ac:dyDescent="0.25">
      <c r="A541">
        <v>24101</v>
      </c>
      <c r="B541">
        <v>13</v>
      </c>
      <c r="C541">
        <v>10004</v>
      </c>
      <c r="D541">
        <v>10004</v>
      </c>
      <c r="E541" s="3">
        <f t="shared" si="9"/>
        <v>241020004</v>
      </c>
      <c r="F541" s="3">
        <f>VLOOKUP($E541,AgronomyYieldData!H:N,7,FALSE)</f>
        <v>35</v>
      </c>
      <c r="G541" s="3">
        <f>VLOOKUP($E541,AgronomyYieldData!$H:O,3,FALSE)</f>
        <v>1</v>
      </c>
      <c r="H541" s="9">
        <v>65</v>
      </c>
      <c r="I541">
        <v>0.17085223664957999</v>
      </c>
      <c r="J541">
        <v>0.23160746916500799</v>
      </c>
      <c r="K541" s="7">
        <v>3.77616249654516E-3</v>
      </c>
      <c r="L541" s="7">
        <v>0.810307789177377</v>
      </c>
      <c r="M541">
        <v>0.39021857308337399</v>
      </c>
      <c r="N541">
        <v>2.8976653917139801E-3</v>
      </c>
      <c r="O541">
        <v>7.7678776515304901E-2</v>
      </c>
      <c r="P541">
        <v>1.12397102936487E-3</v>
      </c>
      <c r="Q541">
        <v>2341.0078401245</v>
      </c>
      <c r="R541">
        <v>1269082.12309545</v>
      </c>
      <c r="S541">
        <v>15830.240339120501</v>
      </c>
      <c r="T541">
        <v>17925003.070313901</v>
      </c>
      <c r="U541" s="3">
        <v>1693</v>
      </c>
      <c r="V541">
        <v>0.70424889749544195</v>
      </c>
    </row>
    <row r="542" spans="1:22" x14ac:dyDescent="0.25">
      <c r="A542">
        <v>24101</v>
      </c>
      <c r="B542">
        <v>13</v>
      </c>
      <c r="C542">
        <v>10005</v>
      </c>
      <c r="D542">
        <v>10005</v>
      </c>
      <c r="E542" s="3">
        <f t="shared" si="9"/>
        <v>241020005</v>
      </c>
      <c r="F542" s="3">
        <f>VLOOKUP($E542,AgronomyYieldData!H:N,7,FALSE)</f>
        <v>11</v>
      </c>
      <c r="G542" s="3">
        <f>VLOOKUP($E542,AgronomyYieldData!$H:O,3,FALSE)</f>
        <v>1</v>
      </c>
      <c r="H542" s="9">
        <v>79</v>
      </c>
      <c r="I542">
        <v>0.63651003993889499</v>
      </c>
      <c r="J542">
        <v>0.23744577261438499</v>
      </c>
      <c r="K542" s="7">
        <v>4.13349579588905E-3</v>
      </c>
      <c r="L542" s="7">
        <v>1</v>
      </c>
      <c r="M542">
        <v>0.393667742339118</v>
      </c>
      <c r="N542">
        <v>3.13007596794916E-3</v>
      </c>
      <c r="O542">
        <v>7.7678776515304901E-2</v>
      </c>
      <c r="P542">
        <v>1.12397102936487E-3</v>
      </c>
      <c r="Q542">
        <v>2338.7515685173698</v>
      </c>
      <c r="R542">
        <v>1631269.63735301</v>
      </c>
      <c r="S542">
        <v>15878.417152935799</v>
      </c>
      <c r="T542">
        <v>19127975.478993598</v>
      </c>
      <c r="U542" s="3">
        <v>657</v>
      </c>
      <c r="V542">
        <v>0.54863159805745898</v>
      </c>
    </row>
    <row r="543" spans="1:22" x14ac:dyDescent="0.25">
      <c r="A543">
        <v>24101</v>
      </c>
      <c r="B543">
        <v>13</v>
      </c>
      <c r="C543">
        <v>10006</v>
      </c>
      <c r="D543">
        <v>10006</v>
      </c>
      <c r="E543" s="3">
        <f t="shared" si="9"/>
        <v>241020006</v>
      </c>
      <c r="F543" s="3">
        <f>VLOOKUP($E543,AgronomyYieldData!H:N,7,FALSE)</f>
        <v>21</v>
      </c>
      <c r="G543" s="3">
        <f>VLOOKUP($E543,AgronomyYieldData!$H:O,3,FALSE)</f>
        <v>1</v>
      </c>
      <c r="H543" s="9">
        <v>83</v>
      </c>
      <c r="I543">
        <v>0.73827578590885601</v>
      </c>
      <c r="J543">
        <v>0.24800320099478201</v>
      </c>
      <c r="K543" s="7">
        <v>5.0353159070260596E-3</v>
      </c>
      <c r="L543" s="7">
        <v>1</v>
      </c>
      <c r="M543">
        <v>0.40041212069892002</v>
      </c>
      <c r="N543">
        <v>2.9399337088389199E-3</v>
      </c>
      <c r="O543">
        <v>7.7678776515304901E-2</v>
      </c>
      <c r="P543">
        <v>1.12397102936487E-3</v>
      </c>
      <c r="Q543">
        <v>2396.0541120850999</v>
      </c>
      <c r="R543">
        <v>1355246.1556654</v>
      </c>
      <c r="S543">
        <v>15591.748583726499</v>
      </c>
      <c r="T543">
        <v>17733481.742917798</v>
      </c>
      <c r="U543" s="3">
        <v>1050</v>
      </c>
      <c r="V543">
        <v>0.77107413010589998</v>
      </c>
    </row>
    <row r="544" spans="1:22" x14ac:dyDescent="0.25">
      <c r="A544">
        <v>24101</v>
      </c>
      <c r="B544">
        <v>13</v>
      </c>
      <c r="C544">
        <v>10007</v>
      </c>
      <c r="D544">
        <v>10007</v>
      </c>
      <c r="E544" s="3">
        <f t="shared" si="9"/>
        <v>241020007</v>
      </c>
      <c r="F544" s="3">
        <f>VLOOKUP($E544,AgronomyYieldData!H:N,7,FALSE)</f>
        <v>2</v>
      </c>
      <c r="G544" s="3">
        <f>VLOOKUP($E544,AgronomyYieldData!$H:O,3,FALSE)</f>
        <v>2</v>
      </c>
      <c r="H544" s="9">
        <v>48</v>
      </c>
      <c r="I544">
        <v>0.53742304188178103</v>
      </c>
      <c r="J544">
        <v>0.24221269785351701</v>
      </c>
      <c r="K544" s="7">
        <v>2.9813719463535802E-3</v>
      </c>
      <c r="L544" s="7">
        <v>0.98829607955702903</v>
      </c>
      <c r="M544">
        <v>0.40147416106875899</v>
      </c>
      <c r="N544">
        <v>2.7053395798829899E-3</v>
      </c>
      <c r="O544">
        <v>7.7678776515304901E-2</v>
      </c>
      <c r="P544">
        <v>1.12397102936487E-3</v>
      </c>
      <c r="Q544">
        <v>2356.1359992120601</v>
      </c>
      <c r="R544">
        <v>1247032.08308995</v>
      </c>
      <c r="S544">
        <v>16213.4361551406</v>
      </c>
      <c r="T544">
        <v>16847330.760435399</v>
      </c>
      <c r="U544" s="3">
        <v>1906</v>
      </c>
      <c r="V544">
        <v>0.92192133131618703</v>
      </c>
    </row>
    <row r="545" spans="1:22" x14ac:dyDescent="0.25">
      <c r="A545">
        <v>24101</v>
      </c>
      <c r="B545">
        <v>13</v>
      </c>
      <c r="C545">
        <v>10008</v>
      </c>
      <c r="D545">
        <v>10008</v>
      </c>
      <c r="E545" s="3">
        <f t="shared" si="9"/>
        <v>241020008</v>
      </c>
      <c r="F545" s="3">
        <f>VLOOKUP($E545,AgronomyYieldData!H:N,7,FALSE)</f>
        <v>40</v>
      </c>
      <c r="G545" s="3">
        <f>VLOOKUP($E545,AgronomyYieldData!$H:O,3,FALSE)</f>
        <v>2</v>
      </c>
      <c r="H545" s="9">
        <v>87</v>
      </c>
      <c r="I545">
        <v>0.61953490940211797</v>
      </c>
      <c r="J545">
        <v>0.26479804206546298</v>
      </c>
      <c r="K545" s="7">
        <v>7.7084594788200704E-3</v>
      </c>
      <c r="L545" s="7">
        <v>1</v>
      </c>
      <c r="M545">
        <v>0.404290877451844</v>
      </c>
      <c r="N545">
        <v>3.7530744134557899E-3</v>
      </c>
      <c r="O545">
        <v>7.7678776515304901E-2</v>
      </c>
      <c r="P545">
        <v>1.12397102936487E-3</v>
      </c>
      <c r="Q545">
        <v>2852.7316996296599</v>
      </c>
      <c r="R545">
        <v>2730640.9298862698</v>
      </c>
      <c r="S545">
        <v>15404.725302987799</v>
      </c>
      <c r="T545">
        <v>23674912.943567101</v>
      </c>
      <c r="U545" s="3">
        <v>1045</v>
      </c>
      <c r="V545">
        <v>0.72545044704316097</v>
      </c>
    </row>
    <row r="546" spans="1:22" x14ac:dyDescent="0.25">
      <c r="A546">
        <v>24101</v>
      </c>
      <c r="B546">
        <v>13</v>
      </c>
      <c r="C546">
        <v>10009</v>
      </c>
      <c r="D546">
        <v>10009</v>
      </c>
      <c r="E546" s="3">
        <f t="shared" si="9"/>
        <v>241020009</v>
      </c>
      <c r="F546" s="3">
        <f>VLOOKUP($E546,AgronomyYieldData!H:N,7,FALSE)</f>
        <v>29</v>
      </c>
      <c r="G546" s="3">
        <f>VLOOKUP($E546,AgronomyYieldData!$H:O,3,FALSE)</f>
        <v>2</v>
      </c>
      <c r="H546" s="9">
        <v>71</v>
      </c>
      <c r="I546">
        <v>0.59452072443495496</v>
      </c>
      <c r="J546">
        <v>0.24547567948822199</v>
      </c>
      <c r="K546" s="7">
        <v>4.0228767376500997E-3</v>
      </c>
      <c r="L546" s="7">
        <v>1</v>
      </c>
      <c r="M546">
        <v>0.39470779365004499</v>
      </c>
      <c r="N546">
        <v>2.9269568898518902E-3</v>
      </c>
      <c r="O546">
        <v>7.7678776515304901E-2</v>
      </c>
      <c r="P546">
        <v>1.12397102936487E-3</v>
      </c>
      <c r="Q546">
        <v>2722.5146113009801</v>
      </c>
      <c r="R546">
        <v>1910094.7973631199</v>
      </c>
      <c r="S546">
        <v>16304.444503987201</v>
      </c>
      <c r="T546">
        <v>19094756.0203689</v>
      </c>
      <c r="U546" s="3">
        <v>1965</v>
      </c>
      <c r="V546">
        <v>0.89428219151140997</v>
      </c>
    </row>
    <row r="547" spans="1:22" x14ac:dyDescent="0.25">
      <c r="A547">
        <v>24101</v>
      </c>
      <c r="B547">
        <v>13</v>
      </c>
      <c r="C547">
        <v>10010</v>
      </c>
      <c r="D547">
        <v>10010</v>
      </c>
      <c r="E547" s="3">
        <f t="shared" si="9"/>
        <v>241020010</v>
      </c>
      <c r="F547" s="3">
        <f>VLOOKUP($E547,AgronomyYieldData!H:N,7,FALSE)</f>
        <v>72</v>
      </c>
      <c r="G547" s="3">
        <f>VLOOKUP($E547,AgronomyYieldData!$H:O,3,FALSE)</f>
        <v>2</v>
      </c>
      <c r="H547" s="9">
        <v>80</v>
      </c>
      <c r="I547">
        <v>0.39904273683109198</v>
      </c>
      <c r="J547">
        <v>0.24822839016525</v>
      </c>
      <c r="K547" s="7">
        <v>4.6883824178128499E-3</v>
      </c>
      <c r="L547" s="7">
        <v>0.99943421052631598</v>
      </c>
      <c r="M547">
        <v>0.39557861548863898</v>
      </c>
      <c r="N547">
        <v>2.7264127618309201E-3</v>
      </c>
      <c r="O547">
        <v>7.7678776515304901E-2</v>
      </c>
      <c r="P547">
        <v>1.12397102936487E-3</v>
      </c>
      <c r="Q547">
        <v>2745.2195318240701</v>
      </c>
      <c r="R547">
        <v>2793199.2495418801</v>
      </c>
      <c r="S547">
        <v>16449.375476927598</v>
      </c>
      <c r="T547">
        <v>19134580.207978401</v>
      </c>
      <c r="U547" s="3">
        <v>1198</v>
      </c>
      <c r="V547">
        <v>0.92330307378921495</v>
      </c>
    </row>
    <row r="548" spans="1:22" x14ac:dyDescent="0.25">
      <c r="A548">
        <v>24101</v>
      </c>
      <c r="B548">
        <v>13</v>
      </c>
      <c r="C548">
        <v>10011</v>
      </c>
      <c r="D548">
        <v>10011</v>
      </c>
      <c r="E548" s="3">
        <f t="shared" si="9"/>
        <v>241020011</v>
      </c>
      <c r="F548" s="3">
        <f>VLOOKUP($E548,AgronomyYieldData!H:N,7,FALSE)</f>
        <v>49</v>
      </c>
      <c r="G548" s="3">
        <f>VLOOKUP($E548,AgronomyYieldData!$H:O,3,FALSE)</f>
        <v>2</v>
      </c>
      <c r="H548" s="9">
        <v>62</v>
      </c>
      <c r="I548">
        <v>0.52375441349548801</v>
      </c>
      <c r="J548">
        <v>0.239568618817629</v>
      </c>
      <c r="K548" s="7">
        <v>3.0470912785227101E-3</v>
      </c>
      <c r="L548" s="7">
        <v>0.97184173475966795</v>
      </c>
      <c r="M548">
        <v>0.38578664598131202</v>
      </c>
      <c r="N548">
        <v>2.7534883161333501E-3</v>
      </c>
      <c r="O548">
        <v>7.7678776515304901E-2</v>
      </c>
      <c r="P548">
        <v>1.12397102936487E-3</v>
      </c>
      <c r="Q548">
        <v>2553.6801405237402</v>
      </c>
      <c r="R548">
        <v>1618440.62053344</v>
      </c>
      <c r="S548">
        <v>16687.924029953301</v>
      </c>
      <c r="T548">
        <v>17105734.601845499</v>
      </c>
      <c r="U548" s="3">
        <v>1069</v>
      </c>
      <c r="V548">
        <v>0.94657608608022104</v>
      </c>
    </row>
    <row r="549" spans="1:22" x14ac:dyDescent="0.25">
      <c r="A549">
        <v>24101</v>
      </c>
      <c r="B549">
        <v>13</v>
      </c>
      <c r="C549">
        <v>10012</v>
      </c>
      <c r="D549">
        <v>10012</v>
      </c>
      <c r="E549" s="3">
        <f t="shared" si="9"/>
        <v>241020012</v>
      </c>
      <c r="F549" s="3">
        <f>VLOOKUP($E549,AgronomyYieldData!H:N,7,FALSE)</f>
        <v>90</v>
      </c>
      <c r="G549" s="3">
        <f>VLOOKUP($E549,AgronomyYieldData!$H:O,3,FALSE)</f>
        <v>2</v>
      </c>
      <c r="H549" s="9">
        <v>75</v>
      </c>
      <c r="I549">
        <v>0.68101926321158102</v>
      </c>
      <c r="J549">
        <v>0.26224253771397499</v>
      </c>
      <c r="K549" s="7">
        <v>7.2118028007663003E-3</v>
      </c>
      <c r="L549" s="7">
        <v>0.97821081301561796</v>
      </c>
      <c r="M549">
        <v>0.39539030245392698</v>
      </c>
      <c r="N549">
        <v>3.9895719779927501E-3</v>
      </c>
      <c r="O549">
        <v>7.7678776515304901E-2</v>
      </c>
      <c r="P549">
        <v>1.12397102936487E-3</v>
      </c>
      <c r="Q549">
        <v>2715.72438696674</v>
      </c>
      <c r="R549">
        <v>3355349.29147946</v>
      </c>
      <c r="S549">
        <v>16121.624315916901</v>
      </c>
      <c r="T549">
        <v>23118997.355616301</v>
      </c>
      <c r="U549" s="3">
        <v>2880</v>
      </c>
      <c r="V549">
        <v>0.95689493004831805</v>
      </c>
    </row>
    <row r="550" spans="1:22" x14ac:dyDescent="0.25">
      <c r="A550">
        <v>24101</v>
      </c>
      <c r="B550">
        <v>13</v>
      </c>
      <c r="C550">
        <v>10013</v>
      </c>
      <c r="D550">
        <v>10013</v>
      </c>
      <c r="E550" s="3">
        <f t="shared" si="9"/>
        <v>241020013</v>
      </c>
      <c r="F550" s="3">
        <f>VLOOKUP($E550,AgronomyYieldData!H:N,7,FALSE)</f>
        <v>32</v>
      </c>
      <c r="G550" s="3">
        <f>VLOOKUP($E550,AgronomyYieldData!$H:O,3,FALSE)</f>
        <v>3</v>
      </c>
      <c r="H550" s="9">
        <v>98</v>
      </c>
      <c r="I550">
        <v>0.66793970404181702</v>
      </c>
      <c r="J550">
        <v>0.26105155137629099</v>
      </c>
      <c r="K550" s="7">
        <v>5.6146687763977098E-3</v>
      </c>
      <c r="L550" s="7">
        <v>0.99953704561026602</v>
      </c>
      <c r="M550">
        <v>0.38778283356419402</v>
      </c>
      <c r="N550">
        <v>3.8112200157301799E-3</v>
      </c>
      <c r="O550">
        <v>7.7678776515304901E-2</v>
      </c>
      <c r="P550">
        <v>1.12397102936487E-3</v>
      </c>
      <c r="Q550">
        <v>2510.3684070561098</v>
      </c>
      <c r="R550">
        <v>1850056.91016463</v>
      </c>
      <c r="S550">
        <v>15906.576925904399</v>
      </c>
      <c r="T550">
        <v>22020921.180423301</v>
      </c>
      <c r="U550" s="3">
        <v>2806</v>
      </c>
      <c r="V550">
        <v>0.99499996217823095</v>
      </c>
    </row>
    <row r="551" spans="1:22" x14ac:dyDescent="0.25">
      <c r="A551">
        <v>24101</v>
      </c>
      <c r="B551">
        <v>13</v>
      </c>
      <c r="C551">
        <v>10014</v>
      </c>
      <c r="D551">
        <v>10014</v>
      </c>
      <c r="E551" s="3">
        <f t="shared" si="9"/>
        <v>241020014</v>
      </c>
      <c r="F551" s="3">
        <f>VLOOKUP($E551,AgronomyYieldData!H:N,7,FALSE)</f>
        <v>7</v>
      </c>
      <c r="G551" s="3">
        <f>VLOOKUP($E551,AgronomyYieldData!$H:O,3,FALSE)</f>
        <v>3</v>
      </c>
      <c r="H551" s="9">
        <v>39</v>
      </c>
      <c r="I551">
        <v>0.54939907606795102</v>
      </c>
      <c r="J551">
        <v>0.247683268430965</v>
      </c>
      <c r="K551" s="7">
        <v>2.47614927387871E-3</v>
      </c>
      <c r="L551" s="7">
        <v>0.96779450710224602</v>
      </c>
      <c r="M551">
        <v>0.37659165600644401</v>
      </c>
      <c r="N551">
        <v>2.9078989868721E-3</v>
      </c>
      <c r="O551">
        <v>7.7678776515304901E-2</v>
      </c>
      <c r="P551">
        <v>1.12397102936487E-3</v>
      </c>
      <c r="Q551">
        <v>2421.9109524278501</v>
      </c>
      <c r="R551">
        <v>1360030.16430533</v>
      </c>
      <c r="S551">
        <v>16611.662034437599</v>
      </c>
      <c r="T551">
        <v>17971103.119484801</v>
      </c>
      <c r="U551" s="3">
        <v>1478</v>
      </c>
      <c r="V551">
        <v>0.97267796764018399</v>
      </c>
    </row>
    <row r="552" spans="1:22" x14ac:dyDescent="0.25">
      <c r="A552">
        <v>24101</v>
      </c>
      <c r="B552">
        <v>13</v>
      </c>
      <c r="C552">
        <v>10015</v>
      </c>
      <c r="D552">
        <v>10015</v>
      </c>
      <c r="E552" s="3">
        <f t="shared" si="9"/>
        <v>241020015</v>
      </c>
      <c r="F552" s="3">
        <f>VLOOKUP($E552,AgronomyYieldData!H:N,7,FALSE)</f>
        <v>18</v>
      </c>
      <c r="G552" s="3">
        <f>VLOOKUP($E552,AgronomyYieldData!$H:O,3,FALSE)</f>
        <v>3</v>
      </c>
      <c r="H552" s="9">
        <v>79</v>
      </c>
      <c r="I552">
        <v>0.59025445175539504</v>
      </c>
      <c r="J552">
        <v>0.25167334349978498</v>
      </c>
      <c r="K552" s="7">
        <v>4.4906083071217301E-3</v>
      </c>
      <c r="L552" s="7">
        <v>1</v>
      </c>
      <c r="M552">
        <v>0.37954284694288598</v>
      </c>
      <c r="N552">
        <v>3.5510973574041302E-3</v>
      </c>
      <c r="O552">
        <v>7.7678776515304901E-2</v>
      </c>
      <c r="P552">
        <v>1.12397102936487E-3</v>
      </c>
      <c r="Q552">
        <v>2553.0606433693201</v>
      </c>
      <c r="R552">
        <v>1653133.96083459</v>
      </c>
      <c r="S552">
        <v>16368.6951469702</v>
      </c>
      <c r="T552">
        <v>19734107.007471599</v>
      </c>
      <c r="U552" s="3">
        <v>2138</v>
      </c>
      <c r="V552">
        <v>0.98521180030257105</v>
      </c>
    </row>
    <row r="553" spans="1:22" x14ac:dyDescent="0.25">
      <c r="A553">
        <v>24101</v>
      </c>
      <c r="B553">
        <v>13</v>
      </c>
      <c r="C553">
        <v>10016</v>
      </c>
      <c r="D553">
        <v>10016</v>
      </c>
      <c r="E553" s="3">
        <f t="shared" si="9"/>
        <v>241020016</v>
      </c>
      <c r="F553" s="3">
        <f>VLOOKUP($E553,AgronomyYieldData!H:N,7,FALSE)</f>
        <v>69</v>
      </c>
      <c r="G553" s="3">
        <f>VLOOKUP($E553,AgronomyYieldData!$H:O,3,FALSE)</f>
        <v>3</v>
      </c>
      <c r="H553" s="9">
        <v>90</v>
      </c>
      <c r="I553">
        <v>0.33223264785693202</v>
      </c>
      <c r="J553">
        <v>0.24269719810216001</v>
      </c>
      <c r="K553" s="7">
        <v>3.9645568881127701E-3</v>
      </c>
      <c r="L553" s="7">
        <v>0.99946053341403396</v>
      </c>
      <c r="M553">
        <v>0.37261198343062402</v>
      </c>
      <c r="N553">
        <v>2.9959018363356999E-3</v>
      </c>
      <c r="O553">
        <v>7.7678776515304901E-2</v>
      </c>
      <c r="P553">
        <v>1.12397102936487E-3</v>
      </c>
      <c r="Q553">
        <v>2655.7212218762002</v>
      </c>
      <c r="R553">
        <v>2079172.2689288601</v>
      </c>
      <c r="S553">
        <v>16659.7926984238</v>
      </c>
      <c r="T553">
        <v>19212756.308761001</v>
      </c>
      <c r="U553" s="3">
        <v>516</v>
      </c>
      <c r="V553">
        <v>0.433058508637091</v>
      </c>
    </row>
    <row r="554" spans="1:22" x14ac:dyDescent="0.25">
      <c r="A554">
        <v>24101</v>
      </c>
      <c r="B554">
        <v>13</v>
      </c>
      <c r="C554">
        <v>10017</v>
      </c>
      <c r="D554">
        <v>10017</v>
      </c>
      <c r="E554" s="3">
        <f t="shared" si="9"/>
        <v>241020017</v>
      </c>
      <c r="F554" s="3">
        <f>VLOOKUP($E554,AgronomyYieldData!H:N,7,FALSE)</f>
        <v>86</v>
      </c>
      <c r="G554" s="3">
        <f>VLOOKUP($E554,AgronomyYieldData!$H:O,3,FALSE)</f>
        <v>3</v>
      </c>
      <c r="H554" s="9">
        <v>56</v>
      </c>
      <c r="I554">
        <v>0.489950175888268</v>
      </c>
      <c r="J554">
        <v>0.225580809524595</v>
      </c>
      <c r="K554" s="7">
        <v>2.5655208346694E-3</v>
      </c>
      <c r="L554" s="7">
        <v>0.92298684210526305</v>
      </c>
      <c r="M554">
        <v>0.35844501150097002</v>
      </c>
      <c r="N554">
        <v>2.6064113786527301E-3</v>
      </c>
      <c r="O554">
        <v>7.7678776515304901E-2</v>
      </c>
      <c r="P554">
        <v>1.12397102936487E-3</v>
      </c>
      <c r="Q554">
        <v>2638.40881766332</v>
      </c>
      <c r="R554">
        <v>1432183.16472718</v>
      </c>
      <c r="S554">
        <v>16932.734856149</v>
      </c>
      <c r="T554">
        <v>16435092.856725801</v>
      </c>
      <c r="U554" s="3">
        <v>989</v>
      </c>
      <c r="V554">
        <v>0.73517935267497203</v>
      </c>
    </row>
    <row r="555" spans="1:22" x14ac:dyDescent="0.25">
      <c r="A555">
        <v>24101</v>
      </c>
      <c r="B555">
        <v>13</v>
      </c>
      <c r="C555">
        <v>10018</v>
      </c>
      <c r="D555">
        <v>10018</v>
      </c>
      <c r="E555" s="3">
        <f t="shared" si="9"/>
        <v>241020018</v>
      </c>
      <c r="F555" s="3">
        <f>VLOOKUP($E555,AgronomyYieldData!H:N,7,FALSE)</f>
        <v>56</v>
      </c>
      <c r="G555" s="3">
        <f>VLOOKUP($E555,AgronomyYieldData!$H:O,3,FALSE)</f>
        <v>3</v>
      </c>
      <c r="H555" s="9">
        <v>76</v>
      </c>
      <c r="I555">
        <v>0.44693497237388402</v>
      </c>
      <c r="J555">
        <v>0.23249574578424201</v>
      </c>
      <c r="K555" s="7">
        <v>3.4250466618366E-3</v>
      </c>
      <c r="L555" s="7">
        <v>0.91435300928971797</v>
      </c>
      <c r="M555">
        <v>0.36866161353253601</v>
      </c>
      <c r="N555">
        <v>3.03180960353025E-3</v>
      </c>
      <c r="O555">
        <v>7.7678776515304901E-2</v>
      </c>
      <c r="P555">
        <v>1.12397102936487E-3</v>
      </c>
      <c r="Q555">
        <v>2645.7368255301299</v>
      </c>
      <c r="R555">
        <v>1881206.86025839</v>
      </c>
      <c r="S555">
        <v>17056.393193133801</v>
      </c>
      <c r="T555">
        <v>19917862.334720802</v>
      </c>
      <c r="U555" s="3">
        <v>791</v>
      </c>
      <c r="V555">
        <v>0.50855109696976197</v>
      </c>
    </row>
    <row r="556" spans="1:22" x14ac:dyDescent="0.25">
      <c r="A556">
        <v>24101</v>
      </c>
      <c r="B556">
        <v>13</v>
      </c>
      <c r="C556">
        <v>10019</v>
      </c>
      <c r="D556">
        <v>10019</v>
      </c>
      <c r="E556" s="3">
        <f t="shared" si="9"/>
        <v>241020019</v>
      </c>
      <c r="F556" s="3">
        <f>VLOOKUP($E556,AgronomyYieldData!H:N,7,FALSE)</f>
        <v>13</v>
      </c>
      <c r="G556" s="3">
        <f>VLOOKUP($E556,AgronomyYieldData!$H:O,3,FALSE)</f>
        <v>4</v>
      </c>
      <c r="H556" s="9">
        <v>27</v>
      </c>
      <c r="I556">
        <v>0.24341784383196</v>
      </c>
      <c r="J556">
        <v>0.21470259350299301</v>
      </c>
      <c r="K556" s="7">
        <v>1.8458761392364999E-3</v>
      </c>
      <c r="L556" s="7">
        <v>0.90755726745801002</v>
      </c>
      <c r="M556">
        <v>0.34053507456892601</v>
      </c>
      <c r="N556">
        <v>1.9714066579509999E-3</v>
      </c>
      <c r="O556">
        <v>7.7678776515304901E-2</v>
      </c>
      <c r="P556">
        <v>1.12397102936487E-3</v>
      </c>
      <c r="Q556">
        <v>2570.6912932138298</v>
      </c>
      <c r="R556">
        <v>1116202.8356860401</v>
      </c>
      <c r="S556">
        <v>16783.1521051448</v>
      </c>
      <c r="T556">
        <v>13965266.554328499</v>
      </c>
      <c r="U556" s="3">
        <v>1641</v>
      </c>
      <c r="V556">
        <v>0.95803264799770005</v>
      </c>
    </row>
    <row r="557" spans="1:22" x14ac:dyDescent="0.25">
      <c r="A557">
        <v>24101</v>
      </c>
      <c r="B557">
        <v>13</v>
      </c>
      <c r="C557">
        <v>10020</v>
      </c>
      <c r="D557">
        <v>10020</v>
      </c>
      <c r="E557" s="3">
        <f t="shared" si="9"/>
        <v>241020020</v>
      </c>
      <c r="F557" s="3">
        <f>VLOOKUP($E557,AgronomyYieldData!H:N,7,FALSE)</f>
        <v>18</v>
      </c>
      <c r="G557" s="3">
        <f>VLOOKUP($E557,AgronomyYieldData!$H:O,3,FALSE)</f>
        <v>4</v>
      </c>
      <c r="H557" s="9">
        <v>72</v>
      </c>
      <c r="I557">
        <v>0.40957613236891</v>
      </c>
      <c r="J557">
        <v>0.22165288122399901</v>
      </c>
      <c r="K557" s="7">
        <v>3.50851800622777E-3</v>
      </c>
      <c r="L557" s="7">
        <v>0.970461321925292</v>
      </c>
      <c r="M557">
        <v>0.32907288870151802</v>
      </c>
      <c r="N557">
        <v>3.8393862100159601E-3</v>
      </c>
      <c r="O557">
        <v>7.7678776515304901E-2</v>
      </c>
      <c r="P557">
        <v>1.12397102936487E-3</v>
      </c>
      <c r="Q557">
        <v>2617.0022752120099</v>
      </c>
      <c r="R557">
        <v>1196104.4549288701</v>
      </c>
      <c r="S557">
        <v>16711.4873162105</v>
      </c>
      <c r="T557">
        <v>15677230.814787099</v>
      </c>
      <c r="U557" s="3">
        <v>2416</v>
      </c>
      <c r="V557">
        <v>0.94809340463997405</v>
      </c>
    </row>
    <row r="558" spans="1:22" x14ac:dyDescent="0.25">
      <c r="A558">
        <v>24101</v>
      </c>
      <c r="B558">
        <v>13</v>
      </c>
      <c r="C558">
        <v>10021</v>
      </c>
      <c r="D558">
        <v>10021</v>
      </c>
      <c r="E558" s="3">
        <f t="shared" si="9"/>
        <v>241020021</v>
      </c>
      <c r="F558" s="3">
        <f>VLOOKUP($E558,AgronomyYieldData!H:N,7,FALSE)</f>
        <v>43</v>
      </c>
      <c r="G558" s="3">
        <f>VLOOKUP($E558,AgronomyYieldData!$H:O,3,FALSE)</f>
        <v>4</v>
      </c>
      <c r="H558" s="9">
        <v>74</v>
      </c>
      <c r="I558">
        <v>0.53597754566787803</v>
      </c>
      <c r="J558">
        <v>0.21926492480006901</v>
      </c>
      <c r="K558" s="7">
        <v>2.7850310948928799E-3</v>
      </c>
      <c r="L558" s="7">
        <v>1</v>
      </c>
      <c r="M558">
        <v>0.306543971278463</v>
      </c>
      <c r="N558">
        <v>2.59163973173811E-3</v>
      </c>
      <c r="O558">
        <v>7.7678776515304901E-2</v>
      </c>
      <c r="P558">
        <v>1.12397102936487E-3</v>
      </c>
      <c r="Q558">
        <v>2627.45533788376</v>
      </c>
      <c r="R558">
        <v>1161218.7392935101</v>
      </c>
      <c r="S558">
        <v>16722.907061202699</v>
      </c>
      <c r="T558">
        <v>13684477.6182702</v>
      </c>
      <c r="U558" s="3">
        <v>2498</v>
      </c>
      <c r="V558">
        <v>0.94028608818657</v>
      </c>
    </row>
    <row r="559" spans="1:22" x14ac:dyDescent="0.25">
      <c r="A559">
        <v>24101</v>
      </c>
      <c r="B559">
        <v>13</v>
      </c>
      <c r="C559">
        <v>10022</v>
      </c>
      <c r="D559">
        <v>10022</v>
      </c>
      <c r="E559" s="3">
        <f t="shared" si="9"/>
        <v>241020022</v>
      </c>
      <c r="F559" s="3">
        <f>VLOOKUP($E559,AgronomyYieldData!H:N,7,FALSE)</f>
        <v>83</v>
      </c>
      <c r="G559" s="3">
        <f>VLOOKUP($E559,AgronomyYieldData!$H:O,3,FALSE)</f>
        <v>4</v>
      </c>
      <c r="H559" s="9">
        <v>85</v>
      </c>
      <c r="I559">
        <v>0.35768322904202299</v>
      </c>
      <c r="J559">
        <v>0.23826883088295001</v>
      </c>
      <c r="K559" s="7">
        <v>6.3245731059393103E-3</v>
      </c>
      <c r="L559" s="7">
        <v>0.97984184002421104</v>
      </c>
      <c r="M559">
        <v>0.321918108758736</v>
      </c>
      <c r="N559">
        <v>3.6627486119207402E-3</v>
      </c>
      <c r="O559">
        <v>7.7678776515304901E-2</v>
      </c>
      <c r="P559">
        <v>1.12397102936487E-3</v>
      </c>
      <c r="Q559">
        <v>2929.7356693469901</v>
      </c>
      <c r="R559">
        <v>4167323.71894333</v>
      </c>
      <c r="S559">
        <v>16174.4136065406</v>
      </c>
      <c r="T559">
        <v>18876582.8711177</v>
      </c>
      <c r="U559" s="3">
        <v>2354</v>
      </c>
      <c r="V559">
        <v>0.85995227294714505</v>
      </c>
    </row>
    <row r="560" spans="1:22" x14ac:dyDescent="0.25">
      <c r="A560">
        <v>24101</v>
      </c>
      <c r="B560">
        <v>13</v>
      </c>
      <c r="C560">
        <v>10023</v>
      </c>
      <c r="D560">
        <v>10023</v>
      </c>
      <c r="E560" s="3">
        <f t="shared" si="9"/>
        <v>241020023</v>
      </c>
      <c r="F560" s="3">
        <f>VLOOKUP($E560,AgronomyYieldData!H:N,7,FALSE)</f>
        <v>70</v>
      </c>
      <c r="G560" s="3">
        <f>VLOOKUP($E560,AgronomyYieldData!$H:O,3,FALSE)</f>
        <v>4</v>
      </c>
      <c r="H560" s="9">
        <v>84</v>
      </c>
      <c r="I560">
        <v>0.42295570754161799</v>
      </c>
      <c r="J560">
        <v>0.224691925367969</v>
      </c>
      <c r="K560" s="7">
        <v>4.3799220492527803E-3</v>
      </c>
      <c r="L560" s="7">
        <v>0.99982894736842098</v>
      </c>
      <c r="M560">
        <v>0.31492409023574702</v>
      </c>
      <c r="N560">
        <v>3.5498450152169E-3</v>
      </c>
      <c r="O560">
        <v>7.7678776515304901E-2</v>
      </c>
      <c r="P560">
        <v>1.12397102936487E-3</v>
      </c>
      <c r="Q560">
        <v>2655.89930157042</v>
      </c>
      <c r="R560">
        <v>1728996.02996702</v>
      </c>
      <c r="S560">
        <v>16247.371127243799</v>
      </c>
      <c r="T560">
        <v>17541863.114054698</v>
      </c>
      <c r="U560" s="3">
        <v>532</v>
      </c>
      <c r="V560">
        <v>0.53308072664731798</v>
      </c>
    </row>
    <row r="561" spans="1:22" x14ac:dyDescent="0.25">
      <c r="A561">
        <v>24101</v>
      </c>
      <c r="B561">
        <v>13</v>
      </c>
      <c r="C561">
        <v>10024</v>
      </c>
      <c r="D561">
        <v>10024</v>
      </c>
      <c r="E561" s="3">
        <f t="shared" si="9"/>
        <v>241020024</v>
      </c>
      <c r="F561" s="3">
        <f>VLOOKUP($E561,AgronomyYieldData!H:N,7,FALSE)</f>
        <v>52</v>
      </c>
      <c r="G561" s="3">
        <f>VLOOKUP($E561,AgronomyYieldData!$H:O,3,FALSE)</f>
        <v>4</v>
      </c>
      <c r="H561" s="9">
        <v>42</v>
      </c>
      <c r="I561">
        <v>0.340820076240543</v>
      </c>
      <c r="J561">
        <v>0.206749907695676</v>
      </c>
      <c r="K561" s="7">
        <v>2.5387299938677498E-3</v>
      </c>
      <c r="L561" s="7">
        <v>0.86446052631578996</v>
      </c>
      <c r="M561">
        <v>0.29753972072213902</v>
      </c>
      <c r="N561">
        <v>2.9216892639910498E-3</v>
      </c>
      <c r="O561">
        <v>7.7678776515304901E-2</v>
      </c>
      <c r="P561">
        <v>1.12397102936487E-3</v>
      </c>
      <c r="Q561">
        <v>2565.6815916916298</v>
      </c>
      <c r="R561">
        <v>1077298.9448187801</v>
      </c>
      <c r="S561">
        <v>16175.219759372099</v>
      </c>
      <c r="T561">
        <v>15639439.1419609</v>
      </c>
      <c r="U561" s="3">
        <v>1352</v>
      </c>
      <c r="V561">
        <v>0.79647097394884303</v>
      </c>
    </row>
    <row r="562" spans="1:22" x14ac:dyDescent="0.25">
      <c r="A562">
        <v>24101</v>
      </c>
      <c r="B562">
        <v>13</v>
      </c>
      <c r="C562">
        <v>11001</v>
      </c>
      <c r="D562">
        <v>11001</v>
      </c>
      <c r="E562" s="3">
        <f t="shared" si="9"/>
        <v>241021001</v>
      </c>
      <c r="F562" s="3">
        <f>VLOOKUP($E562,AgronomyYieldData!H:N,7,FALSE)</f>
        <v>73</v>
      </c>
      <c r="G562" s="3">
        <f>VLOOKUP($E562,AgronomyYieldData!$H:O,3,FALSE)</f>
        <v>1</v>
      </c>
      <c r="H562" s="9">
        <v>54</v>
      </c>
      <c r="I562">
        <v>0.33250510017262103</v>
      </c>
      <c r="J562">
        <v>0.22073995563211499</v>
      </c>
      <c r="K562" s="7">
        <v>1.8928995897696101E-3</v>
      </c>
      <c r="L562" s="7">
        <v>0.97459277387437204</v>
      </c>
      <c r="M562">
        <v>0.35079155812145701</v>
      </c>
      <c r="N562">
        <v>2.0049306546149098E-3</v>
      </c>
      <c r="O562">
        <v>7.7678776515304901E-2</v>
      </c>
      <c r="P562">
        <v>1.12397102936487E-3</v>
      </c>
      <c r="Q562">
        <v>2571.7022037468601</v>
      </c>
      <c r="R562">
        <v>1123107.3588970599</v>
      </c>
      <c r="S562">
        <v>16876.580007551402</v>
      </c>
      <c r="T562">
        <v>13312723.154338</v>
      </c>
      <c r="U562" s="3">
        <v>2115</v>
      </c>
      <c r="V562">
        <v>0.98982575325973599</v>
      </c>
    </row>
    <row r="563" spans="1:22" x14ac:dyDescent="0.25">
      <c r="A563">
        <v>24101</v>
      </c>
      <c r="B563">
        <v>13</v>
      </c>
      <c r="C563">
        <v>11002</v>
      </c>
      <c r="D563">
        <v>11002</v>
      </c>
      <c r="E563" s="3">
        <f t="shared" si="9"/>
        <v>241021002</v>
      </c>
      <c r="F563" s="3">
        <f>VLOOKUP($E563,AgronomyYieldData!H:N,7,FALSE)</f>
        <v>79</v>
      </c>
      <c r="G563" s="3">
        <f>VLOOKUP($E563,AgronomyYieldData!$H:O,3,FALSE)</f>
        <v>1</v>
      </c>
      <c r="H563" s="9">
        <v>85</v>
      </c>
      <c r="I563">
        <v>0.712887342823327</v>
      </c>
      <c r="J563">
        <v>0.22945828985227101</v>
      </c>
      <c r="K563" s="7">
        <v>5.3796912325308997E-3</v>
      </c>
      <c r="L563" s="7">
        <v>0.99936842105263202</v>
      </c>
      <c r="M563">
        <v>0.36426647108532101</v>
      </c>
      <c r="N563">
        <v>2.97957599968074E-3</v>
      </c>
      <c r="O563">
        <v>7.7678776515304901E-2</v>
      </c>
      <c r="P563">
        <v>1.12397102936487E-3</v>
      </c>
      <c r="Q563">
        <v>2734.1196901199501</v>
      </c>
      <c r="R563">
        <v>2345840.3895192398</v>
      </c>
      <c r="S563">
        <v>16278.8834330177</v>
      </c>
      <c r="T563">
        <v>20077056.836051099</v>
      </c>
      <c r="U563" s="3">
        <v>1190</v>
      </c>
      <c r="V563">
        <v>0.99774800195638902</v>
      </c>
    </row>
    <row r="564" spans="1:22" x14ac:dyDescent="0.25">
      <c r="A564">
        <v>24101</v>
      </c>
      <c r="B564">
        <v>13</v>
      </c>
      <c r="C564">
        <v>11003</v>
      </c>
      <c r="D564">
        <v>11003</v>
      </c>
      <c r="E564" s="3">
        <f t="shared" si="9"/>
        <v>241021003</v>
      </c>
      <c r="F564" s="3">
        <f>VLOOKUP($E564,AgronomyYieldData!H:N,7,FALSE)</f>
        <v>50</v>
      </c>
      <c r="G564" s="3">
        <f>VLOOKUP($E564,AgronomyYieldData!$H:O,3,FALSE)</f>
        <v>1</v>
      </c>
      <c r="H564" s="9">
        <v>79</v>
      </c>
      <c r="I564">
        <v>0.52894366887893496</v>
      </c>
      <c r="J564">
        <v>0.214896179679642</v>
      </c>
      <c r="K564" s="7">
        <v>2.50003296194102E-3</v>
      </c>
      <c r="L564" s="7">
        <v>0.84173684210526301</v>
      </c>
      <c r="M564">
        <v>0.36251718485401502</v>
      </c>
      <c r="N564">
        <v>2.44170209610749E-3</v>
      </c>
      <c r="O564">
        <v>9.0489542604767506E-2</v>
      </c>
      <c r="P564">
        <v>1.0085377212133101E-3</v>
      </c>
      <c r="Q564">
        <v>2469.0019664651199</v>
      </c>
      <c r="R564">
        <v>1217166.16434645</v>
      </c>
      <c r="S564">
        <v>16679.240359124298</v>
      </c>
      <c r="T564">
        <v>15842017.7650551</v>
      </c>
      <c r="U564" s="3">
        <v>1888</v>
      </c>
      <c r="V564">
        <v>0.59950553584865096</v>
      </c>
    </row>
    <row r="565" spans="1:22" x14ac:dyDescent="0.25">
      <c r="A565">
        <v>24101</v>
      </c>
      <c r="B565">
        <v>13</v>
      </c>
      <c r="C565">
        <v>11004</v>
      </c>
      <c r="D565">
        <v>11004</v>
      </c>
      <c r="E565" s="3">
        <f t="shared" si="9"/>
        <v>241021004</v>
      </c>
      <c r="F565" s="3">
        <f>VLOOKUP($E565,AgronomyYieldData!H:N,7,FALSE)</f>
        <v>44</v>
      </c>
      <c r="G565" s="3">
        <f>VLOOKUP($E565,AgronomyYieldData!$H:O,3,FALSE)</f>
        <v>1</v>
      </c>
      <c r="H565" s="9">
        <v>71</v>
      </c>
      <c r="I565">
        <v>0.67725904861820496</v>
      </c>
      <c r="J565">
        <v>0.23476085682320799</v>
      </c>
      <c r="K565" s="7">
        <v>4.4131266048098201E-3</v>
      </c>
      <c r="L565" s="7">
        <v>0.99985185459528503</v>
      </c>
      <c r="M565">
        <v>0.37351338526405597</v>
      </c>
      <c r="N565">
        <v>2.7929082614369998E-3</v>
      </c>
      <c r="O565">
        <v>0.13521569368244701</v>
      </c>
      <c r="P565">
        <v>9.0151645924958703E-4</v>
      </c>
      <c r="Q565">
        <v>2623.8885562045102</v>
      </c>
      <c r="R565">
        <v>2033207.21285138</v>
      </c>
      <c r="S565">
        <v>16174.9612823401</v>
      </c>
      <c r="T565">
        <v>19747833.9157167</v>
      </c>
      <c r="U565" s="3">
        <v>1964</v>
      </c>
      <c r="V565">
        <v>0.83576399394856205</v>
      </c>
    </row>
    <row r="566" spans="1:22" x14ac:dyDescent="0.25">
      <c r="A566">
        <v>24101</v>
      </c>
      <c r="B566">
        <v>13</v>
      </c>
      <c r="C566">
        <v>11005</v>
      </c>
      <c r="D566">
        <v>11005</v>
      </c>
      <c r="E566" s="3">
        <f t="shared" si="9"/>
        <v>241021005</v>
      </c>
      <c r="F566" s="3">
        <f>VLOOKUP($E566,AgronomyYieldData!H:N,7,FALSE)</f>
        <v>12</v>
      </c>
      <c r="G566" s="3">
        <f>VLOOKUP($E566,AgronomyYieldData!$H:O,3,FALSE)</f>
        <v>1</v>
      </c>
      <c r="H566" s="9">
        <v>42</v>
      </c>
      <c r="I566">
        <v>0.56051570868532896</v>
      </c>
      <c r="J566">
        <v>0.23046723809587699</v>
      </c>
      <c r="K566" s="7">
        <v>2.90559848746034E-3</v>
      </c>
      <c r="L566" s="7">
        <v>0.99801844512759696</v>
      </c>
      <c r="M566">
        <v>0.35767129760948102</v>
      </c>
      <c r="N566">
        <v>3.1013872509090398E-3</v>
      </c>
      <c r="O566">
        <v>0.13521569368244701</v>
      </c>
      <c r="P566">
        <v>9.0151645924958703E-4</v>
      </c>
      <c r="Q566">
        <v>2526.6738500935699</v>
      </c>
      <c r="R566">
        <v>2056423.51001546</v>
      </c>
      <c r="S566">
        <v>16340.435733811601</v>
      </c>
      <c r="T566">
        <v>16298802.6167142</v>
      </c>
      <c r="U566" s="3">
        <v>974</v>
      </c>
      <c r="V566">
        <v>0.97499243570347904</v>
      </c>
    </row>
    <row r="567" spans="1:22" x14ac:dyDescent="0.25">
      <c r="A567">
        <v>24101</v>
      </c>
      <c r="B567">
        <v>13</v>
      </c>
      <c r="C567">
        <v>11006</v>
      </c>
      <c r="D567">
        <v>11006</v>
      </c>
      <c r="E567" s="3">
        <f t="shared" si="9"/>
        <v>241021006</v>
      </c>
      <c r="F567" s="3">
        <f>VLOOKUP($E567,AgronomyYieldData!H:N,7,FALSE)</f>
        <v>26</v>
      </c>
      <c r="G567" s="3">
        <f>VLOOKUP($E567,AgronomyYieldData!$H:O,3,FALSE)</f>
        <v>1</v>
      </c>
      <c r="H567" s="9">
        <v>82</v>
      </c>
      <c r="I567">
        <v>0.72379585150829095</v>
      </c>
      <c r="J567">
        <v>0.236652636055948</v>
      </c>
      <c r="K567" s="7">
        <v>4.0405692159786403E-3</v>
      </c>
      <c r="L567" s="7">
        <v>0.99385139639973297</v>
      </c>
      <c r="M567">
        <v>0.34713629936267998</v>
      </c>
      <c r="N567">
        <v>3.4320849287260802E-3</v>
      </c>
      <c r="O567">
        <v>0.13521569368244701</v>
      </c>
      <c r="P567">
        <v>9.0151645924958703E-4</v>
      </c>
      <c r="Q567">
        <v>2581.0150697344602</v>
      </c>
      <c r="R567">
        <v>1636451.5401952399</v>
      </c>
      <c r="S567">
        <v>15970.737926182301</v>
      </c>
      <c r="T567">
        <v>17871037.6781638</v>
      </c>
      <c r="U567" s="3">
        <v>1079</v>
      </c>
      <c r="V567">
        <v>0.69460896664926897</v>
      </c>
    </row>
    <row r="568" spans="1:22" x14ac:dyDescent="0.25">
      <c r="A568">
        <v>24101</v>
      </c>
      <c r="B568">
        <v>13</v>
      </c>
      <c r="C568">
        <v>11008</v>
      </c>
      <c r="D568">
        <v>11008</v>
      </c>
      <c r="E568" s="3">
        <f t="shared" si="9"/>
        <v>241021008</v>
      </c>
      <c r="F568" s="3">
        <f>VLOOKUP($E568,AgronomyYieldData!H:N,7,FALSE)</f>
        <v>31</v>
      </c>
      <c r="G568" s="3">
        <f>VLOOKUP($E568,AgronomyYieldData!$H:O,3,FALSE)</f>
        <v>2</v>
      </c>
      <c r="H568" s="9">
        <v>74</v>
      </c>
      <c r="I568">
        <v>0.43331738202164399</v>
      </c>
      <c r="J568">
        <v>0.23627894014038001</v>
      </c>
      <c r="K568" s="7">
        <v>5.3733300233630996E-3</v>
      </c>
      <c r="L568" s="7">
        <v>0.99896296296296305</v>
      </c>
      <c r="M568">
        <v>0.353798958029233</v>
      </c>
      <c r="N568">
        <v>4.7574318922304999E-3</v>
      </c>
      <c r="O568">
        <v>0.13521569368244701</v>
      </c>
      <c r="P568">
        <v>9.0151645924958703E-4</v>
      </c>
      <c r="Q568">
        <v>2814.8536998552199</v>
      </c>
      <c r="R568">
        <v>3529001.6857792898</v>
      </c>
      <c r="S568">
        <v>16620.724979598901</v>
      </c>
      <c r="T568">
        <v>21238803.965082198</v>
      </c>
      <c r="U568" s="3">
        <v>1864</v>
      </c>
      <c r="V568">
        <v>0.99134644478063505</v>
      </c>
    </row>
    <row r="569" spans="1:22" x14ac:dyDescent="0.25">
      <c r="A569">
        <v>24101</v>
      </c>
      <c r="B569">
        <v>13</v>
      </c>
      <c r="C569">
        <v>11009</v>
      </c>
      <c r="D569">
        <v>11009</v>
      </c>
      <c r="E569" s="3">
        <f t="shared" si="9"/>
        <v>241021009</v>
      </c>
      <c r="F569" s="3">
        <f>VLOOKUP($E569,AgronomyYieldData!H:N,7,FALSE)</f>
        <v>28</v>
      </c>
      <c r="G569" s="3">
        <f>VLOOKUP($E569,AgronomyYieldData!$H:O,3,FALSE)</f>
        <v>2</v>
      </c>
      <c r="H569" s="9">
        <v>41</v>
      </c>
      <c r="I569">
        <v>0.50121934385496703</v>
      </c>
      <c r="J569">
        <v>0.21790899629996799</v>
      </c>
      <c r="K569" s="7">
        <v>2.1655163658729501E-3</v>
      </c>
      <c r="L569" s="7">
        <v>0.92440740740740701</v>
      </c>
      <c r="M569">
        <v>0.34870272333767999</v>
      </c>
      <c r="N569">
        <v>2.1971136182217001E-3</v>
      </c>
      <c r="O569">
        <v>0.13521569368244701</v>
      </c>
      <c r="P569">
        <v>9.0151645924958703E-4</v>
      </c>
      <c r="Q569">
        <v>2579.99980301389</v>
      </c>
      <c r="R569">
        <v>1147924.35146259</v>
      </c>
      <c r="S569">
        <v>16647.300310024701</v>
      </c>
      <c r="T569">
        <v>14402247.1719133</v>
      </c>
      <c r="U569" s="3">
        <v>1558</v>
      </c>
      <c r="V569">
        <v>0.90568835098335798</v>
      </c>
    </row>
    <row r="570" spans="1:22" x14ac:dyDescent="0.25">
      <c r="A570">
        <v>24101</v>
      </c>
      <c r="B570">
        <v>13</v>
      </c>
      <c r="C570">
        <v>11010</v>
      </c>
      <c r="D570">
        <v>11010</v>
      </c>
      <c r="E570" s="3">
        <f t="shared" si="9"/>
        <v>241021010</v>
      </c>
      <c r="F570" s="3">
        <f>VLOOKUP($E570,AgronomyYieldData!H:N,7,FALSE)</f>
        <v>75</v>
      </c>
      <c r="G570" s="3">
        <f>VLOOKUP($E570,AgronomyYieldData!$H:O,3,FALSE)</f>
        <v>2</v>
      </c>
      <c r="H570" s="9">
        <v>74</v>
      </c>
      <c r="I570">
        <v>0.25803266683231102</v>
      </c>
      <c r="J570">
        <v>0.22774079539612899</v>
      </c>
      <c r="K570" s="7">
        <v>2.81853714970416E-3</v>
      </c>
      <c r="L570" s="7">
        <v>0.95450059867633297</v>
      </c>
      <c r="M570">
        <v>0.37081760728044899</v>
      </c>
      <c r="N570">
        <v>2.6718741681574301E-3</v>
      </c>
      <c r="O570">
        <v>0.13521569368244701</v>
      </c>
      <c r="P570">
        <v>9.0151645924958703E-4</v>
      </c>
      <c r="Q570">
        <v>2719.13130528496</v>
      </c>
      <c r="R570">
        <v>1566855.2982681</v>
      </c>
      <c r="S570">
        <v>17178.8686195214</v>
      </c>
      <c r="T570">
        <v>17649363.147130199</v>
      </c>
      <c r="U570" s="3">
        <v>2056</v>
      </c>
      <c r="V570">
        <v>0.90380677512455398</v>
      </c>
    </row>
    <row r="571" spans="1:22" x14ac:dyDescent="0.25">
      <c r="A571">
        <v>24101</v>
      </c>
      <c r="B571">
        <v>13</v>
      </c>
      <c r="C571">
        <v>11011</v>
      </c>
      <c r="D571">
        <v>11011</v>
      </c>
      <c r="E571" s="3">
        <f t="shared" si="9"/>
        <v>241021011</v>
      </c>
      <c r="F571" s="3">
        <f>VLOOKUP($E571,AgronomyYieldData!H:N,7,FALSE)</f>
        <v>54</v>
      </c>
      <c r="G571" s="3">
        <f>VLOOKUP($E571,AgronomyYieldData!$H:O,3,FALSE)</f>
        <v>2</v>
      </c>
      <c r="H571" s="9">
        <v>56</v>
      </c>
      <c r="I571">
        <v>0.40556303861695497</v>
      </c>
      <c r="J571">
        <v>0.22440953681005801</v>
      </c>
      <c r="K571" s="7">
        <v>2.9490930827937001E-3</v>
      </c>
      <c r="L571" s="7">
        <v>0.98127606942196599</v>
      </c>
      <c r="M571">
        <v>0.36308748671817298</v>
      </c>
      <c r="N571">
        <v>2.2637618201574701E-3</v>
      </c>
      <c r="O571">
        <v>0.116475845461096</v>
      </c>
      <c r="P571">
        <v>8.8454664812347703E-4</v>
      </c>
      <c r="Q571">
        <v>2724.5207706411702</v>
      </c>
      <c r="R571">
        <v>2137191.02152539</v>
      </c>
      <c r="S571">
        <v>16975.178074890599</v>
      </c>
      <c r="T571">
        <v>16266961.124160601</v>
      </c>
      <c r="U571" s="3">
        <v>440</v>
      </c>
      <c r="V571">
        <v>0.23454958804275899</v>
      </c>
    </row>
    <row r="572" spans="1:22" x14ac:dyDescent="0.25">
      <c r="A572">
        <v>24101</v>
      </c>
      <c r="B572">
        <v>13</v>
      </c>
      <c r="C572">
        <v>11012</v>
      </c>
      <c r="D572">
        <v>11012</v>
      </c>
      <c r="E572" s="3">
        <f t="shared" si="9"/>
        <v>241021012</v>
      </c>
      <c r="F572" s="3">
        <f>VLOOKUP($E572,AgronomyYieldData!H:N,7,FALSE)</f>
        <v>81</v>
      </c>
      <c r="G572" s="3">
        <f>VLOOKUP($E572,AgronomyYieldData!$H:O,3,FALSE)</f>
        <v>2</v>
      </c>
      <c r="H572" s="9">
        <v>64</v>
      </c>
      <c r="I572">
        <v>0.57358816260077505</v>
      </c>
      <c r="J572">
        <v>0.233544686682674</v>
      </c>
      <c r="K572" s="7">
        <v>5.0778018740823402E-3</v>
      </c>
      <c r="L572" s="7">
        <v>0.97709210526315804</v>
      </c>
      <c r="M572">
        <v>0.36791209557187199</v>
      </c>
      <c r="N572">
        <v>3.2803091229897099E-3</v>
      </c>
      <c r="O572">
        <v>0.116475845461096</v>
      </c>
      <c r="P572">
        <v>8.8454664812347703E-4</v>
      </c>
      <c r="Q572">
        <v>2744.48720712146</v>
      </c>
      <c r="R572">
        <v>1784738.07995978</v>
      </c>
      <c r="S572">
        <v>16836.489047070801</v>
      </c>
      <c r="T572">
        <v>19520437.807293199</v>
      </c>
      <c r="U572" s="3">
        <v>1075</v>
      </c>
      <c r="V572">
        <v>0.29937062298112899</v>
      </c>
    </row>
    <row r="573" spans="1:22" x14ac:dyDescent="0.25">
      <c r="A573">
        <v>24101</v>
      </c>
      <c r="B573">
        <v>13</v>
      </c>
      <c r="C573">
        <v>11013</v>
      </c>
      <c r="D573">
        <v>11013</v>
      </c>
      <c r="E573" s="3">
        <f t="shared" si="9"/>
        <v>241021013</v>
      </c>
      <c r="F573" s="3">
        <f>VLOOKUP($E573,AgronomyYieldData!H:N,7,FALSE)</f>
        <v>43</v>
      </c>
      <c r="G573" s="3">
        <f>VLOOKUP($E573,AgronomyYieldData!$H:O,3,FALSE)</f>
        <v>3</v>
      </c>
      <c r="H573" s="9">
        <v>63</v>
      </c>
      <c r="I573">
        <v>0.68451614090624602</v>
      </c>
      <c r="J573">
        <v>0.22486188799961701</v>
      </c>
      <c r="K573" s="7">
        <v>2.7660114801989202E-3</v>
      </c>
      <c r="L573" s="7">
        <v>0.99616673765300601</v>
      </c>
      <c r="M573">
        <v>0.35898607523207599</v>
      </c>
      <c r="N573">
        <v>2.39938881726282E-3</v>
      </c>
      <c r="O573">
        <v>0.116475845461096</v>
      </c>
      <c r="P573">
        <v>8.8454664812347703E-4</v>
      </c>
      <c r="Q573">
        <v>2649.30010538653</v>
      </c>
      <c r="R573">
        <v>1492329.48049159</v>
      </c>
      <c r="S573">
        <v>16869.657627393499</v>
      </c>
      <c r="T573">
        <v>16471021.6294982</v>
      </c>
      <c r="U573" s="3">
        <v>2934</v>
      </c>
      <c r="V573">
        <v>0.98637670196671701</v>
      </c>
    </row>
    <row r="574" spans="1:22" x14ac:dyDescent="0.25">
      <c r="A574">
        <v>24101</v>
      </c>
      <c r="B574">
        <v>13</v>
      </c>
      <c r="C574">
        <v>11014</v>
      </c>
      <c r="D574">
        <v>11014</v>
      </c>
      <c r="E574" s="3">
        <f t="shared" si="9"/>
        <v>241021014</v>
      </c>
      <c r="F574" s="3">
        <f>VLOOKUP($E574,AgronomyYieldData!H:N,7,FALSE)</f>
        <v>5</v>
      </c>
      <c r="G574" s="3">
        <f>VLOOKUP($E574,AgronomyYieldData!$H:O,3,FALSE)</f>
        <v>3</v>
      </c>
      <c r="H574" s="9">
        <v>57</v>
      </c>
      <c r="I574">
        <v>0.48708439544663901</v>
      </c>
      <c r="J574">
        <v>0.222354083626638</v>
      </c>
      <c r="K574" s="7">
        <v>2.2660702993552101E-3</v>
      </c>
      <c r="L574" s="7">
        <v>0.96381481481481501</v>
      </c>
      <c r="M574">
        <v>0.35509792253240002</v>
      </c>
      <c r="N574">
        <v>2.3628576794781698E-3</v>
      </c>
      <c r="O574">
        <v>0.116475845461096</v>
      </c>
      <c r="P574">
        <v>8.8454664812347703E-4</v>
      </c>
      <c r="Q574">
        <v>2565.1758987491398</v>
      </c>
      <c r="R574">
        <v>1048409.8734524</v>
      </c>
      <c r="S574">
        <v>16793.405247691298</v>
      </c>
      <c r="T574">
        <v>14848755.299722901</v>
      </c>
      <c r="U574" s="3">
        <v>2097</v>
      </c>
      <c r="V574">
        <v>0.92757887729861799</v>
      </c>
    </row>
    <row r="575" spans="1:22" x14ac:dyDescent="0.25">
      <c r="A575">
        <v>24101</v>
      </c>
      <c r="B575">
        <v>13</v>
      </c>
      <c r="C575">
        <v>11015</v>
      </c>
      <c r="D575">
        <v>11015</v>
      </c>
      <c r="E575" s="3">
        <f t="shared" si="9"/>
        <v>241021015</v>
      </c>
      <c r="F575" s="3">
        <f>VLOOKUP($E575,AgronomyYieldData!H:N,7,FALSE)</f>
        <v>17</v>
      </c>
      <c r="G575" s="3">
        <f>VLOOKUP($E575,AgronomyYieldData!$H:O,3,FALSE)</f>
        <v>3</v>
      </c>
      <c r="H575" s="9">
        <v>60</v>
      </c>
      <c r="I575">
        <v>0.59161643583490497</v>
      </c>
      <c r="J575">
        <v>0.21837004435950499</v>
      </c>
      <c r="K575" s="7">
        <v>2.6093376255621301E-3</v>
      </c>
      <c r="L575" s="7">
        <v>0.995666506166895</v>
      </c>
      <c r="M575">
        <v>0.35051280848231298</v>
      </c>
      <c r="N575">
        <v>2.3821643150001002E-3</v>
      </c>
      <c r="O575">
        <v>0.116475845461096</v>
      </c>
      <c r="P575">
        <v>8.8454664812347703E-4</v>
      </c>
      <c r="Q575">
        <v>2544.11266731673</v>
      </c>
      <c r="R575">
        <v>1036300.12264672</v>
      </c>
      <c r="S575">
        <v>16796.214289482999</v>
      </c>
      <c r="T575">
        <v>14651070.4787827</v>
      </c>
      <c r="U575" s="3">
        <v>2211</v>
      </c>
      <c r="V575">
        <v>0.99537810994197995</v>
      </c>
    </row>
    <row r="576" spans="1:22" x14ac:dyDescent="0.25">
      <c r="A576">
        <v>24101</v>
      </c>
      <c r="B576">
        <v>13</v>
      </c>
      <c r="C576">
        <v>11016</v>
      </c>
      <c r="D576">
        <v>11016</v>
      </c>
      <c r="E576" s="3">
        <f t="shared" si="9"/>
        <v>241021016</v>
      </c>
      <c r="F576" s="3">
        <f>VLOOKUP($E576,AgronomyYieldData!H:N,7,FALSE)</f>
        <v>75</v>
      </c>
      <c r="G576" s="3">
        <f>VLOOKUP($E576,AgronomyYieldData!$H:O,3,FALSE)</f>
        <v>3</v>
      </c>
      <c r="H576" s="9">
        <v>61</v>
      </c>
      <c r="I576">
        <v>0.31356048569018602</v>
      </c>
      <c r="J576">
        <v>0.22151826215148701</v>
      </c>
      <c r="K576" s="7">
        <v>2.6555470458569201E-3</v>
      </c>
      <c r="L576" s="7">
        <v>0.91790897488190903</v>
      </c>
      <c r="M576">
        <v>0.35404493235826301</v>
      </c>
      <c r="N576">
        <v>2.2795000424552301E-3</v>
      </c>
      <c r="O576">
        <v>0.116475845461096</v>
      </c>
      <c r="P576">
        <v>8.8454664812347703E-4</v>
      </c>
      <c r="Q576">
        <v>2591.0156899519902</v>
      </c>
      <c r="R576">
        <v>1483830.24737793</v>
      </c>
      <c r="S576">
        <v>16870.357872336801</v>
      </c>
      <c r="T576">
        <v>16055448.280795701</v>
      </c>
      <c r="U576" s="3">
        <v>2551</v>
      </c>
      <c r="V576">
        <v>0.96311404923142996</v>
      </c>
    </row>
    <row r="577" spans="1:22" x14ac:dyDescent="0.25">
      <c r="A577">
        <v>24101</v>
      </c>
      <c r="B577">
        <v>13</v>
      </c>
      <c r="C577">
        <v>11017</v>
      </c>
      <c r="D577">
        <v>11017</v>
      </c>
      <c r="E577" s="3">
        <f t="shared" si="9"/>
        <v>241021017</v>
      </c>
      <c r="F577" s="3">
        <f>VLOOKUP($E577,AgronomyYieldData!H:N,7,FALSE)</f>
        <v>78</v>
      </c>
      <c r="G577" s="3">
        <f>VLOOKUP($E577,AgronomyYieldData!$H:O,3,FALSE)</f>
        <v>3</v>
      </c>
      <c r="H577" s="9">
        <v>76</v>
      </c>
      <c r="I577">
        <v>0.56043417137999796</v>
      </c>
      <c r="J577">
        <v>0.222100270297696</v>
      </c>
      <c r="K577" s="7">
        <v>4.0410843698500901E-3</v>
      </c>
      <c r="L577" s="7">
        <v>0.99771052631578905</v>
      </c>
      <c r="M577">
        <v>0.35278692879520501</v>
      </c>
      <c r="N577">
        <v>2.8987338054615899E-3</v>
      </c>
      <c r="O577">
        <v>0.116475845461096</v>
      </c>
      <c r="P577">
        <v>8.8454664812347703E-4</v>
      </c>
      <c r="Q577">
        <v>2637.07718254662</v>
      </c>
      <c r="R577">
        <v>1231827.4167867801</v>
      </c>
      <c r="S577">
        <v>16591.373642090901</v>
      </c>
      <c r="T577">
        <v>14984753.790077901</v>
      </c>
      <c r="U577" s="3">
        <v>3256</v>
      </c>
      <c r="V577">
        <v>0.975464640058476</v>
      </c>
    </row>
    <row r="578" spans="1:22" x14ac:dyDescent="0.25">
      <c r="A578">
        <v>24101</v>
      </c>
      <c r="B578">
        <v>13</v>
      </c>
      <c r="C578">
        <v>11018</v>
      </c>
      <c r="D578">
        <v>11018</v>
      </c>
      <c r="E578" s="3">
        <f t="shared" si="9"/>
        <v>241021018</v>
      </c>
      <c r="F578" s="3">
        <f>VLOOKUP($E578,AgronomyYieldData!H:N,7,FALSE)</f>
        <v>52</v>
      </c>
      <c r="G578" s="3">
        <f>VLOOKUP($E578,AgronomyYieldData!$H:O,3,FALSE)</f>
        <v>3</v>
      </c>
      <c r="H578" s="9">
        <v>34</v>
      </c>
      <c r="I578">
        <v>0.34128224409062602</v>
      </c>
      <c r="J578">
        <v>0.211254258240342</v>
      </c>
      <c r="K578" s="7">
        <v>1.6679894783676601E-3</v>
      </c>
      <c r="L578" s="7">
        <v>0.752924303627584</v>
      </c>
      <c r="M578">
        <v>0.348290056757734</v>
      </c>
      <c r="N578">
        <v>2.0957778703850102E-3</v>
      </c>
      <c r="O578">
        <v>0.116475845461096</v>
      </c>
      <c r="P578">
        <v>8.8454664812347703E-4</v>
      </c>
      <c r="Q578">
        <v>2525.23493803055</v>
      </c>
      <c r="R578">
        <v>1040413.39480516</v>
      </c>
      <c r="S578">
        <v>17046.982591353499</v>
      </c>
      <c r="T578">
        <v>14118321.336128401</v>
      </c>
      <c r="U578" s="3">
        <v>1635</v>
      </c>
      <c r="V578">
        <v>0.89411960722136496</v>
      </c>
    </row>
    <row r="579" spans="1:22" x14ac:dyDescent="0.25">
      <c r="A579">
        <v>24101</v>
      </c>
      <c r="B579">
        <v>13</v>
      </c>
      <c r="C579">
        <v>11019</v>
      </c>
      <c r="D579">
        <v>11019</v>
      </c>
      <c r="E579" s="3">
        <f t="shared" si="9"/>
        <v>241021019</v>
      </c>
      <c r="F579" s="3">
        <f>VLOOKUP($E579,AgronomyYieldData!H:N,7,FALSE)</f>
        <v>3</v>
      </c>
      <c r="G579" s="3">
        <f>VLOOKUP($E579,AgronomyYieldData!$H:O,3,FALSE)</f>
        <v>4</v>
      </c>
      <c r="H579" s="9">
        <v>41</v>
      </c>
      <c r="I579">
        <v>0.38400942354413597</v>
      </c>
      <c r="J579">
        <v>0.21784577925809001</v>
      </c>
      <c r="K579" s="7">
        <v>2.3673843686385799E-3</v>
      </c>
      <c r="L579" s="7">
        <v>0.96222152262078897</v>
      </c>
      <c r="M579">
        <v>0.35043956210038701</v>
      </c>
      <c r="N579">
        <v>2.40619526604863E-3</v>
      </c>
      <c r="O579">
        <v>0.116475845461096</v>
      </c>
      <c r="P579">
        <v>8.8454664812347703E-4</v>
      </c>
      <c r="Q579">
        <v>2499.7169971141302</v>
      </c>
      <c r="R579">
        <v>1306862.67946577</v>
      </c>
      <c r="S579">
        <v>16689.1428157058</v>
      </c>
      <c r="T579">
        <v>15951056.268959001</v>
      </c>
      <c r="U579" s="3">
        <v>1943</v>
      </c>
      <c r="V579">
        <v>0.98288943184138999</v>
      </c>
    </row>
    <row r="580" spans="1:22" x14ac:dyDescent="0.25">
      <c r="A580">
        <v>24101</v>
      </c>
      <c r="B580">
        <v>13</v>
      </c>
      <c r="C580">
        <v>11020</v>
      </c>
      <c r="D580">
        <v>11020</v>
      </c>
      <c r="E580" s="3">
        <f t="shared" si="9"/>
        <v>241021020</v>
      </c>
      <c r="F580" s="3">
        <f>VLOOKUP($E580,AgronomyYieldData!H:N,7,FALSE)</f>
        <v>29</v>
      </c>
      <c r="G580" s="3">
        <f>VLOOKUP($E580,AgronomyYieldData!$H:O,3,FALSE)</f>
        <v>4</v>
      </c>
      <c r="H580" s="9">
        <v>60</v>
      </c>
      <c r="I580">
        <v>0.60404185417299305</v>
      </c>
      <c r="J580">
        <v>0.223054263005665</v>
      </c>
      <c r="K580" s="7">
        <v>3.0303256885097301E-3</v>
      </c>
      <c r="L580" s="7">
        <v>0.95661191459417405</v>
      </c>
      <c r="M580">
        <v>0.34593938894924497</v>
      </c>
      <c r="N580">
        <v>2.3661810493612501E-3</v>
      </c>
      <c r="O580">
        <v>0.116475845461096</v>
      </c>
      <c r="P580">
        <v>8.8454664812347703E-4</v>
      </c>
      <c r="Q580">
        <v>2639.0079977937098</v>
      </c>
      <c r="R580">
        <v>1669147.80751623</v>
      </c>
      <c r="S580">
        <v>16478.326425728101</v>
      </c>
      <c r="T580">
        <v>16289500.3032913</v>
      </c>
      <c r="U580" s="3">
        <v>1834</v>
      </c>
      <c r="V580">
        <v>0.89777764330342902</v>
      </c>
    </row>
    <row r="581" spans="1:22" x14ac:dyDescent="0.25">
      <c r="A581">
        <v>24101</v>
      </c>
      <c r="B581">
        <v>13</v>
      </c>
      <c r="C581">
        <v>11021</v>
      </c>
      <c r="D581">
        <v>11021</v>
      </c>
      <c r="E581" s="3">
        <f t="shared" si="9"/>
        <v>241021021</v>
      </c>
      <c r="F581" s="3">
        <f>VLOOKUP($E581,AgronomyYieldData!H:N,7,FALSE)</f>
        <v>34</v>
      </c>
      <c r="G581" s="3">
        <f>VLOOKUP($E581,AgronomyYieldData!$H:O,3,FALSE)</f>
        <v>4</v>
      </c>
      <c r="H581" s="9">
        <v>85</v>
      </c>
      <c r="I581">
        <v>0.61454010030828699</v>
      </c>
      <c r="J581">
        <v>0.23454822193432801</v>
      </c>
      <c r="K581" s="7">
        <v>5.2028441766356704E-3</v>
      </c>
      <c r="L581" s="7">
        <v>0.99696307544164997</v>
      </c>
      <c r="M581">
        <v>0.34874760701846902</v>
      </c>
      <c r="N581">
        <v>3.0544173244185001E-3</v>
      </c>
      <c r="O581">
        <v>0.116475845461096</v>
      </c>
      <c r="P581">
        <v>8.8454664812347703E-4</v>
      </c>
      <c r="Q581">
        <v>2651.9883779338302</v>
      </c>
      <c r="R581">
        <v>2228997.0670266501</v>
      </c>
      <c r="S581">
        <v>16119.756053168199</v>
      </c>
      <c r="T581">
        <v>18945992.309893001</v>
      </c>
      <c r="U581" s="3">
        <v>893</v>
      </c>
      <c r="V581">
        <v>0.97832072617246602</v>
      </c>
    </row>
    <row r="582" spans="1:22" x14ac:dyDescent="0.25">
      <c r="A582">
        <v>24101</v>
      </c>
      <c r="B582">
        <v>13</v>
      </c>
      <c r="C582">
        <v>11022</v>
      </c>
      <c r="D582">
        <v>11022</v>
      </c>
      <c r="E582" s="3">
        <f t="shared" si="9"/>
        <v>241021022</v>
      </c>
      <c r="F582" s="3">
        <f>VLOOKUP($E582,AgronomyYieldData!H:N,7,FALSE)</f>
        <v>89</v>
      </c>
      <c r="G582" s="3">
        <f>VLOOKUP($E582,AgronomyYieldData!$H:O,3,FALSE)</f>
        <v>4</v>
      </c>
      <c r="H582" s="9">
        <v>77</v>
      </c>
      <c r="I582">
        <v>0.47200172618969699</v>
      </c>
      <c r="J582">
        <v>0.23800471191014899</v>
      </c>
      <c r="K582" s="7">
        <v>5.7001295453645998E-3</v>
      </c>
      <c r="L582" s="7">
        <v>0.99701311859366604</v>
      </c>
      <c r="M582">
        <v>0.349830058163209</v>
      </c>
      <c r="N582">
        <v>3.12261620281038E-3</v>
      </c>
      <c r="O582">
        <v>0.116475845461096</v>
      </c>
      <c r="P582">
        <v>8.8454664812347703E-4</v>
      </c>
      <c r="Q582">
        <v>2705.6201713134001</v>
      </c>
      <c r="R582">
        <v>2351305.4357043998</v>
      </c>
      <c r="S582">
        <v>16209.0419271343</v>
      </c>
      <c r="T582">
        <v>17997347.808172502</v>
      </c>
      <c r="U582" s="3">
        <v>1968</v>
      </c>
      <c r="V582">
        <v>0.61879501236160295</v>
      </c>
    </row>
    <row r="583" spans="1:22" x14ac:dyDescent="0.25">
      <c r="A583">
        <v>24101</v>
      </c>
      <c r="B583">
        <v>13</v>
      </c>
      <c r="C583">
        <v>11023</v>
      </c>
      <c r="D583">
        <v>11023</v>
      </c>
      <c r="E583" s="3">
        <f t="shared" si="9"/>
        <v>241021023</v>
      </c>
      <c r="F583" s="3">
        <f>VLOOKUP($E583,AgronomyYieldData!H:N,7,FALSE)</f>
        <v>68</v>
      </c>
      <c r="G583" s="3">
        <f>VLOOKUP($E583,AgronomyYieldData!$H:O,3,FALSE)</f>
        <v>4</v>
      </c>
      <c r="H583" s="9">
        <v>80</v>
      </c>
      <c r="I583">
        <v>0.39241648521940398</v>
      </c>
      <c r="J583">
        <v>0.22377282785073899</v>
      </c>
      <c r="K583" s="7">
        <v>3.1370491897446898E-3</v>
      </c>
      <c r="L583" s="7">
        <v>0.97106578947368405</v>
      </c>
      <c r="M583">
        <v>0.33853847857392599</v>
      </c>
      <c r="N583">
        <v>2.4818491372540002E-3</v>
      </c>
      <c r="O583">
        <v>0.116475845461096</v>
      </c>
      <c r="P583">
        <v>8.8454664812347703E-4</v>
      </c>
      <c r="Q583">
        <v>2703.01885287202</v>
      </c>
      <c r="R583">
        <v>2274344.8071269002</v>
      </c>
      <c r="S583">
        <v>16622.129975294501</v>
      </c>
      <c r="T583">
        <v>16052566.5660288</v>
      </c>
      <c r="U583" s="3">
        <v>1653</v>
      </c>
      <c r="V583">
        <v>0.92829770881592599</v>
      </c>
    </row>
    <row r="584" spans="1:22" x14ac:dyDescent="0.25">
      <c r="A584">
        <v>24101</v>
      </c>
      <c r="B584">
        <v>13</v>
      </c>
      <c r="C584">
        <v>11024</v>
      </c>
      <c r="D584">
        <v>11024</v>
      </c>
      <c r="E584" s="3">
        <f t="shared" si="9"/>
        <v>241021024</v>
      </c>
      <c r="F584" s="3">
        <f>VLOOKUP($E584,AgronomyYieldData!H:N,7,FALSE)</f>
        <v>60</v>
      </c>
      <c r="G584" s="3">
        <f>VLOOKUP($E584,AgronomyYieldData!$H:O,3,FALSE)</f>
        <v>4</v>
      </c>
      <c r="H584" s="9">
        <v>42</v>
      </c>
      <c r="I584">
        <v>0.22860188054977901</v>
      </c>
      <c r="J584">
        <v>0.21484938008599899</v>
      </c>
      <c r="K584" s="7">
        <v>2.5031282386796202E-3</v>
      </c>
      <c r="L584" s="7">
        <v>0.69707496151265103</v>
      </c>
      <c r="M584">
        <v>0.328377193248169</v>
      </c>
      <c r="N584">
        <v>2.7738265590940298E-3</v>
      </c>
      <c r="O584">
        <v>0.116475845461096</v>
      </c>
      <c r="P584">
        <v>8.8454664812347703E-4</v>
      </c>
      <c r="Q584">
        <v>2521.96381933461</v>
      </c>
      <c r="R584">
        <v>1617258.9324880501</v>
      </c>
      <c r="S584">
        <v>16761.988023174501</v>
      </c>
      <c r="T584">
        <v>17172202.6612841</v>
      </c>
      <c r="U584" s="3">
        <v>1519</v>
      </c>
      <c r="V584">
        <v>0.83684295388584296</v>
      </c>
    </row>
    <row r="585" spans="1:22" x14ac:dyDescent="0.25">
      <c r="A585">
        <v>24101</v>
      </c>
      <c r="B585">
        <v>13</v>
      </c>
      <c r="C585">
        <v>12001</v>
      </c>
      <c r="D585">
        <v>12001</v>
      </c>
      <c r="E585" s="3">
        <f t="shared" si="9"/>
        <v>241022001</v>
      </c>
      <c r="F585" s="3">
        <f>VLOOKUP($E585,AgronomyYieldData!H:N,7,FALSE)</f>
        <v>70</v>
      </c>
      <c r="G585" s="3">
        <f>VLOOKUP($E585,AgronomyYieldData!$H:O,3,FALSE)</f>
        <v>1</v>
      </c>
      <c r="H585" s="9">
        <v>85</v>
      </c>
      <c r="I585">
        <v>0.56771831170104903</v>
      </c>
      <c r="J585">
        <v>0.235044700674269</v>
      </c>
      <c r="K585" s="7">
        <v>4.0067218643330396E-3</v>
      </c>
      <c r="L585" s="7">
        <v>0.99947369806057695</v>
      </c>
      <c r="M585">
        <v>0.374044224246455</v>
      </c>
      <c r="N585">
        <v>3.01371772351896E-3</v>
      </c>
      <c r="O585">
        <v>0.116475845461096</v>
      </c>
      <c r="P585">
        <v>8.8454664812347703E-4</v>
      </c>
      <c r="Q585">
        <v>2828.4222559695399</v>
      </c>
      <c r="R585">
        <v>1802961.0009052099</v>
      </c>
      <c r="S585">
        <v>16618.1578793792</v>
      </c>
      <c r="T585">
        <v>17886383.268503301</v>
      </c>
      <c r="U585" s="3">
        <v>817</v>
      </c>
      <c r="V585">
        <v>0.49825325163925599</v>
      </c>
    </row>
    <row r="586" spans="1:22" x14ac:dyDescent="0.25">
      <c r="A586">
        <v>24101</v>
      </c>
      <c r="B586">
        <v>13</v>
      </c>
      <c r="C586">
        <v>12002</v>
      </c>
      <c r="D586">
        <v>12002</v>
      </c>
      <c r="E586" s="3">
        <f t="shared" si="9"/>
        <v>241022002</v>
      </c>
      <c r="F586" s="3">
        <f>VLOOKUP($E586,AgronomyYieldData!H:N,7,FALSE)</f>
        <v>85</v>
      </c>
      <c r="G586" s="3">
        <f>VLOOKUP($E586,AgronomyYieldData!$H:O,3,FALSE)</f>
        <v>1</v>
      </c>
      <c r="H586" s="9">
        <v>87</v>
      </c>
      <c r="I586">
        <v>0.87529424072814699</v>
      </c>
      <c r="J586">
        <v>0.24888714557243899</v>
      </c>
      <c r="K586" s="7">
        <v>8.0084855431857092E-3</v>
      </c>
      <c r="L586" s="7">
        <v>0.99990789594873797</v>
      </c>
      <c r="M586">
        <v>0.37976259833072301</v>
      </c>
      <c r="N586">
        <v>4.0982216121933602E-3</v>
      </c>
      <c r="O586">
        <v>0.116475845461096</v>
      </c>
      <c r="P586">
        <v>8.8454664812347703E-4</v>
      </c>
      <c r="Q586">
        <v>2895.2303051934</v>
      </c>
      <c r="R586">
        <v>2764178.0710733398</v>
      </c>
      <c r="S586">
        <v>16186.950005001299</v>
      </c>
      <c r="T586">
        <v>22405758.8949861</v>
      </c>
      <c r="U586" s="3">
        <v>1692</v>
      </c>
      <c r="V586">
        <v>0.80878543249954304</v>
      </c>
    </row>
    <row r="587" spans="1:22" x14ac:dyDescent="0.25">
      <c r="A587">
        <v>24101</v>
      </c>
      <c r="B587">
        <v>13</v>
      </c>
      <c r="C587">
        <v>12003</v>
      </c>
      <c r="D587">
        <v>12003</v>
      </c>
      <c r="E587" s="3">
        <f t="shared" si="9"/>
        <v>241022003</v>
      </c>
      <c r="F587" s="3">
        <f>VLOOKUP($E587,AgronomyYieldData!H:N,7,FALSE)</f>
        <v>46</v>
      </c>
      <c r="G587" s="3">
        <f>VLOOKUP($E587,AgronomyYieldData!$H:O,3,FALSE)</f>
        <v>1</v>
      </c>
      <c r="H587" s="9">
        <v>63</v>
      </c>
      <c r="I587">
        <v>0.45730594950862102</v>
      </c>
      <c r="J587">
        <v>0.22730126472197101</v>
      </c>
      <c r="K587" s="7">
        <v>3.5554319808066299E-3</v>
      </c>
      <c r="L587" s="7">
        <v>0.96228897748654596</v>
      </c>
      <c r="M587">
        <v>0.36609446693907899</v>
      </c>
      <c r="N587">
        <v>2.7324859502910102E-3</v>
      </c>
      <c r="O587">
        <v>0.116475845461096</v>
      </c>
      <c r="P587">
        <v>8.8454664812347703E-4</v>
      </c>
      <c r="Q587">
        <v>2800.2505983456299</v>
      </c>
      <c r="R587">
        <v>1776147.36444726</v>
      </c>
      <c r="S587">
        <v>16864.898359857401</v>
      </c>
      <c r="T587">
        <v>15587524.692241499</v>
      </c>
      <c r="U587" s="3">
        <v>2036</v>
      </c>
      <c r="V587">
        <v>0.985182358568649</v>
      </c>
    </row>
    <row r="588" spans="1:22" x14ac:dyDescent="0.25">
      <c r="A588">
        <v>24101</v>
      </c>
      <c r="B588">
        <v>13</v>
      </c>
      <c r="C588">
        <v>12004</v>
      </c>
      <c r="D588">
        <v>12004</v>
      </c>
      <c r="E588" s="3">
        <f t="shared" si="9"/>
        <v>241022004</v>
      </c>
      <c r="F588" s="3">
        <f>VLOOKUP($E588,AgronomyYieldData!H:N,7,FALSE)</f>
        <v>33</v>
      </c>
      <c r="G588" s="3">
        <f>VLOOKUP($E588,AgronomyYieldData!$H:O,3,FALSE)</f>
        <v>1</v>
      </c>
      <c r="H588" s="9">
        <v>57</v>
      </c>
      <c r="I588">
        <v>0.36875718952744602</v>
      </c>
      <c r="J588">
        <v>0.23004305739047301</v>
      </c>
      <c r="K588" s="7">
        <v>4.0955777444027803E-3</v>
      </c>
      <c r="L588" s="7">
        <v>0.85078054110109103</v>
      </c>
      <c r="M588">
        <v>0.35982635798814899</v>
      </c>
      <c r="N588">
        <v>3.0575287490991099E-3</v>
      </c>
      <c r="O588">
        <v>0.116475845461096</v>
      </c>
      <c r="P588">
        <v>8.8454664812347703E-4</v>
      </c>
      <c r="Q588">
        <v>2768.7994760117799</v>
      </c>
      <c r="R588">
        <v>1359173.43648147</v>
      </c>
      <c r="S588">
        <v>16644.477868186699</v>
      </c>
      <c r="T588">
        <v>16886149.6380753</v>
      </c>
      <c r="U588" s="3">
        <v>1897</v>
      </c>
      <c r="V588">
        <v>0.93457590450759798</v>
      </c>
    </row>
    <row r="589" spans="1:22" x14ac:dyDescent="0.25">
      <c r="A589">
        <v>24101</v>
      </c>
      <c r="B589">
        <v>13</v>
      </c>
      <c r="C589">
        <v>12005</v>
      </c>
      <c r="D589">
        <v>12005</v>
      </c>
      <c r="E589" s="3">
        <f t="shared" si="9"/>
        <v>241022005</v>
      </c>
      <c r="F589" s="3">
        <f>VLOOKUP($E589,AgronomyYieldData!H:N,7,FALSE)</f>
        <v>5</v>
      </c>
      <c r="G589" s="3">
        <f>VLOOKUP($E589,AgronomyYieldData!$H:O,3,FALSE)</f>
        <v>1</v>
      </c>
      <c r="H589" s="9">
        <v>62</v>
      </c>
      <c r="I589">
        <v>0.50057054514668498</v>
      </c>
      <c r="J589">
        <v>0.22680542955135999</v>
      </c>
      <c r="K589" s="7">
        <v>2.7263342541122798E-3</v>
      </c>
      <c r="L589" s="7">
        <v>0.96479434042631995</v>
      </c>
      <c r="M589">
        <v>0.33667344492352402</v>
      </c>
      <c r="N589">
        <v>2.83098910714527E-3</v>
      </c>
      <c r="O589">
        <v>0.116475845461096</v>
      </c>
      <c r="P589">
        <v>8.8454664812347703E-4</v>
      </c>
      <c r="Q589">
        <v>2685.1461439968498</v>
      </c>
      <c r="R589">
        <v>1221149.9096573901</v>
      </c>
      <c r="S589">
        <v>16521.7656556035</v>
      </c>
      <c r="T589">
        <v>13889098.7714203</v>
      </c>
      <c r="U589" s="3">
        <v>1606</v>
      </c>
      <c r="V589">
        <v>0.93144633631611995</v>
      </c>
    </row>
    <row r="590" spans="1:22" x14ac:dyDescent="0.25">
      <c r="A590">
        <v>24101</v>
      </c>
      <c r="B590">
        <v>13</v>
      </c>
      <c r="C590">
        <v>12006</v>
      </c>
      <c r="D590">
        <v>12006</v>
      </c>
      <c r="E590" s="3">
        <f t="shared" si="9"/>
        <v>241022006</v>
      </c>
      <c r="F590" s="3">
        <f>VLOOKUP($E590,AgronomyYieldData!H:N,7,FALSE)</f>
        <v>27</v>
      </c>
      <c r="G590" s="3">
        <f>VLOOKUP($E590,AgronomyYieldData!$H:O,3,FALSE)</f>
        <v>1</v>
      </c>
      <c r="H590" s="9">
        <v>71</v>
      </c>
      <c r="I590">
        <v>0.70363689906500704</v>
      </c>
      <c r="J590">
        <v>0.23087611491105001</v>
      </c>
      <c r="K590" s="7">
        <v>4.3600717815256698E-3</v>
      </c>
      <c r="L590" s="7">
        <v>1</v>
      </c>
      <c r="M590">
        <v>0.328956823081412</v>
      </c>
      <c r="N590">
        <v>3.4453486327426998E-3</v>
      </c>
      <c r="O590">
        <v>0.116475845461096</v>
      </c>
      <c r="P590">
        <v>8.8454664812347703E-4</v>
      </c>
      <c r="Q590">
        <v>2857.0097605657402</v>
      </c>
      <c r="R590">
        <v>2591970.5887199799</v>
      </c>
      <c r="S590">
        <v>16321.254173323399</v>
      </c>
      <c r="T590">
        <v>18100898.685669702</v>
      </c>
      <c r="U590" s="3">
        <v>828</v>
      </c>
      <c r="V590">
        <v>0.97541622226760705</v>
      </c>
    </row>
    <row r="591" spans="1:22" x14ac:dyDescent="0.25">
      <c r="A591">
        <v>24101</v>
      </c>
      <c r="B591">
        <v>13</v>
      </c>
      <c r="C591">
        <v>12007</v>
      </c>
      <c r="D591">
        <v>12007</v>
      </c>
      <c r="E591" s="3">
        <f t="shared" si="9"/>
        <v>241022007</v>
      </c>
      <c r="F591" s="3">
        <f>VLOOKUP($E591,AgronomyYieldData!H:N,7,FALSE)</f>
        <v>4</v>
      </c>
      <c r="G591" s="3">
        <f>VLOOKUP($E591,AgronomyYieldData!$H:O,3,FALSE)</f>
        <v>2</v>
      </c>
      <c r="H591" s="9">
        <v>56</v>
      </c>
      <c r="I591">
        <v>0.58583181491910996</v>
      </c>
      <c r="J591">
        <v>0.21905421299219299</v>
      </c>
      <c r="K591" s="7">
        <v>3.1760780105859602E-3</v>
      </c>
      <c r="L591" s="7">
        <v>0.99472222222222195</v>
      </c>
      <c r="M591">
        <v>0.32912877071185798</v>
      </c>
      <c r="N591">
        <v>2.6441219508827199E-3</v>
      </c>
      <c r="O591">
        <v>0.116475845461096</v>
      </c>
      <c r="P591">
        <v>8.8454664812347703E-4</v>
      </c>
      <c r="Q591">
        <v>2750.597165314</v>
      </c>
      <c r="R591">
        <v>1603176.4124129701</v>
      </c>
      <c r="S591">
        <v>16545.776624149799</v>
      </c>
      <c r="T591">
        <v>16641765.2013073</v>
      </c>
      <c r="U591" s="3">
        <v>727</v>
      </c>
      <c r="V591">
        <v>0.96745815021293602</v>
      </c>
    </row>
    <row r="592" spans="1:22" x14ac:dyDescent="0.25">
      <c r="A592">
        <v>24101</v>
      </c>
      <c r="B592">
        <v>13</v>
      </c>
      <c r="C592">
        <v>12008</v>
      </c>
      <c r="D592">
        <v>12008</v>
      </c>
      <c r="E592" s="3">
        <f t="shared" si="9"/>
        <v>241022008</v>
      </c>
      <c r="F592" s="3">
        <f>VLOOKUP($E592,AgronomyYieldData!H:N,7,FALSE)</f>
        <v>36</v>
      </c>
      <c r="G592" s="3">
        <f>VLOOKUP($E592,AgronomyYieldData!$H:O,3,FALSE)</f>
        <v>2</v>
      </c>
      <c r="H592" s="9">
        <v>34</v>
      </c>
      <c r="I592">
        <v>0.216513440637567</v>
      </c>
      <c r="J592">
        <v>0.21999205038050801</v>
      </c>
      <c r="K592" s="7">
        <v>4.6435246345551198E-3</v>
      </c>
      <c r="L592" s="7">
        <v>0.71509786855798996</v>
      </c>
      <c r="M592">
        <v>0.34245003519233602</v>
      </c>
      <c r="N592">
        <v>3.4181251384136401E-3</v>
      </c>
      <c r="O592">
        <v>0.116475845461096</v>
      </c>
      <c r="P592">
        <v>8.8454664812347703E-4</v>
      </c>
      <c r="Q592">
        <v>2627.6233883914902</v>
      </c>
      <c r="R592">
        <v>1846395.2264525499</v>
      </c>
      <c r="S592">
        <v>16646.0712736565</v>
      </c>
      <c r="T592">
        <v>16918246.633882601</v>
      </c>
      <c r="U592" s="3">
        <v>218</v>
      </c>
      <c r="V592">
        <v>0.18466856784090599</v>
      </c>
    </row>
    <row r="593" spans="1:22" x14ac:dyDescent="0.25">
      <c r="A593">
        <v>24101</v>
      </c>
      <c r="B593">
        <v>13</v>
      </c>
      <c r="C593">
        <v>12009</v>
      </c>
      <c r="D593">
        <v>12009</v>
      </c>
      <c r="E593" s="3">
        <f t="shared" si="9"/>
        <v>241022009</v>
      </c>
      <c r="F593" s="3">
        <f>VLOOKUP($E593,AgronomyYieldData!H:N,7,FALSE)</f>
        <v>23</v>
      </c>
      <c r="G593" s="3">
        <f>VLOOKUP($E593,AgronomyYieldData!$H:O,3,FALSE)</f>
        <v>2</v>
      </c>
      <c r="H593" s="9">
        <v>63</v>
      </c>
      <c r="I593">
        <v>0.43499226974895</v>
      </c>
      <c r="J593">
        <v>0.21385445341092699</v>
      </c>
      <c r="K593" s="7">
        <v>2.9101425673960998E-3</v>
      </c>
      <c r="L593" s="7">
        <v>0.99942593655672995</v>
      </c>
      <c r="M593">
        <v>0.34590272615828499</v>
      </c>
      <c r="N593">
        <v>2.3232196112387298E-3</v>
      </c>
      <c r="O593">
        <v>0.116475845461096</v>
      </c>
      <c r="P593">
        <v>8.8454664812347703E-4</v>
      </c>
      <c r="Q593">
        <v>2699.5853245346202</v>
      </c>
      <c r="R593">
        <v>1495953.31855937</v>
      </c>
      <c r="S593">
        <v>16672.322157260998</v>
      </c>
      <c r="T593">
        <v>13747705.3333879</v>
      </c>
      <c r="U593" s="3">
        <v>1797</v>
      </c>
      <c r="V593">
        <v>0.9671482602118</v>
      </c>
    </row>
    <row r="594" spans="1:22" x14ac:dyDescent="0.25">
      <c r="A594">
        <v>24101</v>
      </c>
      <c r="B594">
        <v>13</v>
      </c>
      <c r="C594">
        <v>12010</v>
      </c>
      <c r="D594">
        <v>12010</v>
      </c>
      <c r="E594" s="3">
        <f t="shared" si="9"/>
        <v>241022010</v>
      </c>
      <c r="F594" s="3">
        <f>VLOOKUP($E594,AgronomyYieldData!H:N,7,FALSE)</f>
        <v>71</v>
      </c>
      <c r="G594" s="3">
        <f>VLOOKUP($E594,AgronomyYieldData!$H:O,3,FALSE)</f>
        <v>2</v>
      </c>
      <c r="H594" s="9">
        <v>49</v>
      </c>
      <c r="I594">
        <v>0.36034027305539501</v>
      </c>
      <c r="J594">
        <v>0.21275424019353001</v>
      </c>
      <c r="K594" s="7">
        <v>2.4613975128112801E-3</v>
      </c>
      <c r="L594" s="7">
        <v>0.95193421052631599</v>
      </c>
      <c r="M594">
        <v>0.35229017850723199</v>
      </c>
      <c r="N594">
        <v>2.3473930626554001E-3</v>
      </c>
      <c r="O594">
        <v>0.116475845461096</v>
      </c>
      <c r="P594">
        <v>8.8454664812347703E-4</v>
      </c>
      <c r="Q594">
        <v>2758.5459259725799</v>
      </c>
      <c r="R594">
        <v>1456073.61403192</v>
      </c>
      <c r="S594">
        <v>17164.713422428598</v>
      </c>
      <c r="T594">
        <v>15334533.9108597</v>
      </c>
      <c r="U594" s="3">
        <v>933</v>
      </c>
      <c r="V594">
        <v>0.62393782550508703</v>
      </c>
    </row>
    <row r="595" spans="1:22" x14ac:dyDescent="0.25">
      <c r="A595">
        <v>24101</v>
      </c>
      <c r="B595">
        <v>13</v>
      </c>
      <c r="C595">
        <v>12011</v>
      </c>
      <c r="D595">
        <v>12011</v>
      </c>
      <c r="E595" s="3">
        <f t="shared" ref="E595:E658" si="10">$A595*10000+$C595</f>
        <v>241022011</v>
      </c>
      <c r="F595" s="3">
        <f>VLOOKUP($E595,AgronomyYieldData!H:N,7,FALSE)</f>
        <v>58</v>
      </c>
      <c r="G595" s="3">
        <f>VLOOKUP($E595,AgronomyYieldData!$H:O,3,FALSE)</f>
        <v>2</v>
      </c>
      <c r="H595" s="9">
        <v>54</v>
      </c>
      <c r="I595">
        <v>0.44258457675659402</v>
      </c>
      <c r="J595">
        <v>0.21725739531760799</v>
      </c>
      <c r="K595" s="7">
        <v>2.3269774467183902E-3</v>
      </c>
      <c r="L595" s="7">
        <v>0.96039577905844598</v>
      </c>
      <c r="M595">
        <v>0.35656789719541099</v>
      </c>
      <c r="N595">
        <v>2.3476439156508498E-3</v>
      </c>
      <c r="O595">
        <v>0.101541433721954</v>
      </c>
      <c r="P595">
        <v>8.1137284474565199E-4</v>
      </c>
      <c r="Q595">
        <v>2680.20649017097</v>
      </c>
      <c r="R595">
        <v>1327761.9014598599</v>
      </c>
      <c r="S595">
        <v>17183.8437115507</v>
      </c>
      <c r="T595">
        <v>14309452.913577201</v>
      </c>
      <c r="U595" s="3">
        <v>2038</v>
      </c>
      <c r="V595">
        <v>0.99032559739435999</v>
      </c>
    </row>
    <row r="596" spans="1:22" x14ac:dyDescent="0.25">
      <c r="A596">
        <v>24101</v>
      </c>
      <c r="B596">
        <v>13</v>
      </c>
      <c r="C596">
        <v>12012</v>
      </c>
      <c r="D596">
        <v>12012</v>
      </c>
      <c r="E596" s="3">
        <f t="shared" si="10"/>
        <v>241022012</v>
      </c>
      <c r="F596" s="3">
        <f>VLOOKUP($E596,AgronomyYieldData!H:N,7,FALSE)</f>
        <v>85</v>
      </c>
      <c r="G596" s="3">
        <f>VLOOKUP($E596,AgronomyYieldData!$H:O,3,FALSE)</f>
        <v>2</v>
      </c>
      <c r="H596" s="9">
        <v>73</v>
      </c>
      <c r="I596">
        <v>0.70985902599780304</v>
      </c>
      <c r="J596">
        <v>0.239867398545308</v>
      </c>
      <c r="K596" s="7">
        <v>7.9822479509030399E-3</v>
      </c>
      <c r="L596" s="7">
        <v>0.99919735785997199</v>
      </c>
      <c r="M596">
        <v>0.37028090831354699</v>
      </c>
      <c r="N596">
        <v>4.2823269635016304E-3</v>
      </c>
      <c r="O596">
        <v>0.101541433721954</v>
      </c>
      <c r="P596">
        <v>8.1137284474565199E-4</v>
      </c>
      <c r="Q596">
        <v>2851.9972637251099</v>
      </c>
      <c r="R596">
        <v>2486318.6807790599</v>
      </c>
      <c r="S596">
        <v>16707.300322105399</v>
      </c>
      <c r="T596">
        <v>21297329.6967819</v>
      </c>
      <c r="U596" s="3">
        <v>1240</v>
      </c>
      <c r="V596">
        <v>0.68890513224299799</v>
      </c>
    </row>
    <row r="597" spans="1:22" x14ac:dyDescent="0.25">
      <c r="A597">
        <v>24101</v>
      </c>
      <c r="B597">
        <v>13</v>
      </c>
      <c r="C597">
        <v>12013</v>
      </c>
      <c r="D597">
        <v>12013</v>
      </c>
      <c r="E597" s="3">
        <f t="shared" si="10"/>
        <v>241022013</v>
      </c>
      <c r="F597" s="3">
        <f>VLOOKUP($E597,AgronomyYieldData!H:N,7,FALSE)</f>
        <v>38</v>
      </c>
      <c r="G597" s="3">
        <f>VLOOKUP($E597,AgronomyYieldData!$H:O,3,FALSE)</f>
        <v>3</v>
      </c>
      <c r="H597" s="9">
        <v>80</v>
      </c>
      <c r="I597">
        <v>0.537067712071853</v>
      </c>
      <c r="J597">
        <v>0.23254649652888201</v>
      </c>
      <c r="K597" s="7">
        <v>5.4365689753495001E-3</v>
      </c>
      <c r="L597" s="7">
        <v>0.99498166734565396</v>
      </c>
      <c r="M597">
        <v>0.36438859690478798</v>
      </c>
      <c r="N597">
        <v>3.07619908589629E-3</v>
      </c>
      <c r="O597">
        <v>0.101541433721954</v>
      </c>
      <c r="P597">
        <v>8.1137284474565199E-4</v>
      </c>
      <c r="Q597">
        <v>2928.95421102914</v>
      </c>
      <c r="R597">
        <v>3291641.6367821302</v>
      </c>
      <c r="S597">
        <v>16531.097755614101</v>
      </c>
      <c r="T597">
        <v>17723209.050883699</v>
      </c>
      <c r="U597" s="3">
        <v>1925</v>
      </c>
      <c r="V597">
        <v>0.95232980332828998</v>
      </c>
    </row>
    <row r="598" spans="1:22" x14ac:dyDescent="0.25">
      <c r="A598">
        <v>24101</v>
      </c>
      <c r="B598">
        <v>13</v>
      </c>
      <c r="C598">
        <v>12014</v>
      </c>
      <c r="D598">
        <v>12014</v>
      </c>
      <c r="E598" s="3">
        <f t="shared" si="10"/>
        <v>241022014</v>
      </c>
      <c r="F598" s="3">
        <f>VLOOKUP($E598,AgronomyYieldData!H:N,7,FALSE)</f>
        <v>4</v>
      </c>
      <c r="G598" s="3">
        <f>VLOOKUP($E598,AgronomyYieldData!$H:O,3,FALSE)</f>
        <v>3</v>
      </c>
      <c r="H598" s="9">
        <v>46</v>
      </c>
      <c r="I598">
        <v>0.50162881437037499</v>
      </c>
      <c r="J598">
        <v>0.22216379519117299</v>
      </c>
      <c r="K598" s="7">
        <v>2.8141619030292902E-3</v>
      </c>
      <c r="L598" s="7">
        <v>0.98683308950165705</v>
      </c>
      <c r="M598">
        <v>0.35857480637039202</v>
      </c>
      <c r="N598">
        <v>2.6295036462545699E-3</v>
      </c>
      <c r="O598">
        <v>0.101541433721954</v>
      </c>
      <c r="P598">
        <v>8.1137284474565199E-4</v>
      </c>
      <c r="Q598">
        <v>2693.5450695347299</v>
      </c>
      <c r="R598">
        <v>1757444.0924905699</v>
      </c>
      <c r="S598">
        <v>16790.167749963101</v>
      </c>
      <c r="T598">
        <v>16328375.4612222</v>
      </c>
      <c r="U598" s="3">
        <v>744</v>
      </c>
      <c r="V598">
        <v>0.91781578330294999</v>
      </c>
    </row>
    <row r="599" spans="1:22" x14ac:dyDescent="0.25">
      <c r="A599">
        <v>24101</v>
      </c>
      <c r="B599">
        <v>13</v>
      </c>
      <c r="C599">
        <v>12015</v>
      </c>
      <c r="D599">
        <v>12015</v>
      </c>
      <c r="E599" s="3">
        <f t="shared" si="10"/>
        <v>241022015</v>
      </c>
      <c r="F599" s="3">
        <f>VLOOKUP($E599,AgronomyYieldData!H:N,7,FALSE)</f>
        <v>21</v>
      </c>
      <c r="G599" s="3">
        <f>VLOOKUP($E599,AgronomyYieldData!$H:O,3,FALSE)</f>
        <v>3</v>
      </c>
      <c r="H599" s="9">
        <v>72</v>
      </c>
      <c r="I599">
        <v>0.65477669491915302</v>
      </c>
      <c r="J599">
        <v>0.22976882458102699</v>
      </c>
      <c r="K599" s="7">
        <v>4.0067023090344604E-3</v>
      </c>
      <c r="L599" s="7">
        <v>0.99864817318197796</v>
      </c>
      <c r="M599">
        <v>0.36648041730154401</v>
      </c>
      <c r="N599">
        <v>3.0457424178248101E-3</v>
      </c>
      <c r="O599">
        <v>0.101541433721954</v>
      </c>
      <c r="P599">
        <v>8.1137284474565199E-4</v>
      </c>
      <c r="Q599">
        <v>2650.9418508450499</v>
      </c>
      <c r="R599">
        <v>1587792.9464670201</v>
      </c>
      <c r="S599">
        <v>16570.095537299399</v>
      </c>
      <c r="T599">
        <v>18496891.284971699</v>
      </c>
      <c r="U599" s="3">
        <v>868</v>
      </c>
      <c r="V599">
        <v>0.68160637831131998</v>
      </c>
    </row>
    <row r="600" spans="1:22" x14ac:dyDescent="0.25">
      <c r="A600">
        <v>24101</v>
      </c>
      <c r="B600">
        <v>13</v>
      </c>
      <c r="C600">
        <v>12016</v>
      </c>
      <c r="D600">
        <v>12016</v>
      </c>
      <c r="E600" s="3">
        <f t="shared" si="10"/>
        <v>241022016</v>
      </c>
      <c r="F600" s="3">
        <f>VLOOKUP($E600,AgronomyYieldData!H:N,7,FALSE)</f>
        <v>74</v>
      </c>
      <c r="G600" s="3">
        <f>VLOOKUP($E600,AgronomyYieldData!$H:O,3,FALSE)</f>
        <v>3</v>
      </c>
      <c r="H600" s="9">
        <v>79</v>
      </c>
      <c r="I600">
        <v>0.52188809771343703</v>
      </c>
      <c r="J600">
        <v>0.23339813553702901</v>
      </c>
      <c r="K600" s="7">
        <v>4.4557468511969402E-3</v>
      </c>
      <c r="L600" s="7">
        <v>0.99847366412715999</v>
      </c>
      <c r="M600">
        <v>0.36939256192979503</v>
      </c>
      <c r="N600">
        <v>2.8160167590759802E-3</v>
      </c>
      <c r="O600">
        <v>0.101541433721954</v>
      </c>
      <c r="P600">
        <v>8.1137284474565199E-4</v>
      </c>
      <c r="Q600">
        <v>2713.4471115154502</v>
      </c>
      <c r="R600">
        <v>2095569.7799646</v>
      </c>
      <c r="S600">
        <v>16642.793222198201</v>
      </c>
      <c r="T600">
        <v>17664747.125929799</v>
      </c>
      <c r="U600" s="3">
        <v>1854</v>
      </c>
      <c r="V600">
        <v>0.89122384594299697</v>
      </c>
    </row>
    <row r="601" spans="1:22" x14ac:dyDescent="0.25">
      <c r="A601">
        <v>24101</v>
      </c>
      <c r="B601">
        <v>13</v>
      </c>
      <c r="C601">
        <v>12017</v>
      </c>
      <c r="D601">
        <v>12017</v>
      </c>
      <c r="E601" s="3">
        <f t="shared" si="10"/>
        <v>241022017</v>
      </c>
      <c r="F601" s="3">
        <f>VLOOKUP($E601,AgronomyYieldData!H:N,7,FALSE)</f>
        <v>81</v>
      </c>
      <c r="G601" s="3">
        <f>VLOOKUP($E601,AgronomyYieldData!$H:O,3,FALSE)</f>
        <v>3</v>
      </c>
      <c r="H601" s="9">
        <v>89</v>
      </c>
      <c r="I601">
        <v>0.57434204073626005</v>
      </c>
      <c r="J601">
        <v>0.24168130807345101</v>
      </c>
      <c r="K601" s="7">
        <v>6.0636398456352198E-3</v>
      </c>
      <c r="L601" s="7">
        <v>1</v>
      </c>
      <c r="M601">
        <v>0.373896624316092</v>
      </c>
      <c r="N601">
        <v>3.8317033234626001E-3</v>
      </c>
      <c r="O601">
        <v>0.101541433721954</v>
      </c>
      <c r="P601">
        <v>8.1137284474565199E-4</v>
      </c>
      <c r="Q601">
        <v>2570.68352764987</v>
      </c>
      <c r="R601">
        <v>1851859.25381405</v>
      </c>
      <c r="S601">
        <v>16110.9008880852</v>
      </c>
      <c r="T601">
        <v>20210176.5016746</v>
      </c>
      <c r="U601" s="3">
        <v>623</v>
      </c>
      <c r="V601">
        <v>0.28265998785344498</v>
      </c>
    </row>
    <row r="602" spans="1:22" x14ac:dyDescent="0.25">
      <c r="A602">
        <v>24101</v>
      </c>
      <c r="B602">
        <v>13</v>
      </c>
      <c r="C602">
        <v>12018</v>
      </c>
      <c r="D602">
        <v>12018</v>
      </c>
      <c r="E602" s="3">
        <f t="shared" si="10"/>
        <v>241022018</v>
      </c>
      <c r="F602" s="3">
        <f>VLOOKUP($E602,AgronomyYieldData!H:N,7,FALSE)</f>
        <v>57</v>
      </c>
      <c r="G602" s="3">
        <f>VLOOKUP($E602,AgronomyYieldData!$H:O,3,FALSE)</f>
        <v>3</v>
      </c>
      <c r="H602" s="9">
        <v>70</v>
      </c>
      <c r="I602">
        <v>0.44240438873523003</v>
      </c>
      <c r="J602">
        <v>0.228617223021475</v>
      </c>
      <c r="K602" s="7">
        <v>3.38151388914391E-3</v>
      </c>
      <c r="L602" s="7">
        <v>0.99269746450704599</v>
      </c>
      <c r="M602">
        <v>0.36028084200862298</v>
      </c>
      <c r="N602">
        <v>2.7545172503189398E-3</v>
      </c>
      <c r="O602">
        <v>0.101541433721954</v>
      </c>
      <c r="P602">
        <v>8.1137284474565199E-4</v>
      </c>
      <c r="Q602">
        <v>2605.5566620710902</v>
      </c>
      <c r="R602">
        <v>1781507.9191550701</v>
      </c>
      <c r="S602">
        <v>16403.6485996177</v>
      </c>
      <c r="T602">
        <v>17685733.862996802</v>
      </c>
      <c r="U602" s="3">
        <v>898</v>
      </c>
      <c r="V602">
        <v>0.84613110753999998</v>
      </c>
    </row>
    <row r="603" spans="1:22" x14ac:dyDescent="0.25">
      <c r="A603">
        <v>24101</v>
      </c>
      <c r="B603">
        <v>13</v>
      </c>
      <c r="C603">
        <v>12019</v>
      </c>
      <c r="D603">
        <v>12019</v>
      </c>
      <c r="E603" s="3">
        <f t="shared" si="10"/>
        <v>241022019</v>
      </c>
      <c r="F603" s="3">
        <f>VLOOKUP($E603,AgronomyYieldData!H:N,7,FALSE)</f>
        <v>15</v>
      </c>
      <c r="G603" s="3">
        <f>VLOOKUP($E603,AgronomyYieldData!$H:O,3,FALSE)</f>
        <v>4</v>
      </c>
      <c r="H603" s="9">
        <v>70</v>
      </c>
      <c r="I603">
        <v>0.48212395895642501</v>
      </c>
      <c r="J603">
        <v>0.23008334844483</v>
      </c>
      <c r="K603" s="7">
        <v>3.2529997398722901E-3</v>
      </c>
      <c r="L603" s="7">
        <v>1</v>
      </c>
      <c r="M603">
        <v>0.36394405929206802</v>
      </c>
      <c r="N603">
        <v>3.0154054791878102E-3</v>
      </c>
      <c r="O603">
        <v>0.101541433721954</v>
      </c>
      <c r="P603">
        <v>8.1137284474565199E-4</v>
      </c>
      <c r="Q603">
        <v>2493.3248694967001</v>
      </c>
      <c r="R603">
        <v>1737270.97806074</v>
      </c>
      <c r="S603">
        <v>16041.342093769899</v>
      </c>
      <c r="T603">
        <v>18011867.777217999</v>
      </c>
      <c r="U603" s="3">
        <v>2172</v>
      </c>
      <c r="V603">
        <v>0.96946270395388701</v>
      </c>
    </row>
    <row r="604" spans="1:22" x14ac:dyDescent="0.25">
      <c r="A604">
        <v>24101</v>
      </c>
      <c r="B604">
        <v>13</v>
      </c>
      <c r="C604">
        <v>12020</v>
      </c>
      <c r="D604">
        <v>12020</v>
      </c>
      <c r="E604" s="3">
        <f t="shared" si="10"/>
        <v>241022020</v>
      </c>
      <c r="F604" s="3">
        <f>VLOOKUP($E604,AgronomyYieldData!H:N,7,FALSE)</f>
        <v>27</v>
      </c>
      <c r="G604" s="3">
        <f>VLOOKUP($E604,AgronomyYieldData!$H:O,3,FALSE)</f>
        <v>4</v>
      </c>
      <c r="H604" s="9">
        <v>72</v>
      </c>
      <c r="I604">
        <v>0.55040628709727801</v>
      </c>
      <c r="J604">
        <v>0.23774530886329401</v>
      </c>
      <c r="K604" s="7">
        <v>4.1078011644631804E-3</v>
      </c>
      <c r="L604" s="7">
        <v>0.99346284190447998</v>
      </c>
      <c r="M604">
        <v>0.36739784088380401</v>
      </c>
      <c r="N604">
        <v>2.9268101234477002E-3</v>
      </c>
      <c r="O604">
        <v>0.101541433721954</v>
      </c>
      <c r="P604">
        <v>8.1137284474565199E-4</v>
      </c>
      <c r="Q604">
        <v>2523.2866415183498</v>
      </c>
      <c r="R604">
        <v>1786572.0670424299</v>
      </c>
      <c r="S604">
        <v>15703.6238781019</v>
      </c>
      <c r="T604">
        <v>17343912.1867349</v>
      </c>
      <c r="U604" s="3">
        <v>909</v>
      </c>
      <c r="V604">
        <v>0.98650509084857496</v>
      </c>
    </row>
    <row r="605" spans="1:22" x14ac:dyDescent="0.25">
      <c r="A605">
        <v>24101</v>
      </c>
      <c r="B605">
        <v>13</v>
      </c>
      <c r="C605">
        <v>12021</v>
      </c>
      <c r="D605">
        <v>12021</v>
      </c>
      <c r="E605" s="3">
        <f t="shared" si="10"/>
        <v>241022021</v>
      </c>
      <c r="F605" s="3">
        <f>VLOOKUP($E605,AgronomyYieldData!H:N,7,FALSE)</f>
        <v>39</v>
      </c>
      <c r="G605" s="3">
        <f>VLOOKUP($E605,AgronomyYieldData!$H:O,3,FALSE)</f>
        <v>4</v>
      </c>
      <c r="H605" s="9">
        <v>72</v>
      </c>
      <c r="I605">
        <v>0.50527303848489802</v>
      </c>
      <c r="J605">
        <v>0.24892269036231399</v>
      </c>
      <c r="K605" s="7">
        <v>5.4119209069885101E-3</v>
      </c>
      <c r="L605" s="7">
        <v>0.98114884633902399</v>
      </c>
      <c r="M605">
        <v>0.37388725034550302</v>
      </c>
      <c r="N605">
        <v>3.36330820967595E-3</v>
      </c>
      <c r="O605">
        <v>0.101541433721954</v>
      </c>
      <c r="P605">
        <v>8.1137284474565199E-4</v>
      </c>
      <c r="Q605">
        <v>2385.8726017413201</v>
      </c>
      <c r="R605">
        <v>2070776.93384453</v>
      </c>
      <c r="S605">
        <v>15460.9696766661</v>
      </c>
      <c r="T605">
        <v>18871513.062333401</v>
      </c>
      <c r="U605" s="3">
        <v>509</v>
      </c>
      <c r="V605">
        <v>0.32614977307110399</v>
      </c>
    </row>
    <row r="606" spans="1:22" x14ac:dyDescent="0.25">
      <c r="A606">
        <v>24101</v>
      </c>
      <c r="B606">
        <v>13</v>
      </c>
      <c r="C606">
        <v>12022</v>
      </c>
      <c r="D606">
        <v>12022</v>
      </c>
      <c r="E606" s="3">
        <f t="shared" si="10"/>
        <v>241022022</v>
      </c>
      <c r="F606" s="3">
        <f>VLOOKUP($E606,AgronomyYieldData!H:N,7,FALSE)</f>
        <v>84</v>
      </c>
      <c r="G606" s="3">
        <f>VLOOKUP($E606,AgronomyYieldData!$H:O,3,FALSE)</f>
        <v>4</v>
      </c>
      <c r="H606" s="9">
        <v>98</v>
      </c>
      <c r="I606">
        <v>0.29234642168241398</v>
      </c>
      <c r="J606">
        <v>0.25841391203718</v>
      </c>
      <c r="K606" s="7">
        <v>6.9965249416772202E-3</v>
      </c>
      <c r="L606" s="7">
        <v>0.99973684210526303</v>
      </c>
      <c r="M606">
        <v>0.38070476949805399</v>
      </c>
      <c r="N606">
        <v>3.9713378386829496E-3</v>
      </c>
      <c r="O606">
        <v>0.101541433721954</v>
      </c>
      <c r="P606">
        <v>8.1137284474565199E-4</v>
      </c>
      <c r="Q606">
        <v>2456.94512562111</v>
      </c>
      <c r="R606">
        <v>2528916.7443258599</v>
      </c>
      <c r="S606">
        <v>15610.3723733841</v>
      </c>
      <c r="T606">
        <v>21780450.5851578</v>
      </c>
      <c r="U606" s="3">
        <v>508</v>
      </c>
      <c r="V606">
        <v>0.25032113814583701</v>
      </c>
    </row>
    <row r="607" spans="1:22" x14ac:dyDescent="0.25">
      <c r="A607">
        <v>24101</v>
      </c>
      <c r="B607">
        <v>13</v>
      </c>
      <c r="C607">
        <v>12023</v>
      </c>
      <c r="D607">
        <v>12023</v>
      </c>
      <c r="E607" s="3">
        <f t="shared" si="10"/>
        <v>241022023</v>
      </c>
      <c r="F607" s="3">
        <f>VLOOKUP($E607,AgronomyYieldData!H:N,7,FALSE)</f>
        <v>62</v>
      </c>
      <c r="G607" s="3">
        <f>VLOOKUP($E607,AgronomyYieldData!$H:O,3,FALSE)</f>
        <v>4</v>
      </c>
      <c r="H607" s="9">
        <v>85</v>
      </c>
      <c r="I607">
        <v>0.33979573154783699</v>
      </c>
      <c r="J607">
        <v>0.24335288901813201</v>
      </c>
      <c r="K607" s="7">
        <v>3.52029398354178E-3</v>
      </c>
      <c r="L607" s="7">
        <v>0.99675008552406497</v>
      </c>
      <c r="M607">
        <v>0.37130862963824202</v>
      </c>
      <c r="N607">
        <v>3.12563373902263E-3</v>
      </c>
      <c r="O607">
        <v>0.101541433721954</v>
      </c>
      <c r="P607">
        <v>8.1137284474565199E-4</v>
      </c>
      <c r="Q607">
        <v>2143.23707451573</v>
      </c>
      <c r="R607">
        <v>1143762.25108909</v>
      </c>
      <c r="S607">
        <v>15745.6784371216</v>
      </c>
      <c r="T607">
        <v>18162500.5403312</v>
      </c>
      <c r="U607" s="3">
        <v>1802</v>
      </c>
      <c r="V607">
        <v>0.86127907039240603</v>
      </c>
    </row>
    <row r="608" spans="1:22" x14ac:dyDescent="0.25">
      <c r="A608">
        <v>24101</v>
      </c>
      <c r="B608">
        <v>13</v>
      </c>
      <c r="C608">
        <v>12024</v>
      </c>
      <c r="D608">
        <v>12024</v>
      </c>
      <c r="E608" s="3">
        <f t="shared" si="10"/>
        <v>241022024</v>
      </c>
      <c r="F608" s="3">
        <f>VLOOKUP($E608,AgronomyYieldData!H:N,7,FALSE)</f>
        <v>51</v>
      </c>
      <c r="G608" s="3">
        <f>VLOOKUP($E608,AgronomyYieldData!$H:O,3,FALSE)</f>
        <v>4</v>
      </c>
      <c r="H608" s="9">
        <v>89</v>
      </c>
      <c r="I608">
        <v>0.36531621070251602</v>
      </c>
      <c r="J608">
        <v>0.24874246529692501</v>
      </c>
      <c r="K608" s="7">
        <v>4.0173401504649498E-3</v>
      </c>
      <c r="L608" s="7">
        <v>0.99878950553932799</v>
      </c>
      <c r="M608">
        <v>0.38056228910622503</v>
      </c>
      <c r="N608">
        <v>3.1169119672021101E-3</v>
      </c>
      <c r="O608">
        <v>0.101541433721954</v>
      </c>
      <c r="P608">
        <v>8.1137284474565199E-4</v>
      </c>
      <c r="Q608">
        <v>2254.0154731162502</v>
      </c>
      <c r="R608">
        <v>1301053.3018467501</v>
      </c>
      <c r="S608">
        <v>15794.080721966</v>
      </c>
      <c r="T608">
        <v>21204339.5943604</v>
      </c>
      <c r="U608" s="3">
        <v>625</v>
      </c>
      <c r="V608">
        <v>0.465529751315442</v>
      </c>
    </row>
    <row r="609" spans="1:22" x14ac:dyDescent="0.25">
      <c r="A609">
        <v>24101</v>
      </c>
      <c r="B609">
        <v>13</v>
      </c>
      <c r="C609">
        <v>13001</v>
      </c>
      <c r="D609">
        <v>13001</v>
      </c>
      <c r="E609" s="3">
        <f t="shared" si="10"/>
        <v>241023001</v>
      </c>
      <c r="F609" s="3">
        <f>VLOOKUP($E609,AgronomyYieldData!H:N,7,FALSE)</f>
        <v>67</v>
      </c>
      <c r="G609" s="3">
        <f>VLOOKUP($E609,AgronomyYieldData!$H:O,3,FALSE)</f>
        <v>1</v>
      </c>
      <c r="H609" s="9">
        <v>36</v>
      </c>
      <c r="I609">
        <v>0.46429271992572102</v>
      </c>
      <c r="J609">
        <v>0.23190477373372201</v>
      </c>
      <c r="K609" s="7">
        <v>1.8084877246782999E-3</v>
      </c>
      <c r="L609" s="7">
        <v>0.843133642978382</v>
      </c>
      <c r="M609">
        <v>0.36253288438440601</v>
      </c>
      <c r="N609">
        <v>2.1184952729240598E-3</v>
      </c>
      <c r="O609">
        <v>0.101541433721954</v>
      </c>
      <c r="P609">
        <v>8.1137284474565199E-4</v>
      </c>
      <c r="Q609">
        <v>2740.5154836136098</v>
      </c>
      <c r="R609">
        <v>1178772.9444758899</v>
      </c>
      <c r="S609">
        <v>17106.389432727199</v>
      </c>
      <c r="T609">
        <v>14589260.2827635</v>
      </c>
      <c r="U609" s="3">
        <v>1757</v>
      </c>
      <c r="V609">
        <v>0.97222446160708997</v>
      </c>
    </row>
    <row r="610" spans="1:22" x14ac:dyDescent="0.25">
      <c r="A610">
        <v>24101</v>
      </c>
      <c r="B610">
        <v>13</v>
      </c>
      <c r="C610">
        <v>13002</v>
      </c>
      <c r="D610">
        <v>13002</v>
      </c>
      <c r="E610" s="3">
        <f t="shared" si="10"/>
        <v>241023002</v>
      </c>
      <c r="F610" s="3">
        <f>VLOOKUP($E610,AgronomyYieldData!H:N,7,FALSE)</f>
        <v>86</v>
      </c>
      <c r="G610" s="3">
        <f>VLOOKUP($E610,AgronomyYieldData!$H:O,3,FALSE)</f>
        <v>1</v>
      </c>
      <c r="H610" s="9">
        <v>63</v>
      </c>
      <c r="I610">
        <v>0.59678684922907899</v>
      </c>
      <c r="J610">
        <v>0.238234874408147</v>
      </c>
      <c r="K610" s="7">
        <v>2.5026983142845899E-3</v>
      </c>
      <c r="L610" s="7">
        <v>0.98197320982131098</v>
      </c>
      <c r="M610">
        <v>0.37112667531477</v>
      </c>
      <c r="N610">
        <v>2.3681039834008099E-3</v>
      </c>
      <c r="O610">
        <v>0.101541433721954</v>
      </c>
      <c r="P610">
        <v>8.1137284474565199E-4</v>
      </c>
      <c r="Q610">
        <v>2712.3025830516499</v>
      </c>
      <c r="R610">
        <v>1356621.57828733</v>
      </c>
      <c r="S610">
        <v>16871.883314998999</v>
      </c>
      <c r="T610">
        <v>15845191.782496201</v>
      </c>
      <c r="U610" s="3">
        <v>965</v>
      </c>
      <c r="V610">
        <v>0.74078791787595399</v>
      </c>
    </row>
    <row r="611" spans="1:22" x14ac:dyDescent="0.25">
      <c r="A611">
        <v>24101</v>
      </c>
      <c r="B611">
        <v>13</v>
      </c>
      <c r="C611">
        <v>13003</v>
      </c>
      <c r="D611">
        <v>13003</v>
      </c>
      <c r="E611" s="3">
        <f t="shared" si="10"/>
        <v>241023003</v>
      </c>
      <c r="F611" s="3">
        <f>VLOOKUP($E611,AgronomyYieldData!H:N,7,FALSE)</f>
        <v>48</v>
      </c>
      <c r="G611" s="3">
        <f>VLOOKUP($E611,AgronomyYieldData!$H:O,3,FALSE)</f>
        <v>1</v>
      </c>
      <c r="H611" s="9">
        <v>66</v>
      </c>
      <c r="I611">
        <v>0.50923582913225696</v>
      </c>
      <c r="J611">
        <v>0.231563472475322</v>
      </c>
      <c r="K611" s="7">
        <v>2.2936178858554502E-3</v>
      </c>
      <c r="L611" s="7">
        <v>0.97767046501223698</v>
      </c>
      <c r="M611">
        <v>0.36221959754952099</v>
      </c>
      <c r="N611">
        <v>2.3178850299388799E-3</v>
      </c>
      <c r="O611">
        <v>0.101541433721954</v>
      </c>
      <c r="P611">
        <v>8.1137284474565199E-4</v>
      </c>
      <c r="Q611">
        <v>2759.30152631689</v>
      </c>
      <c r="R611">
        <v>1203701.70299763</v>
      </c>
      <c r="S611">
        <v>17044.6545640435</v>
      </c>
      <c r="T611">
        <v>14183706.6712134</v>
      </c>
      <c r="U611" s="3">
        <v>2611</v>
      </c>
      <c r="V611">
        <v>0.98181212310139798</v>
      </c>
    </row>
    <row r="612" spans="1:22" x14ac:dyDescent="0.25">
      <c r="A612">
        <v>24101</v>
      </c>
      <c r="B612">
        <v>13</v>
      </c>
      <c r="C612">
        <v>13004</v>
      </c>
      <c r="D612">
        <v>13004</v>
      </c>
      <c r="E612" s="3">
        <f t="shared" si="10"/>
        <v>241023004</v>
      </c>
      <c r="F612" s="3">
        <f>VLOOKUP($E612,AgronomyYieldData!H:N,7,FALSE)</f>
        <v>41</v>
      </c>
      <c r="G612" s="3">
        <f>VLOOKUP($E612,AgronomyYieldData!$H:O,3,FALSE)</f>
        <v>1</v>
      </c>
      <c r="H612" s="9">
        <v>53</v>
      </c>
      <c r="I612">
        <v>0.56377741172573004</v>
      </c>
      <c r="J612">
        <v>0.22809271485387</v>
      </c>
      <c r="K612" s="7">
        <v>2.6127803845936602E-3</v>
      </c>
      <c r="L612" s="7">
        <v>0.98711134978981896</v>
      </c>
      <c r="M612">
        <v>0.35800443742846599</v>
      </c>
      <c r="N612">
        <v>2.4858344554870302E-3</v>
      </c>
      <c r="O612">
        <v>0.101541433721954</v>
      </c>
      <c r="P612">
        <v>8.1137284474565199E-4</v>
      </c>
      <c r="Q612">
        <v>2650.0769336839699</v>
      </c>
      <c r="R612">
        <v>1204924.8510678899</v>
      </c>
      <c r="S612">
        <v>16666.337713036399</v>
      </c>
      <c r="T612">
        <v>15995491.1044496</v>
      </c>
      <c r="U612" s="3">
        <v>821</v>
      </c>
      <c r="V612">
        <v>0.80102723923781505</v>
      </c>
    </row>
    <row r="613" spans="1:22" x14ac:dyDescent="0.25">
      <c r="A613">
        <v>24101</v>
      </c>
      <c r="B613">
        <v>13</v>
      </c>
      <c r="C613">
        <v>13005</v>
      </c>
      <c r="D613">
        <v>13005</v>
      </c>
      <c r="E613" s="3">
        <f t="shared" si="10"/>
        <v>241023005</v>
      </c>
      <c r="F613" s="3">
        <f>VLOOKUP($E613,AgronomyYieldData!H:N,7,FALSE)</f>
        <v>4</v>
      </c>
      <c r="G613" s="3">
        <f>VLOOKUP($E613,AgronomyYieldData!$H:O,3,FALSE)</f>
        <v>1</v>
      </c>
      <c r="H613" s="9">
        <v>58</v>
      </c>
      <c r="I613">
        <v>0.60208898909492403</v>
      </c>
      <c r="J613">
        <v>0.22556725454661999</v>
      </c>
      <c r="K613" s="7">
        <v>2.3540523390846398E-3</v>
      </c>
      <c r="L613" s="7">
        <v>0.998388829215897</v>
      </c>
      <c r="M613">
        <v>0.34531807724436098</v>
      </c>
      <c r="N613">
        <v>2.2722416533344698E-3</v>
      </c>
      <c r="O613">
        <v>0.101541433721954</v>
      </c>
      <c r="P613">
        <v>8.1137284474565199E-4</v>
      </c>
      <c r="Q613">
        <v>2663.39891856755</v>
      </c>
      <c r="R613">
        <v>1550027.32570618</v>
      </c>
      <c r="S613">
        <v>16785.525152942999</v>
      </c>
      <c r="T613">
        <v>16682590.055363899</v>
      </c>
      <c r="U613" s="3">
        <v>838</v>
      </c>
      <c r="V613">
        <v>0.97869105432759895</v>
      </c>
    </row>
    <row r="614" spans="1:22" x14ac:dyDescent="0.25">
      <c r="A614">
        <v>24101</v>
      </c>
      <c r="B614">
        <v>13</v>
      </c>
      <c r="C614">
        <v>13006</v>
      </c>
      <c r="D614">
        <v>13006</v>
      </c>
      <c r="E614" s="3">
        <f t="shared" si="10"/>
        <v>241023006</v>
      </c>
      <c r="F614" s="3">
        <f>VLOOKUP($E614,AgronomyYieldData!H:N,7,FALSE)</f>
        <v>28</v>
      </c>
      <c r="G614" s="3">
        <f>VLOOKUP($E614,AgronomyYieldData!$H:O,3,FALSE)</f>
        <v>1</v>
      </c>
      <c r="H614" s="9">
        <v>31</v>
      </c>
      <c r="I614">
        <v>0.327001831350137</v>
      </c>
      <c r="J614">
        <v>0.21808812311620901</v>
      </c>
      <c r="K614" s="7">
        <v>1.7525579907199699E-3</v>
      </c>
      <c r="L614" s="7">
        <v>0.97474167623421404</v>
      </c>
      <c r="M614">
        <v>0.34000493721110198</v>
      </c>
      <c r="N614">
        <v>2.4566851285347802E-3</v>
      </c>
      <c r="O614">
        <v>0.101541433721954</v>
      </c>
      <c r="P614">
        <v>8.1137284474565199E-4</v>
      </c>
      <c r="Q614">
        <v>2589.4330050231501</v>
      </c>
      <c r="R614">
        <v>1186994.2830769301</v>
      </c>
      <c r="S614">
        <v>16901.374675682298</v>
      </c>
      <c r="T614">
        <v>15494449.1683027</v>
      </c>
      <c r="U614" s="3">
        <v>2324</v>
      </c>
      <c r="V614">
        <v>0.98664145234493195</v>
      </c>
    </row>
    <row r="615" spans="1:22" x14ac:dyDescent="0.25">
      <c r="A615">
        <v>24101</v>
      </c>
      <c r="B615">
        <v>13</v>
      </c>
      <c r="C615">
        <v>13007</v>
      </c>
      <c r="D615">
        <v>13007</v>
      </c>
      <c r="E615" s="3">
        <f t="shared" si="10"/>
        <v>241023007</v>
      </c>
      <c r="F615" s="3">
        <f>VLOOKUP($E615,AgronomyYieldData!H:N,7,FALSE)</f>
        <v>12</v>
      </c>
      <c r="G615" s="3">
        <f>VLOOKUP($E615,AgronomyYieldData!$H:O,3,FALSE)</f>
        <v>2</v>
      </c>
      <c r="H615" s="9">
        <v>33</v>
      </c>
      <c r="I615">
        <v>0.48900320241469403</v>
      </c>
      <c r="J615">
        <v>0.22337833778239199</v>
      </c>
      <c r="K615" s="7">
        <v>2.50492620301021E-3</v>
      </c>
      <c r="L615" s="7">
        <v>0.82509583155867505</v>
      </c>
      <c r="M615">
        <v>0.34982337916767597</v>
      </c>
      <c r="N615">
        <v>2.34348810233492E-3</v>
      </c>
      <c r="O615">
        <v>0.101541433721954</v>
      </c>
      <c r="P615">
        <v>8.1137284474565199E-4</v>
      </c>
      <c r="Q615">
        <v>2494.6613676880502</v>
      </c>
      <c r="R615">
        <v>1653242.44850718</v>
      </c>
      <c r="S615">
        <v>16425.460581338099</v>
      </c>
      <c r="T615">
        <v>15414335.6039444</v>
      </c>
      <c r="U615" s="3">
        <v>932</v>
      </c>
      <c r="V615">
        <v>0.90218460188505101</v>
      </c>
    </row>
    <row r="616" spans="1:22" x14ac:dyDescent="0.25">
      <c r="A616">
        <v>24101</v>
      </c>
      <c r="B616">
        <v>13</v>
      </c>
      <c r="C616">
        <v>13008</v>
      </c>
      <c r="D616">
        <v>13008</v>
      </c>
      <c r="E616" s="3">
        <f t="shared" si="10"/>
        <v>241023008</v>
      </c>
      <c r="F616" s="3">
        <f>VLOOKUP($E616,AgronomyYieldData!H:N,7,FALSE)</f>
        <v>33</v>
      </c>
      <c r="G616" s="3">
        <f>VLOOKUP($E616,AgronomyYieldData!$H:O,3,FALSE)</f>
        <v>2</v>
      </c>
      <c r="H616" s="9">
        <v>92</v>
      </c>
      <c r="I616">
        <v>0.45128101303099399</v>
      </c>
      <c r="J616">
        <v>0.23414287416260399</v>
      </c>
      <c r="K616" s="7">
        <v>4.2061687408962599E-3</v>
      </c>
      <c r="L616" s="7">
        <v>1</v>
      </c>
      <c r="M616">
        <v>0.36160577448488701</v>
      </c>
      <c r="N616">
        <v>3.1768467850624899E-3</v>
      </c>
      <c r="O616">
        <v>0.101541433721954</v>
      </c>
      <c r="P616">
        <v>8.1137284474565199E-4</v>
      </c>
      <c r="Q616">
        <v>2590.6995272333302</v>
      </c>
      <c r="R616">
        <v>1216633.02068824</v>
      </c>
      <c r="S616">
        <v>16280.354928425701</v>
      </c>
      <c r="T616">
        <v>17463172.752535101</v>
      </c>
      <c r="U616" s="3">
        <v>2029</v>
      </c>
      <c r="V616">
        <v>0.98177747184169295</v>
      </c>
    </row>
    <row r="617" spans="1:22" x14ac:dyDescent="0.25">
      <c r="A617">
        <v>24101</v>
      </c>
      <c r="B617">
        <v>13</v>
      </c>
      <c r="C617">
        <v>13009</v>
      </c>
      <c r="D617">
        <v>13009</v>
      </c>
      <c r="E617" s="3">
        <f t="shared" si="10"/>
        <v>241023009</v>
      </c>
      <c r="F617" s="3">
        <f>VLOOKUP($E617,AgronomyYieldData!H:N,7,FALSE)</f>
        <v>30</v>
      </c>
      <c r="G617" s="3">
        <f>VLOOKUP($E617,AgronomyYieldData!$H:O,3,FALSE)</f>
        <v>2</v>
      </c>
      <c r="H617" s="9">
        <v>48</v>
      </c>
      <c r="I617">
        <v>0.42179706623967</v>
      </c>
      <c r="J617">
        <v>0.22721251590248201</v>
      </c>
      <c r="K617" s="7">
        <v>2.6885739312984E-3</v>
      </c>
      <c r="L617" s="7">
        <v>0.87313432835820903</v>
      </c>
      <c r="M617">
        <v>0.35759408073550703</v>
      </c>
      <c r="N617">
        <v>2.6581701362638102E-3</v>
      </c>
      <c r="O617">
        <v>0.101541433721954</v>
      </c>
      <c r="P617">
        <v>8.1137284474565199E-4</v>
      </c>
      <c r="Q617">
        <v>2507.2926060534401</v>
      </c>
      <c r="R617">
        <v>1331818.29573086</v>
      </c>
      <c r="S617">
        <v>16499.3349866647</v>
      </c>
      <c r="T617">
        <v>15968130.2938051</v>
      </c>
      <c r="U617" s="3">
        <v>1891</v>
      </c>
      <c r="V617">
        <v>0.86516743443695499</v>
      </c>
    </row>
    <row r="618" spans="1:22" x14ac:dyDescent="0.25">
      <c r="A618">
        <v>24101</v>
      </c>
      <c r="B618">
        <v>13</v>
      </c>
      <c r="C618">
        <v>13010</v>
      </c>
      <c r="D618">
        <v>13010</v>
      </c>
      <c r="E618" s="3">
        <f t="shared" si="10"/>
        <v>241023010</v>
      </c>
      <c r="F618" s="3">
        <f>VLOOKUP($E618,AgronomyYieldData!H:N,7,FALSE)</f>
        <v>65</v>
      </c>
      <c r="G618" s="3">
        <f>VLOOKUP($E618,AgronomyYieldData!$H:O,3,FALSE)</f>
        <v>2</v>
      </c>
      <c r="H618" s="9">
        <v>89</v>
      </c>
      <c r="I618">
        <v>0.32409847320757101</v>
      </c>
      <c r="J618">
        <v>0.22973519190438299</v>
      </c>
      <c r="K618" s="7">
        <v>3.2212420510720299E-3</v>
      </c>
      <c r="L618" s="7">
        <v>0.99664478098972398</v>
      </c>
      <c r="M618">
        <v>0.35790506903617803</v>
      </c>
      <c r="N618">
        <v>2.7575477394551099E-3</v>
      </c>
      <c r="O618">
        <v>0.101541433721954</v>
      </c>
      <c r="P618">
        <v>8.1137284474565199E-4</v>
      </c>
      <c r="Q618">
        <v>2675.51941998964</v>
      </c>
      <c r="R618">
        <v>1247904.58664191</v>
      </c>
      <c r="S618">
        <v>16771.266632149702</v>
      </c>
      <c r="T618">
        <v>16631811.656680901</v>
      </c>
      <c r="U618" s="3">
        <v>2948</v>
      </c>
      <c r="V618">
        <v>0.93711067038595697</v>
      </c>
    </row>
    <row r="619" spans="1:22" x14ac:dyDescent="0.25">
      <c r="A619">
        <v>24101</v>
      </c>
      <c r="B619">
        <v>13</v>
      </c>
      <c r="C619">
        <v>13011</v>
      </c>
      <c r="D619">
        <v>13011</v>
      </c>
      <c r="E619" s="3">
        <f t="shared" si="10"/>
        <v>241023011</v>
      </c>
      <c r="F619" s="3">
        <f>VLOOKUP($E619,AgronomyYieldData!H:N,7,FALSE)</f>
        <v>48</v>
      </c>
      <c r="G619" s="3">
        <f>VLOOKUP($E619,AgronomyYieldData!$H:O,3,FALSE)</f>
        <v>2</v>
      </c>
      <c r="H619" s="9">
        <v>70</v>
      </c>
      <c r="I619">
        <v>0.43968352568084401</v>
      </c>
      <c r="J619">
        <v>0.21902704058876099</v>
      </c>
      <c r="K619" s="7">
        <v>2.7164739145530601E-3</v>
      </c>
      <c r="L619" s="7">
        <v>0.97449966446926894</v>
      </c>
      <c r="M619">
        <v>0.3509748964155</v>
      </c>
      <c r="N619">
        <v>2.4408330558916501E-3</v>
      </c>
      <c r="O619">
        <v>9.5402987883894702E-2</v>
      </c>
      <c r="P619">
        <v>9.2225132117191796E-4</v>
      </c>
      <c r="Q619">
        <v>2623.7576052346099</v>
      </c>
      <c r="R619">
        <v>1105705.6784154701</v>
      </c>
      <c r="S619">
        <v>16700.3783380061</v>
      </c>
      <c r="T619">
        <v>14357890.5093296</v>
      </c>
      <c r="U619" s="3">
        <v>2394</v>
      </c>
      <c r="V619">
        <v>0.98080736962609005</v>
      </c>
    </row>
    <row r="620" spans="1:22" x14ac:dyDescent="0.25">
      <c r="A620">
        <v>24101</v>
      </c>
      <c r="B620">
        <v>13</v>
      </c>
      <c r="C620">
        <v>13012</v>
      </c>
      <c r="D620">
        <v>13012</v>
      </c>
      <c r="E620" s="3">
        <f t="shared" si="10"/>
        <v>241023012</v>
      </c>
      <c r="F620" s="3">
        <f>VLOOKUP($E620,AgronomyYieldData!H:N,7,FALSE)</f>
        <v>76</v>
      </c>
      <c r="G620" s="3">
        <f>VLOOKUP($E620,AgronomyYieldData!$H:O,3,FALSE)</f>
        <v>2</v>
      </c>
      <c r="H620" s="9">
        <v>81</v>
      </c>
      <c r="I620">
        <v>0.57697714715401904</v>
      </c>
      <c r="J620">
        <v>0.229823130148889</v>
      </c>
      <c r="K620" s="7">
        <v>5.7721484852406597E-3</v>
      </c>
      <c r="L620" s="7">
        <v>0.99840787378781304</v>
      </c>
      <c r="M620">
        <v>0.35745180145133498</v>
      </c>
      <c r="N620">
        <v>3.3088548462408001E-3</v>
      </c>
      <c r="O620">
        <v>0.103874357476333</v>
      </c>
      <c r="P620">
        <v>1.07566446606724E-3</v>
      </c>
      <c r="Q620">
        <v>2969.74460610387</v>
      </c>
      <c r="R620">
        <v>3170673.2794163702</v>
      </c>
      <c r="S620">
        <v>16461.6591537532</v>
      </c>
      <c r="T620">
        <v>19170227.0321404</v>
      </c>
      <c r="U620" s="3">
        <v>3019</v>
      </c>
      <c r="V620">
        <v>0.98290873911641397</v>
      </c>
    </row>
    <row r="621" spans="1:22" x14ac:dyDescent="0.25">
      <c r="A621">
        <v>24101</v>
      </c>
      <c r="B621">
        <v>13</v>
      </c>
      <c r="C621">
        <v>13013</v>
      </c>
      <c r="D621">
        <v>13013</v>
      </c>
      <c r="E621" s="3">
        <f t="shared" si="10"/>
        <v>241023013</v>
      </c>
      <c r="F621" s="3">
        <f>VLOOKUP($E621,AgronomyYieldData!H:N,7,FALSE)</f>
        <v>36</v>
      </c>
      <c r="G621" s="3">
        <f>VLOOKUP($E621,AgronomyYieldData!$H:O,3,FALSE)</f>
        <v>3</v>
      </c>
      <c r="H621" s="9">
        <v>44</v>
      </c>
      <c r="I621">
        <v>0.65529839414714897</v>
      </c>
      <c r="J621">
        <v>0.21719616017063001</v>
      </c>
      <c r="K621" s="7">
        <v>3.75289910013354E-3</v>
      </c>
      <c r="L621" s="7">
        <v>0.785470908484871</v>
      </c>
      <c r="M621">
        <v>0.34722844937699399</v>
      </c>
      <c r="N621">
        <v>2.79454720662387E-3</v>
      </c>
      <c r="O621">
        <v>0.103874357476333</v>
      </c>
      <c r="P621">
        <v>1.07566446606724E-3</v>
      </c>
      <c r="Q621">
        <v>2737.0467842017101</v>
      </c>
      <c r="R621">
        <v>1520590.7132451099</v>
      </c>
      <c r="S621">
        <v>16657.337668285199</v>
      </c>
      <c r="T621">
        <v>16921088.175374199</v>
      </c>
      <c r="U621" s="3">
        <v>359</v>
      </c>
      <c r="V621">
        <v>0.21984114977307101</v>
      </c>
    </row>
    <row r="622" spans="1:22" x14ac:dyDescent="0.25">
      <c r="A622">
        <v>24101</v>
      </c>
      <c r="B622">
        <v>13</v>
      </c>
      <c r="C622">
        <v>13014</v>
      </c>
      <c r="D622">
        <v>13014</v>
      </c>
      <c r="E622" s="3">
        <f t="shared" si="10"/>
        <v>241023014</v>
      </c>
      <c r="F622" s="3">
        <f>VLOOKUP($E622,AgronomyYieldData!H:N,7,FALSE)</f>
        <v>6</v>
      </c>
      <c r="G622" s="3">
        <f>VLOOKUP($E622,AgronomyYieldData!$H:O,3,FALSE)</f>
        <v>3</v>
      </c>
      <c r="H622" s="9">
        <v>51</v>
      </c>
      <c r="I622">
        <v>0.58615390278467905</v>
      </c>
      <c r="J622">
        <v>0.22196352588038501</v>
      </c>
      <c r="K622" s="7">
        <v>2.63693887467778E-3</v>
      </c>
      <c r="L622" s="7">
        <v>0.99340716322826805</v>
      </c>
      <c r="M622">
        <v>0.354442078901619</v>
      </c>
      <c r="N622">
        <v>2.60579615248413E-3</v>
      </c>
      <c r="O622">
        <v>0.103874357476333</v>
      </c>
      <c r="P622">
        <v>1.07566446606724E-3</v>
      </c>
      <c r="Q622">
        <v>2669.79108637841</v>
      </c>
      <c r="R622">
        <v>1399232.3631215701</v>
      </c>
      <c r="S622">
        <v>16739.205893247599</v>
      </c>
      <c r="T622">
        <v>17888199.5013045</v>
      </c>
      <c r="U622" s="3">
        <v>837</v>
      </c>
      <c r="V622">
        <v>0.538468520941913</v>
      </c>
    </row>
    <row r="623" spans="1:22" x14ac:dyDescent="0.25">
      <c r="A623">
        <v>24101</v>
      </c>
      <c r="B623">
        <v>13</v>
      </c>
      <c r="C623">
        <v>13015</v>
      </c>
      <c r="D623">
        <v>13015</v>
      </c>
      <c r="E623" s="3">
        <f t="shared" si="10"/>
        <v>241023015</v>
      </c>
      <c r="F623" s="3">
        <f>VLOOKUP($E623,AgronomyYieldData!H:N,7,FALSE)</f>
        <v>26</v>
      </c>
      <c r="G623" s="3">
        <f>VLOOKUP($E623,AgronomyYieldData!$H:O,3,FALSE)</f>
        <v>3</v>
      </c>
      <c r="H623" s="9">
        <v>74</v>
      </c>
      <c r="I623">
        <v>0.72244973082409203</v>
      </c>
      <c r="J623">
        <v>0.22630729498393601</v>
      </c>
      <c r="K623" s="7">
        <v>3.164174965559E-3</v>
      </c>
      <c r="L623" s="7">
        <v>0.999888886831238</v>
      </c>
      <c r="M623">
        <v>0.36097000722431999</v>
      </c>
      <c r="N623">
        <v>2.6829566674506401E-3</v>
      </c>
      <c r="O623">
        <v>0.103874357476333</v>
      </c>
      <c r="P623">
        <v>1.07566446606724E-3</v>
      </c>
      <c r="Q623">
        <v>2736.6615548267</v>
      </c>
      <c r="R623">
        <v>1531081.45513447</v>
      </c>
      <c r="S623">
        <v>16606.816561416599</v>
      </c>
      <c r="T623">
        <v>18808517.495781198</v>
      </c>
      <c r="U623" s="3">
        <v>494</v>
      </c>
      <c r="V623">
        <v>0.31287443267776099</v>
      </c>
    </row>
    <row r="624" spans="1:22" x14ac:dyDescent="0.25">
      <c r="A624">
        <v>24101</v>
      </c>
      <c r="B624">
        <v>13</v>
      </c>
      <c r="C624">
        <v>13016</v>
      </c>
      <c r="D624">
        <v>13016</v>
      </c>
      <c r="E624" s="3">
        <f t="shared" si="10"/>
        <v>241023016</v>
      </c>
      <c r="F624" s="3">
        <f>VLOOKUP($E624,AgronomyYieldData!H:N,7,FALSE)</f>
        <v>67</v>
      </c>
      <c r="G624" s="3">
        <f>VLOOKUP($E624,AgronomyYieldData!$H:O,3,FALSE)</f>
        <v>3</v>
      </c>
      <c r="H624" s="9">
        <v>48</v>
      </c>
      <c r="I624">
        <v>0.26032941668791698</v>
      </c>
      <c r="J624">
        <v>0.22036341591453301</v>
      </c>
      <c r="K624" s="7">
        <v>1.8231618347162701E-3</v>
      </c>
      <c r="L624" s="7">
        <v>0.90465538566804404</v>
      </c>
      <c r="M624">
        <v>0.35574414978989599</v>
      </c>
      <c r="N624">
        <v>2.13886434140349E-3</v>
      </c>
      <c r="O624">
        <v>0.103874357476333</v>
      </c>
      <c r="P624">
        <v>1.07566446606724E-3</v>
      </c>
      <c r="Q624">
        <v>2561.49729521677</v>
      </c>
      <c r="R624">
        <v>1103180.09079887</v>
      </c>
      <c r="S624">
        <v>16960.904299480499</v>
      </c>
      <c r="T624">
        <v>14701053.646097001</v>
      </c>
      <c r="U624" s="3">
        <v>1902</v>
      </c>
      <c r="V624">
        <v>0.97147126164959297</v>
      </c>
    </row>
    <row r="625" spans="1:22" x14ac:dyDescent="0.25">
      <c r="A625">
        <v>24101</v>
      </c>
      <c r="B625">
        <v>13</v>
      </c>
      <c r="C625">
        <v>13017</v>
      </c>
      <c r="D625">
        <v>13017</v>
      </c>
      <c r="E625" s="3">
        <f t="shared" si="10"/>
        <v>241023017</v>
      </c>
      <c r="F625" s="3">
        <f>VLOOKUP($E625,AgronomyYieldData!H:N,7,FALSE)</f>
        <v>85</v>
      </c>
      <c r="G625" s="3">
        <f>VLOOKUP($E625,AgronomyYieldData!$H:O,3,FALSE)</f>
        <v>3</v>
      </c>
      <c r="H625" s="9">
        <v>83</v>
      </c>
      <c r="I625">
        <v>0.52402686143605304</v>
      </c>
      <c r="J625">
        <v>0.24670808127510699</v>
      </c>
      <c r="K625" s="7">
        <v>6.7663844764043303E-3</v>
      </c>
      <c r="L625" s="7">
        <v>1</v>
      </c>
      <c r="M625">
        <v>0.37105952951065302</v>
      </c>
      <c r="N625">
        <v>3.8589345119523998E-3</v>
      </c>
      <c r="O625">
        <v>0.100795516765079</v>
      </c>
      <c r="P625">
        <v>1.1483676572164199E-3</v>
      </c>
      <c r="Q625">
        <v>2726.9431470660302</v>
      </c>
      <c r="R625">
        <v>2008137.1237351501</v>
      </c>
      <c r="S625">
        <v>16036.843081401301</v>
      </c>
      <c r="T625">
        <v>22206085.8004888</v>
      </c>
      <c r="U625" s="3">
        <v>863</v>
      </c>
      <c r="V625">
        <v>0.52757712565838899</v>
      </c>
    </row>
    <row r="626" spans="1:22" x14ac:dyDescent="0.25">
      <c r="A626">
        <v>24101</v>
      </c>
      <c r="B626">
        <v>13</v>
      </c>
      <c r="C626">
        <v>13018</v>
      </c>
      <c r="D626">
        <v>13018</v>
      </c>
      <c r="E626" s="3">
        <f t="shared" si="10"/>
        <v>241023018</v>
      </c>
      <c r="F626" s="3">
        <f>VLOOKUP($E626,AgronomyYieldData!H:N,7,FALSE)</f>
        <v>51</v>
      </c>
      <c r="G626" s="3">
        <f>VLOOKUP($E626,AgronomyYieldData!$H:O,3,FALSE)</f>
        <v>3</v>
      </c>
      <c r="H626" s="9">
        <v>70</v>
      </c>
      <c r="I626">
        <v>0.45383629539539899</v>
      </c>
      <c r="J626">
        <v>0.23126108306139301</v>
      </c>
      <c r="K626" s="7">
        <v>2.7242648934653999E-3</v>
      </c>
      <c r="L626" s="7">
        <v>0.96540789473684196</v>
      </c>
      <c r="M626">
        <v>0.35557423556831003</v>
      </c>
      <c r="N626">
        <v>2.5666565185404901E-3</v>
      </c>
      <c r="O626">
        <v>0.100795516765079</v>
      </c>
      <c r="P626">
        <v>1.1483676572164199E-3</v>
      </c>
      <c r="Q626">
        <v>2566.8719531397601</v>
      </c>
      <c r="R626">
        <v>1304136.3155656799</v>
      </c>
      <c r="S626">
        <v>16333.8113869965</v>
      </c>
      <c r="T626">
        <v>17290803.0169692</v>
      </c>
      <c r="U626" s="3">
        <v>791</v>
      </c>
      <c r="V626">
        <v>0.32802489573031701</v>
      </c>
    </row>
    <row r="627" spans="1:22" x14ac:dyDescent="0.25">
      <c r="A627">
        <v>24101</v>
      </c>
      <c r="B627">
        <v>13</v>
      </c>
      <c r="C627">
        <v>13019</v>
      </c>
      <c r="D627">
        <v>13019</v>
      </c>
      <c r="E627" s="3">
        <f t="shared" si="10"/>
        <v>241023019</v>
      </c>
      <c r="F627" s="3">
        <f>VLOOKUP($E627,AgronomyYieldData!H:N,7,FALSE)</f>
        <v>14</v>
      </c>
      <c r="G627" s="3">
        <f>VLOOKUP($E627,AgronomyYieldData!$H:O,3,FALSE)</f>
        <v>4</v>
      </c>
      <c r="H627" s="9">
        <v>50</v>
      </c>
      <c r="I627">
        <v>0.340309028832261</v>
      </c>
      <c r="J627">
        <v>0.22795119554402499</v>
      </c>
      <c r="K627" s="7">
        <v>2.754416244614E-3</v>
      </c>
      <c r="L627" s="7">
        <v>1</v>
      </c>
      <c r="M627">
        <v>0.35682510411506202</v>
      </c>
      <c r="N627">
        <v>2.7425045780443899E-3</v>
      </c>
      <c r="O627">
        <v>0.100795516765079</v>
      </c>
      <c r="P627">
        <v>1.1483676572164199E-3</v>
      </c>
      <c r="Q627">
        <v>2465.8772862925898</v>
      </c>
      <c r="R627">
        <v>1430191.63833102</v>
      </c>
      <c r="S627">
        <v>16380.236742548999</v>
      </c>
      <c r="T627">
        <v>18215900.179318</v>
      </c>
      <c r="U627" s="3">
        <v>1440</v>
      </c>
      <c r="V627">
        <v>0.87870742278802705</v>
      </c>
    </row>
    <row r="628" spans="1:22" x14ac:dyDescent="0.25">
      <c r="A628">
        <v>24101</v>
      </c>
      <c r="B628">
        <v>13</v>
      </c>
      <c r="C628">
        <v>13020</v>
      </c>
      <c r="D628">
        <v>13020</v>
      </c>
      <c r="E628" s="3">
        <f t="shared" si="10"/>
        <v>241023020</v>
      </c>
      <c r="F628" s="3">
        <f>VLOOKUP($E628,AgronomyYieldData!H:N,7,FALSE)</f>
        <v>20</v>
      </c>
      <c r="G628" s="3">
        <f>VLOOKUP($E628,AgronomyYieldData!$H:O,3,FALSE)</f>
        <v>4</v>
      </c>
      <c r="H628" s="9">
        <v>87</v>
      </c>
      <c r="I628">
        <v>0.480380247731581</v>
      </c>
      <c r="J628">
        <v>0.232427821976779</v>
      </c>
      <c r="K628" s="7">
        <v>3.2013067169969901E-3</v>
      </c>
      <c r="L628" s="7">
        <v>1</v>
      </c>
      <c r="M628">
        <v>0.36228404968967898</v>
      </c>
      <c r="N628">
        <v>2.9744437628021602E-3</v>
      </c>
      <c r="O628">
        <v>0.100795516765079</v>
      </c>
      <c r="P628">
        <v>1.1483676572164199E-3</v>
      </c>
      <c r="Q628">
        <v>2374.9142724882099</v>
      </c>
      <c r="R628">
        <v>1367095.0470479501</v>
      </c>
      <c r="S628">
        <v>16119.2807200965</v>
      </c>
      <c r="T628">
        <v>18924318.478966601</v>
      </c>
      <c r="U628" s="3">
        <v>2252</v>
      </c>
      <c r="V628">
        <v>0.96648234858054904</v>
      </c>
    </row>
    <row r="629" spans="1:22" x14ac:dyDescent="0.25">
      <c r="A629">
        <v>24101</v>
      </c>
      <c r="B629">
        <v>13</v>
      </c>
      <c r="C629">
        <v>13021</v>
      </c>
      <c r="D629">
        <v>13021</v>
      </c>
      <c r="E629" s="3">
        <f t="shared" si="10"/>
        <v>241023021</v>
      </c>
      <c r="F629" s="3">
        <f>VLOOKUP($E629,AgronomyYieldData!H:N,7,FALSE)</f>
        <v>31</v>
      </c>
      <c r="G629" s="3">
        <f>VLOOKUP($E629,AgronomyYieldData!$H:O,3,FALSE)</f>
        <v>4</v>
      </c>
      <c r="H629" s="9">
        <v>89</v>
      </c>
      <c r="I629">
        <v>0.54276406603721405</v>
      </c>
      <c r="J629">
        <v>0.24377581972517601</v>
      </c>
      <c r="K629" s="7">
        <v>4.6721367304407204E-3</v>
      </c>
      <c r="L629" s="7">
        <v>0.96076071256620099</v>
      </c>
      <c r="M629">
        <v>0.36458489727249599</v>
      </c>
      <c r="N629">
        <v>2.9396242852175302E-3</v>
      </c>
      <c r="O629">
        <v>0.100795516765079</v>
      </c>
      <c r="P629">
        <v>1.1483676572164199E-3</v>
      </c>
      <c r="Q629">
        <v>2436.18340572644</v>
      </c>
      <c r="R629">
        <v>2442588.2820849898</v>
      </c>
      <c r="S629">
        <v>15708.937223862</v>
      </c>
      <c r="T629">
        <v>19065596.630589601</v>
      </c>
      <c r="U629" s="3">
        <v>1817</v>
      </c>
      <c r="V629">
        <v>0.96833633379222706</v>
      </c>
    </row>
    <row r="630" spans="1:22" x14ac:dyDescent="0.25">
      <c r="A630">
        <v>24101</v>
      </c>
      <c r="B630">
        <v>13</v>
      </c>
      <c r="C630">
        <v>13022</v>
      </c>
      <c r="D630">
        <v>13022</v>
      </c>
      <c r="E630" s="3">
        <f t="shared" si="10"/>
        <v>241023022</v>
      </c>
      <c r="F630" s="3">
        <f>VLOOKUP($E630,AgronomyYieldData!H:N,7,FALSE)</f>
        <v>78</v>
      </c>
      <c r="G630" s="3">
        <f>VLOOKUP($E630,AgronomyYieldData!$H:O,3,FALSE)</f>
        <v>4</v>
      </c>
      <c r="H630" s="9">
        <v>86</v>
      </c>
      <c r="I630">
        <v>0.28736391277340001</v>
      </c>
      <c r="J630">
        <v>0.25293386294647602</v>
      </c>
      <c r="K630" s="7">
        <v>4.7447710684814098E-3</v>
      </c>
      <c r="L630" s="7">
        <v>0.99788157894736795</v>
      </c>
      <c r="M630">
        <v>0.37290373164127399</v>
      </c>
      <c r="N630">
        <v>3.3112131288627199E-3</v>
      </c>
      <c r="O630">
        <v>0.100795516765079</v>
      </c>
      <c r="P630">
        <v>1.1483676572164199E-3</v>
      </c>
      <c r="Q630">
        <v>2196.5035586067902</v>
      </c>
      <c r="R630">
        <v>1212469.6634785801</v>
      </c>
      <c r="S630">
        <v>15548.4450436599</v>
      </c>
      <c r="T630">
        <v>18627760.633372001</v>
      </c>
      <c r="U630" s="3">
        <v>1721</v>
      </c>
      <c r="V630">
        <v>0.92077952091495896</v>
      </c>
    </row>
    <row r="631" spans="1:22" x14ac:dyDescent="0.25">
      <c r="A631">
        <v>24101</v>
      </c>
      <c r="B631">
        <v>13</v>
      </c>
      <c r="C631">
        <v>13023</v>
      </c>
      <c r="D631">
        <v>13023</v>
      </c>
      <c r="E631" s="3">
        <f t="shared" si="10"/>
        <v>241023023</v>
      </c>
      <c r="F631" s="3">
        <f>VLOOKUP($E631,AgronomyYieldData!H:N,7,FALSE)</f>
        <v>69</v>
      </c>
      <c r="G631" s="3">
        <f>VLOOKUP($E631,AgronomyYieldData!$H:O,3,FALSE)</f>
        <v>4</v>
      </c>
      <c r="H631" s="9">
        <v>76</v>
      </c>
      <c r="I631">
        <v>0.31609507307025803</v>
      </c>
      <c r="J631">
        <v>0.25433264815902001</v>
      </c>
      <c r="K631" s="7">
        <v>3.3952744238757099E-3</v>
      </c>
      <c r="L631" s="7">
        <v>0.99921051592784105</v>
      </c>
      <c r="M631">
        <v>0.37715675769205498</v>
      </c>
      <c r="N631">
        <v>2.70872331732831E-3</v>
      </c>
      <c r="O631">
        <v>0.100795516765079</v>
      </c>
      <c r="P631">
        <v>1.1483676572164199E-3</v>
      </c>
      <c r="Q631">
        <v>2117.0191537901701</v>
      </c>
      <c r="R631">
        <v>1546717.3634991299</v>
      </c>
      <c r="S631">
        <v>16078.1812350166</v>
      </c>
      <c r="T631">
        <v>18673217.033456299</v>
      </c>
      <c r="U631" s="3">
        <v>259</v>
      </c>
      <c r="V631">
        <v>0.22912210171021899</v>
      </c>
    </row>
    <row r="632" spans="1:22" x14ac:dyDescent="0.25">
      <c r="A632">
        <v>24101</v>
      </c>
      <c r="B632">
        <v>13</v>
      </c>
      <c r="C632">
        <v>13024</v>
      </c>
      <c r="D632">
        <v>13024</v>
      </c>
      <c r="E632" s="3">
        <f t="shared" si="10"/>
        <v>241023024</v>
      </c>
      <c r="F632" s="3">
        <f>VLOOKUP($E632,AgronomyYieldData!H:N,7,FALSE)</f>
        <v>59</v>
      </c>
      <c r="G632" s="3">
        <f>VLOOKUP($E632,AgronomyYieldData!$H:O,3,FALSE)</f>
        <v>4</v>
      </c>
      <c r="H632" s="9">
        <v>69</v>
      </c>
      <c r="I632">
        <v>0.47151404191323099</v>
      </c>
      <c r="J632">
        <v>0.259743889688062</v>
      </c>
      <c r="K632" s="7">
        <v>3.4143305316549498E-3</v>
      </c>
      <c r="L632" s="7">
        <v>0.99984210734069301</v>
      </c>
      <c r="M632">
        <v>0.38081107453561802</v>
      </c>
      <c r="N632">
        <v>2.82194019006209E-3</v>
      </c>
      <c r="O632">
        <v>0.100795516765079</v>
      </c>
      <c r="P632">
        <v>1.1483676572164199E-3</v>
      </c>
      <c r="Q632">
        <v>1991.78102256186</v>
      </c>
      <c r="R632">
        <v>1389526.93625416</v>
      </c>
      <c r="S632">
        <v>15086.031971902799</v>
      </c>
      <c r="T632">
        <v>17448239.2952279</v>
      </c>
      <c r="U632" s="3">
        <v>1851</v>
      </c>
      <c r="V632">
        <v>0.72333747185002395</v>
      </c>
    </row>
    <row r="633" spans="1:22" x14ac:dyDescent="0.25">
      <c r="A633">
        <v>24101</v>
      </c>
      <c r="B633">
        <v>13</v>
      </c>
      <c r="C633">
        <v>14001</v>
      </c>
      <c r="D633">
        <v>14001</v>
      </c>
      <c r="E633" s="3">
        <f t="shared" si="10"/>
        <v>241024001</v>
      </c>
      <c r="F633" s="3">
        <f>VLOOKUP($E633,AgronomyYieldData!H:N,7,FALSE)</f>
        <v>69</v>
      </c>
      <c r="G633" s="3">
        <f>VLOOKUP($E633,AgronomyYieldData!$H:O,3,FALSE)</f>
        <v>1</v>
      </c>
      <c r="H633" s="9">
        <v>68</v>
      </c>
      <c r="I633">
        <v>0.466243829077712</v>
      </c>
      <c r="J633">
        <v>0.25794735901351501</v>
      </c>
      <c r="K633" s="7">
        <v>4.7020138346026098E-3</v>
      </c>
      <c r="L633" s="7">
        <v>1</v>
      </c>
      <c r="M633">
        <v>0.37826429670674799</v>
      </c>
      <c r="N633">
        <v>3.26680526052663E-3</v>
      </c>
      <c r="O633">
        <v>0.100795516765079</v>
      </c>
      <c r="P633">
        <v>1.1483676572164199E-3</v>
      </c>
      <c r="Q633">
        <v>2878.0699124519701</v>
      </c>
      <c r="R633">
        <v>2105029.8874932998</v>
      </c>
      <c r="S633">
        <v>16394.426443656401</v>
      </c>
      <c r="T633">
        <v>18429965.290527798</v>
      </c>
      <c r="U633" s="3">
        <v>547</v>
      </c>
      <c r="V633">
        <v>0.33609050843813798</v>
      </c>
    </row>
    <row r="634" spans="1:22" x14ac:dyDescent="0.25">
      <c r="A634">
        <v>24101</v>
      </c>
      <c r="B634">
        <v>13</v>
      </c>
      <c r="C634">
        <v>14002</v>
      </c>
      <c r="D634">
        <v>14002</v>
      </c>
      <c r="E634" s="3">
        <f t="shared" si="10"/>
        <v>241024002</v>
      </c>
      <c r="F634" s="3">
        <f>VLOOKUP($E634,AgronomyYieldData!H:N,7,FALSE)</f>
        <v>84</v>
      </c>
      <c r="G634" s="3">
        <f>VLOOKUP($E634,AgronomyYieldData!$H:O,3,FALSE)</f>
        <v>1</v>
      </c>
      <c r="H634" s="9">
        <v>89</v>
      </c>
      <c r="I634">
        <v>0.54061122807935202</v>
      </c>
      <c r="J634">
        <v>0.26535344350548901</v>
      </c>
      <c r="K634" s="7">
        <v>6.1773663958230697E-3</v>
      </c>
      <c r="L634" s="7">
        <v>0.99993421052631604</v>
      </c>
      <c r="M634">
        <v>0.38235271782234098</v>
      </c>
      <c r="N634">
        <v>3.6971056496656902E-3</v>
      </c>
      <c r="O634">
        <v>0.100795516765079</v>
      </c>
      <c r="P634">
        <v>1.1483676572164199E-3</v>
      </c>
      <c r="Q634">
        <v>2786.90824795656</v>
      </c>
      <c r="R634">
        <v>2396830.7242473401</v>
      </c>
      <c r="S634">
        <v>15882.065612078501</v>
      </c>
      <c r="T634">
        <v>20634716.782073598</v>
      </c>
      <c r="U634" s="3">
        <v>759</v>
      </c>
      <c r="V634">
        <v>0.51948296248521897</v>
      </c>
    </row>
    <row r="635" spans="1:22" x14ac:dyDescent="0.25">
      <c r="A635">
        <v>24101</v>
      </c>
      <c r="B635">
        <v>13</v>
      </c>
      <c r="C635">
        <v>14003</v>
      </c>
      <c r="D635">
        <v>14003</v>
      </c>
      <c r="E635" s="3">
        <f t="shared" si="10"/>
        <v>241024003</v>
      </c>
      <c r="F635" s="3">
        <f>VLOOKUP($E635,AgronomyYieldData!H:N,7,FALSE)</f>
        <v>52</v>
      </c>
      <c r="G635" s="3">
        <f>VLOOKUP($E635,AgronomyYieldData!$H:O,3,FALSE)</f>
        <v>1</v>
      </c>
      <c r="H635" s="9">
        <v>35</v>
      </c>
      <c r="I635">
        <v>0.36146492650520401</v>
      </c>
      <c r="J635">
        <v>0.23904195181788099</v>
      </c>
      <c r="K635" s="7">
        <v>2.0358093959990599E-3</v>
      </c>
      <c r="L635" s="7">
        <v>0.82267571906002501</v>
      </c>
      <c r="M635">
        <v>0.36122544767890602</v>
      </c>
      <c r="N635">
        <v>2.1894935284167802E-3</v>
      </c>
      <c r="O635">
        <v>0.100795516765079</v>
      </c>
      <c r="P635">
        <v>1.1483676572164199E-3</v>
      </c>
      <c r="Q635">
        <v>2706.9441404117701</v>
      </c>
      <c r="R635">
        <v>1129727.3994998501</v>
      </c>
      <c r="S635">
        <v>16711.5128263185</v>
      </c>
      <c r="T635">
        <v>14133331.025496799</v>
      </c>
      <c r="U635" s="3">
        <v>1199</v>
      </c>
      <c r="V635">
        <v>0.95545475066914598</v>
      </c>
    </row>
    <row r="636" spans="1:22" x14ac:dyDescent="0.25">
      <c r="A636">
        <v>24101</v>
      </c>
      <c r="B636">
        <v>13</v>
      </c>
      <c r="C636">
        <v>14004</v>
      </c>
      <c r="D636">
        <v>14004</v>
      </c>
      <c r="E636" s="3">
        <f t="shared" si="10"/>
        <v>241024004</v>
      </c>
      <c r="F636" s="3">
        <f>VLOOKUP($E636,AgronomyYieldData!H:N,7,FALSE)</f>
        <v>45</v>
      </c>
      <c r="G636" s="3">
        <f>VLOOKUP($E636,AgronomyYieldData!$H:O,3,FALSE)</f>
        <v>1</v>
      </c>
      <c r="H636" s="9">
        <v>95</v>
      </c>
      <c r="I636">
        <v>0.63461432278725605</v>
      </c>
      <c r="J636">
        <v>0.249280363300143</v>
      </c>
      <c r="K636" s="7">
        <v>4.9886167217846203E-3</v>
      </c>
      <c r="L636" s="7">
        <v>1</v>
      </c>
      <c r="M636">
        <v>0.374161405332673</v>
      </c>
      <c r="N636">
        <v>3.4667381087413402E-3</v>
      </c>
      <c r="O636">
        <v>0.100795516765079</v>
      </c>
      <c r="P636">
        <v>1.1483676572164199E-3</v>
      </c>
      <c r="Q636">
        <v>2648.5104253873201</v>
      </c>
      <c r="R636">
        <v>1746098.4635994299</v>
      </c>
      <c r="S636">
        <v>15820.179408448301</v>
      </c>
      <c r="T636">
        <v>20481070.3096321</v>
      </c>
      <c r="U636" s="3">
        <v>1985</v>
      </c>
      <c r="V636">
        <v>0.95389526395812296</v>
      </c>
    </row>
    <row r="637" spans="1:22" x14ac:dyDescent="0.25">
      <c r="A637">
        <v>24101</v>
      </c>
      <c r="B637">
        <v>13</v>
      </c>
      <c r="C637">
        <v>14005</v>
      </c>
      <c r="D637">
        <v>14005</v>
      </c>
      <c r="E637" s="3">
        <f t="shared" si="10"/>
        <v>241024005</v>
      </c>
      <c r="F637" s="3">
        <f>VLOOKUP($E637,AgronomyYieldData!H:N,7,FALSE)</f>
        <v>14</v>
      </c>
      <c r="G637" s="3">
        <f>VLOOKUP($E637,AgronomyYieldData!$H:O,3,FALSE)</f>
        <v>1</v>
      </c>
      <c r="H637" s="9">
        <v>60</v>
      </c>
      <c r="I637">
        <v>0.55792166678936905</v>
      </c>
      <c r="J637">
        <v>0.22656725129615499</v>
      </c>
      <c r="K637" s="7">
        <v>3.2653262122868598E-3</v>
      </c>
      <c r="L637" s="7">
        <v>1</v>
      </c>
      <c r="M637">
        <v>0.35648878267383</v>
      </c>
      <c r="N637">
        <v>2.6538559605942601E-3</v>
      </c>
      <c r="O637">
        <v>0.100795516765079</v>
      </c>
      <c r="P637">
        <v>1.1483676572164199E-3</v>
      </c>
      <c r="Q637">
        <v>2544.7203754592301</v>
      </c>
      <c r="R637">
        <v>1555699.16175145</v>
      </c>
      <c r="S637">
        <v>16051.0083627729</v>
      </c>
      <c r="T637">
        <v>15853548.1237507</v>
      </c>
      <c r="U637" s="3">
        <v>1572</v>
      </c>
      <c r="V637">
        <v>0.93330559757942499</v>
      </c>
    </row>
    <row r="638" spans="1:22" x14ac:dyDescent="0.25">
      <c r="A638">
        <v>24101</v>
      </c>
      <c r="B638">
        <v>13</v>
      </c>
      <c r="C638">
        <v>14006</v>
      </c>
      <c r="D638">
        <v>14006</v>
      </c>
      <c r="E638" s="3">
        <f t="shared" si="10"/>
        <v>241024006</v>
      </c>
      <c r="F638" s="3">
        <f>VLOOKUP($E638,AgronomyYieldData!H:N,7,FALSE)</f>
        <v>24</v>
      </c>
      <c r="G638" s="3">
        <f>VLOOKUP($E638,AgronomyYieldData!$H:O,3,FALSE)</f>
        <v>1</v>
      </c>
      <c r="H638" s="9">
        <v>71</v>
      </c>
      <c r="I638">
        <v>0.62748580525826603</v>
      </c>
      <c r="J638">
        <v>0.23985857842629399</v>
      </c>
      <c r="K638" s="7">
        <v>4.7456840921898096E-3</v>
      </c>
      <c r="L638" s="7">
        <v>1</v>
      </c>
      <c r="M638">
        <v>0.36761390150100898</v>
      </c>
      <c r="N638">
        <v>3.00312622879139E-3</v>
      </c>
      <c r="O638">
        <v>0.100795516765079</v>
      </c>
      <c r="P638">
        <v>1.1483676572164199E-3</v>
      </c>
      <c r="Q638">
        <v>2607.8846362194799</v>
      </c>
      <c r="R638">
        <v>1667989.89965376</v>
      </c>
      <c r="S638">
        <v>15662.089979164901</v>
      </c>
      <c r="T638">
        <v>17199396.6534306</v>
      </c>
      <c r="U638" s="3">
        <v>705</v>
      </c>
      <c r="V638">
        <v>0.282698315443907</v>
      </c>
    </row>
    <row r="639" spans="1:22" x14ac:dyDescent="0.25">
      <c r="A639">
        <v>24101</v>
      </c>
      <c r="B639">
        <v>13</v>
      </c>
      <c r="C639">
        <v>14007</v>
      </c>
      <c r="D639">
        <v>14007</v>
      </c>
      <c r="E639" s="3">
        <f t="shared" si="10"/>
        <v>241024007</v>
      </c>
      <c r="F639" s="3">
        <f>VLOOKUP($E639,AgronomyYieldData!H:N,7,FALSE)</f>
        <v>11</v>
      </c>
      <c r="G639" s="3">
        <f>VLOOKUP($E639,AgronomyYieldData!$H:O,3,FALSE)</f>
        <v>2</v>
      </c>
      <c r="H639" s="9">
        <v>35</v>
      </c>
      <c r="I639">
        <v>0.63137745711551196</v>
      </c>
      <c r="J639">
        <v>0.23781347997712901</v>
      </c>
      <c r="K639" s="7">
        <v>2.5411429084351901E-3</v>
      </c>
      <c r="L639" s="7">
        <v>0.70926464324734695</v>
      </c>
      <c r="M639">
        <v>0.36477751602570602</v>
      </c>
      <c r="N639">
        <v>2.3588160331855399E-3</v>
      </c>
      <c r="O639">
        <v>0.100795516765079</v>
      </c>
      <c r="P639">
        <v>1.1483676572164199E-3</v>
      </c>
      <c r="Q639">
        <v>2387.22737569931</v>
      </c>
      <c r="R639">
        <v>1055970.8722326099</v>
      </c>
      <c r="S639">
        <v>15971.4110522061</v>
      </c>
      <c r="T639">
        <v>13851051.1312481</v>
      </c>
      <c r="U639" s="3">
        <v>322</v>
      </c>
      <c r="V639">
        <v>0.41625567322238999</v>
      </c>
    </row>
    <row r="640" spans="1:22" x14ac:dyDescent="0.25">
      <c r="A640">
        <v>24101</v>
      </c>
      <c r="B640">
        <v>13</v>
      </c>
      <c r="C640">
        <v>14009</v>
      </c>
      <c r="D640">
        <v>14009</v>
      </c>
      <c r="E640" s="3">
        <f t="shared" si="10"/>
        <v>241024009</v>
      </c>
      <c r="F640" s="3">
        <f>VLOOKUP($E640,AgronomyYieldData!H:N,7,FALSE)</f>
        <v>20</v>
      </c>
      <c r="G640" s="3">
        <f>VLOOKUP($E640,AgronomyYieldData!$H:O,3,FALSE)</f>
        <v>2</v>
      </c>
      <c r="H640" s="9">
        <v>88</v>
      </c>
      <c r="I640">
        <v>0.49119319750427898</v>
      </c>
      <c r="J640">
        <v>0.26033983653868997</v>
      </c>
      <c r="K640" s="7">
        <v>3.11389860968255E-3</v>
      </c>
      <c r="L640" s="7">
        <v>1</v>
      </c>
      <c r="M640">
        <v>0.38582737351280699</v>
      </c>
      <c r="N640">
        <v>2.7849386861481E-3</v>
      </c>
      <c r="O640">
        <v>0.100795516765079</v>
      </c>
      <c r="P640">
        <v>1.1483676572164199E-3</v>
      </c>
      <c r="Q640">
        <v>2439.3216519418102</v>
      </c>
      <c r="R640">
        <v>1171532.4379912401</v>
      </c>
      <c r="S640">
        <v>15852.923661243</v>
      </c>
      <c r="T640">
        <v>16657961.0520229</v>
      </c>
      <c r="U640" s="3">
        <v>2304</v>
      </c>
      <c r="V640">
        <v>0.957881996974281</v>
      </c>
    </row>
    <row r="641" spans="1:22" x14ac:dyDescent="0.25">
      <c r="A641">
        <v>24101</v>
      </c>
      <c r="B641">
        <v>13</v>
      </c>
      <c r="C641">
        <v>14010</v>
      </c>
      <c r="D641">
        <v>14010</v>
      </c>
      <c r="E641" s="3">
        <f t="shared" si="10"/>
        <v>241024010</v>
      </c>
      <c r="F641" s="3">
        <f>VLOOKUP($E641,AgronomyYieldData!H:N,7,FALSE)</f>
        <v>68</v>
      </c>
      <c r="G641" s="3">
        <f>VLOOKUP($E641,AgronomyYieldData!$H:O,3,FALSE)</f>
        <v>2</v>
      </c>
      <c r="H641" s="9">
        <v>71</v>
      </c>
      <c r="I641">
        <v>0.27658628445885802</v>
      </c>
      <c r="J641">
        <v>0.24974212582965999</v>
      </c>
      <c r="K641" s="7">
        <v>2.8942553152051199E-3</v>
      </c>
      <c r="L641" s="7">
        <v>0.88714622176024005</v>
      </c>
      <c r="M641">
        <v>0.37397631147518501</v>
      </c>
      <c r="N641">
        <v>2.4102140769433102E-3</v>
      </c>
      <c r="O641">
        <v>0.100795516765079</v>
      </c>
      <c r="P641">
        <v>1.1483676572164199E-3</v>
      </c>
      <c r="Q641">
        <v>2677.8697146136301</v>
      </c>
      <c r="R641">
        <v>1574896.38745834</v>
      </c>
      <c r="S641">
        <v>16293.978441396799</v>
      </c>
      <c r="T641">
        <v>14572300.299417</v>
      </c>
      <c r="U641" s="3">
        <v>2338</v>
      </c>
      <c r="V641">
        <v>0.93233256475166204</v>
      </c>
    </row>
    <row r="642" spans="1:22" x14ac:dyDescent="0.25">
      <c r="A642">
        <v>24101</v>
      </c>
      <c r="B642">
        <v>13</v>
      </c>
      <c r="C642">
        <v>14011</v>
      </c>
      <c r="D642">
        <v>14011</v>
      </c>
      <c r="E642" s="3">
        <f t="shared" si="10"/>
        <v>241024011</v>
      </c>
      <c r="F642" s="3">
        <f>VLOOKUP($E642,AgronomyYieldData!H:N,7,FALSE)</f>
        <v>46</v>
      </c>
      <c r="G642" s="3">
        <f>VLOOKUP($E642,AgronomyYieldData!$H:O,3,FALSE)</f>
        <v>2</v>
      </c>
      <c r="H642" s="9">
        <v>76</v>
      </c>
      <c r="I642">
        <v>0.39431803321564002</v>
      </c>
      <c r="J642">
        <v>0.24471232901131901</v>
      </c>
      <c r="K642" s="7">
        <v>3.1697765451373199E-3</v>
      </c>
      <c r="L642" s="7">
        <v>0.96443467849107201</v>
      </c>
      <c r="M642">
        <v>0.37735215374657699</v>
      </c>
      <c r="N642">
        <v>2.8586940131453001E-3</v>
      </c>
      <c r="O642">
        <v>0.100795516765079</v>
      </c>
      <c r="P642">
        <v>1.1483676572164199E-3</v>
      </c>
      <c r="Q642">
        <v>2682.4625768932001</v>
      </c>
      <c r="R642">
        <v>1691830.6176868901</v>
      </c>
      <c r="S642">
        <v>16498.342896333899</v>
      </c>
      <c r="T642">
        <v>16851644.042229399</v>
      </c>
      <c r="U642" s="3">
        <v>1800</v>
      </c>
      <c r="V642">
        <v>0.98803605307993703</v>
      </c>
    </row>
    <row r="643" spans="1:22" x14ac:dyDescent="0.25">
      <c r="A643">
        <v>24101</v>
      </c>
      <c r="B643">
        <v>13</v>
      </c>
      <c r="C643">
        <v>14012</v>
      </c>
      <c r="D643">
        <v>14012</v>
      </c>
      <c r="E643" s="3">
        <f t="shared" si="10"/>
        <v>241024012</v>
      </c>
      <c r="F643" s="3">
        <f>VLOOKUP($E643,AgronomyYieldData!H:N,7,FALSE)</f>
        <v>78</v>
      </c>
      <c r="G643" s="3">
        <f>VLOOKUP($E643,AgronomyYieldData!$H:O,3,FALSE)</f>
        <v>2</v>
      </c>
      <c r="H643" s="9">
        <v>86</v>
      </c>
      <c r="I643">
        <v>0.50732995932886005</v>
      </c>
      <c r="J643">
        <v>0.24640356024728199</v>
      </c>
      <c r="K643" s="7">
        <v>5.2981649664295902E-3</v>
      </c>
      <c r="L643" s="7">
        <v>0.99722368421052598</v>
      </c>
      <c r="M643">
        <v>0.37077799850285598</v>
      </c>
      <c r="N643">
        <v>3.6888662897880601E-3</v>
      </c>
      <c r="O643">
        <v>0.100795516765079</v>
      </c>
      <c r="P643">
        <v>1.1483676572164199E-3</v>
      </c>
      <c r="Q643">
        <v>2699.1459253297899</v>
      </c>
      <c r="R643">
        <v>1334788.61381552</v>
      </c>
      <c r="S643">
        <v>16024.3644188449</v>
      </c>
      <c r="T643">
        <v>18984962.016810801</v>
      </c>
      <c r="U643" s="3">
        <v>2713</v>
      </c>
      <c r="V643">
        <v>0.98590216976517897</v>
      </c>
    </row>
    <row r="644" spans="1:22" x14ac:dyDescent="0.25">
      <c r="A644">
        <v>24101</v>
      </c>
      <c r="B644">
        <v>13</v>
      </c>
      <c r="C644">
        <v>14013</v>
      </c>
      <c r="D644">
        <v>14013</v>
      </c>
      <c r="E644" s="3">
        <f t="shared" si="10"/>
        <v>241024013</v>
      </c>
      <c r="F644" s="3">
        <f>VLOOKUP($E644,AgronomyYieldData!H:N,7,FALSE)</f>
        <v>35</v>
      </c>
      <c r="G644" s="3">
        <f>VLOOKUP($E644,AgronomyYieldData!$H:O,3,FALSE)</f>
        <v>3</v>
      </c>
      <c r="H644" s="9">
        <v>52</v>
      </c>
      <c r="I644">
        <v>0.59742697807961997</v>
      </c>
      <c r="J644">
        <v>0.23719279733805401</v>
      </c>
      <c r="K644" s="7">
        <v>3.3939850578351299E-3</v>
      </c>
      <c r="L644" s="7">
        <v>0.68675925925925896</v>
      </c>
      <c r="M644">
        <v>0.364563213569088</v>
      </c>
      <c r="N644">
        <v>3.0239764585314401E-3</v>
      </c>
      <c r="O644">
        <v>0.100795516765079</v>
      </c>
      <c r="P644">
        <v>1.1483676572164199E-3</v>
      </c>
      <c r="Q644">
        <v>2677.2343369874602</v>
      </c>
      <c r="R644">
        <v>1454613.6135354401</v>
      </c>
      <c r="S644">
        <v>16361.1788373734</v>
      </c>
      <c r="T644">
        <v>17606950.536308501</v>
      </c>
      <c r="U644" s="3">
        <v>1726</v>
      </c>
      <c r="V644">
        <v>0.84697543891498495</v>
      </c>
    </row>
    <row r="645" spans="1:22" x14ac:dyDescent="0.25">
      <c r="A645">
        <v>24101</v>
      </c>
      <c r="B645">
        <v>13</v>
      </c>
      <c r="C645">
        <v>14014</v>
      </c>
      <c r="D645">
        <v>14014</v>
      </c>
      <c r="E645" s="3">
        <f t="shared" si="10"/>
        <v>241024014</v>
      </c>
      <c r="F645" s="3">
        <f>VLOOKUP($E645,AgronomyYieldData!H:N,7,FALSE)</f>
        <v>3</v>
      </c>
      <c r="G645" s="3">
        <f>VLOOKUP($E645,AgronomyYieldData!$H:O,3,FALSE)</f>
        <v>3</v>
      </c>
      <c r="H645" s="9">
        <v>53</v>
      </c>
      <c r="I645">
        <v>0.61169292497975403</v>
      </c>
      <c r="J645">
        <v>0.23184244088091199</v>
      </c>
      <c r="K645" s="7">
        <v>3.2585154014548299E-3</v>
      </c>
      <c r="L645" s="7">
        <v>0.99892594581581795</v>
      </c>
      <c r="M645">
        <v>0.35908229141111297</v>
      </c>
      <c r="N645">
        <v>2.8728109081897E-3</v>
      </c>
      <c r="O645">
        <v>0.100795516765079</v>
      </c>
      <c r="P645">
        <v>1.1483676572164199E-3</v>
      </c>
      <c r="Q645">
        <v>2654.67323943662</v>
      </c>
      <c r="R645">
        <v>1154899.0404155501</v>
      </c>
      <c r="S645">
        <v>16067.2308119319</v>
      </c>
      <c r="T645">
        <v>16040779.7670864</v>
      </c>
      <c r="U645" s="3">
        <v>1880</v>
      </c>
      <c r="V645">
        <v>0.98626334142706895</v>
      </c>
    </row>
    <row r="646" spans="1:22" x14ac:dyDescent="0.25">
      <c r="A646">
        <v>24101</v>
      </c>
      <c r="B646">
        <v>13</v>
      </c>
      <c r="C646">
        <v>14015</v>
      </c>
      <c r="D646">
        <v>14015</v>
      </c>
      <c r="E646" s="3">
        <f t="shared" si="10"/>
        <v>241024015</v>
      </c>
      <c r="F646" s="3">
        <f>VLOOKUP($E646,AgronomyYieldData!H:N,7,FALSE)</f>
        <v>29</v>
      </c>
      <c r="G646" s="3">
        <f>VLOOKUP($E646,AgronomyYieldData!$H:O,3,FALSE)</f>
        <v>3</v>
      </c>
      <c r="H646" s="9">
        <v>69</v>
      </c>
      <c r="I646">
        <v>0.76815408541691499</v>
      </c>
      <c r="J646">
        <v>0.23809460740268201</v>
      </c>
      <c r="K646" s="7">
        <v>3.8012618442559401E-3</v>
      </c>
      <c r="L646" s="7">
        <v>1</v>
      </c>
      <c r="M646">
        <v>0.36908444276165597</v>
      </c>
      <c r="N646">
        <v>3.03660254108258E-3</v>
      </c>
      <c r="O646">
        <v>0.100795516765079</v>
      </c>
      <c r="P646">
        <v>1.1483676572164199E-3</v>
      </c>
      <c r="Q646">
        <v>2692.89900621485</v>
      </c>
      <c r="R646">
        <v>1785297.6488206401</v>
      </c>
      <c r="S646">
        <v>16033.132977116</v>
      </c>
      <c r="T646">
        <v>17462609.0595362</v>
      </c>
      <c r="U646" s="3">
        <v>1567</v>
      </c>
      <c r="V646">
        <v>0.93459958699253398</v>
      </c>
    </row>
    <row r="647" spans="1:22" x14ac:dyDescent="0.25">
      <c r="A647">
        <v>24101</v>
      </c>
      <c r="B647">
        <v>13</v>
      </c>
      <c r="C647">
        <v>14016</v>
      </c>
      <c r="D647">
        <v>14016</v>
      </c>
      <c r="E647" s="3">
        <f t="shared" si="10"/>
        <v>241024016</v>
      </c>
      <c r="F647" s="3">
        <f>VLOOKUP($E647,AgronomyYieldData!H:N,7,FALSE)</f>
        <v>73</v>
      </c>
      <c r="G647" s="3">
        <f>VLOOKUP($E647,AgronomyYieldData!$H:O,3,FALSE)</f>
        <v>3</v>
      </c>
      <c r="H647" s="9">
        <v>72</v>
      </c>
      <c r="I647">
        <v>0.33916369699545501</v>
      </c>
      <c r="J647">
        <v>0.23929481732046501</v>
      </c>
      <c r="K647" s="7">
        <v>2.8585095419428799E-3</v>
      </c>
      <c r="L647" s="7">
        <v>0.99644732167528505</v>
      </c>
      <c r="M647">
        <v>0.37415951946794801</v>
      </c>
      <c r="N647">
        <v>2.7415402632908099E-3</v>
      </c>
      <c r="O647">
        <v>0.100795516765079</v>
      </c>
      <c r="P647">
        <v>1.1483676572164199E-3</v>
      </c>
      <c r="Q647">
        <v>2646.3475047763</v>
      </c>
      <c r="R647">
        <v>1656111.2398389201</v>
      </c>
      <c r="S647">
        <v>16473.4446374053</v>
      </c>
      <c r="T647">
        <v>18790275.452787299</v>
      </c>
      <c r="U647" s="3">
        <v>2699</v>
      </c>
      <c r="V647">
        <v>0.98132322906589198</v>
      </c>
    </row>
    <row r="648" spans="1:22" x14ac:dyDescent="0.25">
      <c r="A648">
        <v>24101</v>
      </c>
      <c r="B648">
        <v>13</v>
      </c>
      <c r="C648">
        <v>14017</v>
      </c>
      <c r="D648">
        <v>14017</v>
      </c>
      <c r="E648" s="3">
        <f t="shared" si="10"/>
        <v>241024017</v>
      </c>
      <c r="F648" s="3">
        <f>VLOOKUP($E648,AgronomyYieldData!H:N,7,FALSE)</f>
        <v>88</v>
      </c>
      <c r="G648" s="3">
        <f>VLOOKUP($E648,AgronomyYieldData!$H:O,3,FALSE)</f>
        <v>3</v>
      </c>
      <c r="H648" s="9">
        <v>99</v>
      </c>
      <c r="I648">
        <v>0.55046195492261496</v>
      </c>
      <c r="J648">
        <v>0.25359989251611098</v>
      </c>
      <c r="K648" s="7">
        <v>3.76697264794333E-3</v>
      </c>
      <c r="L648" s="7">
        <v>0.99984210318556799</v>
      </c>
      <c r="M648">
        <v>0.37828922522126801</v>
      </c>
      <c r="N648">
        <v>2.92986707008429E-3</v>
      </c>
      <c r="O648">
        <v>0.111427559881838</v>
      </c>
      <c r="P648">
        <v>9.6879540174686304E-4</v>
      </c>
      <c r="Q648">
        <v>2586.4434164946301</v>
      </c>
      <c r="R648">
        <v>1510051.72830572</v>
      </c>
      <c r="S648">
        <v>16104.341823991999</v>
      </c>
      <c r="T648">
        <v>18633565.7501777</v>
      </c>
      <c r="U648" s="3">
        <v>2758</v>
      </c>
      <c r="V648">
        <v>0.97402988283349401</v>
      </c>
    </row>
    <row r="649" spans="1:22" x14ac:dyDescent="0.25">
      <c r="A649">
        <v>24101</v>
      </c>
      <c r="B649">
        <v>13</v>
      </c>
      <c r="C649">
        <v>14018</v>
      </c>
      <c r="D649">
        <v>14018</v>
      </c>
      <c r="E649" s="3">
        <f t="shared" si="10"/>
        <v>241024018</v>
      </c>
      <c r="F649" s="3">
        <f>VLOOKUP($E649,AgronomyYieldData!H:N,7,FALSE)</f>
        <v>47</v>
      </c>
      <c r="G649" s="3">
        <f>VLOOKUP($E649,AgronomyYieldData!$H:O,3,FALSE)</f>
        <v>3</v>
      </c>
      <c r="H649" s="9">
        <v>106</v>
      </c>
      <c r="I649">
        <v>0.50419783438823995</v>
      </c>
      <c r="J649">
        <v>0.25235909066900297</v>
      </c>
      <c r="K649" s="7">
        <v>3.2511473743189198E-3</v>
      </c>
      <c r="L649" s="7">
        <v>0.99871052631578905</v>
      </c>
      <c r="M649">
        <v>0.37597434071943298</v>
      </c>
      <c r="N649">
        <v>3.2010494646032401E-3</v>
      </c>
      <c r="O649">
        <v>0.111427559881838</v>
      </c>
      <c r="P649">
        <v>9.6879540174686304E-4</v>
      </c>
      <c r="Q649">
        <v>2502.2934523976201</v>
      </c>
      <c r="R649">
        <v>1393939.91868649</v>
      </c>
      <c r="S649">
        <v>16367.7144487275</v>
      </c>
      <c r="T649">
        <v>18058999.030170999</v>
      </c>
      <c r="U649" s="3">
        <v>2739</v>
      </c>
      <c r="V649">
        <v>0.97709853916520595</v>
      </c>
    </row>
    <row r="650" spans="1:22" x14ac:dyDescent="0.25">
      <c r="A650">
        <v>24101</v>
      </c>
      <c r="B650">
        <v>13</v>
      </c>
      <c r="C650">
        <v>14021</v>
      </c>
      <c r="D650">
        <v>14021</v>
      </c>
      <c r="E650" s="3">
        <f t="shared" si="10"/>
        <v>241024021</v>
      </c>
      <c r="F650" s="3">
        <f>VLOOKUP($E650,AgronomyYieldData!H:N,7,FALSE)</f>
        <v>36</v>
      </c>
      <c r="G650" s="3">
        <f>VLOOKUP($E650,AgronomyYieldData!$H:O,3,FALSE)</f>
        <v>4</v>
      </c>
      <c r="H650" s="9">
        <v>47</v>
      </c>
      <c r="I650">
        <v>0.243643424406673</v>
      </c>
      <c r="J650">
        <v>0.25251217502352702</v>
      </c>
      <c r="K650" s="7">
        <v>3.7933612686042902E-3</v>
      </c>
      <c r="L650" s="7">
        <v>0.78301450026852304</v>
      </c>
      <c r="M650">
        <v>0.37488549719842501</v>
      </c>
      <c r="N650">
        <v>3.04845150129793E-3</v>
      </c>
      <c r="O650">
        <v>0.111427559881838</v>
      </c>
      <c r="P650">
        <v>9.6879540174686304E-4</v>
      </c>
      <c r="Q650">
        <v>2411.99587318159</v>
      </c>
      <c r="R650">
        <v>1634535.2001976999</v>
      </c>
      <c r="S650">
        <v>15946.3498897509</v>
      </c>
      <c r="T650">
        <v>18671191.712079499</v>
      </c>
      <c r="U650" s="3">
        <v>372</v>
      </c>
      <c r="V650">
        <v>0.27097720929177099</v>
      </c>
    </row>
    <row r="651" spans="1:22" x14ac:dyDescent="0.25">
      <c r="A651">
        <v>24101</v>
      </c>
      <c r="B651">
        <v>13</v>
      </c>
      <c r="C651">
        <v>14022</v>
      </c>
      <c r="D651">
        <v>14022</v>
      </c>
      <c r="E651" s="3">
        <f t="shared" si="10"/>
        <v>241024022</v>
      </c>
      <c r="F651" s="3">
        <f>VLOOKUP($E651,AgronomyYieldData!H:N,7,FALSE)</f>
        <v>86</v>
      </c>
      <c r="G651" s="3">
        <f>VLOOKUP($E651,AgronomyYieldData!$H:O,3,FALSE)</f>
        <v>4</v>
      </c>
      <c r="H651" s="9">
        <v>102</v>
      </c>
      <c r="I651">
        <v>0.28216093216681698</v>
      </c>
      <c r="J651">
        <v>0.25800766412911502</v>
      </c>
      <c r="K651" s="7">
        <v>3.1420747607191E-3</v>
      </c>
      <c r="L651" s="7">
        <v>0.99852629639863699</v>
      </c>
      <c r="M651">
        <v>0.38234903080538901</v>
      </c>
      <c r="N651">
        <v>2.77462484202155E-3</v>
      </c>
      <c r="O651">
        <v>0.122500601830116</v>
      </c>
      <c r="P651">
        <v>9.4867054703888802E-4</v>
      </c>
      <c r="Q651">
        <v>2217.3071319098899</v>
      </c>
      <c r="R651">
        <v>1262454.18200969</v>
      </c>
      <c r="S651">
        <v>15919.971539578301</v>
      </c>
      <c r="T651">
        <v>18251735.6512537</v>
      </c>
      <c r="U651" s="3">
        <v>549</v>
      </c>
      <c r="V651">
        <v>0.51976244222293799</v>
      </c>
    </row>
    <row r="652" spans="1:22" x14ac:dyDescent="0.25">
      <c r="A652">
        <v>24101</v>
      </c>
      <c r="B652">
        <v>13</v>
      </c>
      <c r="C652">
        <v>15001</v>
      </c>
      <c r="D652">
        <v>15001</v>
      </c>
      <c r="E652" s="3">
        <f t="shared" si="10"/>
        <v>241025001</v>
      </c>
      <c r="F652" s="3">
        <f>VLOOKUP($E652,AgronomyYieldData!H:N,7,FALSE)</f>
        <v>63</v>
      </c>
      <c r="G652" s="3">
        <f>VLOOKUP($E652,AgronomyYieldData!$H:O,3,FALSE)</f>
        <v>1</v>
      </c>
      <c r="H652" s="9">
        <v>64</v>
      </c>
      <c r="I652">
        <v>0.38061765609776799</v>
      </c>
      <c r="J652">
        <v>0.23688822011688501</v>
      </c>
      <c r="K652" s="7">
        <v>3.3294538251824601E-3</v>
      </c>
      <c r="L652" s="7">
        <v>0.93810363430616595</v>
      </c>
      <c r="M652">
        <v>0.35903716304709898</v>
      </c>
      <c r="N652">
        <v>2.7440539751905401E-3</v>
      </c>
      <c r="O652">
        <v>8.4192931908469798E-2</v>
      </c>
      <c r="P652">
        <v>2.9695728572760498E-3</v>
      </c>
      <c r="Q652">
        <v>2271.1329428395502</v>
      </c>
      <c r="R652">
        <v>1094383.358005</v>
      </c>
      <c r="S652">
        <v>15932.502624552701</v>
      </c>
      <c r="T652">
        <v>16404653.508890901</v>
      </c>
      <c r="U652" s="3">
        <v>2305</v>
      </c>
      <c r="V652">
        <v>0.96976781683327895</v>
      </c>
    </row>
    <row r="653" spans="1:22" x14ac:dyDescent="0.25">
      <c r="A653">
        <v>24101</v>
      </c>
      <c r="B653">
        <v>13</v>
      </c>
      <c r="C653">
        <v>15002</v>
      </c>
      <c r="D653">
        <v>15002</v>
      </c>
      <c r="E653" s="3">
        <f t="shared" si="10"/>
        <v>241025002</v>
      </c>
      <c r="F653" s="3">
        <f>VLOOKUP($E653,AgronomyYieldData!H:N,7,FALSE)</f>
        <v>87</v>
      </c>
      <c r="G653" s="3">
        <f>VLOOKUP($E653,AgronomyYieldData!$H:O,3,FALSE)</f>
        <v>1</v>
      </c>
      <c r="H653" s="9">
        <v>82</v>
      </c>
      <c r="I653">
        <v>0.60124235786445202</v>
      </c>
      <c r="J653">
        <v>0.24699935090696501</v>
      </c>
      <c r="K653" s="7">
        <v>5.3203926083084697E-3</v>
      </c>
      <c r="L653" s="7">
        <v>1</v>
      </c>
      <c r="M653">
        <v>0.36917002491110301</v>
      </c>
      <c r="N653">
        <v>3.1179021730184699E-3</v>
      </c>
      <c r="O653">
        <v>8.4192931908469798E-2</v>
      </c>
      <c r="P653">
        <v>2.9695728572760498E-3</v>
      </c>
      <c r="Q653">
        <v>2574.9505010777398</v>
      </c>
      <c r="R653">
        <v>2750563.8546517901</v>
      </c>
      <c r="S653">
        <v>15761.0147952431</v>
      </c>
      <c r="T653">
        <v>20944383.359972801</v>
      </c>
      <c r="U653" s="3">
        <v>831</v>
      </c>
      <c r="V653">
        <v>0.96557580578412405</v>
      </c>
    </row>
    <row r="654" spans="1:22" x14ac:dyDescent="0.25">
      <c r="A654">
        <v>24101</v>
      </c>
      <c r="B654">
        <v>13</v>
      </c>
      <c r="C654">
        <v>15003</v>
      </c>
      <c r="D654">
        <v>15003</v>
      </c>
      <c r="E654" s="3">
        <f t="shared" si="10"/>
        <v>241025003</v>
      </c>
      <c r="F654" s="3">
        <f>VLOOKUP($E654,AgronomyYieldData!H:N,7,FALSE)</f>
        <v>53</v>
      </c>
      <c r="G654" s="3">
        <f>VLOOKUP($E654,AgronomyYieldData!$H:O,3,FALSE)</f>
        <v>1</v>
      </c>
      <c r="H654" s="9">
        <v>53</v>
      </c>
      <c r="I654">
        <v>0.44004106239129498</v>
      </c>
      <c r="J654">
        <v>0.229587490898472</v>
      </c>
      <c r="K654" s="7">
        <v>2.07546934190412E-3</v>
      </c>
      <c r="L654" s="7">
        <v>0.93945972973328595</v>
      </c>
      <c r="M654">
        <v>0.35710269993288302</v>
      </c>
      <c r="N654">
        <v>2.2010398913457599E-3</v>
      </c>
      <c r="O654">
        <v>8.4192931908469798E-2</v>
      </c>
      <c r="P654">
        <v>2.9695728572760498E-3</v>
      </c>
      <c r="Q654">
        <v>2409.18388327093</v>
      </c>
      <c r="R654">
        <v>1692920.59746171</v>
      </c>
      <c r="S654">
        <v>16630.652013883799</v>
      </c>
      <c r="T654">
        <v>18369353.492906999</v>
      </c>
      <c r="U654" s="3">
        <v>1883</v>
      </c>
      <c r="V654">
        <v>0.93844524943298402</v>
      </c>
    </row>
    <row r="655" spans="1:22" x14ac:dyDescent="0.25">
      <c r="A655">
        <v>24101</v>
      </c>
      <c r="B655">
        <v>13</v>
      </c>
      <c r="C655">
        <v>15005</v>
      </c>
      <c r="D655">
        <v>15005</v>
      </c>
      <c r="E655" s="3">
        <f t="shared" si="10"/>
        <v>241025005</v>
      </c>
      <c r="F655" s="3">
        <f>VLOOKUP($E655,AgronomyYieldData!H:N,7,FALSE)</f>
        <v>10</v>
      </c>
      <c r="G655" s="3">
        <f>VLOOKUP($E655,AgronomyYieldData!$H:O,3,FALSE)</f>
        <v>1</v>
      </c>
      <c r="H655" s="9">
        <v>52</v>
      </c>
      <c r="I655">
        <v>0.56973662415106796</v>
      </c>
      <c r="J655">
        <v>0.222129593293481</v>
      </c>
      <c r="K655" s="7">
        <v>2.7142829426280799E-3</v>
      </c>
      <c r="L655" s="7">
        <v>1</v>
      </c>
      <c r="M655">
        <v>0.355028953218749</v>
      </c>
      <c r="N655">
        <v>2.4249607786386001E-3</v>
      </c>
      <c r="O655">
        <v>8.4192931908469798E-2</v>
      </c>
      <c r="P655">
        <v>2.9695728572760498E-3</v>
      </c>
      <c r="Q655">
        <v>2270.26168620112</v>
      </c>
      <c r="R655">
        <v>1192182.5069069101</v>
      </c>
      <c r="S655">
        <v>15667.946521612899</v>
      </c>
      <c r="T655">
        <v>16964319.649133898</v>
      </c>
      <c r="U655" s="3">
        <v>949</v>
      </c>
      <c r="V655">
        <v>0.64723102642268704</v>
      </c>
    </row>
    <row r="656" spans="1:22" x14ac:dyDescent="0.25">
      <c r="A656">
        <v>24101</v>
      </c>
      <c r="B656">
        <v>13</v>
      </c>
      <c r="C656">
        <v>15006</v>
      </c>
      <c r="D656">
        <v>15006</v>
      </c>
      <c r="E656" s="3">
        <f t="shared" si="10"/>
        <v>241025006</v>
      </c>
      <c r="F656" s="3">
        <f>VLOOKUP($E656,AgronomyYieldData!H:N,7,FALSE)</f>
        <v>23</v>
      </c>
      <c r="G656" s="3">
        <f>VLOOKUP($E656,AgronomyYieldData!$H:O,3,FALSE)</f>
        <v>1</v>
      </c>
      <c r="H656" s="9">
        <v>64</v>
      </c>
      <c r="I656">
        <v>0.50063037776652997</v>
      </c>
      <c r="J656">
        <v>0.22438120627132799</v>
      </c>
      <c r="K656" s="7">
        <v>2.7674301783355E-3</v>
      </c>
      <c r="L656" s="7">
        <v>0.97627689914441296</v>
      </c>
      <c r="M656">
        <v>0.357456987698208</v>
      </c>
      <c r="N656">
        <v>2.4413312889076601E-3</v>
      </c>
      <c r="O656">
        <v>8.4192931908469798E-2</v>
      </c>
      <c r="P656">
        <v>2.9695728572760498E-3</v>
      </c>
      <c r="Q656">
        <v>2445.7630848025201</v>
      </c>
      <c r="R656">
        <v>1387781.72285278</v>
      </c>
      <c r="S656">
        <v>15929.457581267399</v>
      </c>
      <c r="T656">
        <v>16412776.8147809</v>
      </c>
      <c r="U656" s="3">
        <v>1353</v>
      </c>
      <c r="V656">
        <v>0.98962934947049896</v>
      </c>
    </row>
    <row r="657" spans="1:22" x14ac:dyDescent="0.25">
      <c r="A657">
        <v>24101</v>
      </c>
      <c r="B657">
        <v>13</v>
      </c>
      <c r="C657">
        <v>15007</v>
      </c>
      <c r="D657">
        <v>15007</v>
      </c>
      <c r="E657" s="3">
        <f t="shared" si="10"/>
        <v>241025007</v>
      </c>
      <c r="F657" s="3">
        <f>VLOOKUP($E657,AgronomyYieldData!H:N,7,FALSE)</f>
        <v>3</v>
      </c>
      <c r="G657" s="3">
        <f>VLOOKUP($E657,AgronomyYieldData!$H:O,3,FALSE)</f>
        <v>2</v>
      </c>
      <c r="H657" s="9">
        <v>47</v>
      </c>
      <c r="I657">
        <v>0.50020245150366205</v>
      </c>
      <c r="J657">
        <v>0.23411300647592101</v>
      </c>
      <c r="K657" s="7">
        <v>2.4913176199549002E-3</v>
      </c>
      <c r="L657" s="7">
        <v>0.99896296296296305</v>
      </c>
      <c r="M657">
        <v>0.36603812848795098</v>
      </c>
      <c r="N657">
        <v>2.4000532051498599E-3</v>
      </c>
      <c r="O657">
        <v>8.4192931908469798E-2</v>
      </c>
      <c r="P657">
        <v>2.9695728572760498E-3</v>
      </c>
      <c r="Q657">
        <v>2301.3512917237099</v>
      </c>
      <c r="R657">
        <v>984438.26726298395</v>
      </c>
      <c r="S657">
        <v>15773.065166856</v>
      </c>
      <c r="T657">
        <v>16690309.154510399</v>
      </c>
      <c r="U657" s="3">
        <v>2032</v>
      </c>
      <c r="V657">
        <v>0.96869965129384294</v>
      </c>
    </row>
    <row r="658" spans="1:22" x14ac:dyDescent="0.25">
      <c r="A658">
        <v>24101</v>
      </c>
      <c r="B658">
        <v>13</v>
      </c>
      <c r="C658">
        <v>15008</v>
      </c>
      <c r="D658">
        <v>15008</v>
      </c>
      <c r="E658" s="3">
        <f t="shared" si="10"/>
        <v>241025008</v>
      </c>
      <c r="F658" s="3">
        <f>VLOOKUP($E658,AgronomyYieldData!H:N,7,FALSE)</f>
        <v>44</v>
      </c>
      <c r="G658" s="3">
        <f>VLOOKUP($E658,AgronomyYieldData!$H:O,3,FALSE)</f>
        <v>2</v>
      </c>
      <c r="H658" s="9">
        <v>71</v>
      </c>
      <c r="I658">
        <v>0.60215894868585695</v>
      </c>
      <c r="J658">
        <v>0.25268511753810902</v>
      </c>
      <c r="K658" s="7">
        <v>3.8441619508672998E-3</v>
      </c>
      <c r="L658" s="7">
        <v>0.99992592866930896</v>
      </c>
      <c r="M658">
        <v>0.38268686301694999</v>
      </c>
      <c r="N658">
        <v>2.7186556002368099E-3</v>
      </c>
      <c r="O658">
        <v>8.4192931908469798E-2</v>
      </c>
      <c r="P658">
        <v>2.9695728572760498E-3</v>
      </c>
      <c r="Q658">
        <v>2500.24918003723</v>
      </c>
      <c r="R658">
        <v>2216482.6743589798</v>
      </c>
      <c r="S658">
        <v>16005.3206915132</v>
      </c>
      <c r="T658">
        <v>21312647.235375501</v>
      </c>
      <c r="U658" s="3">
        <v>1502</v>
      </c>
      <c r="V658">
        <v>0.82027231467473505</v>
      </c>
    </row>
    <row r="659" spans="1:22" x14ac:dyDescent="0.25">
      <c r="A659">
        <v>24101</v>
      </c>
      <c r="B659">
        <v>13</v>
      </c>
      <c r="C659">
        <v>15009</v>
      </c>
      <c r="D659">
        <v>15009</v>
      </c>
      <c r="E659" s="3">
        <f t="shared" ref="E659:E673" si="11">$A659*10000+$C659</f>
        <v>241025009</v>
      </c>
      <c r="F659" s="3">
        <f>VLOOKUP($E659,AgronomyYieldData!H:N,7,FALSE)</f>
        <v>24</v>
      </c>
      <c r="G659" s="3">
        <f>VLOOKUP($E659,AgronomyYieldData!$H:O,3,FALSE)</f>
        <v>2</v>
      </c>
      <c r="H659" s="9">
        <v>59</v>
      </c>
      <c r="I659">
        <v>0.58772535269594905</v>
      </c>
      <c r="J659">
        <v>0.250652411212756</v>
      </c>
      <c r="K659" s="7">
        <v>3.4124673539716599E-3</v>
      </c>
      <c r="L659" s="7">
        <v>1</v>
      </c>
      <c r="M659">
        <v>0.37941679118793697</v>
      </c>
      <c r="N659">
        <v>2.57617333773735E-3</v>
      </c>
      <c r="O659">
        <v>8.4192931908469798E-2</v>
      </c>
      <c r="P659">
        <v>2.9695728572760498E-3</v>
      </c>
      <c r="Q659">
        <v>2365.9883976322499</v>
      </c>
      <c r="R659">
        <v>1715004.0401880201</v>
      </c>
      <c r="S659">
        <v>15601.513218447701</v>
      </c>
      <c r="T659">
        <v>17937417.5037359</v>
      </c>
      <c r="U659" s="3">
        <v>724</v>
      </c>
      <c r="V659">
        <v>0.21582777349127799</v>
      </c>
    </row>
    <row r="660" spans="1:22" x14ac:dyDescent="0.25">
      <c r="A660">
        <v>24101</v>
      </c>
      <c r="B660">
        <v>13</v>
      </c>
      <c r="C660">
        <v>15010</v>
      </c>
      <c r="D660">
        <v>15010</v>
      </c>
      <c r="E660" s="3">
        <f t="shared" si="11"/>
        <v>241025010</v>
      </c>
      <c r="F660" s="3">
        <f>VLOOKUP($E660,AgronomyYieldData!H:N,7,FALSE)</f>
        <v>66</v>
      </c>
      <c r="G660" s="3">
        <f>VLOOKUP($E660,AgronomyYieldData!$H:O,3,FALSE)</f>
        <v>2</v>
      </c>
      <c r="H660" s="9">
        <v>96</v>
      </c>
      <c r="I660">
        <v>0.45923077929041201</v>
      </c>
      <c r="J660">
        <v>0.25408718430904198</v>
      </c>
      <c r="K660" s="7">
        <v>4.3254140440069904E-3</v>
      </c>
      <c r="L660" s="7">
        <v>0.98067130695648697</v>
      </c>
      <c r="M660">
        <v>0.390473315598652</v>
      </c>
      <c r="N660">
        <v>2.9647207052036699E-3</v>
      </c>
      <c r="O660">
        <v>8.4192931908469798E-2</v>
      </c>
      <c r="P660">
        <v>2.9695728572760498E-3</v>
      </c>
      <c r="Q660">
        <v>2422.7676195808099</v>
      </c>
      <c r="R660">
        <v>1665561.3787016999</v>
      </c>
      <c r="S660">
        <v>15947.2031271331</v>
      </c>
      <c r="T660">
        <v>19795940.312608499</v>
      </c>
      <c r="U660" s="3">
        <v>1349</v>
      </c>
      <c r="V660">
        <v>0.41405683143518901</v>
      </c>
    </row>
    <row r="661" spans="1:22" x14ac:dyDescent="0.25">
      <c r="A661">
        <v>24101</v>
      </c>
      <c r="B661">
        <v>13</v>
      </c>
      <c r="C661">
        <v>15011</v>
      </c>
      <c r="D661">
        <v>15011</v>
      </c>
      <c r="E661" s="3">
        <f t="shared" si="11"/>
        <v>241025011</v>
      </c>
      <c r="F661" s="3">
        <f>VLOOKUP($E661,AgronomyYieldData!H:N,7,FALSE)</f>
        <v>59</v>
      </c>
      <c r="G661" s="3">
        <f>VLOOKUP($E661,AgronomyYieldData!$H:O,3,FALSE)</f>
        <v>2</v>
      </c>
      <c r="H661" s="9">
        <v>62</v>
      </c>
      <c r="I661">
        <v>0.54431679232081998</v>
      </c>
      <c r="J661">
        <v>0.24190248540300399</v>
      </c>
      <c r="K661" s="7">
        <v>2.6356617178157102E-3</v>
      </c>
      <c r="L661" s="7">
        <v>0.99830263157894705</v>
      </c>
      <c r="M661">
        <v>0.38092210244845898</v>
      </c>
      <c r="N661">
        <v>2.1644038889534101E-3</v>
      </c>
      <c r="O661">
        <v>8.4192931908469798E-2</v>
      </c>
      <c r="P661">
        <v>2.9695728572760498E-3</v>
      </c>
      <c r="Q661">
        <v>2414.1011946001599</v>
      </c>
      <c r="R661">
        <v>1441727.7857468601</v>
      </c>
      <c r="S661">
        <v>15990.903509244101</v>
      </c>
      <c r="T661">
        <v>16411188.5726422</v>
      </c>
      <c r="U661" s="3">
        <v>1855</v>
      </c>
      <c r="V661">
        <v>0.86951053686694102</v>
      </c>
    </row>
    <row r="662" spans="1:22" x14ac:dyDescent="0.25">
      <c r="A662">
        <v>24101</v>
      </c>
      <c r="B662">
        <v>13</v>
      </c>
      <c r="C662">
        <v>15012</v>
      </c>
      <c r="D662">
        <v>15012</v>
      </c>
      <c r="E662" s="3">
        <f t="shared" si="11"/>
        <v>241025012</v>
      </c>
      <c r="F662" s="3">
        <f>VLOOKUP($E662,AgronomyYieldData!H:N,7,FALSE)</f>
        <v>82</v>
      </c>
      <c r="G662" s="3">
        <f>VLOOKUP($E662,AgronomyYieldData!$H:O,3,FALSE)</f>
        <v>2</v>
      </c>
      <c r="H662" s="9">
        <v>57</v>
      </c>
      <c r="I662">
        <v>0.50285740440445603</v>
      </c>
      <c r="J662">
        <v>0.244037365559128</v>
      </c>
      <c r="K662" s="7">
        <v>2.6323114277370602E-3</v>
      </c>
      <c r="L662" s="7">
        <v>0.95281516862063997</v>
      </c>
      <c r="M662">
        <v>0.383857804377147</v>
      </c>
      <c r="N662">
        <v>2.4757641168042799E-3</v>
      </c>
      <c r="O662">
        <v>8.4192931908469798E-2</v>
      </c>
      <c r="P662">
        <v>2.9695728572760498E-3</v>
      </c>
      <c r="Q662">
        <v>2336.9215782328201</v>
      </c>
      <c r="R662">
        <v>1218155.9061346599</v>
      </c>
      <c r="S662">
        <v>16169.888198790401</v>
      </c>
      <c r="T662">
        <v>18652639.386601601</v>
      </c>
      <c r="U662" s="3">
        <v>1759</v>
      </c>
      <c r="V662">
        <v>0.97573861773542503</v>
      </c>
    </row>
    <row r="663" spans="1:22" x14ac:dyDescent="0.25">
      <c r="A663">
        <v>24101</v>
      </c>
      <c r="B663">
        <v>13</v>
      </c>
      <c r="C663">
        <v>15013</v>
      </c>
      <c r="D663">
        <v>15013</v>
      </c>
      <c r="E663" s="3">
        <f t="shared" si="11"/>
        <v>241025013</v>
      </c>
      <c r="F663" s="3">
        <f>VLOOKUP($E663,AgronomyYieldData!H:N,7,FALSE)</f>
        <v>44</v>
      </c>
      <c r="G663" s="3">
        <f>VLOOKUP($E663,AgronomyYieldData!$H:O,3,FALSE)</f>
        <v>3</v>
      </c>
      <c r="H663" s="9">
        <v>67</v>
      </c>
      <c r="I663">
        <v>0.58056411908158101</v>
      </c>
      <c r="J663">
        <v>0.25700637367088802</v>
      </c>
      <c r="K663" s="7">
        <v>3.93505608785684E-3</v>
      </c>
      <c r="L663" s="7">
        <v>0.976148589840929</v>
      </c>
      <c r="M663">
        <v>0.39064267700744298</v>
      </c>
      <c r="N663">
        <v>2.8429624662024999E-3</v>
      </c>
      <c r="O663">
        <v>8.4192931908469798E-2</v>
      </c>
      <c r="P663">
        <v>2.9695728572760498E-3</v>
      </c>
      <c r="Q663">
        <v>2540.0584666299001</v>
      </c>
      <c r="R663">
        <v>2394627.1093781102</v>
      </c>
      <c r="S663">
        <v>15765.1173448026</v>
      </c>
      <c r="T663">
        <v>21329399.5152785</v>
      </c>
      <c r="U663" s="3">
        <v>1461</v>
      </c>
      <c r="V663">
        <v>0.61510881158236297</v>
      </c>
    </row>
    <row r="664" spans="1:22" x14ac:dyDescent="0.25">
      <c r="A664">
        <v>24101</v>
      </c>
      <c r="B664">
        <v>13</v>
      </c>
      <c r="C664">
        <v>15014</v>
      </c>
      <c r="D664">
        <v>15014</v>
      </c>
      <c r="E664" s="3">
        <f t="shared" si="11"/>
        <v>241025014</v>
      </c>
      <c r="F664" s="3">
        <f>VLOOKUP($E664,AgronomyYieldData!H:N,7,FALSE)</f>
        <v>1</v>
      </c>
      <c r="G664" s="3">
        <f>VLOOKUP($E664,AgronomyYieldData!$H:O,3,FALSE)</f>
        <v>3</v>
      </c>
      <c r="H664" s="9">
        <v>64</v>
      </c>
      <c r="I664">
        <v>0.58211551203710499</v>
      </c>
      <c r="J664">
        <v>0.243080148322458</v>
      </c>
      <c r="K664" s="7">
        <v>3.33487871084189E-3</v>
      </c>
      <c r="L664" s="7">
        <v>1</v>
      </c>
      <c r="M664">
        <v>0.38423851631172601</v>
      </c>
      <c r="N664">
        <v>2.4964803631305202E-3</v>
      </c>
      <c r="O664">
        <v>8.4192931908469798E-2</v>
      </c>
      <c r="P664">
        <v>2.9695728572760498E-3</v>
      </c>
      <c r="Q664">
        <v>2419.2190922701102</v>
      </c>
      <c r="R664">
        <v>1745944.2787261601</v>
      </c>
      <c r="S664">
        <v>16069.3405070667</v>
      </c>
      <c r="T664">
        <v>17901397.984500099</v>
      </c>
      <c r="U664" s="3">
        <v>2122</v>
      </c>
      <c r="V664">
        <v>0.99775342092722397</v>
      </c>
    </row>
    <row r="665" spans="1:22" x14ac:dyDescent="0.25">
      <c r="A665">
        <v>24101</v>
      </c>
      <c r="B665">
        <v>13</v>
      </c>
      <c r="C665">
        <v>15015</v>
      </c>
      <c r="D665">
        <v>15015</v>
      </c>
      <c r="E665" s="3">
        <f t="shared" si="11"/>
        <v>241025015</v>
      </c>
      <c r="F665" s="3">
        <f>VLOOKUP($E665,AgronomyYieldData!H:N,7,FALSE)</f>
        <v>22</v>
      </c>
      <c r="G665" s="3">
        <f>VLOOKUP($E665,AgronomyYieldData!$H:O,3,FALSE)</f>
        <v>3</v>
      </c>
      <c r="H665" s="9">
        <v>46</v>
      </c>
      <c r="I665">
        <v>0.29334462195391298</v>
      </c>
      <c r="J665">
        <v>0.23786282329605299</v>
      </c>
      <c r="K665" s="7">
        <v>2.5952019799265601E-3</v>
      </c>
      <c r="L665" s="7">
        <v>0.94194229415904296</v>
      </c>
      <c r="M665">
        <v>0.38471563272433601</v>
      </c>
      <c r="N665">
        <v>2.4093565571979602E-3</v>
      </c>
      <c r="O665">
        <v>8.4192931908469798E-2</v>
      </c>
      <c r="P665">
        <v>2.9695728572760498E-3</v>
      </c>
      <c r="Q665">
        <v>2254.9945236782</v>
      </c>
      <c r="R665">
        <v>1266857.8264218001</v>
      </c>
      <c r="S665">
        <v>16285.452657762</v>
      </c>
      <c r="T665">
        <v>16529773.448608501</v>
      </c>
      <c r="U665" s="3">
        <v>1327</v>
      </c>
      <c r="V665">
        <v>0.955181882134023</v>
      </c>
    </row>
    <row r="666" spans="1:22" x14ac:dyDescent="0.25">
      <c r="A666">
        <v>24101</v>
      </c>
      <c r="B666">
        <v>13</v>
      </c>
      <c r="C666">
        <v>15016</v>
      </c>
      <c r="D666">
        <v>15016</v>
      </c>
      <c r="E666" s="3">
        <f t="shared" si="11"/>
        <v>241025016</v>
      </c>
      <c r="F666" s="3">
        <f>VLOOKUP($E666,AgronomyYieldData!H:N,7,FALSE)</f>
        <v>65</v>
      </c>
      <c r="G666" s="3">
        <f>VLOOKUP($E666,AgronomyYieldData!$H:O,3,FALSE)</f>
        <v>3</v>
      </c>
      <c r="H666" s="9">
        <v>106</v>
      </c>
      <c r="I666">
        <v>0.37508255033118199</v>
      </c>
      <c r="J666">
        <v>0.25010927142988498</v>
      </c>
      <c r="K666" s="7">
        <v>3.5035428063337E-3</v>
      </c>
      <c r="L666" s="7">
        <v>0.99924999999999997</v>
      </c>
      <c r="M666">
        <v>0.39234439196487603</v>
      </c>
      <c r="N666">
        <v>2.8131854279222599E-3</v>
      </c>
      <c r="O666">
        <v>8.4192931908469798E-2</v>
      </c>
      <c r="P666">
        <v>2.9695728572760498E-3</v>
      </c>
      <c r="Q666">
        <v>2369.9979915181898</v>
      </c>
      <c r="R666">
        <v>1687556.63727256</v>
      </c>
      <c r="S666">
        <v>16476.8241963459</v>
      </c>
      <c r="T666">
        <v>21184543.715336598</v>
      </c>
      <c r="U666" s="3">
        <v>2732</v>
      </c>
      <c r="V666">
        <v>0.91145676570494905</v>
      </c>
    </row>
    <row r="667" spans="1:22" x14ac:dyDescent="0.25">
      <c r="A667">
        <v>24101</v>
      </c>
      <c r="B667">
        <v>13</v>
      </c>
      <c r="C667">
        <v>15017</v>
      </c>
      <c r="D667">
        <v>15017</v>
      </c>
      <c r="E667" s="3">
        <f t="shared" si="11"/>
        <v>241025017</v>
      </c>
      <c r="F667" s="3">
        <f>VLOOKUP($E667,AgronomyYieldData!H:N,7,FALSE)</f>
        <v>90</v>
      </c>
      <c r="G667" s="3">
        <f>VLOOKUP($E667,AgronomyYieldData!$H:O,3,FALSE)</f>
        <v>3</v>
      </c>
      <c r="H667" s="9">
        <v>72</v>
      </c>
      <c r="I667">
        <v>0.52538660215124</v>
      </c>
      <c r="J667">
        <v>0.265553064340672</v>
      </c>
      <c r="K667" s="7">
        <v>5.8786897614970099E-3</v>
      </c>
      <c r="L667" s="7">
        <v>0.92671149063828095</v>
      </c>
      <c r="M667">
        <v>0.39691489066505498</v>
      </c>
      <c r="N667">
        <v>3.5604449456803199E-3</v>
      </c>
      <c r="O667">
        <v>8.4192931908469798E-2</v>
      </c>
      <c r="P667">
        <v>2.9695728572760498E-3</v>
      </c>
      <c r="Q667">
        <v>2576.2918626133701</v>
      </c>
      <c r="R667">
        <v>2473950.4919071901</v>
      </c>
      <c r="S667">
        <v>16206.1396166011</v>
      </c>
      <c r="T667">
        <v>22800220.885295399</v>
      </c>
      <c r="U667" s="3">
        <v>1662</v>
      </c>
      <c r="V667">
        <v>0.80086100794900505</v>
      </c>
    </row>
    <row r="668" spans="1:22" x14ac:dyDescent="0.25">
      <c r="A668">
        <v>24101</v>
      </c>
      <c r="B668">
        <v>13</v>
      </c>
      <c r="C668">
        <v>15018</v>
      </c>
      <c r="D668">
        <v>15018</v>
      </c>
      <c r="E668" s="3">
        <f t="shared" si="11"/>
        <v>241025018</v>
      </c>
      <c r="F668" s="3">
        <f>VLOOKUP($E668,AgronomyYieldData!H:N,7,FALSE)</f>
        <v>53</v>
      </c>
      <c r="G668" s="3">
        <f>VLOOKUP($E668,AgronomyYieldData!$H:O,3,FALSE)</f>
        <v>3</v>
      </c>
      <c r="H668" s="9">
        <v>69</v>
      </c>
      <c r="I668">
        <v>0.39484885933423503</v>
      </c>
      <c r="J668">
        <v>0.24941459863218801</v>
      </c>
      <c r="K668" s="7">
        <v>2.1963784998239801E-3</v>
      </c>
      <c r="L668" s="7">
        <v>0.95759210526315797</v>
      </c>
      <c r="M668">
        <v>0.38228148858927902</v>
      </c>
      <c r="N668">
        <v>2.3095120625269798E-3</v>
      </c>
      <c r="O668">
        <v>8.4192931908469798E-2</v>
      </c>
      <c r="P668">
        <v>2.9695728572760498E-3</v>
      </c>
      <c r="Q668">
        <v>2361.3353161412201</v>
      </c>
      <c r="R668">
        <v>1734062.3383766401</v>
      </c>
      <c r="S668">
        <v>16886.863951400199</v>
      </c>
      <c r="T668">
        <v>17618114.006882101</v>
      </c>
      <c r="U668" s="3">
        <v>1775</v>
      </c>
      <c r="V668">
        <v>0.92498118886380698</v>
      </c>
    </row>
    <row r="669" spans="1:22" x14ac:dyDescent="0.25">
      <c r="A669">
        <v>24101</v>
      </c>
      <c r="B669">
        <v>13</v>
      </c>
      <c r="C669">
        <v>15019</v>
      </c>
      <c r="D669">
        <v>15019</v>
      </c>
      <c r="E669" s="3">
        <f t="shared" si="11"/>
        <v>241025019</v>
      </c>
      <c r="F669" s="3">
        <f>VLOOKUP($E669,AgronomyYieldData!H:N,7,FALSE)</f>
        <v>5</v>
      </c>
      <c r="G669" s="3">
        <f>VLOOKUP($E669,AgronomyYieldData!$H:O,3,FALSE)</f>
        <v>4</v>
      </c>
      <c r="H669" s="9">
        <v>31</v>
      </c>
      <c r="I669">
        <v>0.444305381727158</v>
      </c>
      <c r="J669">
        <v>0.24521899003077299</v>
      </c>
      <c r="K669" s="7">
        <v>1.8453327953433401E-3</v>
      </c>
      <c r="L669" s="7">
        <v>0.57535971556082299</v>
      </c>
      <c r="M669">
        <v>0.37717126356015401</v>
      </c>
      <c r="N669">
        <v>2.32969308294661E-3</v>
      </c>
      <c r="O669">
        <v>8.4192931908469798E-2</v>
      </c>
      <c r="P669">
        <v>2.9695728572760498E-3</v>
      </c>
      <c r="Q669">
        <v>2223.72702380601</v>
      </c>
      <c r="R669">
        <v>1279812.4429420701</v>
      </c>
      <c r="S669">
        <v>16479.044868531699</v>
      </c>
      <c r="T669">
        <v>17182988.327225901</v>
      </c>
      <c r="U669" s="3">
        <v>1186</v>
      </c>
      <c r="V669">
        <v>0.58395927413559601</v>
      </c>
    </row>
    <row r="670" spans="1:22" x14ac:dyDescent="0.25">
      <c r="A670">
        <v>24101</v>
      </c>
      <c r="B670">
        <v>13</v>
      </c>
      <c r="C670">
        <v>15020</v>
      </c>
      <c r="D670">
        <v>15020</v>
      </c>
      <c r="E670" s="3">
        <f t="shared" si="11"/>
        <v>241025020</v>
      </c>
      <c r="F670" s="3">
        <f>VLOOKUP($E670,AgronomyYieldData!H:N,7,FALSE)</f>
        <v>19</v>
      </c>
      <c r="G670" s="3">
        <f>VLOOKUP($E670,AgronomyYieldData!$H:O,3,FALSE)</f>
        <v>4</v>
      </c>
      <c r="H670" s="9">
        <v>58</v>
      </c>
      <c r="I670">
        <v>0.59327087666341505</v>
      </c>
      <c r="J670">
        <v>0.25111228222047699</v>
      </c>
      <c r="K670" s="7">
        <v>2.8511859037404302E-3</v>
      </c>
      <c r="L670" s="7">
        <v>1</v>
      </c>
      <c r="M670">
        <v>0.38418026505419101</v>
      </c>
      <c r="N670">
        <v>2.5601277280733799E-3</v>
      </c>
      <c r="O670">
        <v>8.4192931908469798E-2</v>
      </c>
      <c r="P670">
        <v>2.9695728572760498E-3</v>
      </c>
      <c r="Q670">
        <v>2309.0704513892301</v>
      </c>
      <c r="R670">
        <v>1558453.5294349501</v>
      </c>
      <c r="S670">
        <v>16379.5689473494</v>
      </c>
      <c r="T670">
        <v>20573367.993487101</v>
      </c>
      <c r="U670" s="3">
        <v>726</v>
      </c>
      <c r="V670">
        <v>0.98519644775261295</v>
      </c>
    </row>
    <row r="671" spans="1:22" x14ac:dyDescent="0.25">
      <c r="A671">
        <v>24101</v>
      </c>
      <c r="B671">
        <v>13</v>
      </c>
      <c r="C671">
        <v>15022</v>
      </c>
      <c r="D671">
        <v>15022</v>
      </c>
      <c r="E671" s="3">
        <f t="shared" si="11"/>
        <v>241025022</v>
      </c>
      <c r="F671" s="3">
        <f>VLOOKUP($E671,AgronomyYieldData!H:N,7,FALSE)</f>
        <v>87</v>
      </c>
      <c r="G671" s="3">
        <f>VLOOKUP($E671,AgronomyYieldData!$H:O,3,FALSE)</f>
        <v>4</v>
      </c>
      <c r="H671" s="9">
        <v>86</v>
      </c>
      <c r="I671">
        <v>0.36154158002798498</v>
      </c>
      <c r="J671">
        <v>0.25130322452933501</v>
      </c>
      <c r="K671" s="7">
        <v>3.53712603805258E-3</v>
      </c>
      <c r="L671" s="7">
        <v>0.99998684210526301</v>
      </c>
      <c r="M671">
        <v>0.38058051908197699</v>
      </c>
      <c r="N671">
        <v>2.4471071463079501E-3</v>
      </c>
      <c r="O671">
        <v>8.4192931908469798E-2</v>
      </c>
      <c r="P671">
        <v>2.9695728572760498E-3</v>
      </c>
      <c r="Q671">
        <v>2280.9488998992301</v>
      </c>
      <c r="R671">
        <v>1538268.60587327</v>
      </c>
      <c r="S671">
        <v>15852.4940298028</v>
      </c>
      <c r="T671">
        <v>18220247.6732664</v>
      </c>
      <c r="U671" s="3">
        <v>773</v>
      </c>
      <c r="V671">
        <v>0.89366333440825496</v>
      </c>
    </row>
    <row r="672" spans="1:22" x14ac:dyDescent="0.25">
      <c r="A672">
        <v>24101</v>
      </c>
      <c r="B672">
        <v>13</v>
      </c>
      <c r="C672">
        <v>15023</v>
      </c>
      <c r="D672">
        <v>15023</v>
      </c>
      <c r="E672" s="3">
        <f t="shared" si="11"/>
        <v>241025023</v>
      </c>
      <c r="F672" s="3">
        <f>VLOOKUP($E672,AgronomyYieldData!H:N,7,FALSE)</f>
        <v>74</v>
      </c>
      <c r="G672" s="3">
        <f>VLOOKUP($E672,AgronomyYieldData!$H:O,3,FALSE)</f>
        <v>4</v>
      </c>
      <c r="H672" s="9">
        <v>77</v>
      </c>
      <c r="I672">
        <v>0.49008735680284499</v>
      </c>
      <c r="J672">
        <v>0.24361874556205099</v>
      </c>
      <c r="K672" s="7">
        <v>3.2946546465371001E-3</v>
      </c>
      <c r="L672" s="7">
        <v>0.99985526315789497</v>
      </c>
      <c r="M672">
        <v>0.37950198987179301</v>
      </c>
      <c r="N672">
        <v>2.3184247868048499E-3</v>
      </c>
      <c r="O672">
        <v>8.4192931908469798E-2</v>
      </c>
      <c r="P672">
        <v>2.9695728572760498E-3</v>
      </c>
      <c r="Q672">
        <v>2207.46762962496</v>
      </c>
      <c r="R672">
        <v>1390493.9000337599</v>
      </c>
      <c r="S672">
        <v>16242.041949160101</v>
      </c>
      <c r="T672">
        <v>16507083.118486701</v>
      </c>
      <c r="U672" s="3">
        <v>1179</v>
      </c>
      <c r="V672">
        <v>0.74893312837932202</v>
      </c>
    </row>
    <row r="673" spans="1:22" x14ac:dyDescent="0.25">
      <c r="A673">
        <v>24101</v>
      </c>
      <c r="B673">
        <v>13</v>
      </c>
      <c r="C673">
        <v>15024</v>
      </c>
      <c r="D673">
        <v>15024</v>
      </c>
      <c r="E673" s="3">
        <f t="shared" si="11"/>
        <v>241025024</v>
      </c>
      <c r="F673" s="3">
        <f>VLOOKUP($E673,AgronomyYieldData!H:N,7,FALSE)</f>
        <v>47</v>
      </c>
      <c r="G673" s="3">
        <f>VLOOKUP($E673,AgronomyYieldData!$H:O,3,FALSE)</f>
        <v>4</v>
      </c>
      <c r="H673" s="9">
        <v>88</v>
      </c>
      <c r="I673">
        <v>0.49869881912932001</v>
      </c>
      <c r="J673">
        <v>0.24614201618237799</v>
      </c>
      <c r="K673" s="7">
        <v>2.98220320180529E-3</v>
      </c>
      <c r="L673" s="7">
        <v>0.99961841101081605</v>
      </c>
      <c r="M673">
        <v>0.38455861551243198</v>
      </c>
      <c r="N673">
        <v>2.6115402698330199E-3</v>
      </c>
      <c r="O673">
        <v>8.4192931908469798E-2</v>
      </c>
      <c r="P673">
        <v>2.9695728572760498E-3</v>
      </c>
      <c r="Q673">
        <v>2094.9445871328498</v>
      </c>
      <c r="R673">
        <v>1080938.8942007599</v>
      </c>
      <c r="S673">
        <v>15759.633313652799</v>
      </c>
      <c r="T673">
        <v>16707859.9491657</v>
      </c>
      <c r="U673" s="3">
        <v>1853</v>
      </c>
      <c r="V673">
        <v>0.85405088735770496</v>
      </c>
    </row>
  </sheetData>
  <autoFilter ref="A1:V673" xr:uid="{75DB6F72-17D0-4C3A-87C4-FE7DDA4AF69D}">
    <filterColumn colId="1">
      <filters blank="1">
        <filter val="13"/>
      </filters>
    </filterColumn>
  </autoFilter>
  <sortState xmlns:xlrd2="http://schemas.microsoft.com/office/spreadsheetml/2017/richdata2" ref="A338:V673">
    <sortCondition ref="C338:C67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3B8A-4B07-40BA-91DF-1DCDBAD7F7FB}">
  <dimension ref="A1:AO418"/>
  <sheetViews>
    <sheetView topLeftCell="A19" workbookViewId="0">
      <selection activeCell="H9" sqref="H2:H57"/>
    </sheetView>
  </sheetViews>
  <sheetFormatPr defaultRowHeight="15" x14ac:dyDescent="0.25"/>
  <cols>
    <col min="8" max="8" width="10" bestFit="1" customWidth="1"/>
  </cols>
  <sheetData>
    <row r="1" spans="1:41" x14ac:dyDescent="0.25">
      <c r="A1" t="s">
        <v>233</v>
      </c>
      <c r="B1" t="s">
        <v>234</v>
      </c>
      <c r="C1" t="s">
        <v>235</v>
      </c>
      <c r="D1" t="s">
        <v>237</v>
      </c>
      <c r="E1" t="s">
        <v>238</v>
      </c>
      <c r="F1" t="s">
        <v>304</v>
      </c>
      <c r="G1" t="s">
        <v>236</v>
      </c>
      <c r="H1" t="s">
        <v>309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254</v>
      </c>
      <c r="Y1" t="s">
        <v>255</v>
      </c>
      <c r="Z1" t="s">
        <v>256</v>
      </c>
      <c r="AA1" t="s">
        <v>257</v>
      </c>
      <c r="AB1" t="s">
        <v>258</v>
      </c>
      <c r="AC1" t="s">
        <v>259</v>
      </c>
      <c r="AD1" t="s">
        <v>260</v>
      </c>
      <c r="AE1" t="s">
        <v>261</v>
      </c>
      <c r="AF1" t="s">
        <v>262</v>
      </c>
      <c r="AG1" t="s">
        <v>263</v>
      </c>
      <c r="AH1" t="s">
        <v>264</v>
      </c>
      <c r="AI1" t="s">
        <v>265</v>
      </c>
      <c r="AJ1" t="s">
        <v>266</v>
      </c>
      <c r="AK1" t="s">
        <v>267</v>
      </c>
      <c r="AL1" t="s">
        <v>268</v>
      </c>
      <c r="AM1" t="s">
        <v>269</v>
      </c>
      <c r="AN1" t="s">
        <v>270</v>
      </c>
      <c r="AO1" t="s">
        <v>271</v>
      </c>
    </row>
    <row r="2" spans="1:41" x14ac:dyDescent="0.25">
      <c r="A2">
        <v>1</v>
      </c>
      <c r="B2">
        <v>1</v>
      </c>
      <c r="C2" t="s">
        <v>272</v>
      </c>
      <c r="D2">
        <v>41</v>
      </c>
      <c r="E2">
        <v>101</v>
      </c>
      <c r="F2">
        <v>101</v>
      </c>
      <c r="G2">
        <v>24110</v>
      </c>
      <c r="H2">
        <f t="shared" ref="H2:H57" si="0">G2*10000+F2</f>
        <v>241100101</v>
      </c>
      <c r="I2">
        <v>1</v>
      </c>
      <c r="J2">
        <v>1</v>
      </c>
      <c r="K2">
        <v>1</v>
      </c>
      <c r="L2">
        <v>1</v>
      </c>
      <c r="M2">
        <v>1</v>
      </c>
      <c r="N2" t="s">
        <v>236</v>
      </c>
      <c r="O2" t="b">
        <v>0</v>
      </c>
      <c r="P2">
        <v>0</v>
      </c>
      <c r="Q2">
        <v>1</v>
      </c>
      <c r="R2">
        <v>1</v>
      </c>
      <c r="S2" t="s">
        <v>273</v>
      </c>
      <c r="T2" t="s">
        <v>274</v>
      </c>
      <c r="W2" t="s">
        <v>275</v>
      </c>
      <c r="X2">
        <v>0</v>
      </c>
      <c r="Y2">
        <v>0</v>
      </c>
      <c r="Z2">
        <v>27</v>
      </c>
      <c r="AB2">
        <v>18.8</v>
      </c>
      <c r="AF2">
        <v>1747</v>
      </c>
      <c r="AG2">
        <v>2276.2580229999999</v>
      </c>
      <c r="AH2">
        <v>2446.4297449999999</v>
      </c>
      <c r="AI2">
        <v>0.92694175099999998</v>
      </c>
      <c r="AJ2">
        <v>2455.6645779999999</v>
      </c>
      <c r="AK2">
        <v>2276.2580229999999</v>
      </c>
      <c r="AL2" s="1">
        <v>45497</v>
      </c>
      <c r="AM2" s="1">
        <v>45532</v>
      </c>
      <c r="AN2" t="s">
        <v>276</v>
      </c>
      <c r="AO2" t="s">
        <v>277</v>
      </c>
    </row>
    <row r="3" spans="1:41" x14ac:dyDescent="0.25">
      <c r="A3">
        <v>1</v>
      </c>
      <c r="B3">
        <v>2</v>
      </c>
      <c r="C3" t="s">
        <v>272</v>
      </c>
      <c r="D3">
        <v>42</v>
      </c>
      <c r="E3">
        <v>102</v>
      </c>
      <c r="F3">
        <v>102</v>
      </c>
      <c r="G3">
        <v>24110</v>
      </c>
      <c r="H3">
        <f t="shared" si="0"/>
        <v>241100102</v>
      </c>
      <c r="I3">
        <v>16</v>
      </c>
      <c r="J3">
        <v>1</v>
      </c>
      <c r="K3">
        <v>2</v>
      </c>
      <c r="L3">
        <v>16</v>
      </c>
      <c r="M3">
        <v>2</v>
      </c>
      <c r="N3" t="s">
        <v>236</v>
      </c>
      <c r="O3" t="b">
        <v>0</v>
      </c>
      <c r="P3">
        <v>0</v>
      </c>
      <c r="Q3">
        <v>2</v>
      </c>
      <c r="R3">
        <v>1</v>
      </c>
      <c r="S3" t="s">
        <v>278</v>
      </c>
      <c r="W3" t="s">
        <v>275</v>
      </c>
      <c r="X3">
        <v>0</v>
      </c>
      <c r="Y3">
        <v>0</v>
      </c>
      <c r="Z3">
        <v>24</v>
      </c>
      <c r="AB3">
        <v>17.600000000000001</v>
      </c>
      <c r="AF3">
        <v>2083</v>
      </c>
      <c r="AG3">
        <v>2754.1591779999999</v>
      </c>
      <c r="AH3">
        <v>2914.1081549999999</v>
      </c>
      <c r="AI3">
        <v>0.89861184199999999</v>
      </c>
      <c r="AJ3">
        <v>3064.9041649999999</v>
      </c>
      <c r="AK3">
        <v>2901.234594</v>
      </c>
      <c r="AL3" s="1">
        <v>45499</v>
      </c>
      <c r="AM3" s="1">
        <v>45532</v>
      </c>
      <c r="AN3" t="s">
        <v>276</v>
      </c>
      <c r="AO3" t="s">
        <v>277</v>
      </c>
    </row>
    <row r="4" spans="1:41" x14ac:dyDescent="0.25">
      <c r="A4">
        <v>1</v>
      </c>
      <c r="B4">
        <v>3</v>
      </c>
      <c r="C4" t="s">
        <v>272</v>
      </c>
      <c r="D4">
        <v>43</v>
      </c>
      <c r="E4">
        <v>103</v>
      </c>
      <c r="F4">
        <v>103</v>
      </c>
      <c r="G4">
        <v>24110</v>
      </c>
      <c r="H4">
        <f t="shared" si="0"/>
        <v>241100103</v>
      </c>
      <c r="I4">
        <v>17</v>
      </c>
      <c r="J4">
        <v>1</v>
      </c>
      <c r="K4">
        <v>3</v>
      </c>
      <c r="L4">
        <v>17</v>
      </c>
      <c r="M4">
        <v>3</v>
      </c>
      <c r="N4" t="s">
        <v>236</v>
      </c>
      <c r="O4" t="b">
        <v>0</v>
      </c>
      <c r="P4">
        <v>1</v>
      </c>
      <c r="Q4">
        <v>3</v>
      </c>
      <c r="R4">
        <v>1</v>
      </c>
      <c r="S4" t="s">
        <v>279</v>
      </c>
      <c r="T4" t="s">
        <v>280</v>
      </c>
      <c r="V4" t="s">
        <v>281</v>
      </c>
      <c r="W4" t="s">
        <v>282</v>
      </c>
      <c r="X4">
        <v>0</v>
      </c>
      <c r="Y4">
        <v>0</v>
      </c>
      <c r="Z4">
        <v>25</v>
      </c>
      <c r="AB4">
        <v>18.5</v>
      </c>
      <c r="AF4">
        <v>1595</v>
      </c>
      <c r="AG4">
        <v>2085.8873560000002</v>
      </c>
      <c r="AH4">
        <v>2262.236457</v>
      </c>
      <c r="AI4">
        <v>0.93824301499999996</v>
      </c>
      <c r="AJ4">
        <v>2223.18453</v>
      </c>
      <c r="AK4">
        <v>2085.8873560000002</v>
      </c>
      <c r="AL4" s="1">
        <v>45499</v>
      </c>
      <c r="AM4" s="1">
        <v>45532</v>
      </c>
      <c r="AN4" t="s">
        <v>276</v>
      </c>
      <c r="AO4" t="s">
        <v>277</v>
      </c>
    </row>
    <row r="5" spans="1:41" x14ac:dyDescent="0.25">
      <c r="A5">
        <v>1</v>
      </c>
      <c r="B5">
        <v>4</v>
      </c>
      <c r="C5" t="s">
        <v>272</v>
      </c>
      <c r="D5">
        <v>44</v>
      </c>
      <c r="E5">
        <v>104</v>
      </c>
      <c r="F5">
        <v>104</v>
      </c>
      <c r="G5">
        <v>24110</v>
      </c>
      <c r="H5">
        <f t="shared" si="0"/>
        <v>241100104</v>
      </c>
      <c r="I5">
        <v>32</v>
      </c>
      <c r="J5">
        <v>1</v>
      </c>
      <c r="K5">
        <v>4</v>
      </c>
      <c r="L5">
        <v>32</v>
      </c>
      <c r="M5">
        <v>4</v>
      </c>
      <c r="N5" t="s">
        <v>236</v>
      </c>
      <c r="O5" t="b">
        <v>0</v>
      </c>
      <c r="P5">
        <v>2</v>
      </c>
      <c r="Q5">
        <v>4</v>
      </c>
      <c r="R5">
        <v>1</v>
      </c>
      <c r="S5" t="s">
        <v>283</v>
      </c>
      <c r="V5" t="s">
        <v>275</v>
      </c>
      <c r="W5" t="s">
        <v>284</v>
      </c>
      <c r="X5">
        <v>0</v>
      </c>
      <c r="Y5">
        <v>0</v>
      </c>
      <c r="Z5">
        <v>26</v>
      </c>
      <c r="AB5">
        <v>16.7</v>
      </c>
      <c r="AF5">
        <v>1943</v>
      </c>
      <c r="AG5">
        <v>2597.1100769999998</v>
      </c>
      <c r="AH5">
        <v>3461.5684860000001</v>
      </c>
      <c r="AI5">
        <v>0.95886923300000004</v>
      </c>
      <c r="AJ5">
        <v>2708.5133070000002</v>
      </c>
      <c r="AK5">
        <v>2597.1100769999998</v>
      </c>
      <c r="AL5" s="1">
        <v>45497</v>
      </c>
      <c r="AM5" s="1">
        <v>45530</v>
      </c>
      <c r="AN5" t="s">
        <v>276</v>
      </c>
      <c r="AO5" t="s">
        <v>277</v>
      </c>
    </row>
    <row r="6" spans="1:41" x14ac:dyDescent="0.25">
      <c r="A6">
        <v>1</v>
      </c>
      <c r="B6">
        <v>5</v>
      </c>
      <c r="C6" t="s">
        <v>272</v>
      </c>
      <c r="D6">
        <v>45</v>
      </c>
      <c r="E6">
        <v>105</v>
      </c>
      <c r="F6">
        <v>105</v>
      </c>
      <c r="G6">
        <v>24110</v>
      </c>
      <c r="H6">
        <f t="shared" si="0"/>
        <v>241100105</v>
      </c>
      <c r="I6">
        <v>33</v>
      </c>
      <c r="J6">
        <v>1</v>
      </c>
      <c r="K6">
        <v>5</v>
      </c>
      <c r="L6">
        <v>33</v>
      </c>
      <c r="M6">
        <v>5</v>
      </c>
      <c r="N6" t="s">
        <v>236</v>
      </c>
      <c r="O6" t="b">
        <v>0</v>
      </c>
      <c r="P6">
        <v>3</v>
      </c>
      <c r="Q6">
        <v>5</v>
      </c>
      <c r="R6">
        <v>1</v>
      </c>
      <c r="S6" t="s">
        <v>285</v>
      </c>
      <c r="V6" t="s">
        <v>286</v>
      </c>
      <c r="W6" t="s">
        <v>284</v>
      </c>
      <c r="X6">
        <v>0</v>
      </c>
      <c r="Y6">
        <v>0</v>
      </c>
      <c r="Z6">
        <v>24</v>
      </c>
      <c r="AB6">
        <v>18</v>
      </c>
      <c r="AF6">
        <v>1784</v>
      </c>
      <c r="AG6">
        <v>2347.3684210000001</v>
      </c>
      <c r="AH6">
        <v>2578.6122610000002</v>
      </c>
      <c r="AI6">
        <v>0.95261717400000001</v>
      </c>
      <c r="AJ6">
        <v>2464.1256579999999</v>
      </c>
      <c r="AK6">
        <v>2347.3684210000001</v>
      </c>
      <c r="AL6" s="1">
        <v>45500</v>
      </c>
      <c r="AM6" s="1">
        <v>45532</v>
      </c>
      <c r="AN6" t="s">
        <v>276</v>
      </c>
      <c r="AO6" t="s">
        <v>277</v>
      </c>
    </row>
    <row r="7" spans="1:41" x14ac:dyDescent="0.25">
      <c r="A7">
        <v>1</v>
      </c>
      <c r="B7">
        <v>6</v>
      </c>
      <c r="C7" t="s">
        <v>272</v>
      </c>
      <c r="D7">
        <v>46</v>
      </c>
      <c r="E7">
        <v>106</v>
      </c>
      <c r="F7">
        <v>106</v>
      </c>
      <c r="G7">
        <v>24110</v>
      </c>
      <c r="H7">
        <f t="shared" si="0"/>
        <v>241100106</v>
      </c>
      <c r="I7">
        <v>48</v>
      </c>
      <c r="J7">
        <v>1</v>
      </c>
      <c r="K7">
        <v>6</v>
      </c>
      <c r="L7">
        <v>48</v>
      </c>
      <c r="M7">
        <v>6</v>
      </c>
      <c r="N7" t="s">
        <v>236</v>
      </c>
      <c r="O7" t="b">
        <v>0</v>
      </c>
      <c r="P7">
        <v>0</v>
      </c>
      <c r="Q7">
        <v>2</v>
      </c>
      <c r="R7">
        <v>2</v>
      </c>
      <c r="S7" t="s">
        <v>278</v>
      </c>
      <c r="W7" t="s">
        <v>275</v>
      </c>
      <c r="X7">
        <v>0</v>
      </c>
      <c r="Y7">
        <v>0</v>
      </c>
      <c r="Z7">
        <v>24</v>
      </c>
      <c r="AB7">
        <v>18</v>
      </c>
      <c r="AF7">
        <v>2109</v>
      </c>
      <c r="AG7">
        <v>2775</v>
      </c>
      <c r="AH7">
        <v>2895.0087509999998</v>
      </c>
      <c r="AI7">
        <v>0.957191071</v>
      </c>
      <c r="AJ7">
        <v>2899.1076950000001</v>
      </c>
      <c r="AK7">
        <v>2775</v>
      </c>
      <c r="AL7" s="1">
        <v>45495</v>
      </c>
      <c r="AM7" s="1">
        <v>45533</v>
      </c>
      <c r="AN7" t="s">
        <v>276</v>
      </c>
      <c r="AO7" t="s">
        <v>277</v>
      </c>
    </row>
    <row r="8" spans="1:41" x14ac:dyDescent="0.25">
      <c r="A8">
        <v>1</v>
      </c>
      <c r="B8">
        <v>7</v>
      </c>
      <c r="C8" t="s">
        <v>272</v>
      </c>
      <c r="D8">
        <v>47</v>
      </c>
      <c r="E8">
        <v>107</v>
      </c>
      <c r="F8">
        <v>107</v>
      </c>
      <c r="G8">
        <v>24110</v>
      </c>
      <c r="H8">
        <f t="shared" si="0"/>
        <v>241100107</v>
      </c>
      <c r="I8">
        <v>49</v>
      </c>
      <c r="J8">
        <v>1</v>
      </c>
      <c r="K8">
        <v>7</v>
      </c>
      <c r="L8">
        <v>49</v>
      </c>
      <c r="M8">
        <v>7</v>
      </c>
      <c r="N8" t="s">
        <v>236</v>
      </c>
      <c r="O8" t="b">
        <v>0</v>
      </c>
      <c r="P8">
        <v>2</v>
      </c>
      <c r="Q8">
        <v>4</v>
      </c>
      <c r="R8">
        <v>2</v>
      </c>
      <c r="S8" t="s">
        <v>283</v>
      </c>
      <c r="V8" t="s">
        <v>275</v>
      </c>
      <c r="W8" t="s">
        <v>284</v>
      </c>
      <c r="X8">
        <v>0</v>
      </c>
      <c r="Y8">
        <v>0</v>
      </c>
      <c r="Z8">
        <v>29</v>
      </c>
      <c r="AB8">
        <v>15.8</v>
      </c>
      <c r="AF8">
        <v>1767</v>
      </c>
      <c r="AG8">
        <v>2387.3780489999999</v>
      </c>
      <c r="AH8">
        <v>2492.9683810000001</v>
      </c>
      <c r="AI8">
        <v>0.92059972899999998</v>
      </c>
      <c r="AJ8">
        <v>2593.2856310000002</v>
      </c>
      <c r="AK8">
        <v>2387.3780489999999</v>
      </c>
      <c r="AL8" s="1">
        <v>45499</v>
      </c>
      <c r="AM8" s="1">
        <v>45536</v>
      </c>
      <c r="AN8" t="s">
        <v>276</v>
      </c>
      <c r="AO8" t="s">
        <v>277</v>
      </c>
    </row>
    <row r="9" spans="1:41" x14ac:dyDescent="0.25">
      <c r="A9">
        <v>2</v>
      </c>
      <c r="B9">
        <v>1</v>
      </c>
      <c r="C9" t="s">
        <v>272</v>
      </c>
      <c r="D9">
        <v>54</v>
      </c>
      <c r="E9">
        <v>201</v>
      </c>
      <c r="F9">
        <v>108</v>
      </c>
      <c r="G9">
        <v>24110</v>
      </c>
      <c r="H9">
        <f>G9*10000+F9</f>
        <v>241100108</v>
      </c>
      <c r="I9">
        <v>2</v>
      </c>
      <c r="J9">
        <v>1</v>
      </c>
      <c r="K9">
        <v>1</v>
      </c>
      <c r="L9">
        <v>2</v>
      </c>
      <c r="M9">
        <v>1</v>
      </c>
      <c r="N9" t="s">
        <v>236</v>
      </c>
      <c r="O9" t="b">
        <v>0</v>
      </c>
      <c r="P9">
        <v>0</v>
      </c>
      <c r="Q9">
        <v>1</v>
      </c>
      <c r="R9">
        <v>3</v>
      </c>
      <c r="S9" t="s">
        <v>273</v>
      </c>
      <c r="T9" t="s">
        <v>274</v>
      </c>
      <c r="W9" t="s">
        <v>275</v>
      </c>
      <c r="X9">
        <v>0</v>
      </c>
      <c r="Y9">
        <v>0</v>
      </c>
      <c r="Z9">
        <v>25</v>
      </c>
      <c r="AB9">
        <v>17.5</v>
      </c>
      <c r="AF9">
        <v>1854</v>
      </c>
      <c r="AG9">
        <v>2454.348524</v>
      </c>
      <c r="AH9">
        <v>2738.6007289999998</v>
      </c>
      <c r="AI9">
        <v>0.89819145899999997</v>
      </c>
      <c r="AJ9">
        <v>2732.5449359999998</v>
      </c>
      <c r="AK9">
        <v>2585.9862680000001</v>
      </c>
      <c r="AL9" s="1">
        <v>45499</v>
      </c>
      <c r="AM9" s="1">
        <v>45532</v>
      </c>
      <c r="AN9" t="s">
        <v>276</v>
      </c>
      <c r="AO9" t="s">
        <v>277</v>
      </c>
    </row>
    <row r="10" spans="1:41" x14ac:dyDescent="0.25">
      <c r="A10">
        <v>2</v>
      </c>
      <c r="B10">
        <v>2</v>
      </c>
      <c r="C10" t="s">
        <v>272</v>
      </c>
      <c r="D10">
        <v>53</v>
      </c>
      <c r="E10">
        <v>202</v>
      </c>
      <c r="F10">
        <v>109</v>
      </c>
      <c r="G10">
        <v>24110</v>
      </c>
      <c r="H10">
        <f t="shared" si="0"/>
        <v>241100109</v>
      </c>
      <c r="I10">
        <v>15</v>
      </c>
      <c r="J10">
        <v>1</v>
      </c>
      <c r="K10">
        <v>2</v>
      </c>
      <c r="L10">
        <v>15</v>
      </c>
      <c r="M10">
        <v>2</v>
      </c>
      <c r="N10" t="s">
        <v>236</v>
      </c>
      <c r="O10" t="b">
        <v>0</v>
      </c>
      <c r="P10">
        <v>1</v>
      </c>
      <c r="Q10">
        <v>3</v>
      </c>
      <c r="R10">
        <v>3</v>
      </c>
      <c r="S10" t="s">
        <v>279</v>
      </c>
      <c r="T10" t="s">
        <v>280</v>
      </c>
      <c r="V10" t="s">
        <v>281</v>
      </c>
      <c r="W10" t="s">
        <v>282</v>
      </c>
      <c r="X10">
        <v>0</v>
      </c>
      <c r="Y10">
        <v>0</v>
      </c>
      <c r="Z10">
        <v>25</v>
      </c>
      <c r="AB10">
        <v>19</v>
      </c>
      <c r="AF10">
        <v>1852</v>
      </c>
      <c r="AG10">
        <v>2407.124519</v>
      </c>
      <c r="AH10">
        <v>2467.847761</v>
      </c>
      <c r="AI10">
        <v>0.93465789499999996</v>
      </c>
      <c r="AJ10">
        <v>2575.4070369999999</v>
      </c>
      <c r="AK10">
        <v>2407.124519</v>
      </c>
      <c r="AL10" s="1">
        <v>45499</v>
      </c>
      <c r="AM10" s="1">
        <v>45531</v>
      </c>
      <c r="AN10" t="s">
        <v>276</v>
      </c>
      <c r="AO10" t="s">
        <v>277</v>
      </c>
    </row>
    <row r="11" spans="1:41" x14ac:dyDescent="0.25">
      <c r="A11">
        <v>2</v>
      </c>
      <c r="B11">
        <v>3</v>
      </c>
      <c r="C11" t="s">
        <v>272</v>
      </c>
      <c r="D11">
        <v>52</v>
      </c>
      <c r="E11">
        <v>203</v>
      </c>
      <c r="F11">
        <v>110</v>
      </c>
      <c r="G11">
        <v>24110</v>
      </c>
      <c r="H11">
        <f t="shared" si="0"/>
        <v>241100110</v>
      </c>
      <c r="I11">
        <v>18</v>
      </c>
      <c r="J11">
        <v>1</v>
      </c>
      <c r="K11">
        <v>3</v>
      </c>
      <c r="L11">
        <v>18</v>
      </c>
      <c r="M11">
        <v>3</v>
      </c>
      <c r="N11" t="s">
        <v>236</v>
      </c>
      <c r="O11" t="b">
        <v>0</v>
      </c>
      <c r="P11">
        <v>3</v>
      </c>
      <c r="Q11">
        <v>5</v>
      </c>
      <c r="R11">
        <v>3</v>
      </c>
      <c r="S11" t="s">
        <v>285</v>
      </c>
      <c r="V11" t="s">
        <v>286</v>
      </c>
      <c r="W11" t="s">
        <v>284</v>
      </c>
      <c r="X11">
        <v>0</v>
      </c>
      <c r="Y11">
        <v>0</v>
      </c>
      <c r="Z11">
        <v>24</v>
      </c>
      <c r="AB11">
        <v>18.8</v>
      </c>
      <c r="AF11">
        <v>1811</v>
      </c>
      <c r="AG11">
        <v>2359.6469830000001</v>
      </c>
      <c r="AH11">
        <v>2439.226756</v>
      </c>
      <c r="AI11">
        <v>0.85020757000000002</v>
      </c>
      <c r="AJ11">
        <v>2775.3775270000001</v>
      </c>
      <c r="AK11">
        <v>2550.6835249999999</v>
      </c>
      <c r="AL11" s="1">
        <v>45500</v>
      </c>
      <c r="AM11" s="1">
        <v>45535</v>
      </c>
      <c r="AN11" t="s">
        <v>276</v>
      </c>
      <c r="AO11" t="s">
        <v>277</v>
      </c>
    </row>
    <row r="12" spans="1:41" x14ac:dyDescent="0.25">
      <c r="A12">
        <v>2</v>
      </c>
      <c r="B12">
        <v>4</v>
      </c>
      <c r="C12" t="s">
        <v>272</v>
      </c>
      <c r="D12">
        <v>51</v>
      </c>
      <c r="E12">
        <v>204</v>
      </c>
      <c r="F12">
        <v>111</v>
      </c>
      <c r="G12">
        <v>24110</v>
      </c>
      <c r="H12">
        <f t="shared" si="0"/>
        <v>241100111</v>
      </c>
      <c r="I12">
        <v>31</v>
      </c>
      <c r="J12">
        <v>1</v>
      </c>
      <c r="K12">
        <v>4</v>
      </c>
      <c r="L12">
        <v>31</v>
      </c>
      <c r="M12">
        <v>4</v>
      </c>
      <c r="N12" t="s">
        <v>236</v>
      </c>
      <c r="O12" t="b">
        <v>0</v>
      </c>
      <c r="P12">
        <v>0</v>
      </c>
      <c r="Q12">
        <v>2</v>
      </c>
      <c r="R12">
        <v>3</v>
      </c>
      <c r="S12" t="s">
        <v>278</v>
      </c>
      <c r="W12" t="s">
        <v>275</v>
      </c>
      <c r="X12">
        <v>0</v>
      </c>
      <c r="Y12">
        <v>0</v>
      </c>
      <c r="Z12">
        <v>23</v>
      </c>
      <c r="AB12">
        <v>17.899999999999999</v>
      </c>
      <c r="AF12">
        <v>1957</v>
      </c>
      <c r="AG12">
        <v>2578.1402440000002</v>
      </c>
      <c r="AH12">
        <v>2768.591445</v>
      </c>
      <c r="AI12">
        <v>0.93614599700000001</v>
      </c>
      <c r="AJ12">
        <v>2753.99377</v>
      </c>
      <c r="AK12">
        <v>2578.1402440000002</v>
      </c>
      <c r="AL12" s="1">
        <v>45499</v>
      </c>
      <c r="AM12" s="1">
        <v>45532</v>
      </c>
      <c r="AN12" t="s">
        <v>276</v>
      </c>
      <c r="AO12" t="s">
        <v>277</v>
      </c>
    </row>
    <row r="13" spans="1:41" x14ac:dyDescent="0.25">
      <c r="A13">
        <v>2</v>
      </c>
      <c r="B13">
        <v>5</v>
      </c>
      <c r="C13" t="s">
        <v>272</v>
      </c>
      <c r="D13">
        <v>50</v>
      </c>
      <c r="E13">
        <v>205</v>
      </c>
      <c r="F13">
        <v>112</v>
      </c>
      <c r="G13">
        <v>24110</v>
      </c>
      <c r="H13">
        <f t="shared" si="0"/>
        <v>241100112</v>
      </c>
      <c r="I13">
        <v>34</v>
      </c>
      <c r="J13">
        <v>1</v>
      </c>
      <c r="K13">
        <v>5</v>
      </c>
      <c r="L13">
        <v>34</v>
      </c>
      <c r="M13">
        <v>5</v>
      </c>
      <c r="N13" t="s">
        <v>236</v>
      </c>
      <c r="O13" t="b">
        <v>0</v>
      </c>
      <c r="P13">
        <v>0</v>
      </c>
      <c r="Q13">
        <v>1</v>
      </c>
      <c r="R13">
        <v>2</v>
      </c>
      <c r="S13" t="s">
        <v>273</v>
      </c>
      <c r="T13" t="s">
        <v>274</v>
      </c>
      <c r="W13" t="s">
        <v>275</v>
      </c>
      <c r="X13">
        <v>0</v>
      </c>
      <c r="Y13">
        <v>0</v>
      </c>
      <c r="Z13">
        <v>28</v>
      </c>
      <c r="AB13">
        <v>18.100000000000001</v>
      </c>
      <c r="AF13">
        <v>1958</v>
      </c>
      <c r="AG13">
        <v>2573.173941</v>
      </c>
      <c r="AH13">
        <v>2672.4782599999999</v>
      </c>
      <c r="AI13">
        <v>0.94685456400000001</v>
      </c>
      <c r="AJ13">
        <v>2717.602089</v>
      </c>
      <c r="AK13">
        <v>2573.173941</v>
      </c>
      <c r="AL13" s="1">
        <v>45498</v>
      </c>
      <c r="AM13" s="1">
        <v>45534</v>
      </c>
      <c r="AN13" t="s">
        <v>276</v>
      </c>
      <c r="AO13" t="s">
        <v>277</v>
      </c>
    </row>
    <row r="14" spans="1:41" x14ac:dyDescent="0.25">
      <c r="A14">
        <v>2</v>
      </c>
      <c r="B14">
        <v>6</v>
      </c>
      <c r="C14" t="s">
        <v>272</v>
      </c>
      <c r="D14">
        <v>49</v>
      </c>
      <c r="E14">
        <v>206</v>
      </c>
      <c r="F14">
        <v>113</v>
      </c>
      <c r="G14">
        <v>24110</v>
      </c>
      <c r="H14">
        <f t="shared" si="0"/>
        <v>241100113</v>
      </c>
      <c r="I14">
        <v>47</v>
      </c>
      <c r="J14">
        <v>1</v>
      </c>
      <c r="K14">
        <v>6</v>
      </c>
      <c r="L14">
        <v>47</v>
      </c>
      <c r="M14">
        <v>6</v>
      </c>
      <c r="N14" t="s">
        <v>236</v>
      </c>
      <c r="O14" t="b">
        <v>0</v>
      </c>
      <c r="P14">
        <v>3</v>
      </c>
      <c r="Q14">
        <v>5</v>
      </c>
      <c r="R14">
        <v>2</v>
      </c>
      <c r="S14" t="s">
        <v>285</v>
      </c>
      <c r="V14" t="s">
        <v>286</v>
      </c>
      <c r="W14" t="s">
        <v>284</v>
      </c>
      <c r="X14">
        <v>0</v>
      </c>
      <c r="Y14">
        <v>0</v>
      </c>
      <c r="Z14">
        <v>25</v>
      </c>
      <c r="AB14">
        <v>18.5</v>
      </c>
      <c r="AF14">
        <v>1849</v>
      </c>
      <c r="AG14">
        <v>2418.0600129999998</v>
      </c>
      <c r="AH14">
        <v>2522.2875960000001</v>
      </c>
      <c r="AI14">
        <v>0.98512519600000004</v>
      </c>
      <c r="AJ14">
        <v>2454.5712800000001</v>
      </c>
      <c r="AK14">
        <v>2418.0600129999998</v>
      </c>
      <c r="AL14" s="1">
        <v>45500</v>
      </c>
      <c r="AM14" s="1">
        <v>45534</v>
      </c>
      <c r="AN14" t="s">
        <v>276</v>
      </c>
      <c r="AO14" t="s">
        <v>277</v>
      </c>
    </row>
    <row r="15" spans="1:41" x14ac:dyDescent="0.25">
      <c r="A15">
        <v>2</v>
      </c>
      <c r="B15">
        <v>7</v>
      </c>
      <c r="C15" t="s">
        <v>272</v>
      </c>
      <c r="D15">
        <v>48</v>
      </c>
      <c r="E15">
        <v>207</v>
      </c>
      <c r="F15">
        <v>114</v>
      </c>
      <c r="G15">
        <v>24110</v>
      </c>
      <c r="H15">
        <f t="shared" si="0"/>
        <v>241100114</v>
      </c>
      <c r="I15">
        <v>50</v>
      </c>
      <c r="J15">
        <v>1</v>
      </c>
      <c r="K15">
        <v>7</v>
      </c>
      <c r="L15">
        <v>50</v>
      </c>
      <c r="M15">
        <v>7</v>
      </c>
      <c r="N15" t="s">
        <v>236</v>
      </c>
      <c r="O15" t="b">
        <v>0</v>
      </c>
      <c r="P15">
        <v>1</v>
      </c>
      <c r="Q15">
        <v>3</v>
      </c>
      <c r="R15">
        <v>2</v>
      </c>
      <c r="S15" t="s">
        <v>279</v>
      </c>
      <c r="T15" t="s">
        <v>280</v>
      </c>
      <c r="V15" t="s">
        <v>281</v>
      </c>
      <c r="W15" t="s">
        <v>282</v>
      </c>
      <c r="X15">
        <v>0</v>
      </c>
      <c r="Y15">
        <v>0</v>
      </c>
      <c r="Z15">
        <v>23</v>
      </c>
      <c r="AB15">
        <v>16.8</v>
      </c>
      <c r="AF15">
        <v>1577</v>
      </c>
      <c r="AG15">
        <v>2105.3658540000001</v>
      </c>
      <c r="AH15">
        <v>2281.3808629999999</v>
      </c>
      <c r="AI15">
        <v>0.90816386900000001</v>
      </c>
      <c r="AJ15">
        <v>2318.2664770000001</v>
      </c>
      <c r="AK15">
        <v>2105.3658540000001</v>
      </c>
      <c r="AL15" s="1">
        <v>45497</v>
      </c>
      <c r="AM15" s="1">
        <v>45533</v>
      </c>
      <c r="AN15" t="s">
        <v>276</v>
      </c>
      <c r="AO15" t="s">
        <v>277</v>
      </c>
    </row>
    <row r="16" spans="1:41" x14ac:dyDescent="0.25">
      <c r="A16">
        <v>3</v>
      </c>
      <c r="B16">
        <v>1</v>
      </c>
      <c r="C16" t="s">
        <v>272</v>
      </c>
      <c r="D16">
        <v>55</v>
      </c>
      <c r="E16">
        <v>301</v>
      </c>
      <c r="F16">
        <v>201</v>
      </c>
      <c r="G16">
        <v>24110</v>
      </c>
      <c r="H16">
        <f t="shared" si="0"/>
        <v>241100201</v>
      </c>
      <c r="I16">
        <v>3</v>
      </c>
      <c r="J16">
        <v>1</v>
      </c>
      <c r="K16">
        <v>1</v>
      </c>
      <c r="L16">
        <v>3</v>
      </c>
      <c r="M16">
        <v>1</v>
      </c>
      <c r="N16" t="s">
        <v>236</v>
      </c>
      <c r="O16" t="b">
        <v>0</v>
      </c>
      <c r="P16">
        <v>2</v>
      </c>
      <c r="Q16">
        <v>4</v>
      </c>
      <c r="R16">
        <v>3</v>
      </c>
      <c r="S16" t="s">
        <v>283</v>
      </c>
      <c r="V16" t="s">
        <v>275</v>
      </c>
      <c r="W16" t="s">
        <v>284</v>
      </c>
      <c r="X16">
        <v>0</v>
      </c>
      <c r="Y16">
        <v>0</v>
      </c>
      <c r="Z16">
        <v>25</v>
      </c>
      <c r="AB16">
        <v>18.3</v>
      </c>
      <c r="AF16">
        <v>1884</v>
      </c>
      <c r="AG16">
        <v>2469.8780489999999</v>
      </c>
      <c r="AH16">
        <v>2643.0338190000002</v>
      </c>
      <c r="AI16">
        <v>0.97549983900000004</v>
      </c>
      <c r="AJ16">
        <v>2531.9102579999999</v>
      </c>
      <c r="AK16">
        <v>2469.8780489999999</v>
      </c>
      <c r="AL16" s="1">
        <v>45499</v>
      </c>
      <c r="AM16" s="1">
        <v>45535</v>
      </c>
      <c r="AN16" t="s">
        <v>276</v>
      </c>
      <c r="AO16" t="s">
        <v>277</v>
      </c>
    </row>
    <row r="17" spans="1:41" x14ac:dyDescent="0.25">
      <c r="A17">
        <v>3</v>
      </c>
      <c r="B17">
        <v>2</v>
      </c>
      <c r="C17" t="s">
        <v>272</v>
      </c>
      <c r="D17">
        <v>56</v>
      </c>
      <c r="E17">
        <v>302</v>
      </c>
      <c r="F17">
        <v>202</v>
      </c>
      <c r="G17">
        <v>24110</v>
      </c>
      <c r="H17">
        <f t="shared" si="0"/>
        <v>241100202</v>
      </c>
      <c r="I17">
        <v>14</v>
      </c>
      <c r="J17">
        <v>1</v>
      </c>
      <c r="K17">
        <v>2</v>
      </c>
      <c r="L17">
        <v>14</v>
      </c>
      <c r="M17">
        <v>2</v>
      </c>
      <c r="N17" t="s">
        <v>236</v>
      </c>
      <c r="O17" t="b">
        <v>0</v>
      </c>
      <c r="P17">
        <v>0</v>
      </c>
      <c r="Q17">
        <v>1</v>
      </c>
      <c r="R17">
        <v>4</v>
      </c>
      <c r="S17" t="s">
        <v>273</v>
      </c>
      <c r="T17" t="s">
        <v>274</v>
      </c>
      <c r="W17" t="s">
        <v>275</v>
      </c>
      <c r="X17">
        <v>0</v>
      </c>
      <c r="Y17">
        <v>0</v>
      </c>
      <c r="Z17">
        <v>25</v>
      </c>
      <c r="AB17">
        <v>17.600000000000001</v>
      </c>
      <c r="AF17">
        <v>2029</v>
      </c>
      <c r="AG17">
        <v>2682.7599489999998</v>
      </c>
      <c r="AH17">
        <v>2977.3795289999998</v>
      </c>
      <c r="AI17">
        <v>0.94867172799999999</v>
      </c>
      <c r="AJ17">
        <v>2827.9117740000002</v>
      </c>
      <c r="AK17">
        <v>2682.7599489999998</v>
      </c>
      <c r="AL17" s="1">
        <v>45497</v>
      </c>
      <c r="AM17" s="1">
        <v>45534</v>
      </c>
      <c r="AN17" t="s">
        <v>276</v>
      </c>
      <c r="AO17" t="s">
        <v>277</v>
      </c>
    </row>
    <row r="18" spans="1:41" x14ac:dyDescent="0.25">
      <c r="A18">
        <v>3</v>
      </c>
      <c r="B18">
        <v>3</v>
      </c>
      <c r="C18" t="s">
        <v>272</v>
      </c>
      <c r="D18">
        <v>57</v>
      </c>
      <c r="E18">
        <v>303</v>
      </c>
      <c r="F18">
        <v>203</v>
      </c>
      <c r="G18">
        <v>24110</v>
      </c>
      <c r="H18">
        <f t="shared" si="0"/>
        <v>241100203</v>
      </c>
      <c r="I18">
        <v>19</v>
      </c>
      <c r="J18">
        <v>1</v>
      </c>
      <c r="K18">
        <v>3</v>
      </c>
      <c r="L18">
        <v>19</v>
      </c>
      <c r="M18">
        <v>3</v>
      </c>
      <c r="N18" t="s">
        <v>236</v>
      </c>
      <c r="O18" t="b">
        <v>0</v>
      </c>
      <c r="P18">
        <v>0</v>
      </c>
      <c r="Q18">
        <v>2</v>
      </c>
      <c r="R18">
        <v>4</v>
      </c>
      <c r="S18" t="s">
        <v>278</v>
      </c>
      <c r="W18" t="s">
        <v>275</v>
      </c>
      <c r="X18">
        <v>0</v>
      </c>
      <c r="Y18">
        <v>0</v>
      </c>
      <c r="Z18">
        <v>26</v>
      </c>
      <c r="AB18">
        <v>18.399999999999999</v>
      </c>
      <c r="AF18">
        <v>1921</v>
      </c>
      <c r="AG18">
        <v>2515.3016689999999</v>
      </c>
      <c r="AH18">
        <v>2639.5342489999998</v>
      </c>
      <c r="AI18">
        <v>0.91847919099999997</v>
      </c>
      <c r="AJ18">
        <v>2738.5505250000001</v>
      </c>
      <c r="AK18">
        <v>2515.3016689999999</v>
      </c>
      <c r="AL18" s="1">
        <v>45494</v>
      </c>
      <c r="AM18" s="1">
        <v>45532</v>
      </c>
      <c r="AN18" t="s">
        <v>276</v>
      </c>
      <c r="AO18" t="s">
        <v>277</v>
      </c>
    </row>
    <row r="19" spans="1:41" x14ac:dyDescent="0.25">
      <c r="A19">
        <v>3</v>
      </c>
      <c r="B19">
        <v>4</v>
      </c>
      <c r="C19" t="s">
        <v>272</v>
      </c>
      <c r="D19">
        <v>58</v>
      </c>
      <c r="E19">
        <v>304</v>
      </c>
      <c r="F19">
        <v>204</v>
      </c>
      <c r="G19">
        <v>24110</v>
      </c>
      <c r="H19">
        <f t="shared" si="0"/>
        <v>241100204</v>
      </c>
      <c r="I19">
        <v>30</v>
      </c>
      <c r="J19">
        <v>1</v>
      </c>
      <c r="K19">
        <v>4</v>
      </c>
      <c r="L19">
        <v>30</v>
      </c>
      <c r="M19">
        <v>4</v>
      </c>
      <c r="N19" t="s">
        <v>236</v>
      </c>
      <c r="O19" t="b">
        <v>0</v>
      </c>
      <c r="P19">
        <v>1</v>
      </c>
      <c r="Q19">
        <v>3</v>
      </c>
      <c r="R19">
        <v>4</v>
      </c>
      <c r="S19" t="s">
        <v>279</v>
      </c>
      <c r="T19" t="s">
        <v>280</v>
      </c>
      <c r="V19" t="s">
        <v>281</v>
      </c>
      <c r="W19" t="s">
        <v>282</v>
      </c>
      <c r="X19">
        <v>0</v>
      </c>
      <c r="Y19">
        <v>0</v>
      </c>
      <c r="Z19">
        <v>26</v>
      </c>
      <c r="AB19">
        <v>18.3</v>
      </c>
      <c r="AF19">
        <v>1553</v>
      </c>
      <c r="AG19">
        <v>2035.9451220000001</v>
      </c>
      <c r="AH19">
        <v>2226.6588750000001</v>
      </c>
      <c r="AI19">
        <v>0.96424318600000003</v>
      </c>
      <c r="AJ19">
        <v>2111.4436190000001</v>
      </c>
      <c r="AK19">
        <v>2035.9451220000001</v>
      </c>
      <c r="AL19" s="1">
        <v>45498</v>
      </c>
      <c r="AM19" s="1">
        <v>45532</v>
      </c>
      <c r="AN19" t="s">
        <v>276</v>
      </c>
      <c r="AO19" t="s">
        <v>277</v>
      </c>
    </row>
    <row r="20" spans="1:41" x14ac:dyDescent="0.25">
      <c r="A20">
        <v>3</v>
      </c>
      <c r="B20">
        <v>5</v>
      </c>
      <c r="C20" t="s">
        <v>272</v>
      </c>
      <c r="D20">
        <v>59</v>
      </c>
      <c r="E20">
        <v>305</v>
      </c>
      <c r="F20">
        <v>205</v>
      </c>
      <c r="G20">
        <v>24110</v>
      </c>
      <c r="H20">
        <f t="shared" si="0"/>
        <v>241100205</v>
      </c>
      <c r="I20">
        <v>35</v>
      </c>
      <c r="J20">
        <v>1</v>
      </c>
      <c r="K20">
        <v>5</v>
      </c>
      <c r="L20">
        <v>35</v>
      </c>
      <c r="M20">
        <v>5</v>
      </c>
      <c r="N20" t="s">
        <v>236</v>
      </c>
      <c r="O20" t="b">
        <v>0</v>
      </c>
      <c r="P20">
        <v>3</v>
      </c>
      <c r="Q20">
        <v>5</v>
      </c>
      <c r="R20">
        <v>4</v>
      </c>
      <c r="S20" t="s">
        <v>285</v>
      </c>
      <c r="V20" t="s">
        <v>286</v>
      </c>
      <c r="W20" t="s">
        <v>284</v>
      </c>
      <c r="X20">
        <v>0</v>
      </c>
      <c r="Y20">
        <v>0</v>
      </c>
      <c r="Z20">
        <v>24</v>
      </c>
      <c r="AB20">
        <v>18.399999999999999</v>
      </c>
      <c r="AF20">
        <v>1772</v>
      </c>
      <c r="AG20">
        <v>2320.2053919999998</v>
      </c>
      <c r="AH20">
        <v>2513.0322890000002</v>
      </c>
      <c r="AI20">
        <v>0.95057301900000002</v>
      </c>
      <c r="AJ20">
        <v>2440.8492000000001</v>
      </c>
      <c r="AK20">
        <v>2320.2053919999998</v>
      </c>
      <c r="AL20" s="1">
        <v>45500</v>
      </c>
      <c r="AM20" s="1">
        <v>45532</v>
      </c>
      <c r="AN20" t="s">
        <v>276</v>
      </c>
      <c r="AO20" t="s">
        <v>277</v>
      </c>
    </row>
    <row r="21" spans="1:41" x14ac:dyDescent="0.25">
      <c r="A21">
        <v>3</v>
      </c>
      <c r="B21">
        <v>6</v>
      </c>
      <c r="C21" t="s">
        <v>272</v>
      </c>
      <c r="D21">
        <v>60</v>
      </c>
      <c r="E21">
        <v>306</v>
      </c>
      <c r="F21">
        <v>206</v>
      </c>
      <c r="G21">
        <v>24110</v>
      </c>
      <c r="H21">
        <f t="shared" si="0"/>
        <v>241100206</v>
      </c>
      <c r="I21">
        <v>46</v>
      </c>
      <c r="J21">
        <v>1</v>
      </c>
      <c r="K21">
        <v>6</v>
      </c>
      <c r="L21">
        <v>46</v>
      </c>
      <c r="M21">
        <v>6</v>
      </c>
      <c r="N21" t="s">
        <v>236</v>
      </c>
      <c r="O21" t="b">
        <v>0</v>
      </c>
      <c r="P21">
        <v>2</v>
      </c>
      <c r="Q21">
        <v>4</v>
      </c>
      <c r="R21">
        <v>4</v>
      </c>
      <c r="S21" t="s">
        <v>283</v>
      </c>
      <c r="V21" t="s">
        <v>275</v>
      </c>
      <c r="W21" t="s">
        <v>284</v>
      </c>
      <c r="X21">
        <v>0</v>
      </c>
      <c r="Y21">
        <v>0</v>
      </c>
      <c r="Z21">
        <v>25</v>
      </c>
      <c r="AB21">
        <v>18.8</v>
      </c>
      <c r="AF21">
        <v>1549</v>
      </c>
      <c r="AG21">
        <v>2018.2734270000001</v>
      </c>
      <c r="AH21">
        <v>3028.3465379999998</v>
      </c>
      <c r="AI21">
        <v>0.93642063399999997</v>
      </c>
      <c r="AJ21">
        <v>2155.3064429999999</v>
      </c>
      <c r="AK21">
        <v>2018.2734270000001</v>
      </c>
      <c r="AL21" s="1">
        <v>45497</v>
      </c>
      <c r="AM21" s="1">
        <v>45534</v>
      </c>
      <c r="AN21" t="s">
        <v>276</v>
      </c>
      <c r="AO21" t="s">
        <v>277</v>
      </c>
    </row>
    <row r="22" spans="1:41" x14ac:dyDescent="0.25">
      <c r="A22">
        <v>3</v>
      </c>
      <c r="B22">
        <v>7</v>
      </c>
      <c r="C22" t="s">
        <v>287</v>
      </c>
      <c r="D22">
        <v>41</v>
      </c>
      <c r="E22">
        <v>307</v>
      </c>
      <c r="F22">
        <v>207</v>
      </c>
      <c r="G22">
        <v>24111</v>
      </c>
      <c r="H22">
        <f t="shared" si="0"/>
        <v>241110207</v>
      </c>
      <c r="I22">
        <v>51</v>
      </c>
      <c r="J22">
        <v>1</v>
      </c>
      <c r="K22">
        <v>7</v>
      </c>
      <c r="L22">
        <v>51</v>
      </c>
      <c r="M22">
        <v>7</v>
      </c>
      <c r="N22" t="s">
        <v>236</v>
      </c>
      <c r="O22" t="b">
        <v>0</v>
      </c>
      <c r="P22">
        <v>0</v>
      </c>
      <c r="Q22">
        <v>1</v>
      </c>
      <c r="R22">
        <v>1</v>
      </c>
      <c r="S22" t="s">
        <v>288</v>
      </c>
      <c r="T22" t="s">
        <v>274</v>
      </c>
      <c r="W22" t="s">
        <v>289</v>
      </c>
      <c r="X22">
        <v>0</v>
      </c>
      <c r="Y22">
        <v>0</v>
      </c>
      <c r="Z22">
        <v>53</v>
      </c>
      <c r="AB22">
        <v>17.2</v>
      </c>
      <c r="AF22">
        <v>1091</v>
      </c>
      <c r="AG22">
        <v>1449.5314510000001</v>
      </c>
      <c r="AH22">
        <v>2117.4010109999999</v>
      </c>
      <c r="AI22">
        <v>0.94065789499999997</v>
      </c>
      <c r="AJ22">
        <v>1540.976224</v>
      </c>
      <c r="AK22">
        <v>1449.5314510000001</v>
      </c>
      <c r="AL22" s="1">
        <v>45493</v>
      </c>
      <c r="AM22" s="1">
        <v>45528</v>
      </c>
      <c r="AN22" t="s">
        <v>276</v>
      </c>
      <c r="AO22" t="s">
        <v>277</v>
      </c>
    </row>
    <row r="23" spans="1:41" x14ac:dyDescent="0.25">
      <c r="A23">
        <v>4</v>
      </c>
      <c r="B23">
        <v>1</v>
      </c>
      <c r="C23" t="s">
        <v>287</v>
      </c>
      <c r="D23">
        <v>48</v>
      </c>
      <c r="E23">
        <v>401</v>
      </c>
      <c r="F23">
        <v>208</v>
      </c>
      <c r="G23">
        <v>24111</v>
      </c>
      <c r="H23">
        <f t="shared" si="0"/>
        <v>241110208</v>
      </c>
      <c r="I23">
        <v>4</v>
      </c>
      <c r="J23">
        <v>1</v>
      </c>
      <c r="K23">
        <v>1</v>
      </c>
      <c r="L23">
        <v>4</v>
      </c>
      <c r="M23">
        <v>1</v>
      </c>
      <c r="N23" t="s">
        <v>236</v>
      </c>
      <c r="O23" t="b">
        <v>0</v>
      </c>
      <c r="P23">
        <v>0</v>
      </c>
      <c r="Q23">
        <v>1</v>
      </c>
      <c r="R23">
        <v>2</v>
      </c>
      <c r="S23" t="s">
        <v>288</v>
      </c>
      <c r="T23" t="s">
        <v>274</v>
      </c>
      <c r="W23" t="s">
        <v>289</v>
      </c>
      <c r="X23">
        <v>0</v>
      </c>
      <c r="Y23">
        <v>0</v>
      </c>
      <c r="Z23">
        <v>62</v>
      </c>
      <c r="AB23">
        <v>17.3</v>
      </c>
      <c r="AF23">
        <v>1030</v>
      </c>
      <c r="AG23">
        <v>1366.832478</v>
      </c>
      <c r="AH23">
        <v>1431.444835</v>
      </c>
      <c r="AI23">
        <v>0.93628779699999998</v>
      </c>
      <c r="AJ23">
        <v>1459.8422430000001</v>
      </c>
      <c r="AK23">
        <v>1366.832478</v>
      </c>
      <c r="AL23" s="1">
        <v>45490</v>
      </c>
      <c r="AM23" s="1">
        <v>45528</v>
      </c>
      <c r="AN23" t="s">
        <v>276</v>
      </c>
      <c r="AO23" t="s">
        <v>277</v>
      </c>
    </row>
    <row r="24" spans="1:41" x14ac:dyDescent="0.25">
      <c r="A24">
        <v>4</v>
      </c>
      <c r="B24">
        <v>2</v>
      </c>
      <c r="C24" t="s">
        <v>287</v>
      </c>
      <c r="D24">
        <v>47</v>
      </c>
      <c r="E24">
        <v>402</v>
      </c>
      <c r="F24">
        <v>209</v>
      </c>
      <c r="G24">
        <v>24111</v>
      </c>
      <c r="H24">
        <f t="shared" si="0"/>
        <v>241110209</v>
      </c>
      <c r="I24">
        <v>13</v>
      </c>
      <c r="J24">
        <v>1</v>
      </c>
      <c r="K24">
        <v>2</v>
      </c>
      <c r="L24">
        <v>13</v>
      </c>
      <c r="M24">
        <v>2</v>
      </c>
      <c r="N24" t="s">
        <v>236</v>
      </c>
      <c r="O24" t="b">
        <v>0</v>
      </c>
      <c r="P24">
        <v>2</v>
      </c>
      <c r="Q24">
        <v>4</v>
      </c>
      <c r="R24">
        <v>2</v>
      </c>
      <c r="S24" t="s">
        <v>290</v>
      </c>
      <c r="T24" t="s">
        <v>274</v>
      </c>
      <c r="V24" t="s">
        <v>290</v>
      </c>
      <c r="W24" t="s">
        <v>291</v>
      </c>
      <c r="X24">
        <v>0</v>
      </c>
      <c r="Y24">
        <v>0</v>
      </c>
      <c r="Z24">
        <v>60</v>
      </c>
      <c r="AB24">
        <v>17</v>
      </c>
      <c r="AF24">
        <v>573</v>
      </c>
      <c r="AG24">
        <v>763.14184850000004</v>
      </c>
      <c r="AH24">
        <v>774.98077750000004</v>
      </c>
      <c r="AI24">
        <v>0.94579018699999995</v>
      </c>
      <c r="AJ24">
        <v>806.88281500000005</v>
      </c>
      <c r="AK24">
        <v>763.14184850000004</v>
      </c>
      <c r="AL24" s="1">
        <v>45488</v>
      </c>
      <c r="AM24" s="1">
        <v>45527</v>
      </c>
      <c r="AN24" t="s">
        <v>276</v>
      </c>
      <c r="AO24" t="s">
        <v>277</v>
      </c>
    </row>
    <row r="25" spans="1:41" x14ac:dyDescent="0.25">
      <c r="A25">
        <v>4</v>
      </c>
      <c r="B25">
        <v>3</v>
      </c>
      <c r="C25" t="s">
        <v>287</v>
      </c>
      <c r="D25">
        <v>46</v>
      </c>
      <c r="E25">
        <v>403</v>
      </c>
      <c r="F25">
        <v>210</v>
      </c>
      <c r="G25">
        <v>24111</v>
      </c>
      <c r="H25">
        <f t="shared" si="0"/>
        <v>241110210</v>
      </c>
      <c r="I25">
        <v>20</v>
      </c>
      <c r="J25">
        <v>1</v>
      </c>
      <c r="K25">
        <v>3</v>
      </c>
      <c r="L25">
        <v>20</v>
      </c>
      <c r="M25">
        <v>3</v>
      </c>
      <c r="N25" t="s">
        <v>236</v>
      </c>
      <c r="O25" t="b">
        <v>0</v>
      </c>
      <c r="P25">
        <v>0</v>
      </c>
      <c r="Q25">
        <v>2</v>
      </c>
      <c r="R25">
        <v>2</v>
      </c>
      <c r="S25" t="s">
        <v>292</v>
      </c>
      <c r="W25" t="s">
        <v>293</v>
      </c>
      <c r="X25">
        <v>0</v>
      </c>
      <c r="Y25">
        <v>0</v>
      </c>
      <c r="Z25">
        <v>58</v>
      </c>
      <c r="AB25">
        <v>17.5</v>
      </c>
      <c r="AF25">
        <v>849</v>
      </c>
      <c r="AG25">
        <v>1123.9168810000001</v>
      </c>
      <c r="AH25">
        <v>1208.255161</v>
      </c>
      <c r="AI25">
        <v>0.91300657900000004</v>
      </c>
      <c r="AJ25">
        <v>1231.006333</v>
      </c>
      <c r="AK25">
        <v>1123.9168810000001</v>
      </c>
      <c r="AL25" s="1">
        <v>45492</v>
      </c>
      <c r="AM25" s="1">
        <v>45526</v>
      </c>
      <c r="AN25" t="s">
        <v>276</v>
      </c>
      <c r="AO25" t="s">
        <v>277</v>
      </c>
    </row>
    <row r="26" spans="1:41" x14ac:dyDescent="0.25">
      <c r="A26">
        <v>4</v>
      </c>
      <c r="B26">
        <v>4</v>
      </c>
      <c r="C26" t="s">
        <v>287</v>
      </c>
      <c r="D26">
        <v>45</v>
      </c>
      <c r="E26">
        <v>404</v>
      </c>
      <c r="F26">
        <v>211</v>
      </c>
      <c r="G26">
        <v>24111</v>
      </c>
      <c r="H26">
        <f t="shared" si="0"/>
        <v>241110211</v>
      </c>
      <c r="I26">
        <v>29</v>
      </c>
      <c r="J26">
        <v>1</v>
      </c>
      <c r="K26">
        <v>4</v>
      </c>
      <c r="L26">
        <v>29</v>
      </c>
      <c r="M26">
        <v>4</v>
      </c>
      <c r="N26" t="s">
        <v>236</v>
      </c>
      <c r="O26" t="b">
        <v>0</v>
      </c>
      <c r="P26">
        <v>3</v>
      </c>
      <c r="Q26">
        <v>5</v>
      </c>
      <c r="R26">
        <v>1</v>
      </c>
      <c r="S26" t="s">
        <v>294</v>
      </c>
      <c r="W26" t="s">
        <v>293</v>
      </c>
      <c r="X26">
        <v>0</v>
      </c>
      <c r="Y26">
        <v>0</v>
      </c>
      <c r="Z26">
        <v>56</v>
      </c>
      <c r="AB26">
        <v>18.2</v>
      </c>
      <c r="AF26">
        <v>733</v>
      </c>
      <c r="AG26">
        <v>962.12130939999997</v>
      </c>
      <c r="AH26">
        <v>1339.474066</v>
      </c>
      <c r="AI26">
        <v>0.95190068299999997</v>
      </c>
      <c r="AJ26">
        <v>1010.737072</v>
      </c>
      <c r="AK26">
        <v>962.12130939999997</v>
      </c>
      <c r="AL26" s="1">
        <v>45493</v>
      </c>
      <c r="AM26" s="1">
        <v>45528</v>
      </c>
      <c r="AN26" t="s">
        <v>276</v>
      </c>
      <c r="AO26" t="s">
        <v>277</v>
      </c>
    </row>
    <row r="27" spans="1:41" x14ac:dyDescent="0.25">
      <c r="A27">
        <v>4</v>
      </c>
      <c r="B27">
        <v>5</v>
      </c>
      <c r="C27" t="s">
        <v>287</v>
      </c>
      <c r="D27">
        <v>44</v>
      </c>
      <c r="E27">
        <v>405</v>
      </c>
      <c r="F27">
        <v>212</v>
      </c>
      <c r="G27">
        <v>24111</v>
      </c>
      <c r="H27">
        <f t="shared" si="0"/>
        <v>241110212</v>
      </c>
      <c r="I27">
        <v>36</v>
      </c>
      <c r="J27">
        <v>1</v>
      </c>
      <c r="K27">
        <v>5</v>
      </c>
      <c r="L27">
        <v>36</v>
      </c>
      <c r="M27">
        <v>5</v>
      </c>
      <c r="N27" t="s">
        <v>236</v>
      </c>
      <c r="O27" t="b">
        <v>0</v>
      </c>
      <c r="P27">
        <v>2</v>
      </c>
      <c r="Q27">
        <v>4</v>
      </c>
      <c r="R27">
        <v>1</v>
      </c>
      <c r="S27" t="s">
        <v>290</v>
      </c>
      <c r="T27" t="s">
        <v>274</v>
      </c>
      <c r="V27" t="s">
        <v>290</v>
      </c>
      <c r="W27" t="s">
        <v>291</v>
      </c>
      <c r="X27">
        <v>0</v>
      </c>
      <c r="Y27">
        <v>0</v>
      </c>
      <c r="Z27">
        <v>59</v>
      </c>
      <c r="AB27">
        <v>16.5</v>
      </c>
      <c r="AF27">
        <v>678</v>
      </c>
      <c r="AG27">
        <v>908.42426190000003</v>
      </c>
      <c r="AH27">
        <v>1547.158003</v>
      </c>
      <c r="AI27">
        <v>0.89669872799999994</v>
      </c>
      <c r="AJ27">
        <v>1013.076336</v>
      </c>
      <c r="AK27">
        <v>957.90042840000001</v>
      </c>
      <c r="AL27" s="1">
        <v>45488</v>
      </c>
      <c r="AM27" s="1">
        <v>45526</v>
      </c>
      <c r="AN27" t="s">
        <v>276</v>
      </c>
      <c r="AO27" t="s">
        <v>277</v>
      </c>
    </row>
    <row r="28" spans="1:41" x14ac:dyDescent="0.25">
      <c r="A28">
        <v>4</v>
      </c>
      <c r="B28">
        <v>6</v>
      </c>
      <c r="C28" t="s">
        <v>287</v>
      </c>
      <c r="D28">
        <v>43</v>
      </c>
      <c r="E28">
        <v>406</v>
      </c>
      <c r="F28">
        <v>213</v>
      </c>
      <c r="G28">
        <v>24111</v>
      </c>
      <c r="H28">
        <f t="shared" si="0"/>
        <v>241110213</v>
      </c>
      <c r="I28">
        <v>45</v>
      </c>
      <c r="J28">
        <v>1</v>
      </c>
      <c r="K28">
        <v>6</v>
      </c>
      <c r="L28">
        <v>45</v>
      </c>
      <c r="M28">
        <v>6</v>
      </c>
      <c r="N28" t="s">
        <v>236</v>
      </c>
      <c r="O28" t="b">
        <v>0</v>
      </c>
      <c r="P28">
        <v>1</v>
      </c>
      <c r="Q28">
        <v>3</v>
      </c>
      <c r="R28">
        <v>1</v>
      </c>
      <c r="S28" t="s">
        <v>295</v>
      </c>
      <c r="W28" t="s">
        <v>296</v>
      </c>
      <c r="X28">
        <v>0</v>
      </c>
      <c r="Y28">
        <v>0</v>
      </c>
      <c r="Z28">
        <v>54</v>
      </c>
      <c r="AB28">
        <v>18</v>
      </c>
      <c r="AF28">
        <v>475</v>
      </c>
      <c r="AG28">
        <v>625</v>
      </c>
      <c r="AH28">
        <v>685.61729600000001</v>
      </c>
      <c r="AI28">
        <v>0.82226432699999996</v>
      </c>
      <c r="AJ28">
        <v>760.09621149999998</v>
      </c>
      <c r="AK28">
        <v>685.95975969999995</v>
      </c>
      <c r="AL28" s="1">
        <v>45491</v>
      </c>
      <c r="AM28" s="1">
        <v>45528</v>
      </c>
      <c r="AN28" t="s">
        <v>276</v>
      </c>
      <c r="AO28" t="s">
        <v>277</v>
      </c>
    </row>
    <row r="29" spans="1:41" x14ac:dyDescent="0.25">
      <c r="A29">
        <v>4</v>
      </c>
      <c r="B29">
        <v>7</v>
      </c>
      <c r="C29" t="s">
        <v>287</v>
      </c>
      <c r="D29">
        <v>42</v>
      </c>
      <c r="E29">
        <v>407</v>
      </c>
      <c r="F29">
        <v>214</v>
      </c>
      <c r="G29">
        <v>24111</v>
      </c>
      <c r="H29">
        <f t="shared" si="0"/>
        <v>241110214</v>
      </c>
      <c r="I29">
        <v>52</v>
      </c>
      <c r="J29">
        <v>1</v>
      </c>
      <c r="K29">
        <v>7</v>
      </c>
      <c r="L29">
        <v>52</v>
      </c>
      <c r="M29">
        <v>7</v>
      </c>
      <c r="N29" t="s">
        <v>236</v>
      </c>
      <c r="O29" t="b">
        <v>0</v>
      </c>
      <c r="P29">
        <v>0</v>
      </c>
      <c r="Q29">
        <v>2</v>
      </c>
      <c r="R29">
        <v>1</v>
      </c>
      <c r="S29" t="s">
        <v>292</v>
      </c>
      <c r="W29" t="s">
        <v>293</v>
      </c>
      <c r="X29">
        <v>0</v>
      </c>
      <c r="Y29">
        <v>0</v>
      </c>
      <c r="Z29">
        <v>60</v>
      </c>
      <c r="AB29">
        <v>17.5</v>
      </c>
      <c r="AF29">
        <v>817</v>
      </c>
      <c r="AG29">
        <v>1081.5548779999999</v>
      </c>
      <c r="AH29">
        <v>1153.5679729999999</v>
      </c>
      <c r="AI29">
        <v>0.89524862199999999</v>
      </c>
      <c r="AJ29">
        <v>1208.105605</v>
      </c>
      <c r="AK29">
        <v>1141.332979</v>
      </c>
      <c r="AL29" s="1">
        <v>45490</v>
      </c>
      <c r="AM29" s="1">
        <v>45527</v>
      </c>
      <c r="AN29" t="s">
        <v>276</v>
      </c>
      <c r="AO29" t="s">
        <v>277</v>
      </c>
    </row>
    <row r="30" spans="1:41" x14ac:dyDescent="0.25">
      <c r="A30">
        <v>5</v>
      </c>
      <c r="B30">
        <v>1</v>
      </c>
      <c r="C30" t="s">
        <v>287</v>
      </c>
      <c r="D30">
        <v>49</v>
      </c>
      <c r="E30">
        <v>501</v>
      </c>
      <c r="F30">
        <v>301</v>
      </c>
      <c r="G30">
        <v>24111</v>
      </c>
      <c r="H30">
        <f t="shared" si="0"/>
        <v>241110301</v>
      </c>
      <c r="I30">
        <v>5</v>
      </c>
      <c r="J30">
        <v>1</v>
      </c>
      <c r="K30">
        <v>1</v>
      </c>
      <c r="L30">
        <v>5</v>
      </c>
      <c r="M30">
        <v>1</v>
      </c>
      <c r="N30" t="s">
        <v>236</v>
      </c>
      <c r="O30" t="b">
        <v>0</v>
      </c>
      <c r="P30">
        <v>3</v>
      </c>
      <c r="Q30">
        <v>5</v>
      </c>
      <c r="R30">
        <v>2</v>
      </c>
      <c r="S30" t="s">
        <v>294</v>
      </c>
      <c r="W30" t="s">
        <v>293</v>
      </c>
      <c r="X30">
        <v>0</v>
      </c>
      <c r="Y30">
        <v>0</v>
      </c>
      <c r="Z30">
        <v>57</v>
      </c>
      <c r="AB30">
        <v>18.2</v>
      </c>
      <c r="AF30">
        <v>598</v>
      </c>
      <c r="AG30">
        <v>784.92297819999999</v>
      </c>
      <c r="AH30">
        <v>824.33345039999995</v>
      </c>
      <c r="AI30">
        <v>0.70585526300000001</v>
      </c>
      <c r="AJ30">
        <v>1112.016895</v>
      </c>
      <c r="AK30">
        <v>920.26914020000004</v>
      </c>
      <c r="AL30" s="1">
        <v>45488</v>
      </c>
      <c r="AM30" s="1">
        <v>45528</v>
      </c>
      <c r="AN30" t="s">
        <v>276</v>
      </c>
      <c r="AO30" t="s">
        <v>277</v>
      </c>
    </row>
    <row r="31" spans="1:41" x14ac:dyDescent="0.25">
      <c r="A31">
        <v>5</v>
      </c>
      <c r="B31">
        <v>2</v>
      </c>
      <c r="C31" t="s">
        <v>287</v>
      </c>
      <c r="D31">
        <v>50</v>
      </c>
      <c r="E31">
        <v>502</v>
      </c>
      <c r="F31">
        <v>302</v>
      </c>
      <c r="G31">
        <v>24111</v>
      </c>
      <c r="H31">
        <f t="shared" si="0"/>
        <v>241110302</v>
      </c>
      <c r="I31">
        <v>12</v>
      </c>
      <c r="J31">
        <v>1</v>
      </c>
      <c r="K31">
        <v>2</v>
      </c>
      <c r="L31">
        <v>12</v>
      </c>
      <c r="M31">
        <v>2</v>
      </c>
      <c r="N31" t="s">
        <v>236</v>
      </c>
      <c r="O31" t="b">
        <v>0</v>
      </c>
      <c r="P31">
        <v>1</v>
      </c>
      <c r="Q31">
        <v>3</v>
      </c>
      <c r="R31">
        <v>2</v>
      </c>
      <c r="S31" t="s">
        <v>295</v>
      </c>
      <c r="W31" t="s">
        <v>296</v>
      </c>
      <c r="X31">
        <v>0</v>
      </c>
      <c r="Y31">
        <v>0</v>
      </c>
      <c r="Z31">
        <v>57</v>
      </c>
      <c r="AB31">
        <v>17.899999999999999</v>
      </c>
      <c r="AF31">
        <v>702</v>
      </c>
      <c r="AG31">
        <v>924.81065469999999</v>
      </c>
      <c r="AH31">
        <v>972.94620459999999</v>
      </c>
      <c r="AI31">
        <v>0.91195452700000001</v>
      </c>
      <c r="AJ31">
        <v>1014.097335</v>
      </c>
      <c r="AK31">
        <v>924.81065469999999</v>
      </c>
      <c r="AL31" s="1">
        <v>45489</v>
      </c>
      <c r="AM31" s="1">
        <v>45528</v>
      </c>
      <c r="AN31" t="s">
        <v>276</v>
      </c>
      <c r="AO31" t="s">
        <v>277</v>
      </c>
    </row>
    <row r="32" spans="1:41" x14ac:dyDescent="0.25">
      <c r="A32">
        <v>5</v>
      </c>
      <c r="B32">
        <v>3</v>
      </c>
      <c r="C32" t="s">
        <v>287</v>
      </c>
      <c r="D32">
        <v>51</v>
      </c>
      <c r="E32">
        <v>503</v>
      </c>
      <c r="F32">
        <v>303</v>
      </c>
      <c r="G32">
        <v>24111</v>
      </c>
      <c r="H32">
        <f t="shared" si="0"/>
        <v>241110303</v>
      </c>
      <c r="I32">
        <v>21</v>
      </c>
      <c r="J32">
        <v>1</v>
      </c>
      <c r="K32">
        <v>3</v>
      </c>
      <c r="L32">
        <v>21</v>
      </c>
      <c r="M32">
        <v>3</v>
      </c>
      <c r="N32" t="s">
        <v>236</v>
      </c>
      <c r="O32" t="b">
        <v>0</v>
      </c>
      <c r="P32">
        <v>1</v>
      </c>
      <c r="Q32">
        <v>3</v>
      </c>
      <c r="R32">
        <v>3</v>
      </c>
      <c r="S32" t="s">
        <v>295</v>
      </c>
      <c r="W32" t="s">
        <v>296</v>
      </c>
      <c r="X32">
        <v>0</v>
      </c>
      <c r="Y32">
        <v>0</v>
      </c>
      <c r="Z32">
        <v>57</v>
      </c>
      <c r="AB32">
        <v>17.3</v>
      </c>
      <c r="AF32">
        <v>546</v>
      </c>
      <c r="AG32">
        <v>724.55391529999997</v>
      </c>
      <c r="AH32">
        <v>770.75952870000003</v>
      </c>
      <c r="AI32">
        <v>0.92788720899999999</v>
      </c>
      <c r="AJ32">
        <v>780.86421310000003</v>
      </c>
      <c r="AK32">
        <v>724.55391529999997</v>
      </c>
      <c r="AL32" s="1">
        <v>45489</v>
      </c>
      <c r="AM32" s="1">
        <v>45527</v>
      </c>
      <c r="AN32" t="s">
        <v>276</v>
      </c>
      <c r="AO32" t="s">
        <v>277</v>
      </c>
    </row>
    <row r="33" spans="1:41" x14ac:dyDescent="0.25">
      <c r="A33">
        <v>5</v>
      </c>
      <c r="B33">
        <v>4</v>
      </c>
      <c r="C33" t="s">
        <v>287</v>
      </c>
      <c r="D33">
        <v>52</v>
      </c>
      <c r="E33">
        <v>504</v>
      </c>
      <c r="F33">
        <v>304</v>
      </c>
      <c r="G33">
        <v>24111</v>
      </c>
      <c r="H33">
        <f t="shared" si="0"/>
        <v>241110304</v>
      </c>
      <c r="I33">
        <v>28</v>
      </c>
      <c r="J33">
        <v>1</v>
      </c>
      <c r="K33">
        <v>4</v>
      </c>
      <c r="L33">
        <v>28</v>
      </c>
      <c r="M33">
        <v>4</v>
      </c>
      <c r="N33" t="s">
        <v>236</v>
      </c>
      <c r="O33" t="b">
        <v>0</v>
      </c>
      <c r="P33">
        <v>3</v>
      </c>
      <c r="Q33">
        <v>5</v>
      </c>
      <c r="R33">
        <v>3</v>
      </c>
      <c r="S33" t="s">
        <v>294</v>
      </c>
      <c r="W33" t="s">
        <v>293</v>
      </c>
      <c r="X33">
        <v>0</v>
      </c>
      <c r="Y33">
        <v>0</v>
      </c>
      <c r="Z33">
        <v>61</v>
      </c>
      <c r="AB33">
        <v>18.3</v>
      </c>
      <c r="AF33">
        <v>718</v>
      </c>
      <c r="AG33">
        <v>941.28048779999995</v>
      </c>
      <c r="AH33">
        <v>1057.8557029999999</v>
      </c>
      <c r="AI33">
        <v>0.75950316399999995</v>
      </c>
      <c r="AJ33">
        <v>1239.3371509999999</v>
      </c>
      <c r="AK33">
        <v>1069.938954</v>
      </c>
      <c r="AL33" s="1">
        <v>45491</v>
      </c>
      <c r="AM33" s="1">
        <v>45530</v>
      </c>
      <c r="AN33" t="s">
        <v>276</v>
      </c>
      <c r="AO33" t="s">
        <v>277</v>
      </c>
    </row>
    <row r="34" spans="1:41" x14ac:dyDescent="0.25">
      <c r="A34">
        <v>5</v>
      </c>
      <c r="B34">
        <v>5</v>
      </c>
      <c r="C34" t="s">
        <v>287</v>
      </c>
      <c r="D34">
        <v>53</v>
      </c>
      <c r="E34">
        <v>505</v>
      </c>
      <c r="F34">
        <v>305</v>
      </c>
      <c r="G34">
        <v>24111</v>
      </c>
      <c r="H34">
        <f t="shared" si="0"/>
        <v>241110305</v>
      </c>
      <c r="I34">
        <v>37</v>
      </c>
      <c r="J34">
        <v>1</v>
      </c>
      <c r="K34">
        <v>5</v>
      </c>
      <c r="L34">
        <v>37</v>
      </c>
      <c r="M34">
        <v>5</v>
      </c>
      <c r="N34" t="s">
        <v>236</v>
      </c>
      <c r="O34" t="b">
        <v>0</v>
      </c>
      <c r="P34">
        <v>2</v>
      </c>
      <c r="Q34">
        <v>4</v>
      </c>
      <c r="R34">
        <v>3</v>
      </c>
      <c r="S34" t="s">
        <v>290</v>
      </c>
      <c r="T34" t="s">
        <v>274</v>
      </c>
      <c r="V34" t="s">
        <v>290</v>
      </c>
      <c r="W34" t="s">
        <v>291</v>
      </c>
      <c r="X34">
        <v>0</v>
      </c>
      <c r="Y34">
        <v>0</v>
      </c>
      <c r="Z34">
        <v>61</v>
      </c>
      <c r="AB34">
        <v>16.600000000000001</v>
      </c>
      <c r="AF34">
        <v>792</v>
      </c>
      <c r="AG34">
        <v>1059.8973040000001</v>
      </c>
      <c r="AH34">
        <v>1102.624276</v>
      </c>
      <c r="AI34">
        <v>0.90549279900000001</v>
      </c>
      <c r="AJ34">
        <v>1170.519859</v>
      </c>
      <c r="AK34">
        <v>1059.8973040000001</v>
      </c>
      <c r="AL34" s="1">
        <v>45489</v>
      </c>
      <c r="AM34" s="1">
        <v>45526</v>
      </c>
      <c r="AN34" t="s">
        <v>276</v>
      </c>
      <c r="AO34" t="s">
        <v>277</v>
      </c>
    </row>
    <row r="35" spans="1:41" x14ac:dyDescent="0.25">
      <c r="A35">
        <v>5</v>
      </c>
      <c r="B35">
        <v>6</v>
      </c>
      <c r="C35" t="s">
        <v>287</v>
      </c>
      <c r="D35">
        <v>54</v>
      </c>
      <c r="E35">
        <v>506</v>
      </c>
      <c r="F35">
        <v>306</v>
      </c>
      <c r="G35">
        <v>24111</v>
      </c>
      <c r="H35">
        <f t="shared" si="0"/>
        <v>241110306</v>
      </c>
      <c r="I35">
        <v>44</v>
      </c>
      <c r="J35">
        <v>1</v>
      </c>
      <c r="K35">
        <v>6</v>
      </c>
      <c r="L35">
        <v>44</v>
      </c>
      <c r="M35">
        <v>6</v>
      </c>
      <c r="N35" t="s">
        <v>236</v>
      </c>
      <c r="O35" t="b">
        <v>0</v>
      </c>
      <c r="P35">
        <v>0</v>
      </c>
      <c r="Q35">
        <v>1</v>
      </c>
      <c r="R35">
        <v>3</v>
      </c>
      <c r="S35" t="s">
        <v>288</v>
      </c>
      <c r="T35" t="s">
        <v>274</v>
      </c>
      <c r="W35" t="s">
        <v>289</v>
      </c>
      <c r="X35">
        <v>0</v>
      </c>
      <c r="Y35">
        <v>0</v>
      </c>
      <c r="Z35">
        <v>57</v>
      </c>
      <c r="AB35">
        <v>16.899999999999999</v>
      </c>
      <c r="AF35">
        <v>862</v>
      </c>
      <c r="AG35">
        <v>1149.4255459999999</v>
      </c>
      <c r="AH35">
        <v>1182.6330740000001</v>
      </c>
      <c r="AI35">
        <v>0.96718399499999996</v>
      </c>
      <c r="AJ35">
        <v>1188.424904</v>
      </c>
      <c r="AK35">
        <v>1149.4255459999999</v>
      </c>
      <c r="AL35" s="1">
        <v>45489</v>
      </c>
      <c r="AM35" s="1">
        <v>45526</v>
      </c>
      <c r="AN35" t="s">
        <v>276</v>
      </c>
      <c r="AO35" t="s">
        <v>277</v>
      </c>
    </row>
    <row r="36" spans="1:41" x14ac:dyDescent="0.25">
      <c r="A36">
        <v>5</v>
      </c>
      <c r="B36">
        <v>7</v>
      </c>
      <c r="C36" t="s">
        <v>287</v>
      </c>
      <c r="D36">
        <v>55</v>
      </c>
      <c r="E36">
        <v>507</v>
      </c>
      <c r="F36">
        <v>307</v>
      </c>
      <c r="G36">
        <v>24111</v>
      </c>
      <c r="H36">
        <f t="shared" si="0"/>
        <v>241110307</v>
      </c>
      <c r="I36">
        <v>53</v>
      </c>
      <c r="J36">
        <v>1</v>
      </c>
      <c r="K36">
        <v>7</v>
      </c>
      <c r="L36">
        <v>53</v>
      </c>
      <c r="M36">
        <v>7</v>
      </c>
      <c r="N36" t="s">
        <v>236</v>
      </c>
      <c r="O36" t="b">
        <v>0</v>
      </c>
      <c r="P36">
        <v>0</v>
      </c>
      <c r="Q36">
        <v>2</v>
      </c>
      <c r="R36">
        <v>3</v>
      </c>
      <c r="S36" t="s">
        <v>292</v>
      </c>
      <c r="W36" t="s">
        <v>293</v>
      </c>
      <c r="X36">
        <v>0</v>
      </c>
      <c r="Y36">
        <v>0</v>
      </c>
      <c r="Z36">
        <v>59</v>
      </c>
      <c r="AB36">
        <v>17.5</v>
      </c>
      <c r="AF36">
        <v>856</v>
      </c>
      <c r="AG36">
        <v>1133.183569</v>
      </c>
      <c r="AH36">
        <v>1211.8422129999999</v>
      </c>
      <c r="AI36">
        <v>0.920179207</v>
      </c>
      <c r="AJ36">
        <v>1231.4813899999999</v>
      </c>
      <c r="AK36">
        <v>1133.183569</v>
      </c>
      <c r="AL36" s="1">
        <v>45491</v>
      </c>
      <c r="AM36" s="1">
        <v>45528</v>
      </c>
      <c r="AN36" t="s">
        <v>276</v>
      </c>
      <c r="AO36" t="s">
        <v>277</v>
      </c>
    </row>
    <row r="37" spans="1:41" x14ac:dyDescent="0.25">
      <c r="A37">
        <v>6</v>
      </c>
      <c r="B37">
        <v>1</v>
      </c>
      <c r="C37" t="s">
        <v>297</v>
      </c>
      <c r="D37">
        <v>34</v>
      </c>
      <c r="E37">
        <v>601</v>
      </c>
      <c r="F37">
        <v>308</v>
      </c>
      <c r="G37">
        <v>24112</v>
      </c>
      <c r="H37">
        <f t="shared" si="0"/>
        <v>241120308</v>
      </c>
      <c r="I37">
        <v>6</v>
      </c>
      <c r="J37">
        <v>1</v>
      </c>
      <c r="K37">
        <v>1</v>
      </c>
      <c r="L37">
        <v>6</v>
      </c>
      <c r="M37">
        <v>1</v>
      </c>
      <c r="N37" t="s">
        <v>236</v>
      </c>
      <c r="O37" t="b">
        <v>0</v>
      </c>
      <c r="P37">
        <v>1</v>
      </c>
      <c r="Q37">
        <v>2</v>
      </c>
      <c r="R37">
        <v>1</v>
      </c>
      <c r="S37" t="s">
        <v>298</v>
      </c>
      <c r="T37" t="s">
        <v>274</v>
      </c>
      <c r="W37" t="s">
        <v>299</v>
      </c>
      <c r="X37">
        <v>0</v>
      </c>
      <c r="Y37">
        <v>0</v>
      </c>
      <c r="Z37">
        <v>56</v>
      </c>
      <c r="AB37">
        <v>18.600000000000001</v>
      </c>
      <c r="AF37">
        <v>465</v>
      </c>
      <c r="AG37">
        <v>607.3652118</v>
      </c>
      <c r="AH37">
        <v>638.39476130000003</v>
      </c>
      <c r="AI37">
        <v>0.58486184200000002</v>
      </c>
      <c r="AJ37">
        <v>1038.4763849999999</v>
      </c>
      <c r="AK37">
        <v>766.45824340000001</v>
      </c>
      <c r="AL37" s="1">
        <v>45490</v>
      </c>
      <c r="AM37" s="1">
        <v>45523</v>
      </c>
      <c r="AN37" t="s">
        <v>276</v>
      </c>
      <c r="AO37" t="s">
        <v>277</v>
      </c>
    </row>
    <row r="38" spans="1:41" x14ac:dyDescent="0.25">
      <c r="A38">
        <v>6</v>
      </c>
      <c r="B38">
        <v>2</v>
      </c>
      <c r="C38" t="s">
        <v>297</v>
      </c>
      <c r="D38">
        <v>33</v>
      </c>
      <c r="E38">
        <v>602</v>
      </c>
      <c r="F38">
        <v>309</v>
      </c>
      <c r="G38">
        <v>24112</v>
      </c>
      <c r="H38">
        <f t="shared" si="0"/>
        <v>241120309</v>
      </c>
      <c r="I38">
        <v>11</v>
      </c>
      <c r="J38">
        <v>1</v>
      </c>
      <c r="K38">
        <v>2</v>
      </c>
      <c r="L38">
        <v>11</v>
      </c>
      <c r="M38">
        <v>2</v>
      </c>
      <c r="N38" t="s">
        <v>236</v>
      </c>
      <c r="O38" t="b">
        <v>0</v>
      </c>
      <c r="P38">
        <v>0</v>
      </c>
      <c r="Q38">
        <v>1</v>
      </c>
      <c r="R38">
        <v>1</v>
      </c>
      <c r="S38" t="s">
        <v>300</v>
      </c>
      <c r="T38" t="s">
        <v>274</v>
      </c>
      <c r="W38" t="s">
        <v>299</v>
      </c>
      <c r="X38">
        <v>0</v>
      </c>
      <c r="Y38">
        <v>0</v>
      </c>
      <c r="Z38">
        <v>48</v>
      </c>
      <c r="AB38">
        <v>18</v>
      </c>
      <c r="AF38">
        <v>953</v>
      </c>
      <c r="AG38">
        <v>1253.9473680000001</v>
      </c>
      <c r="AH38">
        <v>1342.8007379999999</v>
      </c>
      <c r="AI38">
        <v>0.96692105299999997</v>
      </c>
      <c r="AJ38">
        <v>1296.8456570000001</v>
      </c>
      <c r="AK38">
        <v>1253.9473680000001</v>
      </c>
      <c r="AL38" s="1">
        <v>45489</v>
      </c>
      <c r="AM38" s="1">
        <v>45526</v>
      </c>
      <c r="AN38" t="s">
        <v>276</v>
      </c>
      <c r="AO38" t="s">
        <v>277</v>
      </c>
    </row>
    <row r="39" spans="1:41" x14ac:dyDescent="0.25">
      <c r="A39">
        <v>6</v>
      </c>
      <c r="B39">
        <v>3</v>
      </c>
      <c r="C39" t="s">
        <v>287</v>
      </c>
      <c r="D39">
        <v>60</v>
      </c>
      <c r="E39">
        <v>603</v>
      </c>
      <c r="F39">
        <v>310</v>
      </c>
      <c r="G39">
        <v>24111</v>
      </c>
      <c r="H39">
        <f t="shared" si="0"/>
        <v>241110310</v>
      </c>
      <c r="I39">
        <v>22</v>
      </c>
      <c r="J39">
        <v>1</v>
      </c>
      <c r="K39">
        <v>3</v>
      </c>
      <c r="L39">
        <v>22</v>
      </c>
      <c r="M39">
        <v>3</v>
      </c>
      <c r="N39" t="s">
        <v>236</v>
      </c>
      <c r="O39" t="b">
        <v>0</v>
      </c>
      <c r="P39">
        <v>3</v>
      </c>
      <c r="Q39">
        <v>5</v>
      </c>
      <c r="R39">
        <v>4</v>
      </c>
      <c r="S39" t="s">
        <v>294</v>
      </c>
      <c r="W39" t="s">
        <v>293</v>
      </c>
      <c r="X39">
        <v>0</v>
      </c>
      <c r="Y39">
        <v>0</v>
      </c>
      <c r="Z39">
        <v>59</v>
      </c>
      <c r="AB39">
        <v>18.600000000000001</v>
      </c>
      <c r="AF39">
        <v>586</v>
      </c>
      <c r="AG39">
        <v>765.4107831</v>
      </c>
      <c r="AH39">
        <v>814.96300440000005</v>
      </c>
      <c r="AI39">
        <v>0.83383443300000004</v>
      </c>
      <c r="AJ39">
        <v>917.9409637</v>
      </c>
      <c r="AK39">
        <v>834.76541750000001</v>
      </c>
      <c r="AL39" s="1">
        <v>45491</v>
      </c>
      <c r="AM39" s="1">
        <v>45536</v>
      </c>
      <c r="AN39" t="s">
        <v>276</v>
      </c>
      <c r="AO39" t="s">
        <v>277</v>
      </c>
    </row>
    <row r="40" spans="1:41" x14ac:dyDescent="0.25">
      <c r="A40">
        <v>6</v>
      </c>
      <c r="B40">
        <v>4</v>
      </c>
      <c r="C40" t="s">
        <v>287</v>
      </c>
      <c r="D40">
        <v>59</v>
      </c>
      <c r="E40">
        <v>604</v>
      </c>
      <c r="F40">
        <v>311</v>
      </c>
      <c r="G40">
        <v>24111</v>
      </c>
      <c r="H40">
        <f t="shared" si="0"/>
        <v>241110311</v>
      </c>
      <c r="I40">
        <v>27</v>
      </c>
      <c r="J40">
        <v>1</v>
      </c>
      <c r="K40">
        <v>4</v>
      </c>
      <c r="L40">
        <v>27</v>
      </c>
      <c r="M40">
        <v>4</v>
      </c>
      <c r="N40" t="s">
        <v>236</v>
      </c>
      <c r="O40" t="b">
        <v>0</v>
      </c>
      <c r="P40">
        <v>2</v>
      </c>
      <c r="Q40">
        <v>4</v>
      </c>
      <c r="R40">
        <v>4</v>
      </c>
      <c r="S40" t="s">
        <v>290</v>
      </c>
      <c r="T40" t="s">
        <v>274</v>
      </c>
      <c r="V40" t="s">
        <v>290</v>
      </c>
      <c r="W40" t="s">
        <v>291</v>
      </c>
      <c r="X40">
        <v>0</v>
      </c>
      <c r="Y40">
        <v>0</v>
      </c>
      <c r="Z40">
        <v>61</v>
      </c>
      <c r="AB40">
        <v>16.899999999999999</v>
      </c>
      <c r="AF40">
        <v>687</v>
      </c>
      <c r="AG40">
        <v>916.07349169999998</v>
      </c>
      <c r="AH40">
        <v>1127.36952</v>
      </c>
      <c r="AI40">
        <v>0.88950730600000005</v>
      </c>
      <c r="AJ40">
        <v>1029.8661810000001</v>
      </c>
      <c r="AK40">
        <v>969.64270929999998</v>
      </c>
      <c r="AL40" s="1">
        <v>45488</v>
      </c>
      <c r="AM40" s="1">
        <v>45525</v>
      </c>
      <c r="AN40" t="s">
        <v>276</v>
      </c>
      <c r="AO40" t="s">
        <v>277</v>
      </c>
    </row>
    <row r="41" spans="1:41" x14ac:dyDescent="0.25">
      <c r="A41">
        <v>6</v>
      </c>
      <c r="B41">
        <v>5</v>
      </c>
      <c r="C41" t="s">
        <v>287</v>
      </c>
      <c r="D41">
        <v>58</v>
      </c>
      <c r="E41">
        <v>605</v>
      </c>
      <c r="F41">
        <v>312</v>
      </c>
      <c r="G41">
        <v>24111</v>
      </c>
      <c r="H41">
        <f t="shared" si="0"/>
        <v>241110312</v>
      </c>
      <c r="I41">
        <v>38</v>
      </c>
      <c r="J41">
        <v>1</v>
      </c>
      <c r="K41">
        <v>5</v>
      </c>
      <c r="L41">
        <v>38</v>
      </c>
      <c r="M41">
        <v>5</v>
      </c>
      <c r="N41" t="s">
        <v>236</v>
      </c>
      <c r="O41" t="b">
        <v>0</v>
      </c>
      <c r="P41">
        <v>0</v>
      </c>
      <c r="Q41">
        <v>2</v>
      </c>
      <c r="R41">
        <v>4</v>
      </c>
      <c r="S41" t="s">
        <v>292</v>
      </c>
      <c r="W41" t="s">
        <v>293</v>
      </c>
      <c r="X41">
        <v>0</v>
      </c>
      <c r="Y41">
        <v>0</v>
      </c>
      <c r="Z41">
        <v>55</v>
      </c>
      <c r="AB41">
        <v>17.8</v>
      </c>
      <c r="AF41">
        <v>689</v>
      </c>
      <c r="AG41">
        <v>908.79011549999996</v>
      </c>
      <c r="AH41">
        <v>1081.699494</v>
      </c>
      <c r="AI41">
        <v>0.95640789500000001</v>
      </c>
      <c r="AJ41">
        <v>950.21185049999997</v>
      </c>
      <c r="AK41">
        <v>908.79011549999996</v>
      </c>
      <c r="AL41" s="1">
        <v>45490</v>
      </c>
      <c r="AM41" s="1">
        <v>45526</v>
      </c>
      <c r="AN41" t="s">
        <v>276</v>
      </c>
      <c r="AO41" t="s">
        <v>277</v>
      </c>
    </row>
    <row r="42" spans="1:41" x14ac:dyDescent="0.25">
      <c r="A42">
        <v>6</v>
      </c>
      <c r="B42">
        <v>6</v>
      </c>
      <c r="C42" t="s">
        <v>287</v>
      </c>
      <c r="D42">
        <v>57</v>
      </c>
      <c r="E42">
        <v>606</v>
      </c>
      <c r="F42">
        <v>313</v>
      </c>
      <c r="G42">
        <v>24111</v>
      </c>
      <c r="H42">
        <f t="shared" si="0"/>
        <v>241110313</v>
      </c>
      <c r="I42">
        <v>43</v>
      </c>
      <c r="J42">
        <v>1</v>
      </c>
      <c r="K42">
        <v>6</v>
      </c>
      <c r="L42">
        <v>43</v>
      </c>
      <c r="M42">
        <v>6</v>
      </c>
      <c r="N42" t="s">
        <v>236</v>
      </c>
      <c r="O42" t="b">
        <v>0</v>
      </c>
      <c r="P42">
        <v>0</v>
      </c>
      <c r="Q42">
        <v>1</v>
      </c>
      <c r="R42">
        <v>4</v>
      </c>
      <c r="S42" t="s">
        <v>288</v>
      </c>
      <c r="T42" t="s">
        <v>274</v>
      </c>
      <c r="W42" t="s">
        <v>289</v>
      </c>
      <c r="X42">
        <v>0</v>
      </c>
      <c r="Y42">
        <v>0</v>
      </c>
      <c r="Z42">
        <v>57</v>
      </c>
      <c r="AB42">
        <v>16.8</v>
      </c>
      <c r="AF42">
        <v>726</v>
      </c>
      <c r="AG42">
        <v>969.24261869999998</v>
      </c>
      <c r="AH42">
        <v>1131.850377</v>
      </c>
      <c r="AI42">
        <v>0.97241411099999997</v>
      </c>
      <c r="AJ42">
        <v>996.73853759999997</v>
      </c>
      <c r="AK42">
        <v>969.24261869999998</v>
      </c>
      <c r="AL42" s="1">
        <v>45488</v>
      </c>
      <c r="AM42" s="1">
        <v>45526</v>
      </c>
      <c r="AN42" t="s">
        <v>276</v>
      </c>
      <c r="AO42" t="s">
        <v>277</v>
      </c>
    </row>
    <row r="43" spans="1:41" x14ac:dyDescent="0.25">
      <c r="A43">
        <v>6</v>
      </c>
      <c r="B43">
        <v>7</v>
      </c>
      <c r="C43" t="s">
        <v>287</v>
      </c>
      <c r="D43">
        <v>56</v>
      </c>
      <c r="E43">
        <v>607</v>
      </c>
      <c r="F43">
        <v>314</v>
      </c>
      <c r="G43">
        <v>24111</v>
      </c>
      <c r="H43">
        <f t="shared" si="0"/>
        <v>241110314</v>
      </c>
      <c r="I43">
        <v>54</v>
      </c>
      <c r="J43">
        <v>1</v>
      </c>
      <c r="K43">
        <v>7</v>
      </c>
      <c r="L43">
        <v>54</v>
      </c>
      <c r="M43">
        <v>7</v>
      </c>
      <c r="N43" t="s">
        <v>236</v>
      </c>
      <c r="O43" t="b">
        <v>0</v>
      </c>
      <c r="P43">
        <v>1</v>
      </c>
      <c r="Q43">
        <v>3</v>
      </c>
      <c r="R43">
        <v>4</v>
      </c>
      <c r="S43" t="s">
        <v>295</v>
      </c>
      <c r="W43" t="s">
        <v>296</v>
      </c>
      <c r="X43">
        <v>0</v>
      </c>
      <c r="Y43">
        <v>0</v>
      </c>
      <c r="Z43">
        <v>57</v>
      </c>
      <c r="AB43">
        <v>17.899999999999999</v>
      </c>
      <c r="AF43">
        <v>865</v>
      </c>
      <c r="AG43">
        <v>1139.5458920000001</v>
      </c>
      <c r="AH43">
        <v>2125.8618970000002</v>
      </c>
      <c r="AI43">
        <v>0.93287632499999995</v>
      </c>
      <c r="AJ43">
        <v>1221.5401569999999</v>
      </c>
      <c r="AK43">
        <v>1139.5458920000001</v>
      </c>
      <c r="AL43" s="1">
        <v>45488</v>
      </c>
      <c r="AM43" s="1">
        <v>45528</v>
      </c>
      <c r="AN43" t="s">
        <v>276</v>
      </c>
      <c r="AO43" t="s">
        <v>277</v>
      </c>
    </row>
    <row r="44" spans="1:41" x14ac:dyDescent="0.25">
      <c r="A44">
        <v>7</v>
      </c>
      <c r="B44">
        <v>1</v>
      </c>
      <c r="C44" t="s">
        <v>297</v>
      </c>
      <c r="D44">
        <v>35</v>
      </c>
      <c r="E44">
        <v>701</v>
      </c>
      <c r="F44">
        <v>401</v>
      </c>
      <c r="G44">
        <v>24112</v>
      </c>
      <c r="H44">
        <f t="shared" si="0"/>
        <v>241120401</v>
      </c>
      <c r="I44">
        <v>7</v>
      </c>
      <c r="J44">
        <v>1</v>
      </c>
      <c r="K44">
        <v>1</v>
      </c>
      <c r="L44">
        <v>7</v>
      </c>
      <c r="M44">
        <v>1</v>
      </c>
      <c r="N44" t="s">
        <v>236</v>
      </c>
      <c r="O44" t="b">
        <v>0</v>
      </c>
      <c r="P44">
        <v>2</v>
      </c>
      <c r="Q44">
        <v>3</v>
      </c>
      <c r="R44">
        <v>1</v>
      </c>
      <c r="S44" t="s">
        <v>301</v>
      </c>
      <c r="V44" t="s">
        <v>299</v>
      </c>
      <c r="W44" t="s">
        <v>284</v>
      </c>
      <c r="X44">
        <v>0</v>
      </c>
      <c r="Y44">
        <v>0</v>
      </c>
      <c r="Z44">
        <v>45</v>
      </c>
      <c r="AB44">
        <v>20</v>
      </c>
      <c r="AF44">
        <v>186</v>
      </c>
      <c r="AG44">
        <v>238.76765080000001</v>
      </c>
      <c r="AH44">
        <v>258.06294969999999</v>
      </c>
      <c r="AI44">
        <v>0.84759010000000001</v>
      </c>
      <c r="AJ44">
        <v>281.70179289999999</v>
      </c>
      <c r="AK44">
        <v>258.46387770000001</v>
      </c>
      <c r="AL44" s="1">
        <v>45489</v>
      </c>
      <c r="AM44" s="1">
        <v>45522</v>
      </c>
      <c r="AN44" t="s">
        <v>276</v>
      </c>
      <c r="AO44" t="s">
        <v>277</v>
      </c>
    </row>
    <row r="45" spans="1:41" x14ac:dyDescent="0.25">
      <c r="A45">
        <v>7</v>
      </c>
      <c r="B45">
        <v>2</v>
      </c>
      <c r="C45" t="s">
        <v>297</v>
      </c>
      <c r="D45">
        <v>36</v>
      </c>
      <c r="E45">
        <v>702</v>
      </c>
      <c r="F45">
        <v>402</v>
      </c>
      <c r="G45">
        <v>24112</v>
      </c>
      <c r="H45">
        <f t="shared" si="0"/>
        <v>241120402</v>
      </c>
      <c r="I45">
        <v>10</v>
      </c>
      <c r="J45">
        <v>1</v>
      </c>
      <c r="K45">
        <v>2</v>
      </c>
      <c r="L45">
        <v>10</v>
      </c>
      <c r="M45">
        <v>2</v>
      </c>
      <c r="N45" t="s">
        <v>236</v>
      </c>
      <c r="O45" t="b">
        <v>0</v>
      </c>
      <c r="P45">
        <v>3</v>
      </c>
      <c r="Q45">
        <v>4</v>
      </c>
      <c r="R45">
        <v>1</v>
      </c>
      <c r="S45" t="s">
        <v>302</v>
      </c>
      <c r="W45" t="s">
        <v>303</v>
      </c>
      <c r="X45">
        <v>0</v>
      </c>
      <c r="Y45">
        <v>0</v>
      </c>
      <c r="Z45">
        <v>47</v>
      </c>
      <c r="AB45">
        <v>17.899999999999999</v>
      </c>
      <c r="AF45">
        <v>897</v>
      </c>
      <c r="AG45">
        <v>1181.702503</v>
      </c>
      <c r="AH45">
        <v>1390.9380140000001</v>
      </c>
      <c r="AI45">
        <v>0.97512516400000004</v>
      </c>
      <c r="AJ45">
        <v>1211.8469990000001</v>
      </c>
      <c r="AK45">
        <v>1181.702503</v>
      </c>
      <c r="AL45" s="1">
        <v>45487</v>
      </c>
      <c r="AM45" s="1">
        <v>45524</v>
      </c>
      <c r="AN45" t="s">
        <v>276</v>
      </c>
      <c r="AO45" t="s">
        <v>277</v>
      </c>
    </row>
    <row r="46" spans="1:41" x14ac:dyDescent="0.25">
      <c r="A46">
        <v>7</v>
      </c>
      <c r="B46">
        <v>3</v>
      </c>
      <c r="C46" t="s">
        <v>297</v>
      </c>
      <c r="D46">
        <v>37</v>
      </c>
      <c r="E46">
        <v>703</v>
      </c>
      <c r="F46">
        <v>403</v>
      </c>
      <c r="G46">
        <v>24112</v>
      </c>
      <c r="H46">
        <f t="shared" si="0"/>
        <v>241120403</v>
      </c>
      <c r="I46">
        <v>23</v>
      </c>
      <c r="J46">
        <v>1</v>
      </c>
      <c r="K46">
        <v>3</v>
      </c>
      <c r="L46">
        <v>23</v>
      </c>
      <c r="M46">
        <v>3</v>
      </c>
      <c r="N46" t="s">
        <v>236</v>
      </c>
      <c r="O46" t="b">
        <v>0</v>
      </c>
      <c r="P46">
        <v>0</v>
      </c>
      <c r="Q46">
        <v>1</v>
      </c>
      <c r="R46">
        <v>2</v>
      </c>
      <c r="S46" t="s">
        <v>300</v>
      </c>
      <c r="T46" t="s">
        <v>274</v>
      </c>
      <c r="W46" t="s">
        <v>299</v>
      </c>
      <c r="X46">
        <v>0</v>
      </c>
      <c r="Y46">
        <v>0</v>
      </c>
      <c r="Z46">
        <v>46</v>
      </c>
      <c r="AB46">
        <v>18.100000000000001</v>
      </c>
      <c r="AF46">
        <v>562</v>
      </c>
      <c r="AG46">
        <v>738.57188699999995</v>
      </c>
      <c r="AH46">
        <v>783.42862509999998</v>
      </c>
      <c r="AI46">
        <v>0.90657236799999996</v>
      </c>
      <c r="AJ46">
        <v>814.68607770000006</v>
      </c>
      <c r="AK46">
        <v>738.57188699999995</v>
      </c>
      <c r="AL46" s="1">
        <v>45489</v>
      </c>
      <c r="AM46" s="1">
        <v>45522</v>
      </c>
      <c r="AN46" t="s">
        <v>276</v>
      </c>
      <c r="AO46" t="s">
        <v>277</v>
      </c>
    </row>
    <row r="47" spans="1:41" x14ac:dyDescent="0.25">
      <c r="A47">
        <v>7</v>
      </c>
      <c r="B47">
        <v>4</v>
      </c>
      <c r="C47" t="s">
        <v>297</v>
      </c>
      <c r="D47">
        <v>38</v>
      </c>
      <c r="E47">
        <v>704</v>
      </c>
      <c r="F47">
        <v>404</v>
      </c>
      <c r="G47">
        <v>24112</v>
      </c>
      <c r="H47">
        <f t="shared" si="0"/>
        <v>241120404</v>
      </c>
      <c r="I47">
        <v>26</v>
      </c>
      <c r="J47">
        <v>1</v>
      </c>
      <c r="K47">
        <v>4</v>
      </c>
      <c r="L47">
        <v>26</v>
      </c>
      <c r="M47">
        <v>4</v>
      </c>
      <c r="N47" t="s">
        <v>236</v>
      </c>
      <c r="O47" t="b">
        <v>0</v>
      </c>
      <c r="P47">
        <v>1</v>
      </c>
      <c r="Q47">
        <v>2</v>
      </c>
      <c r="R47">
        <v>2</v>
      </c>
      <c r="S47" t="s">
        <v>298</v>
      </c>
      <c r="T47" t="s">
        <v>274</v>
      </c>
      <c r="W47" t="s">
        <v>299</v>
      </c>
      <c r="X47">
        <v>0</v>
      </c>
      <c r="Y47">
        <v>0</v>
      </c>
      <c r="Z47">
        <v>55</v>
      </c>
      <c r="AB47">
        <v>18.399999999999999</v>
      </c>
      <c r="AF47">
        <v>368</v>
      </c>
      <c r="AG47">
        <v>481.84852369999999</v>
      </c>
      <c r="AH47">
        <v>538.59286320000001</v>
      </c>
      <c r="AI47">
        <v>0.67427860900000003</v>
      </c>
      <c r="AJ47">
        <v>714.61339169999997</v>
      </c>
      <c r="AK47">
        <v>575.5894164</v>
      </c>
      <c r="AL47" s="1">
        <v>45492</v>
      </c>
      <c r="AM47" s="1">
        <v>45525</v>
      </c>
      <c r="AN47" t="s">
        <v>276</v>
      </c>
      <c r="AO47" t="s">
        <v>277</v>
      </c>
    </row>
    <row r="48" spans="1:41" x14ac:dyDescent="0.25">
      <c r="A48">
        <v>7</v>
      </c>
      <c r="B48">
        <v>5</v>
      </c>
      <c r="C48" t="s">
        <v>297</v>
      </c>
      <c r="D48">
        <v>39</v>
      </c>
      <c r="E48">
        <v>705</v>
      </c>
      <c r="F48">
        <v>405</v>
      </c>
      <c r="G48">
        <v>24112</v>
      </c>
      <c r="H48">
        <f t="shared" si="0"/>
        <v>241120405</v>
      </c>
      <c r="I48">
        <v>39</v>
      </c>
      <c r="J48">
        <v>1</v>
      </c>
      <c r="K48">
        <v>5</v>
      </c>
      <c r="L48">
        <v>39</v>
      </c>
      <c r="M48">
        <v>5</v>
      </c>
      <c r="N48" t="s">
        <v>236</v>
      </c>
      <c r="O48" t="b">
        <v>0</v>
      </c>
      <c r="P48">
        <v>2</v>
      </c>
      <c r="Q48">
        <v>3</v>
      </c>
      <c r="R48">
        <v>2</v>
      </c>
      <c r="S48" t="s">
        <v>301</v>
      </c>
      <c r="V48" t="s">
        <v>299</v>
      </c>
      <c r="W48" t="s">
        <v>284</v>
      </c>
      <c r="X48">
        <v>0</v>
      </c>
      <c r="Y48">
        <v>0</v>
      </c>
      <c r="Z48">
        <v>45</v>
      </c>
      <c r="AB48">
        <v>18.600000000000001</v>
      </c>
      <c r="AF48">
        <v>273</v>
      </c>
      <c r="AG48">
        <v>356.58215660000002</v>
      </c>
      <c r="AH48">
        <v>398.84942109999997</v>
      </c>
      <c r="AI48">
        <v>0.96326364099999995</v>
      </c>
      <c r="AJ48">
        <v>370.18126849999999</v>
      </c>
      <c r="AK48">
        <v>356.58215660000002</v>
      </c>
      <c r="AL48" s="1">
        <v>45489</v>
      </c>
      <c r="AM48" s="1">
        <v>45523</v>
      </c>
      <c r="AN48" t="s">
        <v>276</v>
      </c>
      <c r="AO48" t="s">
        <v>277</v>
      </c>
    </row>
    <row r="49" spans="1:41" x14ac:dyDescent="0.25">
      <c r="A49">
        <v>7</v>
      </c>
      <c r="B49">
        <v>6</v>
      </c>
      <c r="C49" t="s">
        <v>297</v>
      </c>
      <c r="D49">
        <v>40</v>
      </c>
      <c r="E49">
        <v>706</v>
      </c>
      <c r="F49">
        <v>406</v>
      </c>
      <c r="G49">
        <v>24112</v>
      </c>
      <c r="H49">
        <f t="shared" si="0"/>
        <v>241120406</v>
      </c>
      <c r="I49">
        <v>42</v>
      </c>
      <c r="J49">
        <v>1</v>
      </c>
      <c r="K49">
        <v>6</v>
      </c>
      <c r="L49">
        <v>42</v>
      </c>
      <c r="M49">
        <v>6</v>
      </c>
      <c r="N49" t="s">
        <v>236</v>
      </c>
      <c r="O49" t="b">
        <v>0</v>
      </c>
      <c r="P49">
        <v>3</v>
      </c>
      <c r="Q49">
        <v>4</v>
      </c>
      <c r="R49">
        <v>2</v>
      </c>
      <c r="S49" t="s">
        <v>302</v>
      </c>
      <c r="W49" t="s">
        <v>303</v>
      </c>
      <c r="X49">
        <v>0</v>
      </c>
      <c r="Y49">
        <v>0</v>
      </c>
      <c r="Z49">
        <v>48</v>
      </c>
      <c r="AB49">
        <v>17.5</v>
      </c>
      <c r="AF49">
        <v>830</v>
      </c>
      <c r="AG49">
        <v>1098.7644419999999</v>
      </c>
      <c r="AH49">
        <v>1189.164407</v>
      </c>
      <c r="AI49">
        <v>0.96273001800000002</v>
      </c>
      <c r="AJ49">
        <v>1141.3006989999999</v>
      </c>
      <c r="AK49">
        <v>1098.7644419999999</v>
      </c>
      <c r="AL49" s="1">
        <v>45488</v>
      </c>
      <c r="AM49" s="1">
        <v>45525</v>
      </c>
      <c r="AN49" t="s">
        <v>276</v>
      </c>
      <c r="AO49" t="s">
        <v>277</v>
      </c>
    </row>
    <row r="50" spans="1:41" x14ac:dyDescent="0.25">
      <c r="A50">
        <v>7</v>
      </c>
      <c r="B50">
        <v>7</v>
      </c>
      <c r="C50" t="s">
        <v>297</v>
      </c>
      <c r="D50">
        <v>41</v>
      </c>
      <c r="E50">
        <v>707</v>
      </c>
      <c r="F50">
        <v>407</v>
      </c>
      <c r="G50">
        <v>24112</v>
      </c>
      <c r="H50">
        <f t="shared" si="0"/>
        <v>241120407</v>
      </c>
      <c r="I50">
        <v>55</v>
      </c>
      <c r="J50">
        <v>1</v>
      </c>
      <c r="K50">
        <v>7</v>
      </c>
      <c r="L50">
        <v>55</v>
      </c>
      <c r="M50">
        <v>7</v>
      </c>
      <c r="N50" t="s">
        <v>236</v>
      </c>
      <c r="O50" t="b">
        <v>0</v>
      </c>
      <c r="P50">
        <v>3</v>
      </c>
      <c r="Q50">
        <v>4</v>
      </c>
      <c r="R50">
        <v>3</v>
      </c>
      <c r="S50" t="s">
        <v>302</v>
      </c>
      <c r="W50" t="s">
        <v>303</v>
      </c>
      <c r="X50">
        <v>0</v>
      </c>
      <c r="Y50">
        <v>0</v>
      </c>
      <c r="Z50">
        <v>46</v>
      </c>
      <c r="AB50">
        <v>18</v>
      </c>
      <c r="AF50">
        <v>804</v>
      </c>
      <c r="AG50">
        <v>1057.8947370000001</v>
      </c>
      <c r="AH50">
        <v>1133.7767260000001</v>
      </c>
      <c r="AI50">
        <v>0.95890104499999995</v>
      </c>
      <c r="AJ50">
        <v>1103.2366079999999</v>
      </c>
      <c r="AK50">
        <v>1057.8947370000001</v>
      </c>
      <c r="AL50" s="1">
        <v>45488</v>
      </c>
      <c r="AM50" s="1">
        <v>45528</v>
      </c>
      <c r="AN50" t="s">
        <v>276</v>
      </c>
      <c r="AO50" t="s">
        <v>277</v>
      </c>
    </row>
    <row r="51" spans="1:41" x14ac:dyDescent="0.25">
      <c r="A51">
        <v>8</v>
      </c>
      <c r="B51">
        <v>1</v>
      </c>
      <c r="C51" t="s">
        <v>297</v>
      </c>
      <c r="D51">
        <v>48</v>
      </c>
      <c r="E51">
        <v>801</v>
      </c>
      <c r="F51">
        <v>408</v>
      </c>
      <c r="G51">
        <v>24112</v>
      </c>
      <c r="H51">
        <f t="shared" si="0"/>
        <v>241120408</v>
      </c>
      <c r="I51">
        <v>8</v>
      </c>
      <c r="J51">
        <v>1</v>
      </c>
      <c r="K51">
        <v>1</v>
      </c>
      <c r="L51">
        <v>8</v>
      </c>
      <c r="M51">
        <v>1</v>
      </c>
      <c r="N51" t="s">
        <v>236</v>
      </c>
      <c r="O51" t="b">
        <v>0</v>
      </c>
      <c r="P51">
        <v>2</v>
      </c>
      <c r="Q51">
        <v>3</v>
      </c>
      <c r="R51">
        <v>4</v>
      </c>
      <c r="S51" t="s">
        <v>301</v>
      </c>
      <c r="V51" t="s">
        <v>299</v>
      </c>
      <c r="W51" t="s">
        <v>284</v>
      </c>
      <c r="X51">
        <v>0</v>
      </c>
      <c r="Y51">
        <v>0</v>
      </c>
      <c r="Z51">
        <v>47</v>
      </c>
      <c r="AB51">
        <v>17.7</v>
      </c>
      <c r="AF51">
        <v>311</v>
      </c>
      <c r="AG51">
        <v>410.70763799999997</v>
      </c>
      <c r="AH51">
        <v>456.7150661</v>
      </c>
      <c r="AI51">
        <v>0.93324342100000002</v>
      </c>
      <c r="AJ51">
        <v>440.08629339999999</v>
      </c>
      <c r="AK51">
        <v>410.70763799999997</v>
      </c>
      <c r="AL51" s="1">
        <v>45489</v>
      </c>
      <c r="AM51" s="1">
        <v>45522</v>
      </c>
      <c r="AN51" t="s">
        <v>276</v>
      </c>
      <c r="AO51" t="s">
        <v>277</v>
      </c>
    </row>
    <row r="52" spans="1:41" x14ac:dyDescent="0.25">
      <c r="A52">
        <v>8</v>
      </c>
      <c r="B52">
        <v>2</v>
      </c>
      <c r="C52" t="s">
        <v>297</v>
      </c>
      <c r="D52">
        <v>47</v>
      </c>
      <c r="E52">
        <v>802</v>
      </c>
      <c r="F52">
        <v>409</v>
      </c>
      <c r="G52">
        <v>24112</v>
      </c>
      <c r="H52">
        <f t="shared" si="0"/>
        <v>241120409</v>
      </c>
      <c r="I52">
        <v>9</v>
      </c>
      <c r="J52">
        <v>1</v>
      </c>
      <c r="K52">
        <v>2</v>
      </c>
      <c r="L52">
        <v>9</v>
      </c>
      <c r="M52">
        <v>2</v>
      </c>
      <c r="N52" t="s">
        <v>236</v>
      </c>
      <c r="O52" t="b">
        <v>0</v>
      </c>
      <c r="P52">
        <v>1</v>
      </c>
      <c r="Q52">
        <v>2</v>
      </c>
      <c r="R52">
        <v>4</v>
      </c>
      <c r="S52" t="s">
        <v>298</v>
      </c>
      <c r="T52" t="s">
        <v>274</v>
      </c>
      <c r="W52" t="s">
        <v>299</v>
      </c>
      <c r="X52">
        <v>0</v>
      </c>
      <c r="Y52">
        <v>0</v>
      </c>
      <c r="Z52">
        <v>51</v>
      </c>
      <c r="AB52">
        <v>17.899999999999999</v>
      </c>
      <c r="AF52">
        <v>366</v>
      </c>
      <c r="AG52">
        <v>482.16623879999997</v>
      </c>
      <c r="AH52">
        <v>514.8709192</v>
      </c>
      <c r="AI52">
        <v>0.68985945800000004</v>
      </c>
      <c r="AJ52">
        <v>698.93401249999999</v>
      </c>
      <c r="AK52">
        <v>570.65839010000002</v>
      </c>
      <c r="AL52" s="1">
        <v>45491</v>
      </c>
      <c r="AM52" s="1">
        <v>45525</v>
      </c>
      <c r="AN52" t="s">
        <v>276</v>
      </c>
      <c r="AO52" t="s">
        <v>277</v>
      </c>
    </row>
    <row r="53" spans="1:41" x14ac:dyDescent="0.25">
      <c r="A53">
        <v>8</v>
      </c>
      <c r="B53">
        <v>3</v>
      </c>
      <c r="C53" t="s">
        <v>297</v>
      </c>
      <c r="D53">
        <v>46</v>
      </c>
      <c r="E53">
        <v>803</v>
      </c>
      <c r="F53">
        <v>410</v>
      </c>
      <c r="G53">
        <v>24112</v>
      </c>
      <c r="H53">
        <f t="shared" si="0"/>
        <v>241120410</v>
      </c>
      <c r="I53">
        <v>24</v>
      </c>
      <c r="J53">
        <v>1</v>
      </c>
      <c r="K53">
        <v>3</v>
      </c>
      <c r="L53">
        <v>24</v>
      </c>
      <c r="M53">
        <v>3</v>
      </c>
      <c r="N53" t="s">
        <v>236</v>
      </c>
      <c r="O53" t="b">
        <v>0</v>
      </c>
      <c r="P53">
        <v>3</v>
      </c>
      <c r="Q53">
        <v>4</v>
      </c>
      <c r="R53">
        <v>4</v>
      </c>
      <c r="S53" t="s">
        <v>302</v>
      </c>
      <c r="W53" t="s">
        <v>303</v>
      </c>
      <c r="X53">
        <v>0</v>
      </c>
      <c r="Y53">
        <v>0</v>
      </c>
      <c r="Z53">
        <v>46</v>
      </c>
      <c r="AB53">
        <v>18.100000000000001</v>
      </c>
      <c r="AF53">
        <v>780</v>
      </c>
      <c r="AG53">
        <v>1025.064185</v>
      </c>
      <c r="AH53">
        <v>1124.272534</v>
      </c>
      <c r="AI53">
        <v>0.94347368399999998</v>
      </c>
      <c r="AJ53">
        <v>1086.47883</v>
      </c>
      <c r="AK53">
        <v>1025.064185</v>
      </c>
      <c r="AL53" s="1">
        <v>45489</v>
      </c>
      <c r="AM53" s="1">
        <v>45527</v>
      </c>
      <c r="AN53" t="s">
        <v>276</v>
      </c>
      <c r="AO53" t="s">
        <v>277</v>
      </c>
    </row>
    <row r="54" spans="1:41" x14ac:dyDescent="0.25">
      <c r="A54">
        <v>8</v>
      </c>
      <c r="B54">
        <v>4</v>
      </c>
      <c r="C54" t="s">
        <v>297</v>
      </c>
      <c r="D54">
        <v>45</v>
      </c>
      <c r="E54">
        <v>804</v>
      </c>
      <c r="F54">
        <v>411</v>
      </c>
      <c r="G54">
        <v>24112</v>
      </c>
      <c r="H54">
        <f t="shared" si="0"/>
        <v>241120411</v>
      </c>
      <c r="I54">
        <v>25</v>
      </c>
      <c r="J54">
        <v>1</v>
      </c>
      <c r="K54">
        <v>4</v>
      </c>
      <c r="L54">
        <v>25</v>
      </c>
      <c r="M54">
        <v>4</v>
      </c>
      <c r="N54" t="s">
        <v>236</v>
      </c>
      <c r="O54" t="b">
        <v>0</v>
      </c>
      <c r="P54">
        <v>0</v>
      </c>
      <c r="Q54">
        <v>1</v>
      </c>
      <c r="R54">
        <v>4</v>
      </c>
      <c r="S54" t="s">
        <v>300</v>
      </c>
      <c r="T54" t="s">
        <v>274</v>
      </c>
      <c r="W54" t="s">
        <v>299</v>
      </c>
      <c r="X54">
        <v>0</v>
      </c>
      <c r="Y54">
        <v>0</v>
      </c>
      <c r="Z54">
        <v>46</v>
      </c>
      <c r="AB54">
        <v>18.5</v>
      </c>
      <c r="AF54">
        <v>550</v>
      </c>
      <c r="AG54">
        <v>719.27150189999998</v>
      </c>
      <c r="AH54">
        <v>758.95696199999998</v>
      </c>
      <c r="AI54">
        <v>0.93892763199999996</v>
      </c>
      <c r="AJ54">
        <v>766.0563793</v>
      </c>
      <c r="AK54">
        <v>719.27150189999998</v>
      </c>
      <c r="AL54" s="1">
        <v>45489</v>
      </c>
      <c r="AM54" s="1">
        <v>45527</v>
      </c>
      <c r="AN54" t="s">
        <v>276</v>
      </c>
      <c r="AO54" t="s">
        <v>277</v>
      </c>
    </row>
    <row r="55" spans="1:41" x14ac:dyDescent="0.25">
      <c r="A55">
        <v>8</v>
      </c>
      <c r="B55">
        <v>5</v>
      </c>
      <c r="C55" t="s">
        <v>297</v>
      </c>
      <c r="D55">
        <v>44</v>
      </c>
      <c r="E55">
        <v>805</v>
      </c>
      <c r="F55">
        <v>412</v>
      </c>
      <c r="G55">
        <v>24112</v>
      </c>
      <c r="H55">
        <f t="shared" si="0"/>
        <v>241120412</v>
      </c>
      <c r="I55">
        <v>40</v>
      </c>
      <c r="J55">
        <v>1</v>
      </c>
      <c r="K55">
        <v>5</v>
      </c>
      <c r="L55">
        <v>40</v>
      </c>
      <c r="M55">
        <v>5</v>
      </c>
      <c r="N55" t="s">
        <v>236</v>
      </c>
      <c r="O55" t="b">
        <v>0</v>
      </c>
      <c r="P55">
        <v>2</v>
      </c>
      <c r="Q55">
        <v>3</v>
      </c>
      <c r="R55">
        <v>3</v>
      </c>
      <c r="S55" t="s">
        <v>301</v>
      </c>
      <c r="V55" t="s">
        <v>299</v>
      </c>
      <c r="W55" t="s">
        <v>284</v>
      </c>
      <c r="X55">
        <v>0</v>
      </c>
      <c r="Y55">
        <v>0</v>
      </c>
      <c r="Z55">
        <v>50</v>
      </c>
      <c r="AB55">
        <v>18</v>
      </c>
      <c r="AF55">
        <v>475</v>
      </c>
      <c r="AG55">
        <v>625</v>
      </c>
      <c r="AH55">
        <v>657.72620589999997</v>
      </c>
      <c r="AI55">
        <v>0.54724764299999995</v>
      </c>
      <c r="AJ55">
        <v>1142.078925</v>
      </c>
      <c r="AK55">
        <v>807.88618789999998</v>
      </c>
      <c r="AL55" s="1">
        <v>45490</v>
      </c>
      <c r="AM55" s="1">
        <v>45527</v>
      </c>
      <c r="AN55" t="s">
        <v>276</v>
      </c>
      <c r="AO55" t="s">
        <v>277</v>
      </c>
    </row>
    <row r="56" spans="1:41" x14ac:dyDescent="0.25">
      <c r="A56">
        <v>8</v>
      </c>
      <c r="B56">
        <v>6</v>
      </c>
      <c r="C56" t="s">
        <v>297</v>
      </c>
      <c r="D56">
        <v>43</v>
      </c>
      <c r="E56">
        <v>806</v>
      </c>
      <c r="F56">
        <v>413</v>
      </c>
      <c r="G56">
        <v>24112</v>
      </c>
      <c r="H56">
        <f t="shared" si="0"/>
        <v>241120413</v>
      </c>
      <c r="I56">
        <v>41</v>
      </c>
      <c r="J56">
        <v>1</v>
      </c>
      <c r="K56">
        <v>6</v>
      </c>
      <c r="L56">
        <v>41</v>
      </c>
      <c r="M56">
        <v>6</v>
      </c>
      <c r="N56" t="s">
        <v>236</v>
      </c>
      <c r="O56" t="b">
        <v>0</v>
      </c>
      <c r="P56">
        <v>0</v>
      </c>
      <c r="Q56">
        <v>1</v>
      </c>
      <c r="R56">
        <v>3</v>
      </c>
      <c r="S56" t="s">
        <v>300</v>
      </c>
      <c r="T56" t="s">
        <v>274</v>
      </c>
      <c r="W56" t="s">
        <v>299</v>
      </c>
      <c r="X56">
        <v>0</v>
      </c>
      <c r="Y56">
        <v>0</v>
      </c>
      <c r="Z56">
        <v>48</v>
      </c>
      <c r="AB56">
        <v>18.100000000000001</v>
      </c>
      <c r="AF56">
        <v>902</v>
      </c>
      <c r="AG56">
        <v>1185.3947370000001</v>
      </c>
      <c r="AH56">
        <v>1228.145804</v>
      </c>
      <c r="AI56">
        <v>0.92749437499999998</v>
      </c>
      <c r="AJ56">
        <v>1278.0613760000001</v>
      </c>
      <c r="AK56">
        <v>1185.3947370000001</v>
      </c>
      <c r="AL56" s="1">
        <v>45488</v>
      </c>
      <c r="AM56" s="1">
        <v>45527</v>
      </c>
      <c r="AN56" t="s">
        <v>276</v>
      </c>
      <c r="AO56" t="s">
        <v>277</v>
      </c>
    </row>
    <row r="57" spans="1:41" x14ac:dyDescent="0.25">
      <c r="A57">
        <v>8</v>
      </c>
      <c r="B57">
        <v>7</v>
      </c>
      <c r="C57" t="s">
        <v>297</v>
      </c>
      <c r="D57">
        <v>42</v>
      </c>
      <c r="E57">
        <v>807</v>
      </c>
      <c r="F57">
        <v>414</v>
      </c>
      <c r="G57">
        <v>24112</v>
      </c>
      <c r="H57">
        <f t="shared" si="0"/>
        <v>241120414</v>
      </c>
      <c r="I57">
        <v>56</v>
      </c>
      <c r="J57">
        <v>1</v>
      </c>
      <c r="K57">
        <v>7</v>
      </c>
      <c r="L57">
        <v>56</v>
      </c>
      <c r="M57">
        <v>7</v>
      </c>
      <c r="N57" t="s">
        <v>236</v>
      </c>
      <c r="O57" t="b">
        <v>0</v>
      </c>
      <c r="P57">
        <v>1</v>
      </c>
      <c r="Q57">
        <v>2</v>
      </c>
      <c r="R57">
        <v>3</v>
      </c>
      <c r="S57" t="s">
        <v>298</v>
      </c>
      <c r="T57" t="s">
        <v>274</v>
      </c>
      <c r="W57" t="s">
        <v>299</v>
      </c>
      <c r="X57">
        <v>0</v>
      </c>
      <c r="Y57">
        <v>0</v>
      </c>
      <c r="Z57">
        <v>53</v>
      </c>
      <c r="AB57">
        <v>18.3</v>
      </c>
      <c r="AF57">
        <v>466</v>
      </c>
      <c r="AG57">
        <v>610.91463409999994</v>
      </c>
      <c r="AH57">
        <v>660.79348809999999</v>
      </c>
      <c r="AI57">
        <v>0.92457027400000003</v>
      </c>
      <c r="AJ57">
        <v>660.75521900000001</v>
      </c>
      <c r="AK57">
        <v>610.91463409999994</v>
      </c>
      <c r="AL57" s="1">
        <v>45489</v>
      </c>
      <c r="AM57" s="1">
        <v>45526</v>
      </c>
      <c r="AN57" t="s">
        <v>276</v>
      </c>
      <c r="AO57" t="s">
        <v>277</v>
      </c>
    </row>
    <row r="59" spans="1:41" x14ac:dyDescent="0.25">
      <c r="U59" s="1"/>
      <c r="V59" s="1"/>
    </row>
    <row r="60" spans="1:41" x14ac:dyDescent="0.25">
      <c r="U60" s="1"/>
      <c r="V60" s="1"/>
    </row>
    <row r="61" spans="1:41" x14ac:dyDescent="0.25">
      <c r="U61" s="1"/>
      <c r="V61" s="1"/>
    </row>
    <row r="62" spans="1:41" x14ac:dyDescent="0.25">
      <c r="U62" s="1"/>
      <c r="V62" s="1"/>
    </row>
    <row r="63" spans="1:41" x14ac:dyDescent="0.25">
      <c r="U63" s="1"/>
      <c r="V63" s="1"/>
    </row>
    <row r="64" spans="1:41" x14ac:dyDescent="0.25">
      <c r="B64" s="2"/>
      <c r="U64" s="1"/>
      <c r="V64" s="1"/>
    </row>
    <row r="65" spans="21:22" x14ac:dyDescent="0.25">
      <c r="U65" s="1"/>
      <c r="V65" s="1"/>
    </row>
    <row r="66" spans="21:22" x14ac:dyDescent="0.25">
      <c r="U66" s="1"/>
      <c r="V66" s="1"/>
    </row>
    <row r="67" spans="21:22" x14ac:dyDescent="0.25">
      <c r="U67" s="1"/>
      <c r="V67" s="1"/>
    </row>
    <row r="68" spans="21:22" x14ac:dyDescent="0.25">
      <c r="U68" s="1"/>
      <c r="V68" s="1"/>
    </row>
    <row r="69" spans="21:22" x14ac:dyDescent="0.25">
      <c r="U69" s="1"/>
      <c r="V69" s="1"/>
    </row>
    <row r="70" spans="21:22" x14ac:dyDescent="0.25">
      <c r="U70" s="1"/>
      <c r="V70" s="1"/>
    </row>
    <row r="71" spans="21:22" x14ac:dyDescent="0.25">
      <c r="U71" s="1"/>
      <c r="V71" s="1"/>
    </row>
    <row r="72" spans="21:22" x14ac:dyDescent="0.25">
      <c r="U72" s="1"/>
      <c r="V72" s="1"/>
    </row>
    <row r="73" spans="21:22" x14ac:dyDescent="0.25">
      <c r="U73" s="1"/>
      <c r="V73" s="1"/>
    </row>
    <row r="74" spans="21:22" x14ac:dyDescent="0.25">
      <c r="U74" s="1"/>
    </row>
    <row r="75" spans="21:22" x14ac:dyDescent="0.25">
      <c r="U75" s="1"/>
      <c r="V75" s="1"/>
    </row>
    <row r="76" spans="21:22" x14ac:dyDescent="0.25">
      <c r="U76" s="1"/>
      <c r="V76" s="1"/>
    </row>
    <row r="77" spans="21:22" x14ac:dyDescent="0.25">
      <c r="U77" s="1"/>
      <c r="V77" s="1"/>
    </row>
    <row r="78" spans="21:22" x14ac:dyDescent="0.25">
      <c r="U78" s="1"/>
      <c r="V78" s="1"/>
    </row>
    <row r="79" spans="21:22" x14ac:dyDescent="0.25">
      <c r="U79" s="1"/>
      <c r="V79" s="1"/>
    </row>
    <row r="80" spans="21:22" x14ac:dyDescent="0.25">
      <c r="U80" s="1"/>
      <c r="V80" s="1"/>
    </row>
    <row r="81" spans="21:22" x14ac:dyDescent="0.25">
      <c r="U81" s="1"/>
      <c r="V81" s="1"/>
    </row>
    <row r="82" spans="21:22" x14ac:dyDescent="0.25">
      <c r="U82" s="1"/>
      <c r="V82" s="1"/>
    </row>
    <row r="83" spans="21:22" x14ac:dyDescent="0.25">
      <c r="U83" s="1"/>
      <c r="V83" s="1"/>
    </row>
    <row r="84" spans="21:22" x14ac:dyDescent="0.25">
      <c r="U84" s="1"/>
      <c r="V84" s="1"/>
    </row>
    <row r="85" spans="21:22" x14ac:dyDescent="0.25">
      <c r="U85" s="1"/>
      <c r="V85" s="1"/>
    </row>
    <row r="86" spans="21:22" x14ac:dyDescent="0.25">
      <c r="U86" s="1"/>
      <c r="V86" s="1"/>
    </row>
    <row r="87" spans="21:22" x14ac:dyDescent="0.25">
      <c r="U87" s="1"/>
      <c r="V87" s="1"/>
    </row>
    <row r="88" spans="21:22" x14ac:dyDescent="0.25">
      <c r="U88" s="1"/>
      <c r="V88" s="1"/>
    </row>
    <row r="89" spans="21:22" x14ac:dyDescent="0.25">
      <c r="U89" s="1"/>
      <c r="V89" s="1"/>
    </row>
    <row r="90" spans="21:22" x14ac:dyDescent="0.25">
      <c r="U90" s="1"/>
      <c r="V90" s="1"/>
    </row>
    <row r="91" spans="21:22" x14ac:dyDescent="0.25">
      <c r="U91" s="1"/>
      <c r="V91" s="1"/>
    </row>
    <row r="92" spans="21:22" x14ac:dyDescent="0.25">
      <c r="U92" s="1"/>
      <c r="V92" s="1"/>
    </row>
    <row r="93" spans="21:22" x14ac:dyDescent="0.25">
      <c r="U93" s="1"/>
    </row>
    <row r="94" spans="21:22" x14ac:dyDescent="0.25">
      <c r="U94" s="1"/>
      <c r="V94" s="1"/>
    </row>
    <row r="95" spans="21:22" x14ac:dyDescent="0.25">
      <c r="U95" s="1"/>
      <c r="V95" s="1"/>
    </row>
    <row r="96" spans="21:22" x14ac:dyDescent="0.25">
      <c r="U96" s="1"/>
    </row>
    <row r="97" spans="2:22" x14ac:dyDescent="0.25">
      <c r="U97" s="1"/>
      <c r="V97" s="1"/>
    </row>
    <row r="98" spans="2:22" x14ac:dyDescent="0.25">
      <c r="U98" s="1"/>
      <c r="V98" s="1"/>
    </row>
    <row r="99" spans="2:22" x14ac:dyDescent="0.25">
      <c r="U99" s="1"/>
      <c r="V99" s="1"/>
    </row>
    <row r="100" spans="2:22" x14ac:dyDescent="0.25">
      <c r="U100" s="1"/>
      <c r="V100" s="1"/>
    </row>
    <row r="101" spans="2:22" x14ac:dyDescent="0.25">
      <c r="U101" s="1"/>
      <c r="V101" s="1"/>
    </row>
    <row r="102" spans="2:22" x14ac:dyDescent="0.25">
      <c r="U102" s="1"/>
      <c r="V102" s="1"/>
    </row>
    <row r="103" spans="2:22" x14ac:dyDescent="0.25">
      <c r="U103" s="1"/>
      <c r="V103" s="1"/>
    </row>
    <row r="104" spans="2:22" x14ac:dyDescent="0.25">
      <c r="U104" s="1"/>
      <c r="V104" s="1"/>
    </row>
    <row r="105" spans="2:22" x14ac:dyDescent="0.25">
      <c r="U105" s="1"/>
      <c r="V105" s="1"/>
    </row>
    <row r="106" spans="2:22" x14ac:dyDescent="0.25">
      <c r="B106" s="2"/>
      <c r="U106" s="1"/>
      <c r="V106" s="1"/>
    </row>
    <row r="107" spans="2:22" x14ac:dyDescent="0.25">
      <c r="U107" s="1"/>
      <c r="V107" s="1"/>
    </row>
    <row r="108" spans="2:22" x14ac:dyDescent="0.25">
      <c r="U108" s="1"/>
      <c r="V108" s="1"/>
    </row>
    <row r="109" spans="2:22" x14ac:dyDescent="0.25">
      <c r="U109" s="1"/>
      <c r="V109" s="1"/>
    </row>
    <row r="110" spans="2:22" x14ac:dyDescent="0.25">
      <c r="U110" s="1"/>
    </row>
    <row r="111" spans="2:22" x14ac:dyDescent="0.25">
      <c r="U111" s="1"/>
      <c r="V111" s="1"/>
    </row>
    <row r="112" spans="2:22" x14ac:dyDescent="0.25">
      <c r="U112" s="1"/>
      <c r="V112" s="1"/>
    </row>
    <row r="113" spans="21:22" x14ac:dyDescent="0.25">
      <c r="U113" s="1"/>
      <c r="V113" s="1"/>
    </row>
    <row r="114" spans="21:22" x14ac:dyDescent="0.25">
      <c r="U114" s="1"/>
      <c r="V114" s="1"/>
    </row>
    <row r="115" spans="21:22" x14ac:dyDescent="0.25">
      <c r="U115" s="1"/>
      <c r="V115" s="1"/>
    </row>
    <row r="116" spans="21:22" x14ac:dyDescent="0.25">
      <c r="U116" s="1"/>
      <c r="V116" s="1"/>
    </row>
    <row r="117" spans="21:22" x14ac:dyDescent="0.25">
      <c r="U117" s="1"/>
      <c r="V117" s="1"/>
    </row>
    <row r="118" spans="21:22" x14ac:dyDescent="0.25">
      <c r="U118" s="1"/>
    </row>
    <row r="119" spans="21:22" x14ac:dyDescent="0.25">
      <c r="U119" s="1"/>
      <c r="V119" s="1"/>
    </row>
    <row r="120" spans="21:22" x14ac:dyDescent="0.25">
      <c r="U120" s="1"/>
      <c r="V120" s="1"/>
    </row>
    <row r="121" spans="21:22" x14ac:dyDescent="0.25">
      <c r="U121" s="1"/>
    </row>
    <row r="122" spans="21:22" x14ac:dyDescent="0.25">
      <c r="U122" s="1"/>
      <c r="V122" s="1"/>
    </row>
    <row r="123" spans="21:22" x14ac:dyDescent="0.25">
      <c r="U123" s="1"/>
      <c r="V123" s="1"/>
    </row>
    <row r="124" spans="21:22" x14ac:dyDescent="0.25">
      <c r="U124" s="1"/>
      <c r="V124" s="1"/>
    </row>
    <row r="125" spans="21:22" x14ac:dyDescent="0.25">
      <c r="U125" s="1"/>
      <c r="V125" s="1"/>
    </row>
    <row r="126" spans="21:22" x14ac:dyDescent="0.25">
      <c r="U126" s="1"/>
      <c r="V126" s="1"/>
    </row>
    <row r="127" spans="21:22" x14ac:dyDescent="0.25">
      <c r="U127" s="1"/>
      <c r="V127" s="1"/>
    </row>
    <row r="128" spans="21:22" x14ac:dyDescent="0.25">
      <c r="U128" s="1"/>
      <c r="V128" s="1"/>
    </row>
    <row r="129" spans="21:22" x14ac:dyDescent="0.25">
      <c r="U129" s="1"/>
      <c r="V129" s="1"/>
    </row>
    <row r="130" spans="21:22" x14ac:dyDescent="0.25">
      <c r="U130" s="1"/>
      <c r="V130" s="1"/>
    </row>
    <row r="131" spans="21:22" x14ac:dyDescent="0.25">
      <c r="U131" s="1"/>
    </row>
    <row r="132" spans="21:22" x14ac:dyDescent="0.25">
      <c r="U132" s="1"/>
      <c r="V132" s="1"/>
    </row>
    <row r="133" spans="21:22" x14ac:dyDescent="0.25">
      <c r="U133" s="1"/>
      <c r="V133" s="1"/>
    </row>
    <row r="134" spans="21:22" x14ac:dyDescent="0.25">
      <c r="U134" s="1"/>
      <c r="V134" s="1"/>
    </row>
    <row r="135" spans="21:22" x14ac:dyDescent="0.25">
      <c r="U135" s="1"/>
      <c r="V135" s="1"/>
    </row>
    <row r="136" spans="21:22" x14ac:dyDescent="0.25">
      <c r="U136" s="1"/>
      <c r="V136" s="1"/>
    </row>
    <row r="137" spans="21:22" x14ac:dyDescent="0.25">
      <c r="U137" s="1"/>
      <c r="V137" s="1"/>
    </row>
    <row r="138" spans="21:22" x14ac:dyDescent="0.25">
      <c r="U138" s="1"/>
      <c r="V138" s="1"/>
    </row>
    <row r="139" spans="21:22" x14ac:dyDescent="0.25">
      <c r="U139" s="1"/>
      <c r="V139" s="1"/>
    </row>
    <row r="140" spans="21:22" x14ac:dyDescent="0.25">
      <c r="U140" s="1"/>
    </row>
    <row r="141" spans="21:22" x14ac:dyDescent="0.25">
      <c r="U141" s="1"/>
      <c r="V141" s="1"/>
    </row>
    <row r="142" spans="21:22" x14ac:dyDescent="0.25">
      <c r="U142" s="1"/>
      <c r="V142" s="1"/>
    </row>
    <row r="143" spans="21:22" x14ac:dyDescent="0.25">
      <c r="U143" s="1"/>
      <c r="V143" s="1"/>
    </row>
    <row r="144" spans="21:22" x14ac:dyDescent="0.25">
      <c r="U144" s="1"/>
    </row>
    <row r="145" spans="2:22" x14ac:dyDescent="0.25">
      <c r="U145" s="1"/>
      <c r="V145" s="1"/>
    </row>
    <row r="146" spans="2:22" x14ac:dyDescent="0.25">
      <c r="U146" s="1"/>
      <c r="V146" s="1"/>
    </row>
    <row r="147" spans="2:22" x14ac:dyDescent="0.25">
      <c r="U147" s="1"/>
      <c r="V147" s="1"/>
    </row>
    <row r="148" spans="2:22" x14ac:dyDescent="0.25">
      <c r="U148" s="1"/>
    </row>
    <row r="149" spans="2:22" x14ac:dyDescent="0.25">
      <c r="U149" s="1"/>
      <c r="V149" s="1"/>
    </row>
    <row r="150" spans="2:22" x14ac:dyDescent="0.25">
      <c r="U150" s="1"/>
      <c r="V150" s="1"/>
    </row>
    <row r="151" spans="2:22" x14ac:dyDescent="0.25">
      <c r="U151" s="1"/>
      <c r="V151" s="1"/>
    </row>
    <row r="152" spans="2:22" x14ac:dyDescent="0.25">
      <c r="U152" s="1"/>
      <c r="V152" s="1"/>
    </row>
    <row r="153" spans="2:22" x14ac:dyDescent="0.25">
      <c r="U153" s="1"/>
      <c r="V153" s="1"/>
    </row>
    <row r="154" spans="2:22" x14ac:dyDescent="0.25">
      <c r="U154" s="1"/>
      <c r="V154" s="1"/>
    </row>
    <row r="155" spans="2:22" x14ac:dyDescent="0.25">
      <c r="U155" s="1"/>
      <c r="V155" s="1"/>
    </row>
    <row r="156" spans="2:22" x14ac:dyDescent="0.25">
      <c r="U156" s="1"/>
      <c r="V156" s="1"/>
    </row>
    <row r="157" spans="2:22" x14ac:dyDescent="0.25">
      <c r="U157" s="1"/>
    </row>
    <row r="158" spans="2:22" x14ac:dyDescent="0.25">
      <c r="B158" s="2"/>
      <c r="U158" s="1"/>
      <c r="V158" s="1"/>
    </row>
    <row r="159" spans="2:22" x14ac:dyDescent="0.25">
      <c r="U159" s="1"/>
      <c r="V159" s="1"/>
    </row>
    <row r="160" spans="2:22" x14ac:dyDescent="0.25">
      <c r="U160" s="1"/>
      <c r="V160" s="1"/>
    </row>
    <row r="161" spans="2:22" x14ac:dyDescent="0.25">
      <c r="U161" s="1"/>
    </row>
    <row r="162" spans="2:22" x14ac:dyDescent="0.25">
      <c r="U162" s="1"/>
      <c r="V162" s="1"/>
    </row>
    <row r="163" spans="2:22" x14ac:dyDescent="0.25">
      <c r="U163" s="1"/>
      <c r="V163" s="1"/>
    </row>
    <row r="164" spans="2:22" x14ac:dyDescent="0.25">
      <c r="U164" s="1"/>
      <c r="V164" s="1"/>
    </row>
    <row r="165" spans="2:22" x14ac:dyDescent="0.25">
      <c r="U165" s="1"/>
      <c r="V165" s="1"/>
    </row>
    <row r="166" spans="2:22" x14ac:dyDescent="0.25">
      <c r="U166" s="1"/>
      <c r="V166" s="1"/>
    </row>
    <row r="167" spans="2:22" x14ac:dyDescent="0.25">
      <c r="U167" s="1"/>
      <c r="V167" s="1"/>
    </row>
    <row r="168" spans="2:22" x14ac:dyDescent="0.25">
      <c r="U168" s="1"/>
      <c r="V168" s="1"/>
    </row>
    <row r="169" spans="2:22" x14ac:dyDescent="0.25">
      <c r="U169" s="1"/>
      <c r="V169" s="1"/>
    </row>
    <row r="170" spans="2:22" x14ac:dyDescent="0.25">
      <c r="U170" s="1"/>
      <c r="V170" s="1"/>
    </row>
    <row r="171" spans="2:22" x14ac:dyDescent="0.25">
      <c r="U171" s="1"/>
      <c r="V171" s="1"/>
    </row>
    <row r="172" spans="2:22" x14ac:dyDescent="0.25">
      <c r="U172" s="1"/>
      <c r="V172" s="1"/>
    </row>
    <row r="173" spans="2:22" x14ac:dyDescent="0.25">
      <c r="B173" s="2"/>
      <c r="U173" s="1"/>
      <c r="V173" s="1"/>
    </row>
    <row r="174" spans="2:22" x14ac:dyDescent="0.25">
      <c r="U174" s="1"/>
    </row>
    <row r="175" spans="2:22" x14ac:dyDescent="0.25">
      <c r="U175" s="1"/>
      <c r="V175" s="1"/>
    </row>
    <row r="176" spans="2:22" x14ac:dyDescent="0.25">
      <c r="U176" s="1"/>
      <c r="V176" s="1"/>
    </row>
    <row r="177" spans="21:22" x14ac:dyDescent="0.25">
      <c r="U177" s="1"/>
      <c r="V177" s="1"/>
    </row>
    <row r="178" spans="21:22" x14ac:dyDescent="0.25">
      <c r="U178" s="1"/>
      <c r="V178" s="1"/>
    </row>
    <row r="179" spans="21:22" x14ac:dyDescent="0.25">
      <c r="U179" s="1"/>
      <c r="V179" s="1"/>
    </row>
    <row r="180" spans="21:22" x14ac:dyDescent="0.25">
      <c r="U180" s="1"/>
      <c r="V180" s="1"/>
    </row>
    <row r="181" spans="21:22" x14ac:dyDescent="0.25">
      <c r="U181" s="1"/>
      <c r="V181" s="1"/>
    </row>
    <row r="182" spans="21:22" x14ac:dyDescent="0.25">
      <c r="U182" s="1"/>
      <c r="V182" s="1"/>
    </row>
    <row r="183" spans="21:22" x14ac:dyDescent="0.25">
      <c r="U183" s="1"/>
      <c r="V183" s="1"/>
    </row>
    <row r="184" spans="21:22" x14ac:dyDescent="0.25">
      <c r="U184" s="1"/>
      <c r="V184" s="1"/>
    </row>
    <row r="185" spans="21:22" x14ac:dyDescent="0.25">
      <c r="U185" s="1"/>
      <c r="V185" s="1"/>
    </row>
    <row r="186" spans="21:22" x14ac:dyDescent="0.25">
      <c r="U186" s="1"/>
      <c r="V186" s="1"/>
    </row>
    <row r="187" spans="21:22" x14ac:dyDescent="0.25">
      <c r="U187" s="1"/>
      <c r="V187" s="1"/>
    </row>
    <row r="188" spans="21:22" x14ac:dyDescent="0.25">
      <c r="U188" s="1"/>
      <c r="V188" s="1"/>
    </row>
    <row r="189" spans="21:22" x14ac:dyDescent="0.25">
      <c r="U189" s="1"/>
      <c r="V189" s="1"/>
    </row>
    <row r="190" spans="21:22" x14ac:dyDescent="0.25">
      <c r="U190" s="1"/>
      <c r="V190" s="1"/>
    </row>
    <row r="191" spans="21:22" x14ac:dyDescent="0.25">
      <c r="U191" s="1"/>
      <c r="V191" s="1"/>
    </row>
    <row r="192" spans="21:22" x14ac:dyDescent="0.25">
      <c r="U192" s="1"/>
      <c r="V192" s="1"/>
    </row>
    <row r="193" spans="2:22" x14ac:dyDescent="0.25">
      <c r="U193" s="1"/>
      <c r="V193" s="1"/>
    </row>
    <row r="194" spans="2:22" x14ac:dyDescent="0.25">
      <c r="U194" s="1"/>
      <c r="V194" s="1"/>
    </row>
    <row r="195" spans="2:22" x14ac:dyDescent="0.25">
      <c r="U195" s="1"/>
      <c r="V195" s="1"/>
    </row>
    <row r="196" spans="2:22" x14ac:dyDescent="0.25">
      <c r="U196" s="1"/>
      <c r="V196" s="1"/>
    </row>
    <row r="197" spans="2:22" x14ac:dyDescent="0.25">
      <c r="U197" s="1"/>
      <c r="V197" s="1"/>
    </row>
    <row r="198" spans="2:22" x14ac:dyDescent="0.25">
      <c r="U198" s="1"/>
      <c r="V198" s="1"/>
    </row>
    <row r="199" spans="2:22" x14ac:dyDescent="0.25">
      <c r="U199" s="1"/>
    </row>
    <row r="200" spans="2:22" x14ac:dyDescent="0.25">
      <c r="U200" s="1"/>
      <c r="V200" s="1"/>
    </row>
    <row r="201" spans="2:22" x14ac:dyDescent="0.25">
      <c r="U201" s="1"/>
    </row>
    <row r="202" spans="2:22" x14ac:dyDescent="0.25">
      <c r="B202" s="2"/>
      <c r="U202" s="1"/>
      <c r="V202" s="1"/>
    </row>
    <row r="203" spans="2:22" x14ac:dyDescent="0.25">
      <c r="U203" s="1"/>
      <c r="V203" s="1"/>
    </row>
    <row r="204" spans="2:22" x14ac:dyDescent="0.25">
      <c r="U204" s="1"/>
      <c r="V204" s="1"/>
    </row>
    <row r="205" spans="2:22" x14ac:dyDescent="0.25">
      <c r="U205" s="1"/>
      <c r="V205" s="1"/>
    </row>
    <row r="206" spans="2:22" x14ac:dyDescent="0.25">
      <c r="U206" s="1"/>
      <c r="V206" s="1"/>
    </row>
    <row r="207" spans="2:22" x14ac:dyDescent="0.25">
      <c r="U207" s="1"/>
      <c r="V207" s="1"/>
    </row>
    <row r="208" spans="2:22" x14ac:dyDescent="0.25">
      <c r="U208" s="1"/>
      <c r="V208" s="1"/>
    </row>
    <row r="209" spans="2:22" x14ac:dyDescent="0.25">
      <c r="B209" s="2"/>
      <c r="U209" s="1"/>
      <c r="V209" s="1"/>
    </row>
    <row r="210" spans="2:22" x14ac:dyDescent="0.25">
      <c r="U210" s="1"/>
      <c r="V210" s="1"/>
    </row>
    <row r="211" spans="2:22" x14ac:dyDescent="0.25">
      <c r="U211" s="1"/>
      <c r="V211" s="1"/>
    </row>
    <row r="212" spans="2:22" x14ac:dyDescent="0.25">
      <c r="U212" s="1"/>
      <c r="V212" s="1"/>
    </row>
    <row r="213" spans="2:22" x14ac:dyDescent="0.25">
      <c r="U213" s="1"/>
      <c r="V213" s="1"/>
    </row>
    <row r="214" spans="2:22" x14ac:dyDescent="0.25">
      <c r="B214" s="2"/>
      <c r="U214" s="1"/>
      <c r="V214" s="1"/>
    </row>
    <row r="215" spans="2:22" x14ac:dyDescent="0.25">
      <c r="U215" s="1"/>
      <c r="V215" s="1"/>
    </row>
    <row r="216" spans="2:22" x14ac:dyDescent="0.25">
      <c r="U216" s="1"/>
    </row>
    <row r="217" spans="2:22" x14ac:dyDescent="0.25">
      <c r="U217" s="1"/>
      <c r="V217" s="1"/>
    </row>
    <row r="218" spans="2:22" x14ac:dyDescent="0.25">
      <c r="U218" s="1"/>
    </row>
    <row r="219" spans="2:22" x14ac:dyDescent="0.25">
      <c r="U219" s="1"/>
      <c r="V219" s="1"/>
    </row>
    <row r="220" spans="2:22" x14ac:dyDescent="0.25">
      <c r="U220" s="1"/>
      <c r="V220" s="1"/>
    </row>
    <row r="221" spans="2:22" x14ac:dyDescent="0.25">
      <c r="U221" s="1"/>
      <c r="V221" s="1"/>
    </row>
    <row r="222" spans="2:22" x14ac:dyDescent="0.25">
      <c r="U222" s="1"/>
      <c r="V222" s="1"/>
    </row>
    <row r="223" spans="2:22" x14ac:dyDescent="0.25">
      <c r="B223" s="2"/>
      <c r="U223" s="1"/>
      <c r="V223" s="1"/>
    </row>
    <row r="224" spans="2:22" x14ac:dyDescent="0.25">
      <c r="U224" s="1"/>
      <c r="V224" s="1"/>
    </row>
    <row r="225" spans="21:22" x14ac:dyDescent="0.25">
      <c r="U225" s="1"/>
      <c r="V225" s="1"/>
    </row>
    <row r="226" spans="21:22" x14ac:dyDescent="0.25">
      <c r="U226" s="1"/>
      <c r="V226" s="1"/>
    </row>
    <row r="227" spans="21:22" x14ac:dyDescent="0.25">
      <c r="U227" s="1"/>
      <c r="V227" s="1"/>
    </row>
    <row r="228" spans="21:22" x14ac:dyDescent="0.25">
      <c r="U228" s="1"/>
      <c r="V228" s="1"/>
    </row>
    <row r="229" spans="21:22" x14ac:dyDescent="0.25">
      <c r="U229" s="1"/>
      <c r="V229" s="1"/>
    </row>
    <row r="230" spans="21:22" x14ac:dyDescent="0.25">
      <c r="U230" s="1"/>
      <c r="V230" s="1"/>
    </row>
    <row r="231" spans="21:22" x14ac:dyDescent="0.25">
      <c r="U231" s="1"/>
      <c r="V231" s="1"/>
    </row>
    <row r="232" spans="21:22" x14ac:dyDescent="0.25">
      <c r="U232" s="1"/>
      <c r="V232" s="1"/>
    </row>
    <row r="233" spans="21:22" x14ac:dyDescent="0.25">
      <c r="U233" s="1"/>
      <c r="V233" s="1"/>
    </row>
    <row r="234" spans="21:22" x14ac:dyDescent="0.25">
      <c r="U234" s="1"/>
      <c r="V234" s="1"/>
    </row>
    <row r="235" spans="21:22" x14ac:dyDescent="0.25">
      <c r="U235" s="1"/>
      <c r="V235" s="1"/>
    </row>
    <row r="236" spans="21:22" x14ac:dyDescent="0.25">
      <c r="U236" s="1"/>
      <c r="V236" s="1"/>
    </row>
    <row r="237" spans="21:22" x14ac:dyDescent="0.25">
      <c r="U237" s="1"/>
      <c r="V237" s="1"/>
    </row>
    <row r="238" spans="21:22" x14ac:dyDescent="0.25">
      <c r="U238" s="1"/>
    </row>
    <row r="239" spans="21:22" x14ac:dyDescent="0.25">
      <c r="U239" s="1"/>
      <c r="V239" s="1"/>
    </row>
    <row r="240" spans="21:22" x14ac:dyDescent="0.25">
      <c r="U240" s="1"/>
      <c r="V240" s="1"/>
    </row>
    <row r="241" spans="21:22" x14ac:dyDescent="0.25">
      <c r="U241" s="1"/>
      <c r="V241" s="1"/>
    </row>
    <row r="242" spans="21:22" x14ac:dyDescent="0.25">
      <c r="U242" s="1"/>
      <c r="V242" s="1"/>
    </row>
    <row r="243" spans="21:22" x14ac:dyDescent="0.25">
      <c r="U243" s="1"/>
      <c r="V243" s="1"/>
    </row>
    <row r="244" spans="21:22" x14ac:dyDescent="0.25">
      <c r="U244" s="1"/>
      <c r="V244" s="1"/>
    </row>
    <row r="245" spans="21:22" x14ac:dyDescent="0.25">
      <c r="U245" s="1"/>
    </row>
    <row r="246" spans="21:22" x14ac:dyDescent="0.25">
      <c r="U246" s="1"/>
      <c r="V246" s="1"/>
    </row>
    <row r="247" spans="21:22" x14ac:dyDescent="0.25">
      <c r="U247" s="1"/>
      <c r="V247" s="1"/>
    </row>
    <row r="248" spans="21:22" x14ac:dyDescent="0.25">
      <c r="U248" s="1"/>
      <c r="V248" s="1"/>
    </row>
    <row r="249" spans="21:22" x14ac:dyDescent="0.25">
      <c r="U249" s="1"/>
      <c r="V249" s="1"/>
    </row>
    <row r="250" spans="21:22" x14ac:dyDescent="0.25">
      <c r="U250" s="1"/>
      <c r="V250" s="1"/>
    </row>
    <row r="251" spans="21:22" x14ac:dyDescent="0.25">
      <c r="U251" s="1"/>
      <c r="V251" s="1"/>
    </row>
    <row r="252" spans="21:22" x14ac:dyDescent="0.25">
      <c r="U252" s="1"/>
      <c r="V252" s="1"/>
    </row>
    <row r="253" spans="21:22" x14ac:dyDescent="0.25">
      <c r="U253" s="1"/>
      <c r="V253" s="1"/>
    </row>
    <row r="254" spans="21:22" x14ac:dyDescent="0.25">
      <c r="U254" s="1"/>
      <c r="V254" s="1"/>
    </row>
    <row r="255" spans="21:22" x14ac:dyDescent="0.25">
      <c r="U255" s="1"/>
      <c r="V255" s="1"/>
    </row>
    <row r="256" spans="21:22" x14ac:dyDescent="0.25">
      <c r="U256" s="1"/>
      <c r="V256" s="1"/>
    </row>
    <row r="257" spans="21:22" x14ac:dyDescent="0.25">
      <c r="U257" s="1"/>
    </row>
    <row r="258" spans="21:22" x14ac:dyDescent="0.25">
      <c r="U258" s="1"/>
      <c r="V258" s="1"/>
    </row>
    <row r="259" spans="21:22" x14ac:dyDescent="0.25">
      <c r="U259" s="1"/>
      <c r="V259" s="1"/>
    </row>
    <row r="260" spans="21:22" x14ac:dyDescent="0.25">
      <c r="U260" s="1"/>
      <c r="V260" s="1"/>
    </row>
    <row r="261" spans="21:22" x14ac:dyDescent="0.25">
      <c r="U261" s="1"/>
      <c r="V261" s="1"/>
    </row>
    <row r="262" spans="21:22" x14ac:dyDescent="0.25">
      <c r="U262" s="1"/>
      <c r="V262" s="1"/>
    </row>
    <row r="263" spans="21:22" x14ac:dyDescent="0.25">
      <c r="U263" s="1"/>
      <c r="V263" s="1"/>
    </row>
    <row r="264" spans="21:22" x14ac:dyDescent="0.25">
      <c r="U264" s="1"/>
      <c r="V264" s="1"/>
    </row>
    <row r="265" spans="21:22" x14ac:dyDescent="0.25">
      <c r="U265" s="1"/>
      <c r="V265" s="1"/>
    </row>
    <row r="266" spans="21:22" x14ac:dyDescent="0.25">
      <c r="U266" s="1"/>
      <c r="V266" s="1"/>
    </row>
    <row r="267" spans="21:22" x14ac:dyDescent="0.25">
      <c r="U267" s="1"/>
    </row>
    <row r="268" spans="21:22" x14ac:dyDescent="0.25">
      <c r="U268" s="1"/>
      <c r="V268" s="1"/>
    </row>
    <row r="269" spans="21:22" x14ac:dyDescent="0.25">
      <c r="U269" s="1"/>
    </row>
    <row r="270" spans="21:22" x14ac:dyDescent="0.25">
      <c r="U270" s="1"/>
      <c r="V270" s="1"/>
    </row>
    <row r="271" spans="21:22" x14ac:dyDescent="0.25">
      <c r="U271" s="1"/>
      <c r="V271" s="1"/>
    </row>
    <row r="272" spans="21:22" x14ac:dyDescent="0.25">
      <c r="U272" s="1"/>
      <c r="V272" s="1"/>
    </row>
    <row r="273" spans="21:22" x14ac:dyDescent="0.25">
      <c r="U273" s="1"/>
      <c r="V273" s="1"/>
    </row>
    <row r="274" spans="21:22" x14ac:dyDescent="0.25">
      <c r="U274" s="1"/>
      <c r="V274" s="1"/>
    </row>
    <row r="275" spans="21:22" x14ac:dyDescent="0.25">
      <c r="U275" s="1"/>
    </row>
    <row r="276" spans="21:22" x14ac:dyDescent="0.25">
      <c r="U276" s="1"/>
    </row>
    <row r="277" spans="21:22" x14ac:dyDescent="0.25">
      <c r="U277" s="1"/>
      <c r="V277" s="1"/>
    </row>
    <row r="278" spans="21:22" x14ac:dyDescent="0.25">
      <c r="U278" s="1"/>
      <c r="V278" s="1"/>
    </row>
    <row r="279" spans="21:22" x14ac:dyDescent="0.25">
      <c r="U279" s="1"/>
      <c r="V279" s="1"/>
    </row>
    <row r="280" spans="21:22" x14ac:dyDescent="0.25">
      <c r="U280" s="1"/>
      <c r="V280" s="1"/>
    </row>
    <row r="281" spans="21:22" x14ac:dyDescent="0.25">
      <c r="U281" s="1"/>
      <c r="V281" s="1"/>
    </row>
    <row r="282" spans="21:22" x14ac:dyDescent="0.25">
      <c r="U282" s="1"/>
      <c r="V282" s="1"/>
    </row>
    <row r="283" spans="21:22" x14ac:dyDescent="0.25">
      <c r="U283" s="1"/>
    </row>
    <row r="284" spans="21:22" x14ac:dyDescent="0.25">
      <c r="U284" s="1"/>
      <c r="V284" s="1"/>
    </row>
    <row r="285" spans="21:22" x14ac:dyDescent="0.25">
      <c r="U285" s="1"/>
      <c r="V285" s="1"/>
    </row>
    <row r="286" spans="21:22" x14ac:dyDescent="0.25">
      <c r="U286" s="1"/>
      <c r="V286" s="1"/>
    </row>
    <row r="287" spans="21:22" x14ac:dyDescent="0.25">
      <c r="U287" s="1"/>
      <c r="V287" s="1"/>
    </row>
    <row r="288" spans="21:22" x14ac:dyDescent="0.25">
      <c r="U288" s="1"/>
      <c r="V288" s="1"/>
    </row>
    <row r="289" spans="2:22" x14ac:dyDescent="0.25">
      <c r="U289" s="1"/>
      <c r="V289" s="1"/>
    </row>
    <row r="290" spans="2:22" x14ac:dyDescent="0.25">
      <c r="U290" s="1"/>
      <c r="V290" s="1"/>
    </row>
    <row r="291" spans="2:22" x14ac:dyDescent="0.25">
      <c r="U291" s="1"/>
      <c r="V291" s="1"/>
    </row>
    <row r="292" spans="2:22" x14ac:dyDescent="0.25">
      <c r="U292" s="1"/>
    </row>
    <row r="293" spans="2:22" x14ac:dyDescent="0.25">
      <c r="B293" s="2"/>
      <c r="U293" s="1"/>
      <c r="V293" s="1"/>
    </row>
    <row r="294" spans="2:22" x14ac:dyDescent="0.25">
      <c r="U294" s="1"/>
      <c r="V294" s="1"/>
    </row>
    <row r="295" spans="2:22" x14ac:dyDescent="0.25">
      <c r="U295" s="1"/>
      <c r="V295" s="1"/>
    </row>
    <row r="296" spans="2:22" x14ac:dyDescent="0.25">
      <c r="U296" s="1"/>
      <c r="V296" s="1"/>
    </row>
    <row r="297" spans="2:22" x14ac:dyDescent="0.25">
      <c r="U297" s="1"/>
      <c r="V297" s="1"/>
    </row>
    <row r="298" spans="2:22" x14ac:dyDescent="0.25">
      <c r="U298" s="1"/>
      <c r="V298" s="1"/>
    </row>
    <row r="299" spans="2:22" x14ac:dyDescent="0.25">
      <c r="U299" s="1"/>
      <c r="V299" s="1"/>
    </row>
    <row r="300" spans="2:22" x14ac:dyDescent="0.25">
      <c r="U300" s="1"/>
      <c r="V300" s="1"/>
    </row>
    <row r="301" spans="2:22" x14ac:dyDescent="0.25">
      <c r="U301" s="1"/>
      <c r="V301" s="1"/>
    </row>
    <row r="302" spans="2:22" x14ac:dyDescent="0.25">
      <c r="U302" s="1"/>
      <c r="V302" s="1"/>
    </row>
    <row r="303" spans="2:22" x14ac:dyDescent="0.25">
      <c r="U303" s="1"/>
      <c r="V303" s="1"/>
    </row>
    <row r="304" spans="2:22" x14ac:dyDescent="0.25">
      <c r="U304" s="1"/>
      <c r="V304" s="1"/>
    </row>
    <row r="305" spans="21:22" x14ac:dyDescent="0.25">
      <c r="U305" s="1"/>
      <c r="V305" s="1"/>
    </row>
    <row r="306" spans="21:22" x14ac:dyDescent="0.25">
      <c r="U306" s="1"/>
    </row>
    <row r="307" spans="21:22" x14ac:dyDescent="0.25">
      <c r="U307" s="1"/>
    </row>
    <row r="308" spans="21:22" x14ac:dyDescent="0.25">
      <c r="U308" s="1"/>
      <c r="V308" s="1"/>
    </row>
    <row r="309" spans="21:22" x14ac:dyDescent="0.25">
      <c r="U309" s="1"/>
      <c r="V309" s="1"/>
    </row>
    <row r="310" spans="21:22" x14ac:dyDescent="0.25">
      <c r="U310" s="1"/>
      <c r="V310" s="1"/>
    </row>
    <row r="311" spans="21:22" x14ac:dyDescent="0.25">
      <c r="U311" s="1"/>
      <c r="V311" s="1"/>
    </row>
    <row r="312" spans="21:22" x14ac:dyDescent="0.25">
      <c r="U312" s="1"/>
      <c r="V312" s="1"/>
    </row>
    <row r="313" spans="21:22" x14ac:dyDescent="0.25">
      <c r="U313" s="1"/>
      <c r="V313" s="1"/>
    </row>
    <row r="314" spans="21:22" x14ac:dyDescent="0.25">
      <c r="U314" s="1"/>
      <c r="V314" s="1"/>
    </row>
    <row r="315" spans="21:22" x14ac:dyDescent="0.25">
      <c r="U315" s="1"/>
      <c r="V315" s="1"/>
    </row>
    <row r="316" spans="21:22" x14ac:dyDescent="0.25">
      <c r="U316" s="1"/>
      <c r="V316" s="1"/>
    </row>
    <row r="317" spans="21:22" x14ac:dyDescent="0.25">
      <c r="U317" s="1"/>
      <c r="V317" s="1"/>
    </row>
    <row r="318" spans="21:22" x14ac:dyDescent="0.25">
      <c r="U318" s="1"/>
      <c r="V318" s="1"/>
    </row>
    <row r="319" spans="21:22" x14ac:dyDescent="0.25">
      <c r="U319" s="1"/>
      <c r="V319" s="1"/>
    </row>
    <row r="320" spans="21:22" x14ac:dyDescent="0.25">
      <c r="U320" s="1"/>
      <c r="V320" s="1"/>
    </row>
    <row r="321" spans="21:22" x14ac:dyDescent="0.25">
      <c r="U321" s="1"/>
      <c r="V321" s="1"/>
    </row>
    <row r="322" spans="21:22" x14ac:dyDescent="0.25">
      <c r="U322" s="1"/>
      <c r="V322" s="1"/>
    </row>
    <row r="323" spans="21:22" x14ac:dyDescent="0.25">
      <c r="U323" s="1"/>
      <c r="V323" s="1"/>
    </row>
    <row r="324" spans="21:22" x14ac:dyDescent="0.25">
      <c r="U324" s="1"/>
      <c r="V324" s="1"/>
    </row>
    <row r="325" spans="21:22" x14ac:dyDescent="0.25">
      <c r="U325" s="1"/>
      <c r="V325" s="1"/>
    </row>
    <row r="326" spans="21:22" x14ac:dyDescent="0.25">
      <c r="U326" s="1"/>
      <c r="V326" s="1"/>
    </row>
    <row r="327" spans="21:22" x14ac:dyDescent="0.25">
      <c r="U327" s="1"/>
      <c r="V327" s="1"/>
    </row>
    <row r="328" spans="21:22" x14ac:dyDescent="0.25">
      <c r="U328" s="1"/>
      <c r="V328" s="1"/>
    </row>
    <row r="329" spans="21:22" x14ac:dyDescent="0.25">
      <c r="U329" s="1"/>
    </row>
    <row r="330" spans="21:22" x14ac:dyDescent="0.25">
      <c r="U330" s="1"/>
    </row>
    <row r="331" spans="21:22" x14ac:dyDescent="0.25">
      <c r="U331" s="1"/>
      <c r="V331" s="1"/>
    </row>
    <row r="332" spans="21:22" x14ac:dyDescent="0.25">
      <c r="U332" s="1"/>
      <c r="V332" s="1"/>
    </row>
    <row r="333" spans="21:22" x14ac:dyDescent="0.25">
      <c r="U333" s="1"/>
      <c r="V333" s="1"/>
    </row>
    <row r="334" spans="21:22" x14ac:dyDescent="0.25">
      <c r="U334" s="1"/>
      <c r="V334" s="1"/>
    </row>
    <row r="335" spans="21:22" x14ac:dyDescent="0.25">
      <c r="U335" s="1"/>
      <c r="V335" s="1"/>
    </row>
    <row r="336" spans="21:22" x14ac:dyDescent="0.25">
      <c r="U336" s="1"/>
      <c r="V336" s="1"/>
    </row>
    <row r="337" spans="21:22" x14ac:dyDescent="0.25">
      <c r="U337" s="1"/>
      <c r="V337" s="1"/>
    </row>
    <row r="338" spans="21:22" x14ac:dyDescent="0.25">
      <c r="U338" s="1"/>
      <c r="V338" s="1"/>
    </row>
    <row r="339" spans="21:22" x14ac:dyDescent="0.25">
      <c r="U339" s="1"/>
      <c r="V339" s="1"/>
    </row>
    <row r="340" spans="21:22" x14ac:dyDescent="0.25">
      <c r="U340" s="1"/>
      <c r="V340" s="1"/>
    </row>
    <row r="341" spans="21:22" x14ac:dyDescent="0.25">
      <c r="U341" s="1"/>
      <c r="V341" s="1"/>
    </row>
    <row r="342" spans="21:22" x14ac:dyDescent="0.25">
      <c r="U342" s="1"/>
      <c r="V342" s="1"/>
    </row>
    <row r="343" spans="21:22" x14ac:dyDescent="0.25">
      <c r="U343" s="1"/>
      <c r="V343" s="1"/>
    </row>
    <row r="344" spans="21:22" x14ac:dyDescent="0.25">
      <c r="U344" s="1"/>
    </row>
    <row r="345" spans="21:22" x14ac:dyDescent="0.25">
      <c r="U345" s="1"/>
      <c r="V345" s="1"/>
    </row>
    <row r="346" spans="21:22" x14ac:dyDescent="0.25">
      <c r="U346" s="1"/>
      <c r="V346" s="1"/>
    </row>
    <row r="347" spans="21:22" x14ac:dyDescent="0.25">
      <c r="U347" s="1"/>
    </row>
    <row r="348" spans="21:22" x14ac:dyDescent="0.25">
      <c r="U348" s="1"/>
      <c r="V348" s="1"/>
    </row>
    <row r="349" spans="21:22" x14ac:dyDescent="0.25">
      <c r="U349" s="1"/>
      <c r="V349" s="1"/>
    </row>
    <row r="350" spans="21:22" x14ac:dyDescent="0.25">
      <c r="U350" s="1"/>
      <c r="V350" s="1"/>
    </row>
    <row r="351" spans="21:22" x14ac:dyDescent="0.25">
      <c r="U351" s="1"/>
      <c r="V351" s="1"/>
    </row>
    <row r="352" spans="21:22" x14ac:dyDescent="0.25">
      <c r="U352" s="1"/>
      <c r="V352" s="1"/>
    </row>
    <row r="353" spans="21:22" x14ac:dyDescent="0.25">
      <c r="U353" s="1"/>
      <c r="V353" s="1"/>
    </row>
    <row r="354" spans="21:22" x14ac:dyDescent="0.25">
      <c r="U354" s="1"/>
      <c r="V354" s="1"/>
    </row>
    <row r="355" spans="21:22" x14ac:dyDescent="0.25">
      <c r="U355" s="1"/>
      <c r="V355" s="1"/>
    </row>
    <row r="356" spans="21:22" x14ac:dyDescent="0.25">
      <c r="U356" s="1"/>
      <c r="V356" s="1"/>
    </row>
    <row r="357" spans="21:22" x14ac:dyDescent="0.25">
      <c r="U357" s="1"/>
      <c r="V357" s="1"/>
    </row>
    <row r="358" spans="21:22" x14ac:dyDescent="0.25">
      <c r="U358" s="1"/>
      <c r="V358" s="1"/>
    </row>
    <row r="359" spans="21:22" x14ac:dyDescent="0.25">
      <c r="U359" s="1"/>
      <c r="V359" s="1"/>
    </row>
    <row r="360" spans="21:22" x14ac:dyDescent="0.25">
      <c r="U360" s="1"/>
      <c r="V360" s="1"/>
    </row>
    <row r="361" spans="21:22" x14ac:dyDescent="0.25">
      <c r="U361" s="1"/>
      <c r="V361" s="1"/>
    </row>
    <row r="362" spans="21:22" x14ac:dyDescent="0.25">
      <c r="U362" s="1"/>
      <c r="V362" s="1"/>
    </row>
    <row r="363" spans="21:22" x14ac:dyDescent="0.25">
      <c r="U363" s="1"/>
      <c r="V363" s="1"/>
    </row>
    <row r="364" spans="21:22" x14ac:dyDescent="0.25">
      <c r="U364" s="1"/>
      <c r="V364" s="1"/>
    </row>
    <row r="365" spans="21:22" x14ac:dyDescent="0.25">
      <c r="U365" s="1"/>
      <c r="V365" s="1"/>
    </row>
    <row r="366" spans="21:22" x14ac:dyDescent="0.25">
      <c r="U366" s="1"/>
      <c r="V366" s="1"/>
    </row>
    <row r="367" spans="21:22" x14ac:dyDescent="0.25">
      <c r="U367" s="1"/>
      <c r="V367" s="1"/>
    </row>
    <row r="368" spans="21:22" x14ac:dyDescent="0.25">
      <c r="U368" s="1"/>
      <c r="V368" s="1"/>
    </row>
    <row r="369" spans="21:22" x14ac:dyDescent="0.25">
      <c r="U369" s="1"/>
      <c r="V369" s="1"/>
    </row>
    <row r="370" spans="21:22" x14ac:dyDescent="0.25">
      <c r="U370" s="1"/>
      <c r="V370" s="1"/>
    </row>
    <row r="371" spans="21:22" x14ac:dyDescent="0.25">
      <c r="U371" s="1"/>
      <c r="V371" s="1"/>
    </row>
    <row r="372" spans="21:22" x14ac:dyDescent="0.25">
      <c r="U372" s="1"/>
      <c r="V372" s="1"/>
    </row>
    <row r="373" spans="21:22" x14ac:dyDescent="0.25">
      <c r="U373" s="1"/>
      <c r="V373" s="1"/>
    </row>
    <row r="374" spans="21:22" x14ac:dyDescent="0.25">
      <c r="U374" s="1"/>
    </row>
    <row r="375" spans="21:22" x14ac:dyDescent="0.25">
      <c r="U375" s="1"/>
      <c r="V375" s="1"/>
    </row>
    <row r="376" spans="21:22" x14ac:dyDescent="0.25">
      <c r="U376" s="1"/>
      <c r="V376" s="1"/>
    </row>
    <row r="377" spans="21:22" x14ac:dyDescent="0.25">
      <c r="U377" s="1"/>
      <c r="V377" s="1"/>
    </row>
    <row r="378" spans="21:22" x14ac:dyDescent="0.25">
      <c r="U378" s="1"/>
      <c r="V378" s="1"/>
    </row>
    <row r="379" spans="21:22" x14ac:dyDescent="0.25">
      <c r="U379" s="1"/>
      <c r="V379" s="1"/>
    </row>
    <row r="380" spans="21:22" x14ac:dyDescent="0.25">
      <c r="U380" s="1"/>
      <c r="V380" s="1"/>
    </row>
    <row r="381" spans="21:22" x14ac:dyDescent="0.25">
      <c r="U381" s="1"/>
      <c r="V381" s="1"/>
    </row>
    <row r="382" spans="21:22" x14ac:dyDescent="0.25">
      <c r="U382" s="1"/>
    </row>
    <row r="383" spans="21:22" x14ac:dyDescent="0.25">
      <c r="U383" s="1"/>
      <c r="V383" s="1"/>
    </row>
    <row r="384" spans="21:22" x14ac:dyDescent="0.25">
      <c r="U384" s="1"/>
      <c r="V384" s="1"/>
    </row>
    <row r="385" spans="2:22" x14ac:dyDescent="0.25">
      <c r="U385" s="1"/>
      <c r="V385" s="1"/>
    </row>
    <row r="386" spans="2:22" x14ac:dyDescent="0.25">
      <c r="U386" s="1"/>
      <c r="V386" s="1"/>
    </row>
    <row r="387" spans="2:22" x14ac:dyDescent="0.25">
      <c r="U387" s="1"/>
      <c r="V387" s="1"/>
    </row>
    <row r="388" spans="2:22" x14ac:dyDescent="0.25">
      <c r="B388" s="18"/>
      <c r="U388" s="1"/>
      <c r="V388" s="1"/>
    </row>
    <row r="389" spans="2:22" x14ac:dyDescent="0.25">
      <c r="U389" s="1"/>
      <c r="V389" s="1"/>
    </row>
    <row r="390" spans="2:22" x14ac:dyDescent="0.25">
      <c r="U390" s="1"/>
      <c r="V390" s="1"/>
    </row>
    <row r="391" spans="2:22" x14ac:dyDescent="0.25">
      <c r="U391" s="1"/>
      <c r="V391" s="1"/>
    </row>
    <row r="392" spans="2:22" x14ac:dyDescent="0.25">
      <c r="U392" s="1"/>
      <c r="V392" s="1"/>
    </row>
    <row r="393" spans="2:22" x14ac:dyDescent="0.25">
      <c r="U393" s="1"/>
    </row>
    <row r="394" spans="2:22" x14ac:dyDescent="0.25">
      <c r="U394" s="1"/>
    </row>
    <row r="395" spans="2:22" x14ac:dyDescent="0.25">
      <c r="U395" s="1"/>
      <c r="V395" s="1"/>
    </row>
    <row r="396" spans="2:22" x14ac:dyDescent="0.25">
      <c r="U396" s="1"/>
      <c r="V396" s="1"/>
    </row>
    <row r="397" spans="2:22" x14ac:dyDescent="0.25">
      <c r="U397" s="1"/>
      <c r="V397" s="1"/>
    </row>
    <row r="398" spans="2:22" x14ac:dyDescent="0.25">
      <c r="B398" s="2"/>
      <c r="U398" s="1"/>
      <c r="V398" s="1"/>
    </row>
    <row r="399" spans="2:22" x14ac:dyDescent="0.25">
      <c r="U399" s="1"/>
      <c r="V399" s="1"/>
    </row>
    <row r="400" spans="2:22" x14ac:dyDescent="0.25">
      <c r="U400" s="1"/>
      <c r="V400" s="1"/>
    </row>
    <row r="401" spans="2:22" x14ac:dyDescent="0.25">
      <c r="U401" s="1"/>
      <c r="V401" s="1"/>
    </row>
    <row r="402" spans="2:22" x14ac:dyDescent="0.25">
      <c r="U402" s="1"/>
      <c r="V402" s="1"/>
    </row>
    <row r="403" spans="2:22" x14ac:dyDescent="0.25">
      <c r="U403" s="1"/>
      <c r="V403" s="1"/>
    </row>
    <row r="404" spans="2:22" x14ac:dyDescent="0.25">
      <c r="U404" s="1"/>
      <c r="V404" s="1"/>
    </row>
    <row r="405" spans="2:22" x14ac:dyDescent="0.25">
      <c r="U405" s="1"/>
      <c r="V405" s="1"/>
    </row>
    <row r="406" spans="2:22" x14ac:dyDescent="0.25">
      <c r="U406" s="1"/>
      <c r="V406" s="1"/>
    </row>
    <row r="407" spans="2:22" x14ac:dyDescent="0.25">
      <c r="U407" s="1"/>
      <c r="V407" s="1"/>
    </row>
    <row r="408" spans="2:22" x14ac:dyDescent="0.25">
      <c r="U408" s="1"/>
      <c r="V408" s="1"/>
    </row>
    <row r="409" spans="2:22" x14ac:dyDescent="0.25">
      <c r="U409" s="1"/>
      <c r="V409" s="1"/>
    </row>
    <row r="410" spans="2:22" x14ac:dyDescent="0.25">
      <c r="U410" s="1"/>
      <c r="V410" s="1"/>
    </row>
    <row r="411" spans="2:22" x14ac:dyDescent="0.25">
      <c r="U411" s="1"/>
      <c r="V411" s="1"/>
    </row>
    <row r="412" spans="2:22" x14ac:dyDescent="0.25">
      <c r="U412" s="1"/>
      <c r="V412" s="1"/>
    </row>
    <row r="413" spans="2:22" x14ac:dyDescent="0.25">
      <c r="U413" s="1"/>
      <c r="V413" s="1"/>
    </row>
    <row r="414" spans="2:22" x14ac:dyDescent="0.25">
      <c r="B414" s="2"/>
      <c r="U414" s="1"/>
      <c r="V414" s="1"/>
    </row>
    <row r="415" spans="2:22" x14ac:dyDescent="0.25">
      <c r="U415" s="1"/>
      <c r="V415" s="1"/>
    </row>
    <row r="416" spans="2:22" x14ac:dyDescent="0.25">
      <c r="U416" s="1"/>
      <c r="V416" s="1"/>
    </row>
    <row r="417" spans="21:22" x14ac:dyDescent="0.25">
      <c r="U417" s="1"/>
      <c r="V417" s="1"/>
    </row>
    <row r="418" spans="21:22" x14ac:dyDescent="0.25">
      <c r="U41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6E53-9AC0-49D5-B6EF-1601D265B8F8}">
  <dimension ref="A1:AI361"/>
  <sheetViews>
    <sheetView workbookViewId="0">
      <selection activeCell="G2" sqref="G2:G3"/>
    </sheetView>
  </sheetViews>
  <sheetFormatPr defaultRowHeight="15" x14ac:dyDescent="0.25"/>
  <cols>
    <col min="2" max="2" width="15.5703125" customWidth="1"/>
    <col min="7" max="7" width="16.5703125" customWidth="1"/>
    <col min="8" max="8" width="11" bestFit="1" customWidth="1"/>
    <col min="9" max="9" width="20.140625" customWidth="1"/>
    <col min="15" max="15" width="25.7109375" customWidth="1"/>
    <col min="22" max="22" width="13.140625" customWidth="1"/>
    <col min="23" max="23" width="15" customWidth="1"/>
  </cols>
  <sheetData>
    <row r="1" spans="1:35" x14ac:dyDescent="0.25">
      <c r="A1" t="s">
        <v>235</v>
      </c>
      <c r="B1" t="s">
        <v>311</v>
      </c>
      <c r="C1" t="s">
        <v>312</v>
      </c>
      <c r="D1" t="s">
        <v>313</v>
      </c>
      <c r="E1" t="s">
        <v>237</v>
      </c>
      <c r="F1" t="s">
        <v>252</v>
      </c>
      <c r="G1" t="s">
        <v>253</v>
      </c>
      <c r="H1" t="s">
        <v>309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  <c r="N1" t="s">
        <v>319</v>
      </c>
      <c r="O1" t="s">
        <v>320</v>
      </c>
      <c r="P1" t="s">
        <v>233</v>
      </c>
      <c r="Q1" t="s">
        <v>234</v>
      </c>
      <c r="R1" t="s">
        <v>256</v>
      </c>
      <c r="S1" t="s">
        <v>258</v>
      </c>
      <c r="T1" t="s">
        <v>262</v>
      </c>
      <c r="U1" t="s">
        <v>263</v>
      </c>
      <c r="V1" t="s">
        <v>268</v>
      </c>
      <c r="W1" t="s">
        <v>269</v>
      </c>
      <c r="X1" t="s">
        <v>321</v>
      </c>
      <c r="Y1" t="s">
        <v>322</v>
      </c>
      <c r="Z1" t="s">
        <v>264</v>
      </c>
      <c r="AA1" t="s">
        <v>323</v>
      </c>
      <c r="AB1" t="s">
        <v>324</v>
      </c>
      <c r="AC1" t="s">
        <v>325</v>
      </c>
      <c r="AD1" t="s">
        <v>326</v>
      </c>
      <c r="AE1" t="s">
        <v>327</v>
      </c>
      <c r="AF1" t="s">
        <v>328</v>
      </c>
      <c r="AG1" t="s">
        <v>329</v>
      </c>
      <c r="AH1" t="s">
        <v>246</v>
      </c>
      <c r="AI1" t="s">
        <v>239</v>
      </c>
    </row>
    <row r="2" spans="1:35" x14ac:dyDescent="0.25">
      <c r="A2" t="s">
        <v>330</v>
      </c>
      <c r="B2" t="s">
        <v>331</v>
      </c>
      <c r="D2" t="s">
        <v>332</v>
      </c>
      <c r="E2">
        <v>1</v>
      </c>
      <c r="G2" s="3"/>
      <c r="H2">
        <f>24101*10000+I2</f>
        <v>241011001</v>
      </c>
      <c r="I2">
        <v>1001</v>
      </c>
      <c r="J2">
        <v>1</v>
      </c>
      <c r="K2" t="s">
        <v>333</v>
      </c>
      <c r="L2">
        <v>100000</v>
      </c>
      <c r="M2" t="s">
        <v>334</v>
      </c>
      <c r="N2">
        <v>68</v>
      </c>
      <c r="O2">
        <v>101</v>
      </c>
      <c r="P2">
        <v>1</v>
      </c>
      <c r="Q2">
        <v>1</v>
      </c>
      <c r="R2">
        <v>39</v>
      </c>
      <c r="S2">
        <v>19.8</v>
      </c>
      <c r="T2">
        <v>1772</v>
      </c>
      <c r="U2">
        <v>2280</v>
      </c>
      <c r="V2" s="1">
        <v>45497</v>
      </c>
      <c r="W2" s="1">
        <v>45536</v>
      </c>
      <c r="X2">
        <v>131707</v>
      </c>
      <c r="Y2">
        <v>0.86650482200000001</v>
      </c>
      <c r="Z2">
        <v>2631.260601</v>
      </c>
      <c r="AA2">
        <f>1-((0.95-Y2)*0.5)</f>
        <v>0.95825241100000003</v>
      </c>
      <c r="AB2">
        <f>U2/AA2</f>
        <v>2379.3313471767515</v>
      </c>
      <c r="AC2" cm="1">
        <f t="array" ref="AC2">_xlfn.IFS(Y2&lt;0.6,U2,0.9&lt;Y2,U2,Y2,AB2)</f>
        <v>2379.3313471767515</v>
      </c>
      <c r="AD2">
        <v>0.95327668799999998</v>
      </c>
      <c r="AE2">
        <v>2562.81203</v>
      </c>
      <c r="AF2">
        <v>2562.81203</v>
      </c>
      <c r="AH2">
        <v>0</v>
      </c>
      <c r="AI2">
        <v>1</v>
      </c>
    </row>
    <row r="3" spans="1:35" x14ac:dyDescent="0.25">
      <c r="A3" t="s">
        <v>330</v>
      </c>
      <c r="B3" t="s">
        <v>372</v>
      </c>
      <c r="D3" t="s">
        <v>332</v>
      </c>
      <c r="E3">
        <v>30</v>
      </c>
      <c r="H3">
        <f t="shared" ref="H3:H66" si="0">24101*10000+I3</f>
        <v>241011002</v>
      </c>
      <c r="I3">
        <v>1002</v>
      </c>
      <c r="J3">
        <v>1</v>
      </c>
      <c r="K3" t="s">
        <v>333</v>
      </c>
      <c r="L3">
        <v>150000</v>
      </c>
      <c r="M3" t="s">
        <v>298</v>
      </c>
      <c r="N3">
        <v>81</v>
      </c>
      <c r="O3">
        <v>102</v>
      </c>
      <c r="P3">
        <v>1</v>
      </c>
      <c r="Q3">
        <v>2</v>
      </c>
      <c r="R3">
        <v>47</v>
      </c>
      <c r="S3">
        <v>19.2</v>
      </c>
      <c r="T3">
        <v>1967</v>
      </c>
      <c r="U3">
        <v>2550</v>
      </c>
      <c r="V3" s="1">
        <v>45490</v>
      </c>
      <c r="W3" s="1">
        <v>45524</v>
      </c>
      <c r="X3">
        <v>143320</v>
      </c>
      <c r="Y3">
        <v>0.94289473700000004</v>
      </c>
      <c r="Z3">
        <v>2704.4376219999999</v>
      </c>
      <c r="AA3">
        <f>1-((0.95-Y3)*0.5)</f>
        <v>0.99644736850000004</v>
      </c>
      <c r="AB3">
        <f>U3/AA3</f>
        <v>2559.0915091066345</v>
      </c>
      <c r="AC3" cm="1">
        <f t="array" ref="AC3">_xlfn.IFS(Y3&lt;0.6,U3,0.9&lt;Y3,U3,Y3,AB3)</f>
        <v>2550</v>
      </c>
      <c r="AD3">
        <v>0.980013158</v>
      </c>
      <c r="AE3">
        <v>2678.4836359999999</v>
      </c>
      <c r="AF3">
        <v>2550</v>
      </c>
      <c r="AH3">
        <v>0</v>
      </c>
      <c r="AI3">
        <v>30</v>
      </c>
    </row>
    <row r="4" spans="1:35" x14ac:dyDescent="0.25">
      <c r="A4" t="s">
        <v>330</v>
      </c>
      <c r="B4" t="s">
        <v>373</v>
      </c>
      <c r="D4" t="s">
        <v>332</v>
      </c>
      <c r="E4">
        <v>31</v>
      </c>
      <c r="H4">
        <f t="shared" si="0"/>
        <v>241011003</v>
      </c>
      <c r="I4">
        <v>1003</v>
      </c>
      <c r="J4">
        <v>1</v>
      </c>
      <c r="K4" t="s">
        <v>333</v>
      </c>
      <c r="L4">
        <v>75000</v>
      </c>
      <c r="M4" t="s">
        <v>351</v>
      </c>
      <c r="N4">
        <v>55</v>
      </c>
      <c r="O4">
        <v>103</v>
      </c>
      <c r="P4">
        <v>1</v>
      </c>
      <c r="Q4">
        <v>3</v>
      </c>
      <c r="V4" s="1">
        <v>45489</v>
      </c>
      <c r="W4" s="1">
        <v>45525</v>
      </c>
      <c r="X4">
        <v>149940</v>
      </c>
      <c r="Y4">
        <v>0.98644087899999999</v>
      </c>
      <c r="AH4">
        <v>0</v>
      </c>
      <c r="AI4">
        <v>31</v>
      </c>
    </row>
    <row r="5" spans="1:35" x14ac:dyDescent="0.25">
      <c r="A5" t="s">
        <v>330</v>
      </c>
      <c r="B5" t="s">
        <v>402</v>
      </c>
      <c r="D5" t="s">
        <v>332</v>
      </c>
      <c r="E5">
        <v>60</v>
      </c>
      <c r="H5">
        <f t="shared" si="0"/>
        <v>241011004</v>
      </c>
      <c r="I5">
        <v>1004</v>
      </c>
      <c r="J5">
        <v>1</v>
      </c>
      <c r="K5" t="s">
        <v>388</v>
      </c>
      <c r="L5">
        <v>150000</v>
      </c>
      <c r="M5" t="s">
        <v>283</v>
      </c>
      <c r="N5">
        <v>32</v>
      </c>
      <c r="O5">
        <v>104</v>
      </c>
      <c r="P5">
        <v>1</v>
      </c>
      <c r="Q5">
        <v>4</v>
      </c>
      <c r="S5">
        <v>1</v>
      </c>
      <c r="V5" s="1">
        <v>45494</v>
      </c>
      <c r="AH5">
        <v>0</v>
      </c>
      <c r="AI5">
        <v>60</v>
      </c>
    </row>
    <row r="6" spans="1:35" x14ac:dyDescent="0.25">
      <c r="A6" t="s">
        <v>330</v>
      </c>
      <c r="B6" t="s">
        <v>403</v>
      </c>
      <c r="D6" t="s">
        <v>332</v>
      </c>
      <c r="E6">
        <v>61</v>
      </c>
      <c r="H6">
        <f t="shared" si="0"/>
        <v>241011005</v>
      </c>
      <c r="I6">
        <v>1005</v>
      </c>
      <c r="J6">
        <v>1</v>
      </c>
      <c r="K6" t="s">
        <v>388</v>
      </c>
      <c r="L6">
        <v>75000</v>
      </c>
      <c r="M6" t="s">
        <v>334</v>
      </c>
      <c r="N6">
        <v>8</v>
      </c>
      <c r="O6">
        <v>105</v>
      </c>
      <c r="P6">
        <v>1</v>
      </c>
      <c r="Q6">
        <v>5</v>
      </c>
      <c r="R6">
        <v>29</v>
      </c>
      <c r="S6">
        <v>17.2</v>
      </c>
      <c r="T6">
        <v>482</v>
      </c>
      <c r="U6">
        <v>640</v>
      </c>
      <c r="V6" s="1">
        <v>45495</v>
      </c>
      <c r="W6" s="1">
        <v>45536</v>
      </c>
      <c r="X6">
        <v>112896</v>
      </c>
      <c r="Y6">
        <v>0.81769437</v>
      </c>
      <c r="Z6">
        <v>861.6723356</v>
      </c>
      <c r="AA6">
        <f>1-((0.95-Y6)*0.5)</f>
        <v>0.93384718500000008</v>
      </c>
      <c r="AB6">
        <f>U6/AA6</f>
        <v>685.33696977412842</v>
      </c>
      <c r="AC6" cm="1">
        <f t="array" ref="AC6">_xlfn.IFS(Y6&lt;0.6,U6,0.9&lt;Y6,U6,Y6,AB6)</f>
        <v>685.33696977412842</v>
      </c>
      <c r="AD6">
        <v>0.93619302999999998</v>
      </c>
      <c r="AE6">
        <v>784.5335781</v>
      </c>
      <c r="AF6">
        <v>784.5335781</v>
      </c>
      <c r="AH6">
        <v>0</v>
      </c>
      <c r="AI6">
        <v>61</v>
      </c>
    </row>
    <row r="7" spans="1:35" x14ac:dyDescent="0.25">
      <c r="A7" t="s">
        <v>330</v>
      </c>
      <c r="B7" t="s">
        <v>432</v>
      </c>
      <c r="D7" t="s">
        <v>332</v>
      </c>
      <c r="E7">
        <v>90</v>
      </c>
      <c r="H7">
        <f t="shared" si="0"/>
        <v>241011006</v>
      </c>
      <c r="I7">
        <v>1006</v>
      </c>
      <c r="J7">
        <v>1</v>
      </c>
      <c r="K7" t="s">
        <v>388</v>
      </c>
      <c r="L7">
        <v>100000</v>
      </c>
      <c r="M7" t="s">
        <v>357</v>
      </c>
      <c r="N7">
        <v>18</v>
      </c>
      <c r="O7">
        <v>106</v>
      </c>
      <c r="P7">
        <v>1</v>
      </c>
      <c r="Q7">
        <v>6</v>
      </c>
      <c r="R7">
        <v>45</v>
      </c>
      <c r="S7">
        <v>20.3</v>
      </c>
      <c r="T7">
        <v>2006</v>
      </c>
      <c r="U7">
        <v>2565</v>
      </c>
      <c r="V7" s="1">
        <v>45495</v>
      </c>
      <c r="X7">
        <v>117763</v>
      </c>
      <c r="Y7">
        <v>0.902048085</v>
      </c>
      <c r="Z7">
        <v>3310.7390690000002</v>
      </c>
      <c r="AA7">
        <f>1-((0.95-Y7)*0.5)</f>
        <v>0.97602404249999997</v>
      </c>
      <c r="AB7">
        <f>U7/AA7</f>
        <v>2628.0090328819947</v>
      </c>
      <c r="AC7" cm="1">
        <f t="array" ref="AC7">_xlfn.IFS(Y7&lt;0.6,U7,0.9&lt;Y7,U7,Y7,AB7)</f>
        <v>2565</v>
      </c>
      <c r="AD7">
        <v>0.96571682999999997</v>
      </c>
      <c r="AE7">
        <v>2993.1605850000001</v>
      </c>
      <c r="AF7">
        <v>2565</v>
      </c>
      <c r="AH7">
        <v>0</v>
      </c>
      <c r="AI7">
        <v>90</v>
      </c>
    </row>
    <row r="8" spans="1:35" x14ac:dyDescent="0.25">
      <c r="A8" t="s">
        <v>330</v>
      </c>
      <c r="B8" t="s">
        <v>433</v>
      </c>
      <c r="D8" t="s">
        <v>332</v>
      </c>
      <c r="E8">
        <v>91</v>
      </c>
      <c r="H8">
        <f t="shared" si="0"/>
        <v>241011007</v>
      </c>
      <c r="I8">
        <v>1007</v>
      </c>
      <c r="J8">
        <v>2</v>
      </c>
      <c r="K8" t="s">
        <v>388</v>
      </c>
      <c r="L8">
        <v>75000</v>
      </c>
      <c r="M8" t="s">
        <v>351</v>
      </c>
      <c r="N8">
        <v>10</v>
      </c>
      <c r="O8">
        <v>107</v>
      </c>
      <c r="P8">
        <v>1</v>
      </c>
      <c r="Q8">
        <v>7</v>
      </c>
      <c r="R8">
        <v>62</v>
      </c>
      <c r="S8">
        <v>20</v>
      </c>
      <c r="T8">
        <v>659</v>
      </c>
      <c r="U8">
        <v>846</v>
      </c>
      <c r="V8" s="1">
        <v>45490</v>
      </c>
      <c r="W8" s="1">
        <v>45526</v>
      </c>
      <c r="X8">
        <v>100665</v>
      </c>
      <c r="Y8">
        <v>0.76854334199999996</v>
      </c>
      <c r="Z8">
        <v>1277.425123</v>
      </c>
      <c r="AA8">
        <f>1-((0.95-Y8)*0.5)</f>
        <v>0.90927167099999995</v>
      </c>
      <c r="AB8">
        <f>U8/AA8</f>
        <v>930.41499804957641</v>
      </c>
      <c r="AC8" cm="1">
        <f t="array" ref="AC8">_xlfn.IFS(Y8&lt;0.6,U8,0.9&lt;Y8,U8,Y8,AB8)</f>
        <v>930.41499804957641</v>
      </c>
      <c r="AD8">
        <v>0.91899017000000005</v>
      </c>
      <c r="AE8">
        <v>1107.612873</v>
      </c>
      <c r="AF8">
        <v>1107.612873</v>
      </c>
      <c r="AH8">
        <v>0</v>
      </c>
      <c r="AI8">
        <v>91</v>
      </c>
    </row>
    <row r="9" spans="1:35" x14ac:dyDescent="0.25">
      <c r="A9" t="s">
        <v>330</v>
      </c>
      <c r="B9" t="s">
        <v>460</v>
      </c>
      <c r="D9" t="s">
        <v>332</v>
      </c>
      <c r="E9">
        <v>120</v>
      </c>
      <c r="H9">
        <f t="shared" si="0"/>
        <v>241011008</v>
      </c>
      <c r="I9">
        <v>1008</v>
      </c>
      <c r="J9">
        <v>2</v>
      </c>
      <c r="K9" t="s">
        <v>388</v>
      </c>
      <c r="L9">
        <v>150000</v>
      </c>
      <c r="M9" t="s">
        <v>334</v>
      </c>
      <c r="N9">
        <v>38</v>
      </c>
      <c r="O9">
        <v>108</v>
      </c>
      <c r="P9">
        <v>1</v>
      </c>
      <c r="Q9">
        <v>8</v>
      </c>
      <c r="R9">
        <v>26</v>
      </c>
      <c r="S9">
        <v>17.600000000000001</v>
      </c>
      <c r="T9">
        <v>1773</v>
      </c>
      <c r="U9">
        <v>2344</v>
      </c>
      <c r="V9" s="1">
        <v>45496</v>
      </c>
      <c r="W9" s="1">
        <v>45536</v>
      </c>
      <c r="X9">
        <v>118323</v>
      </c>
      <c r="Y9">
        <v>0.92685102600000002</v>
      </c>
      <c r="Z9">
        <v>3011.1276419999999</v>
      </c>
      <c r="AA9">
        <f>1-((0.95-Y9)*0.5)</f>
        <v>0.98842551300000003</v>
      </c>
      <c r="AB9">
        <f>U9/AA9</f>
        <v>2371.4482974904754</v>
      </c>
      <c r="AC9" cm="1">
        <f t="array" ref="AC9">_xlfn.IFS(Y9&lt;0.6,U9,0.9&lt;Y9,U9,Y9,AB9)</f>
        <v>2344</v>
      </c>
      <c r="AD9">
        <v>0.97439785899999998</v>
      </c>
      <c r="AE9">
        <v>2705.2700260000001</v>
      </c>
      <c r="AF9">
        <v>2344</v>
      </c>
      <c r="AH9">
        <v>0</v>
      </c>
      <c r="AI9">
        <v>120</v>
      </c>
    </row>
    <row r="10" spans="1:35" x14ac:dyDescent="0.25">
      <c r="A10" t="s">
        <v>330</v>
      </c>
      <c r="B10" t="s">
        <v>461</v>
      </c>
      <c r="D10" t="s">
        <v>332</v>
      </c>
      <c r="E10">
        <v>121</v>
      </c>
      <c r="H10">
        <f t="shared" si="0"/>
        <v>241011009</v>
      </c>
      <c r="I10">
        <v>1009</v>
      </c>
      <c r="J10">
        <v>2</v>
      </c>
      <c r="K10" t="s">
        <v>388</v>
      </c>
      <c r="L10">
        <v>100000</v>
      </c>
      <c r="M10" t="s">
        <v>283</v>
      </c>
      <c r="N10">
        <v>17</v>
      </c>
      <c r="O10">
        <v>109</v>
      </c>
      <c r="P10">
        <v>1</v>
      </c>
      <c r="Q10">
        <v>9</v>
      </c>
      <c r="R10">
        <v>26</v>
      </c>
      <c r="S10">
        <v>21.4</v>
      </c>
      <c r="T10">
        <v>1941</v>
      </c>
      <c r="U10">
        <v>2448</v>
      </c>
      <c r="V10" s="1">
        <v>45496</v>
      </c>
      <c r="W10" s="1">
        <v>45536</v>
      </c>
      <c r="X10">
        <v>126236</v>
      </c>
      <c r="Y10">
        <v>0.89830508499999995</v>
      </c>
      <c r="Z10">
        <v>2947.6413069999999</v>
      </c>
      <c r="AA10">
        <f>1-((0.95-Y10)*0.5)</f>
        <v>0.97415254249999994</v>
      </c>
      <c r="AB10">
        <f>U10/AA10</f>
        <v>2512.9534576973092</v>
      </c>
      <c r="AC10" cm="1">
        <f t="array" ref="AC10">_xlfn.IFS(Y10&lt;0.6,U10,0.9&lt;Y10,U10,Y10,AB10)</f>
        <v>2512.9534576973092</v>
      </c>
      <c r="AD10">
        <v>0.96440678000000002</v>
      </c>
      <c r="AE10">
        <v>2773.4013169999998</v>
      </c>
      <c r="AF10">
        <v>2773.4013169999998</v>
      </c>
      <c r="AH10">
        <v>0</v>
      </c>
      <c r="AI10">
        <v>121</v>
      </c>
    </row>
    <row r="11" spans="1:35" x14ac:dyDescent="0.25">
      <c r="A11" t="s">
        <v>330</v>
      </c>
      <c r="B11" t="s">
        <v>490</v>
      </c>
      <c r="D11" t="s">
        <v>332</v>
      </c>
      <c r="E11">
        <v>150</v>
      </c>
      <c r="H11">
        <f t="shared" si="0"/>
        <v>241011010</v>
      </c>
      <c r="I11">
        <v>1010</v>
      </c>
      <c r="J11">
        <v>2</v>
      </c>
      <c r="K11" t="s">
        <v>333</v>
      </c>
      <c r="L11">
        <v>100000</v>
      </c>
      <c r="M11" t="s">
        <v>283</v>
      </c>
      <c r="N11">
        <v>62</v>
      </c>
      <c r="O11">
        <v>110</v>
      </c>
      <c r="P11">
        <v>1</v>
      </c>
      <c r="Q11">
        <v>10</v>
      </c>
      <c r="R11">
        <v>26</v>
      </c>
      <c r="S11">
        <v>19.399999999999999</v>
      </c>
      <c r="T11">
        <v>2252</v>
      </c>
      <c r="U11">
        <v>2913</v>
      </c>
      <c r="V11" s="1">
        <v>45495</v>
      </c>
      <c r="W11" s="1">
        <v>45535</v>
      </c>
      <c r="X11">
        <v>150764</v>
      </c>
      <c r="Y11">
        <v>0.99186842099999994</v>
      </c>
      <c r="Z11">
        <v>2936.881484</v>
      </c>
      <c r="AA11">
        <f>1-((0.95-Y11)*0.5)</f>
        <v>1.0209342105000001</v>
      </c>
      <c r="AB11">
        <f>U11/AA11</f>
        <v>2853.2690647846593</v>
      </c>
      <c r="AC11" cm="1">
        <f t="array" ref="AC11">_xlfn.IFS(Y11&lt;0.6,U11,0.9&lt;Y11,U11,Y11,AB11)</f>
        <v>2913</v>
      </c>
      <c r="AD11">
        <v>0.99715394700000004</v>
      </c>
      <c r="AE11">
        <v>2933.240151</v>
      </c>
      <c r="AF11">
        <v>2913</v>
      </c>
      <c r="AH11">
        <v>0</v>
      </c>
      <c r="AI11">
        <v>150</v>
      </c>
    </row>
    <row r="12" spans="1:35" x14ac:dyDescent="0.25">
      <c r="A12" t="s">
        <v>330</v>
      </c>
      <c r="B12" s="2" t="s">
        <v>491</v>
      </c>
      <c r="D12" t="s">
        <v>332</v>
      </c>
      <c r="E12">
        <v>151</v>
      </c>
      <c r="H12">
        <f t="shared" si="0"/>
        <v>241011011</v>
      </c>
      <c r="I12">
        <v>1011</v>
      </c>
      <c r="J12">
        <v>2</v>
      </c>
      <c r="K12" t="s">
        <v>333</v>
      </c>
      <c r="L12">
        <v>75000</v>
      </c>
      <c r="M12" t="s">
        <v>295</v>
      </c>
      <c r="N12">
        <v>56</v>
      </c>
      <c r="O12">
        <v>111</v>
      </c>
      <c r="P12">
        <v>1</v>
      </c>
      <c r="Q12">
        <v>11</v>
      </c>
      <c r="R12">
        <v>47</v>
      </c>
      <c r="S12">
        <v>19.8</v>
      </c>
      <c r="T12">
        <v>307</v>
      </c>
      <c r="U12">
        <v>395</v>
      </c>
      <c r="V12" s="1">
        <v>45489</v>
      </c>
      <c r="W12" s="1">
        <v>45524</v>
      </c>
      <c r="X12">
        <v>136601</v>
      </c>
      <c r="Y12">
        <v>0.89868487699999999</v>
      </c>
      <c r="Z12">
        <v>439.53115279999997</v>
      </c>
      <c r="AA12">
        <f>1-((0.95-Y12)*0.5)</f>
        <v>0.97434243850000002</v>
      </c>
      <c r="AB12">
        <f>U12/AA12</f>
        <v>405.40161691828018</v>
      </c>
      <c r="AC12" cm="1">
        <f t="array" ref="AC12">_xlfn.IFS(Y12&lt;0.6,U12,0.9&lt;Y12,U12,Y12,AB12)</f>
        <v>405.40161691828018</v>
      </c>
      <c r="AD12">
        <v>0.96453970700000002</v>
      </c>
      <c r="AE12">
        <v>431.37412280000001</v>
      </c>
      <c r="AF12">
        <v>431.37412280000001</v>
      </c>
      <c r="AH12">
        <v>0</v>
      </c>
      <c r="AI12">
        <v>151</v>
      </c>
    </row>
    <row r="13" spans="1:35" x14ac:dyDescent="0.25">
      <c r="A13" t="s">
        <v>330</v>
      </c>
      <c r="B13" t="s">
        <v>520</v>
      </c>
      <c r="D13" t="s">
        <v>332</v>
      </c>
      <c r="E13">
        <v>180</v>
      </c>
      <c r="H13">
        <f t="shared" si="0"/>
        <v>241011012</v>
      </c>
      <c r="I13">
        <v>1012</v>
      </c>
      <c r="J13">
        <v>2</v>
      </c>
      <c r="K13" t="s">
        <v>333</v>
      </c>
      <c r="L13">
        <v>150000</v>
      </c>
      <c r="M13" t="s">
        <v>347</v>
      </c>
      <c r="N13">
        <v>87</v>
      </c>
      <c r="O13">
        <v>112</v>
      </c>
      <c r="P13">
        <v>1</v>
      </c>
      <c r="Q13">
        <v>12</v>
      </c>
      <c r="R13">
        <v>74</v>
      </c>
      <c r="S13">
        <v>24.2</v>
      </c>
      <c r="T13">
        <v>889</v>
      </c>
      <c r="U13">
        <v>1081</v>
      </c>
      <c r="V13" s="1">
        <v>45492</v>
      </c>
      <c r="X13">
        <v>151415</v>
      </c>
      <c r="Y13">
        <v>0.99617097700000001</v>
      </c>
      <c r="Z13">
        <v>1085.155084</v>
      </c>
      <c r="AA13">
        <f>1-((0.95-Y13)*0.5)</f>
        <v>1.0230854885</v>
      </c>
      <c r="AB13">
        <f>U13/AA13</f>
        <v>1056.6076952033711</v>
      </c>
      <c r="AC13" cm="1">
        <f t="array" ref="AC13">_xlfn.IFS(Y13&lt;0.6,U13,0.9&lt;Y13,U13,Y13,AB13)</f>
        <v>1081</v>
      </c>
      <c r="AD13">
        <v>0.99865984200000002</v>
      </c>
      <c r="AE13">
        <v>1084.5269949999999</v>
      </c>
      <c r="AF13">
        <v>1081</v>
      </c>
      <c r="AH13">
        <v>0</v>
      </c>
      <c r="AI13">
        <v>180</v>
      </c>
    </row>
    <row r="14" spans="1:35" x14ac:dyDescent="0.25">
      <c r="A14" t="s">
        <v>330</v>
      </c>
      <c r="B14" t="s">
        <v>521</v>
      </c>
      <c r="D14" t="s">
        <v>332</v>
      </c>
      <c r="E14">
        <v>181</v>
      </c>
      <c r="H14">
        <f t="shared" si="0"/>
        <v>241011013</v>
      </c>
      <c r="I14">
        <v>1013</v>
      </c>
      <c r="J14">
        <v>3</v>
      </c>
      <c r="K14" t="s">
        <v>388</v>
      </c>
      <c r="L14">
        <v>150000</v>
      </c>
      <c r="M14" t="s">
        <v>351</v>
      </c>
      <c r="N14">
        <v>40</v>
      </c>
      <c r="O14">
        <v>113</v>
      </c>
      <c r="P14">
        <v>1</v>
      </c>
      <c r="Q14">
        <v>13</v>
      </c>
      <c r="R14">
        <v>60</v>
      </c>
      <c r="S14">
        <v>20.2</v>
      </c>
      <c r="T14">
        <v>454</v>
      </c>
      <c r="U14">
        <v>581</v>
      </c>
      <c r="V14" s="1">
        <v>45490</v>
      </c>
      <c r="W14" s="1">
        <v>45525</v>
      </c>
      <c r="X14">
        <v>126862</v>
      </c>
      <c r="Y14">
        <v>0.98479427500000005</v>
      </c>
      <c r="Z14">
        <v>696.13107939999998</v>
      </c>
      <c r="AA14">
        <f>1-((0.95-Y14)*0.5)</f>
        <v>1.0173971375000002</v>
      </c>
      <c r="AB14">
        <f>U14/AA14</f>
        <v>571.06510190078052</v>
      </c>
      <c r="AC14" cm="1">
        <f t="array" ref="AC14">_xlfn.IFS(Y14&lt;0.6,U14,0.9&lt;Y14,U14,Y14,AB14)</f>
        <v>581</v>
      </c>
      <c r="AD14">
        <v>0.99467799599999995</v>
      </c>
      <c r="AE14">
        <v>636.76497510000002</v>
      </c>
      <c r="AF14">
        <v>581</v>
      </c>
      <c r="AH14">
        <v>0</v>
      </c>
      <c r="AI14">
        <v>181</v>
      </c>
    </row>
    <row r="15" spans="1:35" x14ac:dyDescent="0.25">
      <c r="A15" t="s">
        <v>330</v>
      </c>
      <c r="B15" t="s">
        <v>550</v>
      </c>
      <c r="D15" t="s">
        <v>332</v>
      </c>
      <c r="E15">
        <v>210</v>
      </c>
      <c r="H15">
        <f t="shared" si="0"/>
        <v>241011014</v>
      </c>
      <c r="I15">
        <v>1014</v>
      </c>
      <c r="J15">
        <v>3</v>
      </c>
      <c r="K15" t="s">
        <v>388</v>
      </c>
      <c r="L15">
        <v>75000</v>
      </c>
      <c r="M15" t="s">
        <v>334</v>
      </c>
      <c r="N15">
        <v>8</v>
      </c>
      <c r="O15">
        <v>114</v>
      </c>
      <c r="P15">
        <v>1</v>
      </c>
      <c r="Q15">
        <v>14</v>
      </c>
      <c r="R15">
        <v>26</v>
      </c>
      <c r="S15">
        <v>17.2</v>
      </c>
      <c r="T15">
        <v>1454</v>
      </c>
      <c r="U15">
        <v>1932</v>
      </c>
      <c r="V15" s="1">
        <v>45495</v>
      </c>
      <c r="W15" s="1">
        <v>45534</v>
      </c>
      <c r="X15">
        <v>123784</v>
      </c>
      <c r="Y15">
        <v>0.95438282600000002</v>
      </c>
      <c r="Z15">
        <v>2372.421832</v>
      </c>
      <c r="AA15">
        <f>1-((0.95-Y15)*0.5)</f>
        <v>1.002191413</v>
      </c>
      <c r="AB15">
        <f>U15/AA15</f>
        <v>1927.7754478225609</v>
      </c>
      <c r="AC15" cm="1">
        <f t="array" ref="AC15">_xlfn.IFS(Y15&lt;0.6,U15,0.9&lt;Y15,U15,Y15,AB15)</f>
        <v>1932</v>
      </c>
      <c r="AD15">
        <v>0.98403398900000005</v>
      </c>
      <c r="AE15">
        <v>2164.233448</v>
      </c>
      <c r="AF15">
        <v>1932</v>
      </c>
      <c r="AH15">
        <v>0</v>
      </c>
      <c r="AI15">
        <v>210</v>
      </c>
    </row>
    <row r="16" spans="1:35" x14ac:dyDescent="0.25">
      <c r="A16" t="s">
        <v>330</v>
      </c>
      <c r="B16" t="s">
        <v>551</v>
      </c>
      <c r="D16" t="s">
        <v>332</v>
      </c>
      <c r="E16">
        <v>211</v>
      </c>
      <c r="H16">
        <f t="shared" si="0"/>
        <v>241011015</v>
      </c>
      <c r="I16">
        <v>1015</v>
      </c>
      <c r="J16">
        <v>3</v>
      </c>
      <c r="K16" t="s">
        <v>388</v>
      </c>
      <c r="L16">
        <v>100000</v>
      </c>
      <c r="M16" t="s">
        <v>336</v>
      </c>
      <c r="N16">
        <v>19</v>
      </c>
      <c r="O16">
        <v>115</v>
      </c>
      <c r="P16">
        <v>1</v>
      </c>
      <c r="Q16">
        <v>15</v>
      </c>
      <c r="R16">
        <v>68</v>
      </c>
      <c r="S16">
        <v>20.6</v>
      </c>
      <c r="T16">
        <v>626</v>
      </c>
      <c r="U16">
        <v>798</v>
      </c>
      <c r="V16" s="1">
        <v>45496</v>
      </c>
      <c r="X16">
        <v>125646</v>
      </c>
      <c r="Y16">
        <v>0.962566845</v>
      </c>
      <c r="Z16">
        <v>965.37892169999998</v>
      </c>
      <c r="AA16">
        <f>1-((0.95-Y16)*0.5)</f>
        <v>1.0062834225000001</v>
      </c>
      <c r="AB16">
        <f>U16/AA16</f>
        <v>793.01713827050537</v>
      </c>
      <c r="AC16" cm="1">
        <f t="array" ref="AC16">_xlfn.IFS(Y16&lt;0.6,U16,0.9&lt;Y16,U16,Y16,AB16)</f>
        <v>798</v>
      </c>
      <c r="AD16">
        <v>0.98689839599999996</v>
      </c>
      <c r="AE16">
        <v>885.34514669999999</v>
      </c>
      <c r="AF16">
        <v>798</v>
      </c>
      <c r="AH16">
        <v>0</v>
      </c>
      <c r="AI16">
        <v>211</v>
      </c>
    </row>
    <row r="17" spans="1:35" x14ac:dyDescent="0.25">
      <c r="A17" t="s">
        <v>330</v>
      </c>
      <c r="B17" t="s">
        <v>580</v>
      </c>
      <c r="D17" t="s">
        <v>332</v>
      </c>
      <c r="E17">
        <v>240</v>
      </c>
      <c r="H17">
        <f t="shared" si="0"/>
        <v>241011016</v>
      </c>
      <c r="I17">
        <v>1016</v>
      </c>
      <c r="J17">
        <v>3</v>
      </c>
      <c r="K17" t="s">
        <v>333</v>
      </c>
      <c r="L17">
        <v>100000</v>
      </c>
      <c r="M17" t="s">
        <v>283</v>
      </c>
      <c r="N17">
        <v>62</v>
      </c>
      <c r="O17">
        <v>116</v>
      </c>
      <c r="P17">
        <v>1</v>
      </c>
      <c r="Q17">
        <v>16</v>
      </c>
      <c r="R17">
        <v>59</v>
      </c>
      <c r="S17">
        <v>17.5</v>
      </c>
      <c r="T17">
        <v>1837</v>
      </c>
      <c r="U17">
        <v>2432</v>
      </c>
      <c r="V17" s="1">
        <v>45496</v>
      </c>
      <c r="W17" s="1">
        <v>45534</v>
      </c>
      <c r="X17">
        <v>149894</v>
      </c>
      <c r="Y17">
        <v>0.98615771299999999</v>
      </c>
      <c r="Z17">
        <v>2466.1369770000001</v>
      </c>
      <c r="AA17">
        <f>1-((0.95-Y17)*0.5)</f>
        <v>1.0180788565000001</v>
      </c>
      <c r="AB17">
        <f>U17/AA17</f>
        <v>2388.8129926996476</v>
      </c>
      <c r="AC17" cm="1">
        <f t="array" ref="AC17">_xlfn.IFS(Y17&lt;0.6,U17,0.9&lt;Y17,U17,Y17,AB17)</f>
        <v>2432</v>
      </c>
      <c r="AD17">
        <v>0.99515520000000002</v>
      </c>
      <c r="AE17">
        <v>2460.8719649999998</v>
      </c>
      <c r="AF17">
        <v>2432</v>
      </c>
      <c r="AH17">
        <v>0</v>
      </c>
      <c r="AI17">
        <v>240</v>
      </c>
    </row>
    <row r="18" spans="1:35" x14ac:dyDescent="0.25">
      <c r="A18" t="s">
        <v>330</v>
      </c>
      <c r="B18" t="s">
        <v>581</v>
      </c>
      <c r="D18" t="s">
        <v>332</v>
      </c>
      <c r="E18">
        <v>241</v>
      </c>
      <c r="H18">
        <f t="shared" si="0"/>
        <v>241011017</v>
      </c>
      <c r="I18">
        <v>1017</v>
      </c>
      <c r="J18">
        <v>3</v>
      </c>
      <c r="K18" t="s">
        <v>333</v>
      </c>
      <c r="L18">
        <v>150000</v>
      </c>
      <c r="M18" t="s">
        <v>343</v>
      </c>
      <c r="N18">
        <v>76</v>
      </c>
      <c r="O18">
        <v>117</v>
      </c>
      <c r="P18">
        <v>1</v>
      </c>
      <c r="Q18">
        <v>17</v>
      </c>
      <c r="R18">
        <v>29</v>
      </c>
      <c r="S18">
        <v>17.8</v>
      </c>
      <c r="T18">
        <v>2002</v>
      </c>
      <c r="U18">
        <v>2641</v>
      </c>
      <c r="V18" s="1">
        <v>45491</v>
      </c>
      <c r="W18" s="1">
        <v>45536</v>
      </c>
      <c r="X18">
        <v>139791</v>
      </c>
      <c r="Y18">
        <v>0.91967763199999997</v>
      </c>
      <c r="Z18">
        <v>2871.6584039999998</v>
      </c>
      <c r="AA18">
        <f>1-((0.95-Y18)*0.5)</f>
        <v>0.98483881600000001</v>
      </c>
      <c r="AB18">
        <f>U18/AA18</f>
        <v>2681.6570966674813</v>
      </c>
      <c r="AC18" cm="1">
        <f t="array" ref="AC18">_xlfn.IFS(Y18&lt;0.6,U18,0.9&lt;Y18,U18,Y18,AB18)</f>
        <v>2641</v>
      </c>
      <c r="AD18">
        <v>0.97188717099999999</v>
      </c>
      <c r="AE18">
        <v>2831.0936959999999</v>
      </c>
      <c r="AF18">
        <v>2641</v>
      </c>
      <c r="AH18">
        <v>0</v>
      </c>
      <c r="AI18">
        <v>241</v>
      </c>
    </row>
    <row r="19" spans="1:35" x14ac:dyDescent="0.25">
      <c r="A19" t="s">
        <v>330</v>
      </c>
      <c r="B19" t="s">
        <v>610</v>
      </c>
      <c r="D19" t="s">
        <v>332</v>
      </c>
      <c r="E19">
        <v>270</v>
      </c>
      <c r="H19">
        <f t="shared" si="0"/>
        <v>241011018</v>
      </c>
      <c r="I19">
        <v>1018</v>
      </c>
      <c r="J19">
        <v>3</v>
      </c>
      <c r="K19" t="s">
        <v>333</v>
      </c>
      <c r="L19">
        <v>75000</v>
      </c>
      <c r="M19" t="s">
        <v>341</v>
      </c>
      <c r="N19">
        <v>50</v>
      </c>
      <c r="O19">
        <v>118</v>
      </c>
      <c r="P19">
        <v>1</v>
      </c>
      <c r="Q19">
        <v>18</v>
      </c>
      <c r="R19">
        <v>28</v>
      </c>
      <c r="S19">
        <v>16.5</v>
      </c>
      <c r="T19">
        <v>1392</v>
      </c>
      <c r="U19">
        <v>1865</v>
      </c>
      <c r="V19" s="1">
        <v>45498</v>
      </c>
      <c r="W19" s="1">
        <v>45525</v>
      </c>
      <c r="X19">
        <v>142536</v>
      </c>
      <c r="Y19">
        <v>0.93773067300000001</v>
      </c>
      <c r="Z19">
        <v>1988.8439760000001</v>
      </c>
      <c r="AA19">
        <f>1-((0.95-Y19)*0.5)</f>
        <v>0.99386533650000008</v>
      </c>
      <c r="AB19">
        <f>U19/AA19</f>
        <v>1876.5117682520161</v>
      </c>
      <c r="AC19" cm="1">
        <f t="array" ref="AC19">_xlfn.IFS(Y19&lt;0.6,U19,0.9&lt;Y19,U19,Y19,AB19)</f>
        <v>1865</v>
      </c>
      <c r="AD19">
        <v>0.97820573600000005</v>
      </c>
      <c r="AE19">
        <v>1967.8192879999999</v>
      </c>
      <c r="AF19">
        <v>1865</v>
      </c>
      <c r="AH19">
        <v>0</v>
      </c>
      <c r="AI19">
        <v>270</v>
      </c>
    </row>
    <row r="20" spans="1:35" x14ac:dyDescent="0.25">
      <c r="A20" t="s">
        <v>330</v>
      </c>
      <c r="B20" t="s">
        <v>611</v>
      </c>
      <c r="D20" t="s">
        <v>332</v>
      </c>
      <c r="E20">
        <v>271</v>
      </c>
      <c r="H20">
        <f t="shared" si="0"/>
        <v>241011019</v>
      </c>
      <c r="I20">
        <v>1019</v>
      </c>
      <c r="J20">
        <v>4</v>
      </c>
      <c r="K20" t="s">
        <v>388</v>
      </c>
      <c r="L20">
        <v>75000</v>
      </c>
      <c r="M20" t="s">
        <v>347</v>
      </c>
      <c r="N20">
        <v>12</v>
      </c>
      <c r="O20">
        <v>119</v>
      </c>
      <c r="P20">
        <v>1</v>
      </c>
      <c r="Q20">
        <v>19</v>
      </c>
      <c r="R20">
        <v>76</v>
      </c>
      <c r="S20">
        <v>18</v>
      </c>
      <c r="T20">
        <v>201</v>
      </c>
      <c r="U20">
        <v>264</v>
      </c>
      <c r="V20" s="1">
        <v>45492</v>
      </c>
      <c r="X20">
        <v>118264</v>
      </c>
      <c r="Y20">
        <v>0.88502673799999998</v>
      </c>
      <c r="Z20">
        <v>339.3108977</v>
      </c>
      <c r="AA20">
        <f>1-((0.95-Y20)*0.5)</f>
        <v>0.96751336899999996</v>
      </c>
      <c r="AB20">
        <f>U20/AA20</f>
        <v>272.86444658936801</v>
      </c>
      <c r="AC20" cm="1">
        <f t="array" ref="AC20">_xlfn.IFS(Y20&lt;0.6,U20,0.9&lt;Y20,U20,Y20,AB20)</f>
        <v>272.86444658936801</v>
      </c>
      <c r="AD20">
        <v>0.95975935800000001</v>
      </c>
      <c r="AE20">
        <v>309.40562510000001</v>
      </c>
      <c r="AF20">
        <v>309.40562510000001</v>
      </c>
      <c r="AH20">
        <v>0</v>
      </c>
      <c r="AI20">
        <v>271</v>
      </c>
    </row>
    <row r="21" spans="1:35" x14ac:dyDescent="0.25">
      <c r="A21" t="s">
        <v>330</v>
      </c>
      <c r="B21" t="s">
        <v>639</v>
      </c>
      <c r="D21" t="s">
        <v>332</v>
      </c>
      <c r="E21">
        <v>300</v>
      </c>
      <c r="H21">
        <f t="shared" si="0"/>
        <v>241011020</v>
      </c>
      <c r="I21">
        <v>1020</v>
      </c>
      <c r="J21">
        <v>4</v>
      </c>
      <c r="K21" t="s">
        <v>388</v>
      </c>
      <c r="L21">
        <v>100000</v>
      </c>
      <c r="M21" t="s">
        <v>349</v>
      </c>
      <c r="N21">
        <v>28</v>
      </c>
      <c r="O21">
        <v>120</v>
      </c>
      <c r="P21">
        <v>1</v>
      </c>
      <c r="Q21">
        <v>20</v>
      </c>
      <c r="R21">
        <v>27</v>
      </c>
      <c r="S21">
        <v>18.399999999999999</v>
      </c>
      <c r="T21">
        <v>1182</v>
      </c>
      <c r="U21">
        <v>1548</v>
      </c>
      <c r="V21" s="1">
        <v>45495</v>
      </c>
      <c r="W21" s="1">
        <v>45534</v>
      </c>
      <c r="X21">
        <v>119975</v>
      </c>
      <c r="Y21">
        <v>0.92424242400000001</v>
      </c>
      <c r="Z21">
        <v>1961.1827800000001</v>
      </c>
      <c r="AA21">
        <f>1-((0.95-Y21)*0.5)</f>
        <v>0.98712121200000003</v>
      </c>
      <c r="AB21">
        <f>U21/AA21</f>
        <v>1568.1964698779059</v>
      </c>
      <c r="AC21" cm="1">
        <f t="array" ref="AC21">_xlfn.IFS(Y21&lt;0.6,U21,0.9&lt;Y21,U21,Y21,AB21)</f>
        <v>1548</v>
      </c>
      <c r="AD21">
        <v>0.97348484800000001</v>
      </c>
      <c r="AE21">
        <v>1777.3945220000001</v>
      </c>
      <c r="AF21">
        <v>1548</v>
      </c>
      <c r="AH21">
        <v>0</v>
      </c>
      <c r="AI21">
        <v>300</v>
      </c>
    </row>
    <row r="22" spans="1:35" x14ac:dyDescent="0.25">
      <c r="A22" t="s">
        <v>330</v>
      </c>
      <c r="B22" t="s">
        <v>640</v>
      </c>
      <c r="D22" t="s">
        <v>332</v>
      </c>
      <c r="E22">
        <v>301</v>
      </c>
      <c r="H22">
        <f t="shared" si="0"/>
        <v>241011021</v>
      </c>
      <c r="I22">
        <v>1021</v>
      </c>
      <c r="J22">
        <v>4</v>
      </c>
      <c r="K22" t="s">
        <v>388</v>
      </c>
      <c r="L22">
        <v>150000</v>
      </c>
      <c r="M22" t="s">
        <v>334</v>
      </c>
      <c r="N22">
        <v>38</v>
      </c>
      <c r="O22">
        <v>121</v>
      </c>
      <c r="P22">
        <v>1</v>
      </c>
      <c r="Q22">
        <v>21</v>
      </c>
      <c r="R22">
        <v>26</v>
      </c>
      <c r="S22">
        <v>18</v>
      </c>
      <c r="T22">
        <v>949</v>
      </c>
      <c r="U22">
        <v>1249</v>
      </c>
      <c r="V22" s="1">
        <v>45495</v>
      </c>
      <c r="W22" s="1">
        <v>45530</v>
      </c>
      <c r="X22">
        <v>119654</v>
      </c>
      <c r="Y22">
        <v>0.92844364899999998</v>
      </c>
      <c r="Z22">
        <v>1586.6519209999999</v>
      </c>
      <c r="AA22">
        <f>1-((0.95-Y22)*0.5)</f>
        <v>0.98922182449999996</v>
      </c>
      <c r="AB22">
        <f>U22/AA22</f>
        <v>1262.6086172646912</v>
      </c>
      <c r="AC22" cm="1">
        <f t="array" ref="AC22">_xlfn.IFS(Y22&lt;0.6,U22,0.9&lt;Y22,U22,Y22,AB22)</f>
        <v>1249</v>
      </c>
      <c r="AD22">
        <v>0.97495527699999995</v>
      </c>
      <c r="AE22">
        <v>1433.6280240000001</v>
      </c>
      <c r="AF22">
        <v>1249</v>
      </c>
      <c r="AH22">
        <v>0</v>
      </c>
      <c r="AI22">
        <v>301</v>
      </c>
    </row>
    <row r="23" spans="1:35" x14ac:dyDescent="0.25">
      <c r="A23" t="s">
        <v>330</v>
      </c>
      <c r="B23" s="18" t="s">
        <v>668</v>
      </c>
      <c r="D23" t="s">
        <v>332</v>
      </c>
      <c r="E23">
        <v>330</v>
      </c>
      <c r="H23">
        <f t="shared" si="0"/>
        <v>241011022</v>
      </c>
      <c r="I23">
        <v>1022</v>
      </c>
      <c r="J23">
        <v>4</v>
      </c>
      <c r="K23" t="s">
        <v>333</v>
      </c>
      <c r="L23">
        <v>150000</v>
      </c>
      <c r="M23" t="s">
        <v>283</v>
      </c>
      <c r="N23">
        <v>77</v>
      </c>
      <c r="O23">
        <v>122</v>
      </c>
      <c r="P23">
        <v>1</v>
      </c>
      <c r="Q23">
        <v>22</v>
      </c>
      <c r="V23" s="1">
        <v>45494</v>
      </c>
      <c r="W23" s="1">
        <v>45532</v>
      </c>
      <c r="X23">
        <v>151128</v>
      </c>
      <c r="Y23">
        <v>0.99426315799999998</v>
      </c>
      <c r="AH23">
        <v>0</v>
      </c>
      <c r="AI23">
        <v>330</v>
      </c>
    </row>
    <row r="24" spans="1:35" x14ac:dyDescent="0.25">
      <c r="A24" t="s">
        <v>330</v>
      </c>
      <c r="B24" t="s">
        <v>669</v>
      </c>
      <c r="D24" t="s">
        <v>332</v>
      </c>
      <c r="E24">
        <v>331</v>
      </c>
      <c r="H24">
        <f t="shared" si="0"/>
        <v>241011023</v>
      </c>
      <c r="I24">
        <v>1023</v>
      </c>
      <c r="J24">
        <v>4</v>
      </c>
      <c r="K24" t="s">
        <v>333</v>
      </c>
      <c r="L24">
        <v>100000</v>
      </c>
      <c r="M24" t="s">
        <v>295</v>
      </c>
      <c r="N24">
        <v>71</v>
      </c>
      <c r="O24">
        <v>123</v>
      </c>
      <c r="P24">
        <v>1</v>
      </c>
      <c r="Q24">
        <v>23</v>
      </c>
      <c r="R24">
        <v>51</v>
      </c>
      <c r="S24">
        <v>20</v>
      </c>
      <c r="T24">
        <v>69</v>
      </c>
      <c r="U24">
        <v>89</v>
      </c>
      <c r="V24" s="1">
        <v>45490</v>
      </c>
      <c r="W24" s="1">
        <v>45525</v>
      </c>
      <c r="X24">
        <v>100546</v>
      </c>
      <c r="Y24">
        <v>0.66148684199999996</v>
      </c>
      <c r="Z24">
        <v>134.54538220000001</v>
      </c>
      <c r="AA24">
        <f>1-((0.95-Y24)*0.5)</f>
        <v>0.855743421</v>
      </c>
      <c r="AB24">
        <f>U24/AA24</f>
        <v>104.00313670655729</v>
      </c>
      <c r="AC24" cm="1">
        <f t="array" ref="AC24">_xlfn.IFS(Y24&lt;0.6,U24,0.9&lt;Y24,U24,Y24,AB24)</f>
        <v>104.00313670655729</v>
      </c>
      <c r="AD24">
        <v>0.88152039500000001</v>
      </c>
      <c r="AE24">
        <v>121.5320243</v>
      </c>
      <c r="AF24">
        <v>121.5320243</v>
      </c>
      <c r="AH24">
        <v>0</v>
      </c>
      <c r="AI24">
        <v>331</v>
      </c>
    </row>
    <row r="25" spans="1:35" x14ac:dyDescent="0.25">
      <c r="A25" t="s">
        <v>330</v>
      </c>
      <c r="B25" t="s">
        <v>698</v>
      </c>
      <c r="D25" t="s">
        <v>332</v>
      </c>
      <c r="E25">
        <v>360</v>
      </c>
      <c r="H25">
        <f t="shared" si="0"/>
        <v>241011024</v>
      </c>
      <c r="I25">
        <v>1024</v>
      </c>
      <c r="J25">
        <v>4</v>
      </c>
      <c r="K25" t="s">
        <v>333</v>
      </c>
      <c r="L25">
        <v>75000</v>
      </c>
      <c r="M25" t="s">
        <v>347</v>
      </c>
      <c r="N25">
        <v>57</v>
      </c>
      <c r="O25">
        <v>124</v>
      </c>
      <c r="P25">
        <v>1</v>
      </c>
      <c r="Q25">
        <v>24</v>
      </c>
      <c r="V25" s="1">
        <v>45499</v>
      </c>
      <c r="X25">
        <v>129602</v>
      </c>
      <c r="Y25">
        <v>0.863431956</v>
      </c>
      <c r="AH25">
        <v>0</v>
      </c>
      <c r="AI25">
        <v>360</v>
      </c>
    </row>
    <row r="26" spans="1:35" x14ac:dyDescent="0.25">
      <c r="A26" t="s">
        <v>330</v>
      </c>
      <c r="B26" t="s">
        <v>335</v>
      </c>
      <c r="D26" t="s">
        <v>332</v>
      </c>
      <c r="E26">
        <v>2</v>
      </c>
      <c r="H26">
        <f t="shared" si="0"/>
        <v>241012001</v>
      </c>
      <c r="I26">
        <v>2001</v>
      </c>
      <c r="J26">
        <v>1</v>
      </c>
      <c r="K26" t="s">
        <v>333</v>
      </c>
      <c r="L26">
        <v>100000</v>
      </c>
      <c r="M26" t="s">
        <v>336</v>
      </c>
      <c r="N26">
        <v>64</v>
      </c>
      <c r="O26">
        <v>201</v>
      </c>
      <c r="P26">
        <v>2</v>
      </c>
      <c r="Q26">
        <v>1</v>
      </c>
      <c r="R26">
        <v>67</v>
      </c>
      <c r="S26">
        <v>23.8</v>
      </c>
      <c r="T26">
        <v>635</v>
      </c>
      <c r="U26">
        <v>776</v>
      </c>
      <c r="V26" s="1">
        <v>45496</v>
      </c>
      <c r="W26" s="1">
        <v>45536</v>
      </c>
      <c r="X26">
        <v>151510</v>
      </c>
      <c r="Y26">
        <v>0.99678287399999999</v>
      </c>
      <c r="Z26">
        <v>778.50454760000002</v>
      </c>
      <c r="AA26">
        <f>1-((0.95-Y26)*0.5)</f>
        <v>1.0233914369999999</v>
      </c>
      <c r="AB26">
        <f>U26/AA26</f>
        <v>758.26313563340875</v>
      </c>
      <c r="AC26" cm="1">
        <f t="array" ref="AC26">_xlfn.IFS(Y26&lt;0.6,U26,0.9&lt;Y26,U26,Y26,AB26)</f>
        <v>776</v>
      </c>
      <c r="AD26">
        <v>0.99887400599999998</v>
      </c>
      <c r="AE26">
        <v>778.1264218</v>
      </c>
      <c r="AF26">
        <v>776</v>
      </c>
      <c r="AH26">
        <v>0</v>
      </c>
      <c r="AI26">
        <v>2</v>
      </c>
    </row>
    <row r="27" spans="1:35" x14ac:dyDescent="0.25">
      <c r="A27" t="s">
        <v>330</v>
      </c>
      <c r="B27" t="s">
        <v>371</v>
      </c>
      <c r="D27" t="s">
        <v>332</v>
      </c>
      <c r="E27">
        <v>29</v>
      </c>
      <c r="H27">
        <f t="shared" si="0"/>
        <v>241012002</v>
      </c>
      <c r="I27">
        <v>2002</v>
      </c>
      <c r="J27">
        <v>1</v>
      </c>
      <c r="K27" t="s">
        <v>333</v>
      </c>
      <c r="L27">
        <v>150000</v>
      </c>
      <c r="M27" t="s">
        <v>357</v>
      </c>
      <c r="N27">
        <v>78</v>
      </c>
      <c r="O27">
        <v>202</v>
      </c>
      <c r="P27">
        <v>2</v>
      </c>
      <c r="Q27">
        <v>2</v>
      </c>
      <c r="V27" s="1">
        <v>45493</v>
      </c>
      <c r="W27" s="1">
        <v>45534</v>
      </c>
      <c r="X27">
        <v>149240</v>
      </c>
      <c r="Y27">
        <v>0.98184210500000002</v>
      </c>
      <c r="AH27">
        <v>0</v>
      </c>
      <c r="AI27">
        <v>29</v>
      </c>
    </row>
    <row r="28" spans="1:35" x14ac:dyDescent="0.25">
      <c r="A28" t="s">
        <v>330</v>
      </c>
      <c r="B28" t="s">
        <v>374</v>
      </c>
      <c r="D28" t="s">
        <v>332</v>
      </c>
      <c r="E28">
        <v>32</v>
      </c>
      <c r="H28">
        <f t="shared" si="0"/>
        <v>241012003</v>
      </c>
      <c r="I28">
        <v>2003</v>
      </c>
      <c r="J28">
        <v>1</v>
      </c>
      <c r="K28" t="s">
        <v>333</v>
      </c>
      <c r="L28">
        <v>75000</v>
      </c>
      <c r="M28" t="s">
        <v>349</v>
      </c>
      <c r="N28">
        <v>58</v>
      </c>
      <c r="O28">
        <v>203</v>
      </c>
      <c r="P28">
        <v>2</v>
      </c>
      <c r="Q28">
        <v>3</v>
      </c>
      <c r="R28">
        <v>38</v>
      </c>
      <c r="S28">
        <v>21</v>
      </c>
      <c r="T28">
        <v>1637</v>
      </c>
      <c r="U28">
        <v>2075</v>
      </c>
      <c r="V28" s="1">
        <v>45497</v>
      </c>
      <c r="W28" s="1">
        <v>45534</v>
      </c>
      <c r="X28">
        <v>147503</v>
      </c>
      <c r="Y28">
        <v>0.97040808899999997</v>
      </c>
      <c r="Z28">
        <v>2138.275662</v>
      </c>
      <c r="AA28">
        <f>1-((0.95-Y28)*0.5)</f>
        <v>1.0102040445</v>
      </c>
      <c r="AB28">
        <f>U28/AA28</f>
        <v>2054.0404795419527</v>
      </c>
      <c r="AC28" cm="1">
        <f t="array" ref="AC28">_xlfn.IFS(Y28&lt;0.6,U28,0.9&lt;Y28,U28,Y28,AB28)</f>
        <v>2075</v>
      </c>
      <c r="AD28">
        <v>0.98964283099999995</v>
      </c>
      <c r="AE28">
        <v>2128.204866</v>
      </c>
      <c r="AF28">
        <v>2075</v>
      </c>
      <c r="AH28">
        <v>0</v>
      </c>
      <c r="AI28">
        <v>32</v>
      </c>
    </row>
    <row r="29" spans="1:35" x14ac:dyDescent="0.25">
      <c r="A29" t="s">
        <v>330</v>
      </c>
      <c r="B29" t="s">
        <v>401</v>
      </c>
      <c r="D29" t="s">
        <v>332</v>
      </c>
      <c r="E29">
        <v>59</v>
      </c>
      <c r="H29">
        <f t="shared" si="0"/>
        <v>241012004</v>
      </c>
      <c r="I29">
        <v>2004</v>
      </c>
      <c r="J29">
        <v>1</v>
      </c>
      <c r="K29" t="s">
        <v>388</v>
      </c>
      <c r="L29">
        <v>150000</v>
      </c>
      <c r="M29" t="s">
        <v>298</v>
      </c>
      <c r="N29">
        <v>36</v>
      </c>
      <c r="O29">
        <v>204</v>
      </c>
      <c r="P29">
        <v>2</v>
      </c>
      <c r="Q29">
        <v>4</v>
      </c>
      <c r="R29">
        <v>47</v>
      </c>
      <c r="S29">
        <v>19.3</v>
      </c>
      <c r="T29">
        <v>190</v>
      </c>
      <c r="U29">
        <v>246</v>
      </c>
      <c r="V29" s="1">
        <v>45490</v>
      </c>
      <c r="W29" s="1">
        <v>45526</v>
      </c>
      <c r="X29">
        <v>86819</v>
      </c>
      <c r="Y29">
        <v>0.55921638500000004</v>
      </c>
      <c r="Z29">
        <v>430.6891349</v>
      </c>
      <c r="AA29">
        <f>1-((0.95-Y29)*0.5)</f>
        <v>0.80460819250000004</v>
      </c>
      <c r="AB29">
        <f>U29/AA29</f>
        <v>305.73887053728947</v>
      </c>
      <c r="AC29" cm="1">
        <f t="array" ref="AC29">_xlfn.IFS(Y29&lt;0.6,U29,0.9&lt;Y29,U29,Y29,AB29)</f>
        <v>246</v>
      </c>
      <c r="AD29">
        <v>0.84572573500000003</v>
      </c>
      <c r="AE29">
        <v>370.2629604</v>
      </c>
      <c r="AF29">
        <v>246</v>
      </c>
      <c r="AH29">
        <v>0</v>
      </c>
      <c r="AI29">
        <v>59</v>
      </c>
    </row>
    <row r="30" spans="1:35" x14ac:dyDescent="0.25">
      <c r="A30" t="s">
        <v>330</v>
      </c>
      <c r="B30" t="s">
        <v>404</v>
      </c>
      <c r="D30" t="s">
        <v>332</v>
      </c>
      <c r="E30">
        <v>62</v>
      </c>
      <c r="H30">
        <f t="shared" si="0"/>
        <v>241012005</v>
      </c>
      <c r="I30">
        <v>2005</v>
      </c>
      <c r="J30">
        <v>1</v>
      </c>
      <c r="K30" t="s">
        <v>388</v>
      </c>
      <c r="L30">
        <v>75000</v>
      </c>
      <c r="M30" t="s">
        <v>353</v>
      </c>
      <c r="N30">
        <v>7</v>
      </c>
      <c r="O30">
        <v>205</v>
      </c>
      <c r="P30">
        <v>2</v>
      </c>
      <c r="Q30">
        <v>5</v>
      </c>
      <c r="R30">
        <v>40</v>
      </c>
      <c r="S30">
        <v>20.6</v>
      </c>
      <c r="T30">
        <v>929</v>
      </c>
      <c r="U30">
        <v>1184</v>
      </c>
      <c r="V30" s="1">
        <v>45496</v>
      </c>
      <c r="W30" s="1">
        <v>45536</v>
      </c>
      <c r="X30">
        <v>100329</v>
      </c>
      <c r="Y30">
        <v>0.68722073299999997</v>
      </c>
      <c r="Z30">
        <v>1793.766668</v>
      </c>
      <c r="AA30">
        <f>1-((0.95-Y30)*0.5)</f>
        <v>0.86861036650000001</v>
      </c>
      <c r="AB30">
        <f>U30/AA30</f>
        <v>1363.0967873096413</v>
      </c>
      <c r="AC30" cm="1">
        <f t="array" ref="AC30">_xlfn.IFS(Y30&lt;0.6,U30,0.9&lt;Y30,U30,Y30,AB30)</f>
        <v>1363.0967873096413</v>
      </c>
      <c r="AD30">
        <v>0.89052725700000002</v>
      </c>
      <c r="AE30">
        <v>1601.805449</v>
      </c>
      <c r="AF30">
        <v>1601.805449</v>
      </c>
      <c r="AH30">
        <v>0</v>
      </c>
      <c r="AI30">
        <v>62</v>
      </c>
    </row>
    <row r="31" spans="1:35" x14ac:dyDescent="0.25">
      <c r="A31" t="s">
        <v>330</v>
      </c>
      <c r="B31" t="s">
        <v>431</v>
      </c>
      <c r="D31" t="s">
        <v>332</v>
      </c>
      <c r="E31">
        <v>89</v>
      </c>
      <c r="H31">
        <f t="shared" si="0"/>
        <v>241012006</v>
      </c>
      <c r="I31">
        <v>2006</v>
      </c>
      <c r="J31">
        <v>1</v>
      </c>
      <c r="K31" t="s">
        <v>388</v>
      </c>
      <c r="L31">
        <v>100000</v>
      </c>
      <c r="M31" t="s">
        <v>338</v>
      </c>
      <c r="N31">
        <v>29</v>
      </c>
      <c r="O31">
        <v>206</v>
      </c>
      <c r="P31">
        <v>2</v>
      </c>
      <c r="Q31">
        <v>6</v>
      </c>
      <c r="R31">
        <v>47</v>
      </c>
      <c r="S31">
        <v>21</v>
      </c>
      <c r="T31">
        <v>1359</v>
      </c>
      <c r="U31">
        <v>1723</v>
      </c>
      <c r="V31" s="1">
        <v>45494</v>
      </c>
      <c r="W31" s="1">
        <v>45528</v>
      </c>
      <c r="X31">
        <v>125734</v>
      </c>
      <c r="Y31">
        <v>0.94206773600000004</v>
      </c>
      <c r="Z31">
        <v>2082.9369940000001</v>
      </c>
      <c r="AA31">
        <f>1-((0.95-Y31)*0.5)</f>
        <v>0.99603386800000004</v>
      </c>
      <c r="AB31">
        <f>U31/AA31</f>
        <v>1729.8608564985061</v>
      </c>
      <c r="AC31" cm="1">
        <f t="array" ref="AC31">_xlfn.IFS(Y31&lt;0.6,U31,0.9&lt;Y31,U31,Y31,AB31)</f>
        <v>1723</v>
      </c>
      <c r="AD31">
        <v>0.97972370799999997</v>
      </c>
      <c r="AE31">
        <v>1924.979881</v>
      </c>
      <c r="AF31">
        <v>1723</v>
      </c>
      <c r="AH31">
        <v>0</v>
      </c>
      <c r="AI31">
        <v>89</v>
      </c>
    </row>
    <row r="32" spans="1:35" x14ac:dyDescent="0.25">
      <c r="A32" t="s">
        <v>330</v>
      </c>
      <c r="B32" t="s">
        <v>434</v>
      </c>
      <c r="D32" t="s">
        <v>332</v>
      </c>
      <c r="E32">
        <v>92</v>
      </c>
      <c r="H32">
        <f t="shared" si="0"/>
        <v>241012007</v>
      </c>
      <c r="I32">
        <v>2007</v>
      </c>
      <c r="J32">
        <v>2</v>
      </c>
      <c r="K32" t="s">
        <v>388</v>
      </c>
      <c r="L32">
        <v>75000</v>
      </c>
      <c r="M32" t="s">
        <v>279</v>
      </c>
      <c r="N32">
        <v>15</v>
      </c>
      <c r="O32">
        <v>207</v>
      </c>
      <c r="P32">
        <v>2</v>
      </c>
      <c r="Q32">
        <v>7</v>
      </c>
      <c r="R32">
        <v>26</v>
      </c>
      <c r="S32">
        <v>20.5</v>
      </c>
      <c r="T32">
        <v>1573</v>
      </c>
      <c r="U32">
        <v>2007</v>
      </c>
      <c r="V32" s="1">
        <v>45498</v>
      </c>
      <c r="W32" s="1">
        <v>45535</v>
      </c>
      <c r="X32">
        <v>101188</v>
      </c>
      <c r="Y32">
        <v>0.74060822900000001</v>
      </c>
      <c r="Z32">
        <v>3014.8437269999999</v>
      </c>
      <c r="AA32">
        <f>1-((0.95-Y32)*0.5)</f>
        <v>0.89530411450000003</v>
      </c>
      <c r="AB32">
        <f>U32/AA32</f>
        <v>2241.6963884063553</v>
      </c>
      <c r="AC32" cm="1">
        <f t="array" ref="AC32">_xlfn.IFS(Y32&lt;0.6,U32,0.9&lt;Y32,U32,Y32,AB32)</f>
        <v>2241.6963884063553</v>
      </c>
      <c r="AD32">
        <v>0.90921288</v>
      </c>
      <c r="AE32">
        <v>2650.4120680000001</v>
      </c>
      <c r="AF32">
        <v>2650.4120680000001</v>
      </c>
      <c r="AH32">
        <v>0</v>
      </c>
      <c r="AI32">
        <v>92</v>
      </c>
    </row>
    <row r="33" spans="1:35" x14ac:dyDescent="0.25">
      <c r="A33" t="s">
        <v>330</v>
      </c>
      <c r="B33" t="s">
        <v>459</v>
      </c>
      <c r="D33" t="s">
        <v>332</v>
      </c>
      <c r="E33">
        <v>119</v>
      </c>
      <c r="H33">
        <f t="shared" si="0"/>
        <v>241012008</v>
      </c>
      <c r="I33">
        <v>2008</v>
      </c>
      <c r="J33">
        <v>2</v>
      </c>
      <c r="K33" t="s">
        <v>388</v>
      </c>
      <c r="L33">
        <v>150000</v>
      </c>
      <c r="M33" t="s">
        <v>353</v>
      </c>
      <c r="N33">
        <v>37</v>
      </c>
      <c r="O33">
        <v>208</v>
      </c>
      <c r="P33">
        <v>2</v>
      </c>
      <c r="Q33">
        <v>8</v>
      </c>
      <c r="R33">
        <v>45</v>
      </c>
      <c r="S33">
        <v>18.600000000000001</v>
      </c>
      <c r="T33">
        <v>1280</v>
      </c>
      <c r="U33">
        <v>1672</v>
      </c>
      <c r="V33" s="1">
        <v>45497</v>
      </c>
      <c r="W33" s="1">
        <v>45534</v>
      </c>
      <c r="X33">
        <v>98089</v>
      </c>
      <c r="Y33">
        <v>0.69079535299999995</v>
      </c>
      <c r="Z33">
        <v>2590.9701599999999</v>
      </c>
      <c r="AA33">
        <f>1-((0.95-Y33)*0.5)</f>
        <v>0.87039767649999999</v>
      </c>
      <c r="AB33">
        <f>U33/AA33</f>
        <v>1920.961010285969</v>
      </c>
      <c r="AC33" cm="1">
        <f t="array" ref="AC33">_xlfn.IFS(Y33&lt;0.6,U33,0.9&lt;Y33,U33,Y33,AB33)</f>
        <v>1920.961010285969</v>
      </c>
      <c r="AD33">
        <v>0.89177837400000004</v>
      </c>
      <c r="AE33">
        <v>2279.079377</v>
      </c>
      <c r="AF33">
        <v>2279.079377</v>
      </c>
      <c r="AH33">
        <v>0</v>
      </c>
      <c r="AI33">
        <v>119</v>
      </c>
    </row>
    <row r="34" spans="1:35" x14ac:dyDescent="0.25">
      <c r="A34" t="s">
        <v>330</v>
      </c>
      <c r="B34" t="s">
        <v>462</v>
      </c>
      <c r="D34" t="s">
        <v>332</v>
      </c>
      <c r="E34">
        <v>122</v>
      </c>
      <c r="H34">
        <f t="shared" si="0"/>
        <v>241012009</v>
      </c>
      <c r="I34">
        <v>2009</v>
      </c>
      <c r="J34">
        <v>2</v>
      </c>
      <c r="K34" t="s">
        <v>388</v>
      </c>
      <c r="L34">
        <v>100000</v>
      </c>
      <c r="M34" t="s">
        <v>353</v>
      </c>
      <c r="N34">
        <v>22</v>
      </c>
      <c r="O34">
        <v>209</v>
      </c>
      <c r="P34">
        <v>2</v>
      </c>
      <c r="Q34">
        <v>9</v>
      </c>
      <c r="R34">
        <v>61</v>
      </c>
      <c r="S34">
        <v>18.600000000000001</v>
      </c>
      <c r="T34">
        <v>1334</v>
      </c>
      <c r="U34">
        <v>1742</v>
      </c>
      <c r="V34" s="1">
        <v>45494</v>
      </c>
      <c r="W34" s="1">
        <v>45534</v>
      </c>
      <c r="X34">
        <v>121060</v>
      </c>
      <c r="Y34">
        <v>0.88057041000000003</v>
      </c>
      <c r="Z34">
        <v>2187.1697840000002</v>
      </c>
      <c r="AA34">
        <f>1-((0.95-Y34)*0.5)</f>
        <v>0.96528520500000004</v>
      </c>
      <c r="AB34">
        <f>U34/AA34</f>
        <v>1804.6479848409153</v>
      </c>
      <c r="AC34" cm="1">
        <f t="array" ref="AC34">_xlfn.IFS(Y34&lt;0.6,U34,0.9&lt;Y34,U34,Y34,AB34)</f>
        <v>1804.6479848409153</v>
      </c>
      <c r="AD34">
        <v>0.95819964400000002</v>
      </c>
      <c r="AE34">
        <v>2023.9689390000001</v>
      </c>
      <c r="AF34">
        <v>2023.9689390000001</v>
      </c>
      <c r="AH34">
        <v>0</v>
      </c>
      <c r="AI34">
        <v>122</v>
      </c>
    </row>
    <row r="35" spans="1:35" x14ac:dyDescent="0.25">
      <c r="A35" t="s">
        <v>330</v>
      </c>
      <c r="B35" t="s">
        <v>489</v>
      </c>
      <c r="D35" t="s">
        <v>332</v>
      </c>
      <c r="E35">
        <v>149</v>
      </c>
      <c r="H35">
        <f t="shared" si="0"/>
        <v>241012010</v>
      </c>
      <c r="I35">
        <v>2010</v>
      </c>
      <c r="J35">
        <v>2</v>
      </c>
      <c r="K35" t="s">
        <v>333</v>
      </c>
      <c r="L35">
        <v>100000</v>
      </c>
      <c r="M35" t="s">
        <v>351</v>
      </c>
      <c r="N35">
        <v>70</v>
      </c>
      <c r="O35">
        <v>210</v>
      </c>
      <c r="P35">
        <v>2</v>
      </c>
      <c r="Q35">
        <v>10</v>
      </c>
      <c r="R35">
        <v>55</v>
      </c>
      <c r="S35">
        <v>20.3</v>
      </c>
      <c r="T35">
        <v>674</v>
      </c>
      <c r="U35">
        <v>862</v>
      </c>
      <c r="V35" s="1">
        <v>45491</v>
      </c>
      <c r="W35" s="1">
        <v>45525</v>
      </c>
      <c r="X35">
        <v>151953</v>
      </c>
      <c r="Y35">
        <v>0.99967763600000004</v>
      </c>
      <c r="Z35">
        <v>862.27796750000005</v>
      </c>
      <c r="AA35">
        <f>1-((0.95-Y35)*0.5)</f>
        <v>1.0248388180000001</v>
      </c>
      <c r="AB35">
        <f>U35/AA35</f>
        <v>841.10787458482071</v>
      </c>
      <c r="AC35" cm="1">
        <f t="array" ref="AC35">_xlfn.IFS(Y35&lt;0.6,U35,0.9&lt;Y35,U35,Y35,AB35)</f>
        <v>862</v>
      </c>
      <c r="AD35">
        <v>0.99988717299999996</v>
      </c>
      <c r="AE35">
        <v>862.23624519999998</v>
      </c>
      <c r="AF35">
        <v>862</v>
      </c>
      <c r="AH35">
        <v>0</v>
      </c>
      <c r="AI35">
        <v>149</v>
      </c>
    </row>
    <row r="36" spans="1:35" x14ac:dyDescent="0.25">
      <c r="A36" t="s">
        <v>330</v>
      </c>
      <c r="B36" t="s">
        <v>492</v>
      </c>
      <c r="D36" t="s">
        <v>332</v>
      </c>
      <c r="E36">
        <v>152</v>
      </c>
      <c r="H36">
        <f t="shared" si="0"/>
        <v>241012011</v>
      </c>
      <c r="I36">
        <v>2011</v>
      </c>
      <c r="J36">
        <v>2</v>
      </c>
      <c r="K36" t="s">
        <v>333</v>
      </c>
      <c r="L36">
        <v>75000</v>
      </c>
      <c r="M36" t="s">
        <v>298</v>
      </c>
      <c r="N36">
        <v>51</v>
      </c>
      <c r="O36">
        <v>211</v>
      </c>
      <c r="P36">
        <v>2</v>
      </c>
      <c r="Q36">
        <v>11</v>
      </c>
      <c r="R36">
        <v>63</v>
      </c>
      <c r="S36">
        <v>21.5</v>
      </c>
      <c r="T36">
        <v>537</v>
      </c>
      <c r="U36">
        <v>676</v>
      </c>
      <c r="V36" s="1">
        <v>45489</v>
      </c>
      <c r="W36" s="1">
        <v>45525</v>
      </c>
      <c r="X36">
        <v>143412</v>
      </c>
      <c r="Y36">
        <v>0.94350000000000001</v>
      </c>
      <c r="Z36">
        <v>716.48118710000006</v>
      </c>
      <c r="AA36">
        <f>1-((0.95-Y36)*0.5)</f>
        <v>0.99675000000000002</v>
      </c>
      <c r="AB36">
        <f>U36/AA36</f>
        <v>678.20416353147732</v>
      </c>
      <c r="AC36" cm="1">
        <f t="array" ref="AC36">_xlfn.IFS(Y36&lt;0.6,U36,0.9&lt;Y36,U36,Y36,AB36)</f>
        <v>676</v>
      </c>
      <c r="AD36">
        <v>0.98022500000000001</v>
      </c>
      <c r="AE36">
        <v>709.68621889999997</v>
      </c>
      <c r="AF36">
        <v>676</v>
      </c>
      <c r="AH36">
        <v>0</v>
      </c>
      <c r="AI36">
        <v>152</v>
      </c>
    </row>
    <row r="37" spans="1:35" x14ac:dyDescent="0.25">
      <c r="A37" t="s">
        <v>330</v>
      </c>
      <c r="B37" t="s">
        <v>519</v>
      </c>
      <c r="D37" t="s">
        <v>332</v>
      </c>
      <c r="E37">
        <v>179</v>
      </c>
      <c r="H37">
        <f t="shared" si="0"/>
        <v>241012012</v>
      </c>
      <c r="I37">
        <v>2012</v>
      </c>
      <c r="J37">
        <v>2</v>
      </c>
      <c r="K37" t="s">
        <v>333</v>
      </c>
      <c r="L37">
        <v>150000</v>
      </c>
      <c r="M37" t="s">
        <v>341</v>
      </c>
      <c r="N37">
        <v>80</v>
      </c>
      <c r="O37">
        <v>212</v>
      </c>
      <c r="P37">
        <v>2</v>
      </c>
      <c r="Q37">
        <v>12</v>
      </c>
      <c r="R37">
        <v>43</v>
      </c>
      <c r="S37">
        <v>17.2</v>
      </c>
      <c r="T37">
        <v>1946</v>
      </c>
      <c r="U37">
        <v>2586</v>
      </c>
      <c r="V37" s="1">
        <v>45493</v>
      </c>
      <c r="W37" s="1">
        <v>45530</v>
      </c>
      <c r="X37">
        <v>151987</v>
      </c>
      <c r="Y37">
        <v>0.999914474</v>
      </c>
      <c r="Z37">
        <v>2586.2211900000002</v>
      </c>
      <c r="AA37">
        <f>1-((0.95-Y37)*0.5)</f>
        <v>1.024957237</v>
      </c>
      <c r="AB37">
        <f>U37/AA37</f>
        <v>2523.0320901670943</v>
      </c>
      <c r="AC37" cm="1">
        <f t="array" ref="AC37">_xlfn.IFS(Y37&lt;0.6,U37,0.9&lt;Y37,U37,Y37,AB37)</f>
        <v>2586</v>
      </c>
      <c r="AD37">
        <v>0.99997006600000005</v>
      </c>
      <c r="AE37">
        <v>2586.188005</v>
      </c>
      <c r="AF37">
        <v>2586</v>
      </c>
      <c r="AH37">
        <v>0</v>
      </c>
      <c r="AI37">
        <v>179</v>
      </c>
    </row>
    <row r="38" spans="1:35" x14ac:dyDescent="0.25">
      <c r="A38" t="s">
        <v>330</v>
      </c>
      <c r="B38" t="s">
        <v>522</v>
      </c>
      <c r="D38" t="s">
        <v>332</v>
      </c>
      <c r="E38">
        <v>182</v>
      </c>
      <c r="H38">
        <f t="shared" si="0"/>
        <v>241012013</v>
      </c>
      <c r="I38">
        <v>2013</v>
      </c>
      <c r="J38">
        <v>3</v>
      </c>
      <c r="K38" t="s">
        <v>388</v>
      </c>
      <c r="L38">
        <v>150000</v>
      </c>
      <c r="M38" t="s">
        <v>279</v>
      </c>
      <c r="N38">
        <v>45</v>
      </c>
      <c r="O38">
        <v>213</v>
      </c>
      <c r="P38">
        <v>2</v>
      </c>
      <c r="Q38">
        <v>13</v>
      </c>
      <c r="R38">
        <v>40</v>
      </c>
      <c r="S38">
        <v>19.100000000000001</v>
      </c>
      <c r="T38">
        <v>1515</v>
      </c>
      <c r="U38">
        <v>1967</v>
      </c>
      <c r="V38" s="1">
        <v>45493</v>
      </c>
      <c r="W38" s="1">
        <v>45533</v>
      </c>
      <c r="X38">
        <v>122395</v>
      </c>
      <c r="Y38">
        <v>0.85062611799999999</v>
      </c>
      <c r="Z38">
        <v>2442.7473829999999</v>
      </c>
      <c r="AA38">
        <f>1-((0.95-Y38)*0.5)</f>
        <v>0.95031305899999996</v>
      </c>
      <c r="AB38">
        <f>U38/AA38</f>
        <v>2069.8442280376998</v>
      </c>
      <c r="AC38" cm="1">
        <f t="array" ref="AC38">_xlfn.IFS(Y38&lt;0.6,U38,0.9&lt;Y38,U38,Y38,AB38)</f>
        <v>2069.8442280376998</v>
      </c>
      <c r="AD38">
        <v>0.94771914099999999</v>
      </c>
      <c r="AE38">
        <v>2299.42659</v>
      </c>
      <c r="AF38">
        <v>2299.42659</v>
      </c>
      <c r="AH38">
        <v>0</v>
      </c>
      <c r="AI38">
        <v>182</v>
      </c>
    </row>
    <row r="39" spans="1:35" x14ac:dyDescent="0.25">
      <c r="A39" t="s">
        <v>330</v>
      </c>
      <c r="B39" t="s">
        <v>549</v>
      </c>
      <c r="D39" t="s">
        <v>332</v>
      </c>
      <c r="E39">
        <v>209</v>
      </c>
      <c r="H39">
        <f t="shared" si="0"/>
        <v>241012014</v>
      </c>
      <c r="I39">
        <v>2014</v>
      </c>
      <c r="J39">
        <v>3</v>
      </c>
      <c r="K39" t="s">
        <v>388</v>
      </c>
      <c r="L39">
        <v>75000</v>
      </c>
      <c r="M39" t="s">
        <v>347</v>
      </c>
      <c r="N39">
        <v>12</v>
      </c>
      <c r="O39">
        <v>214</v>
      </c>
      <c r="P39">
        <v>2</v>
      </c>
      <c r="Q39">
        <v>14</v>
      </c>
      <c r="R39">
        <v>76</v>
      </c>
      <c r="S39">
        <v>20</v>
      </c>
      <c r="T39">
        <v>567</v>
      </c>
      <c r="U39">
        <v>728</v>
      </c>
      <c r="V39" s="1">
        <v>45496</v>
      </c>
      <c r="X39">
        <v>122427</v>
      </c>
      <c r="Y39">
        <v>0.83750000000000002</v>
      </c>
      <c r="Z39">
        <v>903.85885470000005</v>
      </c>
      <c r="AA39">
        <f>1-((0.95-Y39)*0.5)</f>
        <v>0.94375000000000009</v>
      </c>
      <c r="AB39">
        <f>U39/AA39</f>
        <v>771.3907284768211</v>
      </c>
      <c r="AC39" cm="1">
        <f t="array" ref="AC39">_xlfn.IFS(Y39&lt;0.6,U39,0.9&lt;Y39,U39,Y39,AB39)</f>
        <v>771.3907284768211</v>
      </c>
      <c r="AD39">
        <v>0.94312499999999999</v>
      </c>
      <c r="AE39">
        <v>855.086682</v>
      </c>
      <c r="AF39">
        <v>855.086682</v>
      </c>
      <c r="AH39">
        <v>0</v>
      </c>
      <c r="AI39">
        <v>209</v>
      </c>
    </row>
    <row r="40" spans="1:35" x14ac:dyDescent="0.25">
      <c r="A40" t="s">
        <v>330</v>
      </c>
      <c r="B40" t="s">
        <v>552</v>
      </c>
      <c r="D40" t="s">
        <v>332</v>
      </c>
      <c r="E40">
        <v>212</v>
      </c>
      <c r="H40">
        <f t="shared" si="0"/>
        <v>241012015</v>
      </c>
      <c r="I40">
        <v>2015</v>
      </c>
      <c r="J40">
        <v>3</v>
      </c>
      <c r="K40" t="s">
        <v>388</v>
      </c>
      <c r="L40">
        <v>100000</v>
      </c>
      <c r="M40" t="s">
        <v>334</v>
      </c>
      <c r="N40">
        <v>23</v>
      </c>
      <c r="O40">
        <v>215</v>
      </c>
      <c r="P40">
        <v>2</v>
      </c>
      <c r="Q40">
        <v>15</v>
      </c>
      <c r="R40">
        <v>25</v>
      </c>
      <c r="S40">
        <v>20.3</v>
      </c>
      <c r="T40">
        <v>1627</v>
      </c>
      <c r="U40">
        <v>2081</v>
      </c>
      <c r="V40" s="1">
        <v>45496</v>
      </c>
      <c r="W40" s="1">
        <v>45534</v>
      </c>
      <c r="X40">
        <v>107334</v>
      </c>
      <c r="Y40">
        <v>0.78895814799999997</v>
      </c>
      <c r="Z40">
        <v>2947.026683</v>
      </c>
      <c r="AA40">
        <f>1-((0.95-Y40)*0.5)</f>
        <v>0.91947907400000006</v>
      </c>
      <c r="AB40">
        <f>U40/AA40</f>
        <v>2263.2380212276585</v>
      </c>
      <c r="AC40" cm="1">
        <f t="array" ref="AC40">_xlfn.IFS(Y40&lt;0.6,U40,0.9&lt;Y40,U40,Y40,AB40)</f>
        <v>2263.2380212276585</v>
      </c>
      <c r="AD40">
        <v>0.92613535199999997</v>
      </c>
      <c r="AE40">
        <v>2633.9899150000001</v>
      </c>
      <c r="AF40">
        <v>2633.9899150000001</v>
      </c>
      <c r="AH40">
        <v>0</v>
      </c>
      <c r="AI40">
        <v>212</v>
      </c>
    </row>
    <row r="41" spans="1:35" x14ac:dyDescent="0.25">
      <c r="A41" t="s">
        <v>330</v>
      </c>
      <c r="B41" t="s">
        <v>579</v>
      </c>
      <c r="D41" t="s">
        <v>332</v>
      </c>
      <c r="E41">
        <v>239</v>
      </c>
      <c r="H41">
        <f t="shared" si="0"/>
        <v>241012016</v>
      </c>
      <c r="I41">
        <v>2016</v>
      </c>
      <c r="J41">
        <v>3</v>
      </c>
      <c r="K41" t="s">
        <v>333</v>
      </c>
      <c r="L41">
        <v>100000</v>
      </c>
      <c r="M41" t="s">
        <v>295</v>
      </c>
      <c r="N41">
        <v>71</v>
      </c>
      <c r="O41">
        <v>216</v>
      </c>
      <c r="P41">
        <v>2</v>
      </c>
      <c r="Q41">
        <v>16</v>
      </c>
      <c r="R41">
        <v>56</v>
      </c>
      <c r="S41">
        <v>19.3</v>
      </c>
      <c r="T41">
        <v>361</v>
      </c>
      <c r="U41">
        <v>467</v>
      </c>
      <c r="V41" s="1">
        <v>45489</v>
      </c>
      <c r="W41" s="1">
        <v>45530</v>
      </c>
      <c r="X41">
        <v>147100</v>
      </c>
      <c r="Y41">
        <v>0.96778225900000003</v>
      </c>
      <c r="Z41">
        <v>482.54656019999999</v>
      </c>
      <c r="AA41">
        <f>1-((0.95-Y41)*0.5)</f>
        <v>1.0088911295</v>
      </c>
      <c r="AB41">
        <f>U41/AA41</f>
        <v>462.88443454889153</v>
      </c>
      <c r="AC41" cm="1">
        <f t="array" ref="AC41">_xlfn.IFS(Y41&lt;0.6,U41,0.9&lt;Y41,U41,Y41,AB41)</f>
        <v>467</v>
      </c>
      <c r="AD41">
        <v>0.98872379099999996</v>
      </c>
      <c r="AE41">
        <v>480.05925980000001</v>
      </c>
      <c r="AF41">
        <v>467</v>
      </c>
      <c r="AH41">
        <v>0</v>
      </c>
      <c r="AI41">
        <v>239</v>
      </c>
    </row>
    <row r="42" spans="1:35" x14ac:dyDescent="0.25">
      <c r="A42" t="s">
        <v>330</v>
      </c>
      <c r="B42" t="s">
        <v>582</v>
      </c>
      <c r="D42" t="s">
        <v>332</v>
      </c>
      <c r="E42">
        <v>242</v>
      </c>
      <c r="H42">
        <f t="shared" si="0"/>
        <v>241012017</v>
      </c>
      <c r="I42">
        <v>2017</v>
      </c>
      <c r="J42">
        <v>3</v>
      </c>
      <c r="K42" t="s">
        <v>333</v>
      </c>
      <c r="L42">
        <v>150000</v>
      </c>
      <c r="M42" t="s">
        <v>355</v>
      </c>
      <c r="N42">
        <v>84</v>
      </c>
      <c r="O42">
        <v>217</v>
      </c>
      <c r="P42">
        <v>2</v>
      </c>
      <c r="Q42">
        <v>17</v>
      </c>
      <c r="R42">
        <v>63</v>
      </c>
      <c r="S42">
        <v>20.3</v>
      </c>
      <c r="T42">
        <v>364</v>
      </c>
      <c r="U42">
        <v>466</v>
      </c>
      <c r="V42" s="1">
        <v>45489</v>
      </c>
      <c r="W42" s="1">
        <v>45524</v>
      </c>
      <c r="X42">
        <v>151930</v>
      </c>
      <c r="Y42">
        <v>0.999532898</v>
      </c>
      <c r="Z42">
        <v>466.21777129999998</v>
      </c>
      <c r="AA42">
        <f>1-((0.95-Y42)*0.5)</f>
        <v>1.0247664489999999</v>
      </c>
      <c r="AB42">
        <f>U42/AA42</f>
        <v>454.73776044750275</v>
      </c>
      <c r="AC42" cm="1">
        <f t="array" ref="AC42">_xlfn.IFS(Y42&lt;0.6,U42,0.9&lt;Y42,U42,Y42,AB42)</f>
        <v>466</v>
      </c>
      <c r="AD42">
        <v>0.99983651399999995</v>
      </c>
      <c r="AE42">
        <v>466.1850748</v>
      </c>
      <c r="AF42">
        <v>466</v>
      </c>
      <c r="AH42">
        <v>0</v>
      </c>
      <c r="AI42">
        <v>242</v>
      </c>
    </row>
    <row r="43" spans="1:35" x14ac:dyDescent="0.25">
      <c r="A43" t="s">
        <v>330</v>
      </c>
      <c r="B43" t="s">
        <v>609</v>
      </c>
      <c r="D43" t="s">
        <v>332</v>
      </c>
      <c r="E43">
        <v>269</v>
      </c>
      <c r="H43">
        <f t="shared" si="0"/>
        <v>241012018</v>
      </c>
      <c r="I43">
        <v>2018</v>
      </c>
      <c r="J43">
        <v>3</v>
      </c>
      <c r="K43" t="s">
        <v>333</v>
      </c>
      <c r="L43">
        <v>75000</v>
      </c>
      <c r="M43" t="s">
        <v>336</v>
      </c>
      <c r="N43">
        <v>49</v>
      </c>
      <c r="O43">
        <v>218</v>
      </c>
      <c r="P43">
        <v>2</v>
      </c>
      <c r="Q43">
        <v>18</v>
      </c>
      <c r="R43">
        <v>71</v>
      </c>
      <c r="S43">
        <v>21.9</v>
      </c>
      <c r="T43">
        <v>720</v>
      </c>
      <c r="U43">
        <v>902</v>
      </c>
      <c r="V43" s="1">
        <v>45494</v>
      </c>
      <c r="W43" s="1">
        <v>45537</v>
      </c>
      <c r="X43">
        <v>142915</v>
      </c>
      <c r="Y43">
        <v>0.94022407699999999</v>
      </c>
      <c r="Z43">
        <v>959.34577899999999</v>
      </c>
      <c r="AA43">
        <f>1-((0.95-Y43)*0.5)</f>
        <v>0.99511203850000007</v>
      </c>
      <c r="AB43">
        <f>U43/AA43</f>
        <v>906.430597864785</v>
      </c>
      <c r="AC43" cm="1">
        <f t="array" ref="AC43">_xlfn.IFS(Y43&lt;0.6,U43,0.9&lt;Y43,U43,Y43,AB43)</f>
        <v>902</v>
      </c>
      <c r="AD43">
        <v>0.97907842700000003</v>
      </c>
      <c r="AE43">
        <v>949.65784929999995</v>
      </c>
      <c r="AF43">
        <v>902</v>
      </c>
      <c r="AH43">
        <v>0</v>
      </c>
      <c r="AI43">
        <v>269</v>
      </c>
    </row>
    <row r="44" spans="1:35" x14ac:dyDescent="0.25">
      <c r="A44" t="s">
        <v>330</v>
      </c>
      <c r="B44" t="s">
        <v>612</v>
      </c>
      <c r="D44" t="s">
        <v>332</v>
      </c>
      <c r="E44">
        <v>272</v>
      </c>
      <c r="H44">
        <f t="shared" si="0"/>
        <v>241012019</v>
      </c>
      <c r="I44">
        <v>2019</v>
      </c>
      <c r="J44">
        <v>4</v>
      </c>
      <c r="K44" t="s">
        <v>388</v>
      </c>
      <c r="L44">
        <v>75000</v>
      </c>
      <c r="M44" t="s">
        <v>336</v>
      </c>
      <c r="N44">
        <v>4</v>
      </c>
      <c r="O44">
        <v>219</v>
      </c>
      <c r="P44">
        <v>2</v>
      </c>
      <c r="Q44">
        <v>19</v>
      </c>
      <c r="R44">
        <v>70</v>
      </c>
      <c r="S44">
        <v>20.7</v>
      </c>
      <c r="T44">
        <v>639</v>
      </c>
      <c r="U44">
        <v>813</v>
      </c>
      <c r="V44" s="1">
        <v>45493</v>
      </c>
      <c r="X44">
        <v>124607</v>
      </c>
      <c r="Y44">
        <v>0.897413024</v>
      </c>
      <c r="Z44">
        <v>991.73251100000004</v>
      </c>
      <c r="AA44">
        <f>1-((0.95-Y44)*0.5)</f>
        <v>0.97370651200000002</v>
      </c>
      <c r="AB44">
        <f>U44/AA44</f>
        <v>834.95384900948466</v>
      </c>
      <c r="AC44" cm="1">
        <f t="array" ref="AC44">_xlfn.IFS(Y44&lt;0.6,U44,0.9&lt;Y44,U44,Y44,AB44)</f>
        <v>834.95384900948466</v>
      </c>
      <c r="AD44">
        <v>0.96409455799999999</v>
      </c>
      <c r="AE44">
        <v>926.79272990000004</v>
      </c>
      <c r="AF44">
        <v>926.79272990000004</v>
      </c>
      <c r="AH44">
        <v>0</v>
      </c>
      <c r="AI44">
        <v>272</v>
      </c>
    </row>
    <row r="45" spans="1:35" x14ac:dyDescent="0.25">
      <c r="A45" t="s">
        <v>330</v>
      </c>
      <c r="B45" t="s">
        <v>638</v>
      </c>
      <c r="D45" t="s">
        <v>332</v>
      </c>
      <c r="E45">
        <v>299</v>
      </c>
      <c r="H45">
        <f t="shared" si="0"/>
        <v>241012020</v>
      </c>
      <c r="I45">
        <v>2020</v>
      </c>
      <c r="J45">
        <v>4</v>
      </c>
      <c r="K45" t="s">
        <v>388</v>
      </c>
      <c r="L45">
        <v>100000</v>
      </c>
      <c r="M45" t="s">
        <v>353</v>
      </c>
      <c r="N45">
        <v>22</v>
      </c>
      <c r="O45">
        <v>220</v>
      </c>
      <c r="P45">
        <v>2</v>
      </c>
      <c r="Q45">
        <v>20</v>
      </c>
      <c r="R45">
        <v>44</v>
      </c>
      <c r="S45">
        <v>18.2</v>
      </c>
      <c r="T45">
        <v>873</v>
      </c>
      <c r="U45">
        <v>1146</v>
      </c>
      <c r="V45" s="1">
        <v>45497</v>
      </c>
      <c r="W45" s="1">
        <v>45531</v>
      </c>
      <c r="X45">
        <v>119679</v>
      </c>
      <c r="Y45">
        <v>0.84772929699999999</v>
      </c>
      <c r="Z45">
        <v>1455.4742940000001</v>
      </c>
      <c r="AA45">
        <f>1-((0.95-Y45)*0.5)</f>
        <v>0.94886464850000007</v>
      </c>
      <c r="AB45">
        <f>U45/AA45</f>
        <v>1207.7591907461604</v>
      </c>
      <c r="AC45" cm="1">
        <f t="array" ref="AC45">_xlfn.IFS(Y45&lt;0.6,U45,0.9&lt;Y45,U45,Y45,AB45)</f>
        <v>1207.7591907461604</v>
      </c>
      <c r="AD45">
        <v>0.94670525400000005</v>
      </c>
      <c r="AE45">
        <v>1354.518143</v>
      </c>
      <c r="AF45">
        <v>1354.518143</v>
      </c>
      <c r="AH45">
        <v>0</v>
      </c>
      <c r="AI45">
        <v>299</v>
      </c>
    </row>
    <row r="46" spans="1:35" x14ac:dyDescent="0.25">
      <c r="A46" t="s">
        <v>330</v>
      </c>
      <c r="B46" t="s">
        <v>641</v>
      </c>
      <c r="D46" t="s">
        <v>332</v>
      </c>
      <c r="E46">
        <v>302</v>
      </c>
      <c r="H46">
        <f t="shared" si="0"/>
        <v>241012021</v>
      </c>
      <c r="I46">
        <v>2021</v>
      </c>
      <c r="J46">
        <v>4</v>
      </c>
      <c r="K46" t="s">
        <v>388</v>
      </c>
      <c r="L46">
        <v>150000</v>
      </c>
      <c r="M46" t="s">
        <v>347</v>
      </c>
      <c r="N46">
        <v>42</v>
      </c>
      <c r="O46">
        <v>221</v>
      </c>
      <c r="P46">
        <v>2</v>
      </c>
      <c r="Q46">
        <v>21</v>
      </c>
      <c r="R46">
        <v>69</v>
      </c>
      <c r="S46">
        <v>20</v>
      </c>
      <c r="T46">
        <v>252</v>
      </c>
      <c r="U46">
        <v>323</v>
      </c>
      <c r="V46" s="1">
        <v>45498</v>
      </c>
      <c r="W46" s="1">
        <v>45537</v>
      </c>
      <c r="X46">
        <v>127166</v>
      </c>
      <c r="Y46">
        <v>0.93917710200000004</v>
      </c>
      <c r="Z46">
        <v>386.07549970000002</v>
      </c>
      <c r="AA46">
        <f>1-((0.95-Y46)*0.5)</f>
        <v>0.9945885510000001</v>
      </c>
      <c r="AB46">
        <f>U46/AA46</f>
        <v>324.75740815158446</v>
      </c>
      <c r="AC46" cm="1">
        <f t="array" ref="AC46">_xlfn.IFS(Y46&lt;0.6,U46,0.9&lt;Y46,U46,Y46,AB46)</f>
        <v>323</v>
      </c>
      <c r="AD46">
        <v>0.97871198599999998</v>
      </c>
      <c r="AE46">
        <v>359.3828709</v>
      </c>
      <c r="AF46">
        <v>323</v>
      </c>
      <c r="AH46">
        <v>0</v>
      </c>
      <c r="AI46">
        <v>302</v>
      </c>
    </row>
    <row r="47" spans="1:35" x14ac:dyDescent="0.25">
      <c r="A47" t="s">
        <v>330</v>
      </c>
      <c r="B47" t="s">
        <v>667</v>
      </c>
      <c r="D47" t="s">
        <v>332</v>
      </c>
      <c r="E47">
        <v>329</v>
      </c>
      <c r="H47">
        <f t="shared" si="0"/>
        <v>241012022</v>
      </c>
      <c r="I47">
        <v>2022</v>
      </c>
      <c r="J47">
        <v>4</v>
      </c>
      <c r="K47" t="s">
        <v>333</v>
      </c>
      <c r="L47">
        <v>150000</v>
      </c>
      <c r="M47" t="s">
        <v>349</v>
      </c>
      <c r="N47">
        <v>88</v>
      </c>
      <c r="O47">
        <v>222</v>
      </c>
      <c r="P47">
        <v>2</v>
      </c>
      <c r="Q47">
        <v>22</v>
      </c>
      <c r="R47">
        <v>28</v>
      </c>
      <c r="S47">
        <v>19.2</v>
      </c>
      <c r="T47">
        <v>602</v>
      </c>
      <c r="U47">
        <v>781</v>
      </c>
      <c r="V47" s="1">
        <v>45495</v>
      </c>
      <c r="W47" s="1">
        <v>45534</v>
      </c>
      <c r="X47">
        <v>149940</v>
      </c>
      <c r="Y47">
        <v>0.98644087899999999</v>
      </c>
      <c r="Z47">
        <v>791.73523409999996</v>
      </c>
      <c r="AA47">
        <f>1-((0.95-Y47)*0.5)</f>
        <v>1.0182204395000001</v>
      </c>
      <c r="AB47">
        <f>U47/AA47</f>
        <v>767.02447692320163</v>
      </c>
      <c r="AC47" cm="1">
        <f t="array" ref="AC47">_xlfn.IFS(Y47&lt;0.6,U47,0.9&lt;Y47,U47,Y47,AB47)</f>
        <v>781</v>
      </c>
      <c r="AD47">
        <v>0.99525430800000003</v>
      </c>
      <c r="AE47">
        <v>790.08045719999996</v>
      </c>
      <c r="AF47">
        <v>781</v>
      </c>
      <c r="AH47">
        <v>0</v>
      </c>
      <c r="AI47">
        <v>329</v>
      </c>
    </row>
    <row r="48" spans="1:35" x14ac:dyDescent="0.25">
      <c r="A48" t="s">
        <v>330</v>
      </c>
      <c r="B48" t="s">
        <v>670</v>
      </c>
      <c r="D48" t="s">
        <v>332</v>
      </c>
      <c r="E48">
        <v>332</v>
      </c>
      <c r="H48">
        <f t="shared" si="0"/>
        <v>241012023</v>
      </c>
      <c r="I48">
        <v>2023</v>
      </c>
      <c r="J48">
        <v>4</v>
      </c>
      <c r="K48" t="s">
        <v>333</v>
      </c>
      <c r="L48">
        <v>100000</v>
      </c>
      <c r="M48" t="s">
        <v>347</v>
      </c>
      <c r="N48">
        <v>72</v>
      </c>
      <c r="O48">
        <v>223</v>
      </c>
      <c r="P48">
        <v>2</v>
      </c>
      <c r="Q48">
        <v>23</v>
      </c>
      <c r="V48" s="1">
        <v>45498</v>
      </c>
      <c r="W48" s="1">
        <v>45535</v>
      </c>
      <c r="X48">
        <v>149719</v>
      </c>
      <c r="Y48">
        <v>0.98499342099999998</v>
      </c>
      <c r="AA48">
        <f>1-((0.95-Y48)*0.5)</f>
        <v>1.0174967105000001</v>
      </c>
      <c r="AH48">
        <v>0</v>
      </c>
      <c r="AI48">
        <v>332</v>
      </c>
    </row>
    <row r="49" spans="1:35" x14ac:dyDescent="0.25">
      <c r="A49" t="s">
        <v>330</v>
      </c>
      <c r="B49" t="s">
        <v>697</v>
      </c>
      <c r="D49" t="s">
        <v>332</v>
      </c>
      <c r="E49">
        <v>359</v>
      </c>
      <c r="H49">
        <f t="shared" si="0"/>
        <v>241012024</v>
      </c>
      <c r="I49">
        <v>2024</v>
      </c>
      <c r="J49">
        <v>4</v>
      </c>
      <c r="K49" t="s">
        <v>333</v>
      </c>
      <c r="L49">
        <v>75000</v>
      </c>
      <c r="M49" t="s">
        <v>341</v>
      </c>
      <c r="N49">
        <v>50</v>
      </c>
      <c r="O49">
        <v>224</v>
      </c>
      <c r="P49">
        <v>2</v>
      </c>
      <c r="Q49">
        <v>24</v>
      </c>
      <c r="R49">
        <v>0</v>
      </c>
      <c r="S49">
        <v>21.4</v>
      </c>
      <c r="T49">
        <v>224</v>
      </c>
      <c r="U49">
        <v>283</v>
      </c>
      <c r="V49" s="1">
        <v>45501</v>
      </c>
      <c r="W49" s="1">
        <v>45526</v>
      </c>
      <c r="X49">
        <v>151780</v>
      </c>
      <c r="Y49">
        <v>0.99855920099999995</v>
      </c>
      <c r="Z49">
        <v>283.4083344</v>
      </c>
      <c r="AA49">
        <f>1-((0.95-Y49)*0.5)</f>
        <v>1.0242796004999999</v>
      </c>
      <c r="AB49">
        <f>U49/AA49</f>
        <v>276.29174676704889</v>
      </c>
      <c r="AC49" cm="1">
        <f t="array" ref="AC49">_xlfn.IFS(Y49&lt;0.6,U49,0.9&lt;Y49,U49,Y49,AB49)</f>
        <v>283</v>
      </c>
      <c r="AD49">
        <v>0.99949571999999998</v>
      </c>
      <c r="AE49">
        <v>283.34690610000001</v>
      </c>
      <c r="AF49">
        <v>283</v>
      </c>
      <c r="AH49">
        <v>0</v>
      </c>
      <c r="AI49">
        <v>359</v>
      </c>
    </row>
    <row r="50" spans="1:35" x14ac:dyDescent="0.25">
      <c r="A50" t="s">
        <v>330</v>
      </c>
      <c r="B50" t="s">
        <v>337</v>
      </c>
      <c r="D50" t="s">
        <v>332</v>
      </c>
      <c r="E50">
        <v>3</v>
      </c>
      <c r="H50">
        <f t="shared" si="0"/>
        <v>241013001</v>
      </c>
      <c r="I50">
        <v>3001</v>
      </c>
      <c r="J50">
        <v>1</v>
      </c>
      <c r="K50" t="s">
        <v>333</v>
      </c>
      <c r="L50">
        <v>100000</v>
      </c>
      <c r="M50" t="s">
        <v>338</v>
      </c>
      <c r="N50">
        <v>74</v>
      </c>
      <c r="O50">
        <v>301</v>
      </c>
      <c r="P50">
        <v>3</v>
      </c>
      <c r="Q50">
        <v>1</v>
      </c>
      <c r="R50">
        <v>42</v>
      </c>
      <c r="S50">
        <v>21.2</v>
      </c>
      <c r="T50">
        <v>1586</v>
      </c>
      <c r="U50">
        <v>2005</v>
      </c>
      <c r="V50" s="1">
        <v>45494</v>
      </c>
      <c r="W50" s="1">
        <v>45527</v>
      </c>
      <c r="X50">
        <v>151855</v>
      </c>
      <c r="Y50">
        <v>0.99903947999999998</v>
      </c>
      <c r="Z50">
        <v>2006.927694</v>
      </c>
      <c r="AA50">
        <f>1-((0.95-Y50)*0.5)</f>
        <v>1.0245197400000001</v>
      </c>
      <c r="AB50">
        <f>U50/AA50</f>
        <v>1957.0145129658504</v>
      </c>
      <c r="AC50" cm="1">
        <f t="array" ref="AC50">_xlfn.IFS(Y50&lt;0.6,U50,0.9&lt;Y50,U50,Y50,AB50)</f>
        <v>2005</v>
      </c>
      <c r="AD50">
        <v>0.99966381800000004</v>
      </c>
      <c r="AE50">
        <v>2006.63798</v>
      </c>
      <c r="AF50">
        <v>2005</v>
      </c>
      <c r="AH50">
        <v>0</v>
      </c>
      <c r="AI50">
        <v>3</v>
      </c>
    </row>
    <row r="51" spans="1:35" x14ac:dyDescent="0.25">
      <c r="A51" t="s">
        <v>330</v>
      </c>
      <c r="B51" t="s">
        <v>370</v>
      </c>
      <c r="D51" t="s">
        <v>332</v>
      </c>
      <c r="E51">
        <v>28</v>
      </c>
      <c r="H51">
        <f t="shared" si="0"/>
        <v>241013002</v>
      </c>
      <c r="I51">
        <v>3002</v>
      </c>
      <c r="J51">
        <v>1</v>
      </c>
      <c r="K51" t="s">
        <v>333</v>
      </c>
      <c r="L51">
        <v>150000</v>
      </c>
      <c r="M51" t="s">
        <v>279</v>
      </c>
      <c r="N51">
        <v>90</v>
      </c>
      <c r="O51">
        <v>302</v>
      </c>
      <c r="P51">
        <v>3</v>
      </c>
      <c r="Q51">
        <v>2</v>
      </c>
      <c r="R51">
        <v>25</v>
      </c>
      <c r="S51">
        <v>19.399999999999999</v>
      </c>
      <c r="T51">
        <v>2071</v>
      </c>
      <c r="U51">
        <v>2678</v>
      </c>
      <c r="V51" s="1">
        <v>45495</v>
      </c>
      <c r="W51" s="1">
        <v>45530</v>
      </c>
      <c r="X51">
        <v>148840</v>
      </c>
      <c r="Y51">
        <v>0.97921052600000003</v>
      </c>
      <c r="Z51">
        <v>2734.856221</v>
      </c>
      <c r="AA51">
        <f>1-((0.95-Y51)*0.5)</f>
        <v>1.014605263</v>
      </c>
      <c r="AB51">
        <f>U51/AA51</f>
        <v>2639.4501365798651</v>
      </c>
      <c r="AC51" cm="1">
        <f t="array" ref="AC51">_xlfn.IFS(Y51&lt;0.6,U51,0.9&lt;Y51,U51,Y51,AB51)</f>
        <v>2678</v>
      </c>
      <c r="AD51">
        <v>0.992723684</v>
      </c>
      <c r="AE51">
        <v>2725.9644830000002</v>
      </c>
      <c r="AF51">
        <v>2678</v>
      </c>
      <c r="AH51">
        <v>0</v>
      </c>
      <c r="AI51">
        <v>28</v>
      </c>
    </row>
    <row r="52" spans="1:35" x14ac:dyDescent="0.25">
      <c r="A52" t="s">
        <v>330</v>
      </c>
      <c r="B52" t="s">
        <v>375</v>
      </c>
      <c r="D52" t="s">
        <v>332</v>
      </c>
      <c r="E52">
        <v>33</v>
      </c>
      <c r="H52">
        <f t="shared" si="0"/>
        <v>241013003</v>
      </c>
      <c r="I52">
        <v>3003</v>
      </c>
      <c r="J52">
        <v>1</v>
      </c>
      <c r="K52" t="s">
        <v>333</v>
      </c>
      <c r="L52">
        <v>75000</v>
      </c>
      <c r="M52" t="s">
        <v>283</v>
      </c>
      <c r="N52">
        <v>47</v>
      </c>
      <c r="O52">
        <v>303</v>
      </c>
      <c r="P52">
        <v>3</v>
      </c>
      <c r="Q52">
        <v>3</v>
      </c>
      <c r="R52">
        <v>26</v>
      </c>
      <c r="S52">
        <v>21.7</v>
      </c>
      <c r="T52">
        <v>1836</v>
      </c>
      <c r="U52">
        <v>2307</v>
      </c>
      <c r="V52" s="1">
        <v>45496</v>
      </c>
      <c r="W52" s="1">
        <v>45535</v>
      </c>
      <c r="X52">
        <v>134790</v>
      </c>
      <c r="Y52">
        <v>0.88678215000000005</v>
      </c>
      <c r="Z52">
        <v>2601.5408640000001</v>
      </c>
      <c r="AA52">
        <f>1-((0.95-Y52)*0.5)</f>
        <v>0.96839107499999999</v>
      </c>
      <c r="AB52">
        <f>U52/AA52</f>
        <v>2382.3020054165618</v>
      </c>
      <c r="AC52" cm="1">
        <f t="array" ref="AC52">_xlfn.IFS(Y52&lt;0.6,U52,0.9&lt;Y52,U52,Y52,AB52)</f>
        <v>2382.3020054165618</v>
      </c>
      <c r="AD52">
        <v>0.96037375300000005</v>
      </c>
      <c r="AE52">
        <v>2546.3350559999999</v>
      </c>
      <c r="AF52">
        <v>2546.3350559999999</v>
      </c>
      <c r="AH52">
        <v>0</v>
      </c>
      <c r="AI52">
        <v>33</v>
      </c>
    </row>
    <row r="53" spans="1:35" x14ac:dyDescent="0.25">
      <c r="A53" t="s">
        <v>330</v>
      </c>
      <c r="B53" t="s">
        <v>400</v>
      </c>
      <c r="D53" t="s">
        <v>332</v>
      </c>
      <c r="E53">
        <v>58</v>
      </c>
      <c r="H53">
        <f t="shared" si="0"/>
        <v>241013004</v>
      </c>
      <c r="I53">
        <v>3004</v>
      </c>
      <c r="J53">
        <v>1</v>
      </c>
      <c r="K53" t="s">
        <v>388</v>
      </c>
      <c r="L53">
        <v>150000</v>
      </c>
      <c r="M53" t="s">
        <v>343</v>
      </c>
      <c r="N53">
        <v>31</v>
      </c>
      <c r="O53">
        <v>304</v>
      </c>
      <c r="P53">
        <v>3</v>
      </c>
      <c r="Q53">
        <v>4</v>
      </c>
      <c r="R53">
        <v>28</v>
      </c>
      <c r="S53">
        <v>20.5</v>
      </c>
      <c r="T53">
        <v>1623</v>
      </c>
      <c r="U53">
        <v>2070</v>
      </c>
      <c r="V53" s="1">
        <v>45495</v>
      </c>
      <c r="W53" s="1">
        <v>45536</v>
      </c>
      <c r="X53">
        <v>124963</v>
      </c>
      <c r="Y53">
        <v>0.91978609600000005</v>
      </c>
      <c r="Z53">
        <v>2517.8818529999999</v>
      </c>
      <c r="AA53">
        <f>1-((0.95-Y53)*0.5)</f>
        <v>0.98489304799999999</v>
      </c>
      <c r="AB53">
        <f>U53/AA53</f>
        <v>2101.7510522624789</v>
      </c>
      <c r="AC53" cm="1">
        <f t="array" ref="AC53">_xlfn.IFS(Y53&lt;0.6,U53,0.9&lt;Y53,U53,Y53,AB53)</f>
        <v>2070</v>
      </c>
      <c r="AD53">
        <v>0.97192513400000002</v>
      </c>
      <c r="AE53">
        <v>2337.710086</v>
      </c>
      <c r="AF53">
        <v>2070</v>
      </c>
      <c r="AH53">
        <v>0</v>
      </c>
      <c r="AI53">
        <v>58</v>
      </c>
    </row>
    <row r="54" spans="1:35" x14ac:dyDescent="0.25">
      <c r="A54" t="s">
        <v>330</v>
      </c>
      <c r="B54" t="s">
        <v>405</v>
      </c>
      <c r="D54" t="s">
        <v>332</v>
      </c>
      <c r="E54">
        <v>63</v>
      </c>
      <c r="H54">
        <f t="shared" si="0"/>
        <v>241013005</v>
      </c>
      <c r="I54">
        <v>3005</v>
      </c>
      <c r="J54">
        <v>1</v>
      </c>
      <c r="K54" t="s">
        <v>388</v>
      </c>
      <c r="L54">
        <v>75000</v>
      </c>
      <c r="M54" t="s">
        <v>343</v>
      </c>
      <c r="N54">
        <v>1</v>
      </c>
      <c r="O54">
        <v>305</v>
      </c>
      <c r="P54">
        <v>3</v>
      </c>
      <c r="Q54">
        <v>5</v>
      </c>
      <c r="R54">
        <v>28</v>
      </c>
      <c r="S54">
        <v>22.8</v>
      </c>
      <c r="T54">
        <v>1518</v>
      </c>
      <c r="U54">
        <v>1880</v>
      </c>
      <c r="V54" s="1">
        <v>45497</v>
      </c>
      <c r="X54">
        <v>123989</v>
      </c>
      <c r="Y54">
        <v>0.96693476300000003</v>
      </c>
      <c r="Z54">
        <v>2304.7205800000002</v>
      </c>
      <c r="AA54">
        <f>1-((0.95-Y54)*0.5)</f>
        <v>1.0084673815</v>
      </c>
      <c r="AB54">
        <f>U54/AA54</f>
        <v>1864.21498056157</v>
      </c>
      <c r="AC54" cm="1">
        <f t="array" ref="AC54">_xlfn.IFS(Y54&lt;0.6,U54,0.9&lt;Y54,U54,Y54,AB54)</f>
        <v>1880</v>
      </c>
      <c r="AD54">
        <v>0.988427167</v>
      </c>
      <c r="AE54">
        <v>2095.0528669999999</v>
      </c>
      <c r="AF54">
        <v>1880</v>
      </c>
      <c r="AH54">
        <v>0</v>
      </c>
      <c r="AI54">
        <v>63</v>
      </c>
    </row>
    <row r="55" spans="1:35" x14ac:dyDescent="0.25">
      <c r="A55" t="s">
        <v>330</v>
      </c>
      <c r="B55" t="s">
        <v>430</v>
      </c>
      <c r="D55" t="s">
        <v>332</v>
      </c>
      <c r="E55">
        <v>88</v>
      </c>
      <c r="H55">
        <f t="shared" si="0"/>
        <v>241013006</v>
      </c>
      <c r="I55">
        <v>3006</v>
      </c>
      <c r="J55">
        <v>1</v>
      </c>
      <c r="K55" t="s">
        <v>388</v>
      </c>
      <c r="L55">
        <v>100000</v>
      </c>
      <c r="M55" t="s">
        <v>279</v>
      </c>
      <c r="N55">
        <v>30</v>
      </c>
      <c r="O55">
        <v>306</v>
      </c>
      <c r="P55">
        <v>3</v>
      </c>
      <c r="Q55">
        <v>6</v>
      </c>
      <c r="R55">
        <v>25</v>
      </c>
      <c r="S55">
        <v>20.8</v>
      </c>
      <c r="T55">
        <v>1322</v>
      </c>
      <c r="U55">
        <v>1680</v>
      </c>
      <c r="V55" s="1">
        <v>45495</v>
      </c>
      <c r="W55" s="1">
        <v>45530</v>
      </c>
      <c r="X55">
        <v>115942</v>
      </c>
      <c r="Y55">
        <v>0.91347011600000005</v>
      </c>
      <c r="Z55">
        <v>2202.4515710000001</v>
      </c>
      <c r="AA55">
        <f>1-((0.95-Y55)*0.5)</f>
        <v>0.98173505800000005</v>
      </c>
      <c r="AB55">
        <f>U55/AA55</f>
        <v>1711.255991430633</v>
      </c>
      <c r="AC55" cm="1">
        <f t="array" ref="AC55">_xlfn.IFS(Y55&lt;0.6,U55,0.9&lt;Y55,U55,Y55,AB55)</f>
        <v>1680</v>
      </c>
      <c r="AD55">
        <v>0.96971454099999999</v>
      </c>
      <c r="AE55">
        <v>1965.602474</v>
      </c>
      <c r="AF55">
        <v>1680</v>
      </c>
      <c r="AH55">
        <v>0</v>
      </c>
      <c r="AI55">
        <v>88</v>
      </c>
    </row>
    <row r="56" spans="1:35" x14ac:dyDescent="0.25">
      <c r="A56" t="s">
        <v>330</v>
      </c>
      <c r="B56" t="s">
        <v>435</v>
      </c>
      <c r="D56" t="s">
        <v>332</v>
      </c>
      <c r="E56">
        <v>93</v>
      </c>
      <c r="H56">
        <f t="shared" si="0"/>
        <v>241013007</v>
      </c>
      <c r="I56">
        <v>3007</v>
      </c>
      <c r="J56">
        <v>2</v>
      </c>
      <c r="K56" t="s">
        <v>388</v>
      </c>
      <c r="L56">
        <v>75000</v>
      </c>
      <c r="M56" t="s">
        <v>298</v>
      </c>
      <c r="N56">
        <v>6</v>
      </c>
      <c r="O56">
        <v>307</v>
      </c>
      <c r="P56">
        <v>3</v>
      </c>
      <c r="Q56">
        <v>7</v>
      </c>
      <c r="R56">
        <v>59</v>
      </c>
      <c r="S56">
        <v>18.899999999999999</v>
      </c>
      <c r="T56">
        <v>678</v>
      </c>
      <c r="U56">
        <v>882</v>
      </c>
      <c r="V56" s="1">
        <v>45492</v>
      </c>
      <c r="W56" s="1">
        <v>45527</v>
      </c>
      <c r="X56">
        <v>109193</v>
      </c>
      <c r="Y56">
        <v>0.81071428599999995</v>
      </c>
      <c r="Z56">
        <v>1227.771011</v>
      </c>
      <c r="AA56">
        <f>1-((0.95-Y56)*0.5)</f>
        <v>0.93035714299999994</v>
      </c>
      <c r="AB56">
        <f>U56/AA56</f>
        <v>948.0230324839888</v>
      </c>
      <c r="AC56" cm="1">
        <f t="array" ref="AC56">_xlfn.IFS(Y56&lt;0.6,U56,0.9&lt;Y56,U56,Y56,AB56)</f>
        <v>948.0230324839888</v>
      </c>
      <c r="AD56">
        <v>0.93374999999999997</v>
      </c>
      <c r="AE56">
        <v>1099.38554</v>
      </c>
      <c r="AF56">
        <v>1099.38554</v>
      </c>
      <c r="AH56">
        <v>0</v>
      </c>
      <c r="AI56">
        <v>93</v>
      </c>
    </row>
    <row r="57" spans="1:35" x14ac:dyDescent="0.25">
      <c r="A57" t="s">
        <v>330</v>
      </c>
      <c r="B57" t="s">
        <v>458</v>
      </c>
      <c r="D57" t="s">
        <v>332</v>
      </c>
      <c r="E57">
        <v>118</v>
      </c>
      <c r="H57">
        <f t="shared" si="0"/>
        <v>241013008</v>
      </c>
      <c r="I57">
        <v>3008</v>
      </c>
      <c r="J57">
        <v>2</v>
      </c>
      <c r="K57" t="s">
        <v>388</v>
      </c>
      <c r="L57">
        <v>150000</v>
      </c>
      <c r="M57" t="s">
        <v>347</v>
      </c>
      <c r="N57">
        <v>42</v>
      </c>
      <c r="O57">
        <v>308</v>
      </c>
      <c r="P57">
        <v>3</v>
      </c>
      <c r="Q57">
        <v>8</v>
      </c>
      <c r="R57">
        <v>76</v>
      </c>
      <c r="S57">
        <v>21.8</v>
      </c>
      <c r="T57">
        <v>790</v>
      </c>
      <c r="U57">
        <v>991</v>
      </c>
      <c r="V57" s="1">
        <v>45496</v>
      </c>
      <c r="W57" s="1">
        <v>45537</v>
      </c>
      <c r="X57">
        <v>113688</v>
      </c>
      <c r="Y57">
        <v>0.85841495999999995</v>
      </c>
      <c r="Z57">
        <v>1324.9769719999999</v>
      </c>
      <c r="AA57">
        <f>1-((0.95-Y57)*0.5)</f>
        <v>0.95420748</v>
      </c>
      <c r="AB57">
        <f>U57/AA57</f>
        <v>1038.5581970076362</v>
      </c>
      <c r="AC57" cm="1">
        <f t="array" ref="AC57">_xlfn.IFS(Y57&lt;0.6,U57,0.9&lt;Y57,U57,Y57,AB57)</f>
        <v>1038.5581970076362</v>
      </c>
      <c r="AD57">
        <v>0.95044523599999997</v>
      </c>
      <c r="AE57">
        <v>1193.028024</v>
      </c>
      <c r="AF57">
        <v>1193.028024</v>
      </c>
      <c r="AH57">
        <v>0</v>
      </c>
      <c r="AI57">
        <v>118</v>
      </c>
    </row>
    <row r="58" spans="1:35" x14ac:dyDescent="0.25">
      <c r="A58" t="s">
        <v>330</v>
      </c>
      <c r="B58" t="s">
        <v>463</v>
      </c>
      <c r="D58" t="s">
        <v>332</v>
      </c>
      <c r="E58">
        <v>123</v>
      </c>
      <c r="H58">
        <f t="shared" si="0"/>
        <v>241013009</v>
      </c>
      <c r="I58">
        <v>3009</v>
      </c>
      <c r="J58">
        <v>2</v>
      </c>
      <c r="K58" t="s">
        <v>388</v>
      </c>
      <c r="L58">
        <v>100000</v>
      </c>
      <c r="M58" t="s">
        <v>336</v>
      </c>
      <c r="N58">
        <v>19</v>
      </c>
      <c r="O58">
        <v>309</v>
      </c>
      <c r="P58">
        <v>3</v>
      </c>
      <c r="Q58">
        <v>9</v>
      </c>
      <c r="R58">
        <v>67</v>
      </c>
      <c r="S58">
        <v>20</v>
      </c>
      <c r="T58">
        <v>696</v>
      </c>
      <c r="U58">
        <v>893</v>
      </c>
      <c r="V58" s="1">
        <v>45496</v>
      </c>
      <c r="W58" s="1">
        <v>45537</v>
      </c>
      <c r="X58">
        <v>128183</v>
      </c>
      <c r="Y58">
        <v>0.97853309499999996</v>
      </c>
      <c r="Z58">
        <v>1058.930537</v>
      </c>
      <c r="AA58">
        <f>1-((0.95-Y58)*0.5)</f>
        <v>1.0142665475000001</v>
      </c>
      <c r="AB58">
        <f>U58/AA58</f>
        <v>880.43917272150782</v>
      </c>
      <c r="AC58" cm="1">
        <f t="array" ref="AC58">_xlfn.IFS(Y58&lt;0.6,U58,0.9&lt;Y58,U58,Y58,AB58)</f>
        <v>893</v>
      </c>
      <c r="AD58">
        <v>0.99248658300000003</v>
      </c>
      <c r="AE58">
        <v>976.24747609999997</v>
      </c>
      <c r="AF58">
        <v>893</v>
      </c>
      <c r="AH58">
        <v>0</v>
      </c>
      <c r="AI58">
        <v>123</v>
      </c>
    </row>
    <row r="59" spans="1:35" x14ac:dyDescent="0.25">
      <c r="A59" t="s">
        <v>330</v>
      </c>
      <c r="B59" t="s">
        <v>488</v>
      </c>
      <c r="D59" t="s">
        <v>332</v>
      </c>
      <c r="E59">
        <v>148</v>
      </c>
      <c r="H59">
        <f t="shared" si="0"/>
        <v>241013010</v>
      </c>
      <c r="I59">
        <v>3010</v>
      </c>
      <c r="J59">
        <v>2</v>
      </c>
      <c r="K59" t="s">
        <v>333</v>
      </c>
      <c r="L59">
        <v>100000</v>
      </c>
      <c r="M59" t="s">
        <v>349</v>
      </c>
      <c r="N59">
        <v>73</v>
      </c>
      <c r="O59">
        <v>310</v>
      </c>
      <c r="P59">
        <v>3</v>
      </c>
      <c r="Q59">
        <v>10</v>
      </c>
      <c r="R59">
        <v>26</v>
      </c>
      <c r="S59">
        <v>20.3</v>
      </c>
      <c r="T59">
        <v>1889</v>
      </c>
      <c r="U59">
        <v>2416</v>
      </c>
      <c r="V59" s="1">
        <v>45495</v>
      </c>
      <c r="W59" s="1">
        <v>45534</v>
      </c>
      <c r="X59">
        <v>148816</v>
      </c>
      <c r="Y59">
        <v>0.97907195499999999</v>
      </c>
      <c r="Z59">
        <v>2467.6429419999999</v>
      </c>
      <c r="AA59">
        <f>1-((0.95-Y59)*0.5)</f>
        <v>1.0145359775</v>
      </c>
      <c r="AB59">
        <f>U59/AA59</f>
        <v>2381.3842520927255</v>
      </c>
      <c r="AC59" cm="1">
        <f t="array" ref="AC59">_xlfn.IFS(Y59&lt;0.6,U59,0.9&lt;Y59,U59,Y59,AB59)</f>
        <v>2416</v>
      </c>
      <c r="AD59">
        <v>0.99267518399999999</v>
      </c>
      <c r="AE59">
        <v>2459.564273</v>
      </c>
      <c r="AF59">
        <v>2416</v>
      </c>
      <c r="AH59">
        <v>0</v>
      </c>
      <c r="AI59">
        <v>148</v>
      </c>
    </row>
    <row r="60" spans="1:35" x14ac:dyDescent="0.25">
      <c r="A60" t="s">
        <v>330</v>
      </c>
      <c r="B60" t="s">
        <v>493</v>
      </c>
      <c r="D60" t="s">
        <v>332</v>
      </c>
      <c r="E60">
        <v>153</v>
      </c>
      <c r="H60">
        <f t="shared" si="0"/>
        <v>241013011</v>
      </c>
      <c r="I60">
        <v>3011</v>
      </c>
      <c r="J60">
        <v>2</v>
      </c>
      <c r="K60" t="s">
        <v>333</v>
      </c>
      <c r="L60">
        <v>75000</v>
      </c>
      <c r="M60" t="s">
        <v>334</v>
      </c>
      <c r="N60">
        <v>53</v>
      </c>
      <c r="O60">
        <v>311</v>
      </c>
      <c r="P60">
        <v>3</v>
      </c>
      <c r="Q60">
        <v>11</v>
      </c>
      <c r="R60">
        <v>24</v>
      </c>
      <c r="S60">
        <v>19.899999999999999</v>
      </c>
      <c r="T60">
        <v>1686</v>
      </c>
      <c r="U60">
        <v>2167</v>
      </c>
      <c r="V60" s="1">
        <v>45497</v>
      </c>
      <c r="W60" s="1">
        <v>45534</v>
      </c>
      <c r="X60">
        <v>146210</v>
      </c>
      <c r="Y60">
        <v>0.96190156599999999</v>
      </c>
      <c r="Z60">
        <v>2252.8292660000002</v>
      </c>
      <c r="AA60">
        <f>1-((0.95-Y60)*0.5)</f>
        <v>1.0059507830000001</v>
      </c>
      <c r="AB60">
        <f>U60/AA60</f>
        <v>2154.1809367029441</v>
      </c>
      <c r="AC60" cm="1">
        <f t="array" ref="AC60">_xlfn.IFS(Y60&lt;0.6,U60,0.9&lt;Y60,U60,Y60,AB60)</f>
        <v>2167</v>
      </c>
      <c r="AD60">
        <v>0.98666554799999995</v>
      </c>
      <c r="AE60">
        <v>2238.936256</v>
      </c>
      <c r="AF60">
        <v>2167</v>
      </c>
      <c r="AH60">
        <v>0</v>
      </c>
      <c r="AI60">
        <v>153</v>
      </c>
    </row>
    <row r="61" spans="1:35" x14ac:dyDescent="0.25">
      <c r="A61" t="s">
        <v>330</v>
      </c>
      <c r="B61" t="s">
        <v>518</v>
      </c>
      <c r="D61" t="s">
        <v>332</v>
      </c>
      <c r="E61">
        <v>178</v>
      </c>
      <c r="H61">
        <f t="shared" si="0"/>
        <v>241013012</v>
      </c>
      <c r="I61">
        <v>3012</v>
      </c>
      <c r="J61">
        <v>2</v>
      </c>
      <c r="K61" t="s">
        <v>333</v>
      </c>
      <c r="L61">
        <v>150000</v>
      </c>
      <c r="M61" t="s">
        <v>338</v>
      </c>
      <c r="N61">
        <v>89</v>
      </c>
      <c r="O61">
        <v>312</v>
      </c>
      <c r="P61">
        <v>3</v>
      </c>
      <c r="Q61">
        <v>12</v>
      </c>
      <c r="R61">
        <v>42</v>
      </c>
      <c r="S61">
        <v>19.2</v>
      </c>
      <c r="T61">
        <v>1618</v>
      </c>
      <c r="U61">
        <v>2098</v>
      </c>
      <c r="V61" s="1">
        <v>45492</v>
      </c>
      <c r="W61" s="1">
        <v>45526</v>
      </c>
      <c r="X61">
        <v>150232</v>
      </c>
      <c r="Y61">
        <v>0.988368421</v>
      </c>
      <c r="Z61">
        <v>2122.690239</v>
      </c>
      <c r="AA61">
        <f>1-((0.95-Y61)*0.5)</f>
        <v>1.0191842105</v>
      </c>
      <c r="AB61">
        <f>U61/AA61</f>
        <v>2058.5091275803279</v>
      </c>
      <c r="AC61" cm="1">
        <f t="array" ref="AC61">_xlfn.IFS(Y61&lt;0.6,U61,0.9&lt;Y61,U61,Y61,AB61)</f>
        <v>2098</v>
      </c>
      <c r="AD61">
        <v>0.99592894700000001</v>
      </c>
      <c r="AE61">
        <v>2118.8990530000001</v>
      </c>
      <c r="AF61">
        <v>2098</v>
      </c>
      <c r="AH61">
        <v>0</v>
      </c>
      <c r="AI61">
        <v>178</v>
      </c>
    </row>
    <row r="62" spans="1:35" x14ac:dyDescent="0.25">
      <c r="A62" t="s">
        <v>330</v>
      </c>
      <c r="B62" t="s">
        <v>523</v>
      </c>
      <c r="D62" t="s">
        <v>332</v>
      </c>
      <c r="E62">
        <v>183</v>
      </c>
      <c r="H62">
        <f t="shared" si="0"/>
        <v>241013013</v>
      </c>
      <c r="I62">
        <v>3013</v>
      </c>
      <c r="J62">
        <v>3</v>
      </c>
      <c r="K62" t="s">
        <v>388</v>
      </c>
      <c r="L62">
        <v>150000</v>
      </c>
      <c r="M62" t="s">
        <v>343</v>
      </c>
      <c r="N62">
        <v>31</v>
      </c>
      <c r="O62">
        <v>313</v>
      </c>
      <c r="P62">
        <v>3</v>
      </c>
      <c r="Q62">
        <v>13</v>
      </c>
      <c r="R62">
        <v>28</v>
      </c>
      <c r="S62">
        <v>20</v>
      </c>
      <c r="T62">
        <v>2126</v>
      </c>
      <c r="U62">
        <v>2729</v>
      </c>
      <c r="V62" s="1">
        <v>45494</v>
      </c>
      <c r="W62" s="1">
        <v>45536</v>
      </c>
      <c r="X62">
        <v>125482</v>
      </c>
      <c r="Y62">
        <v>0.89562890299999998</v>
      </c>
      <c r="Z62">
        <v>3305.7606510000001</v>
      </c>
      <c r="AA62">
        <f>1-((0.95-Y62)*0.5)</f>
        <v>0.97281445150000001</v>
      </c>
      <c r="AB62">
        <f>U62/AA62</f>
        <v>2805.2626025364921</v>
      </c>
      <c r="AC62" cm="1">
        <f t="array" ref="AC62">_xlfn.IFS(Y62&lt;0.6,U62,0.9&lt;Y62,U62,Y62,AB62)</f>
        <v>2805.2626025364921</v>
      </c>
      <c r="AD62">
        <v>0.96347011599999999</v>
      </c>
      <c r="AE62">
        <v>3103.1776500000001</v>
      </c>
      <c r="AF62">
        <v>3103.1776500000001</v>
      </c>
      <c r="AH62">
        <v>0</v>
      </c>
      <c r="AI62">
        <v>183</v>
      </c>
    </row>
    <row r="63" spans="1:35" x14ac:dyDescent="0.25">
      <c r="A63" t="s">
        <v>330</v>
      </c>
      <c r="B63" t="s">
        <v>548</v>
      </c>
      <c r="D63" t="s">
        <v>332</v>
      </c>
      <c r="E63">
        <v>208</v>
      </c>
      <c r="H63">
        <f t="shared" si="0"/>
        <v>241013014</v>
      </c>
      <c r="I63">
        <v>3014</v>
      </c>
      <c r="J63">
        <v>3</v>
      </c>
      <c r="K63" t="s">
        <v>388</v>
      </c>
      <c r="L63">
        <v>75000</v>
      </c>
      <c r="M63" t="s">
        <v>338</v>
      </c>
      <c r="N63">
        <v>14</v>
      </c>
      <c r="O63">
        <v>314</v>
      </c>
      <c r="P63">
        <v>3</v>
      </c>
      <c r="Q63">
        <v>14</v>
      </c>
      <c r="R63">
        <v>45</v>
      </c>
      <c r="S63">
        <v>18.399999999999999</v>
      </c>
      <c r="T63">
        <v>925</v>
      </c>
      <c r="U63">
        <v>1211</v>
      </c>
      <c r="V63" s="1">
        <v>45493</v>
      </c>
      <c r="W63" s="1">
        <v>45525</v>
      </c>
      <c r="X63">
        <v>115221</v>
      </c>
      <c r="Y63">
        <v>0.79982126899999995</v>
      </c>
      <c r="Z63">
        <v>1597.534981</v>
      </c>
      <c r="AA63">
        <f>1-((0.95-Y63)*0.5)</f>
        <v>0.9249106345</v>
      </c>
      <c r="AB63">
        <f>U63/AA63</f>
        <v>1309.3156839467608</v>
      </c>
      <c r="AC63" cm="1">
        <f t="array" ref="AC63">_xlfn.IFS(Y63&lt;0.6,U63,0.9&lt;Y63,U63,Y63,AB63)</f>
        <v>1309.3156839467608</v>
      </c>
      <c r="AD63">
        <v>0.929937444</v>
      </c>
      <c r="AE63">
        <v>1481.4634550000001</v>
      </c>
      <c r="AF63">
        <v>1481.4634550000001</v>
      </c>
      <c r="AH63">
        <v>0</v>
      </c>
      <c r="AI63">
        <v>208</v>
      </c>
    </row>
    <row r="64" spans="1:35" x14ac:dyDescent="0.25">
      <c r="A64" t="s">
        <v>330</v>
      </c>
      <c r="B64" t="s">
        <v>553</v>
      </c>
      <c r="D64" t="s">
        <v>332</v>
      </c>
      <c r="E64">
        <v>213</v>
      </c>
      <c r="H64">
        <f t="shared" si="0"/>
        <v>241013015</v>
      </c>
      <c r="I64">
        <v>3015</v>
      </c>
      <c r="J64">
        <v>3</v>
      </c>
      <c r="K64" t="s">
        <v>388</v>
      </c>
      <c r="L64">
        <v>100000</v>
      </c>
      <c r="M64" t="s">
        <v>351</v>
      </c>
      <c r="N64">
        <v>25</v>
      </c>
      <c r="O64">
        <v>315</v>
      </c>
      <c r="P64">
        <v>3</v>
      </c>
      <c r="Q64">
        <v>15</v>
      </c>
      <c r="R64">
        <v>62</v>
      </c>
      <c r="S64">
        <v>20.9</v>
      </c>
      <c r="T64">
        <v>647</v>
      </c>
      <c r="U64">
        <v>821</v>
      </c>
      <c r="V64" s="1">
        <v>45491</v>
      </c>
      <c r="W64" s="1">
        <v>45528</v>
      </c>
      <c r="X64">
        <v>130185</v>
      </c>
      <c r="Y64">
        <v>0.95539696699999999</v>
      </c>
      <c r="Z64">
        <v>958.57433649999996</v>
      </c>
      <c r="AA64">
        <f>1-((0.95-Y64)*0.5)</f>
        <v>1.0026984835000001</v>
      </c>
      <c r="AB64">
        <f>U64/AA64</f>
        <v>818.790507326024</v>
      </c>
      <c r="AC64" cm="1">
        <f t="array" ref="AC64">_xlfn.IFS(Y64&lt;0.6,U64,0.9&lt;Y64,U64,Y64,AB64)</f>
        <v>821</v>
      </c>
      <c r="AD64">
        <v>0.98438893800000005</v>
      </c>
      <c r="AE64">
        <v>898.49588289999997</v>
      </c>
      <c r="AF64">
        <v>821</v>
      </c>
      <c r="AH64">
        <v>0</v>
      </c>
      <c r="AI64">
        <v>213</v>
      </c>
    </row>
    <row r="65" spans="1:35" x14ac:dyDescent="0.25">
      <c r="A65" t="s">
        <v>330</v>
      </c>
      <c r="B65" t="s">
        <v>578</v>
      </c>
      <c r="D65" t="s">
        <v>332</v>
      </c>
      <c r="E65">
        <v>238</v>
      </c>
      <c r="H65">
        <f t="shared" si="0"/>
        <v>241013016</v>
      </c>
      <c r="I65">
        <v>3016</v>
      </c>
      <c r="J65">
        <v>3</v>
      </c>
      <c r="K65" t="s">
        <v>333</v>
      </c>
      <c r="L65">
        <v>100000</v>
      </c>
      <c r="M65" t="s">
        <v>357</v>
      </c>
      <c r="N65">
        <v>63</v>
      </c>
      <c r="O65">
        <v>316</v>
      </c>
      <c r="P65">
        <v>3</v>
      </c>
      <c r="Q65">
        <v>16</v>
      </c>
      <c r="R65">
        <v>56</v>
      </c>
      <c r="S65">
        <v>17.899999999999999</v>
      </c>
      <c r="T65">
        <v>1310</v>
      </c>
      <c r="U65">
        <v>1726</v>
      </c>
      <c r="V65" s="1">
        <v>45499</v>
      </c>
      <c r="W65" s="1">
        <v>45534</v>
      </c>
      <c r="X65">
        <v>142226</v>
      </c>
      <c r="Y65">
        <v>0.93569121300000002</v>
      </c>
      <c r="Z65">
        <v>1844.625638</v>
      </c>
      <c r="AA65">
        <f>1-((0.95-Y65)*0.5)</f>
        <v>0.99284560649999998</v>
      </c>
      <c r="AB65">
        <f>U65/AA65</f>
        <v>1738.4374657047949</v>
      </c>
      <c r="AC65" cm="1">
        <f t="array" ref="AC65">_xlfn.IFS(Y65&lt;0.6,U65,0.9&lt;Y65,U65,Y65,AB65)</f>
        <v>1726</v>
      </c>
      <c r="AD65">
        <v>0.97749192500000004</v>
      </c>
      <c r="AE65">
        <v>1824.406162</v>
      </c>
      <c r="AF65">
        <v>1726</v>
      </c>
      <c r="AH65">
        <v>0</v>
      </c>
      <c r="AI65">
        <v>238</v>
      </c>
    </row>
    <row r="66" spans="1:35" x14ac:dyDescent="0.25">
      <c r="A66" t="s">
        <v>330</v>
      </c>
      <c r="B66" t="s">
        <v>583</v>
      </c>
      <c r="D66" t="s">
        <v>332</v>
      </c>
      <c r="E66">
        <v>243</v>
      </c>
      <c r="H66">
        <f t="shared" si="0"/>
        <v>241013017</v>
      </c>
      <c r="I66">
        <v>3017</v>
      </c>
      <c r="J66">
        <v>3</v>
      </c>
      <c r="K66" t="s">
        <v>333</v>
      </c>
      <c r="L66">
        <v>150000</v>
      </c>
      <c r="M66" t="s">
        <v>334</v>
      </c>
      <c r="N66">
        <v>83</v>
      </c>
      <c r="O66">
        <v>317</v>
      </c>
      <c r="P66">
        <v>3</v>
      </c>
      <c r="Q66">
        <v>17</v>
      </c>
      <c r="R66">
        <v>23</v>
      </c>
      <c r="S66">
        <v>15.9</v>
      </c>
      <c r="T66">
        <v>766</v>
      </c>
      <c r="U66">
        <v>1034</v>
      </c>
      <c r="V66" s="1">
        <v>45499</v>
      </c>
      <c r="W66" s="1">
        <v>45535</v>
      </c>
      <c r="X66">
        <v>149280</v>
      </c>
      <c r="Y66">
        <v>0.98210526300000001</v>
      </c>
      <c r="Z66">
        <v>1052.8403000000001</v>
      </c>
      <c r="AA66">
        <f>1-((0.95-Y66)*0.5)</f>
        <v>1.0160526315</v>
      </c>
      <c r="AB66">
        <f>U66/AA66</f>
        <v>1017.6638177428902</v>
      </c>
      <c r="AC66" cm="1">
        <f t="array" ref="AC66">_xlfn.IFS(Y66&lt;0.6,U66,0.9&lt;Y66,U66,Y66,AB66)</f>
        <v>1034</v>
      </c>
      <c r="AD66">
        <v>0.99373684200000001</v>
      </c>
      <c r="AE66">
        <v>1049.910862</v>
      </c>
      <c r="AF66">
        <v>1034</v>
      </c>
      <c r="AH66">
        <v>0</v>
      </c>
      <c r="AI66">
        <v>243</v>
      </c>
    </row>
    <row r="67" spans="1:35" x14ac:dyDescent="0.25">
      <c r="A67" t="s">
        <v>330</v>
      </c>
      <c r="B67" t="s">
        <v>608</v>
      </c>
      <c r="D67" t="s">
        <v>332</v>
      </c>
      <c r="E67">
        <v>268</v>
      </c>
      <c r="H67">
        <f t="shared" ref="H67:H130" si="1">24101*10000+I67</f>
        <v>241013018</v>
      </c>
      <c r="I67">
        <v>3018</v>
      </c>
      <c r="J67">
        <v>3</v>
      </c>
      <c r="K67" t="s">
        <v>333</v>
      </c>
      <c r="L67">
        <v>75000</v>
      </c>
      <c r="M67" t="s">
        <v>343</v>
      </c>
      <c r="N67">
        <v>46</v>
      </c>
      <c r="O67">
        <v>318</v>
      </c>
      <c r="P67">
        <v>3</v>
      </c>
      <c r="Q67">
        <v>18</v>
      </c>
      <c r="R67">
        <v>28</v>
      </c>
      <c r="S67">
        <v>20.5</v>
      </c>
      <c r="T67">
        <v>1838</v>
      </c>
      <c r="U67">
        <v>2345</v>
      </c>
      <c r="V67" s="1">
        <v>45496</v>
      </c>
      <c r="W67" s="1">
        <v>45537</v>
      </c>
      <c r="X67">
        <v>140291</v>
      </c>
      <c r="Y67">
        <v>0.92297317700000003</v>
      </c>
      <c r="Z67">
        <v>2540.7022189999998</v>
      </c>
      <c r="AA67">
        <f>1-((0.95-Y67)*0.5)</f>
        <v>0.98648658850000004</v>
      </c>
      <c r="AB67">
        <f>U67/AA67</f>
        <v>2377.1230418506598</v>
      </c>
      <c r="AC67" cm="1">
        <f t="array" ref="AC67">_xlfn.IFS(Y67&lt;0.6,U67,0.9&lt;Y67,U67,Y67,AB67)</f>
        <v>2345</v>
      </c>
      <c r="AD67">
        <v>0.97304061200000003</v>
      </c>
      <c r="AE67">
        <v>2506.5054270000001</v>
      </c>
      <c r="AF67">
        <v>2345</v>
      </c>
      <c r="AH67">
        <v>0</v>
      </c>
      <c r="AI67">
        <v>268</v>
      </c>
    </row>
    <row r="68" spans="1:35" x14ac:dyDescent="0.25">
      <c r="A68" t="s">
        <v>330</v>
      </c>
      <c r="B68" t="s">
        <v>613</v>
      </c>
      <c r="D68" t="s">
        <v>332</v>
      </c>
      <c r="E68">
        <v>273</v>
      </c>
      <c r="H68">
        <f t="shared" si="1"/>
        <v>241013019</v>
      </c>
      <c r="I68">
        <v>3019</v>
      </c>
      <c r="J68">
        <v>4</v>
      </c>
      <c r="K68" t="s">
        <v>388</v>
      </c>
      <c r="L68">
        <v>75000</v>
      </c>
      <c r="M68" t="s">
        <v>283</v>
      </c>
      <c r="N68">
        <v>2</v>
      </c>
      <c r="O68">
        <v>319</v>
      </c>
      <c r="P68">
        <v>3</v>
      </c>
      <c r="Q68">
        <v>19</v>
      </c>
      <c r="R68">
        <v>43</v>
      </c>
      <c r="S68">
        <v>17.100000000000001</v>
      </c>
      <c r="T68">
        <v>1417</v>
      </c>
      <c r="U68">
        <v>1885</v>
      </c>
      <c r="V68" s="1">
        <v>45497</v>
      </c>
      <c r="W68" s="1">
        <v>45536</v>
      </c>
      <c r="X68">
        <v>114733</v>
      </c>
      <c r="Y68">
        <v>0.81233244000000004</v>
      </c>
      <c r="Z68">
        <v>2497.2762849999999</v>
      </c>
      <c r="AA68">
        <f>1-((0.95-Y68)*0.5)</f>
        <v>0.93116622000000004</v>
      </c>
      <c r="AB68">
        <f>U68/AA68</f>
        <v>2024.3431940647502</v>
      </c>
      <c r="AC68" cm="1">
        <f t="array" ref="AC68">_xlfn.IFS(Y68&lt;0.6,U68,0.9&lt;Y68,U68,Y68,AB68)</f>
        <v>2024.3431940647502</v>
      </c>
      <c r="AD68">
        <v>0.93431635400000002</v>
      </c>
      <c r="AE68">
        <v>2299.3984700000001</v>
      </c>
      <c r="AF68">
        <v>2299.3984700000001</v>
      </c>
      <c r="AH68">
        <v>0</v>
      </c>
      <c r="AI68">
        <v>273</v>
      </c>
    </row>
    <row r="69" spans="1:35" x14ac:dyDescent="0.25">
      <c r="A69" t="s">
        <v>330</v>
      </c>
      <c r="B69" t="s">
        <v>637</v>
      </c>
      <c r="D69" t="s">
        <v>332</v>
      </c>
      <c r="E69">
        <v>298</v>
      </c>
      <c r="H69">
        <f t="shared" si="1"/>
        <v>241013020</v>
      </c>
      <c r="I69">
        <v>3020</v>
      </c>
      <c r="J69">
        <v>4</v>
      </c>
      <c r="K69" t="s">
        <v>388</v>
      </c>
      <c r="L69">
        <v>100000</v>
      </c>
      <c r="M69" t="s">
        <v>298</v>
      </c>
      <c r="N69">
        <v>21</v>
      </c>
      <c r="O69">
        <v>320</v>
      </c>
      <c r="P69">
        <v>3</v>
      </c>
      <c r="Q69">
        <v>20</v>
      </c>
      <c r="R69">
        <v>53</v>
      </c>
      <c r="S69">
        <v>18.7</v>
      </c>
      <c r="T69">
        <v>387</v>
      </c>
      <c r="U69">
        <v>505</v>
      </c>
      <c r="V69" s="1">
        <v>45493</v>
      </c>
      <c r="W69" s="1">
        <v>45524</v>
      </c>
      <c r="X69">
        <v>118764</v>
      </c>
      <c r="Y69">
        <v>0.91889483100000002</v>
      </c>
      <c r="Z69">
        <v>646.32805399999995</v>
      </c>
      <c r="AA69">
        <f>1-((0.95-Y69)*0.5)</f>
        <v>0.98444741550000003</v>
      </c>
      <c r="AB69">
        <f>U69/AA69</f>
        <v>512.97813580374009</v>
      </c>
      <c r="AC69" cm="1">
        <f t="array" ref="AC69">_xlfn.IFS(Y69&lt;0.6,U69,0.9&lt;Y69,U69,Y69,AB69)</f>
        <v>505</v>
      </c>
      <c r="AD69">
        <v>0.97161319099999999</v>
      </c>
      <c r="AE69">
        <v>583.55513010000004</v>
      </c>
      <c r="AF69">
        <v>505</v>
      </c>
      <c r="AH69">
        <v>0</v>
      </c>
      <c r="AI69">
        <v>298</v>
      </c>
    </row>
    <row r="70" spans="1:35" x14ac:dyDescent="0.25">
      <c r="A70" t="s">
        <v>330</v>
      </c>
      <c r="B70" t="s">
        <v>642</v>
      </c>
      <c r="D70" t="s">
        <v>332</v>
      </c>
      <c r="E70">
        <v>303</v>
      </c>
      <c r="H70">
        <f t="shared" si="1"/>
        <v>241013021</v>
      </c>
      <c r="I70">
        <v>3021</v>
      </c>
      <c r="J70">
        <v>4</v>
      </c>
      <c r="K70" t="s">
        <v>388</v>
      </c>
      <c r="L70">
        <v>150000</v>
      </c>
      <c r="M70" t="s">
        <v>341</v>
      </c>
      <c r="N70">
        <v>35</v>
      </c>
      <c r="O70">
        <v>321</v>
      </c>
      <c r="P70">
        <v>3</v>
      </c>
      <c r="Q70">
        <v>21</v>
      </c>
      <c r="R70">
        <v>44</v>
      </c>
      <c r="S70">
        <v>17.3</v>
      </c>
      <c r="T70">
        <v>1162</v>
      </c>
      <c r="U70">
        <v>1542</v>
      </c>
      <c r="V70" s="1">
        <v>45496</v>
      </c>
      <c r="W70" s="1">
        <v>45527</v>
      </c>
      <c r="X70">
        <v>128625</v>
      </c>
      <c r="Y70">
        <v>0.95885509800000002</v>
      </c>
      <c r="Z70">
        <v>1822.2034289999999</v>
      </c>
      <c r="AA70">
        <f>1-((0.95-Y70)*0.5)</f>
        <v>1.0044275490000001</v>
      </c>
      <c r="AB70">
        <f>U70/AA70</f>
        <v>1535.2028143146838</v>
      </c>
      <c r="AC70" cm="1">
        <f t="array" ref="AC70">_xlfn.IFS(Y70&lt;0.6,U70,0.9&lt;Y70,U70,Y70,AB70)</f>
        <v>1542</v>
      </c>
      <c r="AD70">
        <v>0.98559928399999996</v>
      </c>
      <c r="AE70">
        <v>1694.83959</v>
      </c>
      <c r="AF70">
        <v>1542</v>
      </c>
      <c r="AH70">
        <v>0</v>
      </c>
      <c r="AI70">
        <v>303</v>
      </c>
    </row>
    <row r="71" spans="1:35" x14ac:dyDescent="0.25">
      <c r="A71" t="s">
        <v>330</v>
      </c>
      <c r="B71" t="s">
        <v>666</v>
      </c>
      <c r="D71" t="s">
        <v>332</v>
      </c>
      <c r="E71">
        <v>328</v>
      </c>
      <c r="H71">
        <f t="shared" si="1"/>
        <v>241013022</v>
      </c>
      <c r="I71">
        <v>3022</v>
      </c>
      <c r="J71">
        <v>4</v>
      </c>
      <c r="K71" t="s">
        <v>333</v>
      </c>
      <c r="L71">
        <v>150000</v>
      </c>
      <c r="M71" t="s">
        <v>351</v>
      </c>
      <c r="N71">
        <v>85</v>
      </c>
      <c r="O71">
        <v>322</v>
      </c>
      <c r="P71">
        <v>3</v>
      </c>
      <c r="Q71">
        <v>22</v>
      </c>
      <c r="V71" s="1">
        <v>45492</v>
      </c>
      <c r="W71" s="1">
        <v>45527</v>
      </c>
      <c r="X71">
        <v>151518</v>
      </c>
      <c r="Y71">
        <v>0.99682238899999998</v>
      </c>
      <c r="AA71">
        <f>1-((0.95-Y71)*0.5)</f>
        <v>1.0234111945</v>
      </c>
      <c r="AH71">
        <v>0</v>
      </c>
      <c r="AI71">
        <v>328</v>
      </c>
    </row>
    <row r="72" spans="1:35" x14ac:dyDescent="0.25">
      <c r="A72" t="s">
        <v>330</v>
      </c>
      <c r="B72" t="s">
        <v>671</v>
      </c>
      <c r="D72" t="s">
        <v>332</v>
      </c>
      <c r="E72">
        <v>333</v>
      </c>
      <c r="H72">
        <f t="shared" si="1"/>
        <v>241013023</v>
      </c>
      <c r="I72">
        <v>3023</v>
      </c>
      <c r="J72">
        <v>4</v>
      </c>
      <c r="K72" t="s">
        <v>333</v>
      </c>
      <c r="L72">
        <v>100000</v>
      </c>
      <c r="M72" t="s">
        <v>353</v>
      </c>
      <c r="N72">
        <v>67</v>
      </c>
      <c r="O72">
        <v>323</v>
      </c>
      <c r="P72">
        <v>3</v>
      </c>
      <c r="Q72">
        <v>23</v>
      </c>
      <c r="R72">
        <v>44</v>
      </c>
      <c r="S72">
        <v>19.899999999999999</v>
      </c>
      <c r="T72">
        <v>507</v>
      </c>
      <c r="U72">
        <v>652</v>
      </c>
      <c r="V72" s="1">
        <v>45498</v>
      </c>
      <c r="W72" s="1">
        <v>45532</v>
      </c>
      <c r="X72">
        <v>135319</v>
      </c>
      <c r="Y72">
        <v>0.89025072199999999</v>
      </c>
      <c r="Z72">
        <v>732.37795140000003</v>
      </c>
      <c r="AA72">
        <f>1-((0.95-Y72)*0.5)</f>
        <v>0.97012536100000002</v>
      </c>
      <c r="AB72">
        <f>U72/AA72</f>
        <v>672.0780903283694</v>
      </c>
      <c r="AC72" cm="1">
        <f t="array" ref="AC72">_xlfn.IFS(Y72&lt;0.6,U72,0.9&lt;Y72,U72,Y72,AB72)</f>
        <v>672.0780903283694</v>
      </c>
      <c r="AD72">
        <v>0.96158775299999999</v>
      </c>
      <c r="AE72">
        <v>717.41302210000003</v>
      </c>
      <c r="AF72">
        <v>717.41302210000003</v>
      </c>
      <c r="AH72">
        <v>0</v>
      </c>
      <c r="AI72">
        <v>333</v>
      </c>
    </row>
    <row r="73" spans="1:35" x14ac:dyDescent="0.25">
      <c r="A73" t="s">
        <v>330</v>
      </c>
      <c r="B73" t="s">
        <v>696</v>
      </c>
      <c r="D73" t="s">
        <v>332</v>
      </c>
      <c r="E73">
        <v>358</v>
      </c>
      <c r="H73">
        <f t="shared" si="1"/>
        <v>241013024</v>
      </c>
      <c r="I73">
        <v>3024</v>
      </c>
      <c r="J73">
        <v>4</v>
      </c>
      <c r="K73" t="s">
        <v>333</v>
      </c>
      <c r="L73">
        <v>75000</v>
      </c>
      <c r="M73" t="s">
        <v>351</v>
      </c>
      <c r="N73">
        <v>55</v>
      </c>
      <c r="O73">
        <v>324</v>
      </c>
      <c r="P73">
        <v>3</v>
      </c>
      <c r="Q73">
        <v>24</v>
      </c>
      <c r="V73" s="1">
        <v>45492</v>
      </c>
      <c r="W73" s="1">
        <v>45523</v>
      </c>
      <c r="X73">
        <v>149865</v>
      </c>
      <c r="Y73">
        <v>0.98594746099999997</v>
      </c>
      <c r="AA73">
        <f>1-((0.95-Y73)*0.5)</f>
        <v>1.0179737305000001</v>
      </c>
      <c r="AH73">
        <v>0</v>
      </c>
      <c r="AI73">
        <v>358</v>
      </c>
    </row>
    <row r="74" spans="1:35" x14ac:dyDescent="0.25">
      <c r="A74" t="s">
        <v>330</v>
      </c>
      <c r="B74" t="s">
        <v>339</v>
      </c>
      <c r="D74" t="s">
        <v>332</v>
      </c>
      <c r="E74">
        <v>4</v>
      </c>
      <c r="H74">
        <f t="shared" si="1"/>
        <v>241014001</v>
      </c>
      <c r="I74">
        <v>4001</v>
      </c>
      <c r="J74">
        <v>1</v>
      </c>
      <c r="K74" t="s">
        <v>333</v>
      </c>
      <c r="L74">
        <v>100000</v>
      </c>
      <c r="M74" t="s">
        <v>279</v>
      </c>
      <c r="N74">
        <v>75</v>
      </c>
      <c r="O74">
        <v>401</v>
      </c>
      <c r="P74">
        <v>4</v>
      </c>
      <c r="Q74">
        <v>1</v>
      </c>
      <c r="R74">
        <v>27</v>
      </c>
      <c r="S74">
        <v>21.5</v>
      </c>
      <c r="T74">
        <v>1519</v>
      </c>
      <c r="U74">
        <v>1913</v>
      </c>
      <c r="V74" s="1">
        <v>45494</v>
      </c>
      <c r="W74" s="1">
        <v>45528</v>
      </c>
      <c r="X74">
        <v>144210</v>
      </c>
      <c r="Y74">
        <v>0.94875624199999997</v>
      </c>
      <c r="Z74">
        <v>2016.3240209999999</v>
      </c>
      <c r="AA74">
        <f>1-((0.95-Y74)*0.5)</f>
        <v>0.99937812100000001</v>
      </c>
      <c r="AB74">
        <f>U74/AA74</f>
        <v>1914.190394808533</v>
      </c>
      <c r="AC74" cm="1">
        <f t="array" ref="AC74">_xlfn.IFS(Y74&lt;0.6,U74,0.9&lt;Y74,U74,Y74,AB74)</f>
        <v>1913</v>
      </c>
      <c r="AD74">
        <v>0.98206468499999999</v>
      </c>
      <c r="AE74">
        <v>1999.159073</v>
      </c>
      <c r="AF74">
        <v>1913</v>
      </c>
      <c r="AH74">
        <v>0</v>
      </c>
      <c r="AI74">
        <v>4</v>
      </c>
    </row>
    <row r="75" spans="1:35" x14ac:dyDescent="0.25">
      <c r="A75" t="s">
        <v>330</v>
      </c>
      <c r="B75" t="s">
        <v>369</v>
      </c>
      <c r="D75" t="s">
        <v>332</v>
      </c>
      <c r="E75">
        <v>27</v>
      </c>
      <c r="H75">
        <f t="shared" si="1"/>
        <v>241014002</v>
      </c>
      <c r="I75">
        <v>4002</v>
      </c>
      <c r="J75">
        <v>1</v>
      </c>
      <c r="K75" t="s">
        <v>333</v>
      </c>
      <c r="L75">
        <v>150000</v>
      </c>
      <c r="M75" t="s">
        <v>353</v>
      </c>
      <c r="N75">
        <v>82</v>
      </c>
      <c r="O75">
        <v>402</v>
      </c>
      <c r="P75">
        <v>4</v>
      </c>
      <c r="Q75">
        <v>2</v>
      </c>
      <c r="R75">
        <v>38</v>
      </c>
      <c r="S75">
        <v>19.7</v>
      </c>
      <c r="T75">
        <v>1394</v>
      </c>
      <c r="U75">
        <v>1796</v>
      </c>
      <c r="V75" s="1">
        <v>45493</v>
      </c>
      <c r="W75" s="1">
        <v>45530</v>
      </c>
      <c r="X75">
        <v>144312</v>
      </c>
      <c r="Y75">
        <v>0.94941480600000006</v>
      </c>
      <c r="Z75">
        <v>1891.691585</v>
      </c>
      <c r="AA75">
        <f>1-((0.95-Y75)*0.5)</f>
        <v>0.99970740300000005</v>
      </c>
      <c r="AB75">
        <f>U75/AA75</f>
        <v>1796.5256580179589</v>
      </c>
      <c r="AC75" cm="1">
        <f t="array" ref="AC75">_xlfn.IFS(Y75&lt;0.6,U75,0.9&lt;Y75,U75,Y75,AB75)</f>
        <v>1796</v>
      </c>
      <c r="AD75">
        <v>0.98229518199999999</v>
      </c>
      <c r="AE75">
        <v>1875.815214</v>
      </c>
      <c r="AF75">
        <v>1796</v>
      </c>
      <c r="AH75">
        <v>0</v>
      </c>
      <c r="AI75">
        <v>27</v>
      </c>
    </row>
    <row r="76" spans="1:35" x14ac:dyDescent="0.25">
      <c r="A76" t="s">
        <v>330</v>
      </c>
      <c r="B76" t="s">
        <v>376</v>
      </c>
      <c r="D76" t="s">
        <v>332</v>
      </c>
      <c r="E76">
        <v>34</v>
      </c>
      <c r="H76">
        <f t="shared" si="1"/>
        <v>241014003</v>
      </c>
      <c r="I76">
        <v>4003</v>
      </c>
      <c r="J76">
        <v>1</v>
      </c>
      <c r="K76" t="s">
        <v>333</v>
      </c>
      <c r="L76">
        <v>75000</v>
      </c>
      <c r="M76" t="s">
        <v>279</v>
      </c>
      <c r="N76">
        <v>60</v>
      </c>
      <c r="O76">
        <v>403</v>
      </c>
      <c r="P76">
        <v>4</v>
      </c>
      <c r="Q76">
        <v>3</v>
      </c>
      <c r="R76">
        <v>28</v>
      </c>
      <c r="S76">
        <v>19.600000000000001</v>
      </c>
      <c r="T76">
        <v>1320</v>
      </c>
      <c r="U76">
        <v>1703</v>
      </c>
      <c r="V76" s="1">
        <v>45496</v>
      </c>
      <c r="W76" s="1">
        <v>45530</v>
      </c>
      <c r="X76">
        <v>126330</v>
      </c>
      <c r="Y76">
        <v>0.83111295299999999</v>
      </c>
      <c r="Z76">
        <v>2049.0596300000002</v>
      </c>
      <c r="AA76">
        <f>1-((0.95-Y76)*0.5)</f>
        <v>0.94055647650000007</v>
      </c>
      <c r="AB76">
        <f>U76/AA76</f>
        <v>1810.6302412984339</v>
      </c>
      <c r="AC76" cm="1">
        <f t="array" ref="AC76">_xlfn.IFS(Y76&lt;0.6,U76,0.9&lt;Y76,U76,Y76,AB76)</f>
        <v>1810.6302412984339</v>
      </c>
      <c r="AD76">
        <v>0.94088953399999997</v>
      </c>
      <c r="AE76">
        <v>1976.9280859999999</v>
      </c>
      <c r="AF76">
        <v>1976.9280859999999</v>
      </c>
      <c r="AH76">
        <v>0</v>
      </c>
      <c r="AI76">
        <v>34</v>
      </c>
    </row>
    <row r="77" spans="1:35" x14ac:dyDescent="0.25">
      <c r="A77" t="s">
        <v>330</v>
      </c>
      <c r="B77" t="s">
        <v>399</v>
      </c>
      <c r="D77" t="s">
        <v>332</v>
      </c>
      <c r="E77">
        <v>57</v>
      </c>
      <c r="H77">
        <f t="shared" si="1"/>
        <v>241014004</v>
      </c>
      <c r="I77">
        <v>4004</v>
      </c>
      <c r="J77">
        <v>1</v>
      </c>
      <c r="K77" t="s">
        <v>388</v>
      </c>
      <c r="L77">
        <v>150000</v>
      </c>
      <c r="M77" t="s">
        <v>353</v>
      </c>
      <c r="N77">
        <v>37</v>
      </c>
      <c r="O77">
        <v>404</v>
      </c>
      <c r="P77">
        <v>4</v>
      </c>
      <c r="Q77">
        <v>4</v>
      </c>
      <c r="R77">
        <v>40</v>
      </c>
      <c r="S77">
        <v>19.899999999999999</v>
      </c>
      <c r="T77">
        <v>1582</v>
      </c>
      <c r="U77">
        <v>2033</v>
      </c>
      <c r="V77" s="1">
        <v>45495</v>
      </c>
      <c r="W77" s="1">
        <v>45534</v>
      </c>
      <c r="X77">
        <v>115707</v>
      </c>
      <c r="Y77">
        <v>0.81550802099999997</v>
      </c>
      <c r="Z77">
        <v>2670.6592249999999</v>
      </c>
      <c r="AA77">
        <f>1-((0.95-Y77)*0.5)</f>
        <v>0.93275401050000006</v>
      </c>
      <c r="AB77">
        <f>U77/AA77</f>
        <v>2179.5671496606233</v>
      </c>
      <c r="AC77" cm="1">
        <f t="array" ref="AC77">_xlfn.IFS(Y77&lt;0.6,U77,0.9&lt;Y77,U77,Y77,AB77)</f>
        <v>2179.5671496606233</v>
      </c>
      <c r="AD77">
        <v>0.93542780699999994</v>
      </c>
      <c r="AE77">
        <v>2467.9691349999998</v>
      </c>
      <c r="AF77">
        <v>2467.9691349999998</v>
      </c>
      <c r="AH77">
        <v>0</v>
      </c>
      <c r="AI77">
        <v>57</v>
      </c>
    </row>
    <row r="78" spans="1:35" x14ac:dyDescent="0.25">
      <c r="A78" t="s">
        <v>330</v>
      </c>
      <c r="B78" t="s">
        <v>406</v>
      </c>
      <c r="D78" t="s">
        <v>332</v>
      </c>
      <c r="E78">
        <v>64</v>
      </c>
      <c r="H78">
        <f t="shared" si="1"/>
        <v>241014005</v>
      </c>
      <c r="I78">
        <v>4005</v>
      </c>
      <c r="J78">
        <v>1</v>
      </c>
      <c r="K78" t="s">
        <v>388</v>
      </c>
      <c r="L78">
        <v>75000</v>
      </c>
      <c r="M78" t="s">
        <v>283</v>
      </c>
      <c r="N78">
        <v>2</v>
      </c>
      <c r="O78">
        <v>405</v>
      </c>
      <c r="P78">
        <v>4</v>
      </c>
      <c r="Q78">
        <v>5</v>
      </c>
      <c r="R78">
        <v>28</v>
      </c>
      <c r="S78">
        <v>23.3</v>
      </c>
      <c r="T78">
        <v>1636</v>
      </c>
      <c r="U78">
        <v>2013</v>
      </c>
      <c r="V78" s="1">
        <v>45497</v>
      </c>
      <c r="W78" s="1">
        <v>45536</v>
      </c>
      <c r="X78">
        <v>119853</v>
      </c>
      <c r="Y78">
        <v>0.90161001799999996</v>
      </c>
      <c r="Z78">
        <v>2552.9609270000001</v>
      </c>
      <c r="AA78">
        <f>1-((0.95-Y78)*0.5)</f>
        <v>0.975805009</v>
      </c>
      <c r="AB78">
        <f>U78/AA78</f>
        <v>2062.9121406774825</v>
      </c>
      <c r="AC78" cm="1">
        <f t="array" ref="AC78">_xlfn.IFS(Y78&lt;0.6,U78,0.9&lt;Y78,U78,Y78,AB78)</f>
        <v>2013</v>
      </c>
      <c r="AD78">
        <v>0.96556350599999996</v>
      </c>
      <c r="AE78">
        <v>2331.336186</v>
      </c>
      <c r="AF78">
        <v>2013</v>
      </c>
      <c r="AH78">
        <v>0</v>
      </c>
      <c r="AI78">
        <v>64</v>
      </c>
    </row>
    <row r="79" spans="1:35" x14ac:dyDescent="0.25">
      <c r="A79" t="s">
        <v>330</v>
      </c>
      <c r="B79" t="s">
        <v>429</v>
      </c>
      <c r="D79" t="s">
        <v>332</v>
      </c>
      <c r="E79">
        <v>87</v>
      </c>
      <c r="H79">
        <f t="shared" si="1"/>
        <v>241014006</v>
      </c>
      <c r="I79">
        <v>4006</v>
      </c>
      <c r="J79">
        <v>1</v>
      </c>
      <c r="K79" t="s">
        <v>388</v>
      </c>
      <c r="L79">
        <v>100000</v>
      </c>
      <c r="M79" t="s">
        <v>341</v>
      </c>
      <c r="N79">
        <v>20</v>
      </c>
      <c r="O79">
        <v>406</v>
      </c>
      <c r="P79">
        <v>4</v>
      </c>
      <c r="Q79">
        <v>6</v>
      </c>
      <c r="R79">
        <v>25</v>
      </c>
      <c r="S79">
        <v>19.100000000000001</v>
      </c>
      <c r="T79">
        <v>1911</v>
      </c>
      <c r="U79">
        <v>2481</v>
      </c>
      <c r="V79" s="1">
        <v>45497</v>
      </c>
      <c r="W79" s="1">
        <v>45532</v>
      </c>
      <c r="X79">
        <v>124151</v>
      </c>
      <c r="Y79">
        <v>0.98039215700000004</v>
      </c>
      <c r="Z79">
        <v>3037.526883</v>
      </c>
      <c r="AA79">
        <f>1-((0.95-Y79)*0.5)</f>
        <v>1.0151960785</v>
      </c>
      <c r="AB79">
        <f>U79/AA79</f>
        <v>2443.8628680144175</v>
      </c>
      <c r="AC79" cm="1">
        <f t="array" ref="AC79">_xlfn.IFS(Y79&lt;0.6,U79,0.9&lt;Y79,U79,Y79,AB79)</f>
        <v>2481</v>
      </c>
      <c r="AD79">
        <v>0.99313725500000005</v>
      </c>
      <c r="AE79">
        <v>2750.0744679999998</v>
      </c>
      <c r="AF79">
        <v>2481</v>
      </c>
      <c r="AH79">
        <v>0</v>
      </c>
      <c r="AI79">
        <v>87</v>
      </c>
    </row>
    <row r="80" spans="1:35" x14ac:dyDescent="0.25">
      <c r="A80" t="s">
        <v>330</v>
      </c>
      <c r="B80" t="s">
        <v>436</v>
      </c>
      <c r="D80" t="s">
        <v>332</v>
      </c>
      <c r="E80">
        <v>94</v>
      </c>
      <c r="H80">
        <f t="shared" si="1"/>
        <v>241014007</v>
      </c>
      <c r="I80">
        <v>4007</v>
      </c>
      <c r="J80">
        <v>2</v>
      </c>
      <c r="K80" t="s">
        <v>388</v>
      </c>
      <c r="L80">
        <v>75000</v>
      </c>
      <c r="M80" t="s">
        <v>343</v>
      </c>
      <c r="N80">
        <v>1</v>
      </c>
      <c r="O80">
        <v>407</v>
      </c>
      <c r="P80">
        <v>4</v>
      </c>
      <c r="Q80">
        <v>7</v>
      </c>
      <c r="R80">
        <v>28</v>
      </c>
      <c r="S80">
        <v>20.3</v>
      </c>
      <c r="T80">
        <v>1673</v>
      </c>
      <c r="U80">
        <v>2140</v>
      </c>
      <c r="V80" s="1">
        <v>45497</v>
      </c>
      <c r="W80" s="1">
        <v>45537</v>
      </c>
      <c r="X80">
        <v>108157</v>
      </c>
      <c r="Y80">
        <v>0.76228775699999995</v>
      </c>
      <c r="Z80">
        <v>3007.4996529999999</v>
      </c>
      <c r="AA80">
        <f>1-((0.95-Y80)*0.5)</f>
        <v>0.9061438785</v>
      </c>
      <c r="AB80">
        <f>U80/AA80</f>
        <v>2361.6558592687111</v>
      </c>
      <c r="AC80" cm="1">
        <f t="array" ref="AC80">_xlfn.IFS(Y80&lt;0.6,U80,0.9&lt;Y80,U80,Y80,AB80)</f>
        <v>2361.6558592687111</v>
      </c>
      <c r="AD80">
        <v>0.91680071500000004</v>
      </c>
      <c r="AE80">
        <v>2727.5836949999998</v>
      </c>
      <c r="AF80">
        <v>2727.5836949999998</v>
      </c>
      <c r="AH80">
        <v>0</v>
      </c>
      <c r="AI80">
        <v>94</v>
      </c>
    </row>
    <row r="81" spans="1:35" x14ac:dyDescent="0.25">
      <c r="A81" t="s">
        <v>330</v>
      </c>
      <c r="B81" t="s">
        <v>457</v>
      </c>
      <c r="D81" t="s">
        <v>332</v>
      </c>
      <c r="E81">
        <v>117</v>
      </c>
      <c r="H81">
        <f t="shared" si="1"/>
        <v>241014008</v>
      </c>
      <c r="I81">
        <v>4008</v>
      </c>
      <c r="J81">
        <v>2</v>
      </c>
      <c r="K81" t="s">
        <v>388</v>
      </c>
      <c r="L81">
        <v>150000</v>
      </c>
      <c r="M81" t="s">
        <v>355</v>
      </c>
      <c r="N81">
        <v>39</v>
      </c>
      <c r="O81">
        <v>408</v>
      </c>
      <c r="P81">
        <v>4</v>
      </c>
      <c r="Q81">
        <v>8</v>
      </c>
      <c r="R81">
        <v>62</v>
      </c>
      <c r="S81">
        <v>21.3</v>
      </c>
      <c r="T81">
        <v>587</v>
      </c>
      <c r="U81">
        <v>741</v>
      </c>
      <c r="V81" s="1">
        <v>45490</v>
      </c>
      <c r="W81" s="1">
        <v>45524</v>
      </c>
      <c r="X81">
        <v>115137</v>
      </c>
      <c r="Y81">
        <v>0.84252669000000002</v>
      </c>
      <c r="Z81">
        <v>978.23043849999999</v>
      </c>
      <c r="AA81">
        <f>1-((0.95-Y81)*0.5)</f>
        <v>0.94626334499999998</v>
      </c>
      <c r="AB81">
        <f>U81/AA81</f>
        <v>783.08010546472133</v>
      </c>
      <c r="AC81" cm="1">
        <f t="array" ref="AC81">_xlfn.IFS(Y81&lt;0.6,U81,0.9&lt;Y81,U81,Y81,AB81)</f>
        <v>783.08010546472133</v>
      </c>
      <c r="AD81">
        <v>0.94488434200000004</v>
      </c>
      <c r="AE81">
        <v>892.43507790000001</v>
      </c>
      <c r="AF81">
        <v>892.43507790000001</v>
      </c>
      <c r="AH81">
        <v>0</v>
      </c>
      <c r="AI81">
        <v>117</v>
      </c>
    </row>
    <row r="82" spans="1:35" x14ac:dyDescent="0.25">
      <c r="A82" t="s">
        <v>330</v>
      </c>
      <c r="B82" t="s">
        <v>464</v>
      </c>
      <c r="D82" t="s">
        <v>332</v>
      </c>
      <c r="E82">
        <v>124</v>
      </c>
      <c r="H82">
        <f t="shared" si="1"/>
        <v>241014009</v>
      </c>
      <c r="I82">
        <v>4009</v>
      </c>
      <c r="J82">
        <v>2</v>
      </c>
      <c r="K82" t="s">
        <v>388</v>
      </c>
      <c r="L82">
        <v>100000</v>
      </c>
      <c r="M82" t="s">
        <v>347</v>
      </c>
      <c r="N82">
        <v>27</v>
      </c>
      <c r="O82">
        <v>409</v>
      </c>
      <c r="P82">
        <v>4</v>
      </c>
      <c r="Q82">
        <v>9</v>
      </c>
      <c r="R82">
        <v>217</v>
      </c>
      <c r="S82">
        <v>20.6</v>
      </c>
      <c r="T82">
        <v>775</v>
      </c>
      <c r="U82">
        <v>987</v>
      </c>
      <c r="V82" s="1">
        <v>45494</v>
      </c>
      <c r="W82" s="1">
        <v>45537</v>
      </c>
      <c r="X82">
        <v>124914</v>
      </c>
      <c r="Y82">
        <v>0.93482142899999998</v>
      </c>
      <c r="Z82">
        <v>1201.0183010000001</v>
      </c>
      <c r="AA82">
        <f>1-((0.95-Y82)*0.5)</f>
        <v>0.99241071450000007</v>
      </c>
      <c r="AB82">
        <f>U82/AA82</f>
        <v>994.54790801737147</v>
      </c>
      <c r="AC82" cm="1">
        <f t="array" ref="AC82">_xlfn.IFS(Y82&lt;0.6,U82,0.9&lt;Y82,U82,Y82,AB82)</f>
        <v>987</v>
      </c>
      <c r="AD82">
        <v>0.97718749999999999</v>
      </c>
      <c r="AE82">
        <v>1108.8375390000001</v>
      </c>
      <c r="AF82">
        <v>987</v>
      </c>
      <c r="AH82">
        <v>0</v>
      </c>
      <c r="AI82">
        <v>124</v>
      </c>
    </row>
    <row r="83" spans="1:35" x14ac:dyDescent="0.25">
      <c r="A83" t="s">
        <v>330</v>
      </c>
      <c r="B83" t="s">
        <v>487</v>
      </c>
      <c r="D83" t="s">
        <v>332</v>
      </c>
      <c r="E83">
        <v>147</v>
      </c>
      <c r="H83">
        <f t="shared" si="1"/>
        <v>241014010</v>
      </c>
      <c r="I83">
        <v>4010</v>
      </c>
      <c r="J83">
        <v>2</v>
      </c>
      <c r="K83" t="s">
        <v>333</v>
      </c>
      <c r="L83">
        <v>100000</v>
      </c>
      <c r="M83" t="s">
        <v>343</v>
      </c>
      <c r="N83">
        <v>61</v>
      </c>
      <c r="O83">
        <v>410</v>
      </c>
      <c r="P83">
        <v>4</v>
      </c>
      <c r="Q83">
        <v>10</v>
      </c>
      <c r="R83">
        <v>26</v>
      </c>
      <c r="S83">
        <v>18.899999999999999</v>
      </c>
      <c r="T83">
        <v>1952</v>
      </c>
      <c r="U83">
        <v>2540</v>
      </c>
      <c r="V83" s="1">
        <v>45497</v>
      </c>
      <c r="W83" s="1">
        <v>45535</v>
      </c>
      <c r="X83">
        <v>151355</v>
      </c>
      <c r="Y83">
        <v>0.99574347699999999</v>
      </c>
      <c r="Z83">
        <v>2550.8577850000001</v>
      </c>
      <c r="AA83">
        <f>1-((0.95-Y83)*0.5)</f>
        <v>1.0228717385000001</v>
      </c>
      <c r="AB83">
        <f>U83/AA83</f>
        <v>2483.2047894145621</v>
      </c>
      <c r="AC83" cm="1">
        <f t="array" ref="AC83">_xlfn.IFS(Y83&lt;0.6,U83,0.9&lt;Y83,U83,Y83,AB83)</f>
        <v>2540</v>
      </c>
      <c r="AD83">
        <v>0.99851021699999998</v>
      </c>
      <c r="AE83">
        <v>2549.215091</v>
      </c>
      <c r="AF83">
        <v>2540</v>
      </c>
      <c r="AH83">
        <v>0</v>
      </c>
      <c r="AI83">
        <v>147</v>
      </c>
    </row>
    <row r="84" spans="1:35" x14ac:dyDescent="0.25">
      <c r="A84" t="s">
        <v>330</v>
      </c>
      <c r="B84" t="s">
        <v>494</v>
      </c>
      <c r="D84" t="s">
        <v>332</v>
      </c>
      <c r="E84">
        <v>154</v>
      </c>
      <c r="H84">
        <f t="shared" si="1"/>
        <v>241014011</v>
      </c>
      <c r="I84">
        <v>4011</v>
      </c>
      <c r="J84">
        <v>2</v>
      </c>
      <c r="K84" t="s">
        <v>333</v>
      </c>
      <c r="L84">
        <v>75000</v>
      </c>
      <c r="M84" t="s">
        <v>351</v>
      </c>
      <c r="N84">
        <v>55</v>
      </c>
      <c r="O84">
        <v>411</v>
      </c>
      <c r="P84">
        <v>4</v>
      </c>
      <c r="Q84">
        <v>11</v>
      </c>
      <c r="R84">
        <v>56</v>
      </c>
      <c r="S84">
        <v>21</v>
      </c>
      <c r="T84">
        <v>680</v>
      </c>
      <c r="U84">
        <v>862</v>
      </c>
      <c r="V84" s="1">
        <v>45492</v>
      </c>
      <c r="W84" s="1">
        <v>45526</v>
      </c>
      <c r="X84">
        <v>150293</v>
      </c>
      <c r="Y84">
        <v>0.98877624200000003</v>
      </c>
      <c r="Z84">
        <v>871.78470059999995</v>
      </c>
      <c r="AA84">
        <f>1-((0.95-Y84)*0.5)</f>
        <v>1.019388121</v>
      </c>
      <c r="AB84">
        <f>U84/AA84</f>
        <v>845.60530208493572</v>
      </c>
      <c r="AC84" cm="1">
        <f t="array" ref="AC84">_xlfn.IFS(Y84&lt;0.6,U84,0.9&lt;Y84,U84,Y84,AB84)</f>
        <v>862</v>
      </c>
      <c r="AD84">
        <v>0.99607168499999998</v>
      </c>
      <c r="AE84">
        <v>870.28348789999995</v>
      </c>
      <c r="AF84">
        <v>862</v>
      </c>
      <c r="AH84">
        <v>0</v>
      </c>
      <c r="AI84">
        <v>154</v>
      </c>
    </row>
    <row r="85" spans="1:35" x14ac:dyDescent="0.25">
      <c r="A85" t="s">
        <v>330</v>
      </c>
      <c r="B85" t="s">
        <v>517</v>
      </c>
      <c r="D85" t="s">
        <v>332</v>
      </c>
      <c r="E85">
        <v>177</v>
      </c>
      <c r="H85">
        <f t="shared" si="1"/>
        <v>241014012</v>
      </c>
      <c r="I85">
        <v>4012</v>
      </c>
      <c r="J85">
        <v>2</v>
      </c>
      <c r="K85" t="s">
        <v>333</v>
      </c>
      <c r="L85">
        <v>150000</v>
      </c>
      <c r="M85" t="s">
        <v>336</v>
      </c>
      <c r="N85">
        <v>79</v>
      </c>
      <c r="O85">
        <v>412</v>
      </c>
      <c r="P85">
        <v>4</v>
      </c>
      <c r="Q85">
        <v>12</v>
      </c>
      <c r="R85">
        <v>68</v>
      </c>
      <c r="S85">
        <v>20.8</v>
      </c>
      <c r="T85">
        <v>1144</v>
      </c>
      <c r="U85">
        <v>1454</v>
      </c>
      <c r="V85" s="1">
        <v>45495</v>
      </c>
      <c r="W85" s="1">
        <v>45537</v>
      </c>
      <c r="X85">
        <v>151957</v>
      </c>
      <c r="Y85">
        <v>0.99972368199999995</v>
      </c>
      <c r="Z85">
        <v>1454.401877</v>
      </c>
      <c r="AA85">
        <f>1-((0.95-Y85)*0.5)</f>
        <v>1.0248618409999999</v>
      </c>
      <c r="AB85">
        <f>U85/AA85</f>
        <v>1418.727814649897</v>
      </c>
      <c r="AC85" cm="1">
        <f t="array" ref="AC85">_xlfn.IFS(Y85&lt;0.6,U85,0.9&lt;Y85,U85,Y85,AB85)</f>
        <v>1454</v>
      </c>
      <c r="AD85">
        <v>0.99990328900000003</v>
      </c>
      <c r="AE85">
        <v>1454.3415620000001</v>
      </c>
      <c r="AF85">
        <v>1454</v>
      </c>
      <c r="AH85">
        <v>0</v>
      </c>
      <c r="AI85">
        <v>177</v>
      </c>
    </row>
    <row r="86" spans="1:35" x14ac:dyDescent="0.25">
      <c r="A86" t="s">
        <v>330</v>
      </c>
      <c r="B86" t="s">
        <v>524</v>
      </c>
      <c r="D86" t="s">
        <v>332</v>
      </c>
      <c r="E86">
        <v>184</v>
      </c>
      <c r="H86">
        <f t="shared" si="1"/>
        <v>241014013</v>
      </c>
      <c r="I86">
        <v>4013</v>
      </c>
      <c r="J86">
        <v>3</v>
      </c>
      <c r="K86" t="s">
        <v>388</v>
      </c>
      <c r="L86">
        <v>150000</v>
      </c>
      <c r="M86" t="s">
        <v>353</v>
      </c>
      <c r="N86">
        <v>37</v>
      </c>
      <c r="O86">
        <v>413</v>
      </c>
      <c r="P86">
        <v>4</v>
      </c>
      <c r="Q86">
        <v>13</v>
      </c>
      <c r="R86">
        <v>41</v>
      </c>
      <c r="S86">
        <v>20.2</v>
      </c>
      <c r="T86">
        <v>1541</v>
      </c>
      <c r="U86">
        <v>1973</v>
      </c>
      <c r="V86" s="1">
        <v>45497</v>
      </c>
      <c r="W86" s="1">
        <v>45536</v>
      </c>
      <c r="X86">
        <v>102344</v>
      </c>
      <c r="Y86">
        <v>0.64642857099999995</v>
      </c>
      <c r="Z86">
        <v>2930.293647</v>
      </c>
      <c r="AA86">
        <f>1-((0.95-Y86)*0.5)</f>
        <v>0.8482142855</v>
      </c>
      <c r="AB86">
        <f>U86/AA86</f>
        <v>2326.0631584823736</v>
      </c>
      <c r="AC86" cm="1">
        <f t="array" ref="AC86">_xlfn.IFS(Y86&lt;0.6,U86,0.9&lt;Y86,U86,Y86,AB86)</f>
        <v>2326.0631584823736</v>
      </c>
      <c r="AD86">
        <v>0.87624999999999997</v>
      </c>
      <c r="AE86">
        <v>2691.239141</v>
      </c>
      <c r="AF86">
        <v>2691.239141</v>
      </c>
      <c r="AH86">
        <v>0</v>
      </c>
      <c r="AI86">
        <v>184</v>
      </c>
    </row>
    <row r="87" spans="1:35" x14ac:dyDescent="0.25">
      <c r="A87" t="s">
        <v>330</v>
      </c>
      <c r="B87" t="s">
        <v>547</v>
      </c>
      <c r="D87" t="s">
        <v>332</v>
      </c>
      <c r="E87">
        <v>207</v>
      </c>
      <c r="H87">
        <f t="shared" si="1"/>
        <v>241014014</v>
      </c>
      <c r="I87">
        <v>4014</v>
      </c>
      <c r="J87">
        <v>3</v>
      </c>
      <c r="K87" t="s">
        <v>388</v>
      </c>
      <c r="L87">
        <v>75000</v>
      </c>
      <c r="M87" t="s">
        <v>351</v>
      </c>
      <c r="N87">
        <v>10</v>
      </c>
      <c r="O87">
        <v>414</v>
      </c>
      <c r="P87">
        <v>4</v>
      </c>
      <c r="Q87">
        <v>14</v>
      </c>
      <c r="R87">
        <v>77</v>
      </c>
      <c r="S87">
        <v>20.7</v>
      </c>
      <c r="T87">
        <v>541</v>
      </c>
      <c r="U87">
        <v>688</v>
      </c>
      <c r="V87" s="1">
        <v>45489</v>
      </c>
      <c r="W87" s="1">
        <v>45530</v>
      </c>
      <c r="X87">
        <v>112984</v>
      </c>
      <c r="Y87">
        <v>0.73792486599999996</v>
      </c>
      <c r="Z87">
        <v>925.58847270000001</v>
      </c>
      <c r="AA87">
        <f>1-((0.95-Y87)*0.5)</f>
        <v>0.893962433</v>
      </c>
      <c r="AB87">
        <f>U87/AA87</f>
        <v>769.60728393382055</v>
      </c>
      <c r="AC87" cm="1">
        <f t="array" ref="AC87">_xlfn.IFS(Y87&lt;0.6,U87,0.9&lt;Y87,U87,Y87,AB87)</f>
        <v>769.60728393382055</v>
      </c>
      <c r="AD87">
        <v>0.90827370299999999</v>
      </c>
      <c r="AE87">
        <v>869.01415029999998</v>
      </c>
      <c r="AF87">
        <v>869.01415029999998</v>
      </c>
      <c r="AH87">
        <v>0</v>
      </c>
      <c r="AI87">
        <v>207</v>
      </c>
    </row>
    <row r="88" spans="1:35" x14ac:dyDescent="0.25">
      <c r="A88" t="s">
        <v>330</v>
      </c>
      <c r="B88" t="s">
        <v>554</v>
      </c>
      <c r="D88" t="s">
        <v>332</v>
      </c>
      <c r="E88">
        <v>214</v>
      </c>
      <c r="H88">
        <f t="shared" si="1"/>
        <v>241014015</v>
      </c>
      <c r="I88">
        <v>4015</v>
      </c>
      <c r="J88">
        <v>3</v>
      </c>
      <c r="K88" t="s">
        <v>388</v>
      </c>
      <c r="L88">
        <v>100000</v>
      </c>
      <c r="M88" t="s">
        <v>355</v>
      </c>
      <c r="N88">
        <v>24</v>
      </c>
      <c r="O88">
        <v>415</v>
      </c>
      <c r="P88">
        <v>4</v>
      </c>
      <c r="Q88">
        <v>15</v>
      </c>
      <c r="R88">
        <v>63</v>
      </c>
      <c r="S88">
        <v>19.100000000000001</v>
      </c>
      <c r="T88">
        <v>488</v>
      </c>
      <c r="U88">
        <v>633</v>
      </c>
      <c r="V88" s="1">
        <v>45489</v>
      </c>
      <c r="W88" s="1">
        <v>45523</v>
      </c>
      <c r="X88">
        <v>127409</v>
      </c>
      <c r="Y88">
        <v>0.95102404299999999</v>
      </c>
      <c r="Z88">
        <v>755.16434470000002</v>
      </c>
      <c r="AA88">
        <f>1-((0.95-Y88)*0.5)</f>
        <v>1.0005120215000001</v>
      </c>
      <c r="AB88">
        <f>U88/AA88</f>
        <v>632.67605625666135</v>
      </c>
      <c r="AC88" cm="1">
        <f t="array" ref="AC88">_xlfn.IFS(Y88&lt;0.6,U88,0.9&lt;Y88,U88,Y88,AB88)</f>
        <v>633</v>
      </c>
      <c r="AD88">
        <v>0.98285841500000004</v>
      </c>
      <c r="AE88">
        <v>700.71810110000001</v>
      </c>
      <c r="AF88">
        <v>633</v>
      </c>
      <c r="AH88">
        <v>0</v>
      </c>
      <c r="AI88">
        <v>214</v>
      </c>
    </row>
    <row r="89" spans="1:35" x14ac:dyDescent="0.25">
      <c r="A89" t="s">
        <v>330</v>
      </c>
      <c r="B89" t="s">
        <v>577</v>
      </c>
      <c r="D89" t="s">
        <v>332</v>
      </c>
      <c r="E89">
        <v>237</v>
      </c>
      <c r="H89">
        <f t="shared" si="1"/>
        <v>241014016</v>
      </c>
      <c r="I89">
        <v>4016</v>
      </c>
      <c r="J89">
        <v>3</v>
      </c>
      <c r="K89" t="s">
        <v>333</v>
      </c>
      <c r="L89">
        <v>100000</v>
      </c>
      <c r="M89" t="s">
        <v>343</v>
      </c>
      <c r="N89">
        <v>61</v>
      </c>
      <c r="O89">
        <v>416</v>
      </c>
      <c r="P89">
        <v>4</v>
      </c>
      <c r="Q89">
        <v>16</v>
      </c>
      <c r="R89">
        <v>30</v>
      </c>
      <c r="S89">
        <v>19.399999999999999</v>
      </c>
      <c r="T89">
        <v>1969</v>
      </c>
      <c r="U89">
        <v>2547</v>
      </c>
      <c r="V89" s="1">
        <v>45499</v>
      </c>
      <c r="W89" s="1">
        <v>45536</v>
      </c>
      <c r="X89">
        <v>147168</v>
      </c>
      <c r="Y89">
        <v>0.96821052600000002</v>
      </c>
      <c r="Z89">
        <v>2630.6262230000002</v>
      </c>
      <c r="AA89">
        <f>1-((0.95-Y89)*0.5)</f>
        <v>1.0091052629999999</v>
      </c>
      <c r="AB89">
        <f>U89/AA89</f>
        <v>2524.0181509191079</v>
      </c>
      <c r="AC89" cm="1">
        <f t="array" ref="AC89">_xlfn.IFS(Y89&lt;0.6,U89,0.9&lt;Y89,U89,Y89,AB89)</f>
        <v>2547</v>
      </c>
      <c r="AD89">
        <v>0.98887368399999998</v>
      </c>
      <c r="AE89">
        <v>2617.2582109999998</v>
      </c>
      <c r="AF89">
        <v>2547</v>
      </c>
      <c r="AH89">
        <v>0</v>
      </c>
      <c r="AI89">
        <v>237</v>
      </c>
    </row>
    <row r="90" spans="1:35" x14ac:dyDescent="0.25">
      <c r="A90" t="s">
        <v>330</v>
      </c>
      <c r="B90" t="s">
        <v>584</v>
      </c>
      <c r="D90" t="s">
        <v>332</v>
      </c>
      <c r="E90">
        <v>244</v>
      </c>
      <c r="H90">
        <f t="shared" si="1"/>
        <v>241014017</v>
      </c>
      <c r="I90">
        <v>4017</v>
      </c>
      <c r="J90">
        <v>3</v>
      </c>
      <c r="K90" t="s">
        <v>333</v>
      </c>
      <c r="L90">
        <v>150000</v>
      </c>
      <c r="M90" t="s">
        <v>338</v>
      </c>
      <c r="N90">
        <v>89</v>
      </c>
      <c r="O90">
        <v>417</v>
      </c>
      <c r="P90">
        <v>4</v>
      </c>
      <c r="Q90">
        <v>17</v>
      </c>
      <c r="R90">
        <v>41</v>
      </c>
      <c r="S90">
        <v>19.600000000000001</v>
      </c>
      <c r="T90">
        <v>1767</v>
      </c>
      <c r="U90">
        <v>2280</v>
      </c>
      <c r="V90" s="1">
        <v>45494</v>
      </c>
      <c r="W90" s="1">
        <v>45525</v>
      </c>
      <c r="X90">
        <v>144048</v>
      </c>
      <c r="Y90">
        <v>0.94767797600000003</v>
      </c>
      <c r="Z90">
        <v>2405.8805400000001</v>
      </c>
      <c r="AA90">
        <f>1-((0.95-Y90)*0.5)</f>
        <v>0.99883898800000004</v>
      </c>
      <c r="AB90">
        <f>U90/AA90</f>
        <v>2282.6501842557232</v>
      </c>
      <c r="AC90" cm="1">
        <f t="array" ref="AC90">_xlfn.IFS(Y90&lt;0.6,U90,0.9&lt;Y90,U90,Y90,AB90)</f>
        <v>2280</v>
      </c>
      <c r="AD90">
        <v>0.98168729200000004</v>
      </c>
      <c r="AE90">
        <v>2384.9238700000001</v>
      </c>
      <c r="AF90">
        <v>2280</v>
      </c>
      <c r="AH90">
        <v>0</v>
      </c>
      <c r="AI90">
        <v>244</v>
      </c>
    </row>
    <row r="91" spans="1:35" x14ac:dyDescent="0.25">
      <c r="A91" t="s">
        <v>330</v>
      </c>
      <c r="B91" t="s">
        <v>607</v>
      </c>
      <c r="D91" t="s">
        <v>332</v>
      </c>
      <c r="E91">
        <v>267</v>
      </c>
      <c r="H91">
        <f t="shared" si="1"/>
        <v>241014018</v>
      </c>
      <c r="I91">
        <v>4018</v>
      </c>
      <c r="J91">
        <v>3</v>
      </c>
      <c r="K91" t="s">
        <v>333</v>
      </c>
      <c r="L91">
        <v>75000</v>
      </c>
      <c r="M91" t="s">
        <v>355</v>
      </c>
      <c r="N91">
        <v>54</v>
      </c>
      <c r="O91">
        <v>418</v>
      </c>
      <c r="P91">
        <v>4</v>
      </c>
      <c r="Q91">
        <v>18</v>
      </c>
      <c r="R91">
        <v>61</v>
      </c>
      <c r="S91">
        <v>20.3</v>
      </c>
      <c r="T91">
        <v>636</v>
      </c>
      <c r="U91">
        <v>813</v>
      </c>
      <c r="V91" s="1">
        <v>45492</v>
      </c>
      <c r="W91" s="1">
        <v>45523</v>
      </c>
      <c r="X91">
        <v>148587</v>
      </c>
      <c r="Y91">
        <v>0.97753319000000005</v>
      </c>
      <c r="Z91">
        <v>831.68531570000005</v>
      </c>
      <c r="AA91">
        <f>1-((0.95-Y91)*0.5)</f>
        <v>1.0137665950000001</v>
      </c>
      <c r="AB91">
        <f>U91/AA91</f>
        <v>801.95974498449505</v>
      </c>
      <c r="AC91" cm="1">
        <f t="array" ref="AC91">_xlfn.IFS(Y91&lt;0.6,U91,0.9&lt;Y91,U91,Y91,AB91)</f>
        <v>813</v>
      </c>
      <c r="AD91">
        <v>0.992136617</v>
      </c>
      <c r="AE91">
        <v>828.75332100000003</v>
      </c>
      <c r="AF91">
        <v>813</v>
      </c>
      <c r="AH91">
        <v>0</v>
      </c>
      <c r="AI91">
        <v>267</v>
      </c>
    </row>
    <row r="92" spans="1:35" x14ac:dyDescent="0.25">
      <c r="A92" t="s">
        <v>330</v>
      </c>
      <c r="B92" t="s">
        <v>614</v>
      </c>
      <c r="D92" t="s">
        <v>332</v>
      </c>
      <c r="E92">
        <v>274</v>
      </c>
      <c r="H92">
        <f t="shared" si="1"/>
        <v>241014019</v>
      </c>
      <c r="I92">
        <v>4019</v>
      </c>
      <c r="J92">
        <v>4</v>
      </c>
      <c r="K92" t="s">
        <v>388</v>
      </c>
      <c r="L92">
        <v>75000</v>
      </c>
      <c r="M92" t="s">
        <v>334</v>
      </c>
      <c r="N92">
        <v>8</v>
      </c>
      <c r="O92">
        <v>419</v>
      </c>
      <c r="P92">
        <v>4</v>
      </c>
      <c r="Q92">
        <v>19</v>
      </c>
      <c r="R92">
        <v>41</v>
      </c>
      <c r="S92">
        <v>18.399999999999999</v>
      </c>
      <c r="T92">
        <v>1685</v>
      </c>
      <c r="U92">
        <v>2206</v>
      </c>
      <c r="V92" s="1">
        <v>45498</v>
      </c>
      <c r="W92" s="1">
        <v>45534</v>
      </c>
      <c r="X92">
        <v>117431</v>
      </c>
      <c r="Y92">
        <v>0.84539767600000004</v>
      </c>
      <c r="Z92">
        <v>2855.3395780000001</v>
      </c>
      <c r="AA92">
        <f>1-((0.95-Y92)*0.5)</f>
        <v>0.94769883799999999</v>
      </c>
      <c r="AB92">
        <f>U92/AA92</f>
        <v>2327.7437003673945</v>
      </c>
      <c r="AC92" cm="1">
        <f t="array" ref="AC92">_xlfn.IFS(Y92&lt;0.6,U92,0.9&lt;Y92,U92,Y92,AB92)</f>
        <v>2327.7437003673945</v>
      </c>
      <c r="AD92">
        <v>0.94588918700000002</v>
      </c>
      <c r="AE92">
        <v>2631.4040089999999</v>
      </c>
      <c r="AF92">
        <v>2631.4040089999999</v>
      </c>
      <c r="AH92">
        <v>0</v>
      </c>
      <c r="AI92">
        <v>274</v>
      </c>
    </row>
    <row r="93" spans="1:35" x14ac:dyDescent="0.25">
      <c r="A93" t="s">
        <v>330</v>
      </c>
      <c r="B93" t="s">
        <v>636</v>
      </c>
      <c r="D93" t="s">
        <v>332</v>
      </c>
      <c r="E93">
        <v>297</v>
      </c>
      <c r="H93">
        <f t="shared" si="1"/>
        <v>241014020</v>
      </c>
      <c r="I93">
        <v>4020</v>
      </c>
      <c r="J93">
        <v>4</v>
      </c>
      <c r="K93" t="s">
        <v>388</v>
      </c>
      <c r="L93">
        <v>100000</v>
      </c>
      <c r="M93" t="s">
        <v>295</v>
      </c>
      <c r="N93">
        <v>26</v>
      </c>
      <c r="O93">
        <v>420</v>
      </c>
      <c r="P93">
        <v>4</v>
      </c>
      <c r="Q93">
        <v>20</v>
      </c>
      <c r="R93">
        <v>48</v>
      </c>
      <c r="S93">
        <v>20</v>
      </c>
      <c r="T93">
        <v>305</v>
      </c>
      <c r="U93">
        <v>392</v>
      </c>
      <c r="V93" s="1">
        <v>45491</v>
      </c>
      <c r="W93" s="1">
        <v>45524</v>
      </c>
      <c r="X93">
        <v>125273</v>
      </c>
      <c r="Y93">
        <v>0.98039215700000004</v>
      </c>
      <c r="Z93">
        <v>475.63634619999999</v>
      </c>
      <c r="AA93">
        <f>1-((0.95-Y93)*0.5)</f>
        <v>1.0151960785</v>
      </c>
      <c r="AB93">
        <f>U93/AA93</f>
        <v>386.13230320904944</v>
      </c>
      <c r="AC93" cm="1">
        <f t="array" ref="AC93">_xlfn.IFS(Y93&lt;0.6,U93,0.9&lt;Y93,U93,Y93,AB93)</f>
        <v>392</v>
      </c>
      <c r="AD93">
        <v>0.99313725500000005</v>
      </c>
      <c r="AE93">
        <v>432.75698510000001</v>
      </c>
      <c r="AF93">
        <v>392</v>
      </c>
      <c r="AH93">
        <v>0</v>
      </c>
      <c r="AI93">
        <v>297</v>
      </c>
    </row>
    <row r="94" spans="1:35" x14ac:dyDescent="0.25">
      <c r="A94" t="s">
        <v>330</v>
      </c>
      <c r="B94" t="s">
        <v>643</v>
      </c>
      <c r="D94" t="s">
        <v>332</v>
      </c>
      <c r="E94">
        <v>304</v>
      </c>
      <c r="H94">
        <f t="shared" si="1"/>
        <v>241014021</v>
      </c>
      <c r="I94">
        <v>4021</v>
      </c>
      <c r="J94">
        <v>4</v>
      </c>
      <c r="K94" t="s">
        <v>388</v>
      </c>
      <c r="L94">
        <v>150000</v>
      </c>
      <c r="M94" t="s">
        <v>283</v>
      </c>
      <c r="N94">
        <v>32</v>
      </c>
      <c r="O94">
        <v>421</v>
      </c>
      <c r="P94">
        <v>4</v>
      </c>
      <c r="Q94">
        <v>21</v>
      </c>
      <c r="R94">
        <v>40</v>
      </c>
      <c r="S94">
        <v>17.3</v>
      </c>
      <c r="T94">
        <v>1875</v>
      </c>
      <c r="U94">
        <v>2488</v>
      </c>
      <c r="V94" s="1">
        <v>45496</v>
      </c>
      <c r="W94" s="1">
        <v>45533</v>
      </c>
      <c r="X94">
        <v>127438</v>
      </c>
      <c r="Y94">
        <v>0.96961572799999995</v>
      </c>
      <c r="Z94">
        <v>2967.5293080000001</v>
      </c>
      <c r="AA94">
        <f>1-((0.95-Y94)*0.5)</f>
        <v>1.0098078639999999</v>
      </c>
      <c r="AB94">
        <f>U94/AA94</f>
        <v>2463.8350409994432</v>
      </c>
      <c r="AC94" cm="1">
        <f t="array" ref="AC94">_xlfn.IFS(Y94&lt;0.6,U94,0.9&lt;Y94,U94,Y94,AB94)</f>
        <v>2488</v>
      </c>
      <c r="AD94">
        <v>0.98936550499999998</v>
      </c>
      <c r="AE94">
        <v>2735.7835329999998</v>
      </c>
      <c r="AF94">
        <v>2488</v>
      </c>
      <c r="AH94">
        <v>0</v>
      </c>
      <c r="AI94">
        <v>304</v>
      </c>
    </row>
    <row r="95" spans="1:35" x14ac:dyDescent="0.25">
      <c r="A95" t="s">
        <v>330</v>
      </c>
      <c r="B95" t="s">
        <v>665</v>
      </c>
      <c r="D95" t="s">
        <v>332</v>
      </c>
      <c r="E95">
        <v>327</v>
      </c>
      <c r="H95">
        <f t="shared" si="1"/>
        <v>241014022</v>
      </c>
      <c r="I95">
        <v>4022</v>
      </c>
      <c r="J95">
        <v>4</v>
      </c>
      <c r="K95" t="s">
        <v>333</v>
      </c>
      <c r="L95">
        <v>150000</v>
      </c>
      <c r="M95" t="s">
        <v>353</v>
      </c>
      <c r="N95">
        <v>82</v>
      </c>
      <c r="O95">
        <v>422</v>
      </c>
      <c r="P95">
        <v>4</v>
      </c>
      <c r="Q95">
        <v>22</v>
      </c>
      <c r="R95">
        <v>44</v>
      </c>
      <c r="S95">
        <v>18.3</v>
      </c>
      <c r="T95">
        <v>1108</v>
      </c>
      <c r="U95">
        <v>1453</v>
      </c>
      <c r="V95" s="1">
        <v>45493</v>
      </c>
      <c r="W95" s="1">
        <v>45534</v>
      </c>
      <c r="X95">
        <v>128282</v>
      </c>
      <c r="Y95">
        <v>0.84395497399999997</v>
      </c>
      <c r="Z95">
        <v>1721.655829</v>
      </c>
      <c r="AA95">
        <f>1-((0.95-Y95)*0.5)</f>
        <v>0.94697748700000006</v>
      </c>
      <c r="AB95">
        <f>U95/AA95</f>
        <v>1534.3553779753161</v>
      </c>
      <c r="AC95" cm="1">
        <f t="array" ref="AC95">_xlfn.IFS(Y95&lt;0.6,U95,0.9&lt;Y95,U95,Y95,AB95)</f>
        <v>1534.3553779753161</v>
      </c>
      <c r="AD95">
        <v>0.94538424099999996</v>
      </c>
      <c r="AE95">
        <v>1667.0051410000001</v>
      </c>
      <c r="AF95">
        <v>1667.0051410000001</v>
      </c>
      <c r="AH95">
        <v>0</v>
      </c>
      <c r="AI95">
        <v>327</v>
      </c>
    </row>
    <row r="96" spans="1:35" x14ac:dyDescent="0.25">
      <c r="A96" t="s">
        <v>330</v>
      </c>
      <c r="B96" t="s">
        <v>672</v>
      </c>
      <c r="D96" t="s">
        <v>332</v>
      </c>
      <c r="E96">
        <v>334</v>
      </c>
      <c r="H96">
        <f t="shared" si="1"/>
        <v>241014023</v>
      </c>
      <c r="I96">
        <v>4023</v>
      </c>
      <c r="J96">
        <v>4</v>
      </c>
      <c r="K96" t="s">
        <v>333</v>
      </c>
      <c r="L96">
        <v>100000</v>
      </c>
      <c r="M96" t="s">
        <v>341</v>
      </c>
      <c r="N96">
        <v>65</v>
      </c>
      <c r="O96">
        <v>423</v>
      </c>
      <c r="P96">
        <v>4</v>
      </c>
      <c r="Q96">
        <v>23</v>
      </c>
      <c r="V96" s="1">
        <v>45493</v>
      </c>
      <c r="W96" s="1">
        <v>45530</v>
      </c>
      <c r="X96">
        <v>113124</v>
      </c>
      <c r="Y96">
        <v>0.74424173800000004</v>
      </c>
      <c r="AA96">
        <f>1-((0.95-Y96)*0.5)</f>
        <v>0.8971208690000001</v>
      </c>
      <c r="AH96">
        <v>0</v>
      </c>
      <c r="AI96">
        <v>334</v>
      </c>
    </row>
    <row r="97" spans="1:35" x14ac:dyDescent="0.25">
      <c r="A97" t="s">
        <v>330</v>
      </c>
      <c r="B97" t="s">
        <v>695</v>
      </c>
      <c r="D97" t="s">
        <v>332</v>
      </c>
      <c r="E97">
        <v>357</v>
      </c>
      <c r="H97">
        <f t="shared" si="1"/>
        <v>241014024</v>
      </c>
      <c r="I97">
        <v>4024</v>
      </c>
      <c r="J97">
        <v>4</v>
      </c>
      <c r="K97" t="s">
        <v>333</v>
      </c>
      <c r="L97">
        <v>75000</v>
      </c>
      <c r="M97" t="s">
        <v>336</v>
      </c>
      <c r="N97">
        <v>49</v>
      </c>
      <c r="O97">
        <v>424</v>
      </c>
      <c r="P97">
        <v>4</v>
      </c>
      <c r="Q97">
        <v>24</v>
      </c>
      <c r="V97" s="1">
        <v>45494</v>
      </c>
      <c r="W97" s="1">
        <v>45534</v>
      </c>
      <c r="X97">
        <v>151574</v>
      </c>
      <c r="Y97">
        <v>0.99719736800000003</v>
      </c>
      <c r="AA97">
        <f>1-((0.95-Y97)*0.5)</f>
        <v>1.023598684</v>
      </c>
      <c r="AH97">
        <v>0</v>
      </c>
      <c r="AI97">
        <v>357</v>
      </c>
    </row>
    <row r="98" spans="1:35" x14ac:dyDescent="0.25">
      <c r="A98" t="s">
        <v>330</v>
      </c>
      <c r="B98" t="s">
        <v>340</v>
      </c>
      <c r="D98" t="s">
        <v>332</v>
      </c>
      <c r="E98">
        <v>5</v>
      </c>
      <c r="H98">
        <f t="shared" si="1"/>
        <v>241015001</v>
      </c>
      <c r="I98">
        <v>5001</v>
      </c>
      <c r="J98">
        <v>1</v>
      </c>
      <c r="K98" t="s">
        <v>333</v>
      </c>
      <c r="L98">
        <v>100000</v>
      </c>
      <c r="M98" t="s">
        <v>341</v>
      </c>
      <c r="N98">
        <v>65</v>
      </c>
      <c r="O98">
        <v>501</v>
      </c>
      <c r="P98">
        <v>5</v>
      </c>
      <c r="Q98">
        <v>1</v>
      </c>
      <c r="R98">
        <v>26</v>
      </c>
      <c r="S98">
        <v>19.399999999999999</v>
      </c>
      <c r="T98">
        <v>1534</v>
      </c>
      <c r="U98">
        <v>1984</v>
      </c>
      <c r="V98" s="1">
        <v>45496</v>
      </c>
      <c r="W98" s="1">
        <v>45530</v>
      </c>
      <c r="X98">
        <v>151698</v>
      </c>
      <c r="Y98">
        <v>0.99801315800000001</v>
      </c>
      <c r="Z98">
        <v>1987.949742</v>
      </c>
      <c r="AA98">
        <f>1-((0.95-Y98)*0.5)</f>
        <v>1.0240065789999999</v>
      </c>
      <c r="AB98">
        <f>U98/AA98</f>
        <v>1937.4875520208939</v>
      </c>
      <c r="AC98" cm="1">
        <f t="array" ref="AC98">_xlfn.IFS(Y98&lt;0.6,U98,0.9&lt;Y98,U98,Y98,AB98)</f>
        <v>1984</v>
      </c>
      <c r="AD98">
        <v>0.99930460499999996</v>
      </c>
      <c r="AE98">
        <v>1987.3549029999999</v>
      </c>
      <c r="AF98">
        <v>1984</v>
      </c>
      <c r="AH98">
        <v>0</v>
      </c>
      <c r="AI98">
        <v>5</v>
      </c>
    </row>
    <row r="99" spans="1:35" x14ac:dyDescent="0.25">
      <c r="A99" t="s">
        <v>330</v>
      </c>
      <c r="B99" t="s">
        <v>368</v>
      </c>
      <c r="D99" t="s">
        <v>332</v>
      </c>
      <c r="E99">
        <v>26</v>
      </c>
      <c r="H99">
        <f t="shared" si="1"/>
        <v>241015002</v>
      </c>
      <c r="I99">
        <v>5002</v>
      </c>
      <c r="J99">
        <v>1</v>
      </c>
      <c r="K99" t="s">
        <v>333</v>
      </c>
      <c r="L99">
        <v>150000</v>
      </c>
      <c r="M99" t="s">
        <v>334</v>
      </c>
      <c r="N99">
        <v>83</v>
      </c>
      <c r="O99">
        <v>502</v>
      </c>
      <c r="P99">
        <v>5</v>
      </c>
      <c r="Q99">
        <v>2</v>
      </c>
      <c r="R99">
        <v>48</v>
      </c>
      <c r="S99">
        <v>18.899999999999999</v>
      </c>
      <c r="T99">
        <v>1705</v>
      </c>
      <c r="U99">
        <v>2219</v>
      </c>
      <c r="V99" s="1">
        <v>45495</v>
      </c>
      <c r="W99" s="1">
        <v>45532</v>
      </c>
      <c r="X99">
        <v>149375</v>
      </c>
      <c r="Y99">
        <v>0.98272379799999998</v>
      </c>
      <c r="Z99">
        <v>2258.009834</v>
      </c>
      <c r="AA99">
        <f>1-((0.95-Y99)*0.5)</f>
        <v>1.0163618990000001</v>
      </c>
      <c r="AB99">
        <f>U99/AA99</f>
        <v>2183.2774351176263</v>
      </c>
      <c r="AC99" cm="1">
        <f t="array" ref="AC99">_xlfn.IFS(Y99&lt;0.6,U99,0.9&lt;Y99,U99,Y99,AB99)</f>
        <v>2219</v>
      </c>
      <c r="AD99">
        <v>0.993953329</v>
      </c>
      <c r="AE99">
        <v>2251.9517740000001</v>
      </c>
      <c r="AF99">
        <v>2219</v>
      </c>
      <c r="AH99">
        <v>0</v>
      </c>
      <c r="AI99">
        <v>26</v>
      </c>
    </row>
    <row r="100" spans="1:35" x14ac:dyDescent="0.25">
      <c r="A100" t="s">
        <v>330</v>
      </c>
      <c r="B100" t="s">
        <v>377</v>
      </c>
      <c r="D100" t="s">
        <v>332</v>
      </c>
      <c r="E100">
        <v>35</v>
      </c>
      <c r="H100">
        <f t="shared" si="1"/>
        <v>241015003</v>
      </c>
      <c r="I100">
        <v>5003</v>
      </c>
      <c r="J100">
        <v>1</v>
      </c>
      <c r="K100" t="s">
        <v>333</v>
      </c>
      <c r="L100">
        <v>75000</v>
      </c>
      <c r="M100" t="s">
        <v>347</v>
      </c>
      <c r="N100">
        <v>57</v>
      </c>
      <c r="O100">
        <v>503</v>
      </c>
      <c r="P100">
        <v>5</v>
      </c>
      <c r="Q100">
        <v>3</v>
      </c>
      <c r="R100">
        <v>70</v>
      </c>
      <c r="S100">
        <v>22</v>
      </c>
      <c r="T100">
        <v>693</v>
      </c>
      <c r="U100">
        <v>867</v>
      </c>
      <c r="V100" s="1">
        <v>45495</v>
      </c>
      <c r="X100">
        <v>144507</v>
      </c>
      <c r="Y100">
        <v>0.950691438</v>
      </c>
      <c r="Z100">
        <v>911.96782159999998</v>
      </c>
      <c r="AA100">
        <f>1-((0.95-Y100)*0.5)</f>
        <v>1.000345719</v>
      </c>
      <c r="AB100">
        <f>U100/AA100</f>
        <v>866.70036521643772</v>
      </c>
      <c r="AC100" cm="1">
        <f t="array" ref="AC100">_xlfn.IFS(Y100&lt;0.6,U100,0.9&lt;Y100,U100,Y100,AB100)</f>
        <v>867</v>
      </c>
      <c r="AD100">
        <v>0.98274200300000003</v>
      </c>
      <c r="AE100">
        <v>904.52587900000003</v>
      </c>
      <c r="AF100">
        <v>867</v>
      </c>
      <c r="AH100">
        <v>0</v>
      </c>
      <c r="AI100">
        <v>35</v>
      </c>
    </row>
    <row r="101" spans="1:35" x14ac:dyDescent="0.25">
      <c r="A101" t="s">
        <v>330</v>
      </c>
      <c r="B101" t="s">
        <v>398</v>
      </c>
      <c r="D101" t="s">
        <v>332</v>
      </c>
      <c r="E101">
        <v>56</v>
      </c>
      <c r="H101">
        <f t="shared" si="1"/>
        <v>241015004</v>
      </c>
      <c r="I101">
        <v>5004</v>
      </c>
      <c r="J101">
        <v>1</v>
      </c>
      <c r="K101" t="s">
        <v>388</v>
      </c>
      <c r="L101">
        <v>150000</v>
      </c>
      <c r="M101" t="s">
        <v>347</v>
      </c>
      <c r="N101">
        <v>42</v>
      </c>
      <c r="O101">
        <v>504</v>
      </c>
      <c r="P101">
        <v>5</v>
      </c>
      <c r="Q101">
        <v>4</v>
      </c>
      <c r="R101">
        <v>70</v>
      </c>
      <c r="S101">
        <v>19.600000000000001</v>
      </c>
      <c r="T101">
        <v>766</v>
      </c>
      <c r="U101">
        <v>988</v>
      </c>
      <c r="V101" s="1">
        <v>45494</v>
      </c>
      <c r="W101" s="1">
        <v>45537</v>
      </c>
      <c r="X101">
        <v>125912</v>
      </c>
      <c r="Y101">
        <v>0.88918677400000001</v>
      </c>
      <c r="Z101">
        <v>1192.7138640000001</v>
      </c>
      <c r="AA101">
        <f>1-((0.95-Y101)*0.5)</f>
        <v>0.96959338699999997</v>
      </c>
      <c r="AB101">
        <f>U101/AA101</f>
        <v>1018.9838475043148</v>
      </c>
      <c r="AC101" cm="1">
        <f t="array" ref="AC101">_xlfn.IFS(Y101&lt;0.6,U101,0.9&lt;Y101,U101,Y101,AB101)</f>
        <v>1018.9838475043148</v>
      </c>
      <c r="AD101">
        <v>0.96121537099999999</v>
      </c>
      <c r="AE101">
        <v>1124.3559339999999</v>
      </c>
      <c r="AF101">
        <v>1124.3559339999999</v>
      </c>
      <c r="AH101">
        <v>0</v>
      </c>
      <c r="AI101">
        <v>56</v>
      </c>
    </row>
    <row r="102" spans="1:35" x14ac:dyDescent="0.25">
      <c r="A102" t="s">
        <v>330</v>
      </c>
      <c r="B102" t="s">
        <v>407</v>
      </c>
      <c r="D102" t="s">
        <v>332</v>
      </c>
      <c r="E102">
        <v>65</v>
      </c>
      <c r="H102">
        <f t="shared" si="1"/>
        <v>241015005</v>
      </c>
      <c r="I102">
        <v>5005</v>
      </c>
      <c r="J102">
        <v>1</v>
      </c>
      <c r="K102" t="s">
        <v>388</v>
      </c>
      <c r="L102">
        <v>75000</v>
      </c>
      <c r="M102" t="s">
        <v>298</v>
      </c>
      <c r="N102">
        <v>6</v>
      </c>
      <c r="O102">
        <v>505</v>
      </c>
      <c r="P102">
        <v>5</v>
      </c>
      <c r="Q102">
        <v>5</v>
      </c>
      <c r="R102">
        <v>72</v>
      </c>
      <c r="S102">
        <v>18.899999999999999</v>
      </c>
      <c r="T102">
        <v>740</v>
      </c>
      <c r="U102">
        <v>963</v>
      </c>
      <c r="V102" s="1">
        <v>45490</v>
      </c>
      <c r="W102" s="1">
        <v>45524</v>
      </c>
      <c r="X102">
        <v>118856</v>
      </c>
      <c r="Y102">
        <v>0.87835420399999997</v>
      </c>
      <c r="Z102">
        <v>1231.5487900000001</v>
      </c>
      <c r="AA102">
        <f>1-((0.95-Y102)*0.5)</f>
        <v>0.96417710200000006</v>
      </c>
      <c r="AB102">
        <f>U102/AA102</f>
        <v>998.7791641208255</v>
      </c>
      <c r="AC102" cm="1">
        <f t="array" ref="AC102">_xlfn.IFS(Y102&lt;0.6,U102,0.9&lt;Y102,U102,Y102,AB102)</f>
        <v>998.7791641208255</v>
      </c>
      <c r="AD102">
        <v>0.95742397099999998</v>
      </c>
      <c r="AE102">
        <v>1128.9075230000001</v>
      </c>
      <c r="AF102">
        <v>1128.9075230000001</v>
      </c>
      <c r="AH102">
        <v>0</v>
      </c>
      <c r="AI102">
        <v>65</v>
      </c>
    </row>
    <row r="103" spans="1:35" x14ac:dyDescent="0.25">
      <c r="A103" t="s">
        <v>330</v>
      </c>
      <c r="B103" t="s">
        <v>428</v>
      </c>
      <c r="D103" t="s">
        <v>332</v>
      </c>
      <c r="E103">
        <v>86</v>
      </c>
      <c r="H103">
        <f t="shared" si="1"/>
        <v>241015006</v>
      </c>
      <c r="I103">
        <v>5006</v>
      </c>
      <c r="J103">
        <v>1</v>
      </c>
      <c r="K103" t="s">
        <v>388</v>
      </c>
      <c r="L103">
        <v>100000</v>
      </c>
      <c r="M103" t="s">
        <v>353</v>
      </c>
      <c r="N103">
        <v>22</v>
      </c>
      <c r="O103">
        <v>506</v>
      </c>
      <c r="P103">
        <v>5</v>
      </c>
      <c r="Q103">
        <v>6</v>
      </c>
      <c r="R103">
        <v>47</v>
      </c>
      <c r="S103">
        <v>20.5</v>
      </c>
      <c r="T103">
        <v>955</v>
      </c>
      <c r="U103">
        <v>1218</v>
      </c>
      <c r="V103" s="1">
        <v>45497</v>
      </c>
      <c r="X103">
        <v>94032</v>
      </c>
      <c r="Y103">
        <v>0.65652951699999995</v>
      </c>
      <c r="Z103">
        <v>1968.861664</v>
      </c>
      <c r="AA103">
        <f>1-((0.95-Y103)*0.5)</f>
        <v>0.85326475849999994</v>
      </c>
      <c r="AB103">
        <f>U103/AA103</f>
        <v>1427.4584621790636</v>
      </c>
      <c r="AC103" cm="1">
        <f t="array" ref="AC103">_xlfn.IFS(Y103&lt;0.6,U103,0.9&lt;Y103,U103,Y103,AB103)</f>
        <v>1427.4584621790636</v>
      </c>
      <c r="AD103">
        <v>0.879785331</v>
      </c>
      <c r="AE103">
        <v>1710.616113</v>
      </c>
      <c r="AF103">
        <v>1710.616113</v>
      </c>
      <c r="AH103">
        <v>0</v>
      </c>
      <c r="AI103">
        <v>86</v>
      </c>
    </row>
    <row r="104" spans="1:35" x14ac:dyDescent="0.25">
      <c r="A104" t="s">
        <v>330</v>
      </c>
      <c r="B104" t="s">
        <v>437</v>
      </c>
      <c r="D104" t="s">
        <v>332</v>
      </c>
      <c r="E104">
        <v>95</v>
      </c>
      <c r="H104">
        <f t="shared" si="1"/>
        <v>241015007</v>
      </c>
      <c r="I104">
        <v>5007</v>
      </c>
      <c r="J104">
        <v>2</v>
      </c>
      <c r="K104" t="s">
        <v>388</v>
      </c>
      <c r="L104">
        <v>75000</v>
      </c>
      <c r="M104" t="s">
        <v>355</v>
      </c>
      <c r="N104">
        <v>9</v>
      </c>
      <c r="O104">
        <v>507</v>
      </c>
      <c r="P104">
        <v>5</v>
      </c>
      <c r="Q104">
        <v>7</v>
      </c>
      <c r="R104">
        <v>65</v>
      </c>
      <c r="S104">
        <v>19.899999999999999</v>
      </c>
      <c r="T104">
        <v>378</v>
      </c>
      <c r="U104">
        <v>486</v>
      </c>
      <c r="V104" s="1">
        <v>45488</v>
      </c>
      <c r="W104" s="1">
        <v>45522</v>
      </c>
      <c r="X104">
        <v>115916</v>
      </c>
      <c r="Y104">
        <v>0.78342246000000004</v>
      </c>
      <c r="Z104">
        <v>637.28487870000004</v>
      </c>
      <c r="AA104">
        <f>1-((0.95-Y104)*0.5)</f>
        <v>0.91671122999999999</v>
      </c>
      <c r="AB104">
        <f>U104/AA104</f>
        <v>530.156044886676</v>
      </c>
      <c r="AC104" cm="1">
        <f t="array" ref="AC104">_xlfn.IFS(Y104&lt;0.6,U104,0.9&lt;Y104,U104,Y104,AB104)</f>
        <v>530.156044886676</v>
      </c>
      <c r="AD104">
        <v>0.92419786100000001</v>
      </c>
      <c r="AE104">
        <v>596.68484460000002</v>
      </c>
      <c r="AF104">
        <v>596.68484460000002</v>
      </c>
      <c r="AH104">
        <v>0</v>
      </c>
      <c r="AI104">
        <v>95</v>
      </c>
    </row>
    <row r="105" spans="1:35" x14ac:dyDescent="0.25">
      <c r="A105" t="s">
        <v>330</v>
      </c>
      <c r="B105" t="s">
        <v>456</v>
      </c>
      <c r="D105" t="s">
        <v>332</v>
      </c>
      <c r="E105">
        <v>116</v>
      </c>
      <c r="H105">
        <f t="shared" si="1"/>
        <v>241015008</v>
      </c>
      <c r="I105">
        <v>5008</v>
      </c>
      <c r="J105">
        <v>2</v>
      </c>
      <c r="K105" t="s">
        <v>388</v>
      </c>
      <c r="L105">
        <v>150000</v>
      </c>
      <c r="M105" t="s">
        <v>336</v>
      </c>
      <c r="N105">
        <v>34</v>
      </c>
      <c r="O105">
        <v>508</v>
      </c>
      <c r="P105">
        <v>5</v>
      </c>
      <c r="Q105">
        <v>8</v>
      </c>
      <c r="R105">
        <v>70</v>
      </c>
      <c r="S105">
        <v>22.8</v>
      </c>
      <c r="T105">
        <v>873</v>
      </c>
      <c r="U105">
        <v>1081</v>
      </c>
      <c r="V105" s="1">
        <v>45498</v>
      </c>
      <c r="X105">
        <v>110257</v>
      </c>
      <c r="Y105">
        <v>0.85790884700000003</v>
      </c>
      <c r="Z105">
        <v>1490.263657</v>
      </c>
      <c r="AA105">
        <f>1-((0.95-Y105)*0.5)</f>
        <v>0.95395442350000004</v>
      </c>
      <c r="AB105">
        <f>U105/AA105</f>
        <v>1133.1778262884693</v>
      </c>
      <c r="AC105" cm="1">
        <f t="array" ref="AC105">_xlfn.IFS(Y105&lt;0.6,U105,0.9&lt;Y105,U105,Y105,AB105)</f>
        <v>1133.1778262884693</v>
      </c>
      <c r="AD105">
        <v>0.95026809599999995</v>
      </c>
      <c r="AE105">
        <v>1318.639375</v>
      </c>
      <c r="AF105">
        <v>1318.639375</v>
      </c>
      <c r="AH105">
        <v>0</v>
      </c>
      <c r="AI105">
        <v>116</v>
      </c>
    </row>
    <row r="106" spans="1:35" x14ac:dyDescent="0.25">
      <c r="A106" t="s">
        <v>330</v>
      </c>
      <c r="B106" t="s">
        <v>465</v>
      </c>
      <c r="D106" t="s">
        <v>332</v>
      </c>
      <c r="E106">
        <v>125</v>
      </c>
      <c r="H106">
        <f t="shared" si="1"/>
        <v>241015009</v>
      </c>
      <c r="I106">
        <v>5009</v>
      </c>
      <c r="J106">
        <v>2</v>
      </c>
      <c r="K106" t="s">
        <v>388</v>
      </c>
      <c r="L106">
        <v>100000</v>
      </c>
      <c r="M106" t="s">
        <v>295</v>
      </c>
      <c r="N106">
        <v>26</v>
      </c>
      <c r="O106">
        <v>509</v>
      </c>
      <c r="P106">
        <v>5</v>
      </c>
      <c r="Q106">
        <v>9</v>
      </c>
      <c r="R106">
        <v>60</v>
      </c>
      <c r="S106">
        <v>20.8</v>
      </c>
      <c r="T106">
        <v>672</v>
      </c>
      <c r="U106">
        <v>854</v>
      </c>
      <c r="V106" s="1">
        <v>45492</v>
      </c>
      <c r="W106" s="1">
        <v>45523</v>
      </c>
      <c r="X106">
        <v>130871</v>
      </c>
      <c r="Y106">
        <v>0.92576028600000004</v>
      </c>
      <c r="Z106">
        <v>991.8840232</v>
      </c>
      <c r="AA106">
        <f>1-((0.95-Y106)*0.5)</f>
        <v>0.98788014300000004</v>
      </c>
      <c r="AB106">
        <f>U106/AA106</f>
        <v>864.47734176189419</v>
      </c>
      <c r="AC106" cm="1">
        <f t="array" ref="AC106">_xlfn.IFS(Y106&lt;0.6,U106,0.9&lt;Y106,U106,Y106,AB106)</f>
        <v>854</v>
      </c>
      <c r="AD106">
        <v>0.97401610000000005</v>
      </c>
      <c r="AE106">
        <v>942.2761845</v>
      </c>
      <c r="AF106">
        <v>854</v>
      </c>
      <c r="AH106">
        <v>0</v>
      </c>
      <c r="AI106">
        <v>125</v>
      </c>
    </row>
    <row r="107" spans="1:35" x14ac:dyDescent="0.25">
      <c r="A107" t="s">
        <v>330</v>
      </c>
      <c r="B107" t="s">
        <v>486</v>
      </c>
      <c r="D107" t="s">
        <v>332</v>
      </c>
      <c r="E107">
        <v>146</v>
      </c>
      <c r="H107">
        <f t="shared" si="1"/>
        <v>241015010</v>
      </c>
      <c r="I107">
        <v>5010</v>
      </c>
      <c r="J107">
        <v>2</v>
      </c>
      <c r="K107" t="s">
        <v>333</v>
      </c>
      <c r="L107">
        <v>100000</v>
      </c>
      <c r="M107" t="s">
        <v>355</v>
      </c>
      <c r="N107">
        <v>69</v>
      </c>
      <c r="O107">
        <v>510</v>
      </c>
      <c r="P107">
        <v>5</v>
      </c>
      <c r="Q107">
        <v>10</v>
      </c>
      <c r="R107">
        <v>62</v>
      </c>
      <c r="S107">
        <v>20.5</v>
      </c>
      <c r="T107">
        <v>538</v>
      </c>
      <c r="U107">
        <v>686</v>
      </c>
      <c r="V107" s="1">
        <v>45489</v>
      </c>
      <c r="W107" s="1">
        <v>45523</v>
      </c>
      <c r="X107">
        <v>151811</v>
      </c>
      <c r="Y107">
        <v>0.99875000800000002</v>
      </c>
      <c r="Z107">
        <v>686.85856760000001</v>
      </c>
      <c r="AA107">
        <f>1-((0.95-Y107)*0.5)</f>
        <v>1.0243750039999999</v>
      </c>
      <c r="AB107">
        <f>U107/AA107</f>
        <v>669.67662947777285</v>
      </c>
      <c r="AC107" cm="1">
        <f t="array" ref="AC107">_xlfn.IFS(Y107&lt;0.6,U107,0.9&lt;Y107,U107,Y107,AB107)</f>
        <v>686</v>
      </c>
      <c r="AD107">
        <v>0.99956250300000005</v>
      </c>
      <c r="AE107">
        <v>686.72945760000005</v>
      </c>
      <c r="AF107">
        <v>686</v>
      </c>
      <c r="AH107">
        <v>0</v>
      </c>
      <c r="AI107">
        <v>146</v>
      </c>
    </row>
    <row r="108" spans="1:35" x14ac:dyDescent="0.25">
      <c r="A108" t="s">
        <v>330</v>
      </c>
      <c r="B108" t="s">
        <v>495</v>
      </c>
      <c r="D108" t="s">
        <v>332</v>
      </c>
      <c r="E108">
        <v>155</v>
      </c>
      <c r="H108">
        <f t="shared" si="1"/>
        <v>241015011</v>
      </c>
      <c r="I108">
        <v>5011</v>
      </c>
      <c r="J108">
        <v>2</v>
      </c>
      <c r="K108" t="s">
        <v>333</v>
      </c>
      <c r="L108">
        <v>75000</v>
      </c>
      <c r="M108" t="s">
        <v>283</v>
      </c>
      <c r="N108">
        <v>47</v>
      </c>
      <c r="O108">
        <v>511</v>
      </c>
      <c r="P108">
        <v>5</v>
      </c>
      <c r="Q108">
        <v>11</v>
      </c>
      <c r="R108">
        <v>37</v>
      </c>
      <c r="S108">
        <v>19.7</v>
      </c>
      <c r="T108">
        <v>1726</v>
      </c>
      <c r="U108">
        <v>2224</v>
      </c>
      <c r="V108" s="1">
        <v>45496</v>
      </c>
      <c r="W108" s="1">
        <v>45536</v>
      </c>
      <c r="X108">
        <v>151265</v>
      </c>
      <c r="Y108">
        <v>0.99518411500000004</v>
      </c>
      <c r="Z108">
        <v>2234.7623570000001</v>
      </c>
      <c r="AA108">
        <f>1-((0.95-Y108)*0.5)</f>
        <v>1.0225920575</v>
      </c>
      <c r="AB108">
        <f>U108/AA108</f>
        <v>2174.8653176880362</v>
      </c>
      <c r="AC108" cm="1">
        <f t="array" ref="AC108">_xlfn.IFS(Y108&lt;0.6,U108,0.9&lt;Y108,U108,Y108,AB108)</f>
        <v>2224</v>
      </c>
      <c r="AD108">
        <v>0.99831444000000003</v>
      </c>
      <c r="AE108">
        <v>2233.1322679999998</v>
      </c>
      <c r="AF108">
        <v>2224</v>
      </c>
      <c r="AH108">
        <v>0</v>
      </c>
      <c r="AI108">
        <v>155</v>
      </c>
    </row>
    <row r="109" spans="1:35" x14ac:dyDescent="0.25">
      <c r="A109" t="s">
        <v>330</v>
      </c>
      <c r="B109" t="s">
        <v>516</v>
      </c>
      <c r="D109" t="s">
        <v>332</v>
      </c>
      <c r="E109">
        <v>176</v>
      </c>
      <c r="H109">
        <f t="shared" si="1"/>
        <v>241015012</v>
      </c>
      <c r="I109">
        <v>5012</v>
      </c>
      <c r="J109">
        <v>2</v>
      </c>
      <c r="K109" t="s">
        <v>333</v>
      </c>
      <c r="L109">
        <v>150000</v>
      </c>
      <c r="M109" t="s">
        <v>295</v>
      </c>
      <c r="N109">
        <v>86</v>
      </c>
      <c r="O109">
        <v>512</v>
      </c>
      <c r="P109">
        <v>5</v>
      </c>
      <c r="Q109">
        <v>12</v>
      </c>
      <c r="R109">
        <v>58</v>
      </c>
      <c r="S109">
        <v>20</v>
      </c>
      <c r="T109">
        <v>867</v>
      </c>
      <c r="U109">
        <v>1113</v>
      </c>
      <c r="V109" s="1">
        <v>45491</v>
      </c>
      <c r="W109" s="1">
        <v>45525</v>
      </c>
      <c r="X109">
        <v>148921</v>
      </c>
      <c r="Y109">
        <v>0.979743421</v>
      </c>
      <c r="Z109">
        <v>1136.0117110000001</v>
      </c>
      <c r="AA109">
        <f>1-((0.95-Y109)*0.5)</f>
        <v>1.0148717105</v>
      </c>
      <c r="AB109">
        <f>U109/AA109</f>
        <v>1096.690338773612</v>
      </c>
      <c r="AC109" cm="1">
        <f t="array" ref="AC109">_xlfn.IFS(Y109&lt;0.6,U109,0.9&lt;Y109,U109,Y109,AB109)</f>
        <v>1113</v>
      </c>
      <c r="AD109">
        <v>0.99291019700000005</v>
      </c>
      <c r="AE109">
        <v>1132.416739</v>
      </c>
      <c r="AF109">
        <v>1113</v>
      </c>
      <c r="AH109">
        <v>0</v>
      </c>
      <c r="AI109">
        <v>176</v>
      </c>
    </row>
    <row r="110" spans="1:35" x14ac:dyDescent="0.25">
      <c r="A110" t="s">
        <v>330</v>
      </c>
      <c r="B110" t="s">
        <v>525</v>
      </c>
      <c r="D110" t="s">
        <v>332</v>
      </c>
      <c r="E110">
        <v>185</v>
      </c>
      <c r="H110">
        <f t="shared" si="1"/>
        <v>241015013</v>
      </c>
      <c r="I110">
        <v>5013</v>
      </c>
      <c r="J110">
        <v>3</v>
      </c>
      <c r="K110" t="s">
        <v>388</v>
      </c>
      <c r="L110">
        <v>150000</v>
      </c>
      <c r="M110" t="s">
        <v>355</v>
      </c>
      <c r="N110">
        <v>39</v>
      </c>
      <c r="O110">
        <v>513</v>
      </c>
      <c r="P110">
        <v>5</v>
      </c>
      <c r="Q110">
        <v>13</v>
      </c>
      <c r="R110">
        <v>62</v>
      </c>
      <c r="S110">
        <v>18.100000000000001</v>
      </c>
      <c r="T110">
        <v>441</v>
      </c>
      <c r="U110">
        <v>580</v>
      </c>
      <c r="V110" s="1">
        <v>45490</v>
      </c>
      <c r="W110" s="1">
        <v>45524</v>
      </c>
      <c r="X110">
        <v>126287</v>
      </c>
      <c r="Y110">
        <v>0.96969696999999999</v>
      </c>
      <c r="Z110">
        <v>698.1016257</v>
      </c>
      <c r="AA110">
        <f>1-((0.95-Y110)*0.5)</f>
        <v>1.009848485</v>
      </c>
      <c r="AB110">
        <f>U110/AA110</f>
        <v>574.34358581030108</v>
      </c>
      <c r="AC110" cm="1">
        <f t="array" ref="AC110">_xlfn.IFS(Y110&lt;0.6,U110,0.9&lt;Y110,U110,Y110,AB110)</f>
        <v>580</v>
      </c>
      <c r="AD110">
        <v>0.98939394000000003</v>
      </c>
      <c r="AE110">
        <v>640.38626060000001</v>
      </c>
      <c r="AF110">
        <v>580</v>
      </c>
      <c r="AH110">
        <v>0</v>
      </c>
      <c r="AI110">
        <v>185</v>
      </c>
    </row>
    <row r="111" spans="1:35" x14ac:dyDescent="0.25">
      <c r="A111" t="s">
        <v>330</v>
      </c>
      <c r="B111" t="s">
        <v>546</v>
      </c>
      <c r="D111" t="s">
        <v>332</v>
      </c>
      <c r="E111">
        <v>206</v>
      </c>
      <c r="H111">
        <f t="shared" si="1"/>
        <v>241015014</v>
      </c>
      <c r="I111">
        <v>5014</v>
      </c>
      <c r="J111">
        <v>3</v>
      </c>
      <c r="K111" t="s">
        <v>388</v>
      </c>
      <c r="L111">
        <v>75000</v>
      </c>
      <c r="M111" t="s">
        <v>295</v>
      </c>
      <c r="N111">
        <v>11</v>
      </c>
      <c r="O111">
        <v>514</v>
      </c>
      <c r="P111">
        <v>5</v>
      </c>
      <c r="Q111">
        <v>14</v>
      </c>
      <c r="R111">
        <v>60</v>
      </c>
      <c r="S111">
        <v>19</v>
      </c>
      <c r="T111">
        <v>482</v>
      </c>
      <c r="U111">
        <v>626</v>
      </c>
      <c r="V111" s="1">
        <v>45488</v>
      </c>
      <c r="W111" s="1">
        <v>45525</v>
      </c>
      <c r="X111">
        <v>89469</v>
      </c>
      <c r="Y111">
        <v>0.69313113299999995</v>
      </c>
      <c r="Z111">
        <v>1063.5192079999999</v>
      </c>
      <c r="AA111">
        <f>1-((0.95-Y111)*0.5)</f>
        <v>0.87156556649999994</v>
      </c>
      <c r="AB111">
        <f>U111/AA111</f>
        <v>718.24774183526677</v>
      </c>
      <c r="AC111" cm="1">
        <f t="array" ref="AC111">_xlfn.IFS(Y111&lt;0.6,U111,0.9&lt;Y111,U111,Y111,AB111)</f>
        <v>718.24774183526677</v>
      </c>
      <c r="AD111">
        <v>0.89259589699999997</v>
      </c>
      <c r="AE111">
        <v>882.9409253</v>
      </c>
      <c r="AF111">
        <v>882.9409253</v>
      </c>
      <c r="AH111">
        <v>0</v>
      </c>
      <c r="AI111">
        <v>206</v>
      </c>
    </row>
    <row r="112" spans="1:35" x14ac:dyDescent="0.25">
      <c r="A112" t="s">
        <v>330</v>
      </c>
      <c r="B112" t="s">
        <v>555</v>
      </c>
      <c r="D112" t="s">
        <v>332</v>
      </c>
      <c r="E112">
        <v>215</v>
      </c>
      <c r="H112">
        <f t="shared" si="1"/>
        <v>241015015</v>
      </c>
      <c r="I112">
        <v>5015</v>
      </c>
      <c r="J112">
        <v>3</v>
      </c>
      <c r="K112" t="s">
        <v>388</v>
      </c>
      <c r="L112">
        <v>100000</v>
      </c>
      <c r="M112" t="s">
        <v>279</v>
      </c>
      <c r="N112">
        <v>30</v>
      </c>
      <c r="O112">
        <v>515</v>
      </c>
      <c r="P112">
        <v>5</v>
      </c>
      <c r="Q112">
        <v>15</v>
      </c>
      <c r="R112">
        <v>26</v>
      </c>
      <c r="S112">
        <v>19</v>
      </c>
      <c r="T112">
        <v>1395</v>
      </c>
      <c r="U112">
        <v>1813</v>
      </c>
      <c r="V112" s="1">
        <v>45497</v>
      </c>
      <c r="W112" s="1">
        <v>45534</v>
      </c>
      <c r="X112">
        <v>111164</v>
      </c>
      <c r="Y112">
        <v>0.84539767600000004</v>
      </c>
      <c r="Z112">
        <v>2478.971376</v>
      </c>
      <c r="AA112">
        <f>1-((0.95-Y112)*0.5)</f>
        <v>0.94769883799999999</v>
      </c>
      <c r="AB112">
        <f>U112/AA112</f>
        <v>1913.0549994406556</v>
      </c>
      <c r="AC112" cm="1">
        <f t="array" ref="AC112">_xlfn.IFS(Y112&lt;0.6,U112,0.9&lt;Y112,U112,Y112,AB112)</f>
        <v>1913.0549994406556</v>
      </c>
      <c r="AD112">
        <v>0.94588918700000002</v>
      </c>
      <c r="AE112">
        <v>2214.1255030000002</v>
      </c>
      <c r="AF112">
        <v>2214.1255030000002</v>
      </c>
      <c r="AH112">
        <v>0</v>
      </c>
      <c r="AI112">
        <v>215</v>
      </c>
    </row>
    <row r="113" spans="1:35" x14ac:dyDescent="0.25">
      <c r="A113" t="s">
        <v>330</v>
      </c>
      <c r="B113" t="s">
        <v>576</v>
      </c>
      <c r="D113" t="s">
        <v>332</v>
      </c>
      <c r="E113">
        <v>236</v>
      </c>
      <c r="H113">
        <f t="shared" si="1"/>
        <v>241015016</v>
      </c>
      <c r="I113">
        <v>5016</v>
      </c>
      <c r="J113">
        <v>3</v>
      </c>
      <c r="K113" t="s">
        <v>333</v>
      </c>
      <c r="L113">
        <v>100000</v>
      </c>
      <c r="M113" t="s">
        <v>334</v>
      </c>
      <c r="N113">
        <v>68</v>
      </c>
      <c r="O113">
        <v>516</v>
      </c>
      <c r="P113">
        <v>5</v>
      </c>
      <c r="Q113">
        <v>16</v>
      </c>
      <c r="V113" s="1">
        <v>45497</v>
      </c>
      <c r="W113" s="1">
        <v>45534</v>
      </c>
      <c r="X113">
        <v>140570</v>
      </c>
      <c r="Y113">
        <v>0.92480263200000001</v>
      </c>
      <c r="AA113">
        <f>1-((0.95-Y113)*0.5)</f>
        <v>0.98740131600000003</v>
      </c>
      <c r="AH113">
        <v>0</v>
      </c>
      <c r="AI113">
        <v>236</v>
      </c>
    </row>
    <row r="114" spans="1:35" x14ac:dyDescent="0.25">
      <c r="A114" t="s">
        <v>330</v>
      </c>
      <c r="B114" t="s">
        <v>585</v>
      </c>
      <c r="D114" t="s">
        <v>332</v>
      </c>
      <c r="E114">
        <v>245</v>
      </c>
      <c r="H114">
        <f t="shared" si="1"/>
        <v>241015017</v>
      </c>
      <c r="I114">
        <v>5017</v>
      </c>
      <c r="J114">
        <v>3</v>
      </c>
      <c r="K114" t="s">
        <v>333</v>
      </c>
      <c r="L114">
        <v>150000</v>
      </c>
      <c r="M114" t="s">
        <v>341</v>
      </c>
      <c r="N114">
        <v>80</v>
      </c>
      <c r="O114">
        <v>517</v>
      </c>
      <c r="P114">
        <v>5</v>
      </c>
      <c r="Q114">
        <v>17</v>
      </c>
      <c r="R114">
        <v>48</v>
      </c>
      <c r="S114">
        <v>17.899999999999999</v>
      </c>
      <c r="T114">
        <v>1973</v>
      </c>
      <c r="U114">
        <v>2599</v>
      </c>
      <c r="V114" s="1">
        <v>45494</v>
      </c>
      <c r="W114" s="1">
        <v>45527</v>
      </c>
      <c r="X114">
        <v>151532</v>
      </c>
      <c r="Y114">
        <v>0.99690793499999997</v>
      </c>
      <c r="Z114">
        <v>2607.0612019999999</v>
      </c>
      <c r="AA114">
        <f>1-((0.95-Y114)*0.5)</f>
        <v>1.0234539675000001</v>
      </c>
      <c r="AB114">
        <f>U114/AA114</f>
        <v>2539.44005547079</v>
      </c>
      <c r="AC114" cm="1">
        <f t="array" ref="AC114">_xlfn.IFS(Y114&lt;0.6,U114,0.9&lt;Y114,U114,Y114,AB114)</f>
        <v>2599</v>
      </c>
      <c r="AD114">
        <v>0.99891777699999995</v>
      </c>
      <c r="AE114">
        <v>2605.8444639999998</v>
      </c>
      <c r="AF114">
        <v>2599</v>
      </c>
      <c r="AH114">
        <v>0</v>
      </c>
      <c r="AI114">
        <v>245</v>
      </c>
    </row>
    <row r="115" spans="1:35" x14ac:dyDescent="0.25">
      <c r="A115" t="s">
        <v>330</v>
      </c>
      <c r="B115" t="s">
        <v>606</v>
      </c>
      <c r="D115" t="s">
        <v>332</v>
      </c>
      <c r="E115">
        <v>266</v>
      </c>
      <c r="H115">
        <f t="shared" si="1"/>
        <v>241015018</v>
      </c>
      <c r="I115">
        <v>5018</v>
      </c>
      <c r="J115">
        <v>3</v>
      </c>
      <c r="K115" t="s">
        <v>333</v>
      </c>
      <c r="L115">
        <v>75000</v>
      </c>
      <c r="M115" t="s">
        <v>279</v>
      </c>
      <c r="N115">
        <v>60</v>
      </c>
      <c r="O115">
        <v>518</v>
      </c>
      <c r="P115">
        <v>5</v>
      </c>
      <c r="Q115">
        <v>18</v>
      </c>
      <c r="R115">
        <v>27</v>
      </c>
      <c r="S115">
        <v>18.600000000000001</v>
      </c>
      <c r="T115">
        <v>1694</v>
      </c>
      <c r="U115">
        <v>2213</v>
      </c>
      <c r="V115" s="1">
        <v>45494</v>
      </c>
      <c r="W115" s="1">
        <v>45530</v>
      </c>
      <c r="X115">
        <v>127655</v>
      </c>
      <c r="Y115">
        <v>0.83984105200000003</v>
      </c>
      <c r="Z115">
        <v>2635.0224199999998</v>
      </c>
      <c r="AA115">
        <f>1-((0.95-Y115)*0.5)</f>
        <v>0.94492052599999998</v>
      </c>
      <c r="AB115">
        <f>U115/AA115</f>
        <v>2341.9959024151835</v>
      </c>
      <c r="AC115" cm="1">
        <f t="array" ref="AC115">_xlfn.IFS(Y115&lt;0.6,U115,0.9&lt;Y115,U115,Y115,AB115)</f>
        <v>2341.9959024151835</v>
      </c>
      <c r="AD115">
        <v>0.94394436800000003</v>
      </c>
      <c r="AE115">
        <v>2548.5003940000001</v>
      </c>
      <c r="AF115">
        <v>2548.5003940000001</v>
      </c>
      <c r="AH115">
        <v>0</v>
      </c>
      <c r="AI115">
        <v>266</v>
      </c>
    </row>
    <row r="116" spans="1:35" x14ac:dyDescent="0.25">
      <c r="A116" t="s">
        <v>330</v>
      </c>
      <c r="B116" t="s">
        <v>615</v>
      </c>
      <c r="D116" t="s">
        <v>332</v>
      </c>
      <c r="E116">
        <v>275</v>
      </c>
      <c r="H116">
        <f t="shared" si="1"/>
        <v>241015019</v>
      </c>
      <c r="I116">
        <v>5019</v>
      </c>
      <c r="J116">
        <v>4</v>
      </c>
      <c r="K116" t="s">
        <v>388</v>
      </c>
      <c r="L116">
        <v>75000</v>
      </c>
      <c r="M116" t="s">
        <v>298</v>
      </c>
      <c r="N116">
        <v>6</v>
      </c>
      <c r="O116">
        <v>519</v>
      </c>
      <c r="P116">
        <v>5</v>
      </c>
      <c r="Q116">
        <v>19</v>
      </c>
      <c r="R116">
        <v>59</v>
      </c>
      <c r="S116">
        <v>18.8</v>
      </c>
      <c r="T116">
        <v>592</v>
      </c>
      <c r="U116">
        <v>771</v>
      </c>
      <c r="V116" s="1">
        <v>45491</v>
      </c>
      <c r="W116" s="1">
        <v>45524</v>
      </c>
      <c r="X116">
        <v>119543</v>
      </c>
      <c r="Y116">
        <v>0.90178571399999996</v>
      </c>
      <c r="Z116">
        <v>980.32698689999995</v>
      </c>
      <c r="AA116">
        <f>1-((0.95-Y116)*0.5)</f>
        <v>0.97589285700000006</v>
      </c>
      <c r="AB116">
        <f>U116/AA116</f>
        <v>790.04574576981452</v>
      </c>
      <c r="AC116" cm="1">
        <f t="array" ref="AC116">_xlfn.IFS(Y116&lt;0.6,U116,0.9&lt;Y116,U116,Y116,AB116)</f>
        <v>771</v>
      </c>
      <c r="AD116">
        <v>0.96562499999999996</v>
      </c>
      <c r="AE116">
        <v>893.88076309999997</v>
      </c>
      <c r="AF116">
        <v>771</v>
      </c>
      <c r="AH116">
        <v>0</v>
      </c>
      <c r="AI116">
        <v>275</v>
      </c>
    </row>
    <row r="117" spans="1:35" x14ac:dyDescent="0.25">
      <c r="A117" t="s">
        <v>330</v>
      </c>
      <c r="B117" t="s">
        <v>635</v>
      </c>
      <c r="D117" t="s">
        <v>332</v>
      </c>
      <c r="E117">
        <v>296</v>
      </c>
      <c r="H117">
        <f t="shared" si="1"/>
        <v>241015020</v>
      </c>
      <c r="I117">
        <v>5020</v>
      </c>
      <c r="J117">
        <v>4</v>
      </c>
      <c r="K117" t="s">
        <v>388</v>
      </c>
      <c r="L117">
        <v>100000</v>
      </c>
      <c r="M117" t="s">
        <v>283</v>
      </c>
      <c r="N117">
        <v>17</v>
      </c>
      <c r="O117">
        <v>520</v>
      </c>
      <c r="P117">
        <v>5</v>
      </c>
      <c r="Q117">
        <v>20</v>
      </c>
      <c r="R117">
        <v>26</v>
      </c>
      <c r="S117">
        <v>18</v>
      </c>
      <c r="T117">
        <v>1756</v>
      </c>
      <c r="U117">
        <v>2311</v>
      </c>
      <c r="V117" s="1">
        <v>45498</v>
      </c>
      <c r="W117" s="1">
        <v>45535</v>
      </c>
      <c r="X117">
        <v>125535</v>
      </c>
      <c r="Y117">
        <v>0.936436885</v>
      </c>
      <c r="Z117">
        <v>2798.2181139999998</v>
      </c>
      <c r="AA117">
        <f>1-((0.95-Y117)*0.5)</f>
        <v>0.99321844250000002</v>
      </c>
      <c r="AB117">
        <f>U117/AA117</f>
        <v>2326.7791868453951</v>
      </c>
      <c r="AC117" cm="1">
        <f t="array" ref="AC117">_xlfn.IFS(Y117&lt;0.6,U117,0.9&lt;Y117,U117,Y117,AB117)</f>
        <v>2311</v>
      </c>
      <c r="AD117">
        <v>0.97775290999999998</v>
      </c>
      <c r="AE117">
        <v>2588.975524</v>
      </c>
      <c r="AF117">
        <v>2311</v>
      </c>
      <c r="AH117">
        <v>0</v>
      </c>
      <c r="AI117">
        <v>296</v>
      </c>
    </row>
    <row r="118" spans="1:35" x14ac:dyDescent="0.25">
      <c r="A118" t="s">
        <v>330</v>
      </c>
      <c r="B118" t="s">
        <v>644</v>
      </c>
      <c r="D118" t="s">
        <v>332</v>
      </c>
      <c r="E118">
        <v>305</v>
      </c>
      <c r="H118">
        <f t="shared" si="1"/>
        <v>241015021</v>
      </c>
      <c r="I118">
        <v>5021</v>
      </c>
      <c r="J118">
        <v>4</v>
      </c>
      <c r="K118" t="s">
        <v>388</v>
      </c>
      <c r="L118">
        <v>150000</v>
      </c>
      <c r="M118" t="s">
        <v>353</v>
      </c>
      <c r="N118">
        <v>37</v>
      </c>
      <c r="O118">
        <v>521</v>
      </c>
      <c r="P118">
        <v>5</v>
      </c>
      <c r="Q118">
        <v>21</v>
      </c>
      <c r="R118">
        <v>40</v>
      </c>
      <c r="S118">
        <v>18.399999999999999</v>
      </c>
      <c r="T118">
        <v>1332</v>
      </c>
      <c r="U118">
        <v>1744</v>
      </c>
      <c r="V118" s="1">
        <v>45499</v>
      </c>
      <c r="W118" s="1">
        <v>45535</v>
      </c>
      <c r="X118">
        <v>123300</v>
      </c>
      <c r="Y118">
        <v>0.84861976800000005</v>
      </c>
      <c r="Z118">
        <v>2149.9573719999999</v>
      </c>
      <c r="AA118">
        <f>1-((0.95-Y118)*0.5)</f>
        <v>0.94930988400000005</v>
      </c>
      <c r="AB118">
        <f>U118/AA118</f>
        <v>1837.1240301970772</v>
      </c>
      <c r="AC118" cm="1">
        <f t="array" ref="AC118">_xlfn.IFS(Y118&lt;0.6,U118,0.9&lt;Y118,U118,Y118,AB118)</f>
        <v>1837.1240301970772</v>
      </c>
      <c r="AD118">
        <v>0.94701691899999996</v>
      </c>
      <c r="AE118">
        <v>2033.5618910000001</v>
      </c>
      <c r="AF118">
        <v>2033.5618910000001</v>
      </c>
      <c r="AH118">
        <v>0</v>
      </c>
      <c r="AI118">
        <v>305</v>
      </c>
    </row>
    <row r="119" spans="1:35" x14ac:dyDescent="0.25">
      <c r="A119" t="s">
        <v>330</v>
      </c>
      <c r="B119" t="s">
        <v>664</v>
      </c>
      <c r="D119" t="s">
        <v>332</v>
      </c>
      <c r="E119">
        <v>326</v>
      </c>
      <c r="H119">
        <f t="shared" si="1"/>
        <v>241015022</v>
      </c>
      <c r="I119">
        <v>5022</v>
      </c>
      <c r="J119">
        <v>4</v>
      </c>
      <c r="K119" t="s">
        <v>333</v>
      </c>
      <c r="L119">
        <v>150000</v>
      </c>
      <c r="M119" t="s">
        <v>279</v>
      </c>
      <c r="N119">
        <v>90</v>
      </c>
      <c r="O119">
        <v>522</v>
      </c>
      <c r="P119">
        <v>5</v>
      </c>
      <c r="Q119">
        <v>22</v>
      </c>
      <c r="R119">
        <v>24</v>
      </c>
      <c r="S119">
        <v>19.3</v>
      </c>
      <c r="T119">
        <v>1872</v>
      </c>
      <c r="U119">
        <v>2424</v>
      </c>
      <c r="V119" s="1">
        <v>45498</v>
      </c>
      <c r="W119" s="1">
        <v>45528</v>
      </c>
      <c r="X119">
        <v>146106</v>
      </c>
      <c r="Y119">
        <v>0.96123633200000003</v>
      </c>
      <c r="Z119">
        <v>2521.7523719999999</v>
      </c>
      <c r="AA119">
        <f>1-((0.95-Y119)*0.5)</f>
        <v>1.0056181660000001</v>
      </c>
      <c r="AB119">
        <f>U119/AA119</f>
        <v>2410.4576487931104</v>
      </c>
      <c r="AC119" cm="1">
        <f t="array" ref="AC119">_xlfn.IFS(Y119&lt;0.6,U119,0.9&lt;Y119,U119,Y119,AB119)</f>
        <v>2424</v>
      </c>
      <c r="AD119">
        <v>0.98643271600000004</v>
      </c>
      <c r="AE119">
        <v>2505.9085239999999</v>
      </c>
      <c r="AF119">
        <v>2424</v>
      </c>
      <c r="AH119">
        <v>0</v>
      </c>
      <c r="AI119">
        <v>326</v>
      </c>
    </row>
    <row r="120" spans="1:35" x14ac:dyDescent="0.25">
      <c r="A120" t="s">
        <v>330</v>
      </c>
      <c r="B120" t="s">
        <v>673</v>
      </c>
      <c r="D120" t="s">
        <v>332</v>
      </c>
      <c r="E120">
        <v>335</v>
      </c>
      <c r="H120">
        <f t="shared" si="1"/>
        <v>241015023</v>
      </c>
      <c r="I120">
        <v>5023</v>
      </c>
      <c r="J120">
        <v>4</v>
      </c>
      <c r="K120" t="s">
        <v>333</v>
      </c>
      <c r="L120">
        <v>100000</v>
      </c>
      <c r="M120" t="s">
        <v>343</v>
      </c>
      <c r="N120">
        <v>61</v>
      </c>
      <c r="O120">
        <v>523</v>
      </c>
      <c r="P120">
        <v>5</v>
      </c>
      <c r="Q120">
        <v>23</v>
      </c>
      <c r="R120">
        <v>31</v>
      </c>
      <c r="S120">
        <v>24.1</v>
      </c>
      <c r="T120">
        <v>1489</v>
      </c>
      <c r="U120">
        <v>1813</v>
      </c>
      <c r="V120" s="1">
        <v>45497</v>
      </c>
      <c r="X120">
        <v>151202</v>
      </c>
      <c r="Y120">
        <v>0.99475000000000002</v>
      </c>
      <c r="Z120">
        <v>1822.568485</v>
      </c>
      <c r="AA120">
        <f>1-((0.95-Y120)*0.5)</f>
        <v>1.022375</v>
      </c>
      <c r="AB120">
        <f>U120/AA120</f>
        <v>1773.3219219953539</v>
      </c>
      <c r="AC120" cm="1">
        <f t="array" ref="AC120">_xlfn.IFS(Y120&lt;0.6,U120,0.9&lt;Y120,U120,Y120,AB120)</f>
        <v>1813</v>
      </c>
      <c r="AD120">
        <v>0.99816249999999995</v>
      </c>
      <c r="AE120">
        <v>1821.1179549999999</v>
      </c>
      <c r="AF120">
        <v>1813</v>
      </c>
      <c r="AH120">
        <v>0</v>
      </c>
      <c r="AI120">
        <v>335</v>
      </c>
    </row>
    <row r="121" spans="1:35" x14ac:dyDescent="0.25">
      <c r="A121" t="s">
        <v>330</v>
      </c>
      <c r="B121" s="2" t="s">
        <v>694</v>
      </c>
      <c r="D121" t="s">
        <v>332</v>
      </c>
      <c r="E121">
        <v>356</v>
      </c>
      <c r="H121">
        <f t="shared" si="1"/>
        <v>241015024</v>
      </c>
      <c r="I121">
        <v>5024</v>
      </c>
      <c r="J121">
        <v>4</v>
      </c>
      <c r="K121" t="s">
        <v>333</v>
      </c>
      <c r="L121">
        <v>75000</v>
      </c>
      <c r="M121" t="s">
        <v>355</v>
      </c>
      <c r="N121">
        <v>54</v>
      </c>
      <c r="O121">
        <v>524</v>
      </c>
      <c r="P121">
        <v>5</v>
      </c>
      <c r="Q121">
        <v>24</v>
      </c>
      <c r="R121">
        <v>58.4</v>
      </c>
      <c r="S121">
        <v>20</v>
      </c>
      <c r="T121">
        <v>57</v>
      </c>
      <c r="U121">
        <v>73</v>
      </c>
      <c r="V121" s="1">
        <v>45493</v>
      </c>
      <c r="W121" s="1">
        <v>45523</v>
      </c>
      <c r="X121">
        <v>150103</v>
      </c>
      <c r="Y121">
        <v>0.98751323999999996</v>
      </c>
      <c r="Z121">
        <v>73.923059499999994</v>
      </c>
      <c r="AA121">
        <f>1-((0.95-Y121)*0.5)</f>
        <v>1.01875662</v>
      </c>
      <c r="AB121">
        <f>U121/AA121</f>
        <v>71.655976085829025</v>
      </c>
      <c r="AC121" cm="1">
        <f t="array" ref="AC121">_xlfn.IFS(Y121&lt;0.6,U121,0.9&lt;Y121,U121,Y121,AB121)</f>
        <v>73</v>
      </c>
      <c r="AD121">
        <v>0.99562963400000004</v>
      </c>
      <c r="AE121">
        <v>73.781080470000006</v>
      </c>
      <c r="AF121">
        <v>73</v>
      </c>
      <c r="AH121">
        <v>0</v>
      </c>
      <c r="AI121">
        <v>356</v>
      </c>
    </row>
    <row r="122" spans="1:35" x14ac:dyDescent="0.25">
      <c r="A122" t="s">
        <v>330</v>
      </c>
      <c r="B122" s="2" t="s">
        <v>342</v>
      </c>
      <c r="D122" t="s">
        <v>332</v>
      </c>
      <c r="E122">
        <v>6</v>
      </c>
      <c r="H122">
        <f t="shared" si="1"/>
        <v>241016001</v>
      </c>
      <c r="I122">
        <v>6001</v>
      </c>
      <c r="J122">
        <v>1</v>
      </c>
      <c r="K122" t="s">
        <v>333</v>
      </c>
      <c r="L122">
        <v>100000</v>
      </c>
      <c r="M122" t="s">
        <v>343</v>
      </c>
      <c r="N122">
        <v>61</v>
      </c>
      <c r="O122">
        <v>601</v>
      </c>
      <c r="P122">
        <v>6</v>
      </c>
      <c r="Q122">
        <v>1</v>
      </c>
      <c r="R122">
        <v>52</v>
      </c>
      <c r="S122">
        <v>25.6</v>
      </c>
      <c r="T122">
        <v>1417</v>
      </c>
      <c r="U122">
        <v>1692</v>
      </c>
      <c r="V122" s="1">
        <v>45493</v>
      </c>
      <c r="W122" s="1">
        <v>45536</v>
      </c>
      <c r="X122">
        <v>129965</v>
      </c>
      <c r="Y122">
        <v>0.85502164400000003</v>
      </c>
      <c r="Z122">
        <v>1978.8972719999999</v>
      </c>
      <c r="AA122">
        <f>1-((0.95-Y122)*0.5)</f>
        <v>0.95251082200000003</v>
      </c>
      <c r="AB122">
        <f>U122/AA122</f>
        <v>1776.3577703477263</v>
      </c>
      <c r="AC122" cm="1">
        <f t="array" ref="AC122">_xlfn.IFS(Y122&lt;0.6,U122,0.9&lt;Y122,U122,Y122,AB122)</f>
        <v>1776.3577703477263</v>
      </c>
      <c r="AD122">
        <v>0.94925757499999996</v>
      </c>
      <c r="AE122">
        <v>1921.7518219999999</v>
      </c>
      <c r="AF122">
        <v>1921.7518219999999</v>
      </c>
      <c r="AH122">
        <v>0</v>
      </c>
      <c r="AI122">
        <v>6</v>
      </c>
    </row>
    <row r="123" spans="1:35" x14ac:dyDescent="0.25">
      <c r="A123" t="s">
        <v>330</v>
      </c>
      <c r="B123" t="s">
        <v>367</v>
      </c>
      <c r="D123" t="s">
        <v>332</v>
      </c>
      <c r="E123">
        <v>25</v>
      </c>
      <c r="H123">
        <f t="shared" si="1"/>
        <v>241016002</v>
      </c>
      <c r="I123">
        <v>6002</v>
      </c>
      <c r="J123">
        <v>1</v>
      </c>
      <c r="K123" t="s">
        <v>333</v>
      </c>
      <c r="L123">
        <v>150000</v>
      </c>
      <c r="M123" t="s">
        <v>341</v>
      </c>
      <c r="N123">
        <v>80</v>
      </c>
      <c r="O123">
        <v>602</v>
      </c>
      <c r="P123">
        <v>6</v>
      </c>
      <c r="Q123">
        <v>2</v>
      </c>
      <c r="R123">
        <v>27</v>
      </c>
      <c r="S123">
        <v>19.399999999999999</v>
      </c>
      <c r="T123">
        <v>2351</v>
      </c>
      <c r="U123">
        <v>3041</v>
      </c>
      <c r="V123" s="1">
        <v>45493</v>
      </c>
      <c r="W123" s="1">
        <v>45531</v>
      </c>
      <c r="X123">
        <v>151962</v>
      </c>
      <c r="Y123">
        <v>0.99976315500000001</v>
      </c>
      <c r="Z123">
        <v>3041.720417</v>
      </c>
      <c r="AA123">
        <f>1-((0.95-Y123)*0.5)</f>
        <v>1.0248815775</v>
      </c>
      <c r="AB123">
        <f>U123/AA123</f>
        <v>2967.1720779857615</v>
      </c>
      <c r="AC123" cm="1">
        <f t="array" ref="AC123">_xlfn.IFS(Y123&lt;0.6,U123,0.9&lt;Y123,U123,Y123,AB123)</f>
        <v>3041</v>
      </c>
      <c r="AD123">
        <v>0.999917104</v>
      </c>
      <c r="AE123">
        <v>3041.612302</v>
      </c>
      <c r="AF123">
        <v>3041</v>
      </c>
      <c r="AH123">
        <v>0</v>
      </c>
      <c r="AI123">
        <v>25</v>
      </c>
    </row>
    <row r="124" spans="1:35" x14ac:dyDescent="0.25">
      <c r="A124" t="s">
        <v>330</v>
      </c>
      <c r="B124" t="s">
        <v>378</v>
      </c>
      <c r="D124" t="s">
        <v>332</v>
      </c>
      <c r="E124">
        <v>36</v>
      </c>
      <c r="H124">
        <f t="shared" si="1"/>
        <v>241016003</v>
      </c>
      <c r="I124">
        <v>6003</v>
      </c>
      <c r="J124">
        <v>1</v>
      </c>
      <c r="K124" t="s">
        <v>333</v>
      </c>
      <c r="L124">
        <v>75000</v>
      </c>
      <c r="M124" t="s">
        <v>298</v>
      </c>
      <c r="N124">
        <v>51</v>
      </c>
      <c r="O124">
        <v>603</v>
      </c>
      <c r="P124">
        <v>6</v>
      </c>
      <c r="Q124">
        <v>3</v>
      </c>
      <c r="R124">
        <v>58</v>
      </c>
      <c r="S124">
        <v>23</v>
      </c>
      <c r="T124">
        <v>828</v>
      </c>
      <c r="U124">
        <v>1023</v>
      </c>
      <c r="V124" s="1">
        <v>45492</v>
      </c>
      <c r="W124" s="1">
        <v>45525</v>
      </c>
      <c r="X124">
        <v>144415</v>
      </c>
      <c r="Y124">
        <v>0.95009868399999997</v>
      </c>
      <c r="Z124">
        <v>1076.7302569999999</v>
      </c>
      <c r="AA124">
        <f>1-((0.95-Y124)*0.5)</f>
        <v>1.0000493420000001</v>
      </c>
      <c r="AB124">
        <f>U124/AA124</f>
        <v>1022.9495256245066</v>
      </c>
      <c r="AC124" cm="1">
        <f t="array" ref="AC124">_xlfn.IFS(Y124&lt;0.6,U124,0.9&lt;Y124,U124,Y124,AB124)</f>
        <v>1023</v>
      </c>
      <c r="AD124">
        <v>0.98253453899999998</v>
      </c>
      <c r="AE124">
        <v>1067.827777</v>
      </c>
      <c r="AF124">
        <v>1023</v>
      </c>
      <c r="AH124">
        <v>0</v>
      </c>
      <c r="AI124">
        <v>36</v>
      </c>
    </row>
    <row r="125" spans="1:35" x14ac:dyDescent="0.25">
      <c r="A125" t="s">
        <v>330</v>
      </c>
      <c r="B125" t="s">
        <v>397</v>
      </c>
      <c r="D125" t="s">
        <v>332</v>
      </c>
      <c r="E125">
        <v>55</v>
      </c>
      <c r="H125">
        <f t="shared" si="1"/>
        <v>241016004</v>
      </c>
      <c r="I125">
        <v>6004</v>
      </c>
      <c r="J125">
        <v>1</v>
      </c>
      <c r="K125" t="s">
        <v>388</v>
      </c>
      <c r="L125">
        <v>150000</v>
      </c>
      <c r="M125" t="s">
        <v>349</v>
      </c>
      <c r="N125">
        <v>43</v>
      </c>
      <c r="O125">
        <v>604</v>
      </c>
      <c r="P125">
        <v>6</v>
      </c>
      <c r="Q125">
        <v>4</v>
      </c>
      <c r="R125">
        <v>25</v>
      </c>
      <c r="S125">
        <v>18.3</v>
      </c>
      <c r="T125">
        <v>1828</v>
      </c>
      <c r="U125">
        <v>2396</v>
      </c>
      <c r="V125" s="1">
        <v>45495</v>
      </c>
      <c r="W125" s="1">
        <v>45534</v>
      </c>
      <c r="X125">
        <v>120972</v>
      </c>
      <c r="Y125">
        <v>0.87745974999999998</v>
      </c>
      <c r="Z125">
        <v>3010.5677019999998</v>
      </c>
      <c r="AA125">
        <f>1-((0.95-Y125)*0.5)</f>
        <v>0.96372987500000007</v>
      </c>
      <c r="AB125">
        <f>U125/AA125</f>
        <v>2486.1738357960521</v>
      </c>
      <c r="AC125" cm="1">
        <f t="array" ref="AC125">_xlfn.IFS(Y125&lt;0.6,U125,0.9&lt;Y125,U125,Y125,AB125)</f>
        <v>2486.1738357960521</v>
      </c>
      <c r="AD125">
        <v>0.95711091299999995</v>
      </c>
      <c r="AE125">
        <v>2787.9263329999999</v>
      </c>
      <c r="AF125">
        <v>2787.9263329999999</v>
      </c>
      <c r="AH125">
        <v>0</v>
      </c>
      <c r="AI125">
        <v>55</v>
      </c>
    </row>
    <row r="126" spans="1:35" x14ac:dyDescent="0.25">
      <c r="A126" t="s">
        <v>330</v>
      </c>
      <c r="B126" t="s">
        <v>408</v>
      </c>
      <c r="D126" t="s">
        <v>332</v>
      </c>
      <c r="E126">
        <v>66</v>
      </c>
      <c r="H126">
        <f t="shared" si="1"/>
        <v>241016005</v>
      </c>
      <c r="I126">
        <v>6005</v>
      </c>
      <c r="J126">
        <v>1</v>
      </c>
      <c r="K126" t="s">
        <v>388</v>
      </c>
      <c r="L126">
        <v>75000</v>
      </c>
      <c r="M126" t="s">
        <v>279</v>
      </c>
      <c r="N126">
        <v>15</v>
      </c>
      <c r="O126">
        <v>605</v>
      </c>
      <c r="P126">
        <v>6</v>
      </c>
      <c r="Q126">
        <v>5</v>
      </c>
      <c r="R126">
        <v>28</v>
      </c>
      <c r="S126">
        <v>21.2</v>
      </c>
      <c r="T126">
        <v>1688</v>
      </c>
      <c r="U126">
        <v>2134</v>
      </c>
      <c r="V126" s="1">
        <v>45494</v>
      </c>
      <c r="W126" s="1">
        <v>45534</v>
      </c>
      <c r="X126">
        <v>113011</v>
      </c>
      <c r="Y126">
        <v>0.78966131900000003</v>
      </c>
      <c r="Z126">
        <v>2870.196105</v>
      </c>
      <c r="AA126">
        <f>1-((0.95-Y126)*0.5)</f>
        <v>0.91983065950000009</v>
      </c>
      <c r="AB126">
        <f>U126/AA126</f>
        <v>2319.9922485297411</v>
      </c>
      <c r="AC126" cm="1">
        <f t="array" ref="AC126">_xlfn.IFS(Y126&lt;0.6,U126,0.9&lt;Y126,U126,Y126,AB126)</f>
        <v>2319.9922485297411</v>
      </c>
      <c r="AD126">
        <v>0.92638146200000004</v>
      </c>
      <c r="AE126">
        <v>2642.4805860000001</v>
      </c>
      <c r="AF126">
        <v>2642.4805860000001</v>
      </c>
      <c r="AH126">
        <v>0</v>
      </c>
      <c r="AI126">
        <v>66</v>
      </c>
    </row>
    <row r="127" spans="1:35" x14ac:dyDescent="0.25">
      <c r="A127" t="s">
        <v>330</v>
      </c>
      <c r="B127" t="s">
        <v>427</v>
      </c>
      <c r="D127" t="s">
        <v>332</v>
      </c>
      <c r="E127">
        <v>85</v>
      </c>
      <c r="H127">
        <f t="shared" si="1"/>
        <v>241016006</v>
      </c>
      <c r="I127">
        <v>6006</v>
      </c>
      <c r="J127">
        <v>1</v>
      </c>
      <c r="K127" t="s">
        <v>388</v>
      </c>
      <c r="L127">
        <v>100000</v>
      </c>
      <c r="M127" t="s">
        <v>351</v>
      </c>
      <c r="N127">
        <v>25</v>
      </c>
      <c r="O127">
        <v>606</v>
      </c>
      <c r="P127">
        <v>6</v>
      </c>
      <c r="Q127">
        <v>6</v>
      </c>
      <c r="R127">
        <v>61</v>
      </c>
      <c r="S127">
        <v>18.600000000000001</v>
      </c>
      <c r="T127">
        <v>827</v>
      </c>
      <c r="U127">
        <v>1080</v>
      </c>
      <c r="V127" s="1">
        <v>45491</v>
      </c>
      <c r="W127" s="1">
        <v>45525</v>
      </c>
      <c r="X127">
        <v>119735</v>
      </c>
      <c r="Y127">
        <v>0.93828264800000005</v>
      </c>
      <c r="Z127">
        <v>1371.0367060000001</v>
      </c>
      <c r="AA127">
        <f>1-((0.95-Y127)*0.5)</f>
        <v>0.9941413240000001</v>
      </c>
      <c r="AB127">
        <f>U127/AA127</f>
        <v>1086.3646585523086</v>
      </c>
      <c r="AC127" cm="1">
        <f t="array" ref="AC127">_xlfn.IFS(Y127&lt;0.6,U127,0.9&lt;Y127,U127,Y127,AB127)</f>
        <v>1080</v>
      </c>
      <c r="AD127">
        <v>0.97839892699999997</v>
      </c>
      <c r="AE127">
        <v>1234.9149560000001</v>
      </c>
      <c r="AF127">
        <v>1080</v>
      </c>
      <c r="AH127">
        <v>0</v>
      </c>
      <c r="AI127">
        <v>85</v>
      </c>
    </row>
    <row r="128" spans="1:35" x14ac:dyDescent="0.25">
      <c r="A128" t="s">
        <v>330</v>
      </c>
      <c r="B128" t="s">
        <v>438</v>
      </c>
      <c r="D128" t="s">
        <v>332</v>
      </c>
      <c r="E128">
        <v>96</v>
      </c>
      <c r="H128">
        <f t="shared" si="1"/>
        <v>241016007</v>
      </c>
      <c r="I128">
        <v>6007</v>
      </c>
      <c r="J128">
        <v>2</v>
      </c>
      <c r="K128" t="s">
        <v>388</v>
      </c>
      <c r="L128">
        <v>75000</v>
      </c>
      <c r="M128" t="s">
        <v>349</v>
      </c>
      <c r="N128">
        <v>13</v>
      </c>
      <c r="O128">
        <v>607</v>
      </c>
      <c r="P128">
        <v>6</v>
      </c>
      <c r="Q128">
        <v>7</v>
      </c>
      <c r="R128">
        <v>27</v>
      </c>
      <c r="S128">
        <v>18.100000000000001</v>
      </c>
      <c r="T128">
        <v>1526</v>
      </c>
      <c r="U128">
        <v>2005</v>
      </c>
      <c r="V128" s="1">
        <v>45497</v>
      </c>
      <c r="W128" s="1">
        <v>45535</v>
      </c>
      <c r="X128">
        <v>88994</v>
      </c>
      <c r="Y128">
        <v>0.57321428600000002</v>
      </c>
      <c r="Z128">
        <v>3424.5230580000002</v>
      </c>
      <c r="AA128">
        <f>1-((0.95-Y128)*0.5)</f>
        <v>0.81160714300000003</v>
      </c>
      <c r="AB128">
        <f>U128/AA128</f>
        <v>2470.407040269235</v>
      </c>
      <c r="AC128" cm="1">
        <f t="array" ref="AC128">_xlfn.IFS(Y128&lt;0.6,U128,0.9&lt;Y128,U128,Y128,AB128)</f>
        <v>2005</v>
      </c>
      <c r="AD128">
        <v>0.85062499999999996</v>
      </c>
      <c r="AE128">
        <v>2973.3404759999999</v>
      </c>
      <c r="AF128">
        <v>2005</v>
      </c>
      <c r="AH128">
        <v>0</v>
      </c>
      <c r="AI128">
        <v>96</v>
      </c>
    </row>
    <row r="129" spans="1:35" x14ac:dyDescent="0.25">
      <c r="A129" t="s">
        <v>330</v>
      </c>
      <c r="B129" s="2" t="s">
        <v>455</v>
      </c>
      <c r="D129" t="s">
        <v>332</v>
      </c>
      <c r="E129">
        <v>115</v>
      </c>
      <c r="H129">
        <f t="shared" si="1"/>
        <v>241016008</v>
      </c>
      <c r="I129">
        <v>6008</v>
      </c>
      <c r="J129">
        <v>2</v>
      </c>
      <c r="K129" t="s">
        <v>388</v>
      </c>
      <c r="L129">
        <v>150000</v>
      </c>
      <c r="M129" t="s">
        <v>349</v>
      </c>
      <c r="N129">
        <v>43</v>
      </c>
      <c r="O129">
        <v>608</v>
      </c>
      <c r="P129">
        <v>6</v>
      </c>
      <c r="Q129">
        <v>8</v>
      </c>
      <c r="R129">
        <v>25</v>
      </c>
      <c r="S129">
        <v>19.7</v>
      </c>
      <c r="T129">
        <v>2088</v>
      </c>
      <c r="U129">
        <v>2690</v>
      </c>
      <c r="V129" s="1">
        <v>45497</v>
      </c>
      <c r="W129" s="1">
        <v>45534</v>
      </c>
      <c r="X129">
        <v>103567</v>
      </c>
      <c r="Y129">
        <v>0.798214286</v>
      </c>
      <c r="Z129">
        <v>3947.9757070000001</v>
      </c>
      <c r="AA129">
        <f>1-((0.95-Y129)*0.5)</f>
        <v>0.92410714300000008</v>
      </c>
      <c r="AB129">
        <f>U129/AA129</f>
        <v>2910.9178739461381</v>
      </c>
      <c r="AC129" cm="1">
        <f t="array" ref="AC129">_xlfn.IFS(Y129&lt;0.6,U129,0.9&lt;Y129,U129,Y129,AB129)</f>
        <v>2910.9178739461381</v>
      </c>
      <c r="AD129">
        <v>0.92937499999999995</v>
      </c>
      <c r="AE129">
        <v>3442.9451399999998</v>
      </c>
      <c r="AF129">
        <v>3442.9451399999998</v>
      </c>
      <c r="AH129">
        <v>0</v>
      </c>
      <c r="AI129">
        <v>115</v>
      </c>
    </row>
    <row r="130" spans="1:35" x14ac:dyDescent="0.25">
      <c r="A130" t="s">
        <v>330</v>
      </c>
      <c r="B130" t="s">
        <v>466</v>
      </c>
      <c r="D130" t="s">
        <v>332</v>
      </c>
      <c r="E130">
        <v>126</v>
      </c>
      <c r="H130">
        <f t="shared" si="1"/>
        <v>241016009</v>
      </c>
      <c r="I130">
        <v>6009</v>
      </c>
      <c r="J130">
        <v>2</v>
      </c>
      <c r="K130" t="s">
        <v>388</v>
      </c>
      <c r="L130">
        <v>100000</v>
      </c>
      <c r="M130" t="s">
        <v>298</v>
      </c>
      <c r="N130">
        <v>21</v>
      </c>
      <c r="O130">
        <v>609</v>
      </c>
      <c r="P130">
        <v>6</v>
      </c>
      <c r="Q130">
        <v>9</v>
      </c>
      <c r="R130">
        <v>53</v>
      </c>
      <c r="S130">
        <v>19.7</v>
      </c>
      <c r="T130">
        <v>845</v>
      </c>
      <c r="U130">
        <v>1089</v>
      </c>
      <c r="V130" s="1">
        <v>45492</v>
      </c>
      <c r="W130" s="1">
        <v>45525</v>
      </c>
      <c r="X130">
        <v>120335</v>
      </c>
      <c r="Y130">
        <v>0.87867974999999998</v>
      </c>
      <c r="Z130">
        <v>1375.541796</v>
      </c>
      <c r="AA130">
        <f>1-((0.95-Y130)*0.5)</f>
        <v>0.96433987500000007</v>
      </c>
      <c r="AB130">
        <f>U130/AA130</f>
        <v>1129.2699060069458</v>
      </c>
      <c r="AC130" cm="1">
        <f t="array" ref="AC130">_xlfn.IFS(Y130&lt;0.6,U130,0.9&lt;Y130,U130,Y130,AB130)</f>
        <v>1129.2699060069458</v>
      </c>
      <c r="AD130">
        <v>0.95753791300000002</v>
      </c>
      <c r="AE130">
        <v>1269.5198620000001</v>
      </c>
      <c r="AF130">
        <v>1269.5198620000001</v>
      </c>
      <c r="AH130">
        <v>0</v>
      </c>
      <c r="AI130">
        <v>126</v>
      </c>
    </row>
    <row r="131" spans="1:35" x14ac:dyDescent="0.25">
      <c r="A131" t="s">
        <v>330</v>
      </c>
      <c r="B131" t="s">
        <v>485</v>
      </c>
      <c r="D131" t="s">
        <v>332</v>
      </c>
      <c r="E131">
        <v>145</v>
      </c>
      <c r="H131">
        <f t="shared" ref="H131:H194" si="2">24101*10000+I131</f>
        <v>241016010</v>
      </c>
      <c r="I131">
        <v>6010</v>
      </c>
      <c r="J131">
        <v>2</v>
      </c>
      <c r="K131" t="s">
        <v>333</v>
      </c>
      <c r="L131">
        <v>100000</v>
      </c>
      <c r="M131" t="s">
        <v>357</v>
      </c>
      <c r="N131">
        <v>63</v>
      </c>
      <c r="O131">
        <v>610</v>
      </c>
      <c r="P131">
        <v>6</v>
      </c>
      <c r="Q131">
        <v>10</v>
      </c>
      <c r="R131">
        <v>37</v>
      </c>
      <c r="S131">
        <v>20.2</v>
      </c>
      <c r="T131">
        <v>2044</v>
      </c>
      <c r="U131">
        <v>2617</v>
      </c>
      <c r="V131" s="1">
        <v>45497</v>
      </c>
      <c r="W131" s="1">
        <v>45532</v>
      </c>
      <c r="X131">
        <v>145550</v>
      </c>
      <c r="Y131">
        <v>0.957565789</v>
      </c>
      <c r="Z131">
        <v>2732.9714869999998</v>
      </c>
      <c r="AA131">
        <f>1-((0.95-Y131)*0.5)</f>
        <v>1.0037828945</v>
      </c>
      <c r="AB131">
        <f>U131/AA131</f>
        <v>2607.1374739889034</v>
      </c>
      <c r="AC131" cm="1">
        <f t="array" ref="AC131">_xlfn.IFS(Y131&lt;0.6,U131,0.9&lt;Y131,U131,Y131,AB131)</f>
        <v>2617</v>
      </c>
      <c r="AD131">
        <v>0.98514802599999995</v>
      </c>
      <c r="AE131">
        <v>2714.037601</v>
      </c>
      <c r="AF131">
        <v>2617</v>
      </c>
      <c r="AH131">
        <v>0</v>
      </c>
      <c r="AI131">
        <v>145</v>
      </c>
    </row>
    <row r="132" spans="1:35" x14ac:dyDescent="0.25">
      <c r="A132" t="s">
        <v>330</v>
      </c>
      <c r="B132" s="2" t="s">
        <v>496</v>
      </c>
      <c r="D132" t="s">
        <v>332</v>
      </c>
      <c r="E132">
        <v>156</v>
      </c>
      <c r="H132">
        <f t="shared" si="2"/>
        <v>241016011</v>
      </c>
      <c r="I132">
        <v>6011</v>
      </c>
      <c r="J132">
        <v>2</v>
      </c>
      <c r="K132" t="s">
        <v>333</v>
      </c>
      <c r="L132">
        <v>75000</v>
      </c>
      <c r="M132" t="s">
        <v>353</v>
      </c>
      <c r="N132">
        <v>52</v>
      </c>
      <c r="O132">
        <v>611</v>
      </c>
      <c r="P132">
        <v>6</v>
      </c>
      <c r="Q132">
        <v>11</v>
      </c>
      <c r="R132">
        <v>42</v>
      </c>
      <c r="S132">
        <v>20.5</v>
      </c>
      <c r="T132">
        <v>1282</v>
      </c>
      <c r="U132">
        <v>1635</v>
      </c>
      <c r="V132" s="1">
        <v>45498</v>
      </c>
      <c r="W132" s="1">
        <v>45536</v>
      </c>
      <c r="X132">
        <v>133093</v>
      </c>
      <c r="Y132">
        <v>0.87560032099999996</v>
      </c>
      <c r="Z132">
        <v>1867.2903160000001</v>
      </c>
      <c r="AA132">
        <f>1-((0.95-Y132)*0.5)</f>
        <v>0.96280016050000006</v>
      </c>
      <c r="AB132">
        <f>U132/AA132</f>
        <v>1698.1717152507681</v>
      </c>
      <c r="AC132" cm="1">
        <f t="array" ref="AC132">_xlfn.IFS(Y132&lt;0.6,U132,0.9&lt;Y132,U132,Y132,AB132)</f>
        <v>1698.1717152507681</v>
      </c>
      <c r="AD132">
        <v>0.95646011200000003</v>
      </c>
      <c r="AE132">
        <v>1822.8065939999999</v>
      </c>
      <c r="AF132">
        <v>1822.8065939999999</v>
      </c>
      <c r="AH132">
        <v>0</v>
      </c>
      <c r="AI132">
        <v>156</v>
      </c>
    </row>
    <row r="133" spans="1:35" x14ac:dyDescent="0.25">
      <c r="A133" t="s">
        <v>330</v>
      </c>
      <c r="B133" t="s">
        <v>515</v>
      </c>
      <c r="D133" t="s">
        <v>332</v>
      </c>
      <c r="E133">
        <v>175</v>
      </c>
      <c r="H133">
        <f t="shared" si="2"/>
        <v>241016012</v>
      </c>
      <c r="I133">
        <v>6012</v>
      </c>
      <c r="J133">
        <v>2</v>
      </c>
      <c r="K133" t="s">
        <v>333</v>
      </c>
      <c r="L133">
        <v>150000</v>
      </c>
      <c r="M133" t="s">
        <v>355</v>
      </c>
      <c r="N133">
        <v>84</v>
      </c>
      <c r="O133">
        <v>612</v>
      </c>
      <c r="P133">
        <v>6</v>
      </c>
      <c r="Q133">
        <v>12</v>
      </c>
      <c r="R133">
        <v>64</v>
      </c>
      <c r="S133">
        <v>19.7</v>
      </c>
      <c r="T133">
        <v>766</v>
      </c>
      <c r="U133">
        <v>987</v>
      </c>
      <c r="V133" s="1">
        <v>45489</v>
      </c>
      <c r="W133" s="1">
        <v>45524</v>
      </c>
      <c r="X133">
        <v>151523</v>
      </c>
      <c r="Y133">
        <v>0.99686184200000005</v>
      </c>
      <c r="Z133">
        <v>990.10711249999997</v>
      </c>
      <c r="AA133">
        <f>1-((0.95-Y133)*0.5)</f>
        <v>1.0234309210000001</v>
      </c>
      <c r="AB133">
        <f>U133/AA133</f>
        <v>964.40314607223002</v>
      </c>
      <c r="AC133" cm="1">
        <f t="array" ref="AC133">_xlfn.IFS(Y133&lt;0.6,U133,0.9&lt;Y133,U133,Y133,AB133)</f>
        <v>987</v>
      </c>
      <c r="AD133">
        <v>0.998901645</v>
      </c>
      <c r="AE133">
        <v>989.63808900000004</v>
      </c>
      <c r="AF133">
        <v>987</v>
      </c>
      <c r="AH133">
        <v>0</v>
      </c>
      <c r="AI133">
        <v>175</v>
      </c>
    </row>
    <row r="134" spans="1:35" x14ac:dyDescent="0.25">
      <c r="A134" t="s">
        <v>330</v>
      </c>
      <c r="B134" t="s">
        <v>526</v>
      </c>
      <c r="D134" t="s">
        <v>332</v>
      </c>
      <c r="E134">
        <v>186</v>
      </c>
      <c r="H134">
        <f t="shared" si="2"/>
        <v>241016013</v>
      </c>
      <c r="I134">
        <v>6013</v>
      </c>
      <c r="J134">
        <v>3</v>
      </c>
      <c r="K134" t="s">
        <v>388</v>
      </c>
      <c r="L134">
        <v>150000</v>
      </c>
      <c r="M134" t="s">
        <v>295</v>
      </c>
      <c r="N134">
        <v>41</v>
      </c>
      <c r="O134">
        <v>613</v>
      </c>
      <c r="P134">
        <v>6</v>
      </c>
      <c r="Q134">
        <v>13</v>
      </c>
      <c r="R134">
        <v>56</v>
      </c>
      <c r="S134">
        <v>20.3</v>
      </c>
      <c r="T134">
        <v>580</v>
      </c>
      <c r="U134">
        <v>742</v>
      </c>
      <c r="V134" s="1">
        <v>45490</v>
      </c>
      <c r="W134" s="1">
        <v>45524</v>
      </c>
      <c r="X134">
        <v>123286</v>
      </c>
      <c r="Y134">
        <v>0.89553571399999998</v>
      </c>
      <c r="Z134">
        <v>914.80391929999996</v>
      </c>
      <c r="AA134">
        <f>1-((0.95-Y134)*0.5)</f>
        <v>0.97276785700000001</v>
      </c>
      <c r="AB134">
        <f>U134/AA134</f>
        <v>762.77191383390868</v>
      </c>
      <c r="AC134" cm="1">
        <f t="array" ref="AC134">_xlfn.IFS(Y134&lt;0.6,U134,0.9&lt;Y134,U134,Y134,AB134)</f>
        <v>762.77191383390868</v>
      </c>
      <c r="AD134">
        <v>0.96343749999999995</v>
      </c>
      <c r="AE134">
        <v>850.48617400000001</v>
      </c>
      <c r="AF134">
        <v>850.48617400000001</v>
      </c>
      <c r="AH134">
        <v>0</v>
      </c>
      <c r="AI134">
        <v>186</v>
      </c>
    </row>
    <row r="135" spans="1:35" x14ac:dyDescent="0.25">
      <c r="A135" t="s">
        <v>330</v>
      </c>
      <c r="B135" t="s">
        <v>545</v>
      </c>
      <c r="D135" t="s">
        <v>332</v>
      </c>
      <c r="E135">
        <v>205</v>
      </c>
      <c r="H135">
        <f t="shared" si="2"/>
        <v>241016014</v>
      </c>
      <c r="I135">
        <v>6014</v>
      </c>
      <c r="J135">
        <v>3</v>
      </c>
      <c r="K135" t="s">
        <v>388</v>
      </c>
      <c r="L135">
        <v>75000</v>
      </c>
      <c r="M135" t="s">
        <v>279</v>
      </c>
      <c r="N135">
        <v>15</v>
      </c>
      <c r="O135">
        <v>614</v>
      </c>
      <c r="P135">
        <v>6</v>
      </c>
      <c r="Q135">
        <v>14</v>
      </c>
      <c r="R135">
        <v>26</v>
      </c>
      <c r="S135">
        <v>20</v>
      </c>
      <c r="T135">
        <v>1588</v>
      </c>
      <c r="U135">
        <v>2039</v>
      </c>
      <c r="V135" s="1">
        <v>45494</v>
      </c>
      <c r="W135" s="1">
        <v>45534</v>
      </c>
      <c r="X135">
        <v>119337</v>
      </c>
      <c r="Y135">
        <v>0.90625</v>
      </c>
      <c r="Z135">
        <v>2597.099299</v>
      </c>
      <c r="AA135">
        <f>1-((0.95-Y135)*0.5)</f>
        <v>0.97812500000000002</v>
      </c>
      <c r="AB135">
        <f>U135/AA135</f>
        <v>2084.6006389776358</v>
      </c>
      <c r="AC135" cm="1">
        <f t="array" ref="AC135">_xlfn.IFS(Y135&lt;0.6,U135,0.9&lt;Y135,U135,Y135,AB135)</f>
        <v>2039</v>
      </c>
      <c r="AD135">
        <v>0.96718749999999998</v>
      </c>
      <c r="AE135">
        <v>2361.9590939999998</v>
      </c>
      <c r="AF135">
        <v>2039</v>
      </c>
      <c r="AH135">
        <v>0</v>
      </c>
      <c r="AI135">
        <v>205</v>
      </c>
    </row>
    <row r="136" spans="1:35" x14ac:dyDescent="0.25">
      <c r="A136" t="s">
        <v>330</v>
      </c>
      <c r="B136" t="s">
        <v>556</v>
      </c>
      <c r="D136" t="s">
        <v>332</v>
      </c>
      <c r="E136">
        <v>216</v>
      </c>
      <c r="H136">
        <f t="shared" si="2"/>
        <v>241016015</v>
      </c>
      <c r="I136">
        <v>6015</v>
      </c>
      <c r="J136">
        <v>3</v>
      </c>
      <c r="K136" t="s">
        <v>388</v>
      </c>
      <c r="L136">
        <v>100000</v>
      </c>
      <c r="M136" t="s">
        <v>343</v>
      </c>
      <c r="N136">
        <v>16</v>
      </c>
      <c r="O136">
        <v>615</v>
      </c>
      <c r="P136">
        <v>6</v>
      </c>
      <c r="Q136">
        <v>15</v>
      </c>
      <c r="R136">
        <v>29</v>
      </c>
      <c r="S136">
        <v>20.9</v>
      </c>
      <c r="T136">
        <v>1315</v>
      </c>
      <c r="U136">
        <v>1669</v>
      </c>
      <c r="V136" s="1">
        <v>45494</v>
      </c>
      <c r="W136" s="1">
        <v>45537</v>
      </c>
      <c r="X136">
        <v>83791</v>
      </c>
      <c r="Y136">
        <v>0.51160714299999999</v>
      </c>
      <c r="Z136">
        <v>3027.6481840000001</v>
      </c>
      <c r="AA136">
        <f>1-((0.95-Y136)*0.5)</f>
        <v>0.78080357150000002</v>
      </c>
      <c r="AB136">
        <f>U136/AA136</f>
        <v>2137.5414520628892</v>
      </c>
      <c r="AC136" cm="1">
        <f t="array" ref="AC136">_xlfn.IFS(Y136&lt;0.6,U136,0.9&lt;Y136,U136,Y136,AB136)</f>
        <v>1669</v>
      </c>
      <c r="AD136">
        <v>0.82906250000000004</v>
      </c>
      <c r="AE136">
        <v>2595.4725469999998</v>
      </c>
      <c r="AF136">
        <v>1669</v>
      </c>
      <c r="AH136">
        <v>0</v>
      </c>
      <c r="AI136">
        <v>216</v>
      </c>
    </row>
    <row r="137" spans="1:35" x14ac:dyDescent="0.25">
      <c r="A137" t="s">
        <v>330</v>
      </c>
      <c r="B137" s="2" t="s">
        <v>575</v>
      </c>
      <c r="D137" t="s">
        <v>332</v>
      </c>
      <c r="E137">
        <v>235</v>
      </c>
      <c r="H137">
        <f t="shared" si="2"/>
        <v>241016016</v>
      </c>
      <c r="I137">
        <v>6016</v>
      </c>
      <c r="J137">
        <v>3</v>
      </c>
      <c r="K137" t="s">
        <v>333</v>
      </c>
      <c r="L137">
        <v>100000</v>
      </c>
      <c r="M137" t="s">
        <v>298</v>
      </c>
      <c r="N137">
        <v>66</v>
      </c>
      <c r="O137">
        <v>616</v>
      </c>
      <c r="P137">
        <v>6</v>
      </c>
      <c r="Q137">
        <v>16</v>
      </c>
      <c r="R137">
        <v>58</v>
      </c>
      <c r="S137">
        <v>17.7</v>
      </c>
      <c r="T137">
        <v>980</v>
      </c>
      <c r="U137">
        <v>1294</v>
      </c>
      <c r="V137" s="1">
        <v>45491</v>
      </c>
      <c r="W137" s="1">
        <v>45525</v>
      </c>
      <c r="X137">
        <v>148769</v>
      </c>
      <c r="Y137">
        <v>0.97873698200000003</v>
      </c>
      <c r="Z137">
        <v>1322.112093</v>
      </c>
      <c r="AA137">
        <f>1-((0.95-Y137)*0.5)</f>
        <v>1.0143684909999999</v>
      </c>
      <c r="AB137">
        <f>U137/AA137</f>
        <v>1275.6705393365773</v>
      </c>
      <c r="AC137" cm="1">
        <f t="array" ref="AC137">_xlfn.IFS(Y137&lt;0.6,U137,0.9&lt;Y137,U137,Y137,AB137)</f>
        <v>1294</v>
      </c>
      <c r="AD137">
        <v>0.99255794399999997</v>
      </c>
      <c r="AE137">
        <v>1317.711487</v>
      </c>
      <c r="AF137">
        <v>1294</v>
      </c>
      <c r="AH137">
        <v>0</v>
      </c>
      <c r="AI137">
        <v>235</v>
      </c>
    </row>
    <row r="138" spans="1:35" x14ac:dyDescent="0.25">
      <c r="A138" t="s">
        <v>330</v>
      </c>
      <c r="B138" t="s">
        <v>586</v>
      </c>
      <c r="D138" t="s">
        <v>332</v>
      </c>
      <c r="E138">
        <v>246</v>
      </c>
      <c r="H138">
        <f t="shared" si="2"/>
        <v>241016017</v>
      </c>
      <c r="I138">
        <v>6017</v>
      </c>
      <c r="J138">
        <v>3</v>
      </c>
      <c r="K138" t="s">
        <v>333</v>
      </c>
      <c r="L138">
        <v>150000</v>
      </c>
      <c r="M138" t="s">
        <v>283</v>
      </c>
      <c r="N138">
        <v>77</v>
      </c>
      <c r="O138">
        <v>617</v>
      </c>
      <c r="P138">
        <v>6</v>
      </c>
      <c r="Q138">
        <v>17</v>
      </c>
      <c r="R138">
        <v>24</v>
      </c>
      <c r="S138">
        <v>17.899999999999999</v>
      </c>
      <c r="T138">
        <v>2120</v>
      </c>
      <c r="U138">
        <v>2793</v>
      </c>
      <c r="V138" s="1">
        <v>45496</v>
      </c>
      <c r="W138" s="1">
        <v>45534</v>
      </c>
      <c r="X138">
        <v>151753</v>
      </c>
      <c r="Y138">
        <v>0.99838813699999995</v>
      </c>
      <c r="Z138">
        <v>2797.5092020000002</v>
      </c>
      <c r="AA138">
        <f>1-((0.95-Y138)*0.5)</f>
        <v>1.0241940684999999</v>
      </c>
      <c r="AB138">
        <f>U138/AA138</f>
        <v>2727.0222371923455</v>
      </c>
      <c r="AC138" cm="1">
        <f t="array" ref="AC138">_xlfn.IFS(Y138&lt;0.6,U138,0.9&lt;Y138,U138,Y138,AB138)</f>
        <v>2793</v>
      </c>
      <c r="AD138">
        <v>0.99943584799999996</v>
      </c>
      <c r="AE138">
        <v>2796.8306200000002</v>
      </c>
      <c r="AF138">
        <v>2793</v>
      </c>
      <c r="AH138">
        <v>0</v>
      </c>
      <c r="AI138">
        <v>246</v>
      </c>
    </row>
    <row r="139" spans="1:35" x14ac:dyDescent="0.25">
      <c r="A139" t="s">
        <v>330</v>
      </c>
      <c r="B139" t="s">
        <v>605</v>
      </c>
      <c r="D139" t="s">
        <v>332</v>
      </c>
      <c r="E139">
        <v>265</v>
      </c>
      <c r="H139">
        <f t="shared" si="2"/>
        <v>241016018</v>
      </c>
      <c r="I139">
        <v>6018</v>
      </c>
      <c r="J139">
        <v>3</v>
      </c>
      <c r="K139" t="s">
        <v>333</v>
      </c>
      <c r="L139">
        <v>75000</v>
      </c>
      <c r="M139" t="s">
        <v>357</v>
      </c>
      <c r="N139">
        <v>48</v>
      </c>
      <c r="O139">
        <v>618</v>
      </c>
      <c r="P139">
        <v>6</v>
      </c>
      <c r="Q139">
        <v>18</v>
      </c>
      <c r="R139">
        <v>41</v>
      </c>
      <c r="S139">
        <v>17.8</v>
      </c>
      <c r="T139">
        <v>2207</v>
      </c>
      <c r="U139">
        <v>2911</v>
      </c>
      <c r="V139" s="1">
        <v>45497</v>
      </c>
      <c r="W139" s="1">
        <v>45534</v>
      </c>
      <c r="X139">
        <v>141755</v>
      </c>
      <c r="Y139">
        <v>0.93259868400000001</v>
      </c>
      <c r="Z139">
        <v>3121.3854889999998</v>
      </c>
      <c r="AA139">
        <f>1-((0.95-Y139)*0.5)</f>
        <v>0.99129934200000003</v>
      </c>
      <c r="AB139">
        <f>U139/AA139</f>
        <v>2936.5499165236001</v>
      </c>
      <c r="AC139" cm="1">
        <f t="array" ref="AC139">_xlfn.IFS(Y139&lt;0.6,U139,0.9&lt;Y139,U139,Y139,AB139)</f>
        <v>2911</v>
      </c>
      <c r="AD139">
        <v>0.97640953900000005</v>
      </c>
      <c r="AE139">
        <v>3085.3078759999999</v>
      </c>
      <c r="AF139">
        <v>2911</v>
      </c>
      <c r="AH139">
        <v>0</v>
      </c>
      <c r="AI139">
        <v>265</v>
      </c>
    </row>
    <row r="140" spans="1:35" x14ac:dyDescent="0.25">
      <c r="A140" t="s">
        <v>330</v>
      </c>
      <c r="B140" t="s">
        <v>616</v>
      </c>
      <c r="D140" t="s">
        <v>332</v>
      </c>
      <c r="E140">
        <v>276</v>
      </c>
      <c r="H140">
        <f t="shared" si="2"/>
        <v>241016019</v>
      </c>
      <c r="I140">
        <v>6019</v>
      </c>
      <c r="J140">
        <v>4</v>
      </c>
      <c r="K140" t="s">
        <v>388</v>
      </c>
      <c r="L140">
        <v>75000</v>
      </c>
      <c r="M140" t="s">
        <v>353</v>
      </c>
      <c r="N140">
        <v>7</v>
      </c>
      <c r="O140">
        <v>619</v>
      </c>
      <c r="P140">
        <v>6</v>
      </c>
      <c r="Q140">
        <v>19</v>
      </c>
      <c r="R140">
        <v>0</v>
      </c>
      <c r="S140">
        <v>17.600000000000001</v>
      </c>
      <c r="T140">
        <v>1003</v>
      </c>
      <c r="U140">
        <v>1326</v>
      </c>
      <c r="V140" s="1">
        <v>45498</v>
      </c>
      <c r="W140" s="1">
        <v>45536</v>
      </c>
      <c r="X140">
        <v>107330</v>
      </c>
      <c r="Y140">
        <v>0.71033868099999997</v>
      </c>
      <c r="Z140">
        <v>1877.8843380000001</v>
      </c>
      <c r="AA140">
        <f>1-((0.95-Y140)*0.5)</f>
        <v>0.88016934049999995</v>
      </c>
      <c r="AB140">
        <f>U140/AA140</f>
        <v>1506.5282769867169</v>
      </c>
      <c r="AC140" cm="1">
        <f t="array" ref="AC140">_xlfn.IFS(Y140&lt;0.6,U140,0.9&lt;Y140,U140,Y140,AB140)</f>
        <v>1506.5282769867169</v>
      </c>
      <c r="AD140">
        <v>0.89861853800000002</v>
      </c>
      <c r="AE140">
        <v>1729.7771519999999</v>
      </c>
      <c r="AF140">
        <v>1729.7771519999999</v>
      </c>
      <c r="AH140">
        <v>0</v>
      </c>
      <c r="AI140">
        <v>276</v>
      </c>
    </row>
    <row r="141" spans="1:35" x14ac:dyDescent="0.25">
      <c r="A141" t="s">
        <v>330</v>
      </c>
      <c r="B141" t="s">
        <v>634</v>
      </c>
      <c r="D141" t="s">
        <v>332</v>
      </c>
      <c r="E141">
        <v>295</v>
      </c>
      <c r="H141">
        <f t="shared" si="2"/>
        <v>241016020</v>
      </c>
      <c r="I141">
        <v>6020</v>
      </c>
      <c r="J141">
        <v>4</v>
      </c>
      <c r="K141" t="s">
        <v>388</v>
      </c>
      <c r="L141">
        <v>100000</v>
      </c>
      <c r="M141" t="s">
        <v>355</v>
      </c>
      <c r="N141">
        <v>24</v>
      </c>
      <c r="O141">
        <v>620</v>
      </c>
      <c r="P141">
        <v>6</v>
      </c>
      <c r="Q141">
        <v>20</v>
      </c>
      <c r="R141">
        <v>67</v>
      </c>
      <c r="S141">
        <v>20.6</v>
      </c>
      <c r="T141">
        <v>479</v>
      </c>
      <c r="U141">
        <v>610</v>
      </c>
      <c r="V141" s="1">
        <v>45489</v>
      </c>
      <c r="W141" s="1">
        <v>45523</v>
      </c>
      <c r="X141">
        <v>124466</v>
      </c>
      <c r="Y141">
        <v>0.96690518800000003</v>
      </c>
      <c r="Z141">
        <v>744.93749300000002</v>
      </c>
      <c r="AA141">
        <f>1-((0.95-Y141)*0.5)</f>
        <v>1.008452594</v>
      </c>
      <c r="AB141">
        <f>U141/AA141</f>
        <v>604.88713463510612</v>
      </c>
      <c r="AC141" cm="1">
        <f t="array" ref="AC141">_xlfn.IFS(Y141&lt;0.6,U141,0.9&lt;Y141,U141,Y141,AB141)</f>
        <v>610</v>
      </c>
      <c r="AD141">
        <v>0.98841681599999998</v>
      </c>
      <c r="AE141">
        <v>678.61003559999995</v>
      </c>
      <c r="AF141">
        <v>610</v>
      </c>
      <c r="AH141">
        <v>0</v>
      </c>
      <c r="AI141">
        <v>295</v>
      </c>
    </row>
    <row r="142" spans="1:35" x14ac:dyDescent="0.25">
      <c r="A142" t="s">
        <v>330</v>
      </c>
      <c r="B142">
        <v>1268400927</v>
      </c>
      <c r="D142" t="s">
        <v>332</v>
      </c>
      <c r="E142">
        <v>306</v>
      </c>
      <c r="H142">
        <f t="shared" si="2"/>
        <v>241016021</v>
      </c>
      <c r="I142">
        <v>6021</v>
      </c>
      <c r="J142">
        <v>4</v>
      </c>
      <c r="K142" t="s">
        <v>388</v>
      </c>
      <c r="L142">
        <v>150000</v>
      </c>
      <c r="M142" t="s">
        <v>295</v>
      </c>
      <c r="N142">
        <v>41</v>
      </c>
      <c r="O142">
        <v>621</v>
      </c>
      <c r="P142">
        <v>6</v>
      </c>
      <c r="Q142">
        <v>21</v>
      </c>
      <c r="V142" s="1">
        <v>45490</v>
      </c>
      <c r="W142" s="1">
        <v>45525</v>
      </c>
      <c r="X142">
        <v>123395</v>
      </c>
      <c r="Y142">
        <v>0.88512911800000005</v>
      </c>
      <c r="AA142">
        <f>1-((0.95-Y142)*0.5)</f>
        <v>0.96756455900000005</v>
      </c>
      <c r="AH142">
        <v>0</v>
      </c>
      <c r="AI142">
        <v>306</v>
      </c>
    </row>
    <row r="143" spans="1:35" x14ac:dyDescent="0.25">
      <c r="A143" t="s">
        <v>330</v>
      </c>
      <c r="B143" t="s">
        <v>663</v>
      </c>
      <c r="D143" t="s">
        <v>332</v>
      </c>
      <c r="E143">
        <v>325</v>
      </c>
      <c r="H143">
        <f t="shared" si="2"/>
        <v>241016022</v>
      </c>
      <c r="I143">
        <v>6022</v>
      </c>
      <c r="J143">
        <v>4</v>
      </c>
      <c r="K143" t="s">
        <v>333</v>
      </c>
      <c r="L143">
        <v>150000</v>
      </c>
      <c r="M143" t="s">
        <v>343</v>
      </c>
      <c r="N143">
        <v>76</v>
      </c>
      <c r="O143">
        <v>622</v>
      </c>
      <c r="P143">
        <v>6</v>
      </c>
      <c r="Q143">
        <v>22</v>
      </c>
      <c r="R143">
        <v>28</v>
      </c>
      <c r="S143">
        <v>18.899999999999999</v>
      </c>
      <c r="T143">
        <v>1843</v>
      </c>
      <c r="U143">
        <v>2398</v>
      </c>
      <c r="V143" s="1">
        <v>45494</v>
      </c>
      <c r="W143" s="1">
        <v>45536</v>
      </c>
      <c r="X143">
        <v>149638</v>
      </c>
      <c r="Y143">
        <v>0.984460526</v>
      </c>
      <c r="Z143">
        <v>2435.8518560000002</v>
      </c>
      <c r="AA143">
        <f>1-((0.95-Y143)*0.5)</f>
        <v>1.0172302630000001</v>
      </c>
      <c r="AB143">
        <f>U143/AA143</f>
        <v>2357.3816934308015</v>
      </c>
      <c r="AC143" cm="1">
        <f t="array" ref="AC143">_xlfn.IFS(Y143&lt;0.6,U143,0.9&lt;Y143,U143,Y143,AB143)</f>
        <v>2398</v>
      </c>
      <c r="AD143">
        <v>0.99456118400000004</v>
      </c>
      <c r="AE143">
        <v>2429.994017</v>
      </c>
      <c r="AF143">
        <v>2398</v>
      </c>
      <c r="AH143">
        <v>0</v>
      </c>
      <c r="AI143">
        <v>325</v>
      </c>
    </row>
    <row r="144" spans="1:35" x14ac:dyDescent="0.25">
      <c r="A144" t="s">
        <v>330</v>
      </c>
      <c r="B144" t="s">
        <v>674</v>
      </c>
      <c r="D144" t="s">
        <v>332</v>
      </c>
      <c r="E144">
        <v>336</v>
      </c>
      <c r="H144">
        <f t="shared" si="2"/>
        <v>241016023</v>
      </c>
      <c r="I144">
        <v>6023</v>
      </c>
      <c r="J144">
        <v>4</v>
      </c>
      <c r="K144" t="s">
        <v>333</v>
      </c>
      <c r="L144">
        <v>100000</v>
      </c>
      <c r="M144" t="s">
        <v>336</v>
      </c>
      <c r="N144">
        <v>64</v>
      </c>
      <c r="O144">
        <v>623</v>
      </c>
      <c r="P144">
        <v>6</v>
      </c>
      <c r="Q144">
        <v>23</v>
      </c>
      <c r="R144">
        <v>64</v>
      </c>
      <c r="S144">
        <v>25.4</v>
      </c>
      <c r="T144">
        <v>419</v>
      </c>
      <c r="U144">
        <v>502</v>
      </c>
      <c r="V144" s="1">
        <v>45497</v>
      </c>
      <c r="X144">
        <v>151433</v>
      </c>
      <c r="Y144">
        <v>0.99626318199999997</v>
      </c>
      <c r="Z144">
        <v>503.88291850000002</v>
      </c>
      <c r="AA144">
        <f>1-((0.95-Y144)*0.5)</f>
        <v>1.0231315910000001</v>
      </c>
      <c r="AB144">
        <f>U144/AA144</f>
        <v>490.65047391347724</v>
      </c>
      <c r="AC144" cm="1">
        <f t="array" ref="AC144">_xlfn.IFS(Y144&lt;0.6,U144,0.9&lt;Y144,U144,Y144,AB144)</f>
        <v>502</v>
      </c>
      <c r="AD144">
        <v>0.99869211400000002</v>
      </c>
      <c r="AE144">
        <v>503.59834649999999</v>
      </c>
      <c r="AF144">
        <v>502</v>
      </c>
      <c r="AH144">
        <v>0</v>
      </c>
      <c r="AI144">
        <v>336</v>
      </c>
    </row>
    <row r="145" spans="1:35" x14ac:dyDescent="0.25">
      <c r="A145" t="s">
        <v>330</v>
      </c>
      <c r="B145" t="s">
        <v>693</v>
      </c>
      <c r="D145" t="s">
        <v>332</v>
      </c>
      <c r="E145">
        <v>355</v>
      </c>
      <c r="H145">
        <f t="shared" si="2"/>
        <v>241016024</v>
      </c>
      <c r="I145">
        <v>6024</v>
      </c>
      <c r="J145">
        <v>4</v>
      </c>
      <c r="K145" t="s">
        <v>333</v>
      </c>
      <c r="L145">
        <v>75000</v>
      </c>
      <c r="M145" t="s">
        <v>295</v>
      </c>
      <c r="N145">
        <v>56</v>
      </c>
      <c r="O145">
        <v>624</v>
      </c>
      <c r="P145">
        <v>6</v>
      </c>
      <c r="Q145">
        <v>24</v>
      </c>
      <c r="R145">
        <v>62</v>
      </c>
      <c r="S145">
        <v>24</v>
      </c>
      <c r="T145">
        <v>362</v>
      </c>
      <c r="U145">
        <v>441</v>
      </c>
      <c r="V145" s="1">
        <v>45489</v>
      </c>
      <c r="W145" s="1">
        <v>45529</v>
      </c>
      <c r="X145">
        <v>131093</v>
      </c>
      <c r="Y145">
        <v>0.86246529599999999</v>
      </c>
      <c r="Z145">
        <v>511.32492200000002</v>
      </c>
      <c r="AA145">
        <f>1-((0.95-Y145)*0.5)</f>
        <v>0.95623264800000007</v>
      </c>
      <c r="AB145">
        <f>U145/AA145</f>
        <v>461.18483919407021</v>
      </c>
      <c r="AC145" cm="1">
        <f t="array" ref="AC145">_xlfn.IFS(Y145&lt;0.6,U145,0.9&lt;Y145,U145,Y145,AB145)</f>
        <v>461.18483919407021</v>
      </c>
      <c r="AD145">
        <v>0.95186285400000004</v>
      </c>
      <c r="AE145">
        <v>497.51481439999998</v>
      </c>
      <c r="AF145">
        <v>497.51481439999998</v>
      </c>
      <c r="AH145">
        <v>0</v>
      </c>
      <c r="AI145">
        <v>355</v>
      </c>
    </row>
    <row r="146" spans="1:35" x14ac:dyDescent="0.25">
      <c r="A146" t="s">
        <v>330</v>
      </c>
      <c r="B146">
        <v>1647132305</v>
      </c>
      <c r="D146" t="s">
        <v>332</v>
      </c>
      <c r="E146">
        <v>7</v>
      </c>
      <c r="H146">
        <f t="shared" si="2"/>
        <v>241017001</v>
      </c>
      <c r="I146">
        <v>7001</v>
      </c>
      <c r="J146">
        <v>1</v>
      </c>
      <c r="K146" t="s">
        <v>333</v>
      </c>
      <c r="L146">
        <v>100000</v>
      </c>
      <c r="M146" t="s">
        <v>295</v>
      </c>
      <c r="N146">
        <v>71</v>
      </c>
      <c r="O146">
        <v>701</v>
      </c>
      <c r="P146">
        <v>7</v>
      </c>
      <c r="Q146">
        <v>1</v>
      </c>
      <c r="R146">
        <v>-9</v>
      </c>
      <c r="S146">
        <v>-9</v>
      </c>
      <c r="T146">
        <v>-9</v>
      </c>
      <c r="V146" s="1">
        <v>45490</v>
      </c>
      <c r="W146" s="1">
        <v>45525</v>
      </c>
      <c r="X146">
        <v>141596</v>
      </c>
      <c r="Y146">
        <v>0.931540374</v>
      </c>
      <c r="AA146">
        <f>1-((0.95-Y146)*0.5)</f>
        <v>0.99077018700000008</v>
      </c>
      <c r="AH146">
        <v>0</v>
      </c>
      <c r="AI146">
        <v>7</v>
      </c>
    </row>
    <row r="147" spans="1:35" x14ac:dyDescent="0.25">
      <c r="A147" t="s">
        <v>330</v>
      </c>
      <c r="B147" t="s">
        <v>366</v>
      </c>
      <c r="D147" t="s">
        <v>332</v>
      </c>
      <c r="E147">
        <v>24</v>
      </c>
      <c r="H147">
        <f t="shared" si="2"/>
        <v>241017002</v>
      </c>
      <c r="I147">
        <v>7002</v>
      </c>
      <c r="J147">
        <v>1</v>
      </c>
      <c r="K147" t="s">
        <v>333</v>
      </c>
      <c r="L147">
        <v>150000</v>
      </c>
      <c r="M147" t="s">
        <v>349</v>
      </c>
      <c r="N147">
        <v>88</v>
      </c>
      <c r="O147">
        <v>702</v>
      </c>
      <c r="P147">
        <v>7</v>
      </c>
      <c r="Q147">
        <v>2</v>
      </c>
      <c r="R147">
        <v>27</v>
      </c>
      <c r="S147">
        <v>20</v>
      </c>
      <c r="T147">
        <v>2001</v>
      </c>
      <c r="U147">
        <v>2569</v>
      </c>
      <c r="V147" s="1">
        <v>45497</v>
      </c>
      <c r="W147" s="1">
        <v>45534</v>
      </c>
      <c r="X147">
        <v>123769</v>
      </c>
      <c r="Y147">
        <v>0.81426973700000005</v>
      </c>
      <c r="Z147">
        <v>3154.9741859999999</v>
      </c>
      <c r="AA147">
        <f>1-((0.95-Y147)*0.5)</f>
        <v>0.93213486850000005</v>
      </c>
      <c r="AB147">
        <f>U147/AA147</f>
        <v>2756.0389454522374</v>
      </c>
      <c r="AC147" cm="1">
        <f t="array" ref="AC147">_xlfn.IFS(Y147&lt;0.6,U147,0.9&lt;Y147,U147,Y147,AB147)</f>
        <v>2756.0389454522374</v>
      </c>
      <c r="AD147">
        <v>0.934994408</v>
      </c>
      <c r="AE147">
        <v>3028.888109</v>
      </c>
      <c r="AF147">
        <v>3028.888109</v>
      </c>
      <c r="AH147">
        <v>0</v>
      </c>
      <c r="AI147">
        <v>24</v>
      </c>
    </row>
    <row r="148" spans="1:35" x14ac:dyDescent="0.25">
      <c r="A148" t="s">
        <v>330</v>
      </c>
      <c r="B148" t="s">
        <v>379</v>
      </c>
      <c r="D148" t="s">
        <v>332</v>
      </c>
      <c r="E148">
        <v>37</v>
      </c>
      <c r="H148">
        <f t="shared" si="2"/>
        <v>241017003</v>
      </c>
      <c r="I148">
        <v>7003</v>
      </c>
      <c r="J148">
        <v>1</v>
      </c>
      <c r="K148" t="s">
        <v>333</v>
      </c>
      <c r="L148">
        <v>75000</v>
      </c>
      <c r="M148" t="s">
        <v>355</v>
      </c>
      <c r="N148">
        <v>54</v>
      </c>
      <c r="O148">
        <v>703</v>
      </c>
      <c r="P148">
        <v>7</v>
      </c>
      <c r="Q148">
        <v>3</v>
      </c>
      <c r="R148">
        <v>65</v>
      </c>
      <c r="S148">
        <v>20.6</v>
      </c>
      <c r="T148">
        <v>553</v>
      </c>
      <c r="U148">
        <v>705</v>
      </c>
      <c r="V148" s="1">
        <v>45489</v>
      </c>
      <c r="W148" s="1">
        <v>45524</v>
      </c>
      <c r="X148">
        <v>148085</v>
      </c>
      <c r="Y148">
        <v>0.97424342100000005</v>
      </c>
      <c r="Z148">
        <v>723.63845089999995</v>
      </c>
      <c r="AA148">
        <f>1-((0.95-Y148)*0.5)</f>
        <v>1.0121217105</v>
      </c>
      <c r="AB148">
        <f>U148/AA148</f>
        <v>696.55654323601232</v>
      </c>
      <c r="AC148" cm="1">
        <f t="array" ref="AC148">_xlfn.IFS(Y148&lt;0.6,U148,0.9&lt;Y148,U148,Y148,AB148)</f>
        <v>705</v>
      </c>
      <c r="AD148">
        <v>0.99098519699999998</v>
      </c>
      <c r="AE148">
        <v>720.69456330000003</v>
      </c>
      <c r="AF148">
        <v>705</v>
      </c>
      <c r="AH148">
        <v>0</v>
      </c>
      <c r="AI148">
        <v>37</v>
      </c>
    </row>
    <row r="149" spans="1:35" x14ac:dyDescent="0.25">
      <c r="A149" t="s">
        <v>330</v>
      </c>
      <c r="B149" t="s">
        <v>396</v>
      </c>
      <c r="D149" t="s">
        <v>332</v>
      </c>
      <c r="E149">
        <v>54</v>
      </c>
      <c r="H149">
        <f t="shared" si="2"/>
        <v>241017004</v>
      </c>
      <c r="I149">
        <v>7004</v>
      </c>
      <c r="J149">
        <v>1</v>
      </c>
      <c r="K149" t="s">
        <v>388</v>
      </c>
      <c r="L149">
        <v>150000</v>
      </c>
      <c r="M149" t="s">
        <v>355</v>
      </c>
      <c r="N149">
        <v>39</v>
      </c>
      <c r="O149">
        <v>704</v>
      </c>
      <c r="P149">
        <v>7</v>
      </c>
      <c r="Q149">
        <v>4</v>
      </c>
      <c r="R149">
        <v>64</v>
      </c>
      <c r="S149">
        <v>20.7</v>
      </c>
      <c r="T149">
        <v>550</v>
      </c>
      <c r="U149">
        <v>700</v>
      </c>
      <c r="V149" s="1">
        <v>45491</v>
      </c>
      <c r="W149" s="1">
        <v>45524</v>
      </c>
      <c r="X149">
        <v>121350</v>
      </c>
      <c r="Y149">
        <v>0.83363148499999995</v>
      </c>
      <c r="Z149">
        <v>876.80840539999997</v>
      </c>
      <c r="AA149">
        <f>1-((0.95-Y149)*0.5)</f>
        <v>0.9418157425</v>
      </c>
      <c r="AB149">
        <f>U149/AA149</f>
        <v>743.2451682554032</v>
      </c>
      <c r="AC149" cm="1">
        <f t="array" ref="AC149">_xlfn.IFS(Y149&lt;0.6,U149,0.9&lt;Y149,U149,Y149,AB149)</f>
        <v>743.2451682554032</v>
      </c>
      <c r="AD149">
        <v>0.94177102000000001</v>
      </c>
      <c r="AE149">
        <v>826.62491599999998</v>
      </c>
      <c r="AF149">
        <v>826.62491599999998</v>
      </c>
      <c r="AH149">
        <v>0</v>
      </c>
      <c r="AI149">
        <v>54</v>
      </c>
    </row>
    <row r="150" spans="1:35" x14ac:dyDescent="0.25">
      <c r="A150" t="s">
        <v>330</v>
      </c>
      <c r="B150" t="s">
        <v>409</v>
      </c>
      <c r="D150" t="s">
        <v>332</v>
      </c>
      <c r="E150">
        <v>67</v>
      </c>
      <c r="H150">
        <f t="shared" si="2"/>
        <v>241017005</v>
      </c>
      <c r="I150">
        <v>7005</v>
      </c>
      <c r="J150">
        <v>1</v>
      </c>
      <c r="K150" t="s">
        <v>388</v>
      </c>
      <c r="L150">
        <v>75000</v>
      </c>
      <c r="M150" t="s">
        <v>349</v>
      </c>
      <c r="N150">
        <v>13</v>
      </c>
      <c r="O150">
        <v>705</v>
      </c>
      <c r="P150">
        <v>7</v>
      </c>
      <c r="Q150">
        <v>5</v>
      </c>
      <c r="R150">
        <v>27</v>
      </c>
      <c r="S150">
        <v>21.3</v>
      </c>
      <c r="T150">
        <v>1322</v>
      </c>
      <c r="U150">
        <v>1669</v>
      </c>
      <c r="V150" s="1">
        <v>45498</v>
      </c>
      <c r="W150" s="1">
        <v>45535</v>
      </c>
      <c r="X150">
        <v>118049</v>
      </c>
      <c r="Y150">
        <v>0.77094474199999996</v>
      </c>
      <c r="Z150">
        <v>2149.0341979999998</v>
      </c>
      <c r="AA150">
        <f>1-((0.95-Y150)*0.5)</f>
        <v>0.910472371</v>
      </c>
      <c r="AB150">
        <f>U150/AA150</f>
        <v>1833.1143845330371</v>
      </c>
      <c r="AC150" cm="1">
        <f t="array" ref="AC150">_xlfn.IFS(Y150&lt;0.6,U150,0.9&lt;Y150,U150,Y150,AB150)</f>
        <v>1833.1143845330371</v>
      </c>
      <c r="AD150">
        <v>0.91983066000000002</v>
      </c>
      <c r="AE150">
        <v>2042.593584</v>
      </c>
      <c r="AF150">
        <v>2042.593584</v>
      </c>
      <c r="AH150">
        <v>0</v>
      </c>
      <c r="AI150">
        <v>67</v>
      </c>
    </row>
    <row r="151" spans="1:35" x14ac:dyDescent="0.25">
      <c r="A151" t="s">
        <v>330</v>
      </c>
      <c r="B151" t="s">
        <v>426</v>
      </c>
      <c r="D151" t="s">
        <v>332</v>
      </c>
      <c r="E151">
        <v>84</v>
      </c>
      <c r="H151">
        <f t="shared" si="2"/>
        <v>241017006</v>
      </c>
      <c r="I151">
        <v>7006</v>
      </c>
      <c r="J151">
        <v>1</v>
      </c>
      <c r="K151" t="s">
        <v>388</v>
      </c>
      <c r="L151">
        <v>100000</v>
      </c>
      <c r="M151" t="s">
        <v>283</v>
      </c>
      <c r="N151">
        <v>17</v>
      </c>
      <c r="O151">
        <v>706</v>
      </c>
      <c r="P151">
        <v>7</v>
      </c>
      <c r="Q151">
        <v>6</v>
      </c>
      <c r="R151">
        <v>29</v>
      </c>
      <c r="S151">
        <v>20.3</v>
      </c>
      <c r="T151">
        <v>1943</v>
      </c>
      <c r="U151">
        <v>2485</v>
      </c>
      <c r="V151" s="1">
        <v>45498</v>
      </c>
      <c r="W151" s="1">
        <v>45536</v>
      </c>
      <c r="X151">
        <v>121688</v>
      </c>
      <c r="Y151">
        <v>0.95442359200000004</v>
      </c>
      <c r="Z151">
        <v>3104.0241030000002</v>
      </c>
      <c r="AA151">
        <f>1-((0.95-Y151)*0.5)</f>
        <v>1.0022117960000001</v>
      </c>
      <c r="AB151">
        <f>U151/AA151</f>
        <v>2479.5158168343887</v>
      </c>
      <c r="AC151" cm="1">
        <f t="array" ref="AC151">_xlfn.IFS(Y151&lt;0.6,U151,0.9&lt;Y151,U151,Y151,AB151)</f>
        <v>2485</v>
      </c>
      <c r="AD151">
        <v>0.98404825699999998</v>
      </c>
      <c r="AE151">
        <v>2804.975645</v>
      </c>
      <c r="AF151">
        <v>2485</v>
      </c>
      <c r="AH151">
        <v>0</v>
      </c>
      <c r="AI151">
        <v>84</v>
      </c>
    </row>
    <row r="152" spans="1:35" x14ac:dyDescent="0.25">
      <c r="A152" t="s">
        <v>330</v>
      </c>
      <c r="B152" t="s">
        <v>439</v>
      </c>
      <c r="D152" t="s">
        <v>332</v>
      </c>
      <c r="E152">
        <v>97</v>
      </c>
      <c r="H152">
        <f t="shared" si="2"/>
        <v>241017007</v>
      </c>
      <c r="I152">
        <v>7007</v>
      </c>
      <c r="J152">
        <v>2</v>
      </c>
      <c r="K152" t="s">
        <v>388</v>
      </c>
      <c r="L152">
        <v>75000</v>
      </c>
      <c r="M152" t="s">
        <v>338</v>
      </c>
      <c r="N152">
        <v>14</v>
      </c>
      <c r="O152">
        <v>707</v>
      </c>
      <c r="P152">
        <v>7</v>
      </c>
      <c r="Q152">
        <v>7</v>
      </c>
      <c r="R152">
        <v>53</v>
      </c>
      <c r="S152">
        <v>19.399999999999999</v>
      </c>
      <c r="T152">
        <v>1575</v>
      </c>
      <c r="U152">
        <v>2037</v>
      </c>
      <c r="V152" s="1">
        <v>45494</v>
      </c>
      <c r="W152" s="1">
        <v>45532</v>
      </c>
      <c r="X152">
        <v>104167</v>
      </c>
      <c r="Y152">
        <v>0.74331550800000001</v>
      </c>
      <c r="Z152">
        <v>2972.3222230000001</v>
      </c>
      <c r="AA152">
        <f>1-((0.95-Y152)*0.5)</f>
        <v>0.89665775400000003</v>
      </c>
      <c r="AB152">
        <f>U152/AA152</f>
        <v>2271.7697927809363</v>
      </c>
      <c r="AC152" cm="1">
        <f t="array" ref="AC152">_xlfn.IFS(Y152&lt;0.6,U152,0.9&lt;Y152,U152,Y152,AB152)</f>
        <v>2271.7697927809363</v>
      </c>
      <c r="AD152">
        <v>0.91016042799999997</v>
      </c>
      <c r="AE152">
        <v>2655.9506150000002</v>
      </c>
      <c r="AF152">
        <v>2655.9506150000002</v>
      </c>
      <c r="AH152">
        <v>0</v>
      </c>
      <c r="AI152">
        <v>97</v>
      </c>
    </row>
    <row r="153" spans="1:35" x14ac:dyDescent="0.25">
      <c r="A153" t="s">
        <v>330</v>
      </c>
      <c r="B153" t="s">
        <v>454</v>
      </c>
      <c r="D153" t="s">
        <v>332</v>
      </c>
      <c r="E153">
        <v>114</v>
      </c>
      <c r="H153">
        <f t="shared" si="2"/>
        <v>241017008</v>
      </c>
      <c r="I153">
        <v>7008</v>
      </c>
      <c r="J153">
        <v>2</v>
      </c>
      <c r="K153" t="s">
        <v>388</v>
      </c>
      <c r="L153">
        <v>150000</v>
      </c>
      <c r="M153" t="s">
        <v>341</v>
      </c>
      <c r="N153">
        <v>35</v>
      </c>
      <c r="O153">
        <v>708</v>
      </c>
      <c r="P153">
        <v>7</v>
      </c>
      <c r="Q153">
        <v>8</v>
      </c>
      <c r="R153">
        <v>61</v>
      </c>
      <c r="S153">
        <v>17.399999999999999</v>
      </c>
      <c r="T153">
        <v>1594</v>
      </c>
      <c r="U153">
        <v>2113</v>
      </c>
      <c r="V153" s="1">
        <v>45494</v>
      </c>
      <c r="W153" s="1">
        <v>45530</v>
      </c>
      <c r="X153">
        <v>112700</v>
      </c>
      <c r="Y153">
        <v>0.88640429300000001</v>
      </c>
      <c r="Z153">
        <v>2849.85016</v>
      </c>
      <c r="AA153">
        <f>1-((0.95-Y153)*0.5)</f>
        <v>0.96820214650000003</v>
      </c>
      <c r="AB153">
        <f>U153/AA153</f>
        <v>2182.3954921380664</v>
      </c>
      <c r="AC153" cm="1">
        <f t="array" ref="AC153">_xlfn.IFS(Y153&lt;0.6,U153,0.9&lt;Y153,U153,Y153,AB153)</f>
        <v>2182.3954921380664</v>
      </c>
      <c r="AD153">
        <v>0.960241503</v>
      </c>
      <c r="AE153">
        <v>2527.2015719999999</v>
      </c>
      <c r="AF153">
        <v>2527.2015719999999</v>
      </c>
      <c r="AH153">
        <v>0</v>
      </c>
      <c r="AI153">
        <v>114</v>
      </c>
    </row>
    <row r="154" spans="1:35" x14ac:dyDescent="0.25">
      <c r="A154" t="s">
        <v>330</v>
      </c>
      <c r="B154" t="s">
        <v>467</v>
      </c>
      <c r="D154" t="s">
        <v>332</v>
      </c>
      <c r="E154">
        <v>127</v>
      </c>
      <c r="H154">
        <f t="shared" si="2"/>
        <v>241017009</v>
      </c>
      <c r="I154">
        <v>7009</v>
      </c>
      <c r="J154">
        <v>2</v>
      </c>
      <c r="K154" t="s">
        <v>388</v>
      </c>
      <c r="L154">
        <v>100000</v>
      </c>
      <c r="M154" t="s">
        <v>357</v>
      </c>
      <c r="N154">
        <v>18</v>
      </c>
      <c r="O154">
        <v>709</v>
      </c>
      <c r="P154">
        <v>7</v>
      </c>
      <c r="Q154">
        <v>9</v>
      </c>
      <c r="R154">
        <v>39</v>
      </c>
      <c r="S154">
        <v>20.100000000000001</v>
      </c>
      <c r="T154">
        <v>2126</v>
      </c>
      <c r="U154">
        <v>2726</v>
      </c>
      <c r="V154" s="1">
        <v>45497</v>
      </c>
      <c r="W154" s="1">
        <v>45534</v>
      </c>
      <c r="X154">
        <v>126035</v>
      </c>
      <c r="Y154">
        <v>0.91339285699999995</v>
      </c>
      <c r="Z154">
        <v>3287.6163449999999</v>
      </c>
      <c r="AA154">
        <f>1-((0.95-Y154)*0.5)</f>
        <v>0.98169642850000005</v>
      </c>
      <c r="AB154">
        <f>U154/AA154</f>
        <v>2776.8258301247347</v>
      </c>
      <c r="AC154" cm="1">
        <f t="array" ref="AC154">_xlfn.IFS(Y154&lt;0.6,U154,0.9&lt;Y154,U154,Y154,AB154)</f>
        <v>2726</v>
      </c>
      <c r="AD154">
        <v>0.96968750000000004</v>
      </c>
      <c r="AE154">
        <v>3073.756523</v>
      </c>
      <c r="AF154">
        <v>2726</v>
      </c>
      <c r="AH154">
        <v>0</v>
      </c>
      <c r="AI154">
        <v>127</v>
      </c>
    </row>
    <row r="155" spans="1:35" x14ac:dyDescent="0.25">
      <c r="A155" t="s">
        <v>330</v>
      </c>
      <c r="B155" s="2" t="s">
        <v>484</v>
      </c>
      <c r="D155" t="s">
        <v>332</v>
      </c>
      <c r="E155">
        <v>144</v>
      </c>
      <c r="H155">
        <f t="shared" si="2"/>
        <v>241017010</v>
      </c>
      <c r="I155">
        <v>7010</v>
      </c>
      <c r="J155">
        <v>2</v>
      </c>
      <c r="K155" t="s">
        <v>333</v>
      </c>
      <c r="L155">
        <v>100000</v>
      </c>
      <c r="M155" t="s">
        <v>338</v>
      </c>
      <c r="N155">
        <v>74</v>
      </c>
      <c r="O155">
        <v>710</v>
      </c>
      <c r="P155">
        <v>7</v>
      </c>
      <c r="Q155">
        <v>10</v>
      </c>
      <c r="R155">
        <v>41</v>
      </c>
      <c r="S155">
        <v>19.100000000000001</v>
      </c>
      <c r="T155">
        <v>1573</v>
      </c>
      <c r="U155">
        <v>2042</v>
      </c>
      <c r="V155" s="1">
        <v>45494</v>
      </c>
      <c r="W155" s="1">
        <v>45528</v>
      </c>
      <c r="X155">
        <v>151444</v>
      </c>
      <c r="Y155">
        <v>0.99633554999999996</v>
      </c>
      <c r="Z155">
        <v>2049.510327</v>
      </c>
      <c r="AA155">
        <f>1-((0.95-Y155)*0.5)</f>
        <v>1.0231677750000001</v>
      </c>
      <c r="AB155">
        <f>U155/AA155</f>
        <v>1995.7626206513391</v>
      </c>
      <c r="AC155" cm="1">
        <f t="array" ref="AC155">_xlfn.IFS(Y155&lt;0.6,U155,0.9&lt;Y155,U155,Y155,AB155)</f>
        <v>2042</v>
      </c>
      <c r="AD155">
        <v>0.99871744299999998</v>
      </c>
      <c r="AE155">
        <v>2048.3754300000001</v>
      </c>
      <c r="AF155">
        <v>2042</v>
      </c>
      <c r="AH155">
        <v>0</v>
      </c>
      <c r="AI155">
        <v>144</v>
      </c>
    </row>
    <row r="156" spans="1:35" x14ac:dyDescent="0.25">
      <c r="A156" t="s">
        <v>330</v>
      </c>
      <c r="B156" t="s">
        <v>497</v>
      </c>
      <c r="D156" t="s">
        <v>332</v>
      </c>
      <c r="E156">
        <v>157</v>
      </c>
      <c r="H156">
        <f t="shared" si="2"/>
        <v>241017011</v>
      </c>
      <c r="I156">
        <v>7011</v>
      </c>
      <c r="J156">
        <v>2</v>
      </c>
      <c r="K156" t="s">
        <v>333</v>
      </c>
      <c r="L156">
        <v>75000</v>
      </c>
      <c r="M156" t="s">
        <v>341</v>
      </c>
      <c r="N156">
        <v>50</v>
      </c>
      <c r="O156">
        <v>711</v>
      </c>
      <c r="P156">
        <v>7</v>
      </c>
      <c r="Q156">
        <v>11</v>
      </c>
      <c r="R156">
        <v>26</v>
      </c>
      <c r="S156">
        <v>19.600000000000001</v>
      </c>
      <c r="T156">
        <v>1818</v>
      </c>
      <c r="U156">
        <v>2345</v>
      </c>
      <c r="V156" s="1">
        <v>45495</v>
      </c>
      <c r="W156" s="1">
        <v>45532</v>
      </c>
      <c r="X156">
        <v>151627</v>
      </c>
      <c r="Y156">
        <v>0.99756574099999995</v>
      </c>
      <c r="Z156">
        <v>2350.7222660000002</v>
      </c>
      <c r="AA156">
        <f>1-((0.95-Y156)*0.5)</f>
        <v>1.0237828705000001</v>
      </c>
      <c r="AB156">
        <f>U156/AA156</f>
        <v>2290.5247465751577</v>
      </c>
      <c r="AC156" cm="1">
        <f t="array" ref="AC156">_xlfn.IFS(Y156&lt;0.6,U156,0.9&lt;Y156,U156,Y156,AB156)</f>
        <v>2345</v>
      </c>
      <c r="AD156">
        <v>0.999148009</v>
      </c>
      <c r="AE156">
        <v>2349.8597049999998</v>
      </c>
      <c r="AF156">
        <v>2345</v>
      </c>
      <c r="AH156">
        <v>0</v>
      </c>
      <c r="AI156">
        <v>157</v>
      </c>
    </row>
    <row r="157" spans="1:35" x14ac:dyDescent="0.25">
      <c r="A157" t="s">
        <v>330</v>
      </c>
      <c r="B157" t="s">
        <v>514</v>
      </c>
      <c r="D157" t="s">
        <v>332</v>
      </c>
      <c r="E157">
        <v>174</v>
      </c>
      <c r="H157">
        <f t="shared" si="2"/>
        <v>241017012</v>
      </c>
      <c r="I157">
        <v>7012</v>
      </c>
      <c r="J157">
        <v>2</v>
      </c>
      <c r="K157" t="s">
        <v>333</v>
      </c>
      <c r="L157">
        <v>150000</v>
      </c>
      <c r="M157" t="s">
        <v>283</v>
      </c>
      <c r="N157">
        <v>77</v>
      </c>
      <c r="O157">
        <v>712</v>
      </c>
      <c r="P157">
        <v>7</v>
      </c>
      <c r="Q157">
        <v>12</v>
      </c>
      <c r="R157">
        <v>27</v>
      </c>
      <c r="S157">
        <v>18.5</v>
      </c>
      <c r="T157">
        <v>2396</v>
      </c>
      <c r="U157">
        <v>3133</v>
      </c>
      <c r="V157" s="1">
        <v>45498</v>
      </c>
      <c r="W157" s="1">
        <v>45536</v>
      </c>
      <c r="X157">
        <v>151792</v>
      </c>
      <c r="Y157">
        <v>0.99862500899999995</v>
      </c>
      <c r="Z157">
        <v>3137.3137780000002</v>
      </c>
      <c r="AA157">
        <f>1-((0.95-Y157)*0.5)</f>
        <v>1.0243125045000001</v>
      </c>
      <c r="AB157">
        <f>U157/AA157</f>
        <v>3058.6368771601769</v>
      </c>
      <c r="AC157" cm="1">
        <f t="array" ref="AC157">_xlfn.IFS(Y157&lt;0.6,U157,0.9&lt;Y157,U157,Y157,AB157)</f>
        <v>3133</v>
      </c>
      <c r="AD157">
        <v>0.99951875300000004</v>
      </c>
      <c r="AE157">
        <v>3136.6649149999998</v>
      </c>
      <c r="AF157">
        <v>3133</v>
      </c>
      <c r="AH157">
        <v>0</v>
      </c>
      <c r="AI157">
        <v>174</v>
      </c>
    </row>
    <row r="158" spans="1:35" x14ac:dyDescent="0.25">
      <c r="A158" t="s">
        <v>330</v>
      </c>
      <c r="B158" t="s">
        <v>527</v>
      </c>
      <c r="D158" t="s">
        <v>332</v>
      </c>
      <c r="E158">
        <v>187</v>
      </c>
      <c r="H158">
        <f t="shared" si="2"/>
        <v>241017013</v>
      </c>
      <c r="I158">
        <v>7013</v>
      </c>
      <c r="J158">
        <v>3</v>
      </c>
      <c r="K158" t="s">
        <v>388</v>
      </c>
      <c r="L158">
        <v>150000</v>
      </c>
      <c r="M158" t="s">
        <v>336</v>
      </c>
      <c r="N158">
        <v>34</v>
      </c>
      <c r="O158">
        <v>713</v>
      </c>
      <c r="P158">
        <v>7</v>
      </c>
      <c r="Q158">
        <v>13</v>
      </c>
      <c r="R158">
        <v>68</v>
      </c>
      <c r="S158">
        <v>19.5</v>
      </c>
      <c r="T158">
        <v>931</v>
      </c>
      <c r="U158">
        <v>1203</v>
      </c>
      <c r="V158" s="1">
        <v>45497</v>
      </c>
      <c r="X158">
        <v>126132</v>
      </c>
      <c r="Y158">
        <v>0.94919786100000003</v>
      </c>
      <c r="Z158">
        <v>1449.738417</v>
      </c>
      <c r="AA158">
        <f>1-((0.95-Y158)*0.5)</f>
        <v>0.99959893050000004</v>
      </c>
      <c r="AB158">
        <f>U158/AA158</f>
        <v>1203.4826801968052</v>
      </c>
      <c r="AC158" cm="1">
        <f t="array" ref="AC158">_xlfn.IFS(Y158&lt;0.6,U158,0.9&lt;Y158,U158,Y158,AB158)</f>
        <v>1203</v>
      </c>
      <c r="AD158">
        <v>0.98221925099999996</v>
      </c>
      <c r="AE158">
        <v>1338.6973439999999</v>
      </c>
      <c r="AF158">
        <v>1203</v>
      </c>
      <c r="AH158">
        <v>0</v>
      </c>
      <c r="AI158">
        <v>187</v>
      </c>
    </row>
    <row r="159" spans="1:35" x14ac:dyDescent="0.25">
      <c r="A159" t="s">
        <v>330</v>
      </c>
      <c r="B159" t="s">
        <v>544</v>
      </c>
      <c r="D159" t="s">
        <v>332</v>
      </c>
      <c r="E159">
        <v>204</v>
      </c>
      <c r="H159">
        <f t="shared" si="2"/>
        <v>241017014</v>
      </c>
      <c r="I159">
        <v>7014</v>
      </c>
      <c r="J159">
        <v>3</v>
      </c>
      <c r="K159" t="s">
        <v>388</v>
      </c>
      <c r="L159">
        <v>75000</v>
      </c>
      <c r="M159" t="s">
        <v>349</v>
      </c>
      <c r="N159">
        <v>13</v>
      </c>
      <c r="O159">
        <v>714</v>
      </c>
      <c r="P159">
        <v>7</v>
      </c>
      <c r="Q159">
        <v>14</v>
      </c>
      <c r="R159">
        <v>26</v>
      </c>
      <c r="S159">
        <v>18.3</v>
      </c>
      <c r="T159">
        <v>1310</v>
      </c>
      <c r="U159">
        <v>1717</v>
      </c>
      <c r="V159" s="1">
        <v>45499</v>
      </c>
      <c r="W159" s="1">
        <v>45535</v>
      </c>
      <c r="X159">
        <v>105086</v>
      </c>
      <c r="Y159">
        <v>0.70089285700000004</v>
      </c>
      <c r="Z159">
        <v>2483.511438</v>
      </c>
      <c r="AA159">
        <f>1-((0.95-Y159)*0.5)</f>
        <v>0.8754464285000001</v>
      </c>
      <c r="AB159">
        <f>U159/AA159</f>
        <v>1961.2850588035722</v>
      </c>
      <c r="AC159" cm="1">
        <f t="array" ref="AC159">_xlfn.IFS(Y159&lt;0.6,U159,0.9&lt;Y159,U159,Y159,AB159)</f>
        <v>1961.2850588035722</v>
      </c>
      <c r="AD159">
        <v>0.89531249999999996</v>
      </c>
      <c r="AE159">
        <v>2267.7210719999998</v>
      </c>
      <c r="AF159">
        <v>2267.7210719999998</v>
      </c>
      <c r="AH159">
        <v>0</v>
      </c>
      <c r="AI159">
        <v>204</v>
      </c>
    </row>
    <row r="160" spans="1:35" x14ac:dyDescent="0.25">
      <c r="A160" t="s">
        <v>330</v>
      </c>
      <c r="B160" t="s">
        <v>557</v>
      </c>
      <c r="D160" t="s">
        <v>332</v>
      </c>
      <c r="E160">
        <v>217</v>
      </c>
      <c r="H160">
        <f t="shared" si="2"/>
        <v>241017015</v>
      </c>
      <c r="I160">
        <v>7015</v>
      </c>
      <c r="J160">
        <v>3</v>
      </c>
      <c r="K160" t="s">
        <v>388</v>
      </c>
      <c r="L160">
        <v>100000</v>
      </c>
      <c r="M160" t="s">
        <v>349</v>
      </c>
      <c r="N160">
        <v>28</v>
      </c>
      <c r="O160">
        <v>715</v>
      </c>
      <c r="P160">
        <v>7</v>
      </c>
      <c r="Q160">
        <v>15</v>
      </c>
      <c r="R160">
        <v>23</v>
      </c>
      <c r="S160">
        <v>19.2</v>
      </c>
      <c r="T160">
        <v>1592</v>
      </c>
      <c r="U160">
        <v>2064</v>
      </c>
      <c r="V160" s="1">
        <v>45497</v>
      </c>
      <c r="X160">
        <v>97257</v>
      </c>
      <c r="Y160">
        <v>0.66427932000000001</v>
      </c>
      <c r="Z160">
        <v>3225.7414480000002</v>
      </c>
      <c r="AA160">
        <f>1-((0.95-Y160)*0.5)</f>
        <v>0.85713966000000008</v>
      </c>
      <c r="AB160">
        <f>U160/AA160</f>
        <v>2408.0089818735023</v>
      </c>
      <c r="AC160" cm="1">
        <f t="array" ref="AC160">_xlfn.IFS(Y160&lt;0.6,U160,0.9&lt;Y160,U160,Y160,AB160)</f>
        <v>2408.0089818735023</v>
      </c>
      <c r="AD160">
        <v>0.88249776199999996</v>
      </c>
      <c r="AE160">
        <v>2852.4706550000001</v>
      </c>
      <c r="AF160">
        <v>2852.4706550000001</v>
      </c>
      <c r="AH160">
        <v>0</v>
      </c>
      <c r="AI160">
        <v>217</v>
      </c>
    </row>
    <row r="161" spans="1:35" x14ac:dyDescent="0.25">
      <c r="A161" t="s">
        <v>330</v>
      </c>
      <c r="B161" t="s">
        <v>574</v>
      </c>
      <c r="D161" t="s">
        <v>332</v>
      </c>
      <c r="E161">
        <v>234</v>
      </c>
      <c r="H161">
        <f t="shared" si="2"/>
        <v>241017016</v>
      </c>
      <c r="I161">
        <v>7016</v>
      </c>
      <c r="J161">
        <v>3</v>
      </c>
      <c r="K161" t="s">
        <v>333</v>
      </c>
      <c r="L161">
        <v>100000</v>
      </c>
      <c r="M161" t="s">
        <v>336</v>
      </c>
      <c r="N161">
        <v>64</v>
      </c>
      <c r="O161">
        <v>716</v>
      </c>
      <c r="P161">
        <v>7</v>
      </c>
      <c r="Q161">
        <v>16</v>
      </c>
      <c r="R161">
        <v>75</v>
      </c>
      <c r="S161">
        <v>21.2</v>
      </c>
      <c r="T161">
        <v>895</v>
      </c>
      <c r="U161">
        <v>1132</v>
      </c>
      <c r="V161" s="1">
        <v>45493</v>
      </c>
      <c r="X161">
        <v>151812</v>
      </c>
      <c r="Y161">
        <v>0.99875658700000003</v>
      </c>
      <c r="Z161">
        <v>1133.409296</v>
      </c>
      <c r="AA161">
        <f>1-((0.95-Y161)*0.5)</f>
        <v>1.0243782935000001</v>
      </c>
      <c r="AB161">
        <f>U161/AA161</f>
        <v>1105.0605105388247</v>
      </c>
      <c r="AC161" cm="1">
        <f t="array" ref="AC161">_xlfn.IFS(Y161&lt;0.6,U161,0.9&lt;Y161,U161,Y161,AB161)</f>
        <v>1132</v>
      </c>
      <c r="AD161">
        <v>0.999564805</v>
      </c>
      <c r="AE161">
        <v>1133.197371</v>
      </c>
      <c r="AF161">
        <v>1132</v>
      </c>
      <c r="AH161">
        <v>0</v>
      </c>
      <c r="AI161">
        <v>234</v>
      </c>
    </row>
    <row r="162" spans="1:35" x14ac:dyDescent="0.25">
      <c r="A162" t="s">
        <v>330</v>
      </c>
      <c r="B162" t="s">
        <v>587</v>
      </c>
      <c r="D162" t="s">
        <v>332</v>
      </c>
      <c r="E162">
        <v>247</v>
      </c>
      <c r="H162">
        <f t="shared" si="2"/>
        <v>241017017</v>
      </c>
      <c r="I162">
        <v>7017</v>
      </c>
      <c r="J162">
        <v>3</v>
      </c>
      <c r="K162" t="s">
        <v>333</v>
      </c>
      <c r="L162">
        <v>150000</v>
      </c>
      <c r="M162" t="s">
        <v>353</v>
      </c>
      <c r="N162">
        <v>82</v>
      </c>
      <c r="O162">
        <v>717</v>
      </c>
      <c r="P162">
        <v>7</v>
      </c>
      <c r="Q162">
        <v>17</v>
      </c>
      <c r="R162">
        <v>41</v>
      </c>
      <c r="S162">
        <v>17.7</v>
      </c>
      <c r="T162">
        <v>1483</v>
      </c>
      <c r="U162">
        <v>1958</v>
      </c>
      <c r="V162" s="1">
        <v>45496</v>
      </c>
      <c r="W162" s="1">
        <v>45536</v>
      </c>
      <c r="X162">
        <v>147383</v>
      </c>
      <c r="Y162">
        <v>0.96962499999999996</v>
      </c>
      <c r="Z162">
        <v>2019.3373730000001</v>
      </c>
      <c r="AA162">
        <f>1-((0.95-Y162)*0.5)</f>
        <v>1.0098125</v>
      </c>
      <c r="AB162">
        <f>U162/AA162</f>
        <v>1938.9738193971652</v>
      </c>
      <c r="AC162" cm="1">
        <f t="array" ref="AC162">_xlfn.IFS(Y162&lt;0.6,U162,0.9&lt;Y162,U162,Y162,AB162)</f>
        <v>1958</v>
      </c>
      <c r="AD162">
        <v>0.98936875000000002</v>
      </c>
      <c r="AE162">
        <v>2009.5598560000001</v>
      </c>
      <c r="AF162">
        <v>1958</v>
      </c>
      <c r="AH162">
        <v>0</v>
      </c>
      <c r="AI162">
        <v>247</v>
      </c>
    </row>
    <row r="163" spans="1:35" x14ac:dyDescent="0.25">
      <c r="A163" t="s">
        <v>330</v>
      </c>
      <c r="B163" t="s">
        <v>604</v>
      </c>
      <c r="D163" t="s">
        <v>332</v>
      </c>
      <c r="E163">
        <v>264</v>
      </c>
      <c r="H163">
        <f t="shared" si="2"/>
        <v>241017018</v>
      </c>
      <c r="I163">
        <v>7018</v>
      </c>
      <c r="J163">
        <v>3</v>
      </c>
      <c r="K163" t="s">
        <v>333</v>
      </c>
      <c r="L163">
        <v>75000</v>
      </c>
      <c r="M163" t="s">
        <v>351</v>
      </c>
      <c r="N163">
        <v>55</v>
      </c>
      <c r="O163">
        <v>718</v>
      </c>
      <c r="P163">
        <v>7</v>
      </c>
      <c r="Q163">
        <v>18</v>
      </c>
      <c r="R163">
        <v>58</v>
      </c>
      <c r="S163">
        <v>18.899999999999999</v>
      </c>
      <c r="T163">
        <v>527</v>
      </c>
      <c r="U163">
        <v>686</v>
      </c>
      <c r="V163" s="1">
        <v>45490</v>
      </c>
      <c r="W163" s="1">
        <v>45525</v>
      </c>
      <c r="X163">
        <v>112910</v>
      </c>
      <c r="Y163">
        <v>0.74282894700000002</v>
      </c>
      <c r="Z163">
        <v>923.49659020000001</v>
      </c>
      <c r="AA163">
        <f>1-((0.95-Y163)*0.5)</f>
        <v>0.89641447350000003</v>
      </c>
      <c r="AB163">
        <f>U163/AA163</f>
        <v>765.27099938664696</v>
      </c>
      <c r="AC163" cm="1">
        <f t="array" ref="AC163">_xlfn.IFS(Y163&lt;0.6,U163,0.9&lt;Y163,U163,Y163,AB163)</f>
        <v>765.27099938664696</v>
      </c>
      <c r="AD163">
        <v>0.90999013100000004</v>
      </c>
      <c r="AE163">
        <v>865.09273370000005</v>
      </c>
      <c r="AF163">
        <v>865.09273370000005</v>
      </c>
      <c r="AH163">
        <v>0</v>
      </c>
      <c r="AI163">
        <v>264</v>
      </c>
    </row>
    <row r="164" spans="1:35" x14ac:dyDescent="0.25">
      <c r="A164" t="s">
        <v>330</v>
      </c>
      <c r="B164">
        <v>1261178526</v>
      </c>
      <c r="D164" t="s">
        <v>332</v>
      </c>
      <c r="E164">
        <v>277</v>
      </c>
      <c r="H164">
        <f t="shared" si="2"/>
        <v>241017019</v>
      </c>
      <c r="I164">
        <v>7019</v>
      </c>
      <c r="J164">
        <v>4</v>
      </c>
      <c r="K164" t="s">
        <v>388</v>
      </c>
      <c r="L164">
        <v>75000</v>
      </c>
      <c r="M164" t="s">
        <v>295</v>
      </c>
      <c r="N164">
        <v>11</v>
      </c>
      <c r="O164">
        <v>719</v>
      </c>
      <c r="P164">
        <v>7</v>
      </c>
      <c r="Q164">
        <v>19</v>
      </c>
      <c r="V164" s="1">
        <v>45489</v>
      </c>
      <c r="W164" s="1">
        <v>45525</v>
      </c>
      <c r="X164">
        <v>123278</v>
      </c>
      <c r="Y164">
        <v>0.94101876699999998</v>
      </c>
      <c r="AA164">
        <f>1-((0.95-Y164)*0.5)</f>
        <v>0.99550938349999996</v>
      </c>
      <c r="AH164">
        <v>0</v>
      </c>
      <c r="AI164">
        <v>277</v>
      </c>
    </row>
    <row r="165" spans="1:35" x14ac:dyDescent="0.25">
      <c r="A165" t="s">
        <v>330</v>
      </c>
      <c r="B165" t="s">
        <v>633</v>
      </c>
      <c r="D165" t="s">
        <v>332</v>
      </c>
      <c r="E165">
        <v>294</v>
      </c>
      <c r="H165">
        <f t="shared" si="2"/>
        <v>241017020</v>
      </c>
      <c r="I165">
        <v>7020</v>
      </c>
      <c r="J165">
        <v>4</v>
      </c>
      <c r="K165" t="s">
        <v>388</v>
      </c>
      <c r="L165">
        <v>100000</v>
      </c>
      <c r="M165" t="s">
        <v>334</v>
      </c>
      <c r="N165">
        <v>23</v>
      </c>
      <c r="O165">
        <v>720</v>
      </c>
      <c r="P165">
        <v>7</v>
      </c>
      <c r="Q165">
        <v>20</v>
      </c>
      <c r="R165">
        <v>31</v>
      </c>
      <c r="S165">
        <v>17.7</v>
      </c>
      <c r="T165">
        <v>1480</v>
      </c>
      <c r="U165">
        <v>1954</v>
      </c>
      <c r="V165" s="1">
        <v>45498</v>
      </c>
      <c r="W165" s="1">
        <v>45534</v>
      </c>
      <c r="X165">
        <v>122306</v>
      </c>
      <c r="Y165">
        <v>0.91413237899999999</v>
      </c>
      <c r="Z165">
        <v>2428.4168719999998</v>
      </c>
      <c r="AA165">
        <f>1-((0.95-Y165)*0.5)</f>
        <v>0.98206618950000002</v>
      </c>
      <c r="AB165">
        <f>U165/AA165</f>
        <v>1989.6825905337819</v>
      </c>
      <c r="AC165" cm="1">
        <f t="array" ref="AC165">_xlfn.IFS(Y165&lt;0.6,U165,0.9&lt;Y165,U165,Y165,AB165)</f>
        <v>1954</v>
      </c>
      <c r="AD165">
        <v>0.96994633299999999</v>
      </c>
      <c r="AE165">
        <v>2232.6281920000001</v>
      </c>
      <c r="AF165">
        <v>1954</v>
      </c>
      <c r="AH165">
        <v>0</v>
      </c>
      <c r="AI165">
        <v>294</v>
      </c>
    </row>
    <row r="166" spans="1:35" x14ac:dyDescent="0.25">
      <c r="A166" t="s">
        <v>330</v>
      </c>
      <c r="B166" t="s">
        <v>645</v>
      </c>
      <c r="D166" t="s">
        <v>332</v>
      </c>
      <c r="E166">
        <v>307</v>
      </c>
      <c r="H166">
        <f t="shared" si="2"/>
        <v>241017021</v>
      </c>
      <c r="I166">
        <v>7021</v>
      </c>
      <c r="J166">
        <v>4</v>
      </c>
      <c r="K166" t="s">
        <v>388</v>
      </c>
      <c r="L166">
        <v>150000</v>
      </c>
      <c r="M166" t="s">
        <v>357</v>
      </c>
      <c r="N166">
        <v>33</v>
      </c>
      <c r="O166">
        <v>721</v>
      </c>
      <c r="P166">
        <v>7</v>
      </c>
      <c r="Q166">
        <v>21</v>
      </c>
      <c r="R166">
        <v>40</v>
      </c>
      <c r="S166">
        <v>18.3</v>
      </c>
      <c r="T166">
        <v>2280</v>
      </c>
      <c r="U166">
        <v>2989</v>
      </c>
      <c r="V166" s="1">
        <v>45496</v>
      </c>
      <c r="W166" s="1">
        <v>45532</v>
      </c>
      <c r="X166">
        <v>130952</v>
      </c>
      <c r="Y166">
        <v>0.95450490600000004</v>
      </c>
      <c r="Z166">
        <v>3469.4239109999999</v>
      </c>
      <c r="AA166">
        <f>1-((0.95-Y166)*0.5)</f>
        <v>1.0022524530000001</v>
      </c>
      <c r="AB166">
        <f>U166/AA166</f>
        <v>2982.2825487262735</v>
      </c>
      <c r="AC166" cm="1">
        <f t="array" ref="AC166">_xlfn.IFS(Y166&lt;0.6,U166,0.9&lt;Y166,U166,Y166,AB166)</f>
        <v>2989</v>
      </c>
      <c r="AD166">
        <v>0.98407671699999999</v>
      </c>
      <c r="AE166">
        <v>3263.3058080000001</v>
      </c>
      <c r="AF166">
        <v>2989</v>
      </c>
      <c r="AH166">
        <v>0</v>
      </c>
      <c r="AI166">
        <v>307</v>
      </c>
    </row>
    <row r="167" spans="1:35" x14ac:dyDescent="0.25">
      <c r="A167" t="s">
        <v>330</v>
      </c>
      <c r="B167" t="s">
        <v>662</v>
      </c>
      <c r="D167" t="s">
        <v>332</v>
      </c>
      <c r="E167">
        <v>324</v>
      </c>
      <c r="H167">
        <f t="shared" si="2"/>
        <v>241017022</v>
      </c>
      <c r="I167">
        <v>7022</v>
      </c>
      <c r="J167">
        <v>4</v>
      </c>
      <c r="K167" t="s">
        <v>333</v>
      </c>
      <c r="L167">
        <v>150000</v>
      </c>
      <c r="M167" t="s">
        <v>336</v>
      </c>
      <c r="N167">
        <v>79</v>
      </c>
      <c r="O167">
        <v>722</v>
      </c>
      <c r="P167">
        <v>7</v>
      </c>
      <c r="Q167">
        <v>22</v>
      </c>
      <c r="R167">
        <v>67</v>
      </c>
      <c r="S167">
        <v>20</v>
      </c>
      <c r="T167">
        <v>827</v>
      </c>
      <c r="U167">
        <v>1062</v>
      </c>
      <c r="V167" s="1">
        <v>45493</v>
      </c>
      <c r="X167">
        <v>151937</v>
      </c>
      <c r="Y167">
        <v>0.99959867899999999</v>
      </c>
      <c r="Z167">
        <v>1062.4263739999999</v>
      </c>
      <c r="AA167">
        <f>1-((0.95-Y167)*0.5)</f>
        <v>1.0247993394999999</v>
      </c>
      <c r="AB167">
        <f>U167/AA167</f>
        <v>1036.3004337201762</v>
      </c>
      <c r="AC167" cm="1">
        <f t="array" ref="AC167">_xlfn.IFS(Y167&lt;0.6,U167,0.9&lt;Y167,U167,Y167,AB167)</f>
        <v>1062</v>
      </c>
      <c r="AD167">
        <v>0.99985953800000005</v>
      </c>
      <c r="AE167">
        <v>1062.3623660000001</v>
      </c>
      <c r="AF167">
        <v>1062</v>
      </c>
      <c r="AH167">
        <v>0</v>
      </c>
      <c r="AI167">
        <v>324</v>
      </c>
    </row>
    <row r="168" spans="1:35" x14ac:dyDescent="0.25">
      <c r="A168" t="s">
        <v>330</v>
      </c>
      <c r="B168" t="s">
        <v>675</v>
      </c>
      <c r="D168" t="s">
        <v>332</v>
      </c>
      <c r="E168">
        <v>337</v>
      </c>
      <c r="H168">
        <f t="shared" si="2"/>
        <v>241017023</v>
      </c>
      <c r="I168">
        <v>7023</v>
      </c>
      <c r="J168">
        <v>4</v>
      </c>
      <c r="K168" t="s">
        <v>333</v>
      </c>
      <c r="L168">
        <v>100000</v>
      </c>
      <c r="M168" t="s">
        <v>298</v>
      </c>
      <c r="N168">
        <v>66</v>
      </c>
      <c r="O168">
        <v>723</v>
      </c>
      <c r="P168">
        <v>7</v>
      </c>
      <c r="Q168">
        <v>23</v>
      </c>
      <c r="R168">
        <v>57</v>
      </c>
      <c r="S168">
        <v>23.6</v>
      </c>
      <c r="T168">
        <v>681</v>
      </c>
      <c r="U168">
        <v>835</v>
      </c>
      <c r="V168" s="1">
        <v>45491</v>
      </c>
      <c r="W168" s="1">
        <v>45530</v>
      </c>
      <c r="X168">
        <v>147817</v>
      </c>
      <c r="Y168">
        <v>0.97246746799999995</v>
      </c>
      <c r="Z168">
        <v>858.64054880000003</v>
      </c>
      <c r="AA168">
        <f>1-((0.95-Y168)*0.5)</f>
        <v>1.0112337339999999</v>
      </c>
      <c r="AB168">
        <f>U168/AA168</f>
        <v>825.72403582414518</v>
      </c>
      <c r="AC168" cm="1">
        <f t="array" ref="AC168">_xlfn.IFS(Y168&lt;0.6,U168,0.9&lt;Y168,U168,Y168,AB168)</f>
        <v>835</v>
      </c>
      <c r="AD168">
        <v>0.99036361399999995</v>
      </c>
      <c r="AE168">
        <v>854.8933644</v>
      </c>
      <c r="AF168">
        <v>835</v>
      </c>
      <c r="AH168">
        <v>0</v>
      </c>
      <c r="AI168">
        <v>337</v>
      </c>
    </row>
    <row r="169" spans="1:35" x14ac:dyDescent="0.25">
      <c r="A169" t="s">
        <v>330</v>
      </c>
      <c r="B169" t="s">
        <v>692</v>
      </c>
      <c r="D169" t="s">
        <v>332</v>
      </c>
      <c r="E169">
        <v>354</v>
      </c>
      <c r="H169">
        <f t="shared" si="2"/>
        <v>241017024</v>
      </c>
      <c r="I169">
        <v>7024</v>
      </c>
      <c r="J169">
        <v>4</v>
      </c>
      <c r="K169" t="s">
        <v>333</v>
      </c>
      <c r="L169">
        <v>75000</v>
      </c>
      <c r="M169" t="s">
        <v>357</v>
      </c>
      <c r="N169">
        <v>48</v>
      </c>
      <c r="O169">
        <v>724</v>
      </c>
      <c r="P169">
        <v>7</v>
      </c>
      <c r="Q169">
        <v>24</v>
      </c>
      <c r="R169">
        <v>43</v>
      </c>
      <c r="S169">
        <v>20.5</v>
      </c>
      <c r="T169">
        <v>1832</v>
      </c>
      <c r="U169">
        <v>2337</v>
      </c>
      <c r="V169" s="1">
        <v>45492</v>
      </c>
      <c r="W169" s="1">
        <v>45536</v>
      </c>
      <c r="X169">
        <v>146315</v>
      </c>
      <c r="Y169">
        <v>0.96259868400000004</v>
      </c>
      <c r="Z169">
        <v>2427.8030279999998</v>
      </c>
      <c r="AA169">
        <f>1-((0.95-Y169)*0.5)</f>
        <v>1.0062993420000002</v>
      </c>
      <c r="AB169">
        <f>U169/AA169</f>
        <v>2322.3705933815463</v>
      </c>
      <c r="AC169" cm="1">
        <f t="array" ref="AC169">_xlfn.IFS(Y169&lt;0.6,U169,0.9&lt;Y169,U169,Y169,AB169)</f>
        <v>2337</v>
      </c>
      <c r="AD169">
        <v>0.986909539</v>
      </c>
      <c r="AE169">
        <v>2413.1252169999998</v>
      </c>
      <c r="AF169">
        <v>2337</v>
      </c>
      <c r="AH169">
        <v>0</v>
      </c>
      <c r="AI169">
        <v>354</v>
      </c>
    </row>
    <row r="170" spans="1:35" x14ac:dyDescent="0.25">
      <c r="A170" t="s">
        <v>330</v>
      </c>
      <c r="B170" t="s">
        <v>344</v>
      </c>
      <c r="D170" t="s">
        <v>332</v>
      </c>
      <c r="E170">
        <v>8</v>
      </c>
      <c r="H170">
        <f t="shared" si="2"/>
        <v>241018001</v>
      </c>
      <c r="I170">
        <v>8001</v>
      </c>
      <c r="J170">
        <v>1</v>
      </c>
      <c r="K170" t="s">
        <v>333</v>
      </c>
      <c r="L170">
        <v>100000</v>
      </c>
      <c r="M170" t="s">
        <v>298</v>
      </c>
      <c r="N170">
        <v>66</v>
      </c>
      <c r="O170">
        <v>801</v>
      </c>
      <c r="P170">
        <v>8</v>
      </c>
      <c r="Q170">
        <v>1</v>
      </c>
      <c r="R170">
        <v>41</v>
      </c>
      <c r="S170">
        <v>18.2</v>
      </c>
      <c r="T170">
        <v>851</v>
      </c>
      <c r="U170">
        <v>1117</v>
      </c>
      <c r="V170" s="1">
        <v>45489</v>
      </c>
      <c r="W170" s="1">
        <v>45523</v>
      </c>
      <c r="X170">
        <v>146571</v>
      </c>
      <c r="Y170">
        <v>0.96428289499999997</v>
      </c>
      <c r="Z170">
        <v>1158.3737570000001</v>
      </c>
      <c r="AA170">
        <f>1-((0.95-Y170)*0.5)</f>
        <v>1.0071414475</v>
      </c>
      <c r="AB170">
        <f>U170/AA170</f>
        <v>1109.0795665024996</v>
      </c>
      <c r="AC170" cm="1">
        <f t="array" ref="AC170">_xlfn.IFS(Y170&lt;0.6,U170,0.9&lt;Y170,U170,Y170,AB170)</f>
        <v>1117</v>
      </c>
      <c r="AD170">
        <v>0.98749901299999998</v>
      </c>
      <c r="AE170">
        <v>1151.708212</v>
      </c>
      <c r="AF170">
        <v>1117</v>
      </c>
      <c r="AH170">
        <v>0</v>
      </c>
      <c r="AI170">
        <v>8</v>
      </c>
    </row>
    <row r="171" spans="1:35" x14ac:dyDescent="0.25">
      <c r="A171" t="s">
        <v>330</v>
      </c>
      <c r="B171" t="s">
        <v>365</v>
      </c>
      <c r="D171" t="s">
        <v>332</v>
      </c>
      <c r="E171">
        <v>23</v>
      </c>
      <c r="H171">
        <f t="shared" si="2"/>
        <v>241018002</v>
      </c>
      <c r="I171">
        <v>8002</v>
      </c>
      <c r="J171">
        <v>1</v>
      </c>
      <c r="K171" t="s">
        <v>333</v>
      </c>
      <c r="L171">
        <v>150000</v>
      </c>
      <c r="M171" t="s">
        <v>283</v>
      </c>
      <c r="N171">
        <v>77</v>
      </c>
      <c r="O171">
        <v>802</v>
      </c>
      <c r="P171">
        <v>8</v>
      </c>
      <c r="Q171">
        <v>2</v>
      </c>
      <c r="R171">
        <v>60</v>
      </c>
      <c r="S171">
        <v>19</v>
      </c>
      <c r="T171">
        <v>1885</v>
      </c>
      <c r="U171">
        <v>2450</v>
      </c>
      <c r="V171" s="1">
        <v>45496</v>
      </c>
      <c r="W171" s="1">
        <v>45533</v>
      </c>
      <c r="X171">
        <v>151632</v>
      </c>
      <c r="Y171">
        <v>0.99757894700000005</v>
      </c>
      <c r="Z171">
        <v>2455.9459740000002</v>
      </c>
      <c r="AA171">
        <f>1-((0.95-Y171)*0.5)</f>
        <v>1.0237894734999999</v>
      </c>
      <c r="AB171">
        <f>U171/AA171</f>
        <v>2393.0701217548708</v>
      </c>
      <c r="AC171" cm="1">
        <f t="array" ref="AC171">_xlfn.IFS(Y171&lt;0.6,U171,0.9&lt;Y171,U171,Y171,AB171)</f>
        <v>2450</v>
      </c>
      <c r="AD171">
        <v>0.99915263099999996</v>
      </c>
      <c r="AE171">
        <v>2455.049716</v>
      </c>
      <c r="AF171">
        <v>2450</v>
      </c>
      <c r="AH171">
        <v>0</v>
      </c>
      <c r="AI171">
        <v>23</v>
      </c>
    </row>
    <row r="172" spans="1:35" x14ac:dyDescent="0.25">
      <c r="A172" t="s">
        <v>330</v>
      </c>
      <c r="B172" t="s">
        <v>380</v>
      </c>
      <c r="D172" t="s">
        <v>332</v>
      </c>
      <c r="E172">
        <v>38</v>
      </c>
      <c r="H172">
        <f t="shared" si="2"/>
        <v>241018003</v>
      </c>
      <c r="I172">
        <v>8003</v>
      </c>
      <c r="J172">
        <v>1</v>
      </c>
      <c r="K172" t="s">
        <v>333</v>
      </c>
      <c r="L172">
        <v>75000</v>
      </c>
      <c r="M172" t="s">
        <v>336</v>
      </c>
      <c r="N172">
        <v>49</v>
      </c>
      <c r="O172">
        <v>803</v>
      </c>
      <c r="P172">
        <v>8</v>
      </c>
      <c r="Q172">
        <v>3</v>
      </c>
      <c r="R172">
        <v>67</v>
      </c>
      <c r="S172">
        <v>23</v>
      </c>
      <c r="T172">
        <v>722</v>
      </c>
      <c r="U172">
        <v>892</v>
      </c>
      <c r="V172" s="1">
        <v>45496</v>
      </c>
      <c r="X172">
        <v>142067</v>
      </c>
      <c r="Y172">
        <v>0.93465746500000002</v>
      </c>
      <c r="Z172">
        <v>954.36032290000003</v>
      </c>
      <c r="AA172">
        <f>1-((0.95-Y172)*0.5)</f>
        <v>0.99232873250000009</v>
      </c>
      <c r="AB172">
        <f>U172/AA172</f>
        <v>898.8956691325069</v>
      </c>
      <c r="AC172" cm="1">
        <f t="array" ref="AC172">_xlfn.IFS(Y172&lt;0.6,U172,0.9&lt;Y172,U172,Y172,AB172)</f>
        <v>892</v>
      </c>
      <c r="AD172">
        <v>0.97713011299999997</v>
      </c>
      <c r="AE172">
        <v>943.7095918</v>
      </c>
      <c r="AF172">
        <v>892</v>
      </c>
      <c r="AH172">
        <v>0</v>
      </c>
      <c r="AI172">
        <v>38</v>
      </c>
    </row>
    <row r="173" spans="1:35" x14ac:dyDescent="0.25">
      <c r="A173" t="s">
        <v>330</v>
      </c>
      <c r="B173" t="s">
        <v>395</v>
      </c>
      <c r="D173" t="s">
        <v>332</v>
      </c>
      <c r="E173">
        <v>53</v>
      </c>
      <c r="H173">
        <f t="shared" si="2"/>
        <v>241018004</v>
      </c>
      <c r="I173">
        <v>8004</v>
      </c>
      <c r="J173">
        <v>1</v>
      </c>
      <c r="K173" t="s">
        <v>388</v>
      </c>
      <c r="L173">
        <v>150000</v>
      </c>
      <c r="M173" t="s">
        <v>351</v>
      </c>
      <c r="N173">
        <v>40</v>
      </c>
      <c r="O173">
        <v>804</v>
      </c>
      <c r="P173">
        <v>8</v>
      </c>
      <c r="Q173">
        <v>4</v>
      </c>
      <c r="R173">
        <v>57</v>
      </c>
      <c r="S173">
        <v>18.899999999999999</v>
      </c>
      <c r="T173">
        <v>764</v>
      </c>
      <c r="U173">
        <v>994</v>
      </c>
      <c r="V173" s="1">
        <v>45490</v>
      </c>
      <c r="W173" s="1">
        <v>45526</v>
      </c>
      <c r="X173">
        <v>129000</v>
      </c>
      <c r="Y173">
        <v>0.98928571399999998</v>
      </c>
      <c r="Z173">
        <v>1171.232512</v>
      </c>
      <c r="AA173">
        <f>1-((0.95-Y173)*0.5)</f>
        <v>1.019642857</v>
      </c>
      <c r="AB173">
        <f>U173/AA173</f>
        <v>974.8511384903469</v>
      </c>
      <c r="AC173" cm="1">
        <f t="array" ref="AC173">_xlfn.IFS(Y173&lt;0.6,U173,0.9&lt;Y173,U173,Y173,AB173)</f>
        <v>994</v>
      </c>
      <c r="AD173">
        <v>0.99624999999999997</v>
      </c>
      <c r="AE173">
        <v>1079.4104669999999</v>
      </c>
      <c r="AF173">
        <v>994</v>
      </c>
      <c r="AH173">
        <v>0</v>
      </c>
      <c r="AI173">
        <v>53</v>
      </c>
    </row>
    <row r="174" spans="1:35" x14ac:dyDescent="0.25">
      <c r="A174" t="s">
        <v>330</v>
      </c>
      <c r="B174" t="s">
        <v>410</v>
      </c>
      <c r="D174" t="s">
        <v>332</v>
      </c>
      <c r="E174">
        <v>68</v>
      </c>
      <c r="H174">
        <f t="shared" si="2"/>
        <v>241018005</v>
      </c>
      <c r="I174">
        <v>8005</v>
      </c>
      <c r="J174">
        <v>1</v>
      </c>
      <c r="K174" t="s">
        <v>388</v>
      </c>
      <c r="L174">
        <v>75000</v>
      </c>
      <c r="M174" t="s">
        <v>357</v>
      </c>
      <c r="N174">
        <v>3</v>
      </c>
      <c r="O174">
        <v>805</v>
      </c>
      <c r="P174">
        <v>8</v>
      </c>
      <c r="Q174">
        <v>5</v>
      </c>
      <c r="R174">
        <v>41</v>
      </c>
      <c r="S174">
        <v>19.7</v>
      </c>
      <c r="T174">
        <v>1511</v>
      </c>
      <c r="U174">
        <v>1947</v>
      </c>
      <c r="V174" s="1">
        <v>45496</v>
      </c>
      <c r="W174" s="1">
        <v>45534</v>
      </c>
      <c r="X174">
        <v>76037</v>
      </c>
      <c r="Y174">
        <v>0.51520572499999995</v>
      </c>
      <c r="Z174">
        <v>3892.1307649999999</v>
      </c>
      <c r="AA174">
        <f>1-((0.95-Y174)*0.5)</f>
        <v>0.7826028625</v>
      </c>
      <c r="AB174">
        <f>U174/AA174</f>
        <v>2487.8518764681876</v>
      </c>
      <c r="AC174" cm="1">
        <f t="array" ref="AC174">_xlfn.IFS(Y174&lt;0.6,U174,0.9&lt;Y174,U174,Y174,AB174)</f>
        <v>1947</v>
      </c>
      <c r="AD174">
        <v>0.830322004</v>
      </c>
      <c r="AE174">
        <v>3125.9974689999999</v>
      </c>
      <c r="AF174">
        <v>1947</v>
      </c>
      <c r="AH174">
        <v>0</v>
      </c>
      <c r="AI174">
        <v>68</v>
      </c>
    </row>
    <row r="175" spans="1:35" x14ac:dyDescent="0.25">
      <c r="A175" t="s">
        <v>330</v>
      </c>
      <c r="B175" t="s">
        <v>425</v>
      </c>
      <c r="D175" t="s">
        <v>332</v>
      </c>
      <c r="E175">
        <v>83</v>
      </c>
      <c r="H175">
        <f t="shared" si="2"/>
        <v>241018006</v>
      </c>
      <c r="I175">
        <v>8006</v>
      </c>
      <c r="J175">
        <v>1</v>
      </c>
      <c r="K175" t="s">
        <v>388</v>
      </c>
      <c r="L175">
        <v>100000</v>
      </c>
      <c r="M175" t="s">
        <v>343</v>
      </c>
      <c r="N175">
        <v>16</v>
      </c>
      <c r="O175">
        <v>806</v>
      </c>
      <c r="P175">
        <v>8</v>
      </c>
      <c r="Q175">
        <v>6</v>
      </c>
      <c r="R175">
        <v>28</v>
      </c>
      <c r="S175">
        <v>22.7</v>
      </c>
      <c r="T175">
        <v>1549</v>
      </c>
      <c r="U175">
        <v>1921</v>
      </c>
      <c r="V175" s="1">
        <v>45497</v>
      </c>
      <c r="W175" s="1">
        <v>45535</v>
      </c>
      <c r="X175">
        <v>113134</v>
      </c>
      <c r="Y175">
        <v>0.87399463799999999</v>
      </c>
      <c r="Z175">
        <v>2580.9054569999998</v>
      </c>
      <c r="AA175">
        <f>1-((0.95-Y175)*0.5)</f>
        <v>0.96199731899999996</v>
      </c>
      <c r="AB175">
        <f>U175/AA175</f>
        <v>1996.8870620106168</v>
      </c>
      <c r="AC175" cm="1">
        <f t="array" ref="AC175">_xlfn.IFS(Y175&lt;0.6,U175,0.9&lt;Y175,U175,Y175,AB175)</f>
        <v>1996.8870620106168</v>
      </c>
      <c r="AD175">
        <v>0.95589812299999999</v>
      </c>
      <c r="AE175">
        <v>2304.2069240000001</v>
      </c>
      <c r="AF175">
        <v>2304.2069240000001</v>
      </c>
      <c r="AH175">
        <v>0</v>
      </c>
      <c r="AI175">
        <v>83</v>
      </c>
    </row>
    <row r="176" spans="1:35" x14ac:dyDescent="0.25">
      <c r="A176" t="s">
        <v>330</v>
      </c>
      <c r="B176" t="s">
        <v>440</v>
      </c>
      <c r="D176" t="s">
        <v>332</v>
      </c>
      <c r="E176">
        <v>98</v>
      </c>
      <c r="H176">
        <f t="shared" si="2"/>
        <v>241018007</v>
      </c>
      <c r="I176">
        <v>8007</v>
      </c>
      <c r="J176">
        <v>2</v>
      </c>
      <c r="K176" t="s">
        <v>388</v>
      </c>
      <c r="L176">
        <v>75000</v>
      </c>
      <c r="M176" t="s">
        <v>334</v>
      </c>
      <c r="N176">
        <v>8</v>
      </c>
      <c r="O176">
        <v>807</v>
      </c>
      <c r="P176">
        <v>8</v>
      </c>
      <c r="Q176">
        <v>7</v>
      </c>
      <c r="R176">
        <v>28</v>
      </c>
      <c r="S176">
        <v>20</v>
      </c>
      <c r="T176">
        <v>1804</v>
      </c>
      <c r="U176">
        <v>2316</v>
      </c>
      <c r="V176" s="1">
        <v>45498</v>
      </c>
      <c r="W176" s="1">
        <v>45533</v>
      </c>
      <c r="X176">
        <v>112556</v>
      </c>
      <c r="Y176">
        <v>0.86631016000000005</v>
      </c>
      <c r="Z176">
        <v>3127.637052</v>
      </c>
      <c r="AA176">
        <f>1-((0.95-Y176)*0.5)</f>
        <v>0.95815508000000005</v>
      </c>
      <c r="AB176">
        <f>U176/AA176</f>
        <v>2417.1452495977996</v>
      </c>
      <c r="AC176" cm="1">
        <f t="array" ref="AC176">_xlfn.IFS(Y176&lt;0.6,U176,0.9&lt;Y176,U176,Y176,AB176)</f>
        <v>2417.1452495977996</v>
      </c>
      <c r="AD176">
        <v>0.95320855599999998</v>
      </c>
      <c r="AE176">
        <v>2791.9510949999999</v>
      </c>
      <c r="AF176">
        <v>2791.9510949999999</v>
      </c>
      <c r="AH176">
        <v>0</v>
      </c>
      <c r="AI176">
        <v>98</v>
      </c>
    </row>
    <row r="177" spans="1:35" x14ac:dyDescent="0.25">
      <c r="A177" t="s">
        <v>330</v>
      </c>
      <c r="B177" t="s">
        <v>453</v>
      </c>
      <c r="D177" t="s">
        <v>332</v>
      </c>
      <c r="E177">
        <v>113</v>
      </c>
      <c r="H177">
        <f t="shared" si="2"/>
        <v>241018008</v>
      </c>
      <c r="I177">
        <v>8008</v>
      </c>
      <c r="J177">
        <v>2</v>
      </c>
      <c r="K177" t="s">
        <v>388</v>
      </c>
      <c r="L177">
        <v>150000</v>
      </c>
      <c r="M177" t="s">
        <v>283</v>
      </c>
      <c r="N177">
        <v>32</v>
      </c>
      <c r="O177">
        <v>808</v>
      </c>
      <c r="P177">
        <v>8</v>
      </c>
      <c r="Q177">
        <v>8</v>
      </c>
      <c r="R177">
        <v>36</v>
      </c>
      <c r="S177">
        <v>19.2</v>
      </c>
      <c r="T177">
        <v>1748</v>
      </c>
      <c r="U177">
        <v>2266</v>
      </c>
      <c r="V177" s="1">
        <v>45495</v>
      </c>
      <c r="W177" s="1">
        <v>45532</v>
      </c>
      <c r="X177">
        <v>115505</v>
      </c>
      <c r="Y177">
        <v>0.88561215400000004</v>
      </c>
      <c r="Z177">
        <v>2981.9661489999999</v>
      </c>
      <c r="AA177">
        <f>1-((0.95-Y177)*0.5)</f>
        <v>0.9678060770000001</v>
      </c>
      <c r="AB177">
        <f>U177/AA177</f>
        <v>2341.3781478042938</v>
      </c>
      <c r="AC177" cm="1">
        <f t="array" ref="AC177">_xlfn.IFS(Y177&lt;0.6,U177,0.9&lt;Y177,U177,Y177,AB177)</f>
        <v>2341.3781478042938</v>
      </c>
      <c r="AD177">
        <v>0.95996425399999996</v>
      </c>
      <c r="AE177">
        <v>2682.5419590000001</v>
      </c>
      <c r="AF177">
        <v>2682.5419590000001</v>
      </c>
      <c r="AH177">
        <v>0</v>
      </c>
      <c r="AI177">
        <v>113</v>
      </c>
    </row>
    <row r="178" spans="1:35" x14ac:dyDescent="0.25">
      <c r="A178" t="s">
        <v>330</v>
      </c>
      <c r="B178" t="s">
        <v>468</v>
      </c>
      <c r="D178" t="s">
        <v>332</v>
      </c>
      <c r="E178">
        <v>128</v>
      </c>
      <c r="H178">
        <f t="shared" si="2"/>
        <v>241018009</v>
      </c>
      <c r="I178">
        <v>8009</v>
      </c>
      <c r="J178">
        <v>2</v>
      </c>
      <c r="K178" t="s">
        <v>388</v>
      </c>
      <c r="L178">
        <v>100000</v>
      </c>
      <c r="M178" t="s">
        <v>351</v>
      </c>
      <c r="N178">
        <v>25</v>
      </c>
      <c r="O178">
        <v>809</v>
      </c>
      <c r="P178">
        <v>8</v>
      </c>
      <c r="Q178">
        <v>9</v>
      </c>
      <c r="R178">
        <v>62</v>
      </c>
      <c r="S178">
        <v>20.6</v>
      </c>
      <c r="T178">
        <v>913</v>
      </c>
      <c r="U178">
        <v>1163</v>
      </c>
      <c r="V178" s="1">
        <v>45490</v>
      </c>
      <c r="W178" s="1">
        <v>45524</v>
      </c>
      <c r="X178">
        <v>134725</v>
      </c>
      <c r="Y178">
        <v>0.97408400399999995</v>
      </c>
      <c r="Z178">
        <v>1312.133331</v>
      </c>
      <c r="AA178">
        <f>1-((0.95-Y178)*0.5)</f>
        <v>1.0120420020000001</v>
      </c>
      <c r="AB178">
        <f>U178/AA178</f>
        <v>1149.1617914095229</v>
      </c>
      <c r="AC178" cm="1">
        <f t="array" ref="AC178">_xlfn.IFS(Y178&lt;0.6,U178,0.9&lt;Y178,U178,Y178,AB178)</f>
        <v>1163</v>
      </c>
      <c r="AD178">
        <v>0.99092940100000004</v>
      </c>
      <c r="AE178">
        <v>1244.360925</v>
      </c>
      <c r="AF178">
        <v>1163</v>
      </c>
      <c r="AH178">
        <v>0</v>
      </c>
      <c r="AI178">
        <v>128</v>
      </c>
    </row>
    <row r="179" spans="1:35" x14ac:dyDescent="0.25">
      <c r="A179" t="s">
        <v>330</v>
      </c>
      <c r="B179" t="s">
        <v>483</v>
      </c>
      <c r="D179" t="s">
        <v>332</v>
      </c>
      <c r="E179">
        <v>143</v>
      </c>
      <c r="H179">
        <f t="shared" si="2"/>
        <v>241018010</v>
      </c>
      <c r="I179">
        <v>8010</v>
      </c>
      <c r="J179">
        <v>2</v>
      </c>
      <c r="K179" t="s">
        <v>333</v>
      </c>
      <c r="L179">
        <v>100000</v>
      </c>
      <c r="M179" t="s">
        <v>336</v>
      </c>
      <c r="N179">
        <v>64</v>
      </c>
      <c r="O179">
        <v>810</v>
      </c>
      <c r="P179">
        <v>8</v>
      </c>
      <c r="Q179">
        <v>10</v>
      </c>
      <c r="R179">
        <v>63</v>
      </c>
      <c r="S179">
        <v>20.399999999999999</v>
      </c>
      <c r="T179">
        <v>1000</v>
      </c>
      <c r="U179">
        <v>1277</v>
      </c>
      <c r="V179" s="1">
        <v>45496</v>
      </c>
      <c r="X179">
        <v>139923</v>
      </c>
      <c r="Y179">
        <v>0.92055816499999998</v>
      </c>
      <c r="Z179">
        <v>1387.201861</v>
      </c>
      <c r="AA179">
        <f>1-((0.95-Y179)*0.5)</f>
        <v>0.98527908249999996</v>
      </c>
      <c r="AB179">
        <f>U179/AA179</f>
        <v>1296.0794790850541</v>
      </c>
      <c r="AC179" cm="1">
        <f t="array" ref="AC179">_xlfn.IFS(Y179&lt;0.6,U179,0.9&lt;Y179,U179,Y179,AB179)</f>
        <v>1277</v>
      </c>
      <c r="AD179">
        <v>0.97219535800000001</v>
      </c>
      <c r="AE179">
        <v>1367.8544429999999</v>
      </c>
      <c r="AF179">
        <v>1277</v>
      </c>
      <c r="AH179">
        <v>0</v>
      </c>
      <c r="AI179">
        <v>143</v>
      </c>
    </row>
    <row r="180" spans="1:35" x14ac:dyDescent="0.25">
      <c r="A180" t="s">
        <v>330</v>
      </c>
      <c r="B180" t="s">
        <v>498</v>
      </c>
      <c r="D180" t="s">
        <v>332</v>
      </c>
      <c r="E180">
        <v>158</v>
      </c>
      <c r="H180">
        <f t="shared" si="2"/>
        <v>241018011</v>
      </c>
      <c r="I180">
        <v>8011</v>
      </c>
      <c r="J180">
        <v>2</v>
      </c>
      <c r="K180" t="s">
        <v>333</v>
      </c>
      <c r="L180">
        <v>75000</v>
      </c>
      <c r="M180" t="s">
        <v>347</v>
      </c>
      <c r="N180">
        <v>57</v>
      </c>
      <c r="O180">
        <v>811</v>
      </c>
      <c r="P180">
        <v>8</v>
      </c>
      <c r="Q180">
        <v>11</v>
      </c>
      <c r="R180">
        <v>70</v>
      </c>
      <c r="S180">
        <v>20.8</v>
      </c>
      <c r="T180">
        <v>1183</v>
      </c>
      <c r="U180">
        <v>1503</v>
      </c>
      <c r="V180" s="1">
        <v>45494</v>
      </c>
      <c r="X180">
        <v>150758</v>
      </c>
      <c r="Y180">
        <v>0.99182242200000004</v>
      </c>
      <c r="Z180">
        <v>1515.3922379999999</v>
      </c>
      <c r="AA180">
        <f>1-((0.95-Y180)*0.5)</f>
        <v>1.020911211</v>
      </c>
      <c r="AB180">
        <f>U180/AA180</f>
        <v>1472.2142178532702</v>
      </c>
      <c r="AC180" cm="1">
        <f t="array" ref="AC180">_xlfn.IFS(Y180&lt;0.6,U180,0.9&lt;Y180,U180,Y180,AB180)</f>
        <v>1503</v>
      </c>
      <c r="AD180">
        <v>0.99713784800000005</v>
      </c>
      <c r="AE180">
        <v>1513.502555</v>
      </c>
      <c r="AF180">
        <v>1503</v>
      </c>
      <c r="AH180">
        <v>0</v>
      </c>
      <c r="AI180">
        <v>158</v>
      </c>
    </row>
    <row r="181" spans="1:35" x14ac:dyDescent="0.25">
      <c r="A181" t="s">
        <v>330</v>
      </c>
      <c r="B181" t="s">
        <v>513</v>
      </c>
      <c r="D181" t="s">
        <v>332</v>
      </c>
      <c r="E181">
        <v>173</v>
      </c>
      <c r="H181">
        <f t="shared" si="2"/>
        <v>241018012</v>
      </c>
      <c r="I181">
        <v>8012</v>
      </c>
      <c r="J181">
        <v>2</v>
      </c>
      <c r="K181" t="s">
        <v>333</v>
      </c>
      <c r="L181">
        <v>150000</v>
      </c>
      <c r="M181" t="s">
        <v>334</v>
      </c>
      <c r="N181">
        <v>83</v>
      </c>
      <c r="O181">
        <v>812</v>
      </c>
      <c r="P181">
        <v>8</v>
      </c>
      <c r="Q181">
        <v>12</v>
      </c>
      <c r="R181">
        <v>24</v>
      </c>
      <c r="S181">
        <v>20.5</v>
      </c>
      <c r="T181">
        <v>2112</v>
      </c>
      <c r="U181">
        <v>2694</v>
      </c>
      <c r="V181" s="1">
        <v>45494</v>
      </c>
      <c r="W181" s="1">
        <v>45533</v>
      </c>
      <c r="X181">
        <v>144687</v>
      </c>
      <c r="Y181">
        <v>0.95188189599999995</v>
      </c>
      <c r="Z181">
        <v>2830.183043</v>
      </c>
      <c r="AA181">
        <f>1-((0.95-Y181)*0.5)</f>
        <v>1.000940948</v>
      </c>
      <c r="AB181">
        <f>U181/AA181</f>
        <v>2691.4674690679153</v>
      </c>
      <c r="AC181" cm="1">
        <f t="array" ref="AC181">_xlfn.IFS(Y181&lt;0.6,U181,0.9&lt;Y181,U181,Y181,AB181)</f>
        <v>2694</v>
      </c>
      <c r="AD181">
        <v>0.98315866399999996</v>
      </c>
      <c r="AE181">
        <v>2807.6983100000002</v>
      </c>
      <c r="AF181">
        <v>2694</v>
      </c>
      <c r="AH181">
        <v>0</v>
      </c>
      <c r="AI181">
        <v>173</v>
      </c>
    </row>
    <row r="182" spans="1:35" x14ac:dyDescent="0.25">
      <c r="A182" t="s">
        <v>330</v>
      </c>
      <c r="B182" t="s">
        <v>528</v>
      </c>
      <c r="D182" t="s">
        <v>332</v>
      </c>
      <c r="E182">
        <v>188</v>
      </c>
      <c r="H182">
        <f t="shared" si="2"/>
        <v>241018013</v>
      </c>
      <c r="I182">
        <v>8013</v>
      </c>
      <c r="J182">
        <v>3</v>
      </c>
      <c r="K182" t="s">
        <v>388</v>
      </c>
      <c r="L182">
        <v>150000</v>
      </c>
      <c r="M182" t="s">
        <v>347</v>
      </c>
      <c r="N182">
        <v>42</v>
      </c>
      <c r="O182">
        <v>813</v>
      </c>
      <c r="P182">
        <v>8</v>
      </c>
      <c r="Q182">
        <v>13</v>
      </c>
      <c r="R182">
        <v>67</v>
      </c>
      <c r="S182">
        <v>21.3</v>
      </c>
      <c r="T182">
        <v>824</v>
      </c>
      <c r="U182">
        <v>1041</v>
      </c>
      <c r="V182" s="1">
        <v>45493</v>
      </c>
      <c r="W182" s="1">
        <v>45537</v>
      </c>
      <c r="X182">
        <v>126104</v>
      </c>
      <c r="Y182">
        <v>0.91362422099999996</v>
      </c>
      <c r="Z182">
        <v>1254.765582</v>
      </c>
      <c r="AA182">
        <f>1-((0.95-Y182)*0.5)</f>
        <v>0.98181211049999995</v>
      </c>
      <c r="AB182">
        <f>U182/AA182</f>
        <v>1060.2843343110301</v>
      </c>
      <c r="AC182" cm="1">
        <f t="array" ref="AC182">_xlfn.IFS(Y182&lt;0.6,U182,0.9&lt;Y182,U182,Y182,AB182)</f>
        <v>1041</v>
      </c>
      <c r="AD182">
        <v>0.96976847700000002</v>
      </c>
      <c r="AE182">
        <v>1173.4044180000001</v>
      </c>
      <c r="AF182">
        <v>1041</v>
      </c>
      <c r="AH182">
        <v>0</v>
      </c>
      <c r="AI182">
        <v>188</v>
      </c>
    </row>
    <row r="183" spans="1:35" x14ac:dyDescent="0.25">
      <c r="A183" t="s">
        <v>330</v>
      </c>
      <c r="B183" t="s">
        <v>543</v>
      </c>
      <c r="D183" t="s">
        <v>332</v>
      </c>
      <c r="E183">
        <v>203</v>
      </c>
      <c r="H183">
        <f t="shared" si="2"/>
        <v>241018014</v>
      </c>
      <c r="I183">
        <v>8014</v>
      </c>
      <c r="J183">
        <v>3</v>
      </c>
      <c r="K183" t="s">
        <v>388</v>
      </c>
      <c r="L183">
        <v>75000</v>
      </c>
      <c r="M183" t="s">
        <v>355</v>
      </c>
      <c r="N183">
        <v>9</v>
      </c>
      <c r="O183">
        <v>814</v>
      </c>
      <c r="P183">
        <v>8</v>
      </c>
      <c r="Q183">
        <v>14</v>
      </c>
      <c r="R183">
        <v>70</v>
      </c>
      <c r="S183">
        <v>18.2</v>
      </c>
      <c r="T183">
        <v>474</v>
      </c>
      <c r="U183">
        <v>622</v>
      </c>
      <c r="V183" s="1">
        <v>45489</v>
      </c>
      <c r="W183" s="1">
        <v>45523</v>
      </c>
      <c r="X183">
        <v>121053</v>
      </c>
      <c r="Y183">
        <v>0.88492417499999998</v>
      </c>
      <c r="Z183">
        <v>781.00813689999995</v>
      </c>
      <c r="AA183">
        <f>1-((0.95-Y183)*0.5)</f>
        <v>0.96746208749999996</v>
      </c>
      <c r="AB183">
        <f>U183/AA183</f>
        <v>642.91925031119115</v>
      </c>
      <c r="AC183" cm="1">
        <f t="array" ref="AC183">_xlfn.IFS(Y183&lt;0.6,U183,0.9&lt;Y183,U183,Y183,AB183)</f>
        <v>642.91925031119115</v>
      </c>
      <c r="AD183">
        <v>0.95972346100000006</v>
      </c>
      <c r="AE183">
        <v>721.55532749999998</v>
      </c>
      <c r="AF183">
        <v>721.55532749999998</v>
      </c>
      <c r="AH183">
        <v>0</v>
      </c>
      <c r="AI183">
        <v>203</v>
      </c>
    </row>
    <row r="184" spans="1:35" x14ac:dyDescent="0.25">
      <c r="A184" t="s">
        <v>330</v>
      </c>
      <c r="B184" t="s">
        <v>558</v>
      </c>
      <c r="D184" t="s">
        <v>332</v>
      </c>
      <c r="E184">
        <v>218</v>
      </c>
      <c r="H184">
        <f t="shared" si="2"/>
        <v>241018015</v>
      </c>
      <c r="I184">
        <v>8015</v>
      </c>
      <c r="J184">
        <v>3</v>
      </c>
      <c r="K184" t="s">
        <v>388</v>
      </c>
      <c r="L184">
        <v>100000</v>
      </c>
      <c r="M184" t="s">
        <v>347</v>
      </c>
      <c r="N184">
        <v>27</v>
      </c>
      <c r="O184">
        <v>815</v>
      </c>
      <c r="P184">
        <v>8</v>
      </c>
      <c r="Q184">
        <v>15</v>
      </c>
      <c r="R184">
        <v>67</v>
      </c>
      <c r="S184">
        <v>19</v>
      </c>
      <c r="T184">
        <v>592</v>
      </c>
      <c r="U184">
        <v>769</v>
      </c>
      <c r="V184" s="1">
        <v>45492</v>
      </c>
      <c r="X184">
        <v>130536</v>
      </c>
      <c r="Y184">
        <v>0.94285714300000001</v>
      </c>
      <c r="Z184">
        <v>895.45824909999999</v>
      </c>
      <c r="AA184">
        <f>1-((0.95-Y184)*0.5)</f>
        <v>0.99642857150000008</v>
      </c>
      <c r="AB184">
        <f>U184/AA184</f>
        <v>771.75627234611056</v>
      </c>
      <c r="AC184" cm="1">
        <f t="array" ref="AC184">_xlfn.IFS(Y184&lt;0.6,U184,0.9&lt;Y184,U184,Y184,AB184)</f>
        <v>769</v>
      </c>
      <c r="AD184">
        <v>0.98</v>
      </c>
      <c r="AE184">
        <v>844.31148210000003</v>
      </c>
      <c r="AF184">
        <v>769</v>
      </c>
      <c r="AH184">
        <v>0</v>
      </c>
      <c r="AI184">
        <v>218</v>
      </c>
    </row>
    <row r="185" spans="1:35" x14ac:dyDescent="0.25">
      <c r="A185" t="s">
        <v>330</v>
      </c>
      <c r="B185" t="s">
        <v>573</v>
      </c>
      <c r="D185" t="s">
        <v>332</v>
      </c>
      <c r="E185">
        <v>233</v>
      </c>
      <c r="H185">
        <f t="shared" si="2"/>
        <v>241018016</v>
      </c>
      <c r="I185">
        <v>8016</v>
      </c>
      <c r="J185">
        <v>3</v>
      </c>
      <c r="K185" t="s">
        <v>333</v>
      </c>
      <c r="L185">
        <v>100000</v>
      </c>
      <c r="M185" t="s">
        <v>351</v>
      </c>
      <c r="N185">
        <v>70</v>
      </c>
      <c r="O185">
        <v>816</v>
      </c>
      <c r="P185">
        <v>8</v>
      </c>
      <c r="Q185">
        <v>16</v>
      </c>
      <c r="R185">
        <v>51</v>
      </c>
      <c r="S185">
        <v>21.1</v>
      </c>
      <c r="T185">
        <v>857</v>
      </c>
      <c r="U185">
        <v>1085</v>
      </c>
      <c r="V185" s="1">
        <v>45490</v>
      </c>
      <c r="W185" s="1">
        <v>45525</v>
      </c>
      <c r="X185">
        <v>145338</v>
      </c>
      <c r="Y185">
        <v>0.95617105300000005</v>
      </c>
      <c r="Z185">
        <v>1134.7342060000001</v>
      </c>
      <c r="AA185">
        <f>1-((0.95-Y185)*0.5)</f>
        <v>1.0030855265</v>
      </c>
      <c r="AB185">
        <f>U185/AA185</f>
        <v>1081.6625016869884</v>
      </c>
      <c r="AC185" cm="1">
        <f t="array" ref="AC185">_xlfn.IFS(Y185&lt;0.6,U185,0.9&lt;Y185,U185,Y185,AB185)</f>
        <v>1085</v>
      </c>
      <c r="AD185">
        <v>0.98465986900000002</v>
      </c>
      <c r="AE185">
        <v>1126.592013</v>
      </c>
      <c r="AF185">
        <v>1085</v>
      </c>
      <c r="AH185">
        <v>0</v>
      </c>
      <c r="AI185">
        <v>233</v>
      </c>
    </row>
    <row r="186" spans="1:35" x14ac:dyDescent="0.25">
      <c r="A186" t="s">
        <v>330</v>
      </c>
      <c r="B186" t="s">
        <v>588</v>
      </c>
      <c r="D186" t="s">
        <v>332</v>
      </c>
      <c r="E186">
        <v>248</v>
      </c>
      <c r="H186">
        <f t="shared" si="2"/>
        <v>241018017</v>
      </c>
      <c r="I186">
        <v>8017</v>
      </c>
      <c r="J186">
        <v>3</v>
      </c>
      <c r="K186" t="s">
        <v>333</v>
      </c>
      <c r="L186">
        <v>150000</v>
      </c>
      <c r="M186" t="s">
        <v>336</v>
      </c>
      <c r="N186">
        <v>79</v>
      </c>
      <c r="O186">
        <v>817</v>
      </c>
      <c r="P186">
        <v>8</v>
      </c>
      <c r="Q186">
        <v>17</v>
      </c>
      <c r="R186">
        <v>94</v>
      </c>
      <c r="S186">
        <v>22.7</v>
      </c>
      <c r="T186">
        <v>980</v>
      </c>
      <c r="U186">
        <v>1216</v>
      </c>
      <c r="V186" s="1">
        <v>45497</v>
      </c>
      <c r="X186">
        <v>134199</v>
      </c>
      <c r="Y186">
        <v>0.88289977500000005</v>
      </c>
      <c r="Z186">
        <v>1377.279771</v>
      </c>
      <c r="AA186">
        <f>1-((0.95-Y186)*0.5)</f>
        <v>0.96644988750000005</v>
      </c>
      <c r="AB186">
        <f>U186/AA186</f>
        <v>1258.213194214894</v>
      </c>
      <c r="AC186" cm="1">
        <f t="array" ref="AC186">_xlfn.IFS(Y186&lt;0.6,U186,0.9&lt;Y186,U186,Y186,AB186)</f>
        <v>1258.213194214894</v>
      </c>
      <c r="AD186">
        <v>0.95901492099999996</v>
      </c>
      <c r="AE186">
        <v>1346.824484</v>
      </c>
      <c r="AF186">
        <v>1346.824484</v>
      </c>
      <c r="AH186">
        <v>0</v>
      </c>
      <c r="AI186">
        <v>248</v>
      </c>
    </row>
    <row r="187" spans="1:35" x14ac:dyDescent="0.25">
      <c r="A187" t="s">
        <v>330</v>
      </c>
      <c r="B187" t="s">
        <v>603</v>
      </c>
      <c r="D187" t="s">
        <v>332</v>
      </c>
      <c r="E187">
        <v>263</v>
      </c>
      <c r="H187">
        <f t="shared" si="2"/>
        <v>241018018</v>
      </c>
      <c r="I187">
        <v>8018</v>
      </c>
      <c r="J187">
        <v>3</v>
      </c>
      <c r="K187" t="s">
        <v>333</v>
      </c>
      <c r="L187">
        <v>75000</v>
      </c>
      <c r="M187" t="s">
        <v>349</v>
      </c>
      <c r="N187">
        <v>58</v>
      </c>
      <c r="O187">
        <v>818</v>
      </c>
      <c r="P187">
        <v>8</v>
      </c>
      <c r="Q187">
        <v>18</v>
      </c>
      <c r="R187">
        <v>48</v>
      </c>
      <c r="S187">
        <v>18.600000000000001</v>
      </c>
      <c r="T187">
        <v>1875</v>
      </c>
      <c r="U187">
        <v>2449</v>
      </c>
      <c r="V187" s="1">
        <v>45494</v>
      </c>
      <c r="W187" s="1">
        <v>45534</v>
      </c>
      <c r="X187">
        <v>124603</v>
      </c>
      <c r="Y187">
        <v>0.81975657899999999</v>
      </c>
      <c r="Z187">
        <v>2987.4722120000001</v>
      </c>
      <c r="AA187">
        <f>1-((0.95-Y187)*0.5)</f>
        <v>0.93487828950000007</v>
      </c>
      <c r="AB187">
        <f>U187/AA187</f>
        <v>2619.5923335750967</v>
      </c>
      <c r="AC187" cm="1">
        <f t="array" ref="AC187">_xlfn.IFS(Y187&lt;0.6,U187,0.9&lt;Y187,U187,Y187,AB187)</f>
        <v>2619.5923335750967</v>
      </c>
      <c r="AD187">
        <v>0.93691480299999996</v>
      </c>
      <c r="AE187">
        <v>2872.7999340000001</v>
      </c>
      <c r="AF187">
        <v>2872.7999340000001</v>
      </c>
      <c r="AH187">
        <v>0</v>
      </c>
      <c r="AI187">
        <v>263</v>
      </c>
    </row>
    <row r="188" spans="1:35" x14ac:dyDescent="0.25">
      <c r="A188" t="s">
        <v>330</v>
      </c>
      <c r="B188" t="s">
        <v>617</v>
      </c>
      <c r="D188" t="s">
        <v>332</v>
      </c>
      <c r="E188">
        <v>278</v>
      </c>
      <c r="H188">
        <f t="shared" si="2"/>
        <v>241018019</v>
      </c>
      <c r="I188">
        <v>8019</v>
      </c>
      <c r="J188">
        <v>4</v>
      </c>
      <c r="K188" t="s">
        <v>388</v>
      </c>
      <c r="L188">
        <v>75000</v>
      </c>
      <c r="M188" t="s">
        <v>343</v>
      </c>
      <c r="N188">
        <v>1</v>
      </c>
      <c r="O188">
        <v>819</v>
      </c>
      <c r="P188">
        <v>8</v>
      </c>
      <c r="Q188">
        <v>19</v>
      </c>
      <c r="R188">
        <v>27</v>
      </c>
      <c r="S188">
        <v>19.100000000000001</v>
      </c>
      <c r="T188">
        <v>1860</v>
      </c>
      <c r="U188">
        <v>2415</v>
      </c>
      <c r="V188" s="1">
        <v>45495</v>
      </c>
      <c r="W188" s="1">
        <v>45536</v>
      </c>
      <c r="X188">
        <v>123954</v>
      </c>
      <c r="Y188">
        <v>0.91771019700000001</v>
      </c>
      <c r="Z188">
        <v>2961.4601379999999</v>
      </c>
      <c r="AA188">
        <f>1-((0.95-Y188)*0.5)</f>
        <v>0.98385509850000008</v>
      </c>
      <c r="AB188">
        <f>U188/AA188</f>
        <v>2454.6297556235104</v>
      </c>
      <c r="AC188" cm="1">
        <f t="array" ref="AC188">_xlfn.IFS(Y188&lt;0.6,U188,0.9&lt;Y188,U188,Y188,AB188)</f>
        <v>2415</v>
      </c>
      <c r="AD188">
        <v>0.97119856900000001</v>
      </c>
      <c r="AE188">
        <v>2739.3565189999999</v>
      </c>
      <c r="AF188">
        <v>2415</v>
      </c>
      <c r="AH188">
        <v>0</v>
      </c>
      <c r="AI188">
        <v>278</v>
      </c>
    </row>
    <row r="189" spans="1:35" x14ac:dyDescent="0.25">
      <c r="A189" t="s">
        <v>330</v>
      </c>
      <c r="B189" t="s">
        <v>632</v>
      </c>
      <c r="D189" t="s">
        <v>332</v>
      </c>
      <c r="E189">
        <v>293</v>
      </c>
      <c r="H189">
        <f t="shared" si="2"/>
        <v>241018020</v>
      </c>
      <c r="I189">
        <v>8020</v>
      </c>
      <c r="J189">
        <v>4</v>
      </c>
      <c r="K189" t="s">
        <v>388</v>
      </c>
      <c r="L189">
        <v>100000</v>
      </c>
      <c r="M189" t="s">
        <v>279</v>
      </c>
      <c r="N189">
        <v>30</v>
      </c>
      <c r="O189">
        <v>820</v>
      </c>
      <c r="P189">
        <v>8</v>
      </c>
      <c r="Q189">
        <v>20</v>
      </c>
      <c r="R189">
        <v>41</v>
      </c>
      <c r="S189">
        <v>19.100000000000001</v>
      </c>
      <c r="T189">
        <v>1350</v>
      </c>
      <c r="U189">
        <v>1752</v>
      </c>
      <c r="V189" s="1">
        <v>45497</v>
      </c>
      <c r="W189" s="1">
        <v>45534</v>
      </c>
      <c r="X189">
        <v>113325</v>
      </c>
      <c r="Y189">
        <v>0.86684539800000004</v>
      </c>
      <c r="Z189">
        <v>2349.9294239999999</v>
      </c>
      <c r="AA189">
        <f>1-((0.95-Y189)*0.5)</f>
        <v>0.95842269899999999</v>
      </c>
      <c r="AB189">
        <f>U189/AA189</f>
        <v>1828.0034496553592</v>
      </c>
      <c r="AC189" cm="1">
        <f t="array" ref="AC189">_xlfn.IFS(Y189&lt;0.6,U189,0.9&lt;Y189,U189,Y189,AB189)</f>
        <v>1828.0034496553592</v>
      </c>
      <c r="AD189">
        <v>0.95339588900000005</v>
      </c>
      <c r="AE189">
        <v>2105.5107240000002</v>
      </c>
      <c r="AF189">
        <v>2105.5107240000002</v>
      </c>
      <c r="AH189">
        <v>0</v>
      </c>
      <c r="AI189">
        <v>293</v>
      </c>
    </row>
    <row r="190" spans="1:35" x14ac:dyDescent="0.25">
      <c r="A190" t="s">
        <v>330</v>
      </c>
      <c r="B190" t="s">
        <v>646</v>
      </c>
      <c r="D190" t="s">
        <v>332</v>
      </c>
      <c r="E190">
        <v>308</v>
      </c>
      <c r="H190">
        <f t="shared" si="2"/>
        <v>241018021</v>
      </c>
      <c r="I190">
        <v>8021</v>
      </c>
      <c r="J190">
        <v>4</v>
      </c>
      <c r="K190" t="s">
        <v>388</v>
      </c>
      <c r="L190">
        <v>150000</v>
      </c>
      <c r="M190" t="s">
        <v>351</v>
      </c>
      <c r="N190">
        <v>40</v>
      </c>
      <c r="O190">
        <v>821</v>
      </c>
      <c r="P190">
        <v>8</v>
      </c>
      <c r="Q190">
        <v>21</v>
      </c>
      <c r="R190">
        <v>62</v>
      </c>
      <c r="S190">
        <v>21.7</v>
      </c>
      <c r="T190">
        <v>561</v>
      </c>
      <c r="U190">
        <v>705</v>
      </c>
      <c r="V190" s="1">
        <v>45492</v>
      </c>
      <c r="W190" s="1">
        <v>45527</v>
      </c>
      <c r="X190">
        <v>133785</v>
      </c>
      <c r="Y190">
        <v>0.95008912700000003</v>
      </c>
      <c r="Z190">
        <v>800.97084870000003</v>
      </c>
      <c r="AA190">
        <f>1-((0.95-Y190)*0.5)</f>
        <v>1.0000445634999999</v>
      </c>
      <c r="AB190">
        <f>U190/AA190</f>
        <v>704.96858413250106</v>
      </c>
      <c r="AC190" cm="1">
        <f t="array" ref="AC190">_xlfn.IFS(Y190&lt;0.6,U190,0.9&lt;Y190,U190,Y190,AB190)</f>
        <v>705</v>
      </c>
      <c r="AD190">
        <v>0.982531194</v>
      </c>
      <c r="AE190">
        <v>763.26071509999997</v>
      </c>
      <c r="AF190">
        <v>705</v>
      </c>
      <c r="AH190">
        <v>0</v>
      </c>
      <c r="AI190">
        <v>308</v>
      </c>
    </row>
    <row r="191" spans="1:35" x14ac:dyDescent="0.25">
      <c r="A191" t="s">
        <v>330</v>
      </c>
      <c r="B191" t="s">
        <v>661</v>
      </c>
      <c r="D191" t="s">
        <v>332</v>
      </c>
      <c r="E191">
        <v>323</v>
      </c>
      <c r="H191">
        <f t="shared" si="2"/>
        <v>241018022</v>
      </c>
      <c r="I191">
        <v>8022</v>
      </c>
      <c r="J191">
        <v>4</v>
      </c>
      <c r="K191" t="s">
        <v>333</v>
      </c>
      <c r="L191">
        <v>150000</v>
      </c>
      <c r="M191" t="s">
        <v>298</v>
      </c>
      <c r="N191">
        <v>81</v>
      </c>
      <c r="O191">
        <v>822</v>
      </c>
      <c r="P191">
        <v>8</v>
      </c>
      <c r="Q191">
        <v>22</v>
      </c>
      <c r="R191">
        <v>49</v>
      </c>
      <c r="S191">
        <v>20.7</v>
      </c>
      <c r="T191">
        <v>398</v>
      </c>
      <c r="U191">
        <v>506</v>
      </c>
      <c r="V191" s="1">
        <v>45491</v>
      </c>
      <c r="W191" s="1">
        <v>45525</v>
      </c>
      <c r="X191">
        <v>151058</v>
      </c>
      <c r="Y191">
        <v>0.99379609300000005</v>
      </c>
      <c r="Z191">
        <v>509.1587735</v>
      </c>
      <c r="AA191">
        <f>1-((0.95-Y191)*0.5)</f>
        <v>1.0218980465</v>
      </c>
      <c r="AB191">
        <f>U191/AA191</f>
        <v>495.15702836799579</v>
      </c>
      <c r="AC191" cm="1">
        <f t="array" ref="AC191">_xlfn.IFS(Y191&lt;0.6,U191,0.9&lt;Y191,U191,Y191,AB191)</f>
        <v>506</v>
      </c>
      <c r="AD191">
        <v>0.99782863300000002</v>
      </c>
      <c r="AE191">
        <v>508.6790014</v>
      </c>
      <c r="AF191">
        <v>506</v>
      </c>
      <c r="AH191">
        <v>0</v>
      </c>
      <c r="AI191">
        <v>323</v>
      </c>
    </row>
    <row r="192" spans="1:35" x14ac:dyDescent="0.25">
      <c r="A192" t="s">
        <v>330</v>
      </c>
      <c r="B192" t="s">
        <v>676</v>
      </c>
      <c r="D192" t="s">
        <v>332</v>
      </c>
      <c r="E192">
        <v>338</v>
      </c>
      <c r="H192">
        <f t="shared" si="2"/>
        <v>241018023</v>
      </c>
      <c r="I192">
        <v>8023</v>
      </c>
      <c r="J192">
        <v>4</v>
      </c>
      <c r="K192" t="s">
        <v>333</v>
      </c>
      <c r="L192">
        <v>100000</v>
      </c>
      <c r="M192" t="s">
        <v>357</v>
      </c>
      <c r="N192">
        <v>63</v>
      </c>
      <c r="O192">
        <v>823</v>
      </c>
      <c r="P192">
        <v>8</v>
      </c>
      <c r="Q192">
        <v>23</v>
      </c>
      <c r="V192" s="1">
        <v>45494</v>
      </c>
      <c r="W192" s="1">
        <v>45534</v>
      </c>
      <c r="X192">
        <v>150028</v>
      </c>
      <c r="Y192">
        <v>0.98701982200000005</v>
      </c>
      <c r="AA192">
        <f>1-((0.95-Y192)*0.5)</f>
        <v>1.018509911</v>
      </c>
      <c r="AH192">
        <v>0</v>
      </c>
      <c r="AI192">
        <v>338</v>
      </c>
    </row>
    <row r="193" spans="1:35" x14ac:dyDescent="0.25">
      <c r="A193" t="s">
        <v>330</v>
      </c>
      <c r="B193" t="s">
        <v>691</v>
      </c>
      <c r="D193" t="s">
        <v>332</v>
      </c>
      <c r="E193">
        <v>353</v>
      </c>
      <c r="H193">
        <f t="shared" si="2"/>
        <v>241018024</v>
      </c>
      <c r="I193">
        <v>8024</v>
      </c>
      <c r="J193">
        <v>4</v>
      </c>
      <c r="K193" t="s">
        <v>333</v>
      </c>
      <c r="L193">
        <v>75000</v>
      </c>
      <c r="M193" t="s">
        <v>343</v>
      </c>
      <c r="N193">
        <v>46</v>
      </c>
      <c r="O193">
        <v>824</v>
      </c>
      <c r="P193">
        <v>8</v>
      </c>
      <c r="Q193">
        <v>24</v>
      </c>
      <c r="R193">
        <v>30</v>
      </c>
      <c r="S193">
        <v>25.2</v>
      </c>
      <c r="T193">
        <v>1433</v>
      </c>
      <c r="U193">
        <v>1720</v>
      </c>
      <c r="V193" s="1">
        <v>45496</v>
      </c>
      <c r="W193" s="1">
        <v>45538</v>
      </c>
      <c r="X193">
        <v>132174</v>
      </c>
      <c r="Y193">
        <v>0.86956578900000003</v>
      </c>
      <c r="Z193">
        <v>1977.998699</v>
      </c>
      <c r="AA193">
        <f>1-((0.95-Y193)*0.5)</f>
        <v>0.95978289449999998</v>
      </c>
      <c r="AB193">
        <f>U193/AA193</f>
        <v>1792.0719465374887</v>
      </c>
      <c r="AC193" cm="1">
        <f t="array" ref="AC193">_xlfn.IFS(Y193&lt;0.6,U193,0.9&lt;Y193,U193,Y193,AB193)</f>
        <v>1792.0719465374887</v>
      </c>
      <c r="AD193">
        <v>0.95434802600000002</v>
      </c>
      <c r="AE193">
        <v>1928.017229</v>
      </c>
      <c r="AF193">
        <v>1928.017229</v>
      </c>
      <c r="AH193">
        <v>0</v>
      </c>
      <c r="AI193">
        <v>353</v>
      </c>
    </row>
    <row r="194" spans="1:35" x14ac:dyDescent="0.25">
      <c r="A194" t="s">
        <v>330</v>
      </c>
      <c r="B194" t="s">
        <v>345</v>
      </c>
      <c r="D194" t="s">
        <v>332</v>
      </c>
      <c r="E194">
        <v>9</v>
      </c>
      <c r="H194">
        <f t="shared" si="2"/>
        <v>241019001</v>
      </c>
      <c r="I194">
        <v>9001</v>
      </c>
      <c r="J194">
        <v>1</v>
      </c>
      <c r="K194" t="s">
        <v>333</v>
      </c>
      <c r="L194">
        <v>100000</v>
      </c>
      <c r="M194" t="s">
        <v>283</v>
      </c>
      <c r="N194">
        <v>62</v>
      </c>
      <c r="O194">
        <v>901</v>
      </c>
      <c r="P194">
        <v>9</v>
      </c>
      <c r="Q194">
        <v>1</v>
      </c>
      <c r="R194">
        <v>25</v>
      </c>
      <c r="S194">
        <v>19.600000000000001</v>
      </c>
      <c r="T194">
        <v>1633</v>
      </c>
      <c r="U194">
        <v>2107</v>
      </c>
      <c r="V194" s="1">
        <v>45499</v>
      </c>
      <c r="W194" s="1">
        <v>45534</v>
      </c>
      <c r="X194">
        <v>151495</v>
      </c>
      <c r="Y194">
        <v>0.99667107499999996</v>
      </c>
      <c r="Z194">
        <v>2114.0374729999999</v>
      </c>
      <c r="AA194">
        <f>1-((0.95-Y194)*0.5)</f>
        <v>1.0233355374999999</v>
      </c>
      <c r="AB194">
        <f>U194/AA194</f>
        <v>2058.9532199256787</v>
      </c>
      <c r="AC194" cm="1">
        <f t="array" ref="AC194">_xlfn.IFS(Y194&lt;0.6,U194,0.9&lt;Y194,U194,Y194,AB194)</f>
        <v>2107</v>
      </c>
      <c r="AD194">
        <v>0.99883487599999998</v>
      </c>
      <c r="AE194">
        <v>2112.9747470000002</v>
      </c>
      <c r="AF194">
        <v>2107</v>
      </c>
      <c r="AH194">
        <v>0</v>
      </c>
      <c r="AI194">
        <v>9</v>
      </c>
    </row>
    <row r="195" spans="1:35" x14ac:dyDescent="0.25">
      <c r="A195" t="s">
        <v>330</v>
      </c>
      <c r="B195" t="s">
        <v>364</v>
      </c>
      <c r="D195" t="s">
        <v>332</v>
      </c>
      <c r="E195">
        <v>22</v>
      </c>
      <c r="H195">
        <f t="shared" ref="H195:H258" si="3">24101*10000+I195</f>
        <v>241019002</v>
      </c>
      <c r="I195">
        <v>9002</v>
      </c>
      <c r="J195">
        <v>1</v>
      </c>
      <c r="K195" t="s">
        <v>333</v>
      </c>
      <c r="L195">
        <v>150000</v>
      </c>
      <c r="M195" t="s">
        <v>343</v>
      </c>
      <c r="N195">
        <v>76</v>
      </c>
      <c r="O195">
        <v>902</v>
      </c>
      <c r="P195">
        <v>9</v>
      </c>
      <c r="Q195">
        <v>2</v>
      </c>
      <c r="R195">
        <v>28</v>
      </c>
      <c r="S195">
        <v>20.3</v>
      </c>
      <c r="T195">
        <v>2220</v>
      </c>
      <c r="U195">
        <v>2839</v>
      </c>
      <c r="V195" s="1">
        <v>45497</v>
      </c>
      <c r="W195" s="1">
        <v>45535</v>
      </c>
      <c r="X195">
        <v>147339</v>
      </c>
      <c r="Y195">
        <v>0.96932277200000005</v>
      </c>
      <c r="Z195">
        <v>2928.8489669999999</v>
      </c>
      <c r="AA195">
        <f>1-((0.95-Y195)*0.5)</f>
        <v>1.0096613860000001</v>
      </c>
      <c r="AB195">
        <f>U195/AA195</f>
        <v>2811.8337884024018</v>
      </c>
      <c r="AC195" cm="1">
        <f t="array" ref="AC195">_xlfn.IFS(Y195&lt;0.6,U195,0.9&lt;Y195,U195,Y195,AB195)</f>
        <v>2839</v>
      </c>
      <c r="AD195">
        <v>0.98926296999999996</v>
      </c>
      <c r="AE195">
        <v>2914.5179360000002</v>
      </c>
      <c r="AF195">
        <v>2839</v>
      </c>
      <c r="AH195">
        <v>0</v>
      </c>
      <c r="AI195">
        <v>22</v>
      </c>
    </row>
    <row r="196" spans="1:35" x14ac:dyDescent="0.25">
      <c r="A196" t="s">
        <v>330</v>
      </c>
      <c r="B196" t="s">
        <v>381</v>
      </c>
      <c r="D196" t="s">
        <v>332</v>
      </c>
      <c r="E196">
        <v>39</v>
      </c>
      <c r="H196">
        <f t="shared" si="3"/>
        <v>241019003</v>
      </c>
      <c r="I196">
        <v>9003</v>
      </c>
      <c r="J196">
        <v>1</v>
      </c>
      <c r="K196" t="s">
        <v>333</v>
      </c>
      <c r="L196">
        <v>75000</v>
      </c>
      <c r="M196" t="s">
        <v>338</v>
      </c>
      <c r="N196">
        <v>59</v>
      </c>
      <c r="O196">
        <v>903</v>
      </c>
      <c r="P196">
        <v>9</v>
      </c>
      <c r="Q196">
        <v>3</v>
      </c>
      <c r="R196">
        <v>46</v>
      </c>
      <c r="S196">
        <v>19.600000000000001</v>
      </c>
      <c r="T196">
        <v>1482</v>
      </c>
      <c r="U196">
        <v>1912</v>
      </c>
      <c r="V196" s="1">
        <v>45494</v>
      </c>
      <c r="W196" s="1">
        <v>45530</v>
      </c>
      <c r="X196">
        <v>144393</v>
      </c>
      <c r="Y196">
        <v>0.94997894699999996</v>
      </c>
      <c r="Z196">
        <v>2012.6761819999999</v>
      </c>
      <c r="AA196">
        <f>1-((0.95-Y196)*0.5)</f>
        <v>0.9999894735</v>
      </c>
      <c r="AB196">
        <f>U196/AA196</f>
        <v>1912.0201268798655</v>
      </c>
      <c r="AC196" cm="1">
        <f t="array" ref="AC196">_xlfn.IFS(Y196&lt;0.6,U196,0.9&lt;Y196,U196,Y196,AB196)</f>
        <v>1912</v>
      </c>
      <c r="AD196">
        <v>0.98249263099999995</v>
      </c>
      <c r="AE196">
        <v>1995.99137</v>
      </c>
      <c r="AF196">
        <v>1912</v>
      </c>
      <c r="AH196">
        <v>0</v>
      </c>
      <c r="AI196">
        <v>39</v>
      </c>
    </row>
    <row r="197" spans="1:35" x14ac:dyDescent="0.25">
      <c r="A197" t="s">
        <v>330</v>
      </c>
      <c r="B197" t="s">
        <v>394</v>
      </c>
      <c r="D197" t="s">
        <v>332</v>
      </c>
      <c r="E197">
        <v>52</v>
      </c>
      <c r="H197">
        <f t="shared" si="3"/>
        <v>241019004</v>
      </c>
      <c r="I197">
        <v>9004</v>
      </c>
      <c r="J197">
        <v>1</v>
      </c>
      <c r="K197" t="s">
        <v>388</v>
      </c>
      <c r="L197">
        <v>150000</v>
      </c>
      <c r="M197" t="s">
        <v>336</v>
      </c>
      <c r="N197">
        <v>34</v>
      </c>
      <c r="O197">
        <v>904</v>
      </c>
      <c r="P197">
        <v>9</v>
      </c>
      <c r="Q197">
        <v>4</v>
      </c>
      <c r="R197">
        <v>61</v>
      </c>
      <c r="S197">
        <v>20.399999999999999</v>
      </c>
      <c r="T197">
        <v>657</v>
      </c>
      <c r="U197">
        <v>839</v>
      </c>
      <c r="V197" s="1">
        <v>45496</v>
      </c>
      <c r="X197">
        <v>122748</v>
      </c>
      <c r="Y197">
        <v>0.95102404299999999</v>
      </c>
      <c r="Z197">
        <v>1038.948406</v>
      </c>
      <c r="AA197">
        <f>1-((0.95-Y197)*0.5)</f>
        <v>1.0005120215000001</v>
      </c>
      <c r="AB197">
        <f>U197/AA197</f>
        <v>838.57063380622253</v>
      </c>
      <c r="AC197" cm="1">
        <f t="array" ref="AC197">_xlfn.IFS(Y197&lt;0.6,U197,0.9&lt;Y197,U197,Y197,AB197)</f>
        <v>839</v>
      </c>
      <c r="AD197">
        <v>0.98285841500000004</v>
      </c>
      <c r="AE197">
        <v>944.52035309999997</v>
      </c>
      <c r="AF197">
        <v>839</v>
      </c>
      <c r="AH197">
        <v>0</v>
      </c>
      <c r="AI197">
        <v>52</v>
      </c>
    </row>
    <row r="198" spans="1:35" x14ac:dyDescent="0.25">
      <c r="A198" t="s">
        <v>330</v>
      </c>
      <c r="B198" t="s">
        <v>411</v>
      </c>
      <c r="D198" t="s">
        <v>332</v>
      </c>
      <c r="E198">
        <v>69</v>
      </c>
      <c r="H198">
        <f t="shared" si="3"/>
        <v>241019005</v>
      </c>
      <c r="I198">
        <v>9005</v>
      </c>
      <c r="J198">
        <v>1</v>
      </c>
      <c r="K198" t="s">
        <v>388</v>
      </c>
      <c r="L198">
        <v>75000</v>
      </c>
      <c r="M198" t="s">
        <v>355</v>
      </c>
      <c r="N198">
        <v>9</v>
      </c>
      <c r="O198">
        <v>905</v>
      </c>
      <c r="P198">
        <v>9</v>
      </c>
      <c r="Q198">
        <v>5</v>
      </c>
      <c r="R198">
        <v>59</v>
      </c>
      <c r="S198">
        <v>19</v>
      </c>
      <c r="T198">
        <v>513</v>
      </c>
      <c r="U198">
        <v>667</v>
      </c>
      <c r="V198" s="1">
        <v>45489</v>
      </c>
      <c r="W198" s="1">
        <v>45525</v>
      </c>
      <c r="X198">
        <v>123728</v>
      </c>
      <c r="Y198">
        <v>0.94007155600000003</v>
      </c>
      <c r="Z198">
        <v>819.4157103</v>
      </c>
      <c r="AA198">
        <f>1-((0.95-Y198)*0.5)</f>
        <v>0.99503577800000009</v>
      </c>
      <c r="AB198">
        <f>U198/AA198</f>
        <v>670.32765529361689</v>
      </c>
      <c r="AC198" cm="1">
        <f t="array" ref="AC198">_xlfn.IFS(Y198&lt;0.6,U198,0.9&lt;Y198,U198,Y198,AB198)</f>
        <v>667</v>
      </c>
      <c r="AD198">
        <v>0.97902504499999998</v>
      </c>
      <c r="AE198">
        <v>751.14888550000001</v>
      </c>
      <c r="AF198">
        <v>667</v>
      </c>
      <c r="AH198">
        <v>0</v>
      </c>
      <c r="AI198">
        <v>69</v>
      </c>
    </row>
    <row r="199" spans="1:35" x14ac:dyDescent="0.25">
      <c r="A199" t="s">
        <v>330</v>
      </c>
      <c r="B199" t="s">
        <v>424</v>
      </c>
      <c r="D199" t="s">
        <v>332</v>
      </c>
      <c r="E199">
        <v>82</v>
      </c>
      <c r="H199">
        <f t="shared" si="3"/>
        <v>241019006</v>
      </c>
      <c r="I199">
        <v>9006</v>
      </c>
      <c r="J199">
        <v>1</v>
      </c>
      <c r="K199" t="s">
        <v>388</v>
      </c>
      <c r="L199">
        <v>100000</v>
      </c>
      <c r="M199" t="s">
        <v>336</v>
      </c>
      <c r="N199">
        <v>19</v>
      </c>
      <c r="O199">
        <v>906</v>
      </c>
      <c r="P199">
        <v>9</v>
      </c>
      <c r="Q199">
        <v>6</v>
      </c>
      <c r="R199">
        <v>72</v>
      </c>
      <c r="S199">
        <v>24</v>
      </c>
      <c r="T199">
        <v>432</v>
      </c>
      <c r="U199">
        <v>527</v>
      </c>
      <c r="V199" s="1">
        <v>45498</v>
      </c>
      <c r="X199">
        <v>124273</v>
      </c>
      <c r="Y199">
        <v>0.97682709400000001</v>
      </c>
      <c r="Z199">
        <v>644.58512310000003</v>
      </c>
      <c r="AA199">
        <f>1-((0.95-Y199)*0.5)</f>
        <v>1.0134135470000001</v>
      </c>
      <c r="AB199">
        <f>U199/AA199</f>
        <v>520.02462524807743</v>
      </c>
      <c r="AC199" cm="1">
        <f t="array" ref="AC199">_xlfn.IFS(Y199&lt;0.6,U199,0.9&lt;Y199,U199,Y199,AB199)</f>
        <v>527</v>
      </c>
      <c r="AD199">
        <v>0.99188948300000002</v>
      </c>
      <c r="AE199">
        <v>584.63357789999998</v>
      </c>
      <c r="AF199">
        <v>527</v>
      </c>
      <c r="AH199">
        <v>0</v>
      </c>
      <c r="AI199">
        <v>82</v>
      </c>
    </row>
    <row r="200" spans="1:35" x14ac:dyDescent="0.25">
      <c r="A200" t="s">
        <v>330</v>
      </c>
      <c r="B200" t="s">
        <v>441</v>
      </c>
      <c r="D200" t="s">
        <v>332</v>
      </c>
      <c r="E200">
        <v>99</v>
      </c>
      <c r="H200">
        <f t="shared" si="3"/>
        <v>241019007</v>
      </c>
      <c r="I200">
        <v>9007</v>
      </c>
      <c r="J200">
        <v>2</v>
      </c>
      <c r="K200" t="s">
        <v>388</v>
      </c>
      <c r="L200">
        <v>75000</v>
      </c>
      <c r="M200" t="s">
        <v>353</v>
      </c>
      <c r="N200">
        <v>7</v>
      </c>
      <c r="O200">
        <v>907</v>
      </c>
      <c r="P200">
        <v>9</v>
      </c>
      <c r="Q200">
        <v>7</v>
      </c>
      <c r="R200">
        <v>50</v>
      </c>
      <c r="S200">
        <v>18.899999999999999</v>
      </c>
      <c r="T200">
        <v>1139</v>
      </c>
      <c r="U200">
        <v>1482</v>
      </c>
      <c r="V200" s="1">
        <v>45496</v>
      </c>
      <c r="X200">
        <v>101116</v>
      </c>
      <c r="Y200">
        <v>0.68872987500000005</v>
      </c>
      <c r="Z200">
        <v>2227.748685</v>
      </c>
      <c r="AA200">
        <f>1-((0.95-Y200)*0.5)</f>
        <v>0.8693649375000001</v>
      </c>
      <c r="AB200">
        <f>U200/AA200</f>
        <v>1704.6926280023799</v>
      </c>
      <c r="AC200" cm="1">
        <f t="array" ref="AC200">_xlfn.IFS(Y200&lt;0.6,U200,0.9&lt;Y200,U200,Y200,AB200)</f>
        <v>1704.6926280023799</v>
      </c>
      <c r="AD200">
        <v>0.89105545600000002</v>
      </c>
      <c r="AE200">
        <v>1997.5385610000001</v>
      </c>
      <c r="AF200">
        <v>1997.5385610000001</v>
      </c>
      <c r="AH200">
        <v>0</v>
      </c>
      <c r="AI200">
        <v>99</v>
      </c>
    </row>
    <row r="201" spans="1:35" x14ac:dyDescent="0.25">
      <c r="A201" t="s">
        <v>330</v>
      </c>
      <c r="B201" t="s">
        <v>452</v>
      </c>
      <c r="D201" t="s">
        <v>332</v>
      </c>
      <c r="E201">
        <v>112</v>
      </c>
      <c r="H201">
        <f t="shared" si="3"/>
        <v>241019008</v>
      </c>
      <c r="I201">
        <v>9008</v>
      </c>
      <c r="J201">
        <v>2</v>
      </c>
      <c r="K201" t="s">
        <v>388</v>
      </c>
      <c r="L201">
        <v>150000</v>
      </c>
      <c r="M201" t="s">
        <v>279</v>
      </c>
      <c r="N201">
        <v>45</v>
      </c>
      <c r="O201">
        <v>908</v>
      </c>
      <c r="P201">
        <v>9</v>
      </c>
      <c r="Q201">
        <v>8</v>
      </c>
      <c r="R201">
        <v>26</v>
      </c>
      <c r="S201">
        <v>20.9</v>
      </c>
      <c r="T201">
        <v>1506</v>
      </c>
      <c r="U201">
        <v>1911</v>
      </c>
      <c r="V201" s="1">
        <v>45497</v>
      </c>
      <c r="W201" s="1">
        <v>45532</v>
      </c>
      <c r="X201">
        <v>109320</v>
      </c>
      <c r="Y201">
        <v>0.82872435300000002</v>
      </c>
      <c r="Z201">
        <v>2657.080132</v>
      </c>
      <c r="AA201">
        <f>1-((0.95-Y201)*0.5)</f>
        <v>0.93936217649999998</v>
      </c>
      <c r="AB201">
        <f>U201/AA201</f>
        <v>2034.3591085605096</v>
      </c>
      <c r="AC201" cm="1">
        <f t="array" ref="AC201">_xlfn.IFS(Y201&lt;0.6,U201,0.9&lt;Y201,U201,Y201,AB201)</f>
        <v>2034.3591085605096</v>
      </c>
      <c r="AD201">
        <v>0.94005352399999997</v>
      </c>
      <c r="AE201">
        <v>2364.8796259999999</v>
      </c>
      <c r="AF201">
        <v>2364.8796259999999</v>
      </c>
      <c r="AH201">
        <v>0</v>
      </c>
      <c r="AI201">
        <v>112</v>
      </c>
    </row>
    <row r="202" spans="1:35" x14ac:dyDescent="0.25">
      <c r="A202" t="s">
        <v>330</v>
      </c>
      <c r="B202" t="s">
        <v>469</v>
      </c>
      <c r="D202" t="s">
        <v>332</v>
      </c>
      <c r="E202">
        <v>129</v>
      </c>
      <c r="H202">
        <f t="shared" si="3"/>
        <v>241019009</v>
      </c>
      <c r="I202">
        <v>9009</v>
      </c>
      <c r="J202">
        <v>2</v>
      </c>
      <c r="K202" t="s">
        <v>388</v>
      </c>
      <c r="L202">
        <v>100000</v>
      </c>
      <c r="M202" t="s">
        <v>343</v>
      </c>
      <c r="N202">
        <v>16</v>
      </c>
      <c r="O202">
        <v>909</v>
      </c>
      <c r="P202">
        <v>9</v>
      </c>
      <c r="Q202">
        <v>9</v>
      </c>
      <c r="R202">
        <v>52</v>
      </c>
      <c r="S202">
        <v>18.7</v>
      </c>
      <c r="T202">
        <v>1438</v>
      </c>
      <c r="U202">
        <v>1876</v>
      </c>
      <c r="V202" s="1">
        <v>45499</v>
      </c>
      <c r="W202" s="1">
        <v>45537</v>
      </c>
      <c r="X202">
        <v>124178</v>
      </c>
      <c r="Y202">
        <v>0.94821428600000002</v>
      </c>
      <c r="Z202">
        <v>2296.3316850000001</v>
      </c>
      <c r="AA202">
        <f>1-((0.95-Y202)*0.5)</f>
        <v>0.99910714300000003</v>
      </c>
      <c r="AB202">
        <f>U202/AA202</f>
        <v>1877.6764966037281</v>
      </c>
      <c r="AC202" cm="1">
        <f t="array" ref="AC202">_xlfn.IFS(Y202&lt;0.6,U202,0.9&lt;Y202,U202,Y202,AB202)</f>
        <v>1876</v>
      </c>
      <c r="AD202">
        <v>0.98187500000000005</v>
      </c>
      <c r="AE202">
        <v>2103.1120879999999</v>
      </c>
      <c r="AF202">
        <v>1876</v>
      </c>
      <c r="AH202">
        <v>0</v>
      </c>
      <c r="AI202">
        <v>129</v>
      </c>
    </row>
    <row r="203" spans="1:35" x14ac:dyDescent="0.25">
      <c r="A203" t="s">
        <v>330</v>
      </c>
      <c r="B203" t="s">
        <v>482</v>
      </c>
      <c r="D203" t="s">
        <v>332</v>
      </c>
      <c r="E203">
        <v>142</v>
      </c>
      <c r="H203">
        <f t="shared" si="3"/>
        <v>241019010</v>
      </c>
      <c r="I203">
        <v>9010</v>
      </c>
      <c r="J203">
        <v>2</v>
      </c>
      <c r="K203" t="s">
        <v>333</v>
      </c>
      <c r="L203">
        <v>100000</v>
      </c>
      <c r="M203" t="s">
        <v>353</v>
      </c>
      <c r="N203">
        <v>67</v>
      </c>
      <c r="O203">
        <v>910</v>
      </c>
      <c r="P203">
        <v>9</v>
      </c>
      <c r="Q203">
        <v>10</v>
      </c>
      <c r="R203">
        <v>0</v>
      </c>
      <c r="S203">
        <v>19.2</v>
      </c>
      <c r="T203">
        <v>1600</v>
      </c>
      <c r="U203">
        <v>2074</v>
      </c>
      <c r="V203" s="1">
        <v>45498</v>
      </c>
      <c r="W203" s="1">
        <v>45537</v>
      </c>
      <c r="X203">
        <v>136658</v>
      </c>
      <c r="Y203">
        <v>0.899065789</v>
      </c>
      <c r="Z203">
        <v>2306.8389699999998</v>
      </c>
      <c r="AA203">
        <f>1-((0.95-Y203)*0.5)</f>
        <v>0.97453289450000002</v>
      </c>
      <c r="AB203">
        <f>U203/AA203</f>
        <v>2128.1990702469816</v>
      </c>
      <c r="AC203" cm="1">
        <f t="array" ref="AC203">_xlfn.IFS(Y203&lt;0.6,U203,0.9&lt;Y203,U203,Y203,AB203)</f>
        <v>2128.1990702469816</v>
      </c>
      <c r="AD203">
        <v>0.96467302600000004</v>
      </c>
      <c r="AE203">
        <v>2264.2198969999999</v>
      </c>
      <c r="AF203">
        <v>2264.2198969999999</v>
      </c>
      <c r="AH203">
        <v>0</v>
      </c>
      <c r="AI203">
        <v>142</v>
      </c>
    </row>
    <row r="204" spans="1:35" x14ac:dyDescent="0.25">
      <c r="A204" t="s">
        <v>330</v>
      </c>
      <c r="B204" t="s">
        <v>499</v>
      </c>
      <c r="D204" t="s">
        <v>332</v>
      </c>
      <c r="E204">
        <v>159</v>
      </c>
      <c r="H204">
        <f t="shared" si="3"/>
        <v>241019011</v>
      </c>
      <c r="I204">
        <v>9011</v>
      </c>
      <c r="J204">
        <v>2</v>
      </c>
      <c r="K204" t="s">
        <v>333</v>
      </c>
      <c r="L204">
        <v>75000</v>
      </c>
      <c r="M204" t="s">
        <v>279</v>
      </c>
      <c r="N204">
        <v>60</v>
      </c>
      <c r="O204">
        <v>911</v>
      </c>
      <c r="P204">
        <v>9</v>
      </c>
      <c r="Q204">
        <v>11</v>
      </c>
      <c r="R204">
        <v>38</v>
      </c>
      <c r="S204">
        <v>21.2</v>
      </c>
      <c r="T204">
        <v>1261</v>
      </c>
      <c r="U204">
        <v>1594</v>
      </c>
      <c r="V204" s="1">
        <v>45501</v>
      </c>
      <c r="W204" s="1">
        <v>45534</v>
      </c>
      <c r="X204">
        <v>107376</v>
      </c>
      <c r="Y204">
        <v>0.70642570000000005</v>
      </c>
      <c r="Z204">
        <v>2256.4297980000001</v>
      </c>
      <c r="AA204">
        <f>1-((0.95-Y204)*0.5)</f>
        <v>0.87821285000000004</v>
      </c>
      <c r="AB204">
        <f>U204/AA204</f>
        <v>1815.0497342415338</v>
      </c>
      <c r="AC204" cm="1">
        <f t="array" ref="AC204">_xlfn.IFS(Y204&lt;0.6,U204,0.9&lt;Y204,U204,Y204,AB204)</f>
        <v>1815.0497342415338</v>
      </c>
      <c r="AD204">
        <v>0.89724899499999999</v>
      </c>
      <c r="AE204">
        <v>2082.178457</v>
      </c>
      <c r="AF204">
        <v>2082.178457</v>
      </c>
      <c r="AH204">
        <v>0</v>
      </c>
      <c r="AI204">
        <v>159</v>
      </c>
    </row>
    <row r="205" spans="1:35" x14ac:dyDescent="0.25">
      <c r="A205" t="s">
        <v>330</v>
      </c>
      <c r="B205" t="s">
        <v>512</v>
      </c>
      <c r="D205" t="s">
        <v>332</v>
      </c>
      <c r="E205">
        <v>172</v>
      </c>
      <c r="H205">
        <f t="shared" si="3"/>
        <v>241019012</v>
      </c>
      <c r="I205">
        <v>9012</v>
      </c>
      <c r="J205">
        <v>2</v>
      </c>
      <c r="K205" t="s">
        <v>333</v>
      </c>
      <c r="L205">
        <v>150000</v>
      </c>
      <c r="M205" t="s">
        <v>349</v>
      </c>
      <c r="N205">
        <v>88</v>
      </c>
      <c r="O205">
        <v>912</v>
      </c>
      <c r="P205">
        <v>9</v>
      </c>
      <c r="Q205">
        <v>12</v>
      </c>
      <c r="R205">
        <v>26</v>
      </c>
      <c r="S205">
        <v>20.399999999999999</v>
      </c>
      <c r="T205">
        <v>1960</v>
      </c>
      <c r="U205">
        <v>2503</v>
      </c>
      <c r="V205" s="1">
        <v>45497</v>
      </c>
      <c r="W205" s="1">
        <v>45534</v>
      </c>
      <c r="X205">
        <v>141286</v>
      </c>
      <c r="Y205">
        <v>0.92950704299999998</v>
      </c>
      <c r="Z205">
        <v>2692.8252130000001</v>
      </c>
      <c r="AA205">
        <f>1-((0.95-Y205)*0.5)</f>
        <v>0.98975352149999996</v>
      </c>
      <c r="AB205">
        <f>U205/AA205</f>
        <v>2528.9124470167394</v>
      </c>
      <c r="AC205" cm="1">
        <f t="array" ref="AC205">_xlfn.IFS(Y205&lt;0.6,U205,0.9&lt;Y205,U205,Y205,AB205)</f>
        <v>2503</v>
      </c>
      <c r="AD205">
        <v>0.975327465</v>
      </c>
      <c r="AE205">
        <v>2660.075867</v>
      </c>
      <c r="AF205">
        <v>2503</v>
      </c>
      <c r="AH205">
        <v>0</v>
      </c>
      <c r="AI205">
        <v>172</v>
      </c>
    </row>
    <row r="206" spans="1:35" x14ac:dyDescent="0.25">
      <c r="A206" t="s">
        <v>330</v>
      </c>
      <c r="B206" t="s">
        <v>529</v>
      </c>
      <c r="D206" t="s">
        <v>332</v>
      </c>
      <c r="E206">
        <v>189</v>
      </c>
      <c r="H206">
        <f t="shared" si="3"/>
        <v>241019013</v>
      </c>
      <c r="I206">
        <v>9013</v>
      </c>
      <c r="J206">
        <v>3</v>
      </c>
      <c r="K206" t="s">
        <v>388</v>
      </c>
      <c r="L206">
        <v>150000</v>
      </c>
      <c r="M206" t="s">
        <v>357</v>
      </c>
      <c r="N206">
        <v>33</v>
      </c>
      <c r="O206">
        <v>913</v>
      </c>
      <c r="P206">
        <v>9</v>
      </c>
      <c r="Q206">
        <v>13</v>
      </c>
      <c r="R206">
        <v>40</v>
      </c>
      <c r="S206">
        <v>18.2</v>
      </c>
      <c r="T206">
        <v>2265</v>
      </c>
      <c r="U206">
        <v>2973</v>
      </c>
      <c r="V206" s="1">
        <v>45497</v>
      </c>
      <c r="W206" s="1">
        <v>45533</v>
      </c>
      <c r="X206">
        <v>102950</v>
      </c>
      <c r="Y206">
        <v>0.75581395299999998</v>
      </c>
      <c r="Z206">
        <v>4389.4706169999999</v>
      </c>
      <c r="AA206">
        <f>1-((0.95-Y206)*0.5)</f>
        <v>0.90290697649999996</v>
      </c>
      <c r="AB206">
        <f>U206/AA206</f>
        <v>3292.6980047539814</v>
      </c>
      <c r="AC206" cm="1">
        <f t="array" ref="AC206">_xlfn.IFS(Y206&lt;0.6,U206,0.9&lt;Y206,U206,Y206,AB206)</f>
        <v>3292.6980047539814</v>
      </c>
      <c r="AD206">
        <v>0.91453488400000005</v>
      </c>
      <c r="AE206">
        <v>3876.2626879999998</v>
      </c>
      <c r="AF206">
        <v>3876.2626879999998</v>
      </c>
      <c r="AH206">
        <v>0</v>
      </c>
      <c r="AI206">
        <v>189</v>
      </c>
    </row>
    <row r="207" spans="1:35" x14ac:dyDescent="0.25">
      <c r="A207" t="s">
        <v>330</v>
      </c>
      <c r="B207" t="s">
        <v>542</v>
      </c>
      <c r="D207" t="s">
        <v>332</v>
      </c>
      <c r="E207">
        <v>202</v>
      </c>
      <c r="H207">
        <f t="shared" si="3"/>
        <v>241019014</v>
      </c>
      <c r="I207">
        <v>9014</v>
      </c>
      <c r="J207">
        <v>3</v>
      </c>
      <c r="K207" t="s">
        <v>388</v>
      </c>
      <c r="L207">
        <v>75000</v>
      </c>
      <c r="M207" t="s">
        <v>283</v>
      </c>
      <c r="N207">
        <v>2</v>
      </c>
      <c r="O207">
        <v>914</v>
      </c>
      <c r="P207">
        <v>9</v>
      </c>
      <c r="Q207">
        <v>14</v>
      </c>
      <c r="R207">
        <v>25</v>
      </c>
      <c r="S207">
        <v>18.399999999999999</v>
      </c>
      <c r="T207">
        <v>1534</v>
      </c>
      <c r="U207">
        <v>2009</v>
      </c>
      <c r="V207" s="1">
        <v>45498</v>
      </c>
      <c r="W207" s="1">
        <v>45534</v>
      </c>
      <c r="X207">
        <v>122084</v>
      </c>
      <c r="Y207">
        <v>0.88839285700000004</v>
      </c>
      <c r="Z207">
        <v>2501.2777350000001</v>
      </c>
      <c r="AA207">
        <f>1-((0.95-Y207)*0.5)</f>
        <v>0.9691964285000001</v>
      </c>
      <c r="AB207">
        <f>U207/AA207</f>
        <v>2072.8512207884182</v>
      </c>
      <c r="AC207" cm="1">
        <f t="array" ref="AC207">_xlfn.IFS(Y207&lt;0.6,U207,0.9&lt;Y207,U207,Y207,AB207)</f>
        <v>2072.8512207884182</v>
      </c>
      <c r="AD207">
        <v>0.9609375</v>
      </c>
      <c r="AE207">
        <v>2318.8540889999999</v>
      </c>
      <c r="AF207">
        <v>2318.8540889999999</v>
      </c>
      <c r="AH207">
        <v>0</v>
      </c>
      <c r="AI207">
        <v>202</v>
      </c>
    </row>
    <row r="208" spans="1:35" x14ac:dyDescent="0.25">
      <c r="A208" t="s">
        <v>330</v>
      </c>
      <c r="B208" t="s">
        <v>559</v>
      </c>
      <c r="D208" t="s">
        <v>332</v>
      </c>
      <c r="E208">
        <v>219</v>
      </c>
      <c r="H208">
        <f t="shared" si="3"/>
        <v>241019015</v>
      </c>
      <c r="I208">
        <v>9015</v>
      </c>
      <c r="J208">
        <v>3</v>
      </c>
      <c r="K208" t="s">
        <v>388</v>
      </c>
      <c r="L208">
        <v>100000</v>
      </c>
      <c r="M208" t="s">
        <v>341</v>
      </c>
      <c r="N208">
        <v>20</v>
      </c>
      <c r="O208">
        <v>915</v>
      </c>
      <c r="P208">
        <v>9</v>
      </c>
      <c r="Q208">
        <v>15</v>
      </c>
      <c r="R208">
        <v>41</v>
      </c>
      <c r="S208">
        <v>18.399999999999999</v>
      </c>
      <c r="T208">
        <v>1559</v>
      </c>
      <c r="U208">
        <v>2041</v>
      </c>
      <c r="V208" s="1">
        <v>45492</v>
      </c>
      <c r="W208" s="1">
        <v>45530</v>
      </c>
      <c r="X208">
        <v>126603</v>
      </c>
      <c r="Y208">
        <v>0.96791443899999996</v>
      </c>
      <c r="Z208">
        <v>2450.4316640000002</v>
      </c>
      <c r="AA208">
        <f>1-((0.95-Y208)*0.5)</f>
        <v>1.0089572195000001</v>
      </c>
      <c r="AB208">
        <f>U208/AA208</f>
        <v>2022.8806143152831</v>
      </c>
      <c r="AC208" cm="1">
        <f t="array" ref="AC208">_xlfn.IFS(Y208&lt;0.6,U208,0.9&lt;Y208,U208,Y208,AB208)</f>
        <v>2041</v>
      </c>
      <c r="AD208">
        <v>0.98877005399999995</v>
      </c>
      <c r="AE208">
        <v>2252.3480140000001</v>
      </c>
      <c r="AF208">
        <v>2041</v>
      </c>
      <c r="AH208">
        <v>0</v>
      </c>
      <c r="AI208">
        <v>219</v>
      </c>
    </row>
    <row r="209" spans="1:35" x14ac:dyDescent="0.25">
      <c r="A209" t="s">
        <v>330</v>
      </c>
      <c r="B209" t="s">
        <v>572</v>
      </c>
      <c r="D209" t="s">
        <v>332</v>
      </c>
      <c r="E209">
        <v>232</v>
      </c>
      <c r="H209">
        <f t="shared" si="3"/>
        <v>241019016</v>
      </c>
      <c r="I209">
        <v>9016</v>
      </c>
      <c r="J209">
        <v>3</v>
      </c>
      <c r="K209" t="s">
        <v>333</v>
      </c>
      <c r="L209">
        <v>100000</v>
      </c>
      <c r="M209" t="s">
        <v>347</v>
      </c>
      <c r="N209">
        <v>72</v>
      </c>
      <c r="O209">
        <v>916</v>
      </c>
      <c r="P209">
        <v>9</v>
      </c>
      <c r="Q209">
        <v>16</v>
      </c>
      <c r="R209">
        <v>70</v>
      </c>
      <c r="S209">
        <v>20.100000000000001</v>
      </c>
      <c r="T209">
        <v>728</v>
      </c>
      <c r="U209">
        <v>933</v>
      </c>
      <c r="V209" s="1">
        <v>45493</v>
      </c>
      <c r="W209" s="1">
        <v>45536</v>
      </c>
      <c r="X209">
        <v>150057</v>
      </c>
      <c r="Y209">
        <v>0.98721060999999999</v>
      </c>
      <c r="Z209">
        <v>945.08708690000003</v>
      </c>
      <c r="AA209">
        <f>1-((0.95-Y209)*0.5)</f>
        <v>1.0186053049999999</v>
      </c>
      <c r="AB209">
        <f>U209/AA209</f>
        <v>915.9583161605467</v>
      </c>
      <c r="AC209" cm="1">
        <f t="array" ref="AC209">_xlfn.IFS(Y209&lt;0.6,U209,0.9&lt;Y209,U209,Y209,AB209)</f>
        <v>933</v>
      </c>
      <c r="AD209">
        <v>0.99552371399999995</v>
      </c>
      <c r="AE209">
        <v>943.22680170000001</v>
      </c>
      <c r="AF209">
        <v>933</v>
      </c>
      <c r="AH209">
        <v>0</v>
      </c>
      <c r="AI209">
        <v>232</v>
      </c>
    </row>
    <row r="210" spans="1:35" x14ac:dyDescent="0.25">
      <c r="A210" t="s">
        <v>330</v>
      </c>
      <c r="B210" t="s">
        <v>589</v>
      </c>
      <c r="D210" t="s">
        <v>332</v>
      </c>
      <c r="E210">
        <v>249</v>
      </c>
      <c r="H210">
        <f t="shared" si="3"/>
        <v>241019017</v>
      </c>
      <c r="I210">
        <v>9017</v>
      </c>
      <c r="J210">
        <v>3</v>
      </c>
      <c r="K210" t="s">
        <v>333</v>
      </c>
      <c r="L210">
        <v>150000</v>
      </c>
      <c r="M210" t="s">
        <v>347</v>
      </c>
      <c r="N210">
        <v>87</v>
      </c>
      <c r="O210">
        <v>917</v>
      </c>
      <c r="P210">
        <v>9</v>
      </c>
      <c r="Q210">
        <v>17</v>
      </c>
      <c r="R210">
        <v>66</v>
      </c>
      <c r="S210">
        <v>19.8</v>
      </c>
      <c r="T210">
        <v>984</v>
      </c>
      <c r="U210">
        <v>1266</v>
      </c>
      <c r="V210" s="1">
        <v>45495</v>
      </c>
      <c r="X210">
        <v>151808</v>
      </c>
      <c r="Y210">
        <v>0.99873027199999997</v>
      </c>
      <c r="Z210">
        <v>1267.60952</v>
      </c>
      <c r="AA210">
        <f>1-((0.95-Y210)*0.5)</f>
        <v>1.0243651360000001</v>
      </c>
      <c r="AB210">
        <f>U210/AA210</f>
        <v>1235.8874345758677</v>
      </c>
      <c r="AC210" cm="1">
        <f t="array" ref="AC210">_xlfn.IFS(Y210&lt;0.6,U210,0.9&lt;Y210,U210,Y210,AB210)</f>
        <v>1266</v>
      </c>
      <c r="AD210">
        <v>0.99955559500000002</v>
      </c>
      <c r="AE210">
        <v>1267.3674719999999</v>
      </c>
      <c r="AF210">
        <v>1266</v>
      </c>
      <c r="AH210">
        <v>0</v>
      </c>
      <c r="AI210">
        <v>249</v>
      </c>
    </row>
    <row r="211" spans="1:35" x14ac:dyDescent="0.25">
      <c r="A211" t="s">
        <v>330</v>
      </c>
      <c r="B211" t="s">
        <v>602</v>
      </c>
      <c r="D211" t="s">
        <v>332</v>
      </c>
      <c r="E211">
        <v>262</v>
      </c>
      <c r="H211">
        <f t="shared" si="3"/>
        <v>241019018</v>
      </c>
      <c r="I211">
        <v>9018</v>
      </c>
      <c r="J211">
        <v>3</v>
      </c>
      <c r="K211" t="s">
        <v>333</v>
      </c>
      <c r="L211">
        <v>75000</v>
      </c>
      <c r="M211" t="s">
        <v>338</v>
      </c>
      <c r="N211">
        <v>59</v>
      </c>
      <c r="O211">
        <v>918</v>
      </c>
      <c r="P211">
        <v>9</v>
      </c>
      <c r="Q211">
        <v>18</v>
      </c>
      <c r="R211">
        <v>26</v>
      </c>
      <c r="S211">
        <v>19.600000000000001</v>
      </c>
      <c r="T211">
        <v>1247</v>
      </c>
      <c r="U211">
        <v>1609</v>
      </c>
      <c r="V211" s="1">
        <v>45492</v>
      </c>
      <c r="W211" s="1">
        <v>45528</v>
      </c>
      <c r="X211">
        <v>150896</v>
      </c>
      <c r="Y211">
        <v>0.99275643599999996</v>
      </c>
      <c r="Z211">
        <v>1620.7399330000001</v>
      </c>
      <c r="AA211">
        <f>1-((0.95-Y211)*0.5)</f>
        <v>1.0213782179999999</v>
      </c>
      <c r="AB211">
        <f>U211/AA211</f>
        <v>1575.322414012945</v>
      </c>
      <c r="AC211" cm="1">
        <f t="array" ref="AC211">_xlfn.IFS(Y211&lt;0.6,U211,0.9&lt;Y211,U211,Y211,AB211)</f>
        <v>1609</v>
      </c>
      <c r="AD211">
        <v>0.99746475300000004</v>
      </c>
      <c r="AE211">
        <v>1618.9530769999999</v>
      </c>
      <c r="AF211">
        <v>1609</v>
      </c>
      <c r="AH211">
        <v>0</v>
      </c>
      <c r="AI211">
        <v>262</v>
      </c>
    </row>
    <row r="212" spans="1:35" x14ac:dyDescent="0.25">
      <c r="A212" t="s">
        <v>330</v>
      </c>
      <c r="B212" t="s">
        <v>618</v>
      </c>
      <c r="D212" t="s">
        <v>332</v>
      </c>
      <c r="E212">
        <v>279</v>
      </c>
      <c r="H212">
        <f t="shared" si="3"/>
        <v>241019019</v>
      </c>
      <c r="I212">
        <v>9019</v>
      </c>
      <c r="J212">
        <v>4</v>
      </c>
      <c r="K212" t="s">
        <v>388</v>
      </c>
      <c r="L212">
        <v>75000</v>
      </c>
      <c r="M212" t="s">
        <v>351</v>
      </c>
      <c r="N212">
        <v>10</v>
      </c>
      <c r="O212">
        <v>919</v>
      </c>
      <c r="P212">
        <v>9</v>
      </c>
      <c r="Q212">
        <v>19</v>
      </c>
      <c r="R212">
        <v>69</v>
      </c>
      <c r="S212">
        <v>19.399999999999999</v>
      </c>
      <c r="T212">
        <v>368</v>
      </c>
      <c r="U212">
        <v>476</v>
      </c>
      <c r="V212" s="1">
        <v>45490</v>
      </c>
      <c r="W212" s="1">
        <v>45525</v>
      </c>
      <c r="X212">
        <v>123365</v>
      </c>
      <c r="Y212">
        <v>0.92486583200000005</v>
      </c>
      <c r="Z212">
        <v>586.49497020000001</v>
      </c>
      <c r="AA212">
        <f>1-((0.95-Y212)*0.5)</f>
        <v>0.98743291600000005</v>
      </c>
      <c r="AB212">
        <f>U212/AA212</f>
        <v>482.05806418549651</v>
      </c>
      <c r="AC212" cm="1">
        <f t="array" ref="AC212">_xlfn.IFS(Y212&lt;0.6,U212,0.9&lt;Y212,U212,Y212,AB212)</f>
        <v>476</v>
      </c>
      <c r="AD212">
        <v>0.97370304100000005</v>
      </c>
      <c r="AE212">
        <v>539.69429979999995</v>
      </c>
      <c r="AF212">
        <v>476</v>
      </c>
      <c r="AH212">
        <v>0</v>
      </c>
      <c r="AI212">
        <v>279</v>
      </c>
    </row>
    <row r="213" spans="1:35" x14ac:dyDescent="0.25">
      <c r="A213" t="s">
        <v>330</v>
      </c>
      <c r="B213" t="s">
        <v>631</v>
      </c>
      <c r="D213" t="s">
        <v>332</v>
      </c>
      <c r="E213">
        <v>292</v>
      </c>
      <c r="H213">
        <f t="shared" si="3"/>
        <v>241019020</v>
      </c>
      <c r="I213">
        <v>9020</v>
      </c>
      <c r="J213">
        <v>4</v>
      </c>
      <c r="K213" t="s">
        <v>388</v>
      </c>
      <c r="L213">
        <v>100000</v>
      </c>
      <c r="M213" t="s">
        <v>343</v>
      </c>
      <c r="N213">
        <v>16</v>
      </c>
      <c r="O213">
        <v>920</v>
      </c>
      <c r="P213">
        <v>9</v>
      </c>
      <c r="Q213">
        <v>20</v>
      </c>
      <c r="V213" s="1">
        <v>45499</v>
      </c>
      <c r="W213" s="1">
        <v>45538</v>
      </c>
      <c r="X213">
        <v>113640</v>
      </c>
      <c r="Y213">
        <v>0.86631016000000005</v>
      </c>
      <c r="AA213">
        <f>1-((0.95-Y213)*0.5)</f>
        <v>0.95815508000000005</v>
      </c>
      <c r="AH213">
        <v>0</v>
      </c>
      <c r="AI213">
        <v>292</v>
      </c>
    </row>
    <row r="214" spans="1:35" x14ac:dyDescent="0.25">
      <c r="A214" t="s">
        <v>330</v>
      </c>
      <c r="B214" t="s">
        <v>647</v>
      </c>
      <c r="D214" t="s">
        <v>332</v>
      </c>
      <c r="E214">
        <v>309</v>
      </c>
      <c r="H214">
        <f t="shared" si="3"/>
        <v>241019021</v>
      </c>
      <c r="I214">
        <v>9021</v>
      </c>
      <c r="J214">
        <v>4</v>
      </c>
      <c r="K214" t="s">
        <v>388</v>
      </c>
      <c r="L214">
        <v>150000</v>
      </c>
      <c r="M214" t="s">
        <v>279</v>
      </c>
      <c r="N214">
        <v>45</v>
      </c>
      <c r="O214">
        <v>921</v>
      </c>
      <c r="P214">
        <v>9</v>
      </c>
      <c r="Q214">
        <v>21</v>
      </c>
      <c r="R214">
        <v>26</v>
      </c>
      <c r="S214">
        <v>19</v>
      </c>
      <c r="T214">
        <v>1452</v>
      </c>
      <c r="U214">
        <v>1887</v>
      </c>
      <c r="V214" s="1">
        <v>45499</v>
      </c>
      <c r="W214" s="1">
        <v>45530</v>
      </c>
      <c r="X214">
        <v>122991</v>
      </c>
      <c r="Y214">
        <v>0.89534883700000001</v>
      </c>
      <c r="Z214">
        <v>2332.0730789999998</v>
      </c>
      <c r="AA214">
        <f>1-((0.95-Y214)*0.5)</f>
        <v>0.97267441850000003</v>
      </c>
      <c r="AB214">
        <f>U214/AA214</f>
        <v>1940.0119547813522</v>
      </c>
      <c r="AC214" cm="1">
        <f t="array" ref="AC214">_xlfn.IFS(Y214&lt;0.6,U214,0.9&lt;Y214,U214,Y214,AB214)</f>
        <v>1940.0119547813522</v>
      </c>
      <c r="AD214">
        <v>0.96337209300000004</v>
      </c>
      <c r="AE214">
        <v>2165.3741199999999</v>
      </c>
      <c r="AF214">
        <v>2165.3741199999999</v>
      </c>
      <c r="AH214">
        <v>0</v>
      </c>
      <c r="AI214">
        <v>309</v>
      </c>
    </row>
    <row r="215" spans="1:35" x14ac:dyDescent="0.25">
      <c r="A215" t="s">
        <v>330</v>
      </c>
      <c r="B215" t="s">
        <v>660</v>
      </c>
      <c r="D215" t="s">
        <v>332</v>
      </c>
      <c r="E215">
        <v>322</v>
      </c>
      <c r="H215">
        <f t="shared" si="3"/>
        <v>241019022</v>
      </c>
      <c r="I215">
        <v>9022</v>
      </c>
      <c r="J215">
        <v>4</v>
      </c>
      <c r="K215" t="s">
        <v>333</v>
      </c>
      <c r="L215">
        <v>150000</v>
      </c>
      <c r="M215" t="s">
        <v>341</v>
      </c>
      <c r="N215">
        <v>80</v>
      </c>
      <c r="O215">
        <v>922</v>
      </c>
      <c r="P215">
        <v>9</v>
      </c>
      <c r="Q215">
        <v>22</v>
      </c>
      <c r="R215">
        <v>40</v>
      </c>
      <c r="S215">
        <v>18</v>
      </c>
      <c r="T215">
        <v>1761</v>
      </c>
      <c r="U215">
        <v>2317</v>
      </c>
      <c r="V215" s="1">
        <v>45496</v>
      </c>
      <c r="W215" s="1">
        <v>45530</v>
      </c>
      <c r="X215">
        <v>151836</v>
      </c>
      <c r="Y215">
        <v>0.99893419699999997</v>
      </c>
      <c r="Z215">
        <v>2319.4721009999998</v>
      </c>
      <c r="AA215">
        <f>1-((0.95-Y215)*0.5)</f>
        <v>1.0244670985</v>
      </c>
      <c r="AB215">
        <f>U215/AA215</f>
        <v>2261.6636526370594</v>
      </c>
      <c r="AC215" cm="1">
        <f t="array" ref="AC215">_xlfn.IFS(Y215&lt;0.6,U215,0.9&lt;Y215,U215,Y215,AB215)</f>
        <v>2317</v>
      </c>
      <c r="AD215">
        <v>0.99962696900000003</v>
      </c>
      <c r="AE215">
        <v>2319.1004870000002</v>
      </c>
      <c r="AF215">
        <v>2317</v>
      </c>
      <c r="AH215">
        <v>0</v>
      </c>
      <c r="AI215">
        <v>322</v>
      </c>
    </row>
    <row r="216" spans="1:35" x14ac:dyDescent="0.25">
      <c r="A216" t="s">
        <v>330</v>
      </c>
      <c r="B216" t="s">
        <v>677</v>
      </c>
      <c r="D216" t="s">
        <v>332</v>
      </c>
      <c r="E216">
        <v>339</v>
      </c>
      <c r="H216">
        <f t="shared" si="3"/>
        <v>241019023</v>
      </c>
      <c r="I216">
        <v>9023</v>
      </c>
      <c r="J216">
        <v>4</v>
      </c>
      <c r="K216" t="s">
        <v>333</v>
      </c>
      <c r="L216">
        <v>100000</v>
      </c>
      <c r="M216" t="s">
        <v>279</v>
      </c>
      <c r="N216">
        <v>75</v>
      </c>
      <c r="O216">
        <v>923</v>
      </c>
      <c r="P216">
        <v>9</v>
      </c>
      <c r="Q216">
        <v>23</v>
      </c>
      <c r="R216">
        <v>26</v>
      </c>
      <c r="S216">
        <v>24.3</v>
      </c>
      <c r="T216">
        <v>1653</v>
      </c>
      <c r="U216">
        <v>2008</v>
      </c>
      <c r="V216" s="1">
        <v>45497</v>
      </c>
      <c r="W216" s="1">
        <v>45532</v>
      </c>
      <c r="X216">
        <v>136781</v>
      </c>
      <c r="Y216">
        <v>0.89986907999999999</v>
      </c>
      <c r="Z216">
        <v>2231.4357110000001</v>
      </c>
      <c r="AA216">
        <f>1-((0.95-Y216)*0.5)</f>
        <v>0.97493454000000002</v>
      </c>
      <c r="AB216">
        <f>U216/AA216</f>
        <v>2059.6254595718806</v>
      </c>
      <c r="AC216" cm="1">
        <f t="array" ref="AC216">_xlfn.IFS(Y216&lt;0.6,U216,0.9&lt;Y216,U216,Y216,AB216)</f>
        <v>2059.6254595718806</v>
      </c>
      <c r="AD216">
        <v>0.96495417800000005</v>
      </c>
      <c r="AE216">
        <v>2190.6012879999998</v>
      </c>
      <c r="AF216">
        <v>2190.6012879999998</v>
      </c>
      <c r="AH216">
        <v>0</v>
      </c>
      <c r="AI216">
        <v>339</v>
      </c>
    </row>
    <row r="217" spans="1:35" x14ac:dyDescent="0.25">
      <c r="A217" t="s">
        <v>330</v>
      </c>
      <c r="B217" t="s">
        <v>690</v>
      </c>
      <c r="D217" t="s">
        <v>332</v>
      </c>
      <c r="E217">
        <v>352</v>
      </c>
      <c r="H217">
        <f t="shared" si="3"/>
        <v>241019024</v>
      </c>
      <c r="I217">
        <v>9024</v>
      </c>
      <c r="J217">
        <v>4</v>
      </c>
      <c r="K217" t="s">
        <v>333</v>
      </c>
      <c r="L217">
        <v>75000</v>
      </c>
      <c r="M217" t="s">
        <v>349</v>
      </c>
      <c r="N217">
        <v>58</v>
      </c>
      <c r="O217">
        <v>924</v>
      </c>
      <c r="P217">
        <v>9</v>
      </c>
      <c r="Q217">
        <v>24</v>
      </c>
      <c r="R217">
        <v>29</v>
      </c>
      <c r="S217">
        <v>23.3</v>
      </c>
      <c r="T217">
        <v>1460</v>
      </c>
      <c r="U217">
        <v>1797</v>
      </c>
      <c r="V217" s="1">
        <v>45500</v>
      </c>
      <c r="W217" s="1">
        <v>45535</v>
      </c>
      <c r="X217">
        <v>148936</v>
      </c>
      <c r="Y217">
        <v>0.97983565900000003</v>
      </c>
      <c r="Z217">
        <v>1833.9810190000001</v>
      </c>
      <c r="AA217">
        <f>1-((0.95-Y217)*0.5)</f>
        <v>1.0149178295000001</v>
      </c>
      <c r="AB217">
        <f>U217/AA217</f>
        <v>1770.586689648849</v>
      </c>
      <c r="AC217" cm="1">
        <f t="array" ref="AC217">_xlfn.IFS(Y217&lt;0.6,U217,0.9&lt;Y217,U217,Y217,AB217)</f>
        <v>1797</v>
      </c>
      <c r="AD217">
        <v>0.99294248100000004</v>
      </c>
      <c r="AE217">
        <v>1828.2047769999999</v>
      </c>
      <c r="AF217">
        <v>1797</v>
      </c>
      <c r="AH217">
        <v>0</v>
      </c>
      <c r="AI217">
        <v>352</v>
      </c>
    </row>
    <row r="218" spans="1:35" x14ac:dyDescent="0.25">
      <c r="A218" t="s">
        <v>330</v>
      </c>
      <c r="B218" t="s">
        <v>346</v>
      </c>
      <c r="D218" t="s">
        <v>332</v>
      </c>
      <c r="E218">
        <v>10</v>
      </c>
      <c r="H218">
        <f t="shared" si="3"/>
        <v>241020001</v>
      </c>
      <c r="I218">
        <v>10001</v>
      </c>
      <c r="J218">
        <v>1</v>
      </c>
      <c r="K218" t="s">
        <v>333</v>
      </c>
      <c r="L218">
        <v>100000</v>
      </c>
      <c r="M218" t="s">
        <v>347</v>
      </c>
      <c r="N218">
        <v>72</v>
      </c>
      <c r="O218">
        <v>1001</v>
      </c>
      <c r="P218">
        <v>10</v>
      </c>
      <c r="Q218">
        <v>1</v>
      </c>
      <c r="R218">
        <v>72</v>
      </c>
      <c r="S218">
        <v>23</v>
      </c>
      <c r="T218">
        <v>590</v>
      </c>
      <c r="U218">
        <v>729</v>
      </c>
      <c r="V218" s="1">
        <v>45497</v>
      </c>
      <c r="W218" s="1">
        <v>45537</v>
      </c>
      <c r="X218">
        <v>149980</v>
      </c>
      <c r="Y218">
        <v>0.98671052599999998</v>
      </c>
      <c r="Z218">
        <v>738.81850910000003</v>
      </c>
      <c r="AA218">
        <f>1-((0.95-Y218)*0.5)</f>
        <v>1.0183552630000001</v>
      </c>
      <c r="AB218">
        <f>U218/AA218</f>
        <v>715.8601977981823</v>
      </c>
      <c r="AC218" cm="1">
        <f t="array" ref="AC218">_xlfn.IFS(Y218&lt;0.6,U218,0.9&lt;Y218,U218,Y218,AB218)</f>
        <v>729</v>
      </c>
      <c r="AD218">
        <v>0.99534868399999998</v>
      </c>
      <c r="AE218">
        <v>737.30585829999995</v>
      </c>
      <c r="AF218">
        <v>729</v>
      </c>
      <c r="AH218">
        <v>0</v>
      </c>
      <c r="AI218">
        <v>10</v>
      </c>
    </row>
    <row r="219" spans="1:35" x14ac:dyDescent="0.25">
      <c r="A219" t="s">
        <v>330</v>
      </c>
      <c r="B219" t="s">
        <v>363</v>
      </c>
      <c r="D219" t="s">
        <v>332</v>
      </c>
      <c r="E219">
        <v>21</v>
      </c>
      <c r="H219">
        <f t="shared" si="3"/>
        <v>241020002</v>
      </c>
      <c r="I219">
        <v>10002</v>
      </c>
      <c r="J219">
        <v>1</v>
      </c>
      <c r="K219" t="s">
        <v>333</v>
      </c>
      <c r="L219">
        <v>150000</v>
      </c>
      <c r="M219" t="s">
        <v>338</v>
      </c>
      <c r="N219">
        <v>89</v>
      </c>
      <c r="O219">
        <v>1002</v>
      </c>
      <c r="P219">
        <v>10</v>
      </c>
      <c r="Q219">
        <v>2</v>
      </c>
      <c r="R219">
        <v>45</v>
      </c>
      <c r="S219">
        <v>20.2</v>
      </c>
      <c r="T219">
        <v>1444</v>
      </c>
      <c r="U219">
        <v>1849</v>
      </c>
      <c r="V219" s="1">
        <v>45493</v>
      </c>
      <c r="W219" s="1">
        <v>45528</v>
      </c>
      <c r="X219">
        <v>151879</v>
      </c>
      <c r="Y219">
        <v>0.99920394700000004</v>
      </c>
      <c r="Z219">
        <v>1850.473074</v>
      </c>
      <c r="AA219">
        <f>1-((0.95-Y219)*0.5)</f>
        <v>1.0246019735</v>
      </c>
      <c r="AB219">
        <f>U219/AA219</f>
        <v>1804.6031998980918</v>
      </c>
      <c r="AC219" cm="1">
        <f t="array" ref="AC219">_xlfn.IFS(Y219&lt;0.6,U219,0.9&lt;Y219,U219,Y219,AB219)</f>
        <v>1849</v>
      </c>
      <c r="AD219">
        <v>0.99972138099999996</v>
      </c>
      <c r="AE219">
        <v>1850.2517580000001</v>
      </c>
      <c r="AF219">
        <v>1849</v>
      </c>
      <c r="AH219">
        <v>0</v>
      </c>
      <c r="AI219">
        <v>21</v>
      </c>
    </row>
    <row r="220" spans="1:35" x14ac:dyDescent="0.25">
      <c r="A220" t="s">
        <v>330</v>
      </c>
      <c r="B220" t="s">
        <v>382</v>
      </c>
      <c r="D220" t="s">
        <v>332</v>
      </c>
      <c r="E220">
        <v>40</v>
      </c>
      <c r="H220">
        <f t="shared" si="3"/>
        <v>241020003</v>
      </c>
      <c r="I220">
        <v>10003</v>
      </c>
      <c r="J220">
        <v>1</v>
      </c>
      <c r="K220" t="s">
        <v>333</v>
      </c>
      <c r="L220">
        <v>75000</v>
      </c>
      <c r="M220" t="s">
        <v>295</v>
      </c>
      <c r="N220">
        <v>56</v>
      </c>
      <c r="O220">
        <v>1003</v>
      </c>
      <c r="P220">
        <v>10</v>
      </c>
      <c r="Q220">
        <v>3</v>
      </c>
      <c r="R220">
        <v>52</v>
      </c>
      <c r="S220">
        <v>20.399999999999999</v>
      </c>
      <c r="T220">
        <v>358</v>
      </c>
      <c r="U220">
        <v>457</v>
      </c>
      <c r="V220" s="1">
        <v>45490</v>
      </c>
      <c r="W220" s="1">
        <v>45525</v>
      </c>
      <c r="X220">
        <v>99365</v>
      </c>
      <c r="Y220">
        <v>0.65370850400000002</v>
      </c>
      <c r="Z220">
        <v>699.08835099999999</v>
      </c>
      <c r="AA220">
        <f>1-((0.95-Y220)*0.5)</f>
        <v>0.85185425200000009</v>
      </c>
      <c r="AB220">
        <f>U220/AA220</f>
        <v>536.47674931133633</v>
      </c>
      <c r="AC220" cm="1">
        <f t="array" ref="AC220">_xlfn.IFS(Y220&lt;0.6,U220,0.9&lt;Y220,U220,Y220,AB220)</f>
        <v>536.47674931133633</v>
      </c>
      <c r="AD220">
        <v>0.87879797599999998</v>
      </c>
      <c r="AE220">
        <v>628.92402890000005</v>
      </c>
      <c r="AF220">
        <v>628.92402890000005</v>
      </c>
      <c r="AH220">
        <v>0</v>
      </c>
      <c r="AI220">
        <v>40</v>
      </c>
    </row>
    <row r="221" spans="1:35" x14ac:dyDescent="0.25">
      <c r="A221" t="s">
        <v>330</v>
      </c>
      <c r="B221" t="s">
        <v>393</v>
      </c>
      <c r="D221" t="s">
        <v>332</v>
      </c>
      <c r="E221">
        <v>51</v>
      </c>
      <c r="H221">
        <f t="shared" si="3"/>
        <v>241020004</v>
      </c>
      <c r="I221">
        <v>10004</v>
      </c>
      <c r="J221">
        <v>1</v>
      </c>
      <c r="K221" t="s">
        <v>388</v>
      </c>
      <c r="L221">
        <v>150000</v>
      </c>
      <c r="M221" t="s">
        <v>341</v>
      </c>
      <c r="N221">
        <v>35</v>
      </c>
      <c r="O221">
        <v>1004</v>
      </c>
      <c r="P221">
        <v>10</v>
      </c>
      <c r="Q221">
        <v>4</v>
      </c>
      <c r="R221">
        <v>45</v>
      </c>
      <c r="S221">
        <v>20</v>
      </c>
      <c r="T221">
        <v>1319</v>
      </c>
      <c r="U221">
        <v>1693</v>
      </c>
      <c r="V221" s="1">
        <v>45496</v>
      </c>
      <c r="W221" s="1">
        <v>45532</v>
      </c>
      <c r="X221">
        <v>86857</v>
      </c>
      <c r="Y221">
        <v>0.64311270099999995</v>
      </c>
      <c r="Z221">
        <v>2962.7158890000001</v>
      </c>
      <c r="AA221">
        <f>1-((0.95-Y221)*0.5)</f>
        <v>0.8465563505</v>
      </c>
      <c r="AB221">
        <f>U221/AA221</f>
        <v>1999.8668712367069</v>
      </c>
      <c r="AC221" cm="1">
        <f t="array" ref="AC221">_xlfn.IFS(Y221&lt;0.6,U221,0.9&lt;Y221,U221,Y221,AB221)</f>
        <v>1999.8668712367069</v>
      </c>
      <c r="AD221">
        <v>0.87508944499999997</v>
      </c>
      <c r="AE221">
        <v>2462.2834429999998</v>
      </c>
      <c r="AF221">
        <v>2462.2834429999998</v>
      </c>
      <c r="AH221">
        <v>0</v>
      </c>
      <c r="AI221">
        <v>51</v>
      </c>
    </row>
    <row r="222" spans="1:35" x14ac:dyDescent="0.25">
      <c r="A222" t="s">
        <v>330</v>
      </c>
      <c r="B222" t="s">
        <v>412</v>
      </c>
      <c r="D222" t="s">
        <v>332</v>
      </c>
      <c r="E222">
        <v>70</v>
      </c>
      <c r="H222">
        <f t="shared" si="3"/>
        <v>241020005</v>
      </c>
      <c r="I222">
        <v>10005</v>
      </c>
      <c r="J222">
        <v>1</v>
      </c>
      <c r="K222" t="s">
        <v>388</v>
      </c>
      <c r="L222">
        <v>75000</v>
      </c>
      <c r="M222" t="s">
        <v>295</v>
      </c>
      <c r="N222">
        <v>11</v>
      </c>
      <c r="O222">
        <v>1005</v>
      </c>
      <c r="P222">
        <v>10</v>
      </c>
      <c r="Q222">
        <v>5</v>
      </c>
      <c r="R222">
        <v>56</v>
      </c>
      <c r="S222">
        <v>19.2</v>
      </c>
      <c r="T222">
        <v>507</v>
      </c>
      <c r="U222">
        <v>657</v>
      </c>
      <c r="V222" s="1">
        <v>45490</v>
      </c>
      <c r="W222" s="1">
        <v>45525</v>
      </c>
      <c r="X222">
        <v>122648</v>
      </c>
      <c r="Y222">
        <v>0.94826048200000002</v>
      </c>
      <c r="Z222">
        <v>814.23260059999996</v>
      </c>
      <c r="AA222">
        <f>1-((0.95-Y222)*0.5)</f>
        <v>0.99913024100000003</v>
      </c>
      <c r="AB222">
        <f>U222/AA222</f>
        <v>657.5719291034851</v>
      </c>
      <c r="AC222" cm="1">
        <f t="array" ref="AC222">_xlfn.IFS(Y222&lt;0.6,U222,0.9&lt;Y222,U222,Y222,AB222)</f>
        <v>657</v>
      </c>
      <c r="AD222">
        <v>0.98189116899999995</v>
      </c>
      <c r="AE222">
        <v>740.62634839999998</v>
      </c>
      <c r="AF222">
        <v>657</v>
      </c>
      <c r="AH222">
        <v>0</v>
      </c>
      <c r="AI222">
        <v>70</v>
      </c>
    </row>
    <row r="223" spans="1:35" x14ac:dyDescent="0.25">
      <c r="A223" t="s">
        <v>330</v>
      </c>
      <c r="B223" t="s">
        <v>423</v>
      </c>
      <c r="D223" t="s">
        <v>332</v>
      </c>
      <c r="E223">
        <v>81</v>
      </c>
      <c r="H223">
        <f t="shared" si="3"/>
        <v>241020006</v>
      </c>
      <c r="I223">
        <v>10006</v>
      </c>
      <c r="J223">
        <v>1</v>
      </c>
      <c r="K223" t="s">
        <v>388</v>
      </c>
      <c r="L223">
        <v>100000</v>
      </c>
      <c r="M223" t="s">
        <v>298</v>
      </c>
      <c r="N223">
        <v>21</v>
      </c>
      <c r="O223">
        <v>1006</v>
      </c>
      <c r="P223">
        <v>10</v>
      </c>
      <c r="Q223">
        <v>6</v>
      </c>
      <c r="R223">
        <v>56</v>
      </c>
      <c r="S223">
        <v>20.5</v>
      </c>
      <c r="T223">
        <v>823</v>
      </c>
      <c r="U223">
        <v>1050</v>
      </c>
      <c r="V223" s="1">
        <v>45491</v>
      </c>
      <c r="W223" s="1">
        <v>45526</v>
      </c>
      <c r="X223">
        <v>123499</v>
      </c>
      <c r="Y223">
        <v>0.97237076600000005</v>
      </c>
      <c r="Z223">
        <v>1292.3266590000001</v>
      </c>
      <c r="AA223">
        <f>1-((0.95-Y223)*0.5)</f>
        <v>1.0111853829999999</v>
      </c>
      <c r="AB223">
        <f>U223/AA223</f>
        <v>1038.3852631303316</v>
      </c>
      <c r="AC223" cm="1">
        <f t="array" ref="AC223">_xlfn.IFS(Y223&lt;0.6,U223,0.9&lt;Y223,U223,Y223,AB223)</f>
        <v>1050</v>
      </c>
      <c r="AD223">
        <v>0.99032976800000005</v>
      </c>
      <c r="AE223">
        <v>1169.941922</v>
      </c>
      <c r="AF223">
        <v>1050</v>
      </c>
      <c r="AH223">
        <v>0</v>
      </c>
      <c r="AI223">
        <v>81</v>
      </c>
    </row>
    <row r="224" spans="1:35" x14ac:dyDescent="0.25">
      <c r="A224" t="s">
        <v>330</v>
      </c>
      <c r="B224" s="2" t="s">
        <v>442</v>
      </c>
      <c r="D224" t="s">
        <v>332</v>
      </c>
      <c r="E224">
        <v>100</v>
      </c>
      <c r="H224">
        <f t="shared" si="3"/>
        <v>241020007</v>
      </c>
      <c r="I224">
        <v>10007</v>
      </c>
      <c r="J224">
        <v>2</v>
      </c>
      <c r="K224" t="s">
        <v>388</v>
      </c>
      <c r="L224">
        <v>75000</v>
      </c>
      <c r="M224" t="s">
        <v>283</v>
      </c>
      <c r="N224">
        <v>2</v>
      </c>
      <c r="O224">
        <v>1007</v>
      </c>
      <c r="P224">
        <v>10</v>
      </c>
      <c r="Q224">
        <v>7</v>
      </c>
      <c r="R224">
        <v>25</v>
      </c>
      <c r="S224">
        <v>19.7</v>
      </c>
      <c r="T224">
        <v>1479</v>
      </c>
      <c r="U224">
        <v>1906</v>
      </c>
      <c r="V224" s="1">
        <v>45498</v>
      </c>
      <c r="W224" s="1">
        <v>45536</v>
      </c>
      <c r="X224">
        <v>106696</v>
      </c>
      <c r="Y224">
        <v>0.79445933899999999</v>
      </c>
      <c r="Z224">
        <v>2715.3211550000001</v>
      </c>
      <c r="AA224">
        <f>1-((0.95-Y224)*0.5)</f>
        <v>0.92222966950000007</v>
      </c>
      <c r="AB224">
        <f>U224/AA224</f>
        <v>2066.7302983576369</v>
      </c>
      <c r="AC224" cm="1">
        <f t="array" ref="AC224">_xlfn.IFS(Y224&lt;0.6,U224,0.9&lt;Y224,U224,Y224,AB224)</f>
        <v>2066.7302983576369</v>
      </c>
      <c r="AD224">
        <v>0.92806076900000001</v>
      </c>
      <c r="AE224">
        <v>2413.4123479999998</v>
      </c>
      <c r="AF224">
        <v>2413.4123479999998</v>
      </c>
      <c r="AH224">
        <v>0</v>
      </c>
      <c r="AI224">
        <v>100</v>
      </c>
    </row>
    <row r="225" spans="1:35" x14ac:dyDescent="0.25">
      <c r="A225" t="s">
        <v>330</v>
      </c>
      <c r="B225" t="s">
        <v>451</v>
      </c>
      <c r="D225" t="s">
        <v>332</v>
      </c>
      <c r="E225">
        <v>111</v>
      </c>
      <c r="H225">
        <f t="shared" si="3"/>
        <v>241020008</v>
      </c>
      <c r="I225">
        <v>10008</v>
      </c>
      <c r="J225">
        <v>2</v>
      </c>
      <c r="K225" t="s">
        <v>388</v>
      </c>
      <c r="L225">
        <v>150000</v>
      </c>
      <c r="M225" t="s">
        <v>351</v>
      </c>
      <c r="N225">
        <v>40</v>
      </c>
      <c r="O225">
        <v>1008</v>
      </c>
      <c r="P225">
        <v>10</v>
      </c>
      <c r="Q225">
        <v>8</v>
      </c>
      <c r="R225">
        <v>63</v>
      </c>
      <c r="S225">
        <v>21.5</v>
      </c>
      <c r="T225">
        <v>830</v>
      </c>
      <c r="U225">
        <v>1045</v>
      </c>
      <c r="V225" s="1">
        <v>45492</v>
      </c>
      <c r="W225" s="1">
        <v>45528</v>
      </c>
      <c r="X225">
        <v>113643</v>
      </c>
      <c r="Y225">
        <v>0.86940965999999997</v>
      </c>
      <c r="Z225">
        <v>1397.6919829999999</v>
      </c>
      <c r="AA225">
        <f>1-((0.95-Y225)*0.5)</f>
        <v>0.95970482999999995</v>
      </c>
      <c r="AB225">
        <f>U225/AA225</f>
        <v>1088.8764621513888</v>
      </c>
      <c r="AC225" cm="1">
        <f t="array" ref="AC225">_xlfn.IFS(Y225&lt;0.6,U225,0.9&lt;Y225,U225,Y225,AB225)</f>
        <v>1088.8764621513888</v>
      </c>
      <c r="AD225">
        <v>0.95429338100000005</v>
      </c>
      <c r="AE225">
        <v>1253.1617819999999</v>
      </c>
      <c r="AF225">
        <v>1253.1617819999999</v>
      </c>
      <c r="AH225">
        <v>0</v>
      </c>
      <c r="AI225">
        <v>111</v>
      </c>
    </row>
    <row r="226" spans="1:35" x14ac:dyDescent="0.25">
      <c r="A226" t="s">
        <v>330</v>
      </c>
      <c r="B226" t="s">
        <v>470</v>
      </c>
      <c r="D226" t="s">
        <v>332</v>
      </c>
      <c r="E226">
        <v>130</v>
      </c>
      <c r="H226">
        <f t="shared" si="3"/>
        <v>241020009</v>
      </c>
      <c r="I226">
        <v>10009</v>
      </c>
      <c r="J226">
        <v>2</v>
      </c>
      <c r="K226" t="s">
        <v>388</v>
      </c>
      <c r="L226">
        <v>100000</v>
      </c>
      <c r="M226" t="s">
        <v>338</v>
      </c>
      <c r="N226">
        <v>29</v>
      </c>
      <c r="O226">
        <v>1009</v>
      </c>
      <c r="P226">
        <v>10</v>
      </c>
      <c r="Q226">
        <v>9</v>
      </c>
      <c r="R226">
        <v>39</v>
      </c>
      <c r="S226">
        <v>20.5</v>
      </c>
      <c r="T226">
        <v>1540</v>
      </c>
      <c r="U226">
        <v>1965</v>
      </c>
      <c r="V226" s="1">
        <v>45493</v>
      </c>
      <c r="W226" s="1">
        <v>45530</v>
      </c>
      <c r="X226">
        <v>117433</v>
      </c>
      <c r="Y226">
        <v>0.86898395699999997</v>
      </c>
      <c r="Z226">
        <v>2543.4244629999998</v>
      </c>
      <c r="AA226">
        <f>1-((0.95-Y226)*0.5)</f>
        <v>0.95949197850000001</v>
      </c>
      <c r="AB226">
        <f>U226/AA226</f>
        <v>2047.9587573748538</v>
      </c>
      <c r="AC226" cm="1">
        <f t="array" ref="AC226">_xlfn.IFS(Y226&lt;0.6,U226,0.9&lt;Y226,U226,Y226,AB226)</f>
        <v>2047.9587573748538</v>
      </c>
      <c r="AD226">
        <v>0.95414438499999998</v>
      </c>
      <c r="AE226">
        <v>2323.6595499999999</v>
      </c>
      <c r="AF226">
        <v>2323.6595499999999</v>
      </c>
      <c r="AH226">
        <v>0</v>
      </c>
      <c r="AI226">
        <v>130</v>
      </c>
    </row>
    <row r="227" spans="1:35" x14ac:dyDescent="0.25">
      <c r="A227" t="s">
        <v>330</v>
      </c>
      <c r="B227" t="s">
        <v>481</v>
      </c>
      <c r="D227" t="s">
        <v>332</v>
      </c>
      <c r="E227">
        <v>141</v>
      </c>
      <c r="H227">
        <f t="shared" si="3"/>
        <v>241020010</v>
      </c>
      <c r="I227">
        <v>10010</v>
      </c>
      <c r="J227">
        <v>2</v>
      </c>
      <c r="K227" t="s">
        <v>333</v>
      </c>
      <c r="L227">
        <v>100000</v>
      </c>
      <c r="M227" t="s">
        <v>347</v>
      </c>
      <c r="N227">
        <v>72</v>
      </c>
      <c r="O227">
        <v>1010</v>
      </c>
      <c r="P227">
        <v>10</v>
      </c>
      <c r="Q227">
        <v>10</v>
      </c>
      <c r="R227">
        <v>82</v>
      </c>
      <c r="S227">
        <v>21.9</v>
      </c>
      <c r="T227">
        <v>956</v>
      </c>
      <c r="U227">
        <v>1198</v>
      </c>
      <c r="V227" s="1">
        <v>45496</v>
      </c>
      <c r="X227">
        <v>149063</v>
      </c>
      <c r="Y227">
        <v>0.98067763200000002</v>
      </c>
      <c r="Z227">
        <v>1221.604288</v>
      </c>
      <c r="AA227">
        <f>1-((0.95-Y227)*0.5)</f>
        <v>1.0153388160000001</v>
      </c>
      <c r="AB227">
        <f>U227/AA227</f>
        <v>1179.901704851201</v>
      </c>
      <c r="AC227" cm="1">
        <f t="array" ref="AC227">_xlfn.IFS(Y227&lt;0.6,U227,0.9&lt;Y227,U227,Y227,AB227)</f>
        <v>1198</v>
      </c>
      <c r="AD227">
        <v>0.99323717099999997</v>
      </c>
      <c r="AE227">
        <v>1217.923618</v>
      </c>
      <c r="AF227">
        <v>1198</v>
      </c>
      <c r="AH227">
        <v>0</v>
      </c>
      <c r="AI227">
        <v>141</v>
      </c>
    </row>
    <row r="228" spans="1:35" x14ac:dyDescent="0.25">
      <c r="A228" t="s">
        <v>330</v>
      </c>
      <c r="B228" t="s">
        <v>500</v>
      </c>
      <c r="D228" t="s">
        <v>332</v>
      </c>
      <c r="E228">
        <v>160</v>
      </c>
      <c r="H228">
        <f t="shared" si="3"/>
        <v>241020011</v>
      </c>
      <c r="I228">
        <v>10011</v>
      </c>
      <c r="J228">
        <v>2</v>
      </c>
      <c r="K228" t="s">
        <v>333</v>
      </c>
      <c r="L228">
        <v>75000</v>
      </c>
      <c r="M228" t="s">
        <v>336</v>
      </c>
      <c r="N228">
        <v>49</v>
      </c>
      <c r="O228">
        <v>1011</v>
      </c>
      <c r="P228">
        <v>10</v>
      </c>
      <c r="Q228">
        <v>11</v>
      </c>
      <c r="R228">
        <v>63</v>
      </c>
      <c r="S228">
        <v>21.7</v>
      </c>
      <c r="T228">
        <v>851</v>
      </c>
      <c r="U228">
        <v>1069</v>
      </c>
      <c r="V228" s="1">
        <v>45496</v>
      </c>
      <c r="X228">
        <v>146865</v>
      </c>
      <c r="Y228">
        <v>0.96621710500000002</v>
      </c>
      <c r="Z228">
        <v>1106.376604</v>
      </c>
      <c r="AA228">
        <f>1-((0.95-Y228)*0.5)</f>
        <v>1.0081085525</v>
      </c>
      <c r="AB228">
        <f>U228/AA228</f>
        <v>1060.4016773282956</v>
      </c>
      <c r="AC228" cm="1">
        <f t="array" ref="AC228">_xlfn.IFS(Y228&lt;0.6,U228,0.9&lt;Y228,U228,Y228,AB228)</f>
        <v>1069</v>
      </c>
      <c r="AD228">
        <v>0.98817598699999998</v>
      </c>
      <c r="AE228">
        <v>1100.378091</v>
      </c>
      <c r="AF228">
        <v>1069</v>
      </c>
      <c r="AH228">
        <v>0</v>
      </c>
      <c r="AI228">
        <v>160</v>
      </c>
    </row>
    <row r="229" spans="1:35" x14ac:dyDescent="0.25">
      <c r="A229" t="s">
        <v>330</v>
      </c>
      <c r="B229" t="s">
        <v>511</v>
      </c>
      <c r="D229" t="s">
        <v>332</v>
      </c>
      <c r="E229">
        <v>171</v>
      </c>
      <c r="H229">
        <f t="shared" si="3"/>
        <v>241020012</v>
      </c>
      <c r="I229">
        <v>10012</v>
      </c>
      <c r="J229">
        <v>2</v>
      </c>
      <c r="K229" t="s">
        <v>333</v>
      </c>
      <c r="L229">
        <v>150000</v>
      </c>
      <c r="M229" t="s">
        <v>279</v>
      </c>
      <c r="N229">
        <v>90</v>
      </c>
      <c r="O229">
        <v>1012</v>
      </c>
      <c r="P229">
        <v>10</v>
      </c>
      <c r="Q229">
        <v>12</v>
      </c>
      <c r="R229">
        <v>26</v>
      </c>
      <c r="S229">
        <v>18.5</v>
      </c>
      <c r="T229">
        <v>2202</v>
      </c>
      <c r="U229">
        <v>2880</v>
      </c>
      <c r="V229" s="1">
        <v>45497</v>
      </c>
      <c r="W229" s="1">
        <v>45532</v>
      </c>
      <c r="X229">
        <v>149619</v>
      </c>
      <c r="Y229">
        <v>0.98433552599999996</v>
      </c>
      <c r="Z229">
        <v>2925.831612</v>
      </c>
      <c r="AA229">
        <f>1-((0.95-Y229)*0.5)</f>
        <v>1.017167763</v>
      </c>
      <c r="AB229">
        <f>U229/AA229</f>
        <v>2831.3913444384298</v>
      </c>
      <c r="AC229" cm="1">
        <f t="array" ref="AC229">_xlfn.IFS(Y229&lt;0.6,U229,0.9&lt;Y229,U229,Y229,AB229)</f>
        <v>2880</v>
      </c>
      <c r="AD229">
        <v>0.99451743400000003</v>
      </c>
      <c r="AE229">
        <v>2918.7370759999999</v>
      </c>
      <c r="AF229">
        <v>2880</v>
      </c>
      <c r="AH229">
        <v>0</v>
      </c>
      <c r="AI229">
        <v>171</v>
      </c>
    </row>
    <row r="230" spans="1:35" x14ac:dyDescent="0.25">
      <c r="A230" t="s">
        <v>330</v>
      </c>
      <c r="B230" t="s">
        <v>530</v>
      </c>
      <c r="D230" t="s">
        <v>332</v>
      </c>
      <c r="E230">
        <v>190</v>
      </c>
      <c r="H230">
        <f t="shared" si="3"/>
        <v>241020013</v>
      </c>
      <c r="I230">
        <v>10013</v>
      </c>
      <c r="J230">
        <v>3</v>
      </c>
      <c r="K230" t="s">
        <v>388</v>
      </c>
      <c r="L230">
        <v>150000</v>
      </c>
      <c r="M230" t="s">
        <v>283</v>
      </c>
      <c r="N230">
        <v>32</v>
      </c>
      <c r="O230">
        <v>1013</v>
      </c>
      <c r="P230">
        <v>10</v>
      </c>
      <c r="Q230">
        <v>13</v>
      </c>
      <c r="R230">
        <v>25</v>
      </c>
      <c r="S230">
        <v>20.2</v>
      </c>
      <c r="T230">
        <v>2191</v>
      </c>
      <c r="U230">
        <v>2806</v>
      </c>
      <c r="V230" s="1">
        <v>45496</v>
      </c>
      <c r="W230" s="1">
        <v>45534</v>
      </c>
      <c r="X230">
        <v>133367</v>
      </c>
      <c r="Y230">
        <v>0.95263628199999995</v>
      </c>
      <c r="Z230">
        <v>3198.0324970000001</v>
      </c>
      <c r="AA230">
        <f>1-((0.95-Y230)*0.5)</f>
        <v>1.0013181410000001</v>
      </c>
      <c r="AB230">
        <f>U230/AA230</f>
        <v>2802.3061653489008</v>
      </c>
      <c r="AC230" cm="1">
        <f t="array" ref="AC230">_xlfn.IFS(Y230&lt;0.6,U230,0.9&lt;Y230,U230,Y230,AB230)</f>
        <v>2806</v>
      </c>
      <c r="AD230">
        <v>0.98342269900000001</v>
      </c>
      <c r="AE230">
        <v>3039.6058549999998</v>
      </c>
      <c r="AF230">
        <v>2806</v>
      </c>
      <c r="AH230">
        <v>0</v>
      </c>
      <c r="AI230">
        <v>190</v>
      </c>
    </row>
    <row r="231" spans="1:35" x14ac:dyDescent="0.25">
      <c r="A231" t="s">
        <v>330</v>
      </c>
      <c r="B231" t="s">
        <v>541</v>
      </c>
      <c r="D231" t="s">
        <v>332</v>
      </c>
      <c r="E231">
        <v>201</v>
      </c>
      <c r="H231">
        <f t="shared" si="3"/>
        <v>241020014</v>
      </c>
      <c r="I231">
        <v>10014</v>
      </c>
      <c r="J231">
        <v>3</v>
      </c>
      <c r="K231" t="s">
        <v>388</v>
      </c>
      <c r="L231">
        <v>75000</v>
      </c>
      <c r="M231" t="s">
        <v>353</v>
      </c>
      <c r="N231">
        <v>7</v>
      </c>
      <c r="O231">
        <v>1014</v>
      </c>
      <c r="P231">
        <v>10</v>
      </c>
      <c r="Q231">
        <v>14</v>
      </c>
      <c r="R231">
        <v>40</v>
      </c>
      <c r="S231">
        <v>19.2</v>
      </c>
      <c r="T231">
        <v>1140</v>
      </c>
      <c r="U231">
        <v>1478</v>
      </c>
      <c r="V231" s="1">
        <v>45497</v>
      </c>
      <c r="W231" s="1">
        <v>45535</v>
      </c>
      <c r="X231">
        <v>122341</v>
      </c>
      <c r="Y231">
        <v>0.85241502700000005</v>
      </c>
      <c r="Z231">
        <v>1836.3220670000001</v>
      </c>
      <c r="AA231">
        <f>1-((0.95-Y231)*0.5)</f>
        <v>0.95120751349999999</v>
      </c>
      <c r="AB231">
        <f>U231/AA231</f>
        <v>1553.8144716305376</v>
      </c>
      <c r="AC231" cm="1">
        <f t="array" ref="AC231">_xlfn.IFS(Y231&lt;0.6,U231,0.9&lt;Y231,U231,Y231,AB231)</f>
        <v>1553.8144716305376</v>
      </c>
      <c r="AD231">
        <v>0.948345259</v>
      </c>
      <c r="AE231">
        <v>1726.9990419999999</v>
      </c>
      <c r="AF231">
        <v>1726.9990419999999</v>
      </c>
      <c r="AH231">
        <v>0</v>
      </c>
      <c r="AI231">
        <v>201</v>
      </c>
    </row>
    <row r="232" spans="1:35" x14ac:dyDescent="0.25">
      <c r="A232" t="s">
        <v>330</v>
      </c>
      <c r="B232" t="s">
        <v>560</v>
      </c>
      <c r="D232" t="s">
        <v>332</v>
      </c>
      <c r="E232">
        <v>220</v>
      </c>
      <c r="H232">
        <f t="shared" si="3"/>
        <v>241020015</v>
      </c>
      <c r="I232">
        <v>10015</v>
      </c>
      <c r="J232">
        <v>3</v>
      </c>
      <c r="K232" t="s">
        <v>388</v>
      </c>
      <c r="L232">
        <v>100000</v>
      </c>
      <c r="M232" t="s">
        <v>357</v>
      </c>
      <c r="N232">
        <v>18</v>
      </c>
      <c r="O232">
        <v>1015</v>
      </c>
      <c r="P232">
        <v>10</v>
      </c>
      <c r="Q232">
        <v>15</v>
      </c>
      <c r="R232">
        <v>41</v>
      </c>
      <c r="S232">
        <v>20.3</v>
      </c>
      <c r="T232">
        <v>1672</v>
      </c>
      <c r="U232">
        <v>2138</v>
      </c>
      <c r="V232" s="1">
        <v>45496</v>
      </c>
      <c r="W232" s="1">
        <v>45534</v>
      </c>
      <c r="X232">
        <v>124700</v>
      </c>
      <c r="Y232">
        <v>0.94112399599999996</v>
      </c>
      <c r="Z232">
        <v>2606.0111149999998</v>
      </c>
      <c r="AA232">
        <f>1-((0.95-Y232)*0.5)</f>
        <v>0.995561998</v>
      </c>
      <c r="AB232">
        <f>U232/AA232</f>
        <v>2147.5307457446766</v>
      </c>
      <c r="AC232" cm="1">
        <f t="array" ref="AC232">_xlfn.IFS(Y232&lt;0.6,U232,0.9&lt;Y232,U232,Y232,AB232)</f>
        <v>2138</v>
      </c>
      <c r="AD232">
        <v>0.979393399</v>
      </c>
      <c r="AE232">
        <v>2398.3418729999999</v>
      </c>
      <c r="AF232">
        <v>2138</v>
      </c>
      <c r="AH232">
        <v>0</v>
      </c>
      <c r="AI232">
        <v>220</v>
      </c>
    </row>
    <row r="233" spans="1:35" x14ac:dyDescent="0.25">
      <c r="A233" t="s">
        <v>330</v>
      </c>
      <c r="B233" t="s">
        <v>571</v>
      </c>
      <c r="D233" t="s">
        <v>332</v>
      </c>
      <c r="E233">
        <v>231</v>
      </c>
      <c r="H233">
        <f t="shared" si="3"/>
        <v>241020016</v>
      </c>
      <c r="I233">
        <v>10016</v>
      </c>
      <c r="J233">
        <v>3</v>
      </c>
      <c r="K233" t="s">
        <v>333</v>
      </c>
      <c r="L233">
        <v>100000</v>
      </c>
      <c r="M233" t="s">
        <v>355</v>
      </c>
      <c r="N233">
        <v>69</v>
      </c>
      <c r="O233">
        <v>1016</v>
      </c>
      <c r="P233">
        <v>10</v>
      </c>
      <c r="Q233">
        <v>16</v>
      </c>
      <c r="R233">
        <v>69</v>
      </c>
      <c r="S233">
        <v>19.2</v>
      </c>
      <c r="T233">
        <v>398</v>
      </c>
      <c r="U233">
        <v>516</v>
      </c>
      <c r="V233" s="1">
        <v>45489</v>
      </c>
      <c r="W233" s="1">
        <v>45525</v>
      </c>
      <c r="X233">
        <v>147552</v>
      </c>
      <c r="Y233">
        <v>0.97072406899999997</v>
      </c>
      <c r="Z233">
        <v>531.56197139999995</v>
      </c>
      <c r="AA233">
        <f>1-((0.95-Y233)*0.5)</f>
        <v>1.0103620345</v>
      </c>
      <c r="AB233">
        <f>U233/AA233</f>
        <v>510.70802581705681</v>
      </c>
      <c r="AC233" cm="1">
        <f t="array" ref="AC233">_xlfn.IFS(Y233&lt;0.6,U233,0.9&lt;Y233,U233,Y233,AB233)</f>
        <v>516</v>
      </c>
      <c r="AD233">
        <v>0.98975342399999999</v>
      </c>
      <c r="AE233">
        <v>529.08672320000005</v>
      </c>
      <c r="AF233">
        <v>516</v>
      </c>
      <c r="AH233">
        <v>0</v>
      </c>
      <c r="AI233">
        <v>231</v>
      </c>
    </row>
    <row r="234" spans="1:35" x14ac:dyDescent="0.25">
      <c r="A234" t="s">
        <v>330</v>
      </c>
      <c r="B234" t="s">
        <v>590</v>
      </c>
      <c r="D234" t="s">
        <v>332</v>
      </c>
      <c r="E234">
        <v>250</v>
      </c>
      <c r="H234">
        <f t="shared" si="3"/>
        <v>241020017</v>
      </c>
      <c r="I234">
        <v>10017</v>
      </c>
      <c r="J234">
        <v>3</v>
      </c>
      <c r="K234" t="s">
        <v>333</v>
      </c>
      <c r="L234">
        <v>150000</v>
      </c>
      <c r="M234" t="s">
        <v>295</v>
      </c>
      <c r="N234">
        <v>86</v>
      </c>
      <c r="O234">
        <v>1017</v>
      </c>
      <c r="P234">
        <v>10</v>
      </c>
      <c r="Q234">
        <v>17</v>
      </c>
      <c r="R234">
        <v>65</v>
      </c>
      <c r="S234">
        <v>20.5</v>
      </c>
      <c r="T234">
        <v>775</v>
      </c>
      <c r="U234">
        <v>989</v>
      </c>
      <c r="V234" s="1">
        <v>45491</v>
      </c>
      <c r="W234" s="1">
        <v>45530</v>
      </c>
      <c r="X234">
        <v>142072</v>
      </c>
      <c r="Y234">
        <v>0.93468421099999999</v>
      </c>
      <c r="Z234">
        <v>1058.1113800000001</v>
      </c>
      <c r="AA234">
        <f>1-((0.95-Y234)*0.5)</f>
        <v>0.99234210550000002</v>
      </c>
      <c r="AB234">
        <f>U234/AA234</f>
        <v>996.63210350394627</v>
      </c>
      <c r="AC234" cm="1">
        <f t="array" ref="AC234">_xlfn.IFS(Y234&lt;0.6,U234,0.9&lt;Y234,U234,Y234,AB234)</f>
        <v>989</v>
      </c>
      <c r="AD234">
        <v>0.97713947400000001</v>
      </c>
      <c r="AE234">
        <v>1046.3082320000001</v>
      </c>
      <c r="AF234">
        <v>989</v>
      </c>
      <c r="AH234">
        <v>0</v>
      </c>
      <c r="AI234">
        <v>250</v>
      </c>
    </row>
    <row r="235" spans="1:35" x14ac:dyDescent="0.25">
      <c r="A235" t="s">
        <v>330</v>
      </c>
      <c r="B235" t="s">
        <v>601</v>
      </c>
      <c r="D235" t="s">
        <v>332</v>
      </c>
      <c r="E235">
        <v>261</v>
      </c>
      <c r="H235">
        <f t="shared" si="3"/>
        <v>241020018</v>
      </c>
      <c r="I235">
        <v>10018</v>
      </c>
      <c r="J235">
        <v>3</v>
      </c>
      <c r="K235" t="s">
        <v>333</v>
      </c>
      <c r="L235">
        <v>75000</v>
      </c>
      <c r="M235" t="s">
        <v>295</v>
      </c>
      <c r="N235">
        <v>56</v>
      </c>
      <c r="O235">
        <v>1018</v>
      </c>
      <c r="P235">
        <v>10</v>
      </c>
      <c r="Q235">
        <v>18</v>
      </c>
      <c r="R235">
        <v>70</v>
      </c>
      <c r="S235">
        <v>19.7</v>
      </c>
      <c r="T235">
        <v>614</v>
      </c>
      <c r="U235">
        <v>791</v>
      </c>
      <c r="V235" s="1">
        <v>45492</v>
      </c>
      <c r="W235" s="1">
        <v>45534</v>
      </c>
      <c r="X235">
        <v>137680</v>
      </c>
      <c r="Y235">
        <v>0.90578351499999998</v>
      </c>
      <c r="Z235">
        <v>873.27709909999999</v>
      </c>
      <c r="AA235">
        <f>1-((0.95-Y235)*0.5)</f>
        <v>0.97789175750000001</v>
      </c>
      <c r="AB235">
        <f>U235/AA235</f>
        <v>808.88298110028802</v>
      </c>
      <c r="AC235" cm="1">
        <f t="array" ref="AC235">_xlfn.IFS(Y235&lt;0.6,U235,0.9&lt;Y235,U235,Y235,AB235)</f>
        <v>791</v>
      </c>
      <c r="AD235">
        <v>0.96702423000000004</v>
      </c>
      <c r="AE235">
        <v>858.41155900000001</v>
      </c>
      <c r="AF235">
        <v>791</v>
      </c>
      <c r="AH235">
        <v>0</v>
      </c>
      <c r="AI235">
        <v>261</v>
      </c>
    </row>
    <row r="236" spans="1:35" x14ac:dyDescent="0.25">
      <c r="A236" t="s">
        <v>330</v>
      </c>
      <c r="B236" t="s">
        <v>619</v>
      </c>
      <c r="D236" t="s">
        <v>332</v>
      </c>
      <c r="E236">
        <v>280</v>
      </c>
      <c r="H236">
        <f t="shared" si="3"/>
        <v>241020019</v>
      </c>
      <c r="I236">
        <v>10019</v>
      </c>
      <c r="J236">
        <v>4</v>
      </c>
      <c r="K236" t="s">
        <v>388</v>
      </c>
      <c r="L236">
        <v>75000</v>
      </c>
      <c r="M236" t="s">
        <v>349</v>
      </c>
      <c r="N236">
        <v>13</v>
      </c>
      <c r="O236">
        <v>1019</v>
      </c>
      <c r="P236">
        <v>10</v>
      </c>
      <c r="Q236">
        <v>19</v>
      </c>
      <c r="R236">
        <v>29</v>
      </c>
      <c r="S236">
        <v>18.899999999999999</v>
      </c>
      <c r="T236">
        <v>1261</v>
      </c>
      <c r="U236">
        <v>1641</v>
      </c>
      <c r="V236" s="1">
        <v>45499</v>
      </c>
      <c r="W236" s="1">
        <v>45534</v>
      </c>
      <c r="X236">
        <v>110099</v>
      </c>
      <c r="Y236">
        <v>0.67975022299999999</v>
      </c>
      <c r="Z236">
        <v>2265.4948549999999</v>
      </c>
      <c r="AA236">
        <f>1-((0.95-Y236)*0.5)</f>
        <v>0.86487511149999996</v>
      </c>
      <c r="AB236">
        <f>U236/AA236</f>
        <v>1897.3837704196671</v>
      </c>
      <c r="AC236" cm="1">
        <f t="array" ref="AC236">_xlfn.IFS(Y236&lt;0.6,U236,0.9&lt;Y236,U236,Y236,AB236)</f>
        <v>1897.3837704196671</v>
      </c>
      <c r="AD236">
        <v>0.88791257800000001</v>
      </c>
      <c r="AE236">
        <v>2143.6021900000001</v>
      </c>
      <c r="AF236">
        <v>2143.6021900000001</v>
      </c>
      <c r="AH236">
        <v>0</v>
      </c>
      <c r="AI236">
        <v>280</v>
      </c>
    </row>
    <row r="237" spans="1:35" x14ac:dyDescent="0.25">
      <c r="A237" t="s">
        <v>330</v>
      </c>
      <c r="B237" t="s">
        <v>630</v>
      </c>
      <c r="D237" t="s">
        <v>332</v>
      </c>
      <c r="E237">
        <v>291</v>
      </c>
      <c r="H237">
        <f t="shared" si="3"/>
        <v>241020020</v>
      </c>
      <c r="I237">
        <v>10020</v>
      </c>
      <c r="J237">
        <v>4</v>
      </c>
      <c r="K237" t="s">
        <v>388</v>
      </c>
      <c r="L237">
        <v>100000</v>
      </c>
      <c r="M237" t="s">
        <v>357</v>
      </c>
      <c r="N237">
        <v>18</v>
      </c>
      <c r="O237">
        <v>1020</v>
      </c>
      <c r="P237">
        <v>10</v>
      </c>
      <c r="Q237">
        <v>20</v>
      </c>
      <c r="R237">
        <v>44</v>
      </c>
      <c r="S237">
        <v>19.5</v>
      </c>
      <c r="T237">
        <v>1870</v>
      </c>
      <c r="U237">
        <v>2416</v>
      </c>
      <c r="V237" s="1">
        <v>45497</v>
      </c>
      <c r="W237" s="1">
        <v>45534</v>
      </c>
      <c r="X237">
        <v>107395</v>
      </c>
      <c r="Y237">
        <v>0.83586083899999997</v>
      </c>
      <c r="Z237">
        <v>3419.4740539999998</v>
      </c>
      <c r="AA237">
        <f>1-((0.95-Y237)*0.5)</f>
        <v>0.94293041950000001</v>
      </c>
      <c r="AB237">
        <f>U237/AA237</f>
        <v>2562.2251123058609</v>
      </c>
      <c r="AC237" cm="1">
        <f t="array" ref="AC237">_xlfn.IFS(Y237&lt;0.6,U237,0.9&lt;Y237,U237,Y237,AB237)</f>
        <v>2562.2251123058609</v>
      </c>
      <c r="AD237">
        <v>0.94255129400000004</v>
      </c>
      <c r="AE237">
        <v>3004.0357880000001</v>
      </c>
      <c r="AF237">
        <v>3004.0357880000001</v>
      </c>
      <c r="AH237">
        <v>0</v>
      </c>
      <c r="AI237">
        <v>291</v>
      </c>
    </row>
    <row r="238" spans="1:35" x14ac:dyDescent="0.25">
      <c r="A238" t="s">
        <v>330</v>
      </c>
      <c r="B238" t="s">
        <v>648</v>
      </c>
      <c r="D238" t="s">
        <v>332</v>
      </c>
      <c r="E238">
        <v>310</v>
      </c>
      <c r="H238">
        <f t="shared" si="3"/>
        <v>241020021</v>
      </c>
      <c r="I238">
        <v>10021</v>
      </c>
      <c r="J238">
        <v>4</v>
      </c>
      <c r="K238" t="s">
        <v>388</v>
      </c>
      <c r="L238">
        <v>150000</v>
      </c>
      <c r="M238" t="s">
        <v>349</v>
      </c>
      <c r="N238">
        <v>43</v>
      </c>
      <c r="O238">
        <v>1021</v>
      </c>
      <c r="P238">
        <v>10</v>
      </c>
      <c r="Q238">
        <v>21</v>
      </c>
      <c r="R238">
        <v>25</v>
      </c>
      <c r="S238">
        <v>18.2</v>
      </c>
      <c r="T238">
        <v>1903</v>
      </c>
      <c r="U238">
        <v>2498</v>
      </c>
      <c r="V238" s="1">
        <v>45496</v>
      </c>
      <c r="W238" s="1">
        <v>45534</v>
      </c>
      <c r="X238">
        <v>124069</v>
      </c>
      <c r="Y238">
        <v>0.93744414700000001</v>
      </c>
      <c r="Z238">
        <v>3060.381707</v>
      </c>
      <c r="AA238">
        <f>1-((0.95-Y238)*0.5)</f>
        <v>0.99372207350000008</v>
      </c>
      <c r="AB238">
        <f>U238/AA238</f>
        <v>2513.781334454779</v>
      </c>
      <c r="AC238" cm="1">
        <f t="array" ref="AC238">_xlfn.IFS(Y238&lt;0.6,U238,0.9&lt;Y238,U238,Y238,AB238)</f>
        <v>2498</v>
      </c>
      <c r="AD238">
        <v>0.97810545100000001</v>
      </c>
      <c r="AE238">
        <v>2812.31511</v>
      </c>
      <c r="AF238">
        <v>2498</v>
      </c>
      <c r="AH238">
        <v>0</v>
      </c>
      <c r="AI238">
        <v>310</v>
      </c>
    </row>
    <row r="239" spans="1:35" x14ac:dyDescent="0.25">
      <c r="A239" t="s">
        <v>330</v>
      </c>
      <c r="B239" t="s">
        <v>659</v>
      </c>
      <c r="D239" t="s">
        <v>332</v>
      </c>
      <c r="E239">
        <v>321</v>
      </c>
      <c r="H239">
        <f t="shared" si="3"/>
        <v>241020022</v>
      </c>
      <c r="I239">
        <v>10022</v>
      </c>
      <c r="J239">
        <v>4</v>
      </c>
      <c r="K239" t="s">
        <v>333</v>
      </c>
      <c r="L239">
        <v>150000</v>
      </c>
      <c r="M239" t="s">
        <v>334</v>
      </c>
      <c r="N239">
        <v>83</v>
      </c>
      <c r="O239">
        <v>1022</v>
      </c>
      <c r="P239">
        <v>10</v>
      </c>
      <c r="Q239">
        <v>22</v>
      </c>
      <c r="R239">
        <v>27</v>
      </c>
      <c r="S239">
        <v>18.899999999999999</v>
      </c>
      <c r="T239">
        <v>1809</v>
      </c>
      <c r="U239">
        <v>2354</v>
      </c>
      <c r="V239" s="1">
        <v>45496</v>
      </c>
      <c r="W239" s="1">
        <v>45533</v>
      </c>
      <c r="X239">
        <v>144339</v>
      </c>
      <c r="Y239">
        <v>0.94959868400000003</v>
      </c>
      <c r="Z239">
        <v>2478.9419349999998</v>
      </c>
      <c r="AA239">
        <f>1-((0.95-Y239)*0.5)</f>
        <v>0.99979934199999998</v>
      </c>
      <c r="AB239">
        <f>U239/AA239</f>
        <v>2354.4724437316145</v>
      </c>
      <c r="AC239" cm="1">
        <f t="array" ref="AC239">_xlfn.IFS(Y239&lt;0.6,U239,0.9&lt;Y239,U239,Y239,AB239)</f>
        <v>2354</v>
      </c>
      <c r="AD239">
        <v>0.98235953899999995</v>
      </c>
      <c r="AE239">
        <v>2458.2200939999998</v>
      </c>
      <c r="AF239">
        <v>2354</v>
      </c>
      <c r="AH239">
        <v>0</v>
      </c>
      <c r="AI239">
        <v>321</v>
      </c>
    </row>
    <row r="240" spans="1:35" x14ac:dyDescent="0.25">
      <c r="A240" t="s">
        <v>330</v>
      </c>
      <c r="B240" s="2" t="s">
        <v>678</v>
      </c>
      <c r="D240" t="s">
        <v>332</v>
      </c>
      <c r="E240">
        <v>340</v>
      </c>
      <c r="H240">
        <f t="shared" si="3"/>
        <v>241020023</v>
      </c>
      <c r="I240">
        <v>10023</v>
      </c>
      <c r="J240">
        <v>4</v>
      </c>
      <c r="K240" t="s">
        <v>333</v>
      </c>
      <c r="L240">
        <v>100000</v>
      </c>
      <c r="M240" t="s">
        <v>351</v>
      </c>
      <c r="N240">
        <v>70</v>
      </c>
      <c r="O240">
        <v>1023</v>
      </c>
      <c r="P240">
        <v>10</v>
      </c>
      <c r="Q240">
        <v>23</v>
      </c>
      <c r="R240">
        <v>66</v>
      </c>
      <c r="S240">
        <v>19.399999999999999</v>
      </c>
      <c r="T240">
        <v>411</v>
      </c>
      <c r="U240">
        <v>532</v>
      </c>
      <c r="V240" s="1">
        <v>45491</v>
      </c>
      <c r="W240" s="1">
        <v>45528</v>
      </c>
      <c r="X240">
        <v>151459</v>
      </c>
      <c r="Y240">
        <v>0.99645390099999998</v>
      </c>
      <c r="Z240">
        <v>533.89323839999997</v>
      </c>
      <c r="AA240">
        <f>1-((0.95-Y240)*0.5)</f>
        <v>1.0232269505</v>
      </c>
      <c r="AB240">
        <f>U240/AA240</f>
        <v>519.92375664073165</v>
      </c>
      <c r="AC240" cm="1">
        <f t="array" ref="AC240">_xlfn.IFS(Y240&lt;0.6,U240,0.9&lt;Y240,U240,Y240,AB240)</f>
        <v>532</v>
      </c>
      <c r="AD240">
        <v>0.998758865</v>
      </c>
      <c r="AE240">
        <v>533.60721620000004</v>
      </c>
      <c r="AF240">
        <v>532</v>
      </c>
      <c r="AH240">
        <v>0</v>
      </c>
      <c r="AI240">
        <v>340</v>
      </c>
    </row>
    <row r="241" spans="1:35" x14ac:dyDescent="0.25">
      <c r="A241" t="s">
        <v>330</v>
      </c>
      <c r="B241" t="s">
        <v>689</v>
      </c>
      <c r="D241" t="s">
        <v>332</v>
      </c>
      <c r="E241">
        <v>351</v>
      </c>
      <c r="H241">
        <f t="shared" si="3"/>
        <v>241020024</v>
      </c>
      <c r="I241">
        <v>10024</v>
      </c>
      <c r="J241">
        <v>4</v>
      </c>
      <c r="K241" t="s">
        <v>333</v>
      </c>
      <c r="L241">
        <v>75000</v>
      </c>
      <c r="M241" t="s">
        <v>353</v>
      </c>
      <c r="N241">
        <v>52</v>
      </c>
      <c r="O241">
        <v>1024</v>
      </c>
      <c r="P241">
        <v>10</v>
      </c>
      <c r="Q241">
        <v>24</v>
      </c>
      <c r="R241">
        <v>55</v>
      </c>
      <c r="S241">
        <v>23</v>
      </c>
      <c r="T241">
        <v>1094</v>
      </c>
      <c r="U241">
        <v>1352</v>
      </c>
      <c r="V241" s="1">
        <v>45497</v>
      </c>
      <c r="W241" s="1">
        <v>45537</v>
      </c>
      <c r="X241">
        <v>116836</v>
      </c>
      <c r="Y241">
        <v>0.76864778099999997</v>
      </c>
      <c r="Z241">
        <v>1758.9330689999999</v>
      </c>
      <c r="AA241">
        <f>1-((0.95-Y241)*0.5)</f>
        <v>0.90932389050000006</v>
      </c>
      <c r="AB241">
        <f>U241/AA241</f>
        <v>1486.8189587063312</v>
      </c>
      <c r="AC241" cm="1">
        <f t="array" ref="AC241">_xlfn.IFS(Y241&lt;0.6,U241,0.9&lt;Y241,U241,Y241,AB241)</f>
        <v>1486.8189587063312</v>
      </c>
      <c r="AD241">
        <v>0.91902672299999999</v>
      </c>
      <c r="AE241">
        <v>1663.5551149999999</v>
      </c>
      <c r="AF241">
        <v>1663.5551149999999</v>
      </c>
      <c r="AH241">
        <v>0</v>
      </c>
      <c r="AI241">
        <v>351</v>
      </c>
    </row>
    <row r="242" spans="1:35" x14ac:dyDescent="0.25">
      <c r="A242" t="s">
        <v>330</v>
      </c>
      <c r="B242" t="s">
        <v>348</v>
      </c>
      <c r="D242" t="s">
        <v>332</v>
      </c>
      <c r="E242">
        <v>11</v>
      </c>
      <c r="H242">
        <f t="shared" si="3"/>
        <v>241021001</v>
      </c>
      <c r="I242">
        <v>11001</v>
      </c>
      <c r="J242">
        <v>1</v>
      </c>
      <c r="K242" t="s">
        <v>333</v>
      </c>
      <c r="L242">
        <v>100000</v>
      </c>
      <c r="M242" t="s">
        <v>349</v>
      </c>
      <c r="N242">
        <v>73</v>
      </c>
      <c r="O242">
        <v>1101</v>
      </c>
      <c r="P242">
        <v>11</v>
      </c>
      <c r="Q242">
        <v>1</v>
      </c>
      <c r="R242">
        <v>26</v>
      </c>
      <c r="S242">
        <v>21.3</v>
      </c>
      <c r="T242">
        <v>1675</v>
      </c>
      <c r="U242">
        <v>2115</v>
      </c>
      <c r="V242" s="1">
        <v>45499</v>
      </c>
      <c r="W242" s="1">
        <v>45534</v>
      </c>
      <c r="X242">
        <v>149211</v>
      </c>
      <c r="Y242">
        <v>0.981651316</v>
      </c>
      <c r="Z242">
        <v>2154.532843</v>
      </c>
      <c r="AA242">
        <f>1-((0.95-Y242)*0.5)</f>
        <v>1.015825658</v>
      </c>
      <c r="AB242">
        <f>U242/AA242</f>
        <v>2082.0501858203702</v>
      </c>
      <c r="AC242" cm="1">
        <f t="array" ref="AC242">_xlfn.IFS(Y242&lt;0.6,U242,0.9&lt;Y242,U242,Y242,AB242)</f>
        <v>2115</v>
      </c>
      <c r="AD242">
        <v>0.99357796099999995</v>
      </c>
      <c r="AE242">
        <v>2148.3803809999999</v>
      </c>
      <c r="AF242">
        <v>2115</v>
      </c>
      <c r="AH242">
        <v>0</v>
      </c>
      <c r="AI242">
        <v>11</v>
      </c>
    </row>
    <row r="243" spans="1:35" x14ac:dyDescent="0.25">
      <c r="A243" t="s">
        <v>330</v>
      </c>
      <c r="B243" t="s">
        <v>362</v>
      </c>
      <c r="D243" t="s">
        <v>332</v>
      </c>
      <c r="E243">
        <v>20</v>
      </c>
      <c r="H243">
        <f t="shared" si="3"/>
        <v>241021002</v>
      </c>
      <c r="I243">
        <v>11002</v>
      </c>
      <c r="J243">
        <v>1</v>
      </c>
      <c r="K243" t="s">
        <v>333</v>
      </c>
      <c r="L243">
        <v>150000</v>
      </c>
      <c r="M243" t="s">
        <v>336</v>
      </c>
      <c r="N243">
        <v>79</v>
      </c>
      <c r="O243">
        <v>1102</v>
      </c>
      <c r="P243">
        <v>11</v>
      </c>
      <c r="Q243">
        <v>2</v>
      </c>
      <c r="R243">
        <v>70</v>
      </c>
      <c r="S243">
        <v>23</v>
      </c>
      <c r="T243">
        <v>963</v>
      </c>
      <c r="U243">
        <v>1190</v>
      </c>
      <c r="V243" s="1">
        <v>45498</v>
      </c>
      <c r="W243" s="1">
        <v>45538</v>
      </c>
      <c r="X243">
        <v>149803</v>
      </c>
      <c r="Y243">
        <v>0.98554605299999998</v>
      </c>
      <c r="Z243">
        <v>1207.452454</v>
      </c>
      <c r="AA243">
        <f>1-((0.95-Y243)*0.5)</f>
        <v>1.0177730265</v>
      </c>
      <c r="AB243">
        <f>U243/AA243</f>
        <v>1169.2194320498629</v>
      </c>
      <c r="AC243" cm="1">
        <f t="array" ref="AC243">_xlfn.IFS(Y243&lt;0.6,U243,0.9&lt;Y243,U243,Y243,AB243)</f>
        <v>1190</v>
      </c>
      <c r="AD243">
        <v>0.99494111900000004</v>
      </c>
      <c r="AE243">
        <v>1204.757429</v>
      </c>
      <c r="AF243">
        <v>1190</v>
      </c>
      <c r="AH243">
        <v>0</v>
      </c>
      <c r="AI243">
        <v>20</v>
      </c>
    </row>
    <row r="244" spans="1:35" x14ac:dyDescent="0.25">
      <c r="A244" t="s">
        <v>330</v>
      </c>
      <c r="B244" t="s">
        <v>383</v>
      </c>
      <c r="D244" t="s">
        <v>332</v>
      </c>
      <c r="E244">
        <v>41</v>
      </c>
      <c r="H244">
        <f t="shared" si="3"/>
        <v>241021003</v>
      </c>
      <c r="I244">
        <v>11003</v>
      </c>
      <c r="J244">
        <v>1</v>
      </c>
      <c r="K244" t="s">
        <v>333</v>
      </c>
      <c r="L244">
        <v>75000</v>
      </c>
      <c r="M244" t="s">
        <v>341</v>
      </c>
      <c r="N244">
        <v>50</v>
      </c>
      <c r="O244">
        <v>1103</v>
      </c>
      <c r="P244">
        <v>11</v>
      </c>
      <c r="Q244">
        <v>3</v>
      </c>
      <c r="R244">
        <v>25</v>
      </c>
      <c r="S244">
        <v>20.3</v>
      </c>
      <c r="T244">
        <v>1476</v>
      </c>
      <c r="U244">
        <v>1888</v>
      </c>
      <c r="V244" s="1">
        <v>45495</v>
      </c>
      <c r="W244" s="1">
        <v>45532</v>
      </c>
      <c r="X244">
        <v>111814</v>
      </c>
      <c r="Y244">
        <v>0.73562810000000001</v>
      </c>
      <c r="Z244">
        <v>2566.5142470000001</v>
      </c>
      <c r="AA244">
        <f>1-((0.95-Y244)*0.5)</f>
        <v>0.89281405000000003</v>
      </c>
      <c r="AB244">
        <f>U244/AA244</f>
        <v>2114.6620620497629</v>
      </c>
      <c r="AC244" cm="1">
        <f t="array" ref="AC244">_xlfn.IFS(Y244&lt;0.6,U244,0.9&lt;Y244,U244,Y244,AB244)</f>
        <v>2114.6620620497629</v>
      </c>
      <c r="AD244">
        <v>0.907469835</v>
      </c>
      <c r="AE244">
        <v>2397.4144310000001</v>
      </c>
      <c r="AF244">
        <v>2397.4144310000001</v>
      </c>
      <c r="AH244">
        <v>0</v>
      </c>
      <c r="AI244">
        <v>41</v>
      </c>
    </row>
    <row r="245" spans="1:35" x14ac:dyDescent="0.25">
      <c r="A245" t="s">
        <v>330</v>
      </c>
      <c r="B245" t="s">
        <v>392</v>
      </c>
      <c r="D245" t="s">
        <v>332</v>
      </c>
      <c r="E245">
        <v>50</v>
      </c>
      <c r="H245">
        <f t="shared" si="3"/>
        <v>241021004</v>
      </c>
      <c r="I245">
        <v>11004</v>
      </c>
      <c r="J245">
        <v>1</v>
      </c>
      <c r="K245" t="s">
        <v>388</v>
      </c>
      <c r="L245">
        <v>150000</v>
      </c>
      <c r="M245" t="s">
        <v>338</v>
      </c>
      <c r="N245">
        <v>44</v>
      </c>
      <c r="O245">
        <v>1104</v>
      </c>
      <c r="P245">
        <v>11</v>
      </c>
      <c r="Q245">
        <v>4</v>
      </c>
      <c r="R245">
        <v>42</v>
      </c>
      <c r="S245">
        <v>20.100000000000001</v>
      </c>
      <c r="T245">
        <v>1532</v>
      </c>
      <c r="U245">
        <v>1964</v>
      </c>
      <c r="V245" s="1">
        <v>45493</v>
      </c>
      <c r="W245" s="1">
        <v>45528</v>
      </c>
      <c r="X245">
        <v>124995</v>
      </c>
      <c r="Y245">
        <v>0.95008912700000003</v>
      </c>
      <c r="Z245">
        <v>2388.350958</v>
      </c>
      <c r="AA245">
        <f>1-((0.95-Y245)*0.5)</f>
        <v>1.0000445634999999</v>
      </c>
      <c r="AB245">
        <f>U245/AA245</f>
        <v>1963.9124811861448</v>
      </c>
      <c r="AC245" cm="1">
        <f t="array" ref="AC245">_xlfn.IFS(Y245&lt;0.6,U245,0.9&lt;Y245,U245,Y245,AB245)</f>
        <v>1964</v>
      </c>
      <c r="AD245">
        <v>0.982531194</v>
      </c>
      <c r="AE245">
        <v>2193.8118009999998</v>
      </c>
      <c r="AF245">
        <v>1964</v>
      </c>
      <c r="AH245">
        <v>0</v>
      </c>
      <c r="AI245">
        <v>50</v>
      </c>
    </row>
    <row r="246" spans="1:35" x14ac:dyDescent="0.25">
      <c r="A246" t="s">
        <v>330</v>
      </c>
      <c r="B246" t="s">
        <v>413</v>
      </c>
      <c r="D246" t="s">
        <v>332</v>
      </c>
      <c r="E246">
        <v>71</v>
      </c>
      <c r="H246">
        <f t="shared" si="3"/>
        <v>241021005</v>
      </c>
      <c r="I246">
        <v>11005</v>
      </c>
      <c r="J246">
        <v>1</v>
      </c>
      <c r="K246" t="s">
        <v>388</v>
      </c>
      <c r="L246">
        <v>75000</v>
      </c>
      <c r="M246" t="s">
        <v>347</v>
      </c>
      <c r="N246">
        <v>12</v>
      </c>
      <c r="O246">
        <v>1105</v>
      </c>
      <c r="P246">
        <v>11</v>
      </c>
      <c r="Q246">
        <v>5</v>
      </c>
      <c r="R246">
        <v>73</v>
      </c>
      <c r="S246">
        <v>21</v>
      </c>
      <c r="T246">
        <v>768</v>
      </c>
      <c r="U246">
        <v>974</v>
      </c>
      <c r="V246" s="1">
        <v>45494</v>
      </c>
      <c r="W246" s="1">
        <v>45536</v>
      </c>
      <c r="X246">
        <v>121596</v>
      </c>
      <c r="Y246">
        <v>0.920464701</v>
      </c>
      <c r="Z246">
        <v>1217.548061</v>
      </c>
      <c r="AA246">
        <f>1-((0.95-Y246)*0.5)</f>
        <v>0.98523235050000002</v>
      </c>
      <c r="AB246">
        <f>U246/AA246</f>
        <v>988.59928777785296</v>
      </c>
      <c r="AC246" cm="1">
        <f t="array" ref="AC246">_xlfn.IFS(Y246&lt;0.6,U246,0.9&lt;Y246,U246,Y246,AB246)</f>
        <v>974</v>
      </c>
      <c r="AD246">
        <v>0.97216264500000005</v>
      </c>
      <c r="AE246">
        <v>1113.2306040000001</v>
      </c>
      <c r="AF246">
        <v>974</v>
      </c>
      <c r="AH246">
        <v>0</v>
      </c>
      <c r="AI246">
        <v>71</v>
      </c>
    </row>
    <row r="247" spans="1:35" x14ac:dyDescent="0.25">
      <c r="A247" t="s">
        <v>330</v>
      </c>
      <c r="B247" t="s">
        <v>422</v>
      </c>
      <c r="D247" t="s">
        <v>332</v>
      </c>
      <c r="E247">
        <v>80</v>
      </c>
      <c r="H247">
        <f t="shared" si="3"/>
        <v>241021006</v>
      </c>
      <c r="I247">
        <v>11006</v>
      </c>
      <c r="J247">
        <v>1</v>
      </c>
      <c r="K247" t="s">
        <v>388</v>
      </c>
      <c r="L247">
        <v>100000</v>
      </c>
      <c r="M247" t="s">
        <v>295</v>
      </c>
      <c r="N247">
        <v>26</v>
      </c>
      <c r="O247">
        <v>1106</v>
      </c>
      <c r="P247">
        <v>11</v>
      </c>
      <c r="Q247">
        <v>6</v>
      </c>
      <c r="R247">
        <v>51</v>
      </c>
      <c r="S247">
        <v>19.2</v>
      </c>
      <c r="T247">
        <v>832</v>
      </c>
      <c r="U247">
        <v>1079</v>
      </c>
      <c r="V247" s="1">
        <v>45494</v>
      </c>
      <c r="W247" s="1">
        <v>45526</v>
      </c>
      <c r="X247">
        <v>124411</v>
      </c>
      <c r="Y247">
        <v>0.99196428599999997</v>
      </c>
      <c r="Z247">
        <v>1318.249697</v>
      </c>
      <c r="AA247">
        <f>1-((0.95-Y247)*0.5)</f>
        <v>1.0209821429999999</v>
      </c>
      <c r="AB247">
        <f>U247/AA247</f>
        <v>1056.8255354883324</v>
      </c>
      <c r="AC247" cm="1">
        <f t="array" ref="AC247">_xlfn.IFS(Y247&lt;0.6,U247,0.9&lt;Y247,U247,Y247,AB247)</f>
        <v>1079</v>
      </c>
      <c r="AD247">
        <v>0.9971875</v>
      </c>
      <c r="AE247">
        <v>1190.033048</v>
      </c>
      <c r="AF247">
        <v>1079</v>
      </c>
      <c r="AH247">
        <v>0</v>
      </c>
      <c r="AI247">
        <v>80</v>
      </c>
    </row>
    <row r="248" spans="1:35" x14ac:dyDescent="0.25">
      <c r="A248" t="s">
        <v>330</v>
      </c>
      <c r="B248">
        <v>1485745121</v>
      </c>
      <c r="D248" t="s">
        <v>332</v>
      </c>
      <c r="E248">
        <v>101</v>
      </c>
      <c r="H248">
        <f t="shared" si="3"/>
        <v>241021007</v>
      </c>
      <c r="I248">
        <v>11007</v>
      </c>
      <c r="J248">
        <v>2</v>
      </c>
      <c r="K248" t="s">
        <v>388</v>
      </c>
      <c r="L248">
        <v>75000</v>
      </c>
      <c r="M248" t="s">
        <v>341</v>
      </c>
      <c r="N248">
        <v>5</v>
      </c>
      <c r="O248">
        <v>1107</v>
      </c>
      <c r="P248">
        <v>11</v>
      </c>
      <c r="Q248">
        <v>7</v>
      </c>
      <c r="V248" s="1">
        <v>45496</v>
      </c>
      <c r="W248" s="1">
        <v>45532</v>
      </c>
      <c r="X248">
        <v>111606</v>
      </c>
      <c r="Y248">
        <v>0.84780662500000004</v>
      </c>
      <c r="AA248">
        <f>1-((0.95-Y248)*0.5)</f>
        <v>0.94890331250000004</v>
      </c>
      <c r="AH248">
        <v>0</v>
      </c>
      <c r="AI248">
        <v>101</v>
      </c>
    </row>
    <row r="249" spans="1:35" x14ac:dyDescent="0.25">
      <c r="A249" t="s">
        <v>330</v>
      </c>
      <c r="B249" t="s">
        <v>450</v>
      </c>
      <c r="D249" t="s">
        <v>332</v>
      </c>
      <c r="E249">
        <v>110</v>
      </c>
      <c r="H249">
        <f t="shared" si="3"/>
        <v>241021008</v>
      </c>
      <c r="I249">
        <v>11008</v>
      </c>
      <c r="J249">
        <v>2</v>
      </c>
      <c r="K249" t="s">
        <v>388</v>
      </c>
      <c r="L249">
        <v>150000</v>
      </c>
      <c r="M249" t="s">
        <v>343</v>
      </c>
      <c r="N249">
        <v>31</v>
      </c>
      <c r="O249">
        <v>1108</v>
      </c>
      <c r="P249">
        <v>11</v>
      </c>
      <c r="Q249">
        <v>8</v>
      </c>
      <c r="R249">
        <v>29</v>
      </c>
      <c r="S249">
        <v>22</v>
      </c>
      <c r="T249">
        <v>1489</v>
      </c>
      <c r="U249">
        <v>1864</v>
      </c>
      <c r="V249" s="1">
        <v>45492</v>
      </c>
      <c r="W249" s="1">
        <v>45534</v>
      </c>
      <c r="X249">
        <v>105965</v>
      </c>
      <c r="Y249">
        <v>0.82531194299999999</v>
      </c>
      <c r="Z249">
        <v>2673.7885150000002</v>
      </c>
      <c r="AA249">
        <f>1-((0.95-Y249)*0.5)</f>
        <v>0.93765597150000002</v>
      </c>
      <c r="AB249">
        <f>U249/AA249</f>
        <v>1987.9359345604082</v>
      </c>
      <c r="AC249" cm="1">
        <f t="array" ref="AC249">_xlfn.IFS(Y249&lt;0.6,U249,0.9&lt;Y249,U249,Y249,AB249)</f>
        <v>1987.9359345604082</v>
      </c>
      <c r="AD249">
        <v>0.93885918000000002</v>
      </c>
      <c r="AE249">
        <v>2339.689621</v>
      </c>
      <c r="AF249">
        <v>2339.689621</v>
      </c>
      <c r="AH249">
        <v>0</v>
      </c>
      <c r="AI249">
        <v>110</v>
      </c>
    </row>
    <row r="250" spans="1:35" x14ac:dyDescent="0.25">
      <c r="A250" t="s">
        <v>330</v>
      </c>
      <c r="B250" t="s">
        <v>471</v>
      </c>
      <c r="D250" t="s">
        <v>332</v>
      </c>
      <c r="E250">
        <v>131</v>
      </c>
      <c r="H250">
        <f t="shared" si="3"/>
        <v>241021009</v>
      </c>
      <c r="I250">
        <v>11009</v>
      </c>
      <c r="J250">
        <v>2</v>
      </c>
      <c r="K250" t="s">
        <v>388</v>
      </c>
      <c r="L250">
        <v>100000</v>
      </c>
      <c r="M250" t="s">
        <v>349</v>
      </c>
      <c r="N250">
        <v>28</v>
      </c>
      <c r="O250">
        <v>1109</v>
      </c>
      <c r="P250">
        <v>11</v>
      </c>
      <c r="Q250">
        <v>9</v>
      </c>
      <c r="R250">
        <v>26</v>
      </c>
      <c r="S250">
        <v>18.7</v>
      </c>
      <c r="T250">
        <v>1194</v>
      </c>
      <c r="U250">
        <v>1558</v>
      </c>
      <c r="V250" s="1">
        <v>45494</v>
      </c>
      <c r="W250" s="1">
        <v>45534</v>
      </c>
      <c r="X250">
        <v>121141</v>
      </c>
      <c r="Y250">
        <v>0.81964285699999995</v>
      </c>
      <c r="Z250">
        <v>1954.904747</v>
      </c>
      <c r="AA250">
        <f>1-((0.95-Y250)*0.5)</f>
        <v>0.93482142850000005</v>
      </c>
      <c r="AB250">
        <f>U250/AA250</f>
        <v>1666.6284624005064</v>
      </c>
      <c r="AC250" cm="1">
        <f t="array" ref="AC250">_xlfn.IFS(Y250&lt;0.6,U250,0.9&lt;Y250,U250,Y250,AB250)</f>
        <v>1666.6284624005064</v>
      </c>
      <c r="AD250">
        <v>0.93687500000000001</v>
      </c>
      <c r="AE250">
        <v>1850.8662059999999</v>
      </c>
      <c r="AF250">
        <v>1850.8662059999999</v>
      </c>
      <c r="AH250">
        <v>0</v>
      </c>
      <c r="AI250">
        <v>131</v>
      </c>
    </row>
    <row r="251" spans="1:35" x14ac:dyDescent="0.25">
      <c r="A251" t="s">
        <v>330</v>
      </c>
      <c r="B251" t="s">
        <v>480</v>
      </c>
      <c r="D251" t="s">
        <v>332</v>
      </c>
      <c r="E251">
        <v>140</v>
      </c>
      <c r="H251">
        <f t="shared" si="3"/>
        <v>241021010</v>
      </c>
      <c r="I251">
        <v>11010</v>
      </c>
      <c r="J251">
        <v>2</v>
      </c>
      <c r="K251" t="s">
        <v>333</v>
      </c>
      <c r="L251">
        <v>100000</v>
      </c>
      <c r="M251" t="s">
        <v>279</v>
      </c>
      <c r="N251">
        <v>75</v>
      </c>
      <c r="O251">
        <v>1110</v>
      </c>
      <c r="P251">
        <v>11</v>
      </c>
      <c r="Q251">
        <v>10</v>
      </c>
      <c r="R251">
        <v>25</v>
      </c>
      <c r="S251">
        <v>18.399999999999999</v>
      </c>
      <c r="T251">
        <v>1570</v>
      </c>
      <c r="U251">
        <v>2056</v>
      </c>
      <c r="V251" s="1">
        <v>45496</v>
      </c>
      <c r="W251" s="1">
        <v>45534</v>
      </c>
      <c r="X251">
        <v>138591</v>
      </c>
      <c r="Y251">
        <v>0.91179489199999997</v>
      </c>
      <c r="Z251">
        <v>2254.8930879999998</v>
      </c>
      <c r="AA251">
        <f>1-((0.95-Y251)*0.5)</f>
        <v>0.98089744599999995</v>
      </c>
      <c r="AB251">
        <f>U251/AA251</f>
        <v>2096.03971178043</v>
      </c>
      <c r="AC251" cm="1">
        <f t="array" ref="AC251">_xlfn.IFS(Y251&lt;0.6,U251,0.9&lt;Y251,U251,Y251,AB251)</f>
        <v>2056</v>
      </c>
      <c r="AD251">
        <v>0.96912821199999999</v>
      </c>
      <c r="AE251">
        <v>2219.3744019999999</v>
      </c>
      <c r="AF251">
        <v>2056</v>
      </c>
      <c r="AH251">
        <v>0</v>
      </c>
      <c r="AI251">
        <v>140</v>
      </c>
    </row>
    <row r="252" spans="1:35" x14ac:dyDescent="0.25">
      <c r="A252" t="s">
        <v>330</v>
      </c>
      <c r="B252" t="s">
        <v>501</v>
      </c>
      <c r="D252" t="s">
        <v>332</v>
      </c>
      <c r="E252">
        <v>161</v>
      </c>
      <c r="H252">
        <f t="shared" si="3"/>
        <v>241021011</v>
      </c>
      <c r="I252">
        <v>11011</v>
      </c>
      <c r="J252">
        <v>2</v>
      </c>
      <c r="K252" t="s">
        <v>333</v>
      </c>
      <c r="L252">
        <v>75000</v>
      </c>
      <c r="M252" t="s">
        <v>355</v>
      </c>
      <c r="N252">
        <v>54</v>
      </c>
      <c r="O252">
        <v>1111</v>
      </c>
      <c r="P252">
        <v>11</v>
      </c>
      <c r="Q252">
        <v>11</v>
      </c>
      <c r="R252">
        <v>65</v>
      </c>
      <c r="S252">
        <v>19.5</v>
      </c>
      <c r="T252">
        <v>341</v>
      </c>
      <c r="U252">
        <v>440</v>
      </c>
      <c r="V252" s="1">
        <v>45491</v>
      </c>
      <c r="W252" s="1">
        <v>45525</v>
      </c>
      <c r="X252">
        <v>149108</v>
      </c>
      <c r="Y252">
        <v>0.98097368399999996</v>
      </c>
      <c r="Z252">
        <v>448.53394850000001</v>
      </c>
      <c r="AA252">
        <f>1-((0.95-Y252)*0.5)</f>
        <v>1.0154868420000001</v>
      </c>
      <c r="AB252">
        <f>U252/AA252</f>
        <v>433.28971071000836</v>
      </c>
      <c r="AC252" cm="1">
        <f t="array" ref="AC252">_xlfn.IFS(Y252&lt;0.6,U252,0.9&lt;Y252,U252,Y252,AB252)</f>
        <v>440</v>
      </c>
      <c r="AD252">
        <v>0.993340789</v>
      </c>
      <c r="AE252">
        <v>447.20401779999997</v>
      </c>
      <c r="AF252">
        <v>440</v>
      </c>
      <c r="AH252">
        <v>0</v>
      </c>
      <c r="AI252">
        <v>161</v>
      </c>
    </row>
    <row r="253" spans="1:35" x14ac:dyDescent="0.25">
      <c r="A253" t="s">
        <v>330</v>
      </c>
      <c r="B253" t="s">
        <v>510</v>
      </c>
      <c r="D253" t="s">
        <v>332</v>
      </c>
      <c r="E253">
        <v>170</v>
      </c>
      <c r="H253">
        <f t="shared" si="3"/>
        <v>241021012</v>
      </c>
      <c r="I253">
        <v>11012</v>
      </c>
      <c r="J253">
        <v>2</v>
      </c>
      <c r="K253" t="s">
        <v>333</v>
      </c>
      <c r="L253">
        <v>150000</v>
      </c>
      <c r="M253" t="s">
        <v>298</v>
      </c>
      <c r="N253">
        <v>81</v>
      </c>
      <c r="O253">
        <v>1112</v>
      </c>
      <c r="P253">
        <v>11</v>
      </c>
      <c r="Q253">
        <v>12</v>
      </c>
      <c r="R253">
        <v>53</v>
      </c>
      <c r="S253">
        <v>17.8</v>
      </c>
      <c r="T253">
        <v>815</v>
      </c>
      <c r="U253">
        <v>1075</v>
      </c>
      <c r="V253" s="1">
        <v>45492</v>
      </c>
      <c r="W253" s="1">
        <v>45525</v>
      </c>
      <c r="X253">
        <v>137672</v>
      </c>
      <c r="Y253">
        <v>0.90573684200000004</v>
      </c>
      <c r="Z253">
        <v>1186.8789589999999</v>
      </c>
      <c r="AA253">
        <f>1-((0.95-Y253)*0.5)</f>
        <v>0.97786842100000004</v>
      </c>
      <c r="AB253">
        <f>U253/AA253</f>
        <v>1099.3299066766774</v>
      </c>
      <c r="AC253" cm="1">
        <f t="array" ref="AC253">_xlfn.IFS(Y253&lt;0.6,U253,0.9&lt;Y253,U253,Y253,AB253)</f>
        <v>1075</v>
      </c>
      <c r="AD253">
        <v>0.96700789499999995</v>
      </c>
      <c r="AE253">
        <v>1166.6632300000001</v>
      </c>
      <c r="AF253">
        <v>1075</v>
      </c>
      <c r="AH253">
        <v>0</v>
      </c>
      <c r="AI253">
        <v>170</v>
      </c>
    </row>
    <row r="254" spans="1:35" x14ac:dyDescent="0.25">
      <c r="A254" t="s">
        <v>330</v>
      </c>
      <c r="B254" t="s">
        <v>531</v>
      </c>
      <c r="D254" t="s">
        <v>332</v>
      </c>
      <c r="E254">
        <v>191</v>
      </c>
      <c r="H254">
        <f t="shared" si="3"/>
        <v>241021013</v>
      </c>
      <c r="I254">
        <v>11013</v>
      </c>
      <c r="J254">
        <v>3</v>
      </c>
      <c r="K254" t="s">
        <v>388</v>
      </c>
      <c r="L254">
        <v>150000</v>
      </c>
      <c r="M254" t="s">
        <v>349</v>
      </c>
      <c r="N254">
        <v>43</v>
      </c>
      <c r="O254">
        <v>1113</v>
      </c>
      <c r="P254">
        <v>11</v>
      </c>
      <c r="Q254">
        <v>13</v>
      </c>
      <c r="R254">
        <v>26</v>
      </c>
      <c r="S254">
        <v>20.8</v>
      </c>
      <c r="T254">
        <v>2309</v>
      </c>
      <c r="U254">
        <v>2934</v>
      </c>
      <c r="V254" s="1">
        <v>45499</v>
      </c>
      <c r="W254" s="1">
        <v>45534</v>
      </c>
      <c r="X254">
        <v>121058</v>
      </c>
      <c r="Y254">
        <v>0.91316025099999998</v>
      </c>
      <c r="Z254">
        <v>3683.8958680000001</v>
      </c>
      <c r="AA254">
        <f>1-((0.95-Y254)*0.5)</f>
        <v>0.98158012550000007</v>
      </c>
      <c r="AB254">
        <f>U254/AA254</f>
        <v>2989.0580746074811</v>
      </c>
      <c r="AC254" cm="1">
        <f t="array" ref="AC254">_xlfn.IFS(Y254&lt;0.6,U254,0.9&lt;Y254,U254,Y254,AB254)</f>
        <v>2934</v>
      </c>
      <c r="AD254">
        <v>0.96960608800000003</v>
      </c>
      <c r="AE254">
        <v>3368.8539850000002</v>
      </c>
      <c r="AF254">
        <v>2934</v>
      </c>
      <c r="AH254">
        <v>0</v>
      </c>
      <c r="AI254">
        <v>191</v>
      </c>
    </row>
    <row r="255" spans="1:35" x14ac:dyDescent="0.25">
      <c r="A255" t="s">
        <v>330</v>
      </c>
      <c r="B255" t="s">
        <v>540</v>
      </c>
      <c r="D255" t="s">
        <v>332</v>
      </c>
      <c r="E255">
        <v>200</v>
      </c>
      <c r="H255">
        <f t="shared" si="3"/>
        <v>241021014</v>
      </c>
      <c r="I255">
        <v>11014</v>
      </c>
      <c r="J255">
        <v>3</v>
      </c>
      <c r="K255" t="s">
        <v>388</v>
      </c>
      <c r="L255">
        <v>75000</v>
      </c>
      <c r="M255" t="s">
        <v>341</v>
      </c>
      <c r="N255">
        <v>5</v>
      </c>
      <c r="O255">
        <v>1114</v>
      </c>
      <c r="P255">
        <v>11</v>
      </c>
      <c r="Q255">
        <v>14</v>
      </c>
      <c r="R255">
        <v>25</v>
      </c>
      <c r="S255">
        <v>20.2</v>
      </c>
      <c r="T255">
        <v>1638</v>
      </c>
      <c r="U255">
        <v>2097</v>
      </c>
      <c r="V255" s="1">
        <v>45497</v>
      </c>
      <c r="W255" s="1">
        <v>45534</v>
      </c>
      <c r="X255">
        <v>116578</v>
      </c>
      <c r="Y255">
        <v>0.86058981199999995</v>
      </c>
      <c r="Z255">
        <v>2734.1693970000001</v>
      </c>
      <c r="AA255">
        <f>1-((0.95-Y255)*0.5)</f>
        <v>0.955294906</v>
      </c>
      <c r="AB255">
        <f>U255/AA255</f>
        <v>2195.1336564543558</v>
      </c>
      <c r="AC255" cm="1">
        <f t="array" ref="AC255">_xlfn.IFS(Y255&lt;0.6,U255,0.9&lt;Y255,U255,Y255,AB255)</f>
        <v>2195.1336564543558</v>
      </c>
      <c r="AD255">
        <v>0.95120643400000005</v>
      </c>
      <c r="AE255">
        <v>2495.323171</v>
      </c>
      <c r="AF255">
        <v>2495.323171</v>
      </c>
      <c r="AH255">
        <v>0</v>
      </c>
      <c r="AI255">
        <v>200</v>
      </c>
    </row>
    <row r="256" spans="1:35" x14ac:dyDescent="0.25">
      <c r="A256" t="s">
        <v>330</v>
      </c>
      <c r="B256" t="s">
        <v>561</v>
      </c>
      <c r="D256" t="s">
        <v>332</v>
      </c>
      <c r="E256">
        <v>221</v>
      </c>
      <c r="H256">
        <f t="shared" si="3"/>
        <v>241021015</v>
      </c>
      <c r="I256">
        <v>11015</v>
      </c>
      <c r="J256">
        <v>3</v>
      </c>
      <c r="K256" t="s">
        <v>388</v>
      </c>
      <c r="L256">
        <v>100000</v>
      </c>
      <c r="M256" t="s">
        <v>283</v>
      </c>
      <c r="N256">
        <v>17</v>
      </c>
      <c r="O256">
        <v>1115</v>
      </c>
      <c r="P256">
        <v>11</v>
      </c>
      <c r="Q256">
        <v>15</v>
      </c>
      <c r="R256">
        <v>26</v>
      </c>
      <c r="S256">
        <v>20.2</v>
      </c>
      <c r="T256">
        <v>1727</v>
      </c>
      <c r="U256">
        <v>2211</v>
      </c>
      <c r="V256" s="1">
        <v>45497</v>
      </c>
      <c r="W256" s="1">
        <v>45535</v>
      </c>
      <c r="X256">
        <v>125703</v>
      </c>
      <c r="Y256">
        <v>0.95900178300000005</v>
      </c>
      <c r="Z256">
        <v>2673.540011</v>
      </c>
      <c r="AA256">
        <f>1-((0.95-Y256)*0.5)</f>
        <v>1.0045008915</v>
      </c>
      <c r="AB256">
        <f>U256/AA256</f>
        <v>2201.0931186913735</v>
      </c>
      <c r="AC256" cm="1">
        <f t="array" ref="AC256">_xlfn.IFS(Y256&lt;0.6,U256,0.9&lt;Y256,U256,Y256,AB256)</f>
        <v>2211</v>
      </c>
      <c r="AD256">
        <v>0.98565062400000003</v>
      </c>
      <c r="AE256">
        <v>2455.6063829999998</v>
      </c>
      <c r="AF256">
        <v>2211</v>
      </c>
      <c r="AH256">
        <v>0</v>
      </c>
      <c r="AI256">
        <v>221</v>
      </c>
    </row>
    <row r="257" spans="1:35" x14ac:dyDescent="0.25">
      <c r="A257" t="s">
        <v>330</v>
      </c>
      <c r="B257" t="s">
        <v>570</v>
      </c>
      <c r="D257" t="s">
        <v>332</v>
      </c>
      <c r="E257">
        <v>230</v>
      </c>
      <c r="H257">
        <f t="shared" si="3"/>
        <v>241021016</v>
      </c>
      <c r="I257">
        <v>11016</v>
      </c>
      <c r="J257">
        <v>3</v>
      </c>
      <c r="K257" t="s">
        <v>333</v>
      </c>
      <c r="L257">
        <v>100000</v>
      </c>
      <c r="M257" t="s">
        <v>279</v>
      </c>
      <c r="N257">
        <v>75</v>
      </c>
      <c r="O257">
        <v>1116</v>
      </c>
      <c r="P257">
        <v>11</v>
      </c>
      <c r="Q257">
        <v>16</v>
      </c>
      <c r="R257">
        <v>29</v>
      </c>
      <c r="S257">
        <v>20.8</v>
      </c>
      <c r="T257">
        <v>2007</v>
      </c>
      <c r="U257">
        <v>2551</v>
      </c>
      <c r="V257" s="1">
        <v>45499</v>
      </c>
      <c r="W257" s="1">
        <v>45534</v>
      </c>
      <c r="X257">
        <v>135047</v>
      </c>
      <c r="Y257">
        <v>0.88846126000000003</v>
      </c>
      <c r="Z257">
        <v>2871.2563110000001</v>
      </c>
      <c r="AA257">
        <f>1-((0.95-Y257)*0.5)</f>
        <v>0.96923062999999998</v>
      </c>
      <c r="AB257">
        <f>U257/AA257</f>
        <v>2631.98450507079</v>
      </c>
      <c r="AC257" cm="1">
        <f t="array" ref="AC257">_xlfn.IFS(Y257&lt;0.6,U257,0.9&lt;Y257,U257,Y257,AB257)</f>
        <v>2631.98450507079</v>
      </c>
      <c r="AD257">
        <v>0.96096144100000003</v>
      </c>
      <c r="AE257">
        <v>2811.4244170000002</v>
      </c>
      <c r="AF257">
        <v>2811.4244170000002</v>
      </c>
      <c r="AH257">
        <v>0</v>
      </c>
      <c r="AI257">
        <v>230</v>
      </c>
    </row>
    <row r="258" spans="1:35" x14ac:dyDescent="0.25">
      <c r="A258" t="s">
        <v>330</v>
      </c>
      <c r="B258" t="s">
        <v>591</v>
      </c>
      <c r="D258" t="s">
        <v>332</v>
      </c>
      <c r="E258">
        <v>251</v>
      </c>
      <c r="H258">
        <f t="shared" si="3"/>
        <v>241021017</v>
      </c>
      <c r="I258">
        <v>11017</v>
      </c>
      <c r="J258">
        <v>3</v>
      </c>
      <c r="K258" t="s">
        <v>333</v>
      </c>
      <c r="L258">
        <v>150000</v>
      </c>
      <c r="M258" t="s">
        <v>357</v>
      </c>
      <c r="N258">
        <v>78</v>
      </c>
      <c r="O258">
        <v>1117</v>
      </c>
      <c r="P258">
        <v>11</v>
      </c>
      <c r="Q258">
        <v>17</v>
      </c>
      <c r="R258">
        <v>41</v>
      </c>
      <c r="S258">
        <v>19.100000000000001</v>
      </c>
      <c r="T258">
        <v>2508</v>
      </c>
      <c r="U258">
        <v>3256</v>
      </c>
      <c r="V258" s="1">
        <v>45496</v>
      </c>
      <c r="W258" s="1">
        <v>45534</v>
      </c>
      <c r="X258">
        <v>144834</v>
      </c>
      <c r="Y258">
        <v>0.95286153200000001</v>
      </c>
      <c r="Z258">
        <v>3417.0757140000001</v>
      </c>
      <c r="AA258">
        <f>1-((0.95-Y258)*0.5)</f>
        <v>1.0014307659999999</v>
      </c>
      <c r="AB258">
        <f>U258/AA258</f>
        <v>3251.3480817105237</v>
      </c>
      <c r="AC258" cm="1">
        <f t="array" ref="AC258">_xlfn.IFS(Y258&lt;0.6,U258,0.9&lt;Y258,U258,Y258,AB258)</f>
        <v>3256</v>
      </c>
      <c r="AD258">
        <v>0.98350153600000001</v>
      </c>
      <c r="AE258">
        <v>3390.5323979999998</v>
      </c>
      <c r="AF258">
        <v>3256</v>
      </c>
      <c r="AH258">
        <v>0</v>
      </c>
      <c r="AI258">
        <v>251</v>
      </c>
    </row>
    <row r="259" spans="1:35" x14ac:dyDescent="0.25">
      <c r="A259" t="s">
        <v>330</v>
      </c>
      <c r="B259" t="s">
        <v>600</v>
      </c>
      <c r="D259" t="s">
        <v>332</v>
      </c>
      <c r="E259">
        <v>260</v>
      </c>
      <c r="H259">
        <f t="shared" ref="H259:H322" si="4">24101*10000+I259</f>
        <v>241021018</v>
      </c>
      <c r="I259">
        <v>11018</v>
      </c>
      <c r="J259">
        <v>3</v>
      </c>
      <c r="K259" t="s">
        <v>333</v>
      </c>
      <c r="L259">
        <v>75000</v>
      </c>
      <c r="M259" t="s">
        <v>353</v>
      </c>
      <c r="N259">
        <v>52</v>
      </c>
      <c r="O259">
        <v>1118</v>
      </c>
      <c r="P259">
        <v>11</v>
      </c>
      <c r="Q259">
        <v>18</v>
      </c>
      <c r="R259">
        <v>41</v>
      </c>
      <c r="S259">
        <v>19</v>
      </c>
      <c r="T259">
        <v>1258</v>
      </c>
      <c r="U259">
        <v>1635</v>
      </c>
      <c r="V259" s="1">
        <v>45497</v>
      </c>
      <c r="W259" s="1">
        <v>45534</v>
      </c>
      <c r="X259">
        <v>105908</v>
      </c>
      <c r="Y259">
        <v>0.69676315799999999</v>
      </c>
      <c r="Z259">
        <v>2346.5649429999999</v>
      </c>
      <c r="AA259">
        <f>1-((0.95-Y259)*0.5)</f>
        <v>0.87338157900000002</v>
      </c>
      <c r="AB259">
        <f>U259/AA259</f>
        <v>1872.0339875636419</v>
      </c>
      <c r="AC259" cm="1">
        <f t="array" ref="AC259">_xlfn.IFS(Y259&lt;0.6,U259,0.9&lt;Y259,U259,Y259,AB259)</f>
        <v>1872.0339875636419</v>
      </c>
      <c r="AD259">
        <v>0.893867105</v>
      </c>
      <c r="AE259">
        <v>2156.0239040000001</v>
      </c>
      <c r="AF259">
        <v>2156.0239040000001</v>
      </c>
      <c r="AH259">
        <v>0</v>
      </c>
      <c r="AI259">
        <v>260</v>
      </c>
    </row>
    <row r="260" spans="1:35" x14ac:dyDescent="0.25">
      <c r="A260" t="s">
        <v>330</v>
      </c>
      <c r="B260" t="s">
        <v>620</v>
      </c>
      <c r="D260" t="s">
        <v>332</v>
      </c>
      <c r="E260">
        <v>281</v>
      </c>
      <c r="H260">
        <f t="shared" si="4"/>
        <v>241021019</v>
      </c>
      <c r="I260">
        <v>11019</v>
      </c>
      <c r="J260">
        <v>4</v>
      </c>
      <c r="K260" t="s">
        <v>388</v>
      </c>
      <c r="L260">
        <v>75000</v>
      </c>
      <c r="M260" t="s">
        <v>357</v>
      </c>
      <c r="N260">
        <v>3</v>
      </c>
      <c r="O260">
        <v>1119</v>
      </c>
      <c r="P260">
        <v>11</v>
      </c>
      <c r="Q260">
        <v>19</v>
      </c>
      <c r="R260">
        <v>41</v>
      </c>
      <c r="S260">
        <v>19.100000000000001</v>
      </c>
      <c r="T260">
        <v>1497</v>
      </c>
      <c r="U260">
        <v>1943</v>
      </c>
      <c r="V260" s="1">
        <v>45496</v>
      </c>
      <c r="W260" s="1">
        <v>45536</v>
      </c>
      <c r="X260">
        <v>111372</v>
      </c>
      <c r="Y260">
        <v>0.80411449000000002</v>
      </c>
      <c r="Z260">
        <v>2651.8150249999999</v>
      </c>
      <c r="AA260">
        <f>1-((0.95-Y260)*0.5)</f>
        <v>0.92705724500000009</v>
      </c>
      <c r="AB260">
        <f>U260/AA260</f>
        <v>2095.8792032308638</v>
      </c>
      <c r="AC260" cm="1">
        <f t="array" ref="AC260">_xlfn.IFS(Y260&lt;0.6,U260,0.9&lt;Y260,U260,Y260,AB260)</f>
        <v>2095.8792032308638</v>
      </c>
      <c r="AD260">
        <v>0.93144007200000001</v>
      </c>
      <c r="AE260">
        <v>2407.8147629999999</v>
      </c>
      <c r="AF260">
        <v>2407.8147629999999</v>
      </c>
      <c r="AH260">
        <v>0</v>
      </c>
      <c r="AI260">
        <v>281</v>
      </c>
    </row>
    <row r="261" spans="1:35" x14ac:dyDescent="0.25">
      <c r="A261" t="s">
        <v>330</v>
      </c>
      <c r="B261" t="s">
        <v>629</v>
      </c>
      <c r="D261" t="s">
        <v>332</v>
      </c>
      <c r="E261">
        <v>290</v>
      </c>
      <c r="H261">
        <f t="shared" si="4"/>
        <v>241021020</v>
      </c>
      <c r="I261">
        <v>11020</v>
      </c>
      <c r="J261">
        <v>4</v>
      </c>
      <c r="K261" t="s">
        <v>388</v>
      </c>
      <c r="L261">
        <v>100000</v>
      </c>
      <c r="M261" t="s">
        <v>338</v>
      </c>
      <c r="N261">
        <v>29</v>
      </c>
      <c r="O261">
        <v>1120</v>
      </c>
      <c r="P261">
        <v>11</v>
      </c>
      <c r="Q261">
        <v>20</v>
      </c>
      <c r="R261">
        <v>46</v>
      </c>
      <c r="S261">
        <v>18.899999999999999</v>
      </c>
      <c r="T261">
        <v>1409</v>
      </c>
      <c r="U261">
        <v>1834</v>
      </c>
      <c r="V261" s="1">
        <v>45493</v>
      </c>
      <c r="W261" s="1">
        <v>45528</v>
      </c>
      <c r="X261">
        <v>120593</v>
      </c>
      <c r="Y261">
        <v>0.92163846800000004</v>
      </c>
      <c r="Z261">
        <v>2311.658504</v>
      </c>
      <c r="AA261">
        <f>1-((0.95-Y261)*0.5)</f>
        <v>0.98581923400000004</v>
      </c>
      <c r="AB261">
        <f>U261/AA261</f>
        <v>1860.381636660175</v>
      </c>
      <c r="AC261" cm="1">
        <f t="array" ref="AC261">_xlfn.IFS(Y261&lt;0.6,U261,0.9&lt;Y261,U261,Y261,AB261)</f>
        <v>1834</v>
      </c>
      <c r="AD261">
        <v>0.972573464</v>
      </c>
      <c r="AE261">
        <v>2102.9893040000002</v>
      </c>
      <c r="AF261">
        <v>1834</v>
      </c>
      <c r="AH261">
        <v>0</v>
      </c>
      <c r="AI261">
        <v>290</v>
      </c>
    </row>
    <row r="262" spans="1:35" x14ac:dyDescent="0.25">
      <c r="A262" t="s">
        <v>330</v>
      </c>
      <c r="B262" t="s">
        <v>649</v>
      </c>
      <c r="D262" t="s">
        <v>332</v>
      </c>
      <c r="E262">
        <v>311</v>
      </c>
      <c r="H262">
        <f t="shared" si="4"/>
        <v>241021021</v>
      </c>
      <c r="I262">
        <v>11021</v>
      </c>
      <c r="J262">
        <v>4</v>
      </c>
      <c r="K262" t="s">
        <v>388</v>
      </c>
      <c r="L262">
        <v>150000</v>
      </c>
      <c r="M262" t="s">
        <v>336</v>
      </c>
      <c r="N262">
        <v>34</v>
      </c>
      <c r="O262">
        <v>1121</v>
      </c>
      <c r="P262">
        <v>11</v>
      </c>
      <c r="Q262">
        <v>21</v>
      </c>
      <c r="R262">
        <v>64</v>
      </c>
      <c r="S262">
        <v>16.8</v>
      </c>
      <c r="T262">
        <v>669</v>
      </c>
      <c r="U262">
        <v>893</v>
      </c>
      <c r="V262" s="1">
        <v>45495</v>
      </c>
      <c r="W262" s="1">
        <v>45537</v>
      </c>
      <c r="X262">
        <v>127646</v>
      </c>
      <c r="Y262">
        <v>0.95531724799999995</v>
      </c>
      <c r="Z262">
        <v>1063.3574180000001</v>
      </c>
      <c r="AA262">
        <f>1-((0.95-Y262)*0.5)</f>
        <v>1.0026586239999999</v>
      </c>
      <c r="AB262">
        <f>U262/AA262</f>
        <v>890.63214400677214</v>
      </c>
      <c r="AC262" cm="1">
        <f t="array" ref="AC262">_xlfn.IFS(Y262&lt;0.6,U262,0.9&lt;Y262,U262,Y262,AB262)</f>
        <v>893</v>
      </c>
      <c r="AD262">
        <v>0.98436103699999999</v>
      </c>
      <c r="AE262">
        <v>986.1843427</v>
      </c>
      <c r="AF262">
        <v>893</v>
      </c>
      <c r="AH262">
        <v>0</v>
      </c>
      <c r="AI262">
        <v>311</v>
      </c>
    </row>
    <row r="263" spans="1:35" x14ac:dyDescent="0.25">
      <c r="A263" t="s">
        <v>330</v>
      </c>
      <c r="B263" t="s">
        <v>658</v>
      </c>
      <c r="D263" t="s">
        <v>332</v>
      </c>
      <c r="E263">
        <v>320</v>
      </c>
      <c r="H263">
        <f t="shared" si="4"/>
        <v>241021022</v>
      </c>
      <c r="I263">
        <v>11022</v>
      </c>
      <c r="J263">
        <v>4</v>
      </c>
      <c r="K263" t="s">
        <v>333</v>
      </c>
      <c r="L263">
        <v>150000</v>
      </c>
      <c r="M263" t="s">
        <v>338</v>
      </c>
      <c r="N263">
        <v>89</v>
      </c>
      <c r="O263">
        <v>1122</v>
      </c>
      <c r="P263">
        <v>11</v>
      </c>
      <c r="Q263">
        <v>22</v>
      </c>
      <c r="R263">
        <v>44</v>
      </c>
      <c r="S263">
        <v>18.600000000000001</v>
      </c>
      <c r="T263">
        <v>1507</v>
      </c>
      <c r="U263">
        <v>1968</v>
      </c>
      <c r="V263" s="1">
        <v>45493</v>
      </c>
      <c r="W263" s="1">
        <v>45527</v>
      </c>
      <c r="X263">
        <v>149603</v>
      </c>
      <c r="Y263">
        <v>0.98422378799999999</v>
      </c>
      <c r="Z263">
        <v>1999.5452499999999</v>
      </c>
      <c r="AA263">
        <f>1-((0.95-Y263)*0.5)</f>
        <v>1.0171118940000001</v>
      </c>
      <c r="AB263">
        <f>U263/AA263</f>
        <v>1934.8903612368924</v>
      </c>
      <c r="AC263" cm="1">
        <f t="array" ref="AC263">_xlfn.IFS(Y263&lt;0.6,U263,0.9&lt;Y263,U263,Y263,AB263)</f>
        <v>1968</v>
      </c>
      <c r="AD263">
        <v>0.99447832599999997</v>
      </c>
      <c r="AE263">
        <v>1994.6610889999999</v>
      </c>
      <c r="AF263">
        <v>1968</v>
      </c>
      <c r="AH263">
        <v>0</v>
      </c>
      <c r="AI263">
        <v>320</v>
      </c>
    </row>
    <row r="264" spans="1:35" x14ac:dyDescent="0.25">
      <c r="A264" t="s">
        <v>330</v>
      </c>
      <c r="B264" t="s">
        <v>679</v>
      </c>
      <c r="D264" t="s">
        <v>332</v>
      </c>
      <c r="E264">
        <v>341</v>
      </c>
      <c r="H264">
        <f t="shared" si="4"/>
        <v>241021023</v>
      </c>
      <c r="I264">
        <v>11023</v>
      </c>
      <c r="J264">
        <v>4</v>
      </c>
      <c r="K264" t="s">
        <v>333</v>
      </c>
      <c r="L264">
        <v>100000</v>
      </c>
      <c r="M264" t="s">
        <v>334</v>
      </c>
      <c r="N264">
        <v>68</v>
      </c>
      <c r="O264">
        <v>1123</v>
      </c>
      <c r="P264">
        <v>11</v>
      </c>
      <c r="Q264">
        <v>23</v>
      </c>
      <c r="R264">
        <v>46</v>
      </c>
      <c r="S264">
        <v>21.4</v>
      </c>
      <c r="T264">
        <v>1311</v>
      </c>
      <c r="U264">
        <v>1653</v>
      </c>
      <c r="V264" s="1">
        <v>45496</v>
      </c>
      <c r="W264" s="1">
        <v>45534</v>
      </c>
      <c r="X264">
        <v>146106</v>
      </c>
      <c r="Y264">
        <v>0.96121736000000002</v>
      </c>
      <c r="Z264">
        <v>1719.6942839999999</v>
      </c>
      <c r="AA264">
        <f>1-((0.95-Y264)*0.5)</f>
        <v>1.0056086799999999</v>
      </c>
      <c r="AB264">
        <f>U264/AA264</f>
        <v>1643.7805608440055</v>
      </c>
      <c r="AC264" cm="1">
        <f t="array" ref="AC264">_xlfn.IFS(Y264&lt;0.6,U264,0.9&lt;Y264,U264,Y264,AB264)</f>
        <v>1653</v>
      </c>
      <c r="AD264">
        <v>0.98642607599999999</v>
      </c>
      <c r="AE264">
        <v>1708.883971</v>
      </c>
      <c r="AF264">
        <v>1653</v>
      </c>
      <c r="AH264">
        <v>0</v>
      </c>
      <c r="AI264">
        <v>341</v>
      </c>
    </row>
    <row r="265" spans="1:35" x14ac:dyDescent="0.25">
      <c r="A265" t="s">
        <v>330</v>
      </c>
      <c r="B265" t="s">
        <v>688</v>
      </c>
      <c r="D265" t="s">
        <v>332</v>
      </c>
      <c r="E265">
        <v>350</v>
      </c>
      <c r="H265">
        <f t="shared" si="4"/>
        <v>241021024</v>
      </c>
      <c r="I265">
        <v>11024</v>
      </c>
      <c r="J265">
        <v>4</v>
      </c>
      <c r="K265" t="s">
        <v>333</v>
      </c>
      <c r="L265">
        <v>75000</v>
      </c>
      <c r="M265" t="s">
        <v>279</v>
      </c>
      <c r="N265">
        <v>60</v>
      </c>
      <c r="O265">
        <v>1124</v>
      </c>
      <c r="P265">
        <v>11</v>
      </c>
      <c r="Q265">
        <v>24</v>
      </c>
      <c r="R265">
        <v>30</v>
      </c>
      <c r="S265">
        <v>25.6</v>
      </c>
      <c r="T265">
        <v>1272</v>
      </c>
      <c r="U265">
        <v>1519</v>
      </c>
      <c r="V265" s="1">
        <v>45494</v>
      </c>
      <c r="W265" s="1">
        <v>45536</v>
      </c>
      <c r="X265">
        <v>108689</v>
      </c>
      <c r="Y265">
        <v>0.71505450599999998</v>
      </c>
      <c r="Z265">
        <v>2124.3135830000001</v>
      </c>
      <c r="AA265">
        <f>1-((0.95-Y265)*0.5)</f>
        <v>0.88252725300000001</v>
      </c>
      <c r="AB265">
        <f>U265/AA265</f>
        <v>1721.1933057437263</v>
      </c>
      <c r="AC265" cm="1">
        <f t="array" ref="AC265">_xlfn.IFS(Y265&lt;0.6,U265,0.9&lt;Y265,U265,Y265,AB265)</f>
        <v>1721.1933057437263</v>
      </c>
      <c r="AD265">
        <v>0.90026907700000003</v>
      </c>
      <c r="AE265">
        <v>1967.6031519999999</v>
      </c>
      <c r="AF265">
        <v>1967.6031519999999</v>
      </c>
      <c r="AH265">
        <v>0</v>
      </c>
      <c r="AI265">
        <v>350</v>
      </c>
    </row>
    <row r="266" spans="1:35" x14ac:dyDescent="0.25">
      <c r="A266" t="s">
        <v>330</v>
      </c>
      <c r="B266" t="s">
        <v>350</v>
      </c>
      <c r="D266" t="s">
        <v>332</v>
      </c>
      <c r="E266">
        <v>12</v>
      </c>
      <c r="H266">
        <f t="shared" si="4"/>
        <v>241022001</v>
      </c>
      <c r="I266">
        <v>12001</v>
      </c>
      <c r="J266">
        <v>1</v>
      </c>
      <c r="K266" t="s">
        <v>333</v>
      </c>
      <c r="L266">
        <v>100000</v>
      </c>
      <c r="M266" t="s">
        <v>351</v>
      </c>
      <c r="N266">
        <v>70</v>
      </c>
      <c r="O266">
        <v>1201</v>
      </c>
      <c r="P266">
        <v>12</v>
      </c>
      <c r="Q266">
        <v>1</v>
      </c>
      <c r="R266">
        <v>60</v>
      </c>
      <c r="S266">
        <v>20.7</v>
      </c>
      <c r="T266">
        <v>642</v>
      </c>
      <c r="U266">
        <v>817</v>
      </c>
      <c r="V266" s="1">
        <v>45491</v>
      </c>
      <c r="W266" s="1">
        <v>45524</v>
      </c>
      <c r="X266">
        <v>151820</v>
      </c>
      <c r="Y266">
        <v>0.998809218</v>
      </c>
      <c r="Z266">
        <v>817.97402850000003</v>
      </c>
      <c r="AA266">
        <f>1-((0.95-Y266)*0.5)</f>
        <v>1.0244046090000001</v>
      </c>
      <c r="AB266">
        <f>U266/AA266</f>
        <v>797.53643513722216</v>
      </c>
      <c r="AC266" cm="1">
        <f t="array" ref="AC266">_xlfn.IFS(Y266&lt;0.6,U266,0.9&lt;Y266,U266,Y266,AB266)</f>
        <v>817</v>
      </c>
      <c r="AD266">
        <v>0.99958322600000005</v>
      </c>
      <c r="AE266">
        <v>817.82757319999996</v>
      </c>
      <c r="AF266">
        <v>817</v>
      </c>
      <c r="AH266">
        <v>0</v>
      </c>
      <c r="AI266">
        <v>12</v>
      </c>
    </row>
    <row r="267" spans="1:35" x14ac:dyDescent="0.25">
      <c r="A267" t="s">
        <v>330</v>
      </c>
      <c r="B267" t="s">
        <v>361</v>
      </c>
      <c r="D267" t="s">
        <v>332</v>
      </c>
      <c r="E267">
        <v>19</v>
      </c>
      <c r="H267">
        <f t="shared" si="4"/>
        <v>241022002</v>
      </c>
      <c r="I267">
        <v>12002</v>
      </c>
      <c r="J267">
        <v>1</v>
      </c>
      <c r="K267" t="s">
        <v>333</v>
      </c>
      <c r="L267">
        <v>150000</v>
      </c>
      <c r="M267" t="s">
        <v>351</v>
      </c>
      <c r="N267">
        <v>85</v>
      </c>
      <c r="O267">
        <v>1202</v>
      </c>
      <c r="P267">
        <v>12</v>
      </c>
      <c r="Q267">
        <v>2</v>
      </c>
      <c r="R267">
        <v>57</v>
      </c>
      <c r="S267">
        <v>21.2</v>
      </c>
      <c r="T267">
        <v>1338</v>
      </c>
      <c r="U267">
        <v>1692</v>
      </c>
      <c r="V267" s="1">
        <v>45492</v>
      </c>
      <c r="W267" s="1">
        <v>45526</v>
      </c>
      <c r="X267">
        <v>150834</v>
      </c>
      <c r="Y267">
        <v>0.99234200500000003</v>
      </c>
      <c r="Z267">
        <v>1705.057321</v>
      </c>
      <c r="AA267">
        <f>1-((0.95-Y267)*0.5)</f>
        <v>1.0211710025</v>
      </c>
      <c r="AB267">
        <f>U267/AA267</f>
        <v>1656.9213147040962</v>
      </c>
      <c r="AC267" cm="1">
        <f t="array" ref="AC267">_xlfn.IFS(Y267&lt;0.6,U267,0.9&lt;Y267,U267,Y267,AB267)</f>
        <v>1692</v>
      </c>
      <c r="AD267">
        <v>0.99731970199999997</v>
      </c>
      <c r="AE267">
        <v>1703.068297</v>
      </c>
      <c r="AF267">
        <v>1692</v>
      </c>
      <c r="AH267">
        <v>0</v>
      </c>
      <c r="AI267">
        <v>19</v>
      </c>
    </row>
    <row r="268" spans="1:35" x14ac:dyDescent="0.25">
      <c r="A268" t="s">
        <v>330</v>
      </c>
      <c r="B268" t="s">
        <v>384</v>
      </c>
      <c r="D268" t="s">
        <v>332</v>
      </c>
      <c r="E268">
        <v>42</v>
      </c>
      <c r="H268">
        <f t="shared" si="4"/>
        <v>241022003</v>
      </c>
      <c r="I268">
        <v>12003</v>
      </c>
      <c r="J268">
        <v>1</v>
      </c>
      <c r="K268" t="s">
        <v>333</v>
      </c>
      <c r="L268">
        <v>75000</v>
      </c>
      <c r="M268" t="s">
        <v>343</v>
      </c>
      <c r="N268">
        <v>46</v>
      </c>
      <c r="O268">
        <v>1203</v>
      </c>
      <c r="P268">
        <v>12</v>
      </c>
      <c r="Q268">
        <v>3</v>
      </c>
      <c r="R268">
        <v>51</v>
      </c>
      <c r="S268">
        <v>19.5</v>
      </c>
      <c r="T268">
        <v>1576</v>
      </c>
      <c r="U268">
        <v>2036</v>
      </c>
      <c r="V268" s="1">
        <v>45493</v>
      </c>
      <c r="W268" s="1">
        <v>45537</v>
      </c>
      <c r="X268">
        <v>141696</v>
      </c>
      <c r="Y268">
        <v>0.93221052599999998</v>
      </c>
      <c r="Z268">
        <v>2184.0560070000001</v>
      </c>
      <c r="AA268">
        <f>1-((0.95-Y268)*0.5)</f>
        <v>0.99110526300000001</v>
      </c>
      <c r="AB268">
        <f>U268/AA268</f>
        <v>2054.2722110436416</v>
      </c>
      <c r="AC268" cm="1">
        <f t="array" ref="AC268">_xlfn.IFS(Y268&lt;0.6,U268,0.9&lt;Y268,U268,Y268,AB268)</f>
        <v>2036</v>
      </c>
      <c r="AD268">
        <v>0.97627368400000003</v>
      </c>
      <c r="AE268">
        <v>2158.647567</v>
      </c>
      <c r="AF268">
        <v>2036</v>
      </c>
      <c r="AH268">
        <v>0</v>
      </c>
      <c r="AI268">
        <v>42</v>
      </c>
    </row>
    <row r="269" spans="1:35" x14ac:dyDescent="0.25">
      <c r="A269" t="s">
        <v>330</v>
      </c>
      <c r="B269" t="s">
        <v>391</v>
      </c>
      <c r="D269" t="s">
        <v>332</v>
      </c>
      <c r="E269">
        <v>49</v>
      </c>
      <c r="H269">
        <f t="shared" si="4"/>
        <v>241022004</v>
      </c>
      <c r="I269">
        <v>12004</v>
      </c>
      <c r="J269">
        <v>1</v>
      </c>
      <c r="K269" t="s">
        <v>388</v>
      </c>
      <c r="L269">
        <v>150000</v>
      </c>
      <c r="M269" t="s">
        <v>357</v>
      </c>
      <c r="N269">
        <v>33</v>
      </c>
      <c r="O269">
        <v>1204</v>
      </c>
      <c r="P269">
        <v>12</v>
      </c>
      <c r="Q269">
        <v>4</v>
      </c>
      <c r="R269">
        <v>39</v>
      </c>
      <c r="S269">
        <v>19.899999999999999</v>
      </c>
      <c r="T269">
        <v>1476</v>
      </c>
      <c r="U269">
        <v>1897</v>
      </c>
      <c r="V269" s="1">
        <v>45497</v>
      </c>
      <c r="W269" s="1">
        <v>45534</v>
      </c>
      <c r="X269">
        <v>89482</v>
      </c>
      <c r="Y269">
        <v>0.66398570199999996</v>
      </c>
      <c r="Z269">
        <v>3222.389944</v>
      </c>
      <c r="AA269">
        <f>1-((0.95-Y269)*0.5)</f>
        <v>0.856992851</v>
      </c>
      <c r="AB269">
        <f>U269/AA269</f>
        <v>2213.5540544900064</v>
      </c>
      <c r="AC269" cm="1">
        <f t="array" ref="AC269">_xlfn.IFS(Y269&lt;0.6,U269,0.9&lt;Y269,U269,Y269,AB269)</f>
        <v>2213.5540544900064</v>
      </c>
      <c r="AD269">
        <v>0.88239499600000004</v>
      </c>
      <c r="AE269">
        <v>2706.4136349999999</v>
      </c>
      <c r="AF269">
        <v>2706.4136349999999</v>
      </c>
      <c r="AH269">
        <v>0</v>
      </c>
      <c r="AI269">
        <v>49</v>
      </c>
    </row>
    <row r="270" spans="1:35" x14ac:dyDescent="0.25">
      <c r="A270" t="s">
        <v>330</v>
      </c>
      <c r="B270" t="s">
        <v>414</v>
      </c>
      <c r="D270" t="s">
        <v>332</v>
      </c>
      <c r="E270">
        <v>72</v>
      </c>
      <c r="H270">
        <f t="shared" si="4"/>
        <v>241022005</v>
      </c>
      <c r="I270">
        <v>12005</v>
      </c>
      <c r="J270">
        <v>1</v>
      </c>
      <c r="K270" t="s">
        <v>388</v>
      </c>
      <c r="L270">
        <v>75000</v>
      </c>
      <c r="M270" t="s">
        <v>341</v>
      </c>
      <c r="N270">
        <v>5</v>
      </c>
      <c r="O270">
        <v>1205</v>
      </c>
      <c r="P270">
        <v>12</v>
      </c>
      <c r="Q270">
        <v>5</v>
      </c>
      <c r="R270">
        <v>48</v>
      </c>
      <c r="S270">
        <v>17.7</v>
      </c>
      <c r="T270">
        <v>1216</v>
      </c>
      <c r="U270">
        <v>1606</v>
      </c>
      <c r="V270" s="1">
        <v>45497</v>
      </c>
      <c r="W270" s="1">
        <v>45530</v>
      </c>
      <c r="X270">
        <v>122878</v>
      </c>
      <c r="Y270">
        <v>0.94290811799999996</v>
      </c>
      <c r="Z270">
        <v>1986.6470159999999</v>
      </c>
      <c r="AA270">
        <f>1-((0.95-Y270)*0.5)</f>
        <v>0.99645405899999995</v>
      </c>
      <c r="AB270">
        <f>U270/AA270</f>
        <v>1611.7150464635722</v>
      </c>
      <c r="AC270" cm="1">
        <f t="array" ref="AC270">_xlfn.IFS(Y270&lt;0.6,U270,0.9&lt;Y270,U270,Y270,AB270)</f>
        <v>1606</v>
      </c>
      <c r="AD270">
        <v>0.980017841</v>
      </c>
      <c r="AE270">
        <v>1812.3735469999999</v>
      </c>
      <c r="AF270">
        <v>1606</v>
      </c>
      <c r="AH270">
        <v>0</v>
      </c>
      <c r="AI270">
        <v>72</v>
      </c>
    </row>
    <row r="271" spans="1:35" x14ac:dyDescent="0.25">
      <c r="A271" t="s">
        <v>330</v>
      </c>
      <c r="B271" t="s">
        <v>421</v>
      </c>
      <c r="D271" t="s">
        <v>332</v>
      </c>
      <c r="E271">
        <v>79</v>
      </c>
      <c r="H271">
        <f t="shared" si="4"/>
        <v>241022006</v>
      </c>
      <c r="I271">
        <v>12006</v>
      </c>
      <c r="J271">
        <v>1</v>
      </c>
      <c r="K271" t="s">
        <v>388</v>
      </c>
      <c r="L271">
        <v>100000</v>
      </c>
      <c r="M271" t="s">
        <v>347</v>
      </c>
      <c r="N271">
        <v>27</v>
      </c>
      <c r="O271">
        <v>1206</v>
      </c>
      <c r="P271">
        <v>12</v>
      </c>
      <c r="Q271">
        <v>6</v>
      </c>
      <c r="R271">
        <v>66</v>
      </c>
      <c r="S271">
        <v>19.600000000000001</v>
      </c>
      <c r="T271">
        <v>642</v>
      </c>
      <c r="U271">
        <v>828</v>
      </c>
      <c r="V271" s="1">
        <v>45495</v>
      </c>
      <c r="W271" s="1">
        <v>45536</v>
      </c>
      <c r="X271">
        <v>125538</v>
      </c>
      <c r="Y271">
        <v>0.97678571400000003</v>
      </c>
      <c r="Z271">
        <v>1002.513311</v>
      </c>
      <c r="AA271">
        <f>1-((0.95-Y271)*0.5)</f>
        <v>1.0133928569999999</v>
      </c>
      <c r="AB271">
        <f>U271/AA271</f>
        <v>817.05726883764692</v>
      </c>
      <c r="AC271" cm="1">
        <f t="array" ref="AC271">_xlfn.IFS(Y271&lt;0.6,U271,0.9&lt;Y271,U271,Y271,AB271)</f>
        <v>828</v>
      </c>
      <c r="AD271">
        <v>0.99187499999999995</v>
      </c>
      <c r="AE271">
        <v>914.36721260000002</v>
      </c>
      <c r="AF271">
        <v>828</v>
      </c>
      <c r="AH271">
        <v>0</v>
      </c>
      <c r="AI271">
        <v>79</v>
      </c>
    </row>
    <row r="272" spans="1:35" x14ac:dyDescent="0.25">
      <c r="A272" t="s">
        <v>330</v>
      </c>
      <c r="B272" t="s">
        <v>443</v>
      </c>
      <c r="D272" t="s">
        <v>332</v>
      </c>
      <c r="E272">
        <v>102</v>
      </c>
      <c r="H272">
        <f t="shared" si="4"/>
        <v>241022007</v>
      </c>
      <c r="I272">
        <v>12007</v>
      </c>
      <c r="J272">
        <v>2</v>
      </c>
      <c r="K272" t="s">
        <v>388</v>
      </c>
      <c r="L272">
        <v>75000</v>
      </c>
      <c r="M272" t="s">
        <v>336</v>
      </c>
      <c r="N272">
        <v>4</v>
      </c>
      <c r="O272">
        <v>1207</v>
      </c>
      <c r="P272">
        <v>12</v>
      </c>
      <c r="Q272">
        <v>7</v>
      </c>
      <c r="R272">
        <v>66</v>
      </c>
      <c r="S272">
        <v>22.9</v>
      </c>
      <c r="T272">
        <v>588</v>
      </c>
      <c r="U272">
        <v>727</v>
      </c>
      <c r="V272" s="1">
        <v>45494</v>
      </c>
      <c r="W272" s="1">
        <v>45537</v>
      </c>
      <c r="X272">
        <v>113115</v>
      </c>
      <c r="Y272">
        <v>0.81729055299999998</v>
      </c>
      <c r="Z272">
        <v>976.92372360000002</v>
      </c>
      <c r="AA272">
        <f>1-((0.95-Y272)*0.5)</f>
        <v>0.93364527650000007</v>
      </c>
      <c r="AB272">
        <f>U272/AA272</f>
        <v>778.66832114798365</v>
      </c>
      <c r="AC272" cm="1">
        <f t="array" ref="AC272">_xlfn.IFS(Y272&lt;0.6,U272,0.9&lt;Y272,U272,Y272,AB272)</f>
        <v>778.66832114798365</v>
      </c>
      <c r="AD272">
        <v>0.93605169399999999</v>
      </c>
      <c r="AE272">
        <v>890.58439199999998</v>
      </c>
      <c r="AF272">
        <v>890.58439199999998</v>
      </c>
      <c r="AH272">
        <v>0</v>
      </c>
      <c r="AI272">
        <v>102</v>
      </c>
    </row>
    <row r="273" spans="1:35" x14ac:dyDescent="0.25">
      <c r="A273" t="s">
        <v>330</v>
      </c>
      <c r="B273" t="s">
        <v>449</v>
      </c>
      <c r="D273" t="s">
        <v>332</v>
      </c>
      <c r="E273">
        <v>109</v>
      </c>
      <c r="H273">
        <f t="shared" si="4"/>
        <v>241022008</v>
      </c>
      <c r="I273">
        <v>12008</v>
      </c>
      <c r="J273">
        <v>2</v>
      </c>
      <c r="K273" t="s">
        <v>388</v>
      </c>
      <c r="L273">
        <v>150000</v>
      </c>
      <c r="M273" t="s">
        <v>298</v>
      </c>
      <c r="N273">
        <v>36</v>
      </c>
      <c r="O273">
        <v>1208</v>
      </c>
      <c r="P273">
        <v>12</v>
      </c>
      <c r="Q273">
        <v>8</v>
      </c>
      <c r="R273">
        <v>52</v>
      </c>
      <c r="S273">
        <v>20</v>
      </c>
      <c r="T273">
        <v>170</v>
      </c>
      <c r="U273">
        <v>218</v>
      </c>
      <c r="V273" s="1">
        <v>45491</v>
      </c>
      <c r="W273" s="1">
        <v>45524</v>
      </c>
      <c r="X273">
        <v>87314</v>
      </c>
      <c r="Y273">
        <v>0.58355674700000004</v>
      </c>
      <c r="Z273">
        <v>379.50635640000002</v>
      </c>
      <c r="AA273">
        <f>1-((0.95-Y273)*0.5)</f>
        <v>0.81677837350000004</v>
      </c>
      <c r="AB273">
        <f>U273/AA273</f>
        <v>266.9022675831169</v>
      </c>
      <c r="AC273" cm="1">
        <f t="array" ref="AC273">_xlfn.IFS(Y273&lt;0.6,U273,0.9&lt;Y273,U273,Y273,AB273)</f>
        <v>218</v>
      </c>
      <c r="AD273">
        <v>0.85424486099999997</v>
      </c>
      <c r="AE273">
        <v>324.17583550000001</v>
      </c>
      <c r="AF273">
        <v>218</v>
      </c>
      <c r="AH273">
        <v>0</v>
      </c>
      <c r="AI273">
        <v>109</v>
      </c>
    </row>
    <row r="274" spans="1:35" x14ac:dyDescent="0.25">
      <c r="A274" t="s">
        <v>330</v>
      </c>
      <c r="B274" t="s">
        <v>472</v>
      </c>
      <c r="D274" t="s">
        <v>332</v>
      </c>
      <c r="E274">
        <v>132</v>
      </c>
      <c r="H274">
        <f t="shared" si="4"/>
        <v>241022009</v>
      </c>
      <c r="I274">
        <v>12009</v>
      </c>
      <c r="J274">
        <v>2</v>
      </c>
      <c r="K274" t="s">
        <v>388</v>
      </c>
      <c r="L274">
        <v>100000</v>
      </c>
      <c r="M274" t="s">
        <v>334</v>
      </c>
      <c r="N274">
        <v>23</v>
      </c>
      <c r="O274">
        <v>1209</v>
      </c>
      <c r="P274">
        <v>12</v>
      </c>
      <c r="Q274">
        <v>9</v>
      </c>
      <c r="R274">
        <v>24</v>
      </c>
      <c r="S274">
        <v>20.2</v>
      </c>
      <c r="T274">
        <v>1403</v>
      </c>
      <c r="U274">
        <v>1797</v>
      </c>
      <c r="V274" s="1">
        <v>45498</v>
      </c>
      <c r="W274" s="1">
        <v>45535</v>
      </c>
      <c r="X274">
        <v>115600</v>
      </c>
      <c r="Y274">
        <v>0.84745762700000005</v>
      </c>
      <c r="Z274">
        <v>2362.8373700000002</v>
      </c>
      <c r="AA274">
        <f>1-((0.95-Y274)*0.5)</f>
        <v>0.94872881350000005</v>
      </c>
      <c r="AB274">
        <f>U274/AA274</f>
        <v>1894.1134436199982</v>
      </c>
      <c r="AC274" cm="1">
        <f t="array" ref="AC274">_xlfn.IFS(Y274&lt;0.6,U274,0.9&lt;Y274,U274,Y274,AB274)</f>
        <v>1894.1134436199982</v>
      </c>
      <c r="AD274">
        <v>0.94661016899999995</v>
      </c>
      <c r="AE274">
        <v>2156.5741029999999</v>
      </c>
      <c r="AF274">
        <v>2156.5741029999999</v>
      </c>
      <c r="AH274">
        <v>0</v>
      </c>
      <c r="AI274">
        <v>132</v>
      </c>
    </row>
    <row r="275" spans="1:35" x14ac:dyDescent="0.25">
      <c r="A275" t="s">
        <v>330</v>
      </c>
      <c r="B275" t="s">
        <v>479</v>
      </c>
      <c r="D275" t="s">
        <v>332</v>
      </c>
      <c r="E275">
        <v>139</v>
      </c>
      <c r="H275">
        <f t="shared" si="4"/>
        <v>241022010</v>
      </c>
      <c r="I275">
        <v>12010</v>
      </c>
      <c r="J275">
        <v>2</v>
      </c>
      <c r="K275" t="s">
        <v>333</v>
      </c>
      <c r="L275">
        <v>100000</v>
      </c>
      <c r="M275" t="s">
        <v>295</v>
      </c>
      <c r="N275">
        <v>71</v>
      </c>
      <c r="O275">
        <v>1210</v>
      </c>
      <c r="P275">
        <v>12</v>
      </c>
      <c r="Q275">
        <v>10</v>
      </c>
      <c r="R275">
        <v>74</v>
      </c>
      <c r="S275">
        <v>21.2</v>
      </c>
      <c r="T275">
        <v>738</v>
      </c>
      <c r="U275">
        <v>933</v>
      </c>
      <c r="V275" s="1">
        <v>45491</v>
      </c>
      <c r="W275" s="1">
        <v>45527</v>
      </c>
      <c r="X275">
        <v>148267</v>
      </c>
      <c r="Y275">
        <v>0.97544720699999998</v>
      </c>
      <c r="Z275">
        <v>956.48436270000002</v>
      </c>
      <c r="AA275">
        <f>1-((0.95-Y275)*0.5)</f>
        <v>1.0127236035</v>
      </c>
      <c r="AB275">
        <f>U275/AA275</f>
        <v>921.27802371301198</v>
      </c>
      <c r="AC275" cm="1">
        <f t="array" ref="AC275">_xlfn.IFS(Y275&lt;0.6,U275,0.9&lt;Y275,U275,Y275,AB275)</f>
        <v>933</v>
      </c>
      <c r="AD275">
        <v>0.99140652200000001</v>
      </c>
      <c r="AE275">
        <v>952.78396550000002</v>
      </c>
      <c r="AF275">
        <v>933</v>
      </c>
      <c r="AH275">
        <v>0</v>
      </c>
      <c r="AI275">
        <v>139</v>
      </c>
    </row>
    <row r="276" spans="1:35" x14ac:dyDescent="0.25">
      <c r="A276" t="s">
        <v>330</v>
      </c>
      <c r="B276" t="s">
        <v>502</v>
      </c>
      <c r="D276" t="s">
        <v>332</v>
      </c>
      <c r="E276">
        <v>162</v>
      </c>
      <c r="H276">
        <f t="shared" si="4"/>
        <v>241022011</v>
      </c>
      <c r="I276">
        <v>12011</v>
      </c>
      <c r="J276">
        <v>2</v>
      </c>
      <c r="K276" t="s">
        <v>333</v>
      </c>
      <c r="L276">
        <v>75000</v>
      </c>
      <c r="M276" t="s">
        <v>349</v>
      </c>
      <c r="N276">
        <v>58</v>
      </c>
      <c r="O276">
        <v>1211</v>
      </c>
      <c r="P276">
        <v>12</v>
      </c>
      <c r="Q276">
        <v>11</v>
      </c>
      <c r="R276">
        <v>22</v>
      </c>
      <c r="S276">
        <v>22.1</v>
      </c>
      <c r="T276">
        <v>1630</v>
      </c>
      <c r="U276">
        <v>2038</v>
      </c>
      <c r="V276" s="1">
        <v>45496</v>
      </c>
      <c r="W276" s="1">
        <v>45536</v>
      </c>
      <c r="X276">
        <v>147584</v>
      </c>
      <c r="Y276">
        <v>0.97094736800000003</v>
      </c>
      <c r="Z276">
        <v>2098.9809190000001</v>
      </c>
      <c r="AA276">
        <f>1-((0.95-Y276)*0.5)</f>
        <v>1.0104736839999999</v>
      </c>
      <c r="AB276">
        <f>U276/AA276</f>
        <v>2016.8758793722332</v>
      </c>
      <c r="AC276" cm="1">
        <f t="array" ref="AC276">_xlfn.IFS(Y276&lt;0.6,U276,0.9&lt;Y276,U276,Y276,AB276)</f>
        <v>2038</v>
      </c>
      <c r="AD276">
        <v>0.98983157899999996</v>
      </c>
      <c r="AE276">
        <v>2089.2857549999999</v>
      </c>
      <c r="AF276">
        <v>2038</v>
      </c>
      <c r="AH276">
        <v>0</v>
      </c>
      <c r="AI276">
        <v>162</v>
      </c>
    </row>
    <row r="277" spans="1:35" x14ac:dyDescent="0.25">
      <c r="A277" t="s">
        <v>330</v>
      </c>
      <c r="B277" t="s">
        <v>509</v>
      </c>
      <c r="D277" t="s">
        <v>332</v>
      </c>
      <c r="E277">
        <v>169</v>
      </c>
      <c r="H277">
        <f t="shared" si="4"/>
        <v>241022012</v>
      </c>
      <c r="I277">
        <v>12012</v>
      </c>
      <c r="J277">
        <v>2</v>
      </c>
      <c r="K277" t="s">
        <v>333</v>
      </c>
      <c r="L277">
        <v>150000</v>
      </c>
      <c r="M277" t="s">
        <v>351</v>
      </c>
      <c r="N277">
        <v>85</v>
      </c>
      <c r="O277">
        <v>1212</v>
      </c>
      <c r="P277">
        <v>12</v>
      </c>
      <c r="Q277">
        <v>12</v>
      </c>
      <c r="R277">
        <v>57</v>
      </c>
      <c r="S277">
        <v>20.399999999999999</v>
      </c>
      <c r="T277">
        <v>971</v>
      </c>
      <c r="U277">
        <v>1240</v>
      </c>
      <c r="V277" s="1">
        <v>45489</v>
      </c>
      <c r="W277" s="1">
        <v>45528</v>
      </c>
      <c r="X277">
        <v>151990</v>
      </c>
      <c r="Y277">
        <v>0.99992763200000001</v>
      </c>
      <c r="Z277">
        <v>1240.089743</v>
      </c>
      <c r="AA277">
        <f>1-((0.95-Y277)*0.5)</f>
        <v>1.0249638160000001</v>
      </c>
      <c r="AB277">
        <f>U277/AA277</f>
        <v>1209.7988052292374</v>
      </c>
      <c r="AC277" cm="1">
        <f t="array" ref="AC277">_xlfn.IFS(Y277&lt;0.6,U277,0.9&lt;Y277,U277,Y277,AB277)</f>
        <v>1240</v>
      </c>
      <c r="AD277">
        <v>0.99997467100000004</v>
      </c>
      <c r="AE277">
        <v>1240.07628</v>
      </c>
      <c r="AF277">
        <v>1240</v>
      </c>
      <c r="AH277">
        <v>0</v>
      </c>
      <c r="AI277">
        <v>169</v>
      </c>
    </row>
    <row r="278" spans="1:35" x14ac:dyDescent="0.25">
      <c r="A278" t="s">
        <v>330</v>
      </c>
      <c r="B278" t="s">
        <v>532</v>
      </c>
      <c r="D278" t="s">
        <v>332</v>
      </c>
      <c r="E278">
        <v>192</v>
      </c>
      <c r="H278">
        <f t="shared" si="4"/>
        <v>241022013</v>
      </c>
      <c r="I278">
        <v>12013</v>
      </c>
      <c r="J278">
        <v>3</v>
      </c>
      <c r="K278" t="s">
        <v>388</v>
      </c>
      <c r="L278">
        <v>150000</v>
      </c>
      <c r="M278" t="s">
        <v>334</v>
      </c>
      <c r="N278">
        <v>38</v>
      </c>
      <c r="O278">
        <v>1213</v>
      </c>
      <c r="P278">
        <v>12</v>
      </c>
      <c r="Q278">
        <v>13</v>
      </c>
      <c r="R278">
        <v>23</v>
      </c>
      <c r="S278">
        <v>18.399999999999999</v>
      </c>
      <c r="T278">
        <v>1470</v>
      </c>
      <c r="U278">
        <v>1925</v>
      </c>
      <c r="V278" s="1">
        <v>45496</v>
      </c>
      <c r="W278" s="1">
        <v>45534</v>
      </c>
      <c r="X278">
        <v>116036</v>
      </c>
      <c r="Y278">
        <v>0.82515611099999997</v>
      </c>
      <c r="Z278">
        <v>2521.6146279999998</v>
      </c>
      <c r="AA278">
        <f>1-((0.95-Y278)*0.5)</f>
        <v>0.93757805549999995</v>
      </c>
      <c r="AB278">
        <f>U278/AA278</f>
        <v>2053.1623886753823</v>
      </c>
      <c r="AC278" cm="1">
        <f t="array" ref="AC278">_xlfn.IFS(Y278&lt;0.6,U278,0.9&lt;Y278,U278,Y278,AB278)</f>
        <v>2053.1623886753823</v>
      </c>
      <c r="AD278">
        <v>0.938804639</v>
      </c>
      <c r="AE278">
        <v>2325.59843</v>
      </c>
      <c r="AF278">
        <v>2325.59843</v>
      </c>
      <c r="AH278">
        <v>0</v>
      </c>
      <c r="AI278">
        <v>192</v>
      </c>
    </row>
    <row r="279" spans="1:35" x14ac:dyDescent="0.25">
      <c r="A279" t="s">
        <v>330</v>
      </c>
      <c r="B279" t="s">
        <v>539</v>
      </c>
      <c r="D279" t="s">
        <v>332</v>
      </c>
      <c r="E279">
        <v>199</v>
      </c>
      <c r="H279">
        <f t="shared" si="4"/>
        <v>241022014</v>
      </c>
      <c r="I279">
        <v>12014</v>
      </c>
      <c r="J279">
        <v>3</v>
      </c>
      <c r="K279" t="s">
        <v>388</v>
      </c>
      <c r="L279">
        <v>75000</v>
      </c>
      <c r="M279" t="s">
        <v>336</v>
      </c>
      <c r="N279">
        <v>4</v>
      </c>
      <c r="O279">
        <v>1214</v>
      </c>
      <c r="P279">
        <v>12</v>
      </c>
      <c r="Q279">
        <v>14</v>
      </c>
      <c r="R279">
        <v>67</v>
      </c>
      <c r="S279">
        <v>20.6</v>
      </c>
      <c r="T279">
        <v>584</v>
      </c>
      <c r="U279">
        <v>744</v>
      </c>
      <c r="V279" s="1">
        <v>45495</v>
      </c>
      <c r="X279">
        <v>117241</v>
      </c>
      <c r="Y279">
        <v>0.79910714299999996</v>
      </c>
      <c r="Z279">
        <v>964.57723829999998</v>
      </c>
      <c r="AA279">
        <f>1-((0.95-Y279)*0.5)</f>
        <v>0.92455357149999995</v>
      </c>
      <c r="AB279">
        <f>U279/AA279</f>
        <v>804.71269911697061</v>
      </c>
      <c r="AC279" cm="1">
        <f t="array" ref="AC279">_xlfn.IFS(Y279&lt;0.6,U279,0.9&lt;Y279,U279,Y279,AB279)</f>
        <v>804.71269911697061</v>
      </c>
      <c r="AD279">
        <v>0.9296875</v>
      </c>
      <c r="AE279">
        <v>903.58358480000004</v>
      </c>
      <c r="AF279">
        <v>903.58358480000004</v>
      </c>
      <c r="AH279">
        <v>0</v>
      </c>
      <c r="AI279">
        <v>199</v>
      </c>
    </row>
    <row r="280" spans="1:35" x14ac:dyDescent="0.25">
      <c r="A280" t="s">
        <v>330</v>
      </c>
      <c r="B280" t="s">
        <v>562</v>
      </c>
      <c r="D280" t="s">
        <v>332</v>
      </c>
      <c r="E280">
        <v>222</v>
      </c>
      <c r="H280">
        <f t="shared" si="4"/>
        <v>241022015</v>
      </c>
      <c r="I280">
        <v>12015</v>
      </c>
      <c r="J280">
        <v>3</v>
      </c>
      <c r="K280" t="s">
        <v>388</v>
      </c>
      <c r="L280">
        <v>100000</v>
      </c>
      <c r="M280" t="s">
        <v>298</v>
      </c>
      <c r="N280">
        <v>21</v>
      </c>
      <c r="O280">
        <v>1215</v>
      </c>
      <c r="P280">
        <v>12</v>
      </c>
      <c r="Q280">
        <v>15</v>
      </c>
      <c r="R280">
        <v>58</v>
      </c>
      <c r="S280">
        <v>20</v>
      </c>
      <c r="T280">
        <v>676</v>
      </c>
      <c r="U280">
        <v>868</v>
      </c>
      <c r="V280" s="1">
        <v>45492</v>
      </c>
      <c r="W280" s="1">
        <v>45527</v>
      </c>
      <c r="X280">
        <v>126514</v>
      </c>
      <c r="Y280">
        <v>0.93828264800000005</v>
      </c>
      <c r="Z280">
        <v>1042.8569170000001</v>
      </c>
      <c r="AA280">
        <f>1-((0.95-Y280)*0.5)</f>
        <v>0.9941413240000001</v>
      </c>
      <c r="AB280">
        <f>U280/AA280</f>
        <v>873.11529965129978</v>
      </c>
      <c r="AC280" cm="1">
        <f t="array" ref="AC280">_xlfn.IFS(Y280&lt;0.6,U280,0.9&lt;Y280,U280,Y280,AB280)</f>
        <v>868</v>
      </c>
      <c r="AD280">
        <v>0.97839892699999997</v>
      </c>
      <c r="AE280">
        <v>968.34543740000004</v>
      </c>
      <c r="AF280">
        <v>868</v>
      </c>
      <c r="AH280">
        <v>0</v>
      </c>
      <c r="AI280">
        <v>222</v>
      </c>
    </row>
    <row r="281" spans="1:35" x14ac:dyDescent="0.25">
      <c r="A281" t="s">
        <v>330</v>
      </c>
      <c r="B281" t="s">
        <v>569</v>
      </c>
      <c r="D281" t="s">
        <v>332</v>
      </c>
      <c r="E281">
        <v>229</v>
      </c>
      <c r="H281">
        <f t="shared" si="4"/>
        <v>241022016</v>
      </c>
      <c r="I281">
        <v>12016</v>
      </c>
      <c r="J281">
        <v>3</v>
      </c>
      <c r="K281" t="s">
        <v>333</v>
      </c>
      <c r="L281">
        <v>100000</v>
      </c>
      <c r="M281" t="s">
        <v>338</v>
      </c>
      <c r="N281">
        <v>74</v>
      </c>
      <c r="O281">
        <v>1216</v>
      </c>
      <c r="P281">
        <v>12</v>
      </c>
      <c r="Q281">
        <v>16</v>
      </c>
      <c r="R281">
        <v>43</v>
      </c>
      <c r="S281">
        <v>17.600000000000001</v>
      </c>
      <c r="T281">
        <v>1402</v>
      </c>
      <c r="U281">
        <v>1854</v>
      </c>
      <c r="V281" s="1">
        <v>45493</v>
      </c>
      <c r="W281" s="1">
        <v>45528</v>
      </c>
      <c r="X281">
        <v>151711</v>
      </c>
      <c r="Y281">
        <v>0.99809868400000001</v>
      </c>
      <c r="Z281">
        <v>1857.5317540000001</v>
      </c>
      <c r="AA281">
        <f>1-((0.95-Y281)*0.5)</f>
        <v>1.0240493420000001</v>
      </c>
      <c r="AB281">
        <f>U281/AA281</f>
        <v>1810.4596370122954</v>
      </c>
      <c r="AC281" cm="1">
        <f t="array" ref="AC281">_xlfn.IFS(Y281&lt;0.6,U281,0.9&lt;Y281,U281,Y281,AB281)</f>
        <v>1854</v>
      </c>
      <c r="AD281">
        <v>0.99933453900000002</v>
      </c>
      <c r="AE281">
        <v>1856.999957</v>
      </c>
      <c r="AF281">
        <v>1854</v>
      </c>
      <c r="AH281">
        <v>0</v>
      </c>
      <c r="AI281">
        <v>229</v>
      </c>
    </row>
    <row r="282" spans="1:35" x14ac:dyDescent="0.25">
      <c r="A282" t="s">
        <v>330</v>
      </c>
      <c r="B282" t="s">
        <v>592</v>
      </c>
      <c r="D282" t="s">
        <v>332</v>
      </c>
      <c r="E282">
        <v>252</v>
      </c>
      <c r="H282">
        <f t="shared" si="4"/>
        <v>241022017</v>
      </c>
      <c r="I282">
        <v>12017</v>
      </c>
      <c r="J282">
        <v>3</v>
      </c>
      <c r="K282" t="s">
        <v>333</v>
      </c>
      <c r="L282">
        <v>150000</v>
      </c>
      <c r="M282" t="s">
        <v>298</v>
      </c>
      <c r="N282">
        <v>81</v>
      </c>
      <c r="O282">
        <v>1217</v>
      </c>
      <c r="P282">
        <v>12</v>
      </c>
      <c r="Q282">
        <v>17</v>
      </c>
      <c r="R282">
        <v>50</v>
      </c>
      <c r="S282">
        <v>17.8</v>
      </c>
      <c r="T282">
        <v>472</v>
      </c>
      <c r="U282">
        <v>623</v>
      </c>
      <c r="V282" s="1">
        <v>45490</v>
      </c>
      <c r="W282" s="1">
        <v>45524</v>
      </c>
      <c r="X282">
        <v>149308</v>
      </c>
      <c r="Y282">
        <v>0.98230239900000005</v>
      </c>
      <c r="Z282">
        <v>634.22424790000002</v>
      </c>
      <c r="AA282">
        <f>1-((0.95-Y282)*0.5)</f>
        <v>1.0161511995000001</v>
      </c>
      <c r="AB282">
        <f>U282/AA282</f>
        <v>613.09773615043594</v>
      </c>
      <c r="AC282" cm="1">
        <f t="array" ref="AC282">_xlfn.IFS(Y282&lt;0.6,U282,0.9&lt;Y282,U282,Y282,AB282)</f>
        <v>623</v>
      </c>
      <c r="AD282">
        <v>0.99380584000000005</v>
      </c>
      <c r="AE282">
        <v>632.4797006</v>
      </c>
      <c r="AF282">
        <v>623</v>
      </c>
      <c r="AH282">
        <v>0</v>
      </c>
      <c r="AI282">
        <v>252</v>
      </c>
    </row>
    <row r="283" spans="1:35" x14ac:dyDescent="0.25">
      <c r="A283" t="s">
        <v>330</v>
      </c>
      <c r="B283" t="s">
        <v>599</v>
      </c>
      <c r="D283" t="s">
        <v>332</v>
      </c>
      <c r="E283">
        <v>259</v>
      </c>
      <c r="H283">
        <f t="shared" si="4"/>
        <v>241022018</v>
      </c>
      <c r="I283">
        <v>12018</v>
      </c>
      <c r="J283">
        <v>3</v>
      </c>
      <c r="K283" t="s">
        <v>333</v>
      </c>
      <c r="L283">
        <v>75000</v>
      </c>
      <c r="M283" t="s">
        <v>347</v>
      </c>
      <c r="N283">
        <v>57</v>
      </c>
      <c r="O283">
        <v>1218</v>
      </c>
      <c r="P283">
        <v>12</v>
      </c>
      <c r="Q283">
        <v>18</v>
      </c>
      <c r="R283">
        <v>71</v>
      </c>
      <c r="S283">
        <v>21.6</v>
      </c>
      <c r="T283">
        <v>714</v>
      </c>
      <c r="U283">
        <v>898</v>
      </c>
      <c r="V283" s="1">
        <v>45494</v>
      </c>
      <c r="W283" s="1">
        <v>45537</v>
      </c>
      <c r="X283">
        <v>148970</v>
      </c>
      <c r="Y283">
        <v>0.980059342</v>
      </c>
      <c r="Z283">
        <v>916.27104789999999</v>
      </c>
      <c r="AA283">
        <f>1-((0.95-Y283)*0.5)</f>
        <v>1.015029671</v>
      </c>
      <c r="AB283">
        <f>U283/AA283</f>
        <v>884.70320194216276</v>
      </c>
      <c r="AC283" cm="1">
        <f t="array" ref="AC283">_xlfn.IFS(Y283&lt;0.6,U283,0.9&lt;Y283,U283,Y283,AB283)</f>
        <v>898</v>
      </c>
      <c r="AD283">
        <v>0.99302077</v>
      </c>
      <c r="AE283">
        <v>913.41848019999998</v>
      </c>
      <c r="AF283">
        <v>898</v>
      </c>
      <c r="AH283">
        <v>0</v>
      </c>
      <c r="AI283">
        <v>259</v>
      </c>
    </row>
    <row r="284" spans="1:35" x14ac:dyDescent="0.25">
      <c r="A284" t="s">
        <v>330</v>
      </c>
      <c r="B284" t="s">
        <v>621</v>
      </c>
      <c r="D284" t="s">
        <v>332</v>
      </c>
      <c r="E284">
        <v>282</v>
      </c>
      <c r="H284">
        <f t="shared" si="4"/>
        <v>241022019</v>
      </c>
      <c r="I284">
        <v>12019</v>
      </c>
      <c r="J284">
        <v>4</v>
      </c>
      <c r="K284" t="s">
        <v>388</v>
      </c>
      <c r="L284">
        <v>75000</v>
      </c>
      <c r="M284" t="s">
        <v>279</v>
      </c>
      <c r="N284">
        <v>15</v>
      </c>
      <c r="O284">
        <v>1219</v>
      </c>
      <c r="P284">
        <v>12</v>
      </c>
      <c r="Q284">
        <v>19</v>
      </c>
      <c r="R284">
        <v>39</v>
      </c>
      <c r="S284">
        <v>19.3</v>
      </c>
      <c r="T284">
        <v>1677</v>
      </c>
      <c r="U284">
        <v>2172</v>
      </c>
      <c r="V284" s="1">
        <v>45494</v>
      </c>
      <c r="W284" s="1">
        <v>45534</v>
      </c>
      <c r="X284">
        <v>124924</v>
      </c>
      <c r="Y284">
        <v>0.95535714299999996</v>
      </c>
      <c r="Z284">
        <v>2642.7761839999998</v>
      </c>
      <c r="AA284">
        <f>1-((0.95-Y284)*0.5)</f>
        <v>1.0026785714999999</v>
      </c>
      <c r="AB284">
        <f>U284/AA284</f>
        <v>2166.1976846186149</v>
      </c>
      <c r="AC284" cm="1">
        <f t="array" ref="AC284">_xlfn.IFS(Y284&lt;0.6,U284,0.9&lt;Y284,U284,Y284,AB284)</f>
        <v>2172</v>
      </c>
      <c r="AD284">
        <v>0.984375</v>
      </c>
      <c r="AE284">
        <v>2422.2196439999998</v>
      </c>
      <c r="AF284">
        <v>2172</v>
      </c>
      <c r="AH284">
        <v>0</v>
      </c>
      <c r="AI284">
        <v>282</v>
      </c>
    </row>
    <row r="285" spans="1:35" x14ac:dyDescent="0.25">
      <c r="A285" t="s">
        <v>330</v>
      </c>
      <c r="B285" t="s">
        <v>628</v>
      </c>
      <c r="D285" t="s">
        <v>332</v>
      </c>
      <c r="E285">
        <v>289</v>
      </c>
      <c r="H285">
        <f t="shared" si="4"/>
        <v>241022020</v>
      </c>
      <c r="I285">
        <v>12020</v>
      </c>
      <c r="J285">
        <v>4</v>
      </c>
      <c r="K285" t="s">
        <v>388</v>
      </c>
      <c r="L285">
        <v>100000</v>
      </c>
      <c r="M285" t="s">
        <v>347</v>
      </c>
      <c r="N285">
        <v>27</v>
      </c>
      <c r="O285">
        <v>1220</v>
      </c>
      <c r="P285">
        <v>12</v>
      </c>
      <c r="Q285">
        <v>20</v>
      </c>
      <c r="R285">
        <v>71</v>
      </c>
      <c r="S285">
        <v>18.5</v>
      </c>
      <c r="T285">
        <v>695</v>
      </c>
      <c r="U285">
        <v>909</v>
      </c>
      <c r="V285" s="1">
        <v>45494</v>
      </c>
      <c r="X285">
        <v>121064</v>
      </c>
      <c r="Y285">
        <v>0.92850759599999999</v>
      </c>
      <c r="Z285">
        <v>1141.288153</v>
      </c>
      <c r="AA285">
        <f>1-((0.95-Y285)*0.5)</f>
        <v>0.98925379800000002</v>
      </c>
      <c r="AB285">
        <f>U285/AA285</f>
        <v>918.87441002273511</v>
      </c>
      <c r="AC285" cm="1">
        <f t="array" ref="AC285">_xlfn.IFS(Y285&lt;0.6,U285,0.9&lt;Y285,U285,Y285,AB285)</f>
        <v>909</v>
      </c>
      <c r="AD285">
        <v>0.974977659</v>
      </c>
      <c r="AE285">
        <v>1037.957621</v>
      </c>
      <c r="AF285">
        <v>909</v>
      </c>
      <c r="AH285">
        <v>0</v>
      </c>
      <c r="AI285">
        <v>289</v>
      </c>
    </row>
    <row r="286" spans="1:35" x14ac:dyDescent="0.25">
      <c r="A286" t="s">
        <v>330</v>
      </c>
      <c r="B286" t="s">
        <v>650</v>
      </c>
      <c r="D286" t="s">
        <v>332</v>
      </c>
      <c r="E286">
        <v>312</v>
      </c>
      <c r="H286">
        <f t="shared" si="4"/>
        <v>241022021</v>
      </c>
      <c r="I286">
        <v>12021</v>
      </c>
      <c r="J286">
        <v>4</v>
      </c>
      <c r="K286" t="s">
        <v>388</v>
      </c>
      <c r="L286">
        <v>150000</v>
      </c>
      <c r="M286" t="s">
        <v>355</v>
      </c>
      <c r="N286">
        <v>39</v>
      </c>
      <c r="O286">
        <v>1221</v>
      </c>
      <c r="P286">
        <v>12</v>
      </c>
      <c r="Q286">
        <v>21</v>
      </c>
      <c r="R286">
        <v>59</v>
      </c>
      <c r="S286">
        <v>18</v>
      </c>
      <c r="T286">
        <v>387</v>
      </c>
      <c r="U286">
        <v>509</v>
      </c>
      <c r="V286" s="1">
        <v>45491</v>
      </c>
      <c r="W286" s="1">
        <v>45525</v>
      </c>
      <c r="X286">
        <v>122094</v>
      </c>
      <c r="Y286">
        <v>0.91265597099999995</v>
      </c>
      <c r="Z286">
        <v>633.66318569999999</v>
      </c>
      <c r="AA286">
        <f>1-((0.95-Y286)*0.5)</f>
        <v>0.9813279855</v>
      </c>
      <c r="AB286">
        <f>U286/AA286</f>
        <v>518.68489182101291</v>
      </c>
      <c r="AC286" cm="1">
        <f t="array" ref="AC286">_xlfn.IFS(Y286&lt;0.6,U286,0.9&lt;Y286,U286,Y286,AB286)</f>
        <v>509</v>
      </c>
      <c r="AD286">
        <v>0.96942958999999995</v>
      </c>
      <c r="AE286">
        <v>582.33346349999999</v>
      </c>
      <c r="AF286">
        <v>509</v>
      </c>
      <c r="AH286">
        <v>0</v>
      </c>
      <c r="AI286">
        <v>312</v>
      </c>
    </row>
    <row r="287" spans="1:35" x14ac:dyDescent="0.25">
      <c r="A287" t="s">
        <v>330</v>
      </c>
      <c r="B287" t="s">
        <v>657</v>
      </c>
      <c r="D287" t="s">
        <v>332</v>
      </c>
      <c r="E287">
        <v>319</v>
      </c>
      <c r="H287">
        <f t="shared" si="4"/>
        <v>241022022</v>
      </c>
      <c r="I287">
        <v>12022</v>
      </c>
      <c r="J287">
        <v>4</v>
      </c>
      <c r="K287" t="s">
        <v>333</v>
      </c>
      <c r="L287">
        <v>150000</v>
      </c>
      <c r="M287" t="s">
        <v>355</v>
      </c>
      <c r="N287">
        <v>84</v>
      </c>
      <c r="O287">
        <v>1222</v>
      </c>
      <c r="P287">
        <v>12</v>
      </c>
      <c r="Q287">
        <v>22</v>
      </c>
      <c r="R287">
        <v>67</v>
      </c>
      <c r="S287">
        <v>20.6</v>
      </c>
      <c r="T287">
        <v>399</v>
      </c>
      <c r="U287">
        <v>508</v>
      </c>
      <c r="V287" s="1">
        <v>45491</v>
      </c>
      <c r="W287" s="1">
        <v>45525</v>
      </c>
      <c r="X287">
        <v>151684</v>
      </c>
      <c r="Y287">
        <v>0.997907922</v>
      </c>
      <c r="Z287">
        <v>509.06500360000001</v>
      </c>
      <c r="AA287">
        <f>1-((0.95-Y287)*0.5)</f>
        <v>1.0239539610000001</v>
      </c>
      <c r="AB287">
        <f>U287/AA287</f>
        <v>496.11605535846934</v>
      </c>
      <c r="AC287" cm="1">
        <f t="array" ref="AC287">_xlfn.IFS(Y287&lt;0.6,U287,0.9&lt;Y287,U287,Y287,AB287)</f>
        <v>508</v>
      </c>
      <c r="AD287">
        <v>0.99926777300000003</v>
      </c>
      <c r="AE287">
        <v>508.90457800000001</v>
      </c>
      <c r="AF287">
        <v>508</v>
      </c>
      <c r="AH287">
        <v>0</v>
      </c>
      <c r="AI287">
        <v>319</v>
      </c>
    </row>
    <row r="288" spans="1:35" x14ac:dyDescent="0.25">
      <c r="A288" t="s">
        <v>330</v>
      </c>
      <c r="B288" t="s">
        <v>680</v>
      </c>
      <c r="D288" t="s">
        <v>332</v>
      </c>
      <c r="E288">
        <v>342</v>
      </c>
      <c r="H288">
        <f t="shared" si="4"/>
        <v>241022023</v>
      </c>
      <c r="I288">
        <v>12023</v>
      </c>
      <c r="J288">
        <v>4</v>
      </c>
      <c r="K288" t="s">
        <v>333</v>
      </c>
      <c r="L288">
        <v>100000</v>
      </c>
      <c r="M288" t="s">
        <v>283</v>
      </c>
      <c r="N288">
        <v>62</v>
      </c>
      <c r="O288">
        <v>1223</v>
      </c>
      <c r="P288">
        <v>12</v>
      </c>
      <c r="Q288">
        <v>23</v>
      </c>
      <c r="R288">
        <v>66</v>
      </c>
      <c r="S288">
        <v>25.3</v>
      </c>
      <c r="T288">
        <v>1503</v>
      </c>
      <c r="U288">
        <v>1802</v>
      </c>
      <c r="V288" s="1">
        <v>45497</v>
      </c>
      <c r="W288" s="1">
        <v>45532</v>
      </c>
      <c r="X288">
        <v>150645</v>
      </c>
      <c r="Y288">
        <v>0.99107900599999998</v>
      </c>
      <c r="Z288">
        <v>1818.220333</v>
      </c>
      <c r="AA288">
        <f>1-((0.95-Y288)*0.5)</f>
        <v>1.020539503</v>
      </c>
      <c r="AB288">
        <f>U288/AA288</f>
        <v>1765.7327273494086</v>
      </c>
      <c r="AC288" cm="1">
        <f t="array" ref="AC288">_xlfn.IFS(Y288&lt;0.6,U288,0.9&lt;Y288,U288,Y288,AB288)</f>
        <v>1802</v>
      </c>
      <c r="AD288">
        <v>0.996877652</v>
      </c>
      <c r="AE288">
        <v>1815.743211</v>
      </c>
      <c r="AF288">
        <v>1802</v>
      </c>
      <c r="AH288">
        <v>0</v>
      </c>
      <c r="AI288">
        <v>342</v>
      </c>
    </row>
    <row r="289" spans="1:35" x14ac:dyDescent="0.25">
      <c r="A289" t="s">
        <v>330</v>
      </c>
      <c r="B289" t="s">
        <v>687</v>
      </c>
      <c r="D289" t="s">
        <v>332</v>
      </c>
      <c r="E289">
        <v>349</v>
      </c>
      <c r="H289">
        <f t="shared" si="4"/>
        <v>241022024</v>
      </c>
      <c r="I289">
        <v>12024</v>
      </c>
      <c r="J289">
        <v>4</v>
      </c>
      <c r="K289" t="s">
        <v>333</v>
      </c>
      <c r="L289">
        <v>75000</v>
      </c>
      <c r="M289" t="s">
        <v>298</v>
      </c>
      <c r="N289">
        <v>51</v>
      </c>
      <c r="O289">
        <v>1224</v>
      </c>
      <c r="P289">
        <v>12</v>
      </c>
      <c r="Q289">
        <v>24</v>
      </c>
      <c r="R289">
        <v>55</v>
      </c>
      <c r="S289">
        <v>22.2</v>
      </c>
      <c r="T289">
        <v>501</v>
      </c>
      <c r="U289">
        <v>625</v>
      </c>
      <c r="V289" s="1">
        <v>45493</v>
      </c>
      <c r="W289" s="1">
        <v>45528</v>
      </c>
      <c r="X289">
        <v>151269</v>
      </c>
      <c r="Y289">
        <v>0.99519733700000002</v>
      </c>
      <c r="Z289">
        <v>628.01615000000004</v>
      </c>
      <c r="AA289">
        <f>1-((0.95-Y289)*0.5)</f>
        <v>1.0225986685000001</v>
      </c>
      <c r="AB289">
        <f>U289/AA289</f>
        <v>611.18796577036608</v>
      </c>
      <c r="AC289" cm="1">
        <f t="array" ref="AC289">_xlfn.IFS(Y289&lt;0.6,U289,0.9&lt;Y289,U289,Y289,AB289)</f>
        <v>625</v>
      </c>
      <c r="AD289">
        <v>0.99831906800000003</v>
      </c>
      <c r="AE289">
        <v>627.55932949999999</v>
      </c>
      <c r="AF289">
        <v>625</v>
      </c>
      <c r="AH289">
        <v>0</v>
      </c>
      <c r="AI289">
        <v>349</v>
      </c>
    </row>
    <row r="290" spans="1:35" x14ac:dyDescent="0.25">
      <c r="A290" t="s">
        <v>330</v>
      </c>
      <c r="B290" t="s">
        <v>352</v>
      </c>
      <c r="D290" t="s">
        <v>332</v>
      </c>
      <c r="E290">
        <v>13</v>
      </c>
      <c r="H290">
        <f t="shared" si="4"/>
        <v>241023001</v>
      </c>
      <c r="I290">
        <v>13001</v>
      </c>
      <c r="J290">
        <v>1</v>
      </c>
      <c r="K290" t="s">
        <v>333</v>
      </c>
      <c r="L290">
        <v>100000</v>
      </c>
      <c r="M290" t="s">
        <v>353</v>
      </c>
      <c r="N290">
        <v>67</v>
      </c>
      <c r="O290">
        <v>1301</v>
      </c>
      <c r="P290">
        <v>13</v>
      </c>
      <c r="Q290">
        <v>1</v>
      </c>
      <c r="R290">
        <v>40</v>
      </c>
      <c r="S290">
        <v>19.5</v>
      </c>
      <c r="T290">
        <v>1360</v>
      </c>
      <c r="U290">
        <v>1757</v>
      </c>
      <c r="V290" s="1">
        <v>45498</v>
      </c>
      <c r="W290" s="1">
        <v>45536</v>
      </c>
      <c r="X290">
        <v>129422</v>
      </c>
      <c r="Y290">
        <v>0.85145492499999997</v>
      </c>
      <c r="Z290">
        <v>2063.526734</v>
      </c>
      <c r="AA290">
        <f>1-((0.95-Y290)*0.5)</f>
        <v>0.95072746249999995</v>
      </c>
      <c r="AB290">
        <f>U290/AA290</f>
        <v>1848.058533388584</v>
      </c>
      <c r="AC290" cm="1">
        <f t="array" ref="AC290">_xlfn.IFS(Y290&lt;0.6,U290,0.9&lt;Y290,U290,Y290,AB290)</f>
        <v>1848.058533388584</v>
      </c>
      <c r="AD290">
        <v>0.94800922399999998</v>
      </c>
      <c r="AE290">
        <v>2002.055216</v>
      </c>
      <c r="AF290">
        <v>2002.055216</v>
      </c>
      <c r="AH290">
        <v>0</v>
      </c>
      <c r="AI290">
        <v>13</v>
      </c>
    </row>
    <row r="291" spans="1:35" x14ac:dyDescent="0.25">
      <c r="A291" t="s">
        <v>330</v>
      </c>
      <c r="B291" t="s">
        <v>360</v>
      </c>
      <c r="D291" t="s">
        <v>332</v>
      </c>
      <c r="E291">
        <v>18</v>
      </c>
      <c r="H291">
        <f t="shared" si="4"/>
        <v>241023002</v>
      </c>
      <c r="I291">
        <v>13002</v>
      </c>
      <c r="J291">
        <v>1</v>
      </c>
      <c r="K291" t="s">
        <v>333</v>
      </c>
      <c r="L291">
        <v>150000</v>
      </c>
      <c r="M291" t="s">
        <v>295</v>
      </c>
      <c r="N291">
        <v>86</v>
      </c>
      <c r="O291">
        <v>1302</v>
      </c>
      <c r="P291">
        <v>13</v>
      </c>
      <c r="Q291">
        <v>2</v>
      </c>
      <c r="R291">
        <v>61</v>
      </c>
      <c r="S291">
        <v>21.2</v>
      </c>
      <c r="T291">
        <v>763</v>
      </c>
      <c r="U291">
        <v>965</v>
      </c>
      <c r="V291" s="1">
        <v>45493</v>
      </c>
      <c r="W291" s="1">
        <v>45530</v>
      </c>
      <c r="X291">
        <v>149562</v>
      </c>
      <c r="Y291">
        <v>0.98397347300000004</v>
      </c>
      <c r="Z291">
        <v>980.71749509999995</v>
      </c>
      <c r="AA291">
        <f>1-((0.95-Y291)*0.5)</f>
        <v>1.0169867365</v>
      </c>
      <c r="AB291">
        <f>U291/AA291</f>
        <v>948.88159831964526</v>
      </c>
      <c r="AC291" cm="1">
        <f t="array" ref="AC291">_xlfn.IFS(Y291&lt;0.6,U291,0.9&lt;Y291,U291,Y291,AB291)</f>
        <v>965</v>
      </c>
      <c r="AD291">
        <v>0.99439071599999995</v>
      </c>
      <c r="AE291">
        <v>978.28273090000005</v>
      </c>
      <c r="AF291">
        <v>965</v>
      </c>
      <c r="AH291">
        <v>0</v>
      </c>
      <c r="AI291">
        <v>18</v>
      </c>
    </row>
    <row r="292" spans="1:35" x14ac:dyDescent="0.25">
      <c r="A292" t="s">
        <v>330</v>
      </c>
      <c r="B292" t="s">
        <v>385</v>
      </c>
      <c r="D292" t="s">
        <v>332</v>
      </c>
      <c r="E292">
        <v>43</v>
      </c>
      <c r="H292">
        <f t="shared" si="4"/>
        <v>241023003</v>
      </c>
      <c r="I292">
        <v>13003</v>
      </c>
      <c r="J292">
        <v>1</v>
      </c>
      <c r="K292" t="s">
        <v>333</v>
      </c>
      <c r="L292">
        <v>75000</v>
      </c>
      <c r="M292" t="s">
        <v>357</v>
      </c>
      <c r="N292">
        <v>48</v>
      </c>
      <c r="O292">
        <v>1303</v>
      </c>
      <c r="P292">
        <v>13</v>
      </c>
      <c r="Q292">
        <v>3</v>
      </c>
      <c r="R292">
        <v>39</v>
      </c>
      <c r="S292">
        <v>20.5</v>
      </c>
      <c r="T292">
        <v>2047</v>
      </c>
      <c r="U292">
        <v>2611</v>
      </c>
      <c r="V292" s="1">
        <v>45498</v>
      </c>
      <c r="W292" s="1">
        <v>45534</v>
      </c>
      <c r="X292">
        <v>132852</v>
      </c>
      <c r="Y292">
        <v>0.874020566</v>
      </c>
      <c r="Z292">
        <v>2987.3438940000001</v>
      </c>
      <c r="AA292">
        <f>1-((0.95-Y292)*0.5)</f>
        <v>0.96201028300000002</v>
      </c>
      <c r="AB292">
        <f>U292/AA292</f>
        <v>2714.1082025211572</v>
      </c>
      <c r="AC292" cm="1">
        <f t="array" ref="AC292">_xlfn.IFS(Y292&lt;0.6,U292,0.9&lt;Y292,U292,Y292,AB292)</f>
        <v>2714.1082025211572</v>
      </c>
      <c r="AD292">
        <v>0.95590719800000001</v>
      </c>
      <c r="AE292">
        <v>2915.0551989999999</v>
      </c>
      <c r="AF292">
        <v>2915.0551989999999</v>
      </c>
      <c r="AH292">
        <v>0</v>
      </c>
      <c r="AI292">
        <v>43</v>
      </c>
    </row>
    <row r="293" spans="1:35" x14ac:dyDescent="0.25">
      <c r="A293" t="s">
        <v>330</v>
      </c>
      <c r="B293" s="2" t="s">
        <v>390</v>
      </c>
      <c r="D293" t="s">
        <v>332</v>
      </c>
      <c r="E293">
        <v>48</v>
      </c>
      <c r="H293">
        <f t="shared" si="4"/>
        <v>241023004</v>
      </c>
      <c r="I293">
        <v>13004</v>
      </c>
      <c r="J293">
        <v>1</v>
      </c>
      <c r="K293" t="s">
        <v>388</v>
      </c>
      <c r="L293">
        <v>150000</v>
      </c>
      <c r="M293" t="s">
        <v>295</v>
      </c>
      <c r="N293">
        <v>41</v>
      </c>
      <c r="O293">
        <v>1304</v>
      </c>
      <c r="P293">
        <v>13</v>
      </c>
      <c r="Q293">
        <v>4</v>
      </c>
      <c r="R293">
        <v>54</v>
      </c>
      <c r="S293">
        <v>20.7</v>
      </c>
      <c r="T293">
        <v>645</v>
      </c>
      <c r="U293">
        <v>821</v>
      </c>
      <c r="V293" s="1">
        <v>45492</v>
      </c>
      <c r="W293" s="1">
        <v>45530</v>
      </c>
      <c r="X293">
        <v>119061</v>
      </c>
      <c r="Y293">
        <v>0.87209302300000002</v>
      </c>
      <c r="Z293">
        <v>1048.13499</v>
      </c>
      <c r="AA293">
        <f>1-((0.95-Y293)*0.5)</f>
        <v>0.96104651149999998</v>
      </c>
      <c r="AB293">
        <f>U293/AA293</f>
        <v>854.27707210401752</v>
      </c>
      <c r="AC293" cm="1">
        <f t="array" ref="AC293">_xlfn.IFS(Y293&lt;0.6,U293,0.9&lt;Y293,U293,Y293,AB293)</f>
        <v>854.27707210401752</v>
      </c>
      <c r="AD293">
        <v>0.95523255799999995</v>
      </c>
      <c r="AE293">
        <v>963.91910470000005</v>
      </c>
      <c r="AF293">
        <v>963.91910470000005</v>
      </c>
      <c r="AH293">
        <v>0</v>
      </c>
      <c r="AI293">
        <v>48</v>
      </c>
    </row>
    <row r="294" spans="1:35" x14ac:dyDescent="0.25">
      <c r="A294" t="s">
        <v>330</v>
      </c>
      <c r="B294" t="s">
        <v>415</v>
      </c>
      <c r="D294" t="s">
        <v>332</v>
      </c>
      <c r="E294">
        <v>73</v>
      </c>
      <c r="H294">
        <f t="shared" si="4"/>
        <v>241023005</v>
      </c>
      <c r="I294">
        <v>13005</v>
      </c>
      <c r="J294">
        <v>1</v>
      </c>
      <c r="K294" t="s">
        <v>388</v>
      </c>
      <c r="L294">
        <v>75000</v>
      </c>
      <c r="M294" t="s">
        <v>336</v>
      </c>
      <c r="N294">
        <v>4</v>
      </c>
      <c r="O294">
        <v>1305</v>
      </c>
      <c r="P294">
        <v>13</v>
      </c>
      <c r="Q294">
        <v>5</v>
      </c>
      <c r="R294">
        <v>64</v>
      </c>
      <c r="S294">
        <v>21.6</v>
      </c>
      <c r="T294">
        <v>666</v>
      </c>
      <c r="U294">
        <v>838</v>
      </c>
      <c r="V294" s="1">
        <v>45498</v>
      </c>
      <c r="X294">
        <v>121315</v>
      </c>
      <c r="Y294">
        <v>0.94454382800000003</v>
      </c>
      <c r="Z294">
        <v>1049.9608459999999</v>
      </c>
      <c r="AA294">
        <f>1-((0.95-Y294)*0.5)</f>
        <v>0.99727191400000004</v>
      </c>
      <c r="AB294">
        <f>U294/AA294</f>
        <v>840.29238990480576</v>
      </c>
      <c r="AC294" cm="1">
        <f t="array" ref="AC294">_xlfn.IFS(Y294&lt;0.6,U294,0.9&lt;Y294,U294,Y294,AB294)</f>
        <v>838</v>
      </c>
      <c r="AD294">
        <v>0.98059034</v>
      </c>
      <c r="AE294">
        <v>950.53152379999995</v>
      </c>
      <c r="AF294">
        <v>838</v>
      </c>
      <c r="AH294">
        <v>0</v>
      </c>
      <c r="AI294">
        <v>73</v>
      </c>
    </row>
    <row r="295" spans="1:35" x14ac:dyDescent="0.25">
      <c r="A295" t="s">
        <v>330</v>
      </c>
      <c r="B295" t="s">
        <v>420</v>
      </c>
      <c r="D295" t="s">
        <v>332</v>
      </c>
      <c r="E295">
        <v>78</v>
      </c>
      <c r="H295">
        <f t="shared" si="4"/>
        <v>241023006</v>
      </c>
      <c r="I295">
        <v>13006</v>
      </c>
      <c r="J295">
        <v>1</v>
      </c>
      <c r="K295" t="s">
        <v>388</v>
      </c>
      <c r="L295">
        <v>100000</v>
      </c>
      <c r="M295" t="s">
        <v>349</v>
      </c>
      <c r="N295">
        <v>28</v>
      </c>
      <c r="O295">
        <v>1306</v>
      </c>
      <c r="P295">
        <v>13</v>
      </c>
      <c r="Q295">
        <v>6</v>
      </c>
      <c r="R295">
        <v>54</v>
      </c>
      <c r="S295">
        <v>23.2</v>
      </c>
      <c r="T295">
        <v>1886</v>
      </c>
      <c r="U295">
        <v>2324</v>
      </c>
      <c r="V295" s="1">
        <v>45499</v>
      </c>
      <c r="W295" s="1">
        <v>45535</v>
      </c>
      <c r="X295">
        <v>108032</v>
      </c>
      <c r="Y295">
        <v>0.737030411</v>
      </c>
      <c r="Z295">
        <v>3269.8244589999999</v>
      </c>
      <c r="AA295">
        <f>1-((0.95-Y295)*0.5)</f>
        <v>0.89351520549999996</v>
      </c>
      <c r="AB295">
        <f>U295/AA295</f>
        <v>2600.9630118152477</v>
      </c>
      <c r="AC295" cm="1">
        <f t="array" ref="AC295">_xlfn.IFS(Y295&lt;0.6,U295,0.9&lt;Y295,U295,Y295,AB295)</f>
        <v>2600.9630118152477</v>
      </c>
      <c r="AD295">
        <v>0.90796064399999998</v>
      </c>
      <c r="AE295">
        <v>2992.3659200000002</v>
      </c>
      <c r="AF295">
        <v>2992.3659200000002</v>
      </c>
      <c r="AH295">
        <v>0</v>
      </c>
      <c r="AI295">
        <v>78</v>
      </c>
    </row>
    <row r="296" spans="1:35" x14ac:dyDescent="0.25">
      <c r="A296" t="s">
        <v>330</v>
      </c>
      <c r="B296" t="s">
        <v>444</v>
      </c>
      <c r="D296" t="s">
        <v>332</v>
      </c>
      <c r="E296">
        <v>103</v>
      </c>
      <c r="H296">
        <f t="shared" si="4"/>
        <v>241023007</v>
      </c>
      <c r="I296">
        <v>13007</v>
      </c>
      <c r="J296">
        <v>2</v>
      </c>
      <c r="K296" t="s">
        <v>388</v>
      </c>
      <c r="L296">
        <v>75000</v>
      </c>
      <c r="M296" t="s">
        <v>347</v>
      </c>
      <c r="N296">
        <v>12</v>
      </c>
      <c r="O296">
        <v>1307</v>
      </c>
      <c r="P296">
        <v>13</v>
      </c>
      <c r="Q296">
        <v>7</v>
      </c>
      <c r="R296">
        <v>76</v>
      </c>
      <c r="S296">
        <v>22</v>
      </c>
      <c r="T296">
        <v>745</v>
      </c>
      <c r="U296">
        <v>932</v>
      </c>
      <c r="V296" s="1">
        <v>45495</v>
      </c>
      <c r="X296">
        <v>97701</v>
      </c>
      <c r="Y296">
        <v>0.65093499600000004</v>
      </c>
      <c r="Z296">
        <v>1449.984463</v>
      </c>
      <c r="AA296">
        <f>1-((0.95-Y296)*0.5)</f>
        <v>0.85046749799999999</v>
      </c>
      <c r="AB296">
        <f>U296/AA296</f>
        <v>1095.8678634888879</v>
      </c>
      <c r="AC296" cm="1">
        <f t="array" ref="AC296">_xlfn.IFS(Y296&lt;0.6,U296,0.9&lt;Y296,U296,Y296,AB296)</f>
        <v>1095.8678634888879</v>
      </c>
      <c r="AD296">
        <v>0.87782724899999998</v>
      </c>
      <c r="AE296">
        <v>1292.591437</v>
      </c>
      <c r="AF296">
        <v>1292.591437</v>
      </c>
      <c r="AH296">
        <v>0</v>
      </c>
      <c r="AI296">
        <v>103</v>
      </c>
    </row>
    <row r="297" spans="1:35" x14ac:dyDescent="0.25">
      <c r="A297" t="s">
        <v>330</v>
      </c>
      <c r="B297" t="s">
        <v>448</v>
      </c>
      <c r="D297" t="s">
        <v>332</v>
      </c>
      <c r="E297">
        <v>108</v>
      </c>
      <c r="H297">
        <f t="shared" si="4"/>
        <v>241023008</v>
      </c>
      <c r="I297">
        <v>13008</v>
      </c>
      <c r="J297">
        <v>2</v>
      </c>
      <c r="K297" t="s">
        <v>388</v>
      </c>
      <c r="L297">
        <v>150000</v>
      </c>
      <c r="M297" t="s">
        <v>357</v>
      </c>
      <c r="N297">
        <v>33</v>
      </c>
      <c r="O297">
        <v>1308</v>
      </c>
      <c r="P297">
        <v>13</v>
      </c>
      <c r="Q297">
        <v>8</v>
      </c>
      <c r="R297">
        <v>40</v>
      </c>
      <c r="S297">
        <v>18.899999999999999</v>
      </c>
      <c r="T297">
        <v>1559</v>
      </c>
      <c r="U297">
        <v>2029</v>
      </c>
      <c r="V297" s="1">
        <v>45497</v>
      </c>
      <c r="W297" s="1">
        <v>45534</v>
      </c>
      <c r="X297">
        <v>111288</v>
      </c>
      <c r="Y297">
        <v>0.85535714299999999</v>
      </c>
      <c r="Z297">
        <v>2771.278386</v>
      </c>
      <c r="AA297">
        <f>1-((0.95-Y297)*0.5)</f>
        <v>0.95267857150000002</v>
      </c>
      <c r="AB297">
        <f>U297/AA297</f>
        <v>2129.784442202078</v>
      </c>
      <c r="AC297" cm="1">
        <f t="array" ref="AC297">_xlfn.IFS(Y297&lt;0.6,U297,0.9&lt;Y297,U297,Y297,AB297)</f>
        <v>2129.784442202078</v>
      </c>
      <c r="AD297">
        <v>0.94937499999999997</v>
      </c>
      <c r="AE297">
        <v>2467.6751159999999</v>
      </c>
      <c r="AF297">
        <v>2467.6751159999999</v>
      </c>
      <c r="AH297">
        <v>0</v>
      </c>
      <c r="AI297">
        <v>108</v>
      </c>
    </row>
    <row r="298" spans="1:35" x14ac:dyDescent="0.25">
      <c r="A298" t="s">
        <v>330</v>
      </c>
      <c r="B298" t="s">
        <v>473</v>
      </c>
      <c r="D298" t="s">
        <v>332</v>
      </c>
      <c r="E298">
        <v>133</v>
      </c>
      <c r="H298">
        <f t="shared" si="4"/>
        <v>241023009</v>
      </c>
      <c r="I298">
        <v>13009</v>
      </c>
      <c r="J298">
        <v>2</v>
      </c>
      <c r="K298" t="s">
        <v>388</v>
      </c>
      <c r="L298">
        <v>100000</v>
      </c>
      <c r="M298" t="s">
        <v>279</v>
      </c>
      <c r="N298">
        <v>30</v>
      </c>
      <c r="O298">
        <v>1309</v>
      </c>
      <c r="P298">
        <v>13</v>
      </c>
      <c r="Q298">
        <v>9</v>
      </c>
      <c r="R298">
        <v>50</v>
      </c>
      <c r="S298">
        <v>18.8</v>
      </c>
      <c r="T298">
        <v>1451</v>
      </c>
      <c r="U298">
        <v>1891</v>
      </c>
      <c r="V298" s="1">
        <v>45496</v>
      </c>
      <c r="W298" s="1">
        <v>45534</v>
      </c>
      <c r="X298">
        <v>108943</v>
      </c>
      <c r="Y298">
        <v>0.69677996399999997</v>
      </c>
      <c r="Z298">
        <v>2638.3184510000001</v>
      </c>
      <c r="AA298">
        <f>1-((0.95-Y298)*0.5)</f>
        <v>0.87338998199999995</v>
      </c>
      <c r="AB298">
        <f>U298/AA298</f>
        <v>2165.126734874777</v>
      </c>
      <c r="AC298" cm="1">
        <f t="array" ref="AC298">_xlfn.IFS(Y298&lt;0.6,U298,0.9&lt;Y298,U298,Y298,AB298)</f>
        <v>2165.126734874777</v>
      </c>
      <c r="AD298">
        <v>0.89387298699999995</v>
      </c>
      <c r="AE298">
        <v>2464.5638250000002</v>
      </c>
      <c r="AF298">
        <v>2464.5638250000002</v>
      </c>
      <c r="AH298">
        <v>0</v>
      </c>
      <c r="AI298">
        <v>133</v>
      </c>
    </row>
    <row r="299" spans="1:35" x14ac:dyDescent="0.25">
      <c r="A299" t="s">
        <v>330</v>
      </c>
      <c r="B299" t="s">
        <v>478</v>
      </c>
      <c r="D299" t="s">
        <v>332</v>
      </c>
      <c r="E299">
        <v>138</v>
      </c>
      <c r="H299">
        <f t="shared" si="4"/>
        <v>241023010</v>
      </c>
      <c r="I299">
        <v>13010</v>
      </c>
      <c r="J299">
        <v>2</v>
      </c>
      <c r="K299" t="s">
        <v>333</v>
      </c>
      <c r="L299">
        <v>100000</v>
      </c>
      <c r="M299" t="s">
        <v>341</v>
      </c>
      <c r="N299">
        <v>65</v>
      </c>
      <c r="O299">
        <v>1310</v>
      </c>
      <c r="P299">
        <v>13</v>
      </c>
      <c r="Q299">
        <v>10</v>
      </c>
      <c r="R299">
        <v>27</v>
      </c>
      <c r="S299">
        <v>18.899999999999999</v>
      </c>
      <c r="T299">
        <v>2265</v>
      </c>
      <c r="U299">
        <v>2948</v>
      </c>
      <c r="V299" s="1">
        <v>45497</v>
      </c>
      <c r="W299" s="1">
        <v>45530</v>
      </c>
      <c r="X299">
        <v>150589</v>
      </c>
      <c r="Y299">
        <v>0.99071058700000003</v>
      </c>
      <c r="Z299">
        <v>2975.6419660000001</v>
      </c>
      <c r="AA299">
        <f>1-((0.95-Y299)*0.5)</f>
        <v>1.0203552935</v>
      </c>
      <c r="AB299">
        <f>U299/AA299</f>
        <v>2889.1896957655172</v>
      </c>
      <c r="AC299" cm="1">
        <f t="array" ref="AC299">_xlfn.IFS(Y299&lt;0.6,U299,0.9&lt;Y299,U299,Y299,AB299)</f>
        <v>2948</v>
      </c>
      <c r="AD299">
        <v>0.99674870500000001</v>
      </c>
      <c r="AE299">
        <v>2971.4174429999998</v>
      </c>
      <c r="AF299">
        <v>2948</v>
      </c>
      <c r="AH299">
        <v>0</v>
      </c>
      <c r="AI299">
        <v>138</v>
      </c>
    </row>
    <row r="300" spans="1:35" x14ac:dyDescent="0.25">
      <c r="A300" t="s">
        <v>330</v>
      </c>
      <c r="B300" t="s">
        <v>503</v>
      </c>
      <c r="D300" t="s">
        <v>332</v>
      </c>
      <c r="E300">
        <v>163</v>
      </c>
      <c r="H300">
        <f t="shared" si="4"/>
        <v>241023011</v>
      </c>
      <c r="I300">
        <v>13011</v>
      </c>
      <c r="J300">
        <v>2</v>
      </c>
      <c r="K300" t="s">
        <v>333</v>
      </c>
      <c r="L300">
        <v>75000</v>
      </c>
      <c r="M300" t="s">
        <v>357</v>
      </c>
      <c r="N300">
        <v>48</v>
      </c>
      <c r="O300">
        <v>1311</v>
      </c>
      <c r="P300">
        <v>13</v>
      </c>
      <c r="Q300">
        <v>11</v>
      </c>
      <c r="R300">
        <v>39</v>
      </c>
      <c r="S300">
        <v>19.7</v>
      </c>
      <c r="T300">
        <v>1858</v>
      </c>
      <c r="U300">
        <v>2394</v>
      </c>
      <c r="V300" s="1">
        <v>45497</v>
      </c>
      <c r="W300" s="1">
        <v>45533</v>
      </c>
      <c r="X300">
        <v>146841</v>
      </c>
      <c r="Y300">
        <v>0.96604649899999995</v>
      </c>
      <c r="Z300">
        <v>2478.1415820000002</v>
      </c>
      <c r="AA300">
        <f>1-((0.95-Y300)*0.5)</f>
        <v>1.0080232494999999</v>
      </c>
      <c r="AB300">
        <f>U300/AA300</f>
        <v>2374.945221935578</v>
      </c>
      <c r="AC300" cm="1">
        <f t="array" ref="AC300">_xlfn.IFS(Y300&lt;0.6,U300,0.9&lt;Y300,U300,Y300,AB300)</f>
        <v>2394</v>
      </c>
      <c r="AD300">
        <v>0.98811627499999999</v>
      </c>
      <c r="AE300">
        <v>2464.6332560000001</v>
      </c>
      <c r="AF300">
        <v>2394</v>
      </c>
      <c r="AH300">
        <v>0</v>
      </c>
      <c r="AI300">
        <v>163</v>
      </c>
    </row>
    <row r="301" spans="1:35" x14ac:dyDescent="0.25">
      <c r="A301" t="s">
        <v>330</v>
      </c>
      <c r="B301" t="s">
        <v>508</v>
      </c>
      <c r="D301" t="s">
        <v>332</v>
      </c>
      <c r="E301">
        <v>168</v>
      </c>
      <c r="H301">
        <f t="shared" si="4"/>
        <v>241023012</v>
      </c>
      <c r="I301">
        <v>13012</v>
      </c>
      <c r="J301">
        <v>2</v>
      </c>
      <c r="K301" t="s">
        <v>333</v>
      </c>
      <c r="L301">
        <v>150000</v>
      </c>
      <c r="M301" t="s">
        <v>343</v>
      </c>
      <c r="N301">
        <v>76</v>
      </c>
      <c r="O301">
        <v>1312</v>
      </c>
      <c r="P301">
        <v>13</v>
      </c>
      <c r="Q301">
        <v>12</v>
      </c>
      <c r="R301">
        <v>29</v>
      </c>
      <c r="S301">
        <v>21.5</v>
      </c>
      <c r="T301">
        <v>2397</v>
      </c>
      <c r="U301">
        <v>3019</v>
      </c>
      <c r="V301" s="1">
        <v>45497</v>
      </c>
      <c r="W301" s="1">
        <v>45534</v>
      </c>
      <c r="X301">
        <v>142216</v>
      </c>
      <c r="Y301">
        <v>0.93563157900000005</v>
      </c>
      <c r="Z301">
        <v>3226.6974180000002</v>
      </c>
      <c r="AA301">
        <f>1-((0.95-Y301)*0.5)</f>
        <v>0.99281578950000005</v>
      </c>
      <c r="AB301">
        <f>U301/AA301</f>
        <v>3040.8460783247847</v>
      </c>
      <c r="AC301" cm="1">
        <f t="array" ref="AC301">_xlfn.IFS(Y301&lt;0.6,U301,0.9&lt;Y301,U301,Y301,AB301)</f>
        <v>3019</v>
      </c>
      <c r="AD301">
        <v>0.97747105300000003</v>
      </c>
      <c r="AE301">
        <v>3191.2917170000001</v>
      </c>
      <c r="AF301">
        <v>3019</v>
      </c>
      <c r="AH301">
        <v>0</v>
      </c>
      <c r="AI301">
        <v>168</v>
      </c>
    </row>
    <row r="302" spans="1:35" x14ac:dyDescent="0.25">
      <c r="A302" t="s">
        <v>330</v>
      </c>
      <c r="B302" t="s">
        <v>533</v>
      </c>
      <c r="D302" t="s">
        <v>332</v>
      </c>
      <c r="E302">
        <v>193</v>
      </c>
      <c r="H302">
        <f t="shared" si="4"/>
        <v>241023013</v>
      </c>
      <c r="I302">
        <v>13013</v>
      </c>
      <c r="J302">
        <v>3</v>
      </c>
      <c r="K302" t="s">
        <v>388</v>
      </c>
      <c r="L302">
        <v>150000</v>
      </c>
      <c r="M302" t="s">
        <v>298</v>
      </c>
      <c r="N302">
        <v>36</v>
      </c>
      <c r="O302">
        <v>1313</v>
      </c>
      <c r="P302">
        <v>13</v>
      </c>
      <c r="Q302">
        <v>13</v>
      </c>
      <c r="R302">
        <v>54</v>
      </c>
      <c r="S302">
        <v>19.2</v>
      </c>
      <c r="T302">
        <v>277</v>
      </c>
      <c r="U302">
        <v>359</v>
      </c>
      <c r="V302" s="1">
        <v>45491</v>
      </c>
      <c r="W302" s="1">
        <v>45525</v>
      </c>
      <c r="X302">
        <v>111339</v>
      </c>
      <c r="Y302">
        <v>0.71900089199999995</v>
      </c>
      <c r="Z302">
        <v>490.1003422</v>
      </c>
      <c r="AA302">
        <f>1-((0.95-Y302)*0.5)</f>
        <v>0.884500446</v>
      </c>
      <c r="AB302">
        <f>U302/AA302</f>
        <v>405.87882303905587</v>
      </c>
      <c r="AC302" cm="1">
        <f t="array" ref="AC302">_xlfn.IFS(Y302&lt;0.6,U302,0.9&lt;Y302,U302,Y302,AB302)</f>
        <v>405.87882303905587</v>
      </c>
      <c r="AD302">
        <v>0.90165031200000001</v>
      </c>
      <c r="AE302">
        <v>459.6341587</v>
      </c>
      <c r="AF302">
        <v>459.6341587</v>
      </c>
      <c r="AH302">
        <v>0</v>
      </c>
      <c r="AI302">
        <v>193</v>
      </c>
    </row>
    <row r="303" spans="1:35" x14ac:dyDescent="0.25">
      <c r="A303" t="s">
        <v>330</v>
      </c>
      <c r="B303" t="s">
        <v>538</v>
      </c>
      <c r="D303" t="s">
        <v>332</v>
      </c>
      <c r="E303">
        <v>198</v>
      </c>
      <c r="H303">
        <f t="shared" si="4"/>
        <v>241023014</v>
      </c>
      <c r="I303">
        <v>13014</v>
      </c>
      <c r="J303">
        <v>3</v>
      </c>
      <c r="K303" t="s">
        <v>388</v>
      </c>
      <c r="L303">
        <v>75000</v>
      </c>
      <c r="M303" t="s">
        <v>298</v>
      </c>
      <c r="N303">
        <v>6</v>
      </c>
      <c r="O303">
        <v>1314</v>
      </c>
      <c r="P303">
        <v>13</v>
      </c>
      <c r="Q303">
        <v>14</v>
      </c>
      <c r="R303">
        <v>57</v>
      </c>
      <c r="S303">
        <v>20.2</v>
      </c>
      <c r="T303">
        <v>654</v>
      </c>
      <c r="U303">
        <v>837</v>
      </c>
      <c r="V303" s="1">
        <v>45491</v>
      </c>
      <c r="W303" s="1">
        <v>45526</v>
      </c>
      <c r="X303">
        <v>117997</v>
      </c>
      <c r="Y303">
        <v>0.81818181800000001</v>
      </c>
      <c r="Z303">
        <v>1078.196903</v>
      </c>
      <c r="AA303">
        <f>1-((0.95-Y303)*0.5)</f>
        <v>0.93409090900000002</v>
      </c>
      <c r="AB303">
        <f>U303/AA303</f>
        <v>896.05839424779151</v>
      </c>
      <c r="AC303" cm="1">
        <f t="array" ref="AC303">_xlfn.IFS(Y303&lt;0.6,U303,0.9&lt;Y303,U303,Y303,AB303)</f>
        <v>896.05839424779151</v>
      </c>
      <c r="AD303">
        <v>0.93636363600000005</v>
      </c>
      <c r="AE303">
        <v>1006.4577849999999</v>
      </c>
      <c r="AF303">
        <v>1006.4577849999999</v>
      </c>
      <c r="AH303">
        <v>0</v>
      </c>
      <c r="AI303">
        <v>198</v>
      </c>
    </row>
    <row r="304" spans="1:35" x14ac:dyDescent="0.25">
      <c r="A304" t="s">
        <v>330</v>
      </c>
      <c r="B304" t="s">
        <v>563</v>
      </c>
      <c r="D304" t="s">
        <v>332</v>
      </c>
      <c r="E304">
        <v>223</v>
      </c>
      <c r="H304">
        <f t="shared" si="4"/>
        <v>241023015</v>
      </c>
      <c r="I304">
        <v>13015</v>
      </c>
      <c r="J304">
        <v>3</v>
      </c>
      <c r="K304" t="s">
        <v>388</v>
      </c>
      <c r="L304">
        <v>100000</v>
      </c>
      <c r="M304" t="s">
        <v>295</v>
      </c>
      <c r="N304">
        <v>26</v>
      </c>
      <c r="O304">
        <v>1315</v>
      </c>
      <c r="P304">
        <v>13</v>
      </c>
      <c r="Q304">
        <v>15</v>
      </c>
      <c r="R304">
        <v>57</v>
      </c>
      <c r="S304">
        <v>19.2</v>
      </c>
      <c r="T304">
        <v>381</v>
      </c>
      <c r="U304">
        <v>494</v>
      </c>
      <c r="V304" s="1">
        <v>45492</v>
      </c>
      <c r="W304" s="1">
        <v>45525</v>
      </c>
      <c r="X304">
        <v>129811</v>
      </c>
      <c r="Y304">
        <v>0.95617173499999997</v>
      </c>
      <c r="Z304">
        <v>578.44857520000005</v>
      </c>
      <c r="AA304">
        <f>1-((0.95-Y304)*0.5)</f>
        <v>1.0030858675000001</v>
      </c>
      <c r="AB304">
        <f>U304/AA304</f>
        <v>492.48027113690739</v>
      </c>
      <c r="AC304" cm="1">
        <f t="array" ref="AC304">_xlfn.IFS(Y304&lt;0.6,U304,0.9&lt;Y304,U304,Y304,AB304)</f>
        <v>494</v>
      </c>
      <c r="AD304">
        <v>0.98466010699999995</v>
      </c>
      <c r="AE304">
        <v>541.20136149999996</v>
      </c>
      <c r="AF304">
        <v>494</v>
      </c>
      <c r="AH304">
        <v>0</v>
      </c>
      <c r="AI304">
        <v>223</v>
      </c>
    </row>
    <row r="305" spans="1:35" x14ac:dyDescent="0.25">
      <c r="A305" t="s">
        <v>330</v>
      </c>
      <c r="B305" t="s">
        <v>568</v>
      </c>
      <c r="D305" t="s">
        <v>332</v>
      </c>
      <c r="E305">
        <v>228</v>
      </c>
      <c r="H305">
        <f t="shared" si="4"/>
        <v>241023016</v>
      </c>
      <c r="I305">
        <v>13016</v>
      </c>
      <c r="J305">
        <v>3</v>
      </c>
      <c r="K305" t="s">
        <v>333</v>
      </c>
      <c r="L305">
        <v>100000</v>
      </c>
      <c r="M305" t="s">
        <v>353</v>
      </c>
      <c r="N305">
        <v>67</v>
      </c>
      <c r="O305">
        <v>1316</v>
      </c>
      <c r="P305">
        <v>13</v>
      </c>
      <c r="Q305">
        <v>16</v>
      </c>
      <c r="R305">
        <v>45</v>
      </c>
      <c r="S305">
        <v>19.600000000000001</v>
      </c>
      <c r="T305">
        <v>1474</v>
      </c>
      <c r="U305">
        <v>1902</v>
      </c>
      <c r="V305" s="1">
        <v>45499</v>
      </c>
      <c r="W305" s="1">
        <v>45536</v>
      </c>
      <c r="X305">
        <v>138020</v>
      </c>
      <c r="Y305">
        <v>0.90802631599999994</v>
      </c>
      <c r="Z305">
        <v>2094.6529489999998</v>
      </c>
      <c r="AA305">
        <f>1-((0.95-Y305)*0.5)</f>
        <v>0.97901315799999999</v>
      </c>
      <c r="AB305">
        <f>U305/AA305</f>
        <v>1942.7726629185918</v>
      </c>
      <c r="AC305" cm="1">
        <f t="array" ref="AC305">_xlfn.IFS(Y305&lt;0.6,U305,0.9&lt;Y305,U305,Y305,AB305)</f>
        <v>1902</v>
      </c>
      <c r="AD305">
        <v>0.96780921099999995</v>
      </c>
      <c r="AE305">
        <v>2059.9960940000001</v>
      </c>
      <c r="AF305">
        <v>1902</v>
      </c>
      <c r="AH305">
        <v>0</v>
      </c>
      <c r="AI305">
        <v>228</v>
      </c>
    </row>
    <row r="306" spans="1:35" x14ac:dyDescent="0.25">
      <c r="A306" t="s">
        <v>330</v>
      </c>
      <c r="B306" t="s">
        <v>593</v>
      </c>
      <c r="D306" t="s">
        <v>332</v>
      </c>
      <c r="E306">
        <v>253</v>
      </c>
      <c r="H306">
        <f t="shared" si="4"/>
        <v>241023017</v>
      </c>
      <c r="I306">
        <v>13017</v>
      </c>
      <c r="J306">
        <v>3</v>
      </c>
      <c r="K306" t="s">
        <v>333</v>
      </c>
      <c r="L306">
        <v>150000</v>
      </c>
      <c r="M306" t="s">
        <v>351</v>
      </c>
      <c r="N306">
        <v>85</v>
      </c>
      <c r="O306">
        <v>1317</v>
      </c>
      <c r="P306">
        <v>13</v>
      </c>
      <c r="Q306">
        <v>17</v>
      </c>
      <c r="R306">
        <v>63</v>
      </c>
      <c r="S306">
        <v>19.7</v>
      </c>
      <c r="T306">
        <v>670</v>
      </c>
      <c r="U306">
        <v>863</v>
      </c>
      <c r="V306" s="1">
        <v>45491</v>
      </c>
      <c r="W306" s="1">
        <v>45527</v>
      </c>
      <c r="X306">
        <v>151348</v>
      </c>
      <c r="Y306">
        <v>0.99572362800000003</v>
      </c>
      <c r="Z306">
        <v>866.70635890000005</v>
      </c>
      <c r="AA306">
        <f>1-((0.95-Y306)*0.5)</f>
        <v>1.0228618140000001</v>
      </c>
      <c r="AB306">
        <f>U306/AA306</f>
        <v>843.71123077237087</v>
      </c>
      <c r="AC306" cm="1">
        <f t="array" ref="AC306">_xlfn.IFS(Y306&lt;0.6,U306,0.9&lt;Y306,U306,Y306,AB306)</f>
        <v>863</v>
      </c>
      <c r="AD306">
        <v>0.99850327000000005</v>
      </c>
      <c r="AE306">
        <v>866.14559480000003</v>
      </c>
      <c r="AF306">
        <v>863</v>
      </c>
      <c r="AH306">
        <v>0</v>
      </c>
      <c r="AI306">
        <v>253</v>
      </c>
    </row>
    <row r="307" spans="1:35" x14ac:dyDescent="0.25">
      <c r="A307" t="s">
        <v>330</v>
      </c>
      <c r="B307" t="s">
        <v>598</v>
      </c>
      <c r="D307" t="s">
        <v>332</v>
      </c>
      <c r="E307">
        <v>258</v>
      </c>
      <c r="H307">
        <f t="shared" si="4"/>
        <v>241023018</v>
      </c>
      <c r="I307">
        <v>13018</v>
      </c>
      <c r="J307">
        <v>3</v>
      </c>
      <c r="K307" t="s">
        <v>333</v>
      </c>
      <c r="L307">
        <v>75000</v>
      </c>
      <c r="M307" t="s">
        <v>298</v>
      </c>
      <c r="N307">
        <v>51</v>
      </c>
      <c r="O307">
        <v>1318</v>
      </c>
      <c r="P307">
        <v>13</v>
      </c>
      <c r="Q307">
        <v>18</v>
      </c>
      <c r="R307">
        <v>58</v>
      </c>
      <c r="S307">
        <v>20.100000000000001</v>
      </c>
      <c r="T307">
        <v>617</v>
      </c>
      <c r="U307">
        <v>791</v>
      </c>
      <c r="V307" s="1">
        <v>45491</v>
      </c>
      <c r="W307" s="1">
        <v>45527</v>
      </c>
      <c r="X307">
        <v>142530</v>
      </c>
      <c r="Y307">
        <v>0.93769119899999998</v>
      </c>
      <c r="Z307">
        <v>843.56129239999996</v>
      </c>
      <c r="AA307">
        <f>1-((0.95-Y307)*0.5)</f>
        <v>0.99384559949999995</v>
      </c>
      <c r="AB307">
        <f>U307/AA307</f>
        <v>795.89827675239405</v>
      </c>
      <c r="AC307" cm="1">
        <f t="array" ref="AC307">_xlfn.IFS(Y307&lt;0.6,U307,0.9&lt;Y307,U307,Y307,AB307)</f>
        <v>791</v>
      </c>
      <c r="AD307">
        <v>0.97819191999999999</v>
      </c>
      <c r="AE307">
        <v>834.63739989999999</v>
      </c>
      <c r="AF307">
        <v>791</v>
      </c>
      <c r="AH307">
        <v>0</v>
      </c>
      <c r="AI307">
        <v>258</v>
      </c>
    </row>
    <row r="308" spans="1:35" x14ac:dyDescent="0.25">
      <c r="A308" t="s">
        <v>330</v>
      </c>
      <c r="B308" t="s">
        <v>622</v>
      </c>
      <c r="D308" t="s">
        <v>332</v>
      </c>
      <c r="E308">
        <v>283</v>
      </c>
      <c r="H308">
        <f t="shared" si="4"/>
        <v>241023019</v>
      </c>
      <c r="I308">
        <v>13019</v>
      </c>
      <c r="J308">
        <v>4</v>
      </c>
      <c r="K308" t="s">
        <v>388</v>
      </c>
      <c r="L308">
        <v>75000</v>
      </c>
      <c r="M308" t="s">
        <v>338</v>
      </c>
      <c r="N308">
        <v>14</v>
      </c>
      <c r="O308">
        <v>1319</v>
      </c>
      <c r="P308">
        <v>13</v>
      </c>
      <c r="Q308">
        <v>19</v>
      </c>
      <c r="R308">
        <v>66</v>
      </c>
      <c r="S308">
        <v>17.8</v>
      </c>
      <c r="T308">
        <v>1092</v>
      </c>
      <c r="U308">
        <v>1440</v>
      </c>
      <c r="V308" s="1">
        <v>45494</v>
      </c>
      <c r="W308" s="1">
        <v>45532</v>
      </c>
      <c r="X308">
        <v>109360</v>
      </c>
      <c r="Y308">
        <v>0.76785714299999996</v>
      </c>
      <c r="Z308">
        <v>2001.463058</v>
      </c>
      <c r="AA308">
        <f>1-((0.95-Y308)*0.5)</f>
        <v>0.90892857149999995</v>
      </c>
      <c r="AB308">
        <f>U308/AA308</f>
        <v>1584.282907537581</v>
      </c>
      <c r="AC308" cm="1">
        <f t="array" ref="AC308">_xlfn.IFS(Y308&lt;0.6,U308,0.9&lt;Y308,U308,Y308,AB308)</f>
        <v>1584.282907537581</v>
      </c>
      <c r="AD308">
        <v>0.91874999999999996</v>
      </c>
      <c r="AE308">
        <v>1823.0542909999999</v>
      </c>
      <c r="AF308">
        <v>1823.0542909999999</v>
      </c>
      <c r="AH308">
        <v>0</v>
      </c>
      <c r="AI308">
        <v>283</v>
      </c>
    </row>
    <row r="309" spans="1:35" x14ac:dyDescent="0.25">
      <c r="A309" t="s">
        <v>330</v>
      </c>
      <c r="B309" t="s">
        <v>627</v>
      </c>
      <c r="D309" t="s">
        <v>332</v>
      </c>
      <c r="E309">
        <v>288</v>
      </c>
      <c r="H309">
        <f t="shared" si="4"/>
        <v>241023020</v>
      </c>
      <c r="I309">
        <v>13020</v>
      </c>
      <c r="J309">
        <v>4</v>
      </c>
      <c r="K309" t="s">
        <v>388</v>
      </c>
      <c r="L309">
        <v>100000</v>
      </c>
      <c r="M309" t="s">
        <v>341</v>
      </c>
      <c r="N309">
        <v>20</v>
      </c>
      <c r="O309">
        <v>1320</v>
      </c>
      <c r="P309">
        <v>13</v>
      </c>
      <c r="Q309">
        <v>20</v>
      </c>
      <c r="R309">
        <v>28</v>
      </c>
      <c r="S309">
        <v>18.2</v>
      </c>
      <c r="T309">
        <v>1716</v>
      </c>
      <c r="U309">
        <v>2252</v>
      </c>
      <c r="V309" s="1">
        <v>45498</v>
      </c>
      <c r="W309" s="1">
        <v>45530</v>
      </c>
      <c r="X309">
        <v>125005</v>
      </c>
      <c r="Y309">
        <v>0.96779964200000002</v>
      </c>
      <c r="Z309">
        <v>2738.3404820000001</v>
      </c>
      <c r="AA309">
        <f>1-((0.95-Y309)*0.5)</f>
        <v>1.008899821</v>
      </c>
      <c r="AB309">
        <f>U309/AA309</f>
        <v>2232.1344033621353</v>
      </c>
      <c r="AC309" cm="1">
        <f t="array" ref="AC309">_xlfn.IFS(Y309&lt;0.6,U309,0.9&lt;Y309,U309,Y309,AB309)</f>
        <v>2252</v>
      </c>
      <c r="AD309">
        <v>0.98872987499999998</v>
      </c>
      <c r="AE309">
        <v>2499.6430420000002</v>
      </c>
      <c r="AF309">
        <v>2252</v>
      </c>
      <c r="AH309">
        <v>0</v>
      </c>
      <c r="AI309">
        <v>288</v>
      </c>
    </row>
    <row r="310" spans="1:35" x14ac:dyDescent="0.25">
      <c r="A310" t="s">
        <v>330</v>
      </c>
      <c r="B310" t="s">
        <v>651</v>
      </c>
      <c r="D310" t="s">
        <v>332</v>
      </c>
      <c r="E310">
        <v>313</v>
      </c>
      <c r="H310">
        <f t="shared" si="4"/>
        <v>241023021</v>
      </c>
      <c r="I310">
        <v>13021</v>
      </c>
      <c r="J310">
        <v>4</v>
      </c>
      <c r="K310" t="s">
        <v>388</v>
      </c>
      <c r="L310">
        <v>150000</v>
      </c>
      <c r="M310" t="s">
        <v>343</v>
      </c>
      <c r="N310">
        <v>31</v>
      </c>
      <c r="O310">
        <v>1321</v>
      </c>
      <c r="P310">
        <v>13</v>
      </c>
      <c r="Q310">
        <v>21</v>
      </c>
      <c r="R310">
        <v>36</v>
      </c>
      <c r="S310">
        <v>19.3</v>
      </c>
      <c r="T310">
        <v>1403</v>
      </c>
      <c r="U310">
        <v>1817</v>
      </c>
      <c r="V310" s="1">
        <v>45495</v>
      </c>
      <c r="W310" s="1">
        <v>45535</v>
      </c>
      <c r="X310">
        <v>125605</v>
      </c>
      <c r="Y310">
        <v>0.90454950899999997</v>
      </c>
      <c r="Z310">
        <v>2198.8007320000002</v>
      </c>
      <c r="AA310">
        <f>1-((0.95-Y310)*0.5)</f>
        <v>0.97727475450000001</v>
      </c>
      <c r="AB310">
        <f>U310/AA310</f>
        <v>1859.2519571731145</v>
      </c>
      <c r="AC310" cm="1">
        <f t="array" ref="AC310">_xlfn.IFS(Y310&lt;0.6,U310,0.9&lt;Y310,U310,Y310,AB310)</f>
        <v>1817</v>
      </c>
      <c r="AD310">
        <v>0.96659232799999995</v>
      </c>
      <c r="AE310">
        <v>2058.5209799999998</v>
      </c>
      <c r="AF310">
        <v>1817</v>
      </c>
      <c r="AH310">
        <v>0</v>
      </c>
      <c r="AI310">
        <v>313</v>
      </c>
    </row>
    <row r="311" spans="1:35" x14ac:dyDescent="0.25">
      <c r="A311" t="s">
        <v>330</v>
      </c>
      <c r="B311" t="s">
        <v>656</v>
      </c>
      <c r="D311" t="s">
        <v>332</v>
      </c>
      <c r="E311">
        <v>318</v>
      </c>
      <c r="H311">
        <f t="shared" si="4"/>
        <v>241023022</v>
      </c>
      <c r="I311">
        <v>13022</v>
      </c>
      <c r="J311">
        <v>4</v>
      </c>
      <c r="K311" t="s">
        <v>333</v>
      </c>
      <c r="L311">
        <v>150000</v>
      </c>
      <c r="M311" t="s">
        <v>357</v>
      </c>
      <c r="N311">
        <v>78</v>
      </c>
      <c r="O311">
        <v>1322</v>
      </c>
      <c r="P311">
        <v>13</v>
      </c>
      <c r="Q311">
        <v>22</v>
      </c>
      <c r="R311">
        <v>40</v>
      </c>
      <c r="S311">
        <v>18.7</v>
      </c>
      <c r="T311">
        <v>1319</v>
      </c>
      <c r="U311">
        <v>1721</v>
      </c>
      <c r="V311" s="1">
        <v>45495</v>
      </c>
      <c r="W311" s="1">
        <v>45532</v>
      </c>
      <c r="X311">
        <v>147818</v>
      </c>
      <c r="Y311">
        <v>0.972480444</v>
      </c>
      <c r="Z311">
        <v>1769.7013959999999</v>
      </c>
      <c r="AA311">
        <f>1-((0.95-Y311)*0.5)</f>
        <v>1.0112402220000001</v>
      </c>
      <c r="AB311">
        <f>U311/AA311</f>
        <v>1701.870596678066</v>
      </c>
      <c r="AC311" cm="1">
        <f t="array" ref="AC311">_xlfn.IFS(Y311&lt;0.6,U311,0.9&lt;Y311,U311,Y311,AB311)</f>
        <v>1721</v>
      </c>
      <c r="AD311">
        <v>0.99036815499999997</v>
      </c>
      <c r="AE311">
        <v>1761.9821010000001</v>
      </c>
      <c r="AF311">
        <v>1721</v>
      </c>
      <c r="AH311">
        <v>0</v>
      </c>
      <c r="AI311">
        <v>318</v>
      </c>
    </row>
    <row r="312" spans="1:35" x14ac:dyDescent="0.25">
      <c r="A312" t="s">
        <v>330</v>
      </c>
      <c r="B312" t="s">
        <v>681</v>
      </c>
      <c r="D312" t="s">
        <v>332</v>
      </c>
      <c r="E312">
        <v>343</v>
      </c>
      <c r="H312">
        <f t="shared" si="4"/>
        <v>241023023</v>
      </c>
      <c r="I312">
        <v>13023</v>
      </c>
      <c r="J312">
        <v>4</v>
      </c>
      <c r="K312" t="s">
        <v>333</v>
      </c>
      <c r="L312">
        <v>100000</v>
      </c>
      <c r="M312" t="s">
        <v>355</v>
      </c>
      <c r="N312">
        <v>69</v>
      </c>
      <c r="O312">
        <v>1323</v>
      </c>
      <c r="P312">
        <v>13</v>
      </c>
      <c r="Q312">
        <v>23</v>
      </c>
      <c r="R312">
        <v>65</v>
      </c>
      <c r="S312">
        <v>24.7</v>
      </c>
      <c r="T312">
        <v>214</v>
      </c>
      <c r="U312">
        <v>259</v>
      </c>
      <c r="V312" s="1">
        <v>45490</v>
      </c>
      <c r="W312" s="1">
        <v>45527</v>
      </c>
      <c r="X312">
        <v>151879</v>
      </c>
      <c r="Y312">
        <v>0.99919737399999997</v>
      </c>
      <c r="Z312">
        <v>259.20804720000001</v>
      </c>
      <c r="AA312">
        <f>1-((0.95-Y312)*0.5)</f>
        <v>1.0245986870000001</v>
      </c>
      <c r="AB312">
        <f>U312/AA312</f>
        <v>252.78189723075448</v>
      </c>
      <c r="AC312" cm="1">
        <f t="array" ref="AC312">_xlfn.IFS(Y312&lt;0.6,U312,0.9&lt;Y312,U312,Y312,AB312)</f>
        <v>259</v>
      </c>
      <c r="AD312">
        <v>0.99971908099999995</v>
      </c>
      <c r="AE312">
        <v>259.17678949999998</v>
      </c>
      <c r="AF312">
        <v>259</v>
      </c>
      <c r="AH312">
        <v>0</v>
      </c>
      <c r="AI312">
        <v>343</v>
      </c>
    </row>
    <row r="313" spans="1:35" x14ac:dyDescent="0.25">
      <c r="A313" t="s">
        <v>330</v>
      </c>
      <c r="B313" t="s">
        <v>686</v>
      </c>
      <c r="D313" t="s">
        <v>332</v>
      </c>
      <c r="E313">
        <v>348</v>
      </c>
      <c r="H313">
        <f t="shared" si="4"/>
        <v>241023024</v>
      </c>
      <c r="I313">
        <v>13024</v>
      </c>
      <c r="J313">
        <v>4</v>
      </c>
      <c r="K313" t="s">
        <v>333</v>
      </c>
      <c r="L313">
        <v>75000</v>
      </c>
      <c r="M313" t="s">
        <v>338</v>
      </c>
      <c r="N313">
        <v>59</v>
      </c>
      <c r="O313">
        <v>1324</v>
      </c>
      <c r="P313">
        <v>13</v>
      </c>
      <c r="Q313">
        <v>24</v>
      </c>
      <c r="R313">
        <v>59</v>
      </c>
      <c r="S313">
        <v>23.3</v>
      </c>
      <c r="T313">
        <v>1504</v>
      </c>
      <c r="U313">
        <v>1851</v>
      </c>
      <c r="V313" s="1">
        <v>45494</v>
      </c>
      <c r="W313" s="1">
        <v>45530</v>
      </c>
      <c r="X313">
        <v>131641</v>
      </c>
      <c r="Y313">
        <v>0.86607630400000002</v>
      </c>
      <c r="Z313">
        <v>2137.2250819999999</v>
      </c>
      <c r="AA313">
        <f>1-((0.95-Y313)*0.5)</f>
        <v>0.95803815200000009</v>
      </c>
      <c r="AB313">
        <f>U313/AA313</f>
        <v>1932.0733690363511</v>
      </c>
      <c r="AC313" cm="1">
        <f t="array" ref="AC313">_xlfn.IFS(Y313&lt;0.6,U313,0.9&lt;Y313,U313,Y313,AB313)</f>
        <v>1932.0733690363511</v>
      </c>
      <c r="AD313">
        <v>0.95312670600000005</v>
      </c>
      <c r="AE313">
        <v>2081.4039659999999</v>
      </c>
      <c r="AF313">
        <v>2081.4039659999999</v>
      </c>
      <c r="AH313">
        <v>0</v>
      </c>
      <c r="AI313">
        <v>348</v>
      </c>
    </row>
    <row r="314" spans="1:35" x14ac:dyDescent="0.25">
      <c r="A314" t="s">
        <v>330</v>
      </c>
      <c r="B314" t="s">
        <v>354</v>
      </c>
      <c r="D314" t="s">
        <v>332</v>
      </c>
      <c r="E314">
        <v>14</v>
      </c>
      <c r="H314">
        <f t="shared" si="4"/>
        <v>241024001</v>
      </c>
      <c r="I314">
        <v>14001</v>
      </c>
      <c r="J314">
        <v>1</v>
      </c>
      <c r="K314" t="s">
        <v>333</v>
      </c>
      <c r="L314">
        <v>100000</v>
      </c>
      <c r="M314" t="s">
        <v>355</v>
      </c>
      <c r="N314">
        <v>69</v>
      </c>
      <c r="O314">
        <v>1401</v>
      </c>
      <c r="P314">
        <v>14</v>
      </c>
      <c r="Q314">
        <v>1</v>
      </c>
      <c r="R314">
        <v>61</v>
      </c>
      <c r="S314">
        <v>20.100000000000001</v>
      </c>
      <c r="T314">
        <v>427</v>
      </c>
      <c r="U314">
        <v>547</v>
      </c>
      <c r="V314" s="1">
        <v>45491</v>
      </c>
      <c r="W314" s="1">
        <v>45525</v>
      </c>
      <c r="X314">
        <v>150318</v>
      </c>
      <c r="Y314">
        <v>0.988953729</v>
      </c>
      <c r="Z314">
        <v>553.10980059999997</v>
      </c>
      <c r="AA314">
        <f>1-((0.95-Y314)*0.5)</f>
        <v>1.0194768645000001</v>
      </c>
      <c r="AB314">
        <f>U314/AA314</f>
        <v>536.54969430647634</v>
      </c>
      <c r="AC314" cm="1">
        <f t="array" ref="AC314">_xlfn.IFS(Y314&lt;0.6,U314,0.9&lt;Y314,U314,Y314,AB314)</f>
        <v>547</v>
      </c>
      <c r="AD314">
        <v>0.99613380500000004</v>
      </c>
      <c r="AE314">
        <v>552.17274139999995</v>
      </c>
      <c r="AF314">
        <v>547</v>
      </c>
      <c r="AH314">
        <v>0</v>
      </c>
      <c r="AI314">
        <v>14</v>
      </c>
    </row>
    <row r="315" spans="1:35" x14ac:dyDescent="0.25">
      <c r="A315" t="s">
        <v>330</v>
      </c>
      <c r="B315" t="s">
        <v>359</v>
      </c>
      <c r="D315" t="s">
        <v>332</v>
      </c>
      <c r="E315">
        <v>17</v>
      </c>
      <c r="H315">
        <f t="shared" si="4"/>
        <v>241024002</v>
      </c>
      <c r="I315">
        <v>14002</v>
      </c>
      <c r="J315">
        <v>1</v>
      </c>
      <c r="K315" t="s">
        <v>333</v>
      </c>
      <c r="L315">
        <v>150000</v>
      </c>
      <c r="M315" t="s">
        <v>355</v>
      </c>
      <c r="N315">
        <v>84</v>
      </c>
      <c r="O315">
        <v>1402</v>
      </c>
      <c r="P315">
        <v>14</v>
      </c>
      <c r="Q315">
        <v>2</v>
      </c>
      <c r="R315">
        <v>65</v>
      </c>
      <c r="S315">
        <v>20.5</v>
      </c>
      <c r="T315">
        <v>595</v>
      </c>
      <c r="U315">
        <v>759</v>
      </c>
      <c r="V315" s="1">
        <v>45492</v>
      </c>
      <c r="W315" s="1">
        <v>45525</v>
      </c>
      <c r="X315">
        <v>149613</v>
      </c>
      <c r="Y315">
        <v>0.98428957699999997</v>
      </c>
      <c r="Z315">
        <v>771.11453549999999</v>
      </c>
      <c r="AA315">
        <f>1-((0.95-Y315)*0.5)</f>
        <v>1.0171447885</v>
      </c>
      <c r="AB315">
        <f>U315/AA315</f>
        <v>746.20644826712396</v>
      </c>
      <c r="AC315" cm="1">
        <f t="array" ref="AC315">_xlfn.IFS(Y315&lt;0.6,U315,0.9&lt;Y315,U315,Y315,AB315)</f>
        <v>759</v>
      </c>
      <c r="AD315">
        <v>0.99450135200000001</v>
      </c>
      <c r="AE315">
        <v>769.23908489999997</v>
      </c>
      <c r="AF315">
        <v>759</v>
      </c>
      <c r="AH315">
        <v>0</v>
      </c>
      <c r="AI315">
        <v>17</v>
      </c>
    </row>
    <row r="316" spans="1:35" x14ac:dyDescent="0.25">
      <c r="A316" t="s">
        <v>330</v>
      </c>
      <c r="B316" t="s">
        <v>386</v>
      </c>
      <c r="D316" t="s">
        <v>332</v>
      </c>
      <c r="E316">
        <v>44</v>
      </c>
      <c r="H316">
        <f t="shared" si="4"/>
        <v>241024003</v>
      </c>
      <c r="I316">
        <v>14003</v>
      </c>
      <c r="J316">
        <v>1</v>
      </c>
      <c r="K316" t="s">
        <v>333</v>
      </c>
      <c r="L316">
        <v>75000</v>
      </c>
      <c r="M316" t="s">
        <v>353</v>
      </c>
      <c r="N316">
        <v>52</v>
      </c>
      <c r="O316">
        <v>1403</v>
      </c>
      <c r="P316">
        <v>14</v>
      </c>
      <c r="Q316">
        <v>3</v>
      </c>
      <c r="R316">
        <v>42</v>
      </c>
      <c r="S316">
        <v>18.600000000000001</v>
      </c>
      <c r="T316">
        <v>918</v>
      </c>
      <c r="U316">
        <v>1199</v>
      </c>
      <c r="V316" s="1">
        <v>45497</v>
      </c>
      <c r="W316" s="1">
        <v>45537</v>
      </c>
      <c r="X316">
        <v>132193</v>
      </c>
      <c r="Y316">
        <v>0.86968506800000001</v>
      </c>
      <c r="Z316">
        <v>1378.6599819999999</v>
      </c>
      <c r="AA316">
        <f>1-((0.95-Y316)*0.5)</f>
        <v>0.95984253400000008</v>
      </c>
      <c r="AB316">
        <f>U316/AA316</f>
        <v>1249.1632299345467</v>
      </c>
      <c r="AC316" cm="1">
        <f t="array" ref="AC316">_xlfn.IFS(Y316&lt;0.6,U316,0.9&lt;Y316,U316,Y316,AB316)</f>
        <v>1249.1632299345467</v>
      </c>
      <c r="AD316">
        <v>0.95438977400000002</v>
      </c>
      <c r="AE316">
        <v>1343.86283</v>
      </c>
      <c r="AF316">
        <v>1343.86283</v>
      </c>
      <c r="AH316">
        <v>0</v>
      </c>
      <c r="AI316">
        <v>44</v>
      </c>
    </row>
    <row r="317" spans="1:35" x14ac:dyDescent="0.25">
      <c r="A317" t="s">
        <v>330</v>
      </c>
      <c r="B317" t="s">
        <v>389</v>
      </c>
      <c r="D317" t="s">
        <v>332</v>
      </c>
      <c r="E317">
        <v>47</v>
      </c>
      <c r="H317">
        <f t="shared" si="4"/>
        <v>241024004</v>
      </c>
      <c r="I317">
        <v>14004</v>
      </c>
      <c r="J317">
        <v>1</v>
      </c>
      <c r="K317" t="s">
        <v>388</v>
      </c>
      <c r="L317">
        <v>150000</v>
      </c>
      <c r="M317" t="s">
        <v>279</v>
      </c>
      <c r="N317">
        <v>45</v>
      </c>
      <c r="O317">
        <v>1404</v>
      </c>
      <c r="P317">
        <v>14</v>
      </c>
      <c r="Q317">
        <v>4</v>
      </c>
      <c r="R317">
        <v>28</v>
      </c>
      <c r="S317">
        <v>21.2</v>
      </c>
      <c r="T317">
        <v>1570</v>
      </c>
      <c r="U317">
        <v>1985</v>
      </c>
      <c r="V317" s="1">
        <v>45497</v>
      </c>
      <c r="W317" s="1">
        <v>45532</v>
      </c>
      <c r="X317">
        <v>123237</v>
      </c>
      <c r="Y317">
        <v>0.95450490600000004</v>
      </c>
      <c r="Z317">
        <v>2448.2745850000001</v>
      </c>
      <c r="AA317">
        <f>1-((0.95-Y317)*0.5)</f>
        <v>1.0022524530000001</v>
      </c>
      <c r="AB317">
        <f>U317/AA317</f>
        <v>1980.5389291474248</v>
      </c>
      <c r="AC317" cm="1">
        <f t="array" ref="AC317">_xlfn.IFS(Y317&lt;0.6,U317,0.9&lt;Y317,U317,Y317,AB317)</f>
        <v>1985</v>
      </c>
      <c r="AD317">
        <v>0.98407671699999999</v>
      </c>
      <c r="AE317">
        <v>2227.9069239999999</v>
      </c>
      <c r="AF317">
        <v>1985</v>
      </c>
      <c r="AH317">
        <v>0</v>
      </c>
      <c r="AI317">
        <v>47</v>
      </c>
    </row>
    <row r="318" spans="1:35" x14ac:dyDescent="0.25">
      <c r="A318" t="s">
        <v>330</v>
      </c>
      <c r="B318" t="s">
        <v>416</v>
      </c>
      <c r="D318" t="s">
        <v>332</v>
      </c>
      <c r="E318">
        <v>74</v>
      </c>
      <c r="H318">
        <f t="shared" si="4"/>
        <v>241024005</v>
      </c>
      <c r="I318">
        <v>14005</v>
      </c>
      <c r="J318">
        <v>1</v>
      </c>
      <c r="K318" t="s">
        <v>388</v>
      </c>
      <c r="L318">
        <v>75000</v>
      </c>
      <c r="M318" t="s">
        <v>338</v>
      </c>
      <c r="N318">
        <v>14</v>
      </c>
      <c r="O318">
        <v>1405</v>
      </c>
      <c r="P318">
        <v>14</v>
      </c>
      <c r="Q318">
        <v>5</v>
      </c>
      <c r="R318">
        <v>50</v>
      </c>
      <c r="S318">
        <v>19.899999999999999</v>
      </c>
      <c r="T318">
        <v>1223</v>
      </c>
      <c r="U318">
        <v>1572</v>
      </c>
      <c r="V318" s="1">
        <v>45494</v>
      </c>
      <c r="W318" s="1">
        <v>45530</v>
      </c>
      <c r="X318">
        <v>122658</v>
      </c>
      <c r="Y318">
        <v>0.95706619000000004</v>
      </c>
      <c r="Z318">
        <v>1948.050677</v>
      </c>
      <c r="AA318">
        <f>1-((0.95-Y318)*0.5)</f>
        <v>1.0035330950000001</v>
      </c>
      <c r="AB318">
        <f>U318/AA318</f>
        <v>1566.4655284736771</v>
      </c>
      <c r="AC318" cm="1">
        <f t="array" ref="AC318">_xlfn.IFS(Y318&lt;0.6,U318,0.9&lt;Y318,U318,Y318,AB318)</f>
        <v>1572</v>
      </c>
      <c r="AD318">
        <v>0.98497316700000004</v>
      </c>
      <c r="AE318">
        <v>1766.483043</v>
      </c>
      <c r="AF318">
        <v>1572</v>
      </c>
      <c r="AH318">
        <v>0</v>
      </c>
      <c r="AI318">
        <v>74</v>
      </c>
    </row>
    <row r="319" spans="1:35" x14ac:dyDescent="0.25">
      <c r="A319" t="s">
        <v>330</v>
      </c>
      <c r="B319" t="s">
        <v>419</v>
      </c>
      <c r="D319" t="s">
        <v>332</v>
      </c>
      <c r="E319">
        <v>77</v>
      </c>
      <c r="H319">
        <f t="shared" si="4"/>
        <v>241024006</v>
      </c>
      <c r="I319">
        <v>14006</v>
      </c>
      <c r="J319">
        <v>1</v>
      </c>
      <c r="K319" t="s">
        <v>388</v>
      </c>
      <c r="L319">
        <v>100000</v>
      </c>
      <c r="M319" t="s">
        <v>355</v>
      </c>
      <c r="N319">
        <v>24</v>
      </c>
      <c r="O319">
        <v>1406</v>
      </c>
      <c r="P319">
        <v>14</v>
      </c>
      <c r="Q319">
        <v>6</v>
      </c>
      <c r="R319">
        <v>56</v>
      </c>
      <c r="S319">
        <v>18.5</v>
      </c>
      <c r="T319">
        <v>539</v>
      </c>
      <c r="U319">
        <v>705</v>
      </c>
      <c r="V319" s="1">
        <v>45493</v>
      </c>
      <c r="W319" s="1">
        <v>45523</v>
      </c>
      <c r="X319">
        <v>125487</v>
      </c>
      <c r="Y319">
        <v>0.96434937600000004</v>
      </c>
      <c r="Z319">
        <v>853.95861720000005</v>
      </c>
      <c r="AA319">
        <f>1-((0.95-Y319)*0.5)</f>
        <v>1.0071746880000001</v>
      </c>
      <c r="AB319">
        <f>U319/AA319</f>
        <v>699.97787712472768</v>
      </c>
      <c r="AC319" cm="1">
        <f t="array" ref="AC319">_xlfn.IFS(Y319&lt;0.6,U319,0.9&lt;Y319,U319,Y319,AB319)</f>
        <v>705</v>
      </c>
      <c r="AD319">
        <v>0.98752228200000003</v>
      </c>
      <c r="AE319">
        <v>782.12190169999997</v>
      </c>
      <c r="AF319">
        <v>705</v>
      </c>
      <c r="AH319">
        <v>0</v>
      </c>
      <c r="AI319">
        <v>77</v>
      </c>
    </row>
    <row r="320" spans="1:35" x14ac:dyDescent="0.25">
      <c r="A320" t="s">
        <v>330</v>
      </c>
      <c r="B320" t="s">
        <v>445</v>
      </c>
      <c r="D320" t="s">
        <v>332</v>
      </c>
      <c r="E320">
        <v>104</v>
      </c>
      <c r="H320">
        <f t="shared" si="4"/>
        <v>241024007</v>
      </c>
      <c r="I320">
        <v>14007</v>
      </c>
      <c r="J320">
        <v>2</v>
      </c>
      <c r="K320" t="s">
        <v>388</v>
      </c>
      <c r="L320">
        <v>75000</v>
      </c>
      <c r="M320" t="s">
        <v>295</v>
      </c>
      <c r="N320">
        <v>11</v>
      </c>
      <c r="O320">
        <v>1407</v>
      </c>
      <c r="P320">
        <v>14</v>
      </c>
      <c r="Q320">
        <v>7</v>
      </c>
      <c r="R320">
        <v>57</v>
      </c>
      <c r="S320">
        <v>20.6</v>
      </c>
      <c r="T320">
        <v>253</v>
      </c>
      <c r="U320">
        <v>322</v>
      </c>
      <c r="V320" s="1">
        <v>45490</v>
      </c>
      <c r="W320" s="1">
        <v>45525</v>
      </c>
      <c r="X320">
        <v>97018</v>
      </c>
      <c r="Y320">
        <v>0.66934763200000003</v>
      </c>
      <c r="Z320">
        <v>504.48370410000001</v>
      </c>
      <c r="AA320">
        <f>1-((0.95-Y320)*0.5)</f>
        <v>0.85967381600000004</v>
      </c>
      <c r="AB320">
        <f>U320/AA320</f>
        <v>374.56066941557282</v>
      </c>
      <c r="AC320" cm="1">
        <f t="array" ref="AC320">_xlfn.IFS(Y320&lt;0.6,U320,0.9&lt;Y320,U320,Y320,AB320)</f>
        <v>374.56066941557282</v>
      </c>
      <c r="AD320">
        <v>0.88427167100000004</v>
      </c>
      <c r="AE320">
        <v>444.5422082</v>
      </c>
      <c r="AF320">
        <v>444.5422082</v>
      </c>
      <c r="AH320">
        <v>0</v>
      </c>
      <c r="AI320">
        <v>104</v>
      </c>
    </row>
    <row r="321" spans="1:35" x14ac:dyDescent="0.25">
      <c r="A321" t="s">
        <v>330</v>
      </c>
      <c r="B321">
        <v>1157728786</v>
      </c>
      <c r="D321" t="s">
        <v>332</v>
      </c>
      <c r="E321">
        <v>107</v>
      </c>
      <c r="H321">
        <f t="shared" si="4"/>
        <v>241024008</v>
      </c>
      <c r="I321">
        <v>14008</v>
      </c>
      <c r="J321">
        <v>2</v>
      </c>
      <c r="K321" t="s">
        <v>388</v>
      </c>
      <c r="L321">
        <v>150000</v>
      </c>
      <c r="M321" t="s">
        <v>295</v>
      </c>
      <c r="N321">
        <v>41</v>
      </c>
      <c r="O321">
        <v>1408</v>
      </c>
      <c r="P321">
        <v>14</v>
      </c>
      <c r="Q321">
        <v>8</v>
      </c>
      <c r="V321" s="1">
        <v>45491</v>
      </c>
      <c r="W321" s="1">
        <v>45528</v>
      </c>
      <c r="X321">
        <v>115099</v>
      </c>
      <c r="Y321">
        <v>0.83065953699999995</v>
      </c>
      <c r="AH321">
        <v>0</v>
      </c>
      <c r="AI321">
        <v>107</v>
      </c>
    </row>
    <row r="322" spans="1:35" x14ac:dyDescent="0.25">
      <c r="A322" t="s">
        <v>330</v>
      </c>
      <c r="B322" t="s">
        <v>474</v>
      </c>
      <c r="D322" t="s">
        <v>332</v>
      </c>
      <c r="E322">
        <v>134</v>
      </c>
      <c r="H322">
        <f t="shared" si="4"/>
        <v>241024009</v>
      </c>
      <c r="I322">
        <v>14009</v>
      </c>
      <c r="J322">
        <v>2</v>
      </c>
      <c r="K322" t="s">
        <v>388</v>
      </c>
      <c r="L322">
        <v>100000</v>
      </c>
      <c r="M322" t="s">
        <v>341</v>
      </c>
      <c r="N322">
        <v>20</v>
      </c>
      <c r="O322">
        <v>1409</v>
      </c>
      <c r="P322">
        <v>14</v>
      </c>
      <c r="Q322">
        <v>9</v>
      </c>
      <c r="R322">
        <v>29</v>
      </c>
      <c r="S322">
        <v>19.600000000000001</v>
      </c>
      <c r="T322">
        <v>1786</v>
      </c>
      <c r="U322">
        <v>2304</v>
      </c>
      <c r="V322" s="1">
        <v>45495</v>
      </c>
      <c r="W322" s="1">
        <v>45532</v>
      </c>
      <c r="X322">
        <v>131040</v>
      </c>
      <c r="Y322">
        <v>0.99285076000000005</v>
      </c>
      <c r="Z322">
        <v>2672.5274730000001</v>
      </c>
      <c r="AA322">
        <f>1-((0.95-Y322)*0.5)</f>
        <v>1.0214253800000002</v>
      </c>
      <c r="AB322">
        <f>U322/AA322</f>
        <v>2255.6713834543643</v>
      </c>
      <c r="AC322" cm="1">
        <f t="array" ref="AC322">_xlfn.IFS(Y322&lt;0.6,U322,0.9&lt;Y322,U322,Y322,AB322)</f>
        <v>2304</v>
      </c>
      <c r="AD322">
        <v>0.99749776599999995</v>
      </c>
      <c r="AE322">
        <v>2480.8260359999999</v>
      </c>
      <c r="AF322">
        <v>2304</v>
      </c>
      <c r="AH322">
        <v>0</v>
      </c>
      <c r="AI322">
        <v>134</v>
      </c>
    </row>
    <row r="323" spans="1:35" x14ac:dyDescent="0.25">
      <c r="A323" t="s">
        <v>330</v>
      </c>
      <c r="B323" t="s">
        <v>477</v>
      </c>
      <c r="D323" t="s">
        <v>332</v>
      </c>
      <c r="E323">
        <v>137</v>
      </c>
      <c r="H323">
        <f t="shared" ref="H323:H361" si="5">24101*10000+I323</f>
        <v>241024010</v>
      </c>
      <c r="I323">
        <v>14010</v>
      </c>
      <c r="J323">
        <v>2</v>
      </c>
      <c r="K323" t="s">
        <v>333</v>
      </c>
      <c r="L323">
        <v>100000</v>
      </c>
      <c r="M323" t="s">
        <v>334</v>
      </c>
      <c r="N323">
        <v>68</v>
      </c>
      <c r="O323">
        <v>1410</v>
      </c>
      <c r="P323">
        <v>14</v>
      </c>
      <c r="Q323">
        <v>10</v>
      </c>
      <c r="R323">
        <v>35</v>
      </c>
      <c r="S323">
        <v>19.5</v>
      </c>
      <c r="T323">
        <v>1810</v>
      </c>
      <c r="U323">
        <v>2338</v>
      </c>
      <c r="V323" s="1">
        <v>45499</v>
      </c>
      <c r="W323" s="1">
        <v>45534</v>
      </c>
      <c r="X323">
        <v>137983</v>
      </c>
      <c r="Y323">
        <v>0.90777692300000001</v>
      </c>
      <c r="Z323">
        <v>2575.522622</v>
      </c>
      <c r="AA323">
        <f>1-((0.95-Y323)*0.5)</f>
        <v>0.97888846149999997</v>
      </c>
      <c r="AB323">
        <f>U323/AA323</f>
        <v>2388.4232902463323</v>
      </c>
      <c r="AC323" cm="1">
        <f t="array" ref="AC323">_xlfn.IFS(Y323&lt;0.6,U323,0.9&lt;Y323,U323,Y323,AB323)</f>
        <v>2338</v>
      </c>
      <c r="AD323">
        <v>0.96772192300000004</v>
      </c>
      <c r="AE323">
        <v>2532.7733720000001</v>
      </c>
      <c r="AF323">
        <v>2338</v>
      </c>
      <c r="AH323">
        <v>0</v>
      </c>
      <c r="AI323">
        <v>137</v>
      </c>
    </row>
    <row r="324" spans="1:35" x14ac:dyDescent="0.25">
      <c r="A324" t="s">
        <v>330</v>
      </c>
      <c r="B324" t="s">
        <v>504</v>
      </c>
      <c r="D324" t="s">
        <v>332</v>
      </c>
      <c r="E324">
        <v>164</v>
      </c>
      <c r="H324">
        <f t="shared" si="5"/>
        <v>241024011</v>
      </c>
      <c r="I324">
        <v>14011</v>
      </c>
      <c r="J324">
        <v>2</v>
      </c>
      <c r="K324" t="s">
        <v>333</v>
      </c>
      <c r="L324">
        <v>75000</v>
      </c>
      <c r="M324" t="s">
        <v>343</v>
      </c>
      <c r="N324">
        <v>46</v>
      </c>
      <c r="O324">
        <v>1411</v>
      </c>
      <c r="P324">
        <v>14</v>
      </c>
      <c r="Q324">
        <v>11</v>
      </c>
      <c r="R324">
        <v>38</v>
      </c>
      <c r="S324">
        <v>20.100000000000001</v>
      </c>
      <c r="T324">
        <v>1404</v>
      </c>
      <c r="U324">
        <v>1800</v>
      </c>
      <c r="V324" s="1">
        <v>45499</v>
      </c>
      <c r="W324" s="1">
        <v>45536</v>
      </c>
      <c r="X324">
        <v>142718</v>
      </c>
      <c r="Y324">
        <v>0.93893421099999996</v>
      </c>
      <c r="Z324">
        <v>1917.067223</v>
      </c>
      <c r="AA324">
        <f>1-((0.95-Y324)*0.5)</f>
        <v>0.99446710550000006</v>
      </c>
      <c r="AB324">
        <f>U324/AA324</f>
        <v>1810.0146199355609</v>
      </c>
      <c r="AC324" cm="1">
        <f t="array" ref="AC324">_xlfn.IFS(Y324&lt;0.6,U324,0.9&lt;Y324,U324,Y324,AB324)</f>
        <v>1800</v>
      </c>
      <c r="AD324">
        <v>0.97862697399999998</v>
      </c>
      <c r="AE324">
        <v>1897.2398820000001</v>
      </c>
      <c r="AF324">
        <v>1800</v>
      </c>
      <c r="AH324">
        <v>0</v>
      </c>
      <c r="AI324">
        <v>164</v>
      </c>
    </row>
    <row r="325" spans="1:35" x14ac:dyDescent="0.25">
      <c r="A325" t="s">
        <v>330</v>
      </c>
      <c r="B325" t="s">
        <v>507</v>
      </c>
      <c r="D325" t="s">
        <v>332</v>
      </c>
      <c r="E325">
        <v>167</v>
      </c>
      <c r="H325">
        <f t="shared" si="5"/>
        <v>241024012</v>
      </c>
      <c r="I325">
        <v>14012</v>
      </c>
      <c r="J325">
        <v>2</v>
      </c>
      <c r="K325" t="s">
        <v>333</v>
      </c>
      <c r="L325">
        <v>150000</v>
      </c>
      <c r="M325" t="s">
        <v>357</v>
      </c>
      <c r="N325">
        <v>78</v>
      </c>
      <c r="O325">
        <v>1412</v>
      </c>
      <c r="P325">
        <v>14</v>
      </c>
      <c r="Q325">
        <v>12</v>
      </c>
      <c r="R325">
        <v>40</v>
      </c>
      <c r="S325">
        <v>17.899999999999999</v>
      </c>
      <c r="T325">
        <v>2059</v>
      </c>
      <c r="U325">
        <v>2713</v>
      </c>
      <c r="V325" s="1">
        <v>45496</v>
      </c>
      <c r="W325" s="1">
        <v>45535</v>
      </c>
      <c r="X325">
        <v>149679</v>
      </c>
      <c r="Y325">
        <v>0.98474322000000003</v>
      </c>
      <c r="Z325">
        <v>2755.0329299999999</v>
      </c>
      <c r="AA325">
        <f>1-((0.95-Y325)*0.5)</f>
        <v>1.0173716100000001</v>
      </c>
      <c r="AB325">
        <f>U325/AA325</f>
        <v>2666.6755523087572</v>
      </c>
      <c r="AC325" cm="1">
        <f t="array" ref="AC325">_xlfn.IFS(Y325&lt;0.6,U325,0.9&lt;Y325,U325,Y325,AB325)</f>
        <v>2713</v>
      </c>
      <c r="AD325">
        <v>0.99466012699999995</v>
      </c>
      <c r="AE325">
        <v>2748.5317209999998</v>
      </c>
      <c r="AF325">
        <v>2713</v>
      </c>
      <c r="AH325">
        <v>0</v>
      </c>
      <c r="AI325">
        <v>167</v>
      </c>
    </row>
    <row r="326" spans="1:35" x14ac:dyDescent="0.25">
      <c r="A326" t="s">
        <v>330</v>
      </c>
      <c r="B326" t="s">
        <v>534</v>
      </c>
      <c r="D326" t="s">
        <v>332</v>
      </c>
      <c r="E326">
        <v>194</v>
      </c>
      <c r="H326">
        <f t="shared" si="5"/>
        <v>241024013</v>
      </c>
      <c r="I326">
        <v>14013</v>
      </c>
      <c r="J326">
        <v>3</v>
      </c>
      <c r="K326" t="s">
        <v>388</v>
      </c>
      <c r="L326">
        <v>150000</v>
      </c>
      <c r="M326" t="s">
        <v>341</v>
      </c>
      <c r="N326">
        <v>35</v>
      </c>
      <c r="O326">
        <v>1413</v>
      </c>
      <c r="P326">
        <v>14</v>
      </c>
      <c r="Q326">
        <v>13</v>
      </c>
      <c r="R326">
        <v>28</v>
      </c>
      <c r="S326">
        <v>18.399999999999999</v>
      </c>
      <c r="T326">
        <v>1318</v>
      </c>
      <c r="U326">
        <v>1726</v>
      </c>
      <c r="V326" s="1">
        <v>45495</v>
      </c>
      <c r="W326" s="1">
        <v>45532</v>
      </c>
      <c r="X326">
        <v>115179</v>
      </c>
      <c r="Y326">
        <v>0.66905187799999999</v>
      </c>
      <c r="Z326">
        <v>2277.8063010000001</v>
      </c>
      <c r="AA326">
        <f>1-((0.95-Y326)*0.5)</f>
        <v>0.85952593900000007</v>
      </c>
      <c r="AB326">
        <f>U326/AA326</f>
        <v>2008.0836676180868</v>
      </c>
      <c r="AC326" cm="1">
        <f t="array" ref="AC326">_xlfn.IFS(Y326&lt;0.6,U326,0.9&lt;Y326,U326,Y326,AB326)</f>
        <v>2008.0836676180868</v>
      </c>
      <c r="AD326">
        <v>0.88416815699999995</v>
      </c>
      <c r="AE326">
        <v>2221.1590000000001</v>
      </c>
      <c r="AF326">
        <v>2221.1590000000001</v>
      </c>
      <c r="AH326">
        <v>0</v>
      </c>
      <c r="AI326">
        <v>194</v>
      </c>
    </row>
    <row r="327" spans="1:35" x14ac:dyDescent="0.25">
      <c r="A327" t="s">
        <v>330</v>
      </c>
      <c r="B327" t="s">
        <v>537</v>
      </c>
      <c r="D327" t="s">
        <v>332</v>
      </c>
      <c r="E327">
        <v>197</v>
      </c>
      <c r="H327">
        <f t="shared" si="5"/>
        <v>241024014</v>
      </c>
      <c r="I327">
        <v>14014</v>
      </c>
      <c r="J327">
        <v>3</v>
      </c>
      <c r="K327" t="s">
        <v>388</v>
      </c>
      <c r="L327">
        <v>75000</v>
      </c>
      <c r="M327" t="s">
        <v>357</v>
      </c>
      <c r="N327">
        <v>3</v>
      </c>
      <c r="O327">
        <v>1414</v>
      </c>
      <c r="P327">
        <v>14</v>
      </c>
      <c r="Q327">
        <v>14</v>
      </c>
      <c r="R327">
        <v>41</v>
      </c>
      <c r="S327">
        <v>18</v>
      </c>
      <c r="T327">
        <v>1429</v>
      </c>
      <c r="U327">
        <v>1880</v>
      </c>
      <c r="V327" s="1">
        <v>45496</v>
      </c>
      <c r="W327" s="1">
        <v>45534</v>
      </c>
      <c r="X327">
        <v>125890</v>
      </c>
      <c r="Y327">
        <v>0.89454870399999997</v>
      </c>
      <c r="Z327">
        <v>2269.9181830000002</v>
      </c>
      <c r="AA327">
        <f>1-((0.95-Y327)*0.5)</f>
        <v>0.97227435200000001</v>
      </c>
      <c r="AB327">
        <f>U327/AA327</f>
        <v>1933.6106070604235</v>
      </c>
      <c r="AC327" cm="1">
        <f t="array" ref="AC327">_xlfn.IFS(Y327&lt;0.6,U327,0.9&lt;Y327,U327,Y327,AB327)</f>
        <v>1933.6106070604235</v>
      </c>
      <c r="AD327">
        <v>0.96309204599999998</v>
      </c>
      <c r="AE327">
        <v>2135.4564439999999</v>
      </c>
      <c r="AF327">
        <v>2135.4564439999999</v>
      </c>
      <c r="AH327">
        <v>0</v>
      </c>
      <c r="AI327">
        <v>197</v>
      </c>
    </row>
    <row r="328" spans="1:35" x14ac:dyDescent="0.25">
      <c r="A328" t="s">
        <v>330</v>
      </c>
      <c r="B328" t="s">
        <v>564</v>
      </c>
      <c r="D328" t="s">
        <v>332</v>
      </c>
      <c r="E328">
        <v>224</v>
      </c>
      <c r="H328">
        <f t="shared" si="5"/>
        <v>241024015</v>
      </c>
      <c r="I328">
        <v>14015</v>
      </c>
      <c r="J328">
        <v>3</v>
      </c>
      <c r="K328" t="s">
        <v>388</v>
      </c>
      <c r="L328">
        <v>100000</v>
      </c>
      <c r="M328" t="s">
        <v>338</v>
      </c>
      <c r="N328">
        <v>29</v>
      </c>
      <c r="O328">
        <v>1415</v>
      </c>
      <c r="P328">
        <v>14</v>
      </c>
      <c r="Q328">
        <v>15</v>
      </c>
      <c r="R328">
        <v>44</v>
      </c>
      <c r="S328">
        <v>18.2</v>
      </c>
      <c r="T328">
        <v>1194</v>
      </c>
      <c r="U328">
        <v>1567</v>
      </c>
      <c r="V328" s="1">
        <v>45493</v>
      </c>
      <c r="W328" s="1">
        <v>45530</v>
      </c>
      <c r="X328">
        <v>127659</v>
      </c>
      <c r="Y328">
        <v>0.94919786100000003</v>
      </c>
      <c r="Z328">
        <v>1865.7830630000001</v>
      </c>
      <c r="AA328">
        <f>1-((0.95-Y328)*0.5)</f>
        <v>0.99959893050000004</v>
      </c>
      <c r="AB328">
        <f>U328/AA328</f>
        <v>1567.6287280701526</v>
      </c>
      <c r="AC328" cm="1">
        <f t="array" ref="AC328">_xlfn.IFS(Y328&lt;0.6,U328,0.9&lt;Y328,U328,Y328,AB328)</f>
        <v>1567</v>
      </c>
      <c r="AD328">
        <v>0.98221925099999996</v>
      </c>
      <c r="AE328">
        <v>1734.2245809999999</v>
      </c>
      <c r="AF328">
        <v>1567</v>
      </c>
      <c r="AH328">
        <v>0</v>
      </c>
      <c r="AI328">
        <v>224</v>
      </c>
    </row>
    <row r="329" spans="1:35" x14ac:dyDescent="0.25">
      <c r="A329" t="s">
        <v>330</v>
      </c>
      <c r="B329" t="s">
        <v>567</v>
      </c>
      <c r="D329" t="s">
        <v>332</v>
      </c>
      <c r="E329">
        <v>227</v>
      </c>
      <c r="H329">
        <f t="shared" si="5"/>
        <v>241024016</v>
      </c>
      <c r="I329">
        <v>14016</v>
      </c>
      <c r="J329">
        <v>3</v>
      </c>
      <c r="K329" t="s">
        <v>333</v>
      </c>
      <c r="L329">
        <v>100000</v>
      </c>
      <c r="M329" t="s">
        <v>349</v>
      </c>
      <c r="N329">
        <v>73</v>
      </c>
      <c r="O329">
        <v>1416</v>
      </c>
      <c r="P329">
        <v>14</v>
      </c>
      <c r="Q329">
        <v>16</v>
      </c>
      <c r="R329">
        <v>27</v>
      </c>
      <c r="S329">
        <v>17.600000000000001</v>
      </c>
      <c r="T329">
        <v>2041</v>
      </c>
      <c r="U329">
        <v>2699</v>
      </c>
      <c r="V329" s="1">
        <v>45497</v>
      </c>
      <c r="W329" s="1">
        <v>45535</v>
      </c>
      <c r="X329">
        <v>148583</v>
      </c>
      <c r="Y329">
        <v>0.977532599</v>
      </c>
      <c r="Z329">
        <v>2761.0332410000001</v>
      </c>
      <c r="AA329">
        <f>1-((0.95-Y329)*0.5)</f>
        <v>1.0137662995000001</v>
      </c>
      <c r="AB329">
        <f>U329/AA329</f>
        <v>2662.3493021332179</v>
      </c>
      <c r="AC329" cm="1">
        <f t="array" ref="AC329">_xlfn.IFS(Y329&lt;0.6,U329,0.9&lt;Y329,U329,Y329,AB329)</f>
        <v>2699</v>
      </c>
      <c r="AD329">
        <v>0.99213640999999997</v>
      </c>
      <c r="AE329">
        <v>2751.299321</v>
      </c>
      <c r="AF329">
        <v>2699</v>
      </c>
      <c r="AH329">
        <v>0</v>
      </c>
      <c r="AI329">
        <v>227</v>
      </c>
    </row>
    <row r="330" spans="1:35" x14ac:dyDescent="0.25">
      <c r="A330" t="s">
        <v>330</v>
      </c>
      <c r="B330" t="s">
        <v>594</v>
      </c>
      <c r="D330" t="s">
        <v>332</v>
      </c>
      <c r="E330">
        <v>254</v>
      </c>
      <c r="H330">
        <f t="shared" si="5"/>
        <v>241024017</v>
      </c>
      <c r="I330">
        <v>14017</v>
      </c>
      <c r="J330">
        <v>3</v>
      </c>
      <c r="K330" t="s">
        <v>333</v>
      </c>
      <c r="L330">
        <v>150000</v>
      </c>
      <c r="M330" t="s">
        <v>349</v>
      </c>
      <c r="N330">
        <v>88</v>
      </c>
      <c r="O330">
        <v>1417</v>
      </c>
      <c r="P330">
        <v>14</v>
      </c>
      <c r="Q330">
        <v>17</v>
      </c>
      <c r="R330">
        <v>38</v>
      </c>
      <c r="S330">
        <v>18.5</v>
      </c>
      <c r="T330">
        <v>2109</v>
      </c>
      <c r="U330">
        <v>2758</v>
      </c>
      <c r="V330" s="1">
        <v>45497</v>
      </c>
      <c r="W330" s="1">
        <v>45534</v>
      </c>
      <c r="X330">
        <v>151808</v>
      </c>
      <c r="Y330">
        <v>0.99872370099999996</v>
      </c>
      <c r="Z330">
        <v>2761.524531</v>
      </c>
      <c r="AA330">
        <f>1-((0.95-Y330)*0.5)</f>
        <v>1.0243618505000001</v>
      </c>
      <c r="AB330">
        <f>U330/AA330</f>
        <v>2692.4079597983819</v>
      </c>
      <c r="AC330" cm="1">
        <f t="array" ref="AC330">_xlfn.IFS(Y330&lt;0.6,U330,0.9&lt;Y330,U330,Y330,AB330)</f>
        <v>2758</v>
      </c>
      <c r="AD330">
        <v>0.99955329500000001</v>
      </c>
      <c r="AE330">
        <v>2760.9944890000002</v>
      </c>
      <c r="AF330">
        <v>2758</v>
      </c>
      <c r="AH330">
        <v>0</v>
      </c>
      <c r="AI330">
        <v>254</v>
      </c>
    </row>
    <row r="331" spans="1:35" x14ac:dyDescent="0.25">
      <c r="A331" t="s">
        <v>330</v>
      </c>
      <c r="B331" t="s">
        <v>597</v>
      </c>
      <c r="D331" t="s">
        <v>332</v>
      </c>
      <c r="E331">
        <v>257</v>
      </c>
      <c r="H331">
        <f t="shared" si="5"/>
        <v>241024018</v>
      </c>
      <c r="I331">
        <v>14018</v>
      </c>
      <c r="J331">
        <v>3</v>
      </c>
      <c r="K331" t="s">
        <v>333</v>
      </c>
      <c r="L331">
        <v>75000</v>
      </c>
      <c r="M331" t="s">
        <v>283</v>
      </c>
      <c r="N331">
        <v>47</v>
      </c>
      <c r="O331">
        <v>1418</v>
      </c>
      <c r="P331">
        <v>14</v>
      </c>
      <c r="Q331">
        <v>18</v>
      </c>
      <c r="R331">
        <v>27</v>
      </c>
      <c r="S331">
        <v>17.5</v>
      </c>
      <c r="T331">
        <v>2069</v>
      </c>
      <c r="U331">
        <v>2739</v>
      </c>
      <c r="V331" s="1">
        <v>45496</v>
      </c>
      <c r="W331" s="1">
        <v>45534</v>
      </c>
      <c r="X331">
        <v>150056</v>
      </c>
      <c r="Y331">
        <v>0.98720403199999995</v>
      </c>
      <c r="Z331">
        <v>2774.502446</v>
      </c>
      <c r="AA331">
        <f>1-((0.95-Y331)*0.5)</f>
        <v>1.018602016</v>
      </c>
      <c r="AB331">
        <f>U331/AA331</f>
        <v>2688.9795592157948</v>
      </c>
      <c r="AC331" cm="1">
        <f t="array" ref="AC331">_xlfn.IFS(Y331&lt;0.6,U331,0.9&lt;Y331,U331,Y331,AB331)</f>
        <v>2739</v>
      </c>
      <c r="AD331">
        <v>0.99552141100000002</v>
      </c>
      <c r="AE331">
        <v>2769.0383029999998</v>
      </c>
      <c r="AF331">
        <v>2739</v>
      </c>
      <c r="AH331">
        <v>0</v>
      </c>
      <c r="AI331">
        <v>257</v>
      </c>
    </row>
    <row r="332" spans="1:35" x14ac:dyDescent="0.25">
      <c r="A332" t="s">
        <v>330</v>
      </c>
      <c r="B332" t="s">
        <v>623</v>
      </c>
      <c r="D332" t="s">
        <v>332</v>
      </c>
      <c r="E332">
        <v>284</v>
      </c>
      <c r="H332">
        <f t="shared" si="5"/>
        <v>241024019</v>
      </c>
      <c r="I332">
        <v>14019</v>
      </c>
      <c r="J332">
        <v>4</v>
      </c>
      <c r="K332" t="s">
        <v>388</v>
      </c>
      <c r="L332">
        <v>75000</v>
      </c>
      <c r="M332" t="s">
        <v>355</v>
      </c>
      <c r="N332">
        <v>9</v>
      </c>
      <c r="O332">
        <v>1419</v>
      </c>
      <c r="P332">
        <v>14</v>
      </c>
      <c r="Q332">
        <v>19</v>
      </c>
      <c r="V332" s="1">
        <v>45493</v>
      </c>
      <c r="W332" s="1">
        <v>45528</v>
      </c>
      <c r="X332">
        <v>130315</v>
      </c>
      <c r="Y332">
        <v>0.91055456199999996</v>
      </c>
      <c r="AH332">
        <v>0</v>
      </c>
      <c r="AI332">
        <v>284</v>
      </c>
    </row>
    <row r="333" spans="1:35" x14ac:dyDescent="0.25">
      <c r="A333" t="s">
        <v>330</v>
      </c>
      <c r="B333" t="s">
        <v>626</v>
      </c>
      <c r="D333" t="s">
        <v>332</v>
      </c>
      <c r="E333">
        <v>287</v>
      </c>
      <c r="H333">
        <f t="shared" si="5"/>
        <v>241024020</v>
      </c>
      <c r="I333">
        <v>14020</v>
      </c>
      <c r="J333">
        <v>4</v>
      </c>
      <c r="K333" t="s">
        <v>388</v>
      </c>
      <c r="L333">
        <v>100000</v>
      </c>
      <c r="M333" t="s">
        <v>351</v>
      </c>
      <c r="N333">
        <v>25</v>
      </c>
      <c r="O333">
        <v>1420</v>
      </c>
      <c r="P333">
        <v>14</v>
      </c>
      <c r="Q333">
        <v>20</v>
      </c>
      <c r="V333" s="1">
        <v>45493</v>
      </c>
      <c r="W333" s="1">
        <v>45530</v>
      </c>
      <c r="X333">
        <v>125051</v>
      </c>
      <c r="Y333">
        <v>0.95195729500000004</v>
      </c>
      <c r="AH333">
        <v>0</v>
      </c>
      <c r="AI333">
        <v>287</v>
      </c>
    </row>
    <row r="334" spans="1:35" x14ac:dyDescent="0.25">
      <c r="A334" t="s">
        <v>330</v>
      </c>
      <c r="B334" t="s">
        <v>652</v>
      </c>
      <c r="D334" t="s">
        <v>332</v>
      </c>
      <c r="E334">
        <v>314</v>
      </c>
      <c r="H334">
        <f t="shared" si="5"/>
        <v>241024021</v>
      </c>
      <c r="I334">
        <v>14021</v>
      </c>
      <c r="J334">
        <v>4</v>
      </c>
      <c r="K334" t="s">
        <v>388</v>
      </c>
      <c r="L334">
        <v>150000</v>
      </c>
      <c r="M334" t="s">
        <v>298</v>
      </c>
      <c r="N334">
        <v>36</v>
      </c>
      <c r="O334">
        <v>1421</v>
      </c>
      <c r="P334">
        <v>14</v>
      </c>
      <c r="Q334">
        <v>21</v>
      </c>
      <c r="R334">
        <v>69</v>
      </c>
      <c r="S334">
        <v>18</v>
      </c>
      <c r="T334">
        <v>283</v>
      </c>
      <c r="U334">
        <v>372</v>
      </c>
      <c r="V334" s="1">
        <v>45491</v>
      </c>
      <c r="W334" s="1">
        <v>45524</v>
      </c>
      <c r="X334">
        <v>93993</v>
      </c>
      <c r="Y334">
        <v>0.68845120900000001</v>
      </c>
      <c r="Z334">
        <v>601.58462859999997</v>
      </c>
      <c r="AA334">
        <f>1-((0.95-Y334)*0.5)</f>
        <v>0.86922560449999997</v>
      </c>
      <c r="AB334">
        <f>U334/AA334</f>
        <v>427.967144633278</v>
      </c>
      <c r="AC334" cm="1">
        <f t="array" ref="AC334">_xlfn.IFS(Y334&lt;0.6,U334,0.9&lt;Y334,U334,Y334,AB334)</f>
        <v>427.967144633278</v>
      </c>
      <c r="AD334">
        <v>0.89095792299999998</v>
      </c>
      <c r="AE334">
        <v>515.98700429999997</v>
      </c>
      <c r="AF334">
        <v>515.98700429999997</v>
      </c>
      <c r="AH334">
        <v>0</v>
      </c>
      <c r="AI334">
        <v>314</v>
      </c>
    </row>
    <row r="335" spans="1:35" x14ac:dyDescent="0.25">
      <c r="A335" t="s">
        <v>330</v>
      </c>
      <c r="B335" t="s">
        <v>655</v>
      </c>
      <c r="D335" t="s">
        <v>332</v>
      </c>
      <c r="E335">
        <v>317</v>
      </c>
      <c r="H335">
        <f t="shared" si="5"/>
        <v>241024022</v>
      </c>
      <c r="I335">
        <v>14022</v>
      </c>
      <c r="J335">
        <v>4</v>
      </c>
      <c r="K335" t="s">
        <v>333</v>
      </c>
      <c r="L335">
        <v>150000</v>
      </c>
      <c r="M335" t="s">
        <v>295</v>
      </c>
      <c r="N335">
        <v>86</v>
      </c>
      <c r="O335">
        <v>1422</v>
      </c>
      <c r="P335">
        <v>14</v>
      </c>
      <c r="Q335">
        <v>22</v>
      </c>
      <c r="R335">
        <v>56</v>
      </c>
      <c r="S335">
        <v>21</v>
      </c>
      <c r="T335">
        <v>433</v>
      </c>
      <c r="U335">
        <v>549</v>
      </c>
      <c r="V335" s="1">
        <v>45492</v>
      </c>
      <c r="W335" s="1">
        <v>45527</v>
      </c>
      <c r="X335">
        <v>148482</v>
      </c>
      <c r="Y335">
        <v>0.97685526300000003</v>
      </c>
      <c r="Z335">
        <v>562.00751609999998</v>
      </c>
      <c r="AA335">
        <f>1-((0.95-Y335)*0.5)</f>
        <v>1.0134276314999999</v>
      </c>
      <c r="AB335">
        <f>U335/AA335</f>
        <v>541.72590418460481</v>
      </c>
      <c r="AC335" cm="1">
        <f t="array" ref="AC335">_xlfn.IFS(Y335&lt;0.6,U335,0.9&lt;Y335,U335,Y335,AB335)</f>
        <v>549</v>
      </c>
      <c r="AD335">
        <v>0.99189934199999996</v>
      </c>
      <c r="AE335">
        <v>559.96368729999995</v>
      </c>
      <c r="AF335">
        <v>549</v>
      </c>
      <c r="AH335">
        <v>0</v>
      </c>
      <c r="AI335">
        <v>317</v>
      </c>
    </row>
    <row r="336" spans="1:35" x14ac:dyDescent="0.25">
      <c r="A336" t="s">
        <v>330</v>
      </c>
      <c r="B336" t="s">
        <v>682</v>
      </c>
      <c r="D336" t="s">
        <v>332</v>
      </c>
      <c r="E336">
        <v>344</v>
      </c>
      <c r="H336">
        <f t="shared" si="5"/>
        <v>241024023</v>
      </c>
      <c r="I336">
        <v>14023</v>
      </c>
      <c r="J336">
        <v>4</v>
      </c>
      <c r="K336" t="s">
        <v>333</v>
      </c>
      <c r="L336">
        <v>100000</v>
      </c>
      <c r="M336" t="s">
        <v>349</v>
      </c>
      <c r="N336">
        <v>73</v>
      </c>
      <c r="O336">
        <v>1423</v>
      </c>
      <c r="P336">
        <v>14</v>
      </c>
      <c r="Q336">
        <v>23</v>
      </c>
      <c r="V336" s="1">
        <v>45496</v>
      </c>
      <c r="W336" s="1">
        <v>45534</v>
      </c>
      <c r="X336">
        <v>138447</v>
      </c>
      <c r="Y336">
        <v>0.91084751100000005</v>
      </c>
      <c r="AH336">
        <v>0</v>
      </c>
      <c r="AI336">
        <v>344</v>
      </c>
    </row>
    <row r="337" spans="1:35" x14ac:dyDescent="0.25">
      <c r="A337" t="s">
        <v>330</v>
      </c>
      <c r="B337" t="s">
        <v>685</v>
      </c>
      <c r="D337" t="s">
        <v>332</v>
      </c>
      <c r="E337">
        <v>347</v>
      </c>
      <c r="H337">
        <f t="shared" si="5"/>
        <v>241024024</v>
      </c>
      <c r="I337">
        <v>14024</v>
      </c>
      <c r="J337">
        <v>4</v>
      </c>
      <c r="K337" t="s">
        <v>333</v>
      </c>
      <c r="L337">
        <v>75000</v>
      </c>
      <c r="M337" t="s">
        <v>334</v>
      </c>
      <c r="N337">
        <v>53</v>
      </c>
      <c r="O337">
        <v>1424</v>
      </c>
      <c r="P337">
        <v>14</v>
      </c>
      <c r="Q337">
        <v>24</v>
      </c>
      <c r="V337" s="1">
        <v>45497</v>
      </c>
      <c r="W337" s="1">
        <v>45534</v>
      </c>
      <c r="X337">
        <v>143768</v>
      </c>
      <c r="Y337">
        <v>0.94584210499999999</v>
      </c>
      <c r="AH337">
        <v>0</v>
      </c>
      <c r="AI337">
        <v>347</v>
      </c>
    </row>
    <row r="338" spans="1:35" x14ac:dyDescent="0.25">
      <c r="A338" t="s">
        <v>330</v>
      </c>
      <c r="B338" t="s">
        <v>356</v>
      </c>
      <c r="D338" t="s">
        <v>332</v>
      </c>
      <c r="E338">
        <v>15</v>
      </c>
      <c r="H338">
        <f t="shared" si="5"/>
        <v>241025001</v>
      </c>
      <c r="I338">
        <v>15001</v>
      </c>
      <c r="J338">
        <v>1</v>
      </c>
      <c r="K338" t="s">
        <v>333</v>
      </c>
      <c r="L338">
        <v>100000</v>
      </c>
      <c r="M338" t="s">
        <v>357</v>
      </c>
      <c r="N338">
        <v>63</v>
      </c>
      <c r="O338">
        <v>1501</v>
      </c>
      <c r="P338">
        <v>15</v>
      </c>
      <c r="Q338">
        <v>1</v>
      </c>
      <c r="R338">
        <v>40</v>
      </c>
      <c r="S338">
        <v>20.6</v>
      </c>
      <c r="T338">
        <v>1809</v>
      </c>
      <c r="U338">
        <v>2305</v>
      </c>
      <c r="V338" s="1">
        <v>45495</v>
      </c>
      <c r="W338" s="1">
        <v>45533</v>
      </c>
      <c r="X338">
        <v>145383</v>
      </c>
      <c r="Y338">
        <v>0.95646081299999997</v>
      </c>
      <c r="Z338">
        <v>2409.9262290000001</v>
      </c>
      <c r="AA338">
        <f>1-((0.95-Y338)*0.5)</f>
        <v>1.0032304064999999</v>
      </c>
      <c r="AB338">
        <f>U338/AA338</f>
        <v>2297.5778894516593</v>
      </c>
      <c r="AC338" cm="1">
        <f t="array" ref="AC338">_xlfn.IFS(Y338&lt;0.6,U338,0.9&lt;Y338,U338,Y338,AB338)</f>
        <v>2305</v>
      </c>
      <c r="AD338">
        <v>0.98476128500000004</v>
      </c>
      <c r="AE338">
        <v>2392.7581580000001</v>
      </c>
      <c r="AF338">
        <v>2305</v>
      </c>
      <c r="AH338">
        <v>0</v>
      </c>
      <c r="AI338">
        <v>15</v>
      </c>
    </row>
    <row r="339" spans="1:35" x14ac:dyDescent="0.25">
      <c r="A339" t="s">
        <v>330</v>
      </c>
      <c r="B339" t="s">
        <v>358</v>
      </c>
      <c r="D339" t="s">
        <v>332</v>
      </c>
      <c r="E339">
        <v>16</v>
      </c>
      <c r="H339">
        <f t="shared" si="5"/>
        <v>241025002</v>
      </c>
      <c r="I339">
        <v>15002</v>
      </c>
      <c r="J339">
        <v>1</v>
      </c>
      <c r="K339" t="s">
        <v>333</v>
      </c>
      <c r="L339">
        <v>150000</v>
      </c>
      <c r="M339" t="s">
        <v>347</v>
      </c>
      <c r="N339">
        <v>87</v>
      </c>
      <c r="O339">
        <v>1502</v>
      </c>
      <c r="P339">
        <v>15</v>
      </c>
      <c r="Q339">
        <v>2</v>
      </c>
      <c r="R339">
        <v>82</v>
      </c>
      <c r="S339">
        <v>22</v>
      </c>
      <c r="T339">
        <v>664</v>
      </c>
      <c r="U339">
        <v>831</v>
      </c>
      <c r="V339" s="1">
        <v>45494</v>
      </c>
      <c r="X339">
        <v>151993</v>
      </c>
      <c r="Y339">
        <v>0.99997368399999997</v>
      </c>
      <c r="Z339">
        <v>831.02186940000001</v>
      </c>
      <c r="AA339">
        <f>1-((0.95-Y339)*0.5)</f>
        <v>1.0249868420000001</v>
      </c>
      <c r="AB339">
        <f>U339/AA339</f>
        <v>810.74211487292428</v>
      </c>
      <c r="AC339" cm="1">
        <f t="array" ref="AC339">_xlfn.IFS(Y339&lt;0.6,U339,0.9&lt;Y339,U339,Y339,AB339)</f>
        <v>831</v>
      </c>
      <c r="AD339">
        <v>0.99999078900000005</v>
      </c>
      <c r="AE339">
        <v>831.01858860000004</v>
      </c>
      <c r="AF339">
        <v>831</v>
      </c>
      <c r="AH339">
        <v>0</v>
      </c>
      <c r="AI339">
        <v>16</v>
      </c>
    </row>
    <row r="340" spans="1:35" x14ac:dyDescent="0.25">
      <c r="A340" t="s">
        <v>330</v>
      </c>
      <c r="B340" t="s">
        <v>387</v>
      </c>
      <c r="D340" t="s">
        <v>332</v>
      </c>
      <c r="E340">
        <v>45</v>
      </c>
      <c r="H340">
        <f t="shared" si="5"/>
        <v>241025003</v>
      </c>
      <c r="I340">
        <v>15003</v>
      </c>
      <c r="J340">
        <v>1</v>
      </c>
      <c r="K340" t="s">
        <v>333</v>
      </c>
      <c r="L340">
        <v>75000</v>
      </c>
      <c r="M340" t="s">
        <v>334</v>
      </c>
      <c r="N340">
        <v>53</v>
      </c>
      <c r="O340">
        <v>1503</v>
      </c>
      <c r="P340">
        <v>15</v>
      </c>
      <c r="Q340">
        <v>3</v>
      </c>
      <c r="R340">
        <v>24</v>
      </c>
      <c r="S340">
        <v>21.2</v>
      </c>
      <c r="T340">
        <v>1489</v>
      </c>
      <c r="U340">
        <v>1883</v>
      </c>
      <c r="V340" s="1">
        <v>45497</v>
      </c>
      <c r="W340" s="1">
        <v>45534</v>
      </c>
      <c r="X340">
        <v>141132</v>
      </c>
      <c r="Y340">
        <v>0.92848778300000001</v>
      </c>
      <c r="Z340">
        <v>2028.028838</v>
      </c>
      <c r="AA340">
        <f>1-((0.95-Y340)*0.5)</f>
        <v>0.98924389150000003</v>
      </c>
      <c r="AB340">
        <f>U340/AA340</f>
        <v>1903.473972575953</v>
      </c>
      <c r="AC340" cm="1">
        <f t="array" ref="AC340">_xlfn.IFS(Y340&lt;0.6,U340,0.9&lt;Y340,U340,Y340,AB340)</f>
        <v>1883</v>
      </c>
      <c r="AD340">
        <v>0.97497072399999996</v>
      </c>
      <c r="AE340">
        <v>2002.9580269999999</v>
      </c>
      <c r="AF340">
        <v>1883</v>
      </c>
      <c r="AH340">
        <v>0</v>
      </c>
      <c r="AI340">
        <v>45</v>
      </c>
    </row>
    <row r="341" spans="1:35" x14ac:dyDescent="0.25">
      <c r="A341" t="s">
        <v>330</v>
      </c>
      <c r="B341">
        <v>1601855702</v>
      </c>
      <c r="D341" t="s">
        <v>332</v>
      </c>
      <c r="E341">
        <v>46</v>
      </c>
      <c r="H341">
        <f t="shared" si="5"/>
        <v>241025004</v>
      </c>
      <c r="I341">
        <v>15004</v>
      </c>
      <c r="J341">
        <v>1</v>
      </c>
      <c r="K341" t="s">
        <v>388</v>
      </c>
      <c r="L341">
        <v>150000</v>
      </c>
      <c r="M341" t="s">
        <v>334</v>
      </c>
      <c r="N341">
        <v>38</v>
      </c>
      <c r="O341">
        <v>1504</v>
      </c>
      <c r="P341">
        <v>15</v>
      </c>
      <c r="Q341">
        <v>4</v>
      </c>
      <c r="V341" s="1">
        <v>45496</v>
      </c>
      <c r="W341" s="1">
        <v>45532</v>
      </c>
      <c r="X341">
        <v>114474</v>
      </c>
      <c r="Y341">
        <v>0.88640429300000001</v>
      </c>
      <c r="AH341">
        <v>0</v>
      </c>
      <c r="AI341">
        <v>46</v>
      </c>
    </row>
    <row r="342" spans="1:35" x14ac:dyDescent="0.25">
      <c r="A342" t="s">
        <v>330</v>
      </c>
      <c r="B342" t="s">
        <v>417</v>
      </c>
      <c r="D342" t="s">
        <v>332</v>
      </c>
      <c r="E342">
        <v>75</v>
      </c>
      <c r="H342">
        <f t="shared" si="5"/>
        <v>241025005</v>
      </c>
      <c r="I342">
        <v>15005</v>
      </c>
      <c r="J342">
        <v>1</v>
      </c>
      <c r="K342" t="s">
        <v>388</v>
      </c>
      <c r="L342">
        <v>75000</v>
      </c>
      <c r="M342" t="s">
        <v>351</v>
      </c>
      <c r="N342">
        <v>10</v>
      </c>
      <c r="O342">
        <v>1505</v>
      </c>
      <c r="P342">
        <v>15</v>
      </c>
      <c r="Q342">
        <v>5</v>
      </c>
      <c r="R342">
        <v>60</v>
      </c>
      <c r="S342">
        <v>20.5</v>
      </c>
      <c r="T342">
        <v>744</v>
      </c>
      <c r="U342">
        <v>949</v>
      </c>
      <c r="V342" s="1">
        <v>45492</v>
      </c>
      <c r="W342" s="1">
        <v>45528</v>
      </c>
      <c r="X342">
        <v>123597</v>
      </c>
      <c r="Y342">
        <v>0.94915254199999999</v>
      </c>
      <c r="Z342">
        <v>1167.0756650000001</v>
      </c>
      <c r="AA342">
        <f>1-((0.95-Y342)*0.5)</f>
        <v>0.99957627100000002</v>
      </c>
      <c r="AB342">
        <f>U342/AA342</f>
        <v>949.40228928263548</v>
      </c>
      <c r="AC342" cm="1">
        <f t="array" ref="AC342">_xlfn.IFS(Y342&lt;0.6,U342,0.9&lt;Y342,U342,Y342,AB342)</f>
        <v>949</v>
      </c>
      <c r="AD342">
        <v>0.98220339000000001</v>
      </c>
      <c r="AE342">
        <v>1065.7678129999999</v>
      </c>
      <c r="AF342">
        <v>949</v>
      </c>
      <c r="AH342">
        <v>0</v>
      </c>
      <c r="AI342">
        <v>75</v>
      </c>
    </row>
    <row r="343" spans="1:35" x14ac:dyDescent="0.25">
      <c r="A343" t="s">
        <v>330</v>
      </c>
      <c r="B343" t="s">
        <v>418</v>
      </c>
      <c r="D343" t="s">
        <v>332</v>
      </c>
      <c r="E343">
        <v>76</v>
      </c>
      <c r="H343">
        <f t="shared" si="5"/>
        <v>241025006</v>
      </c>
      <c r="I343">
        <v>15006</v>
      </c>
      <c r="J343">
        <v>1</v>
      </c>
      <c r="K343" t="s">
        <v>388</v>
      </c>
      <c r="L343">
        <v>100000</v>
      </c>
      <c r="M343" t="s">
        <v>334</v>
      </c>
      <c r="N343">
        <v>23</v>
      </c>
      <c r="O343">
        <v>1506</v>
      </c>
      <c r="P343">
        <v>15</v>
      </c>
      <c r="Q343">
        <v>6</v>
      </c>
      <c r="R343">
        <v>54</v>
      </c>
      <c r="S343">
        <v>20.7</v>
      </c>
      <c r="T343">
        <v>1063</v>
      </c>
      <c r="U343">
        <v>1353</v>
      </c>
      <c r="V343" s="1">
        <v>45498</v>
      </c>
      <c r="W343" s="1">
        <v>45534</v>
      </c>
      <c r="X343">
        <v>111541</v>
      </c>
      <c r="Y343">
        <v>0.811775201</v>
      </c>
      <c r="Z343">
        <v>1843.770452</v>
      </c>
      <c r="AA343">
        <f>1-((0.95-Y343)*0.5)</f>
        <v>0.93088760049999997</v>
      </c>
      <c r="AB343">
        <f>U343/AA343</f>
        <v>1453.4515222603397</v>
      </c>
      <c r="AC343" cm="1">
        <f t="array" ref="AC343">_xlfn.IFS(Y343&lt;0.6,U343,0.9&lt;Y343,U343,Y343,AB343)</f>
        <v>1453.4515222603397</v>
      </c>
      <c r="AD343">
        <v>0.93412132000000003</v>
      </c>
      <c r="AE343">
        <v>1670.7824559999999</v>
      </c>
      <c r="AF343">
        <v>1670.7824559999999</v>
      </c>
      <c r="AH343">
        <v>0</v>
      </c>
      <c r="AI343">
        <v>76</v>
      </c>
    </row>
    <row r="344" spans="1:35" x14ac:dyDescent="0.25">
      <c r="A344" t="s">
        <v>330</v>
      </c>
      <c r="B344" t="s">
        <v>446</v>
      </c>
      <c r="D344" t="s">
        <v>332</v>
      </c>
      <c r="E344">
        <v>105</v>
      </c>
      <c r="H344">
        <f t="shared" si="5"/>
        <v>241025007</v>
      </c>
      <c r="I344">
        <v>15007</v>
      </c>
      <c r="J344">
        <v>2</v>
      </c>
      <c r="K344" t="s">
        <v>388</v>
      </c>
      <c r="L344">
        <v>75000</v>
      </c>
      <c r="M344" t="s">
        <v>357</v>
      </c>
      <c r="N344">
        <v>3</v>
      </c>
      <c r="O344">
        <v>1507</v>
      </c>
      <c r="P344">
        <v>15</v>
      </c>
      <c r="Q344">
        <v>7</v>
      </c>
      <c r="R344">
        <v>34</v>
      </c>
      <c r="S344">
        <v>17.600000000000001</v>
      </c>
      <c r="T344">
        <v>1537</v>
      </c>
      <c r="U344">
        <v>2032</v>
      </c>
      <c r="V344" s="1">
        <v>45494</v>
      </c>
      <c r="W344" s="1">
        <v>45536</v>
      </c>
      <c r="X344">
        <v>111305</v>
      </c>
      <c r="Y344">
        <v>0.82918149500000005</v>
      </c>
      <c r="Z344">
        <v>2774.9337409999998</v>
      </c>
      <c r="AA344">
        <f>1-((0.95-Y344)*0.5)</f>
        <v>0.93959074750000005</v>
      </c>
      <c r="AB344">
        <f>U344/AA344</f>
        <v>2162.643688655523</v>
      </c>
      <c r="AC344" cm="1">
        <f t="array" ref="AC344">_xlfn.IFS(Y344&lt;0.6,U344,0.9&lt;Y344,U344,Y344,AB344)</f>
        <v>2162.643688655523</v>
      </c>
      <c r="AD344">
        <v>0.94021352300000005</v>
      </c>
      <c r="AE344">
        <v>2495.2363449999998</v>
      </c>
      <c r="AF344">
        <v>2495.2363449999998</v>
      </c>
      <c r="AH344">
        <v>0</v>
      </c>
      <c r="AI344">
        <v>105</v>
      </c>
    </row>
    <row r="345" spans="1:35" x14ac:dyDescent="0.25">
      <c r="A345" t="s">
        <v>330</v>
      </c>
      <c r="B345" t="s">
        <v>447</v>
      </c>
      <c r="D345" t="s">
        <v>332</v>
      </c>
      <c r="E345">
        <v>106</v>
      </c>
      <c r="H345">
        <f t="shared" si="5"/>
        <v>241025008</v>
      </c>
      <c r="I345">
        <v>15008</v>
      </c>
      <c r="J345">
        <v>2</v>
      </c>
      <c r="K345" t="s">
        <v>388</v>
      </c>
      <c r="L345">
        <v>150000</v>
      </c>
      <c r="M345" t="s">
        <v>338</v>
      </c>
      <c r="N345">
        <v>44</v>
      </c>
      <c r="O345">
        <v>1508</v>
      </c>
      <c r="P345">
        <v>15</v>
      </c>
      <c r="Q345">
        <v>8</v>
      </c>
      <c r="R345">
        <v>45</v>
      </c>
      <c r="S345">
        <v>17.899999999999999</v>
      </c>
      <c r="T345">
        <v>1140</v>
      </c>
      <c r="U345">
        <v>1502</v>
      </c>
      <c r="V345" s="1">
        <v>45493</v>
      </c>
      <c r="W345" s="1">
        <v>45526</v>
      </c>
      <c r="X345">
        <v>118423</v>
      </c>
      <c r="Y345">
        <v>0.86493738799999997</v>
      </c>
      <c r="Z345">
        <v>1927.881425</v>
      </c>
      <c r="AA345">
        <f>1-((0.95-Y345)*0.5)</f>
        <v>0.95746869400000001</v>
      </c>
      <c r="AB345">
        <f>U345/AA345</f>
        <v>1568.7196974818271</v>
      </c>
      <c r="AC345" cm="1">
        <f t="array" ref="AC345">_xlfn.IFS(Y345&lt;0.6,U345,0.9&lt;Y345,U345,Y345,AB345)</f>
        <v>1568.7196974818271</v>
      </c>
      <c r="AD345">
        <v>0.95272808600000003</v>
      </c>
      <c r="AE345">
        <v>1772.279331</v>
      </c>
      <c r="AF345">
        <v>1772.279331</v>
      </c>
      <c r="AH345">
        <v>0</v>
      </c>
      <c r="AI345">
        <v>106</v>
      </c>
    </row>
    <row r="346" spans="1:35" x14ac:dyDescent="0.25">
      <c r="A346" t="s">
        <v>330</v>
      </c>
      <c r="B346" t="s">
        <v>475</v>
      </c>
      <c r="D346" t="s">
        <v>332</v>
      </c>
      <c r="E346">
        <v>135</v>
      </c>
      <c r="H346">
        <f t="shared" si="5"/>
        <v>241025009</v>
      </c>
      <c r="I346">
        <v>15009</v>
      </c>
      <c r="J346">
        <v>2</v>
      </c>
      <c r="K346" t="s">
        <v>388</v>
      </c>
      <c r="L346">
        <v>100000</v>
      </c>
      <c r="M346" t="s">
        <v>355</v>
      </c>
      <c r="N346">
        <v>24</v>
      </c>
      <c r="O346">
        <v>1509</v>
      </c>
      <c r="P346">
        <v>15</v>
      </c>
      <c r="Q346">
        <v>9</v>
      </c>
      <c r="R346">
        <v>81</v>
      </c>
      <c r="S346">
        <v>18.8</v>
      </c>
      <c r="T346">
        <v>556</v>
      </c>
      <c r="U346">
        <v>724</v>
      </c>
      <c r="V346" s="1">
        <v>45490</v>
      </c>
      <c r="W346" s="1">
        <v>45524</v>
      </c>
      <c r="X346">
        <v>127391</v>
      </c>
      <c r="Y346">
        <v>0.97857142900000005</v>
      </c>
      <c r="Z346">
        <v>863.84303439999996</v>
      </c>
      <c r="AA346">
        <f>1-((0.95-Y346)*0.5)</f>
        <v>1.0142857145000002</v>
      </c>
      <c r="AB346">
        <f>U346/AA346</f>
        <v>713.80281675060496</v>
      </c>
      <c r="AC346" cm="1">
        <f t="array" ref="AC346">_xlfn.IFS(Y346&lt;0.6,U346,0.9&lt;Y346,U346,Y346,AB346)</f>
        <v>724</v>
      </c>
      <c r="AD346">
        <v>0.99250000000000005</v>
      </c>
      <c r="AE346">
        <v>793.71632669999997</v>
      </c>
      <c r="AF346">
        <v>724</v>
      </c>
      <c r="AH346">
        <v>0</v>
      </c>
      <c r="AI346">
        <v>135</v>
      </c>
    </row>
    <row r="347" spans="1:35" x14ac:dyDescent="0.25">
      <c r="A347" t="s">
        <v>330</v>
      </c>
      <c r="B347" t="s">
        <v>476</v>
      </c>
      <c r="D347" t="s">
        <v>332</v>
      </c>
      <c r="E347">
        <v>136</v>
      </c>
      <c r="H347">
        <f t="shared" si="5"/>
        <v>241025010</v>
      </c>
      <c r="I347">
        <v>15010</v>
      </c>
      <c r="J347">
        <v>2</v>
      </c>
      <c r="K347" t="s">
        <v>333</v>
      </c>
      <c r="L347">
        <v>100000</v>
      </c>
      <c r="M347" t="s">
        <v>298</v>
      </c>
      <c r="N347">
        <v>66</v>
      </c>
      <c r="O347">
        <v>1510</v>
      </c>
      <c r="P347">
        <v>15</v>
      </c>
      <c r="Q347">
        <v>10</v>
      </c>
      <c r="R347">
        <v>54</v>
      </c>
      <c r="S347">
        <v>19</v>
      </c>
      <c r="T347">
        <v>1038</v>
      </c>
      <c r="U347">
        <v>1349</v>
      </c>
      <c r="V347" s="1">
        <v>45491</v>
      </c>
      <c r="W347" s="1">
        <v>45526</v>
      </c>
      <c r="X347">
        <v>144974</v>
      </c>
      <c r="Y347">
        <v>0.95377004099999996</v>
      </c>
      <c r="Z347">
        <v>1414.387056</v>
      </c>
      <c r="AA347">
        <f>1-((0.95-Y347)*0.5)</f>
        <v>1.0018850205000001</v>
      </c>
      <c r="AB347">
        <f>U347/AA347</f>
        <v>1346.461891731617</v>
      </c>
      <c r="AC347" cm="1">
        <f t="array" ref="AC347">_xlfn.IFS(Y347&lt;0.6,U347,0.9&lt;Y347,U347,Y347,AB347)</f>
        <v>1349</v>
      </c>
      <c r="AD347">
        <v>0.98381951400000001</v>
      </c>
      <c r="AE347">
        <v>1403.6313729999999</v>
      </c>
      <c r="AF347">
        <v>1349</v>
      </c>
      <c r="AH347">
        <v>0</v>
      </c>
      <c r="AI347">
        <v>136</v>
      </c>
    </row>
    <row r="348" spans="1:35" x14ac:dyDescent="0.25">
      <c r="A348" t="s">
        <v>330</v>
      </c>
      <c r="B348" s="2" t="s">
        <v>505</v>
      </c>
      <c r="D348" t="s">
        <v>332</v>
      </c>
      <c r="E348">
        <v>165</v>
      </c>
      <c r="H348">
        <f t="shared" si="5"/>
        <v>241025011</v>
      </c>
      <c r="I348">
        <v>15011</v>
      </c>
      <c r="J348">
        <v>2</v>
      </c>
      <c r="K348" t="s">
        <v>333</v>
      </c>
      <c r="L348">
        <v>75000</v>
      </c>
      <c r="M348" t="s">
        <v>338</v>
      </c>
      <c r="N348">
        <v>59</v>
      </c>
      <c r="O348">
        <v>1511</v>
      </c>
      <c r="P348">
        <v>15</v>
      </c>
      <c r="Q348">
        <v>11</v>
      </c>
      <c r="R348">
        <v>48</v>
      </c>
      <c r="S348">
        <v>20</v>
      </c>
      <c r="T348">
        <v>1445</v>
      </c>
      <c r="U348">
        <v>1855</v>
      </c>
      <c r="V348" s="1">
        <v>45495</v>
      </c>
      <c r="W348" s="1">
        <v>45530</v>
      </c>
      <c r="X348">
        <v>149601</v>
      </c>
      <c r="Y348">
        <v>0.98421062999999998</v>
      </c>
      <c r="Z348">
        <v>1884.759159</v>
      </c>
      <c r="AA348">
        <f>1-((0.95-Y348)*0.5)</f>
        <v>1.017105315</v>
      </c>
      <c r="AB348">
        <f>U348/AA348</f>
        <v>1823.8032705590572</v>
      </c>
      <c r="AC348" cm="1">
        <f t="array" ref="AC348">_xlfn.IFS(Y348&lt;0.6,U348,0.9&lt;Y348,U348,Y348,AB348)</f>
        <v>1855</v>
      </c>
      <c r="AD348">
        <v>0.99447372099999998</v>
      </c>
      <c r="AE348">
        <v>1880.1514179999999</v>
      </c>
      <c r="AF348">
        <v>1855</v>
      </c>
      <c r="AH348">
        <v>0</v>
      </c>
      <c r="AI348">
        <v>165</v>
      </c>
    </row>
    <row r="349" spans="1:35" x14ac:dyDescent="0.25">
      <c r="A349" t="s">
        <v>330</v>
      </c>
      <c r="B349" t="s">
        <v>506</v>
      </c>
      <c r="D349" t="s">
        <v>332</v>
      </c>
      <c r="E349">
        <v>166</v>
      </c>
      <c r="H349">
        <f t="shared" si="5"/>
        <v>241025012</v>
      </c>
      <c r="I349">
        <v>15012</v>
      </c>
      <c r="J349">
        <v>2</v>
      </c>
      <c r="K349" t="s">
        <v>333</v>
      </c>
      <c r="L349">
        <v>150000</v>
      </c>
      <c r="M349" t="s">
        <v>353</v>
      </c>
      <c r="N349">
        <v>82</v>
      </c>
      <c r="O349">
        <v>1512</v>
      </c>
      <c r="P349">
        <v>15</v>
      </c>
      <c r="Q349">
        <v>12</v>
      </c>
      <c r="R349">
        <v>41</v>
      </c>
      <c r="S349">
        <v>18.2</v>
      </c>
      <c r="T349">
        <v>1340</v>
      </c>
      <c r="U349">
        <v>1759</v>
      </c>
      <c r="V349" s="1">
        <v>45496</v>
      </c>
      <c r="W349" s="1">
        <v>45534</v>
      </c>
      <c r="X349">
        <v>143440</v>
      </c>
      <c r="Y349">
        <v>0.94367800199999996</v>
      </c>
      <c r="Z349">
        <v>1863.9832610000001</v>
      </c>
      <c r="AA349">
        <f>1-((0.95-Y349)*0.5)</f>
        <v>0.996839001</v>
      </c>
      <c r="AB349">
        <f>U349/AA349</f>
        <v>1764.5778287521075</v>
      </c>
      <c r="AC349" cm="1">
        <f t="array" ref="AC349">_xlfn.IFS(Y349&lt;0.6,U349,0.9&lt;Y349,U349,Y349,AB349)</f>
        <v>1759</v>
      </c>
      <c r="AD349">
        <v>0.98028730100000006</v>
      </c>
      <c r="AE349">
        <v>1846.367467</v>
      </c>
      <c r="AF349">
        <v>1759</v>
      </c>
      <c r="AH349">
        <v>0</v>
      </c>
      <c r="AI349">
        <v>166</v>
      </c>
    </row>
    <row r="350" spans="1:35" x14ac:dyDescent="0.25">
      <c r="A350" t="s">
        <v>330</v>
      </c>
      <c r="B350" t="s">
        <v>535</v>
      </c>
      <c r="D350" t="s">
        <v>332</v>
      </c>
      <c r="E350">
        <v>195</v>
      </c>
      <c r="H350">
        <f t="shared" si="5"/>
        <v>241025013</v>
      </c>
      <c r="I350">
        <v>15013</v>
      </c>
      <c r="J350">
        <v>3</v>
      </c>
      <c r="K350" t="s">
        <v>388</v>
      </c>
      <c r="L350">
        <v>150000</v>
      </c>
      <c r="M350" t="s">
        <v>338</v>
      </c>
      <c r="N350">
        <v>44</v>
      </c>
      <c r="O350">
        <v>1513</v>
      </c>
      <c r="P350">
        <v>15</v>
      </c>
      <c r="Q350">
        <v>13</v>
      </c>
      <c r="R350">
        <v>35</v>
      </c>
      <c r="S350">
        <v>18</v>
      </c>
      <c r="T350">
        <v>1110</v>
      </c>
      <c r="U350">
        <v>1461</v>
      </c>
      <c r="V350" s="1">
        <v>45494</v>
      </c>
      <c r="W350" s="1">
        <v>45527</v>
      </c>
      <c r="X350">
        <v>122194</v>
      </c>
      <c r="Y350">
        <v>0.89937666999999999</v>
      </c>
      <c r="Z350">
        <v>1817.3484619999999</v>
      </c>
      <c r="AA350">
        <f>1-((0.95-Y350)*0.5)</f>
        <v>0.97468833499999996</v>
      </c>
      <c r="AB350">
        <f>U350/AA350</f>
        <v>1498.9406844599202</v>
      </c>
      <c r="AC350" cm="1">
        <f t="array" ref="AC350">_xlfn.IFS(Y350&lt;0.6,U350,0.9&lt;Y350,U350,Y350,AB350)</f>
        <v>1498.9406844599202</v>
      </c>
      <c r="AD350">
        <v>0.96478183500000003</v>
      </c>
      <c r="AE350">
        <v>1678.9361799999999</v>
      </c>
      <c r="AF350">
        <v>1678.9361799999999</v>
      </c>
      <c r="AH350">
        <v>0</v>
      </c>
      <c r="AI350">
        <v>195</v>
      </c>
    </row>
    <row r="351" spans="1:35" x14ac:dyDescent="0.25">
      <c r="A351" t="s">
        <v>330</v>
      </c>
      <c r="B351" t="s">
        <v>536</v>
      </c>
      <c r="D351" t="s">
        <v>332</v>
      </c>
      <c r="E351">
        <v>196</v>
      </c>
      <c r="H351">
        <f t="shared" si="5"/>
        <v>241025014</v>
      </c>
      <c r="I351">
        <v>15014</v>
      </c>
      <c r="J351">
        <v>3</v>
      </c>
      <c r="K351" t="s">
        <v>388</v>
      </c>
      <c r="L351">
        <v>75000</v>
      </c>
      <c r="M351" t="s">
        <v>343</v>
      </c>
      <c r="N351">
        <v>1</v>
      </c>
      <c r="O351">
        <v>1514</v>
      </c>
      <c r="P351">
        <v>15</v>
      </c>
      <c r="Q351">
        <v>14</v>
      </c>
      <c r="R351">
        <v>39</v>
      </c>
      <c r="S351">
        <v>19.7</v>
      </c>
      <c r="T351">
        <v>1647</v>
      </c>
      <c r="U351">
        <v>2122</v>
      </c>
      <c r="V351" s="1">
        <v>45496</v>
      </c>
      <c r="W351" s="1">
        <v>45536</v>
      </c>
      <c r="X351">
        <v>125524</v>
      </c>
      <c r="Y351">
        <v>0.96345811100000001</v>
      </c>
      <c r="Z351">
        <v>2569.5803190000001</v>
      </c>
      <c r="AA351">
        <f>1-((0.95-Y351)*0.5)</f>
        <v>1.0067290555000001</v>
      </c>
      <c r="AB351">
        <f>U351/AA351</f>
        <v>2107.8163865510878</v>
      </c>
      <c r="AC351" cm="1">
        <f t="array" ref="AC351">_xlfn.IFS(Y351&lt;0.6,U351,0.9&lt;Y351,U351,Y351,AB351)</f>
        <v>2122</v>
      </c>
      <c r="AD351">
        <v>0.98721033899999999</v>
      </c>
      <c r="AE351">
        <v>2354.554361</v>
      </c>
      <c r="AF351">
        <v>2122</v>
      </c>
      <c r="AH351">
        <v>0</v>
      </c>
      <c r="AI351">
        <v>196</v>
      </c>
    </row>
    <row r="352" spans="1:35" x14ac:dyDescent="0.25">
      <c r="A352" t="s">
        <v>330</v>
      </c>
      <c r="B352" t="s">
        <v>565</v>
      </c>
      <c r="D352" t="s">
        <v>332</v>
      </c>
      <c r="E352">
        <v>225</v>
      </c>
      <c r="H352">
        <f t="shared" si="5"/>
        <v>241025015</v>
      </c>
      <c r="I352">
        <v>15015</v>
      </c>
      <c r="J352">
        <v>3</v>
      </c>
      <c r="K352" t="s">
        <v>388</v>
      </c>
      <c r="L352">
        <v>100000</v>
      </c>
      <c r="M352" t="s">
        <v>353</v>
      </c>
      <c r="N352">
        <v>22</v>
      </c>
      <c r="O352">
        <v>1515</v>
      </c>
      <c r="P352">
        <v>15</v>
      </c>
      <c r="Q352">
        <v>15</v>
      </c>
      <c r="R352">
        <v>46</v>
      </c>
      <c r="S352">
        <v>18.5</v>
      </c>
      <c r="T352">
        <v>1015</v>
      </c>
      <c r="U352">
        <v>1327</v>
      </c>
      <c r="V352" s="1">
        <v>45495</v>
      </c>
      <c r="X352">
        <v>99203</v>
      </c>
      <c r="Y352">
        <v>0.71198568900000003</v>
      </c>
      <c r="Z352">
        <v>2033.258339</v>
      </c>
      <c r="AA352">
        <f>1-((0.95-Y352)*0.5)</f>
        <v>0.88099284450000004</v>
      </c>
      <c r="AB352">
        <f>U352/AA352</f>
        <v>1506.255139623895</v>
      </c>
      <c r="AC352" cm="1">
        <f t="array" ref="AC352">_xlfn.IFS(Y352&lt;0.6,U352,0.9&lt;Y352,U352,Y352,AB352)</f>
        <v>1506.255139623895</v>
      </c>
      <c r="AD352">
        <v>0.899194991</v>
      </c>
      <c r="AE352">
        <v>1785.940286</v>
      </c>
      <c r="AF352">
        <v>1785.940286</v>
      </c>
      <c r="AH352">
        <v>0</v>
      </c>
      <c r="AI352">
        <v>225</v>
      </c>
    </row>
    <row r="353" spans="1:35" x14ac:dyDescent="0.25">
      <c r="A353" t="s">
        <v>330</v>
      </c>
      <c r="B353" t="s">
        <v>566</v>
      </c>
      <c r="D353" t="s">
        <v>332</v>
      </c>
      <c r="E353">
        <v>226</v>
      </c>
      <c r="H353">
        <f t="shared" si="5"/>
        <v>241025016</v>
      </c>
      <c r="I353">
        <v>15016</v>
      </c>
      <c r="J353">
        <v>3</v>
      </c>
      <c r="K353" t="s">
        <v>333</v>
      </c>
      <c r="L353">
        <v>100000</v>
      </c>
      <c r="M353" t="s">
        <v>341</v>
      </c>
      <c r="N353">
        <v>65</v>
      </c>
      <c r="O353">
        <v>1516</v>
      </c>
      <c r="P353">
        <v>15</v>
      </c>
      <c r="Q353">
        <v>16</v>
      </c>
      <c r="R353">
        <v>25</v>
      </c>
      <c r="S353">
        <v>17.899999999999999</v>
      </c>
      <c r="T353">
        <v>2074</v>
      </c>
      <c r="U353">
        <v>2732</v>
      </c>
      <c r="V353" s="1">
        <v>45495</v>
      </c>
      <c r="W353" s="1">
        <v>45530</v>
      </c>
      <c r="X353">
        <v>147230</v>
      </c>
      <c r="Y353">
        <v>0.96861204899999997</v>
      </c>
      <c r="Z353">
        <v>2820.5306799999998</v>
      </c>
      <c r="AA353">
        <f>1-((0.95-Y353)*0.5)</f>
        <v>1.0093060245000001</v>
      </c>
      <c r="AB353">
        <f>U353/AA353</f>
        <v>2706.8103565055058</v>
      </c>
      <c r="AC353" cm="1">
        <f t="array" ref="AC353">_xlfn.IFS(Y353&lt;0.6,U353,0.9&lt;Y353,U353,Y353,AB353)</f>
        <v>2732</v>
      </c>
      <c r="AD353">
        <v>0.98901421700000003</v>
      </c>
      <c r="AE353">
        <v>2806.3899550000001</v>
      </c>
      <c r="AF353">
        <v>2732</v>
      </c>
      <c r="AH353">
        <v>0</v>
      </c>
      <c r="AI353">
        <v>226</v>
      </c>
    </row>
    <row r="354" spans="1:35" x14ac:dyDescent="0.25">
      <c r="A354" t="s">
        <v>330</v>
      </c>
      <c r="B354" t="s">
        <v>595</v>
      </c>
      <c r="D354" t="s">
        <v>332</v>
      </c>
      <c r="E354">
        <v>255</v>
      </c>
      <c r="H354">
        <f t="shared" si="5"/>
        <v>241025017</v>
      </c>
      <c r="I354">
        <v>15017</v>
      </c>
      <c r="J354">
        <v>3</v>
      </c>
      <c r="K354" t="s">
        <v>333</v>
      </c>
      <c r="L354">
        <v>150000</v>
      </c>
      <c r="M354" t="s">
        <v>279</v>
      </c>
      <c r="N354">
        <v>90</v>
      </c>
      <c r="O354">
        <v>1517</v>
      </c>
      <c r="P354">
        <v>15</v>
      </c>
      <c r="Q354">
        <v>17</v>
      </c>
      <c r="R354">
        <v>27</v>
      </c>
      <c r="S354">
        <v>20.7</v>
      </c>
      <c r="T354">
        <v>1306</v>
      </c>
      <c r="U354">
        <v>1662</v>
      </c>
      <c r="V354" s="1">
        <v>45497</v>
      </c>
      <c r="W354" s="1">
        <v>45532</v>
      </c>
      <c r="X354">
        <v>129347</v>
      </c>
      <c r="Y354">
        <v>0.85097830200000002</v>
      </c>
      <c r="Z354">
        <v>1953.0462709999999</v>
      </c>
      <c r="AA354">
        <f>1-((0.95-Y354)*0.5)</f>
        <v>0.95048915099999998</v>
      </c>
      <c r="AB354">
        <f>U354/AA354</f>
        <v>1748.5733511544311</v>
      </c>
      <c r="AC354" cm="1">
        <f t="array" ref="AC354">_xlfn.IFS(Y354&lt;0.6,U354,0.9&lt;Y354,U354,Y354,AB354)</f>
        <v>1748.5733511544311</v>
      </c>
      <c r="AD354">
        <v>0.94784240600000003</v>
      </c>
      <c r="AE354">
        <v>1894.6262610000001</v>
      </c>
      <c r="AF354">
        <v>1894.6262610000001</v>
      </c>
      <c r="AH354">
        <v>0</v>
      </c>
      <c r="AI354">
        <v>255</v>
      </c>
    </row>
    <row r="355" spans="1:35" x14ac:dyDescent="0.25">
      <c r="A355" t="s">
        <v>330</v>
      </c>
      <c r="B355" t="s">
        <v>596</v>
      </c>
      <c r="D355" t="s">
        <v>332</v>
      </c>
      <c r="E355">
        <v>256</v>
      </c>
      <c r="H355">
        <f t="shared" si="5"/>
        <v>241025018</v>
      </c>
      <c r="I355">
        <v>15018</v>
      </c>
      <c r="J355">
        <v>3</v>
      </c>
      <c r="K355" t="s">
        <v>333</v>
      </c>
      <c r="L355">
        <v>75000</v>
      </c>
      <c r="M355" t="s">
        <v>334</v>
      </c>
      <c r="N355">
        <v>53</v>
      </c>
      <c r="O355">
        <v>1518</v>
      </c>
      <c r="P355">
        <v>15</v>
      </c>
      <c r="Q355">
        <v>18</v>
      </c>
      <c r="R355">
        <v>33</v>
      </c>
      <c r="S355">
        <v>18.8</v>
      </c>
      <c r="T355">
        <v>1362</v>
      </c>
      <c r="U355">
        <v>1775</v>
      </c>
      <c r="V355" s="1">
        <v>45498</v>
      </c>
      <c r="W355" s="1">
        <v>45534</v>
      </c>
      <c r="X355">
        <v>143341</v>
      </c>
      <c r="Y355">
        <v>0.94302669100000003</v>
      </c>
      <c r="Z355">
        <v>1882.2372869999999</v>
      </c>
      <c r="AA355">
        <f>1-((0.95-Y355)*0.5)</f>
        <v>0.99651334550000004</v>
      </c>
      <c r="AB355">
        <f>U355/AA355</f>
        <v>1781.21046548493</v>
      </c>
      <c r="AC355" cm="1">
        <f t="array" ref="AC355">_xlfn.IFS(Y355&lt;0.6,U355,0.9&lt;Y355,U355,Y355,AB355)</f>
        <v>1775</v>
      </c>
      <c r="AD355">
        <v>0.980059342</v>
      </c>
      <c r="AE355">
        <v>1864.220219</v>
      </c>
      <c r="AF355">
        <v>1775</v>
      </c>
      <c r="AH355">
        <v>0</v>
      </c>
      <c r="AI355">
        <v>256</v>
      </c>
    </row>
    <row r="356" spans="1:35" x14ac:dyDescent="0.25">
      <c r="A356" t="s">
        <v>330</v>
      </c>
      <c r="B356" t="s">
        <v>624</v>
      </c>
      <c r="D356" t="s">
        <v>332</v>
      </c>
      <c r="E356">
        <v>285</v>
      </c>
      <c r="H356">
        <f t="shared" si="5"/>
        <v>241025019</v>
      </c>
      <c r="I356">
        <v>15019</v>
      </c>
      <c r="J356">
        <v>4</v>
      </c>
      <c r="K356" t="s">
        <v>388</v>
      </c>
      <c r="L356">
        <v>75000</v>
      </c>
      <c r="M356" t="s">
        <v>341</v>
      </c>
      <c r="N356">
        <v>5</v>
      </c>
      <c r="O356">
        <v>1519</v>
      </c>
      <c r="P356">
        <v>15</v>
      </c>
      <c r="Q356">
        <v>19</v>
      </c>
      <c r="R356">
        <v>27</v>
      </c>
      <c r="S356">
        <v>18.3</v>
      </c>
      <c r="T356">
        <v>905</v>
      </c>
      <c r="U356">
        <v>1186</v>
      </c>
      <c r="V356" s="1">
        <v>45497</v>
      </c>
      <c r="W356" s="1">
        <v>45534</v>
      </c>
      <c r="X356">
        <v>72005</v>
      </c>
      <c r="Y356">
        <v>0.43789097399999999</v>
      </c>
      <c r="Z356">
        <v>2503.603916</v>
      </c>
      <c r="AA356">
        <f>1-((0.95-Y356)*0.5)</f>
        <v>0.74394548699999996</v>
      </c>
      <c r="AB356">
        <f>U356/AA356</f>
        <v>1594.202829003787</v>
      </c>
      <c r="AC356" cm="1">
        <f t="array" ref="AC356">_xlfn.IFS(Y356&lt;0.6,U356,0.9&lt;Y356,U356,Y356,AB356)</f>
        <v>1186</v>
      </c>
      <c r="AD356">
        <v>0.80326184099999998</v>
      </c>
      <c r="AE356">
        <v>2003.749487</v>
      </c>
      <c r="AF356">
        <v>1186</v>
      </c>
      <c r="AH356">
        <v>0</v>
      </c>
      <c r="AI356">
        <v>285</v>
      </c>
    </row>
    <row r="357" spans="1:35" x14ac:dyDescent="0.25">
      <c r="A357" t="s">
        <v>330</v>
      </c>
      <c r="B357" t="s">
        <v>625</v>
      </c>
      <c r="D357" t="s">
        <v>332</v>
      </c>
      <c r="E357">
        <v>286</v>
      </c>
      <c r="H357">
        <f t="shared" si="5"/>
        <v>241025020</v>
      </c>
      <c r="I357">
        <v>15020</v>
      </c>
      <c r="J357">
        <v>4</v>
      </c>
      <c r="K357" t="s">
        <v>388</v>
      </c>
      <c r="L357">
        <v>100000</v>
      </c>
      <c r="M357" t="s">
        <v>336</v>
      </c>
      <c r="N357">
        <v>19</v>
      </c>
      <c r="O357">
        <v>1520</v>
      </c>
      <c r="P357">
        <v>15</v>
      </c>
      <c r="Q357">
        <v>20</v>
      </c>
      <c r="R357">
        <v>76</v>
      </c>
      <c r="S357">
        <v>19.399999999999999</v>
      </c>
      <c r="T357">
        <v>561</v>
      </c>
      <c r="U357">
        <v>726</v>
      </c>
      <c r="V357" s="1">
        <v>45497</v>
      </c>
      <c r="X357">
        <v>122196</v>
      </c>
      <c r="Y357">
        <v>0.88908765700000003</v>
      </c>
      <c r="Z357">
        <v>903.06186779999996</v>
      </c>
      <c r="AA357">
        <f>1-((0.95-Y357)*0.5)</f>
        <v>0.96954382849999998</v>
      </c>
      <c r="AB357">
        <f>U357/AA357</f>
        <v>748.80575654141251</v>
      </c>
      <c r="AC357" cm="1">
        <f t="array" ref="AC357">_xlfn.IFS(Y357&lt;0.6,U357,0.9&lt;Y357,U357,Y357,AB357)</f>
        <v>748.80575654141251</v>
      </c>
      <c r="AD357">
        <v>0.96118068000000001</v>
      </c>
      <c r="AE357">
        <v>837.4164925</v>
      </c>
      <c r="AF357">
        <v>837.4164925</v>
      </c>
      <c r="AH357">
        <v>0</v>
      </c>
      <c r="AI357">
        <v>286</v>
      </c>
    </row>
    <row r="358" spans="1:35" x14ac:dyDescent="0.25">
      <c r="A358" t="s">
        <v>330</v>
      </c>
      <c r="B358" t="s">
        <v>653</v>
      </c>
      <c r="D358" t="s">
        <v>332</v>
      </c>
      <c r="E358">
        <v>315</v>
      </c>
      <c r="H358">
        <f t="shared" si="5"/>
        <v>241025021</v>
      </c>
      <c r="I358">
        <v>15021</v>
      </c>
      <c r="J358">
        <v>4</v>
      </c>
      <c r="K358" t="s">
        <v>388</v>
      </c>
      <c r="L358">
        <v>150000</v>
      </c>
      <c r="M358" t="s">
        <v>338</v>
      </c>
      <c r="N358">
        <v>44</v>
      </c>
      <c r="O358">
        <v>1521</v>
      </c>
      <c r="P358">
        <v>15</v>
      </c>
      <c r="Q358">
        <v>21</v>
      </c>
      <c r="V358" s="1">
        <v>45493</v>
      </c>
      <c r="W358" s="1">
        <v>45534</v>
      </c>
      <c r="X358">
        <v>48078</v>
      </c>
      <c r="Y358">
        <v>0.30568079399999998</v>
      </c>
      <c r="AH358">
        <v>0</v>
      </c>
      <c r="AI358">
        <v>315</v>
      </c>
    </row>
    <row r="359" spans="1:35" x14ac:dyDescent="0.25">
      <c r="A359" t="s">
        <v>330</v>
      </c>
      <c r="B359" t="s">
        <v>654</v>
      </c>
      <c r="D359" t="s">
        <v>332</v>
      </c>
      <c r="E359">
        <v>316</v>
      </c>
      <c r="H359">
        <f t="shared" si="5"/>
        <v>241025022</v>
      </c>
      <c r="I359">
        <v>15022</v>
      </c>
      <c r="J359">
        <v>4</v>
      </c>
      <c r="K359" t="s">
        <v>333</v>
      </c>
      <c r="L359">
        <v>150000</v>
      </c>
      <c r="M359" t="s">
        <v>347</v>
      </c>
      <c r="N359">
        <v>87</v>
      </c>
      <c r="O359">
        <v>1522</v>
      </c>
      <c r="P359">
        <v>15</v>
      </c>
      <c r="Q359">
        <v>22</v>
      </c>
      <c r="R359">
        <v>66</v>
      </c>
      <c r="S359">
        <v>20</v>
      </c>
      <c r="T359">
        <v>602</v>
      </c>
      <c r="U359">
        <v>773</v>
      </c>
      <c r="V359" s="1">
        <v>45498</v>
      </c>
      <c r="X359">
        <v>148411</v>
      </c>
      <c r="Y359">
        <v>0.97638173399999995</v>
      </c>
      <c r="Z359">
        <v>791.69854659999999</v>
      </c>
      <c r="AA359">
        <f>1-((0.95-Y359)*0.5)</f>
        <v>1.0131908670000001</v>
      </c>
      <c r="AB359">
        <f>U359/AA359</f>
        <v>762.93620992539002</v>
      </c>
      <c r="AC359" cm="1">
        <f t="array" ref="AC359">_xlfn.IFS(Y359&lt;0.6,U359,0.9&lt;Y359,U359,Y359,AB359)</f>
        <v>773</v>
      </c>
      <c r="AD359">
        <v>0.99173360700000002</v>
      </c>
      <c r="AE359">
        <v>788.75772859999995</v>
      </c>
      <c r="AF359">
        <v>773</v>
      </c>
      <c r="AH359">
        <v>0</v>
      </c>
      <c r="AI359">
        <v>316</v>
      </c>
    </row>
    <row r="360" spans="1:35" x14ac:dyDescent="0.25">
      <c r="A360" t="s">
        <v>330</v>
      </c>
      <c r="B360" t="s">
        <v>683</v>
      </c>
      <c r="D360" t="s">
        <v>332</v>
      </c>
      <c r="E360">
        <v>345</v>
      </c>
      <c r="H360">
        <f t="shared" si="5"/>
        <v>241025023</v>
      </c>
      <c r="I360">
        <v>15023</v>
      </c>
      <c r="J360">
        <v>4</v>
      </c>
      <c r="K360" t="s">
        <v>333</v>
      </c>
      <c r="L360">
        <v>100000</v>
      </c>
      <c r="M360" t="s">
        <v>338</v>
      </c>
      <c r="N360">
        <v>74</v>
      </c>
      <c r="O360">
        <v>1523</v>
      </c>
      <c r="P360">
        <v>15</v>
      </c>
      <c r="Q360">
        <v>23</v>
      </c>
      <c r="R360">
        <v>53</v>
      </c>
      <c r="S360">
        <v>21.3</v>
      </c>
      <c r="T360">
        <v>934</v>
      </c>
      <c r="U360">
        <v>1179</v>
      </c>
      <c r="V360" s="1">
        <v>45494</v>
      </c>
      <c r="W360" s="1">
        <v>45527</v>
      </c>
      <c r="X360">
        <v>150535</v>
      </c>
      <c r="Y360">
        <v>0.99035532699999995</v>
      </c>
      <c r="Z360">
        <v>1190.481808</v>
      </c>
      <c r="AA360">
        <f>1-((0.95-Y360)*0.5)</f>
        <v>1.0201776634999999</v>
      </c>
      <c r="AB360">
        <f>U360/AA360</f>
        <v>1155.6810565280525</v>
      </c>
      <c r="AC360" cm="1">
        <f t="array" ref="AC360">_xlfn.IFS(Y360&lt;0.6,U360,0.9&lt;Y360,U360,Y360,AB360)</f>
        <v>1179</v>
      </c>
      <c r="AD360">
        <v>0.99662436399999998</v>
      </c>
      <c r="AE360">
        <v>1188.72579</v>
      </c>
      <c r="AF360">
        <v>1179</v>
      </c>
      <c r="AH360">
        <v>0</v>
      </c>
      <c r="AI360">
        <v>345</v>
      </c>
    </row>
    <row r="361" spans="1:35" x14ac:dyDescent="0.25">
      <c r="A361" t="s">
        <v>330</v>
      </c>
      <c r="B361" t="s">
        <v>684</v>
      </c>
      <c r="D361" t="s">
        <v>332</v>
      </c>
      <c r="E361">
        <v>346</v>
      </c>
      <c r="H361">
        <f t="shared" si="5"/>
        <v>241025024</v>
      </c>
      <c r="I361">
        <v>15024</v>
      </c>
      <c r="J361">
        <v>4</v>
      </c>
      <c r="K361" t="s">
        <v>333</v>
      </c>
      <c r="L361">
        <v>75000</v>
      </c>
      <c r="M361" t="s">
        <v>283</v>
      </c>
      <c r="N361">
        <v>47</v>
      </c>
      <c r="O361">
        <v>1524</v>
      </c>
      <c r="P361">
        <v>15</v>
      </c>
      <c r="Q361">
        <v>24</v>
      </c>
      <c r="R361">
        <v>27</v>
      </c>
      <c r="S361">
        <v>26.2</v>
      </c>
      <c r="T361">
        <v>1565</v>
      </c>
      <c r="U361">
        <v>1853</v>
      </c>
      <c r="V361" s="1">
        <v>45495</v>
      </c>
      <c r="W361" s="1">
        <v>45534</v>
      </c>
      <c r="X361">
        <v>151856</v>
      </c>
      <c r="Y361">
        <v>0.99907235000000005</v>
      </c>
      <c r="Z361">
        <v>1854.7205309999999</v>
      </c>
      <c r="AA361">
        <f>1-((0.95-Y361)*0.5)</f>
        <v>1.0245361750000002</v>
      </c>
      <c r="AB361">
        <f>U361/AA361</f>
        <v>1808.6233021493845</v>
      </c>
      <c r="AC361" cm="1">
        <f t="array" ref="AC361">_xlfn.IFS(Y361&lt;0.6,U361,0.9&lt;Y361,U361,Y361,AB361)</f>
        <v>1853</v>
      </c>
      <c r="AD361">
        <v>0.99967532299999995</v>
      </c>
      <c r="AE361">
        <v>1854.461969</v>
      </c>
      <c r="AF361">
        <v>1853</v>
      </c>
      <c r="AH361">
        <v>0</v>
      </c>
      <c r="AI361">
        <v>346</v>
      </c>
    </row>
  </sheetData>
  <sortState xmlns:xlrd2="http://schemas.microsoft.com/office/spreadsheetml/2017/richdata2" ref="A2:AI361">
    <sortCondition ref="I2:I3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613</vt:lpstr>
      <vt:lpstr>618</vt:lpstr>
      <vt:lpstr>628</vt:lpstr>
      <vt:lpstr>702</vt:lpstr>
      <vt:lpstr>710</vt:lpstr>
      <vt:lpstr>715</vt:lpstr>
      <vt:lpstr>Consolidated</vt:lpstr>
      <vt:lpstr>YieldData</vt:lpstr>
      <vt:lpstr>AgronomyYieldData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2026-01-13T01:35:29Z</dcterms:created>
  <dcterms:modified xsi:type="dcterms:W3CDTF">2026-01-19T21:32:49Z</dcterms:modified>
</cp:coreProperties>
</file>